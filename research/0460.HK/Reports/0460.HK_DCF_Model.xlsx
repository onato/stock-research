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Model_Info" sheetId="1" state="visible" r:id="rId3"/>
    <sheet name="Actuals" sheetId="2" state="visible" r:id="rId4"/>
    <sheet name="Assumptions" sheetId="3" state="visible" r:id="rId5"/>
    <sheet name="DCF_Bear" sheetId="4" state="visible" r:id="rId6"/>
    <sheet name="DCF_Base" sheetId="5" state="visible" r:id="rId7"/>
    <sheet name="DCF_Bull" sheetId="6" state="visible" r:id="rId8"/>
    <sheet name="Valuation"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<sst xmlns="http://schemas.openxmlformats.org/spreadsheetml/2006/main" count="358" uniqueCount="166">
  <si>
    <t xml:space="preserve">Ticker</t>
  </si>
  <si>
    <t xml:space="preserve">0460.HK</t>
  </si>
  <si>
    <t xml:space="preserve">Company</t>
  </si>
  <si>
    <t xml:space="preserve">Sihuan Pharmaceutical Holdings Group Ltd.</t>
  </si>
  <si>
    <t xml:space="preserve">Valuation date</t>
  </si>
  <si>
    <t xml:space="preserve">2026-10-11</t>
  </si>
  <si>
    <t xml:space="preserve">Current price</t>
  </si>
  <si>
    <t xml:space="preserve">Price as of</t>
  </si>
  <si>
    <t xml:space="preserve">2026-10-09T08:08:06Z regular close (Yahoo regularMarketTime; HKEX closed 10-11 Oct weekend)</t>
  </si>
  <si>
    <t xml:space="preserve">Balance sheet date</t>
  </si>
  <si>
    <t xml:space="preserve">2026-06-30</t>
  </si>
  <si>
    <t xml:space="preserve">Model</t>
  </si>
  <si>
    <t xml:space="preserve">owner_fcf_dcf_component</t>
  </si>
  <si>
    <t xml:space="preserve">Currency (model)</t>
  </si>
  <si>
    <t xml:space="preserve">CNY</t>
  </si>
  <si>
    <t xml:space="preserve">Currency (quote)</t>
  </si>
  <si>
    <t xml:space="preserve">HKD</t>
  </si>
  <si>
    <t xml:space="preserve">Units</t>
  </si>
  <si>
    <t xml:space="preserve">millions</t>
  </si>
  <si>
    <t xml:space="preserve">Engine</t>
  </si>
  <si>
    <t xml:space="preserve">dcf_engine v1</t>
  </si>
  <si>
    <t xml:space="preserve">Built at</t>
  </si>
  <si>
    <t xml:space="preserve">2026-10-10T22:48:50Z</t>
  </si>
  <si>
    <t xml:space="preserve">Drivers file</t>
  </si>
  <si>
    <t xml:space="preserve">0460.HK_Drivers.json</t>
  </si>
  <si>
    <t xml:space="preserve">Convention</t>
  </si>
  <si>
    <t xml:space="preserve">Percents stored as percents; formulas divide by 100. Blue = input, green = link, black = formula.</t>
  </si>
  <si>
    <t xml:space="preserve">Methodology</t>
  </si>
  <si>
    <t xml:space="preserve">summary: Value the business Sihuan's shareholders actually own: the aesthetics-led operating group on an owner-FCF basis, plus its listed 49% of Xuanzhu at a discount to market, plus net cash after the redemption liabilities owed to Huisheng's investors. Exclude every one-off (impairments, the 2024 Xuanzhu SBC charge, 2026 disposal gains) from the margin base, and make working capital pay for growth because this company's receivables have been growing faster than its revenue.
key_risks_to_valuation: Letybo is licensed from Hugel to end-2030; non-renewal or worse terms is the single largest value driver and is the bear case; Receivables quality: trade and other receivables rose from RMB1.94bn to RMB2.37bn in H1-2026 on flat revenue; operating cash flow was negative in FY2025 and H1-2026; Xuanzhu stake (~RMB1.46bn after discount, ~RMB0.16/share) is marked to a volatile market price that is ~90% off its peak; Redemption liabilities (RMB1.35bn, current) could be called in cash if Huisheng's contingent events occur; Net cash is large relative to market cap; its value to minorities depends on capital allocation (buybacks continuing vs. aesthetics M&amp;A and the Meiyan NCI buyout)</t>
  </si>
  <si>
    <t xml:space="preserve">Data sources</t>
  </si>
  <si>
    <t xml:space="preserve">price: Yahoo Finance chart API at inputs.price_as_of; 52-week range 0.685-1.79 HKD. Xuanzhu 2575.HK price from the same API and date; FX from Yahoo CNYHKD=X.
financials: 0460.HK Metrics.csv / core_metrics; FY2025 Annual Report (cash-flow statement, note 18 subsidiaries, note 19 equity-method, note 35); H1-2026 Interim Report (balance sheet, note 3 segments, note 12 share capital, note 15 redemption liabilities, MD&amp;A). Xuanzhu FY2025 standalone revenue, net loss, FCF and cash from Yahoo fundamentals-timeseries for 2575.HK.
qualitative: 0460.HK_Analysis.json (2026-10-11)</t>
  </si>
  <si>
    <t xml:space="preserve">Scenario narrative: bear</t>
  </si>
  <si>
    <t xml:space="preserve">Domestic toxin competition (new approvals, Imeik/Bloomage/Haohai fillers) and weaker discretionary spending compress Letybo pricing; the Hugel licence that runs to end-2030 is renewed on materially worse terms or lost, taking ~12% of revenue out in FY2031. VBP cuts reach the remaining generics faster than they can be sold, and receivables owed by aesthetics chains prove partly uncollectable (FY2025 already booked RMB52m of receivable impairment). Margin compresses to 18%.</t>
  </si>
  <si>
    <t xml:space="preserve">Scenario narrative: base</t>
  </si>
  <si>
    <t xml:space="preserve">Medical aesthetics keeps compounding at mid-teens near term as Letybo holds ~22-25% toxin share and the self-developed PLLA/PCL fillers and collagen products add a second leg; the Hugel licence is renewed past 2030 on similar economics. Generics roughly halves again in FY2026 under VBP and divestments and then stabilises as a small, near-breakeven cash ballast. Huisheng's insulin and semaglutide launches add growth from FY2027. Receivables stop outgrowing revenue but working capital still absorbs ~40% of incremental revenue. Xuanzhu is worth its discounted market price, no more.</t>
  </si>
  <si>
    <t xml:space="preserve">Scenario narrative: bull</t>
  </si>
  <si>
    <t xml:space="preserve">Aesthetics beats the &gt;30% key-product share target by 2027, the Meiyan Space buyout to 100% removes the remaining leakage, Huisheng's semaglutide becomes a meaningful obesity/diabetes product, and the generics drag disappears quickly through disposals. Margin reaches 34% as aesthetics passes ~75% of revenue, and Xuanzhu's market value recovers toward its IPO-plus range (upside to the bridge not modelled).</t>
  </si>
  <si>
    <t xml:space="preserve">Period</t>
  </si>
  <si>
    <t xml:space="preserve">Revenue</t>
  </si>
  <si>
    <t xml:space="preserve">CostOfRevenue</t>
  </si>
  <si>
    <t xml:space="preserve">GrossProfit</t>
  </si>
  <si>
    <t xml:space="preserve">GrossMargin</t>
  </si>
  <si>
    <t xml:space="preserve">OperatingIncome</t>
  </si>
  <si>
    <t xml:space="preserve">OperatingMargin</t>
  </si>
  <si>
    <t xml:space="preserve">EBITDA</t>
  </si>
  <si>
    <t xml:space="preserve">NetIncome</t>
  </si>
  <si>
    <t xml:space="preserve">NetMargin</t>
  </si>
  <si>
    <t xml:space="preserve">EPS</t>
  </si>
  <si>
    <t xml:space="preserve">OperatingCashFlow</t>
  </si>
  <si>
    <t xml:space="preserve">CapEx</t>
  </si>
  <si>
    <t xml:space="preserve">FreeCashFlow</t>
  </si>
  <si>
    <t xml:space="preserve">ShareholdersEquity</t>
  </si>
  <si>
    <t xml:space="preserve">TotalAssets</t>
  </si>
  <si>
    <t xml:space="preserve">TotalLiabilities</t>
  </si>
  <si>
    <t xml:space="preserve">TotalDebt</t>
  </si>
  <si>
    <t xml:space="preserve">CashAndEquivalents</t>
  </si>
  <si>
    <t xml:space="preserve">SharesOutstanding</t>
  </si>
  <si>
    <t xml:space="preserve">StockBasedComp</t>
  </si>
  <si>
    <t xml:space="preserve">DividendPerShare</t>
  </si>
  <si>
    <t xml:space="preserve">EBITDABeforeSignificant</t>
  </si>
  <si>
    <t xml:space="preserve">RevenueContinuing</t>
  </si>
  <si>
    <t xml:space="preserve">EBITDAContinuingBeforeSignificant</t>
  </si>
  <si>
    <t xml:space="preserve">EBITContinuingBeforeSignificant</t>
  </si>
  <si>
    <t xml:space="preserve">Currency</t>
  </si>
  <si>
    <t xml:space="preserve">ProfitForPeriodTotal</t>
  </si>
  <si>
    <t xml:space="preserve">TotalEquityInclNCI</t>
  </si>
  <si>
    <t xml:space="preserve">FY2017</t>
  </si>
  <si>
    <t xml:space="preserve">FY2018</t>
  </si>
  <si>
    <t xml:space="preserve">FY2019</t>
  </si>
  <si>
    <t xml:space="preserve">FY2020</t>
  </si>
  <si>
    <t xml:space="preserve">FY2021</t>
  </si>
  <si>
    <t xml:space="preserve">FY2022</t>
  </si>
  <si>
    <t xml:space="preserve">FY2023</t>
  </si>
  <si>
    <t xml:space="preserve">FY2024</t>
  </si>
  <si>
    <t xml:space="preserve">FY2025</t>
  </si>
  <si>
    <t xml:space="preserve">Input</t>
  </si>
  <si>
    <t xml:space="preserve">Value</t>
  </si>
  <si>
    <t xml:space="preserve">Current price (quote currency)</t>
  </si>
  <si>
    <t xml:space="preserve">Shares, final projected (m)</t>
  </si>
  <si>
    <t xml:space="preserve">Net debt (m, model currency)</t>
  </si>
  <si>
    <t xml:space="preserve">Equity bridge total (m, + adds)</t>
  </si>
  <si>
    <t xml:space="preserve">Hurdle rate (%)</t>
  </si>
  <si>
    <t xml:space="preserve">Base revenue FY0 (m)</t>
  </si>
  <si>
    <t xml:space="preserve">FY0</t>
  </si>
  <si>
    <t xml:space="preserve">Currency / units</t>
  </si>
  <si>
    <t xml:space="preserve">CNY millions</t>
  </si>
  <si>
    <t xml:space="preserve">FX rate (model -&gt; quote)</t>
  </si>
  <si>
    <t xml:space="preserve">BEAR</t>
  </si>
  <si>
    <t xml:space="preserve">FY2026</t>
  </si>
  <si>
    <t xml:space="preserve">FY2027</t>
  </si>
  <si>
    <t xml:space="preserve">FY2028</t>
  </si>
  <si>
    <t xml:space="preserve">FY2029</t>
  </si>
  <si>
    <t xml:space="preserve">FY2030</t>
  </si>
  <si>
    <t xml:space="preserve">FY2031</t>
  </si>
  <si>
    <t xml:space="preserve">FY2032</t>
  </si>
  <si>
    <t xml:space="preserve">FY2033</t>
  </si>
  <si>
    <t xml:space="preserve">FY2034</t>
  </si>
  <si>
    <t xml:space="preserve">FY2035</t>
  </si>
  <si>
    <t xml:space="preserve">Revenue growth (%)</t>
  </si>
  <si>
    <t xml:space="preserve">EBITDA margin (%)</t>
  </si>
  <si>
    <t xml:space="preserve">SBC (% of revenue)</t>
  </si>
  <si>
    <t xml:space="preserve">Lease cost (% of revenue)</t>
  </si>
  <si>
    <t xml:space="preserve">D&amp;A (% of revenue)</t>
  </si>
  <si>
    <t xml:space="preserve">Capex (% of revenue)</t>
  </si>
  <si>
    <t xml:space="preserve">Cash tax rate (%)</t>
  </si>
  <si>
    <t xml:space="preserve">WACC (%)</t>
  </si>
  <si>
    <t xml:space="preserve">Terminal growth (%)</t>
  </si>
  <si>
    <t xml:space="preserve">Terminal cap multiple (x FCF)</t>
  </si>
  <si>
    <t xml:space="preserve">Working-capital capture (% of revenue change)</t>
  </si>
  <si>
    <t xml:space="preserve">Scenario weight</t>
  </si>
  <si>
    <t xml:space="preserve">BASE</t>
  </si>
  <si>
    <t xml:space="preserve">BULL</t>
  </si>
  <si>
    <t xml:space="preserve">0460.HK owner-FCF component DCF: bear case (millions, CNY)</t>
  </si>
  <si>
    <t xml:space="preserve">Line</t>
  </si>
  <si>
    <t xml:space="preserve">Year index (discount exponent)</t>
  </si>
  <si>
    <t xml:space="preserve">SBC charge</t>
  </si>
  <si>
    <t xml:space="preserve">Owner EBITDA (after SBC and leases)</t>
  </si>
  <si>
    <t xml:space="preserve">D&amp;A</t>
  </si>
  <si>
    <t xml:space="preserve">EBIT</t>
  </si>
  <si>
    <t xml:space="preserve">NOPAT</t>
  </si>
  <si>
    <t xml:space="preserve">D&amp;A add-back</t>
  </si>
  <si>
    <t xml:space="preserve">Capex</t>
  </si>
  <si>
    <t xml:space="preserve">Working capital</t>
  </si>
  <si>
    <t xml:space="preserve">Unlevered owner FCF</t>
  </si>
  <si>
    <t xml:space="preserve">Discount factor</t>
  </si>
  <si>
    <t xml:space="preserve">PV of FCF</t>
  </si>
  <si>
    <t xml:space="preserve">Lease cost</t>
  </si>
  <si>
    <t xml:space="preserve">Valuation</t>
  </si>
  <si>
    <t xml:space="preserve">Sum of PV of FCF</t>
  </si>
  <si>
    <t xml:space="preserve">Terminal-year FCF</t>
  </si>
  <si>
    <t xml:space="preserve">Gordon terminal value</t>
  </si>
  <si>
    <t xml:space="preserve">Cap terminal value</t>
  </si>
  <si>
    <t xml:space="preserve">Terminal value used: MAX(0,MIN(Gordon,cap))</t>
  </si>
  <si>
    <t xml:space="preserve">PV of terminal value</t>
  </si>
  <si>
    <t xml:space="preserve">Enterprise value</t>
  </si>
  <si>
    <t xml:space="preserve">Equity value (EV + bridge - net debt)</t>
  </si>
  <si>
    <t xml:space="preserve">Value per share (quote currency)</t>
  </si>
  <si>
    <t xml:space="preserve">Upside vs price</t>
  </si>
  <si>
    <t xml:space="preserve">Street memo: PV of explicit-period SBC</t>
  </si>
  <si>
    <t xml:space="preserve">Street memo: PV of terminal SBC (Gordon)</t>
  </si>
  <si>
    <t xml:space="preserve">Street value per share</t>
  </si>
  <si>
    <t xml:space="preserve">Terminal value at hurdle: MAX(0,MIN(Gordon@hurdle,cap))</t>
  </si>
  <si>
    <t xml:space="preserve">Hurdle entry price (quote currency)</t>
  </si>
  <si>
    <t xml:space="preserve">0460.HK owner-FCF component DCF: base case (millions, CNY)</t>
  </si>
  <si>
    <t xml:space="preserve">0460.HK owner-FCF component DCF: bull case (millions, CNY)</t>
  </si>
  <si>
    <t xml:space="preserve">0460.HK valuation summary</t>
  </si>
  <si>
    <t xml:space="preserve">Scenario</t>
  </si>
  <si>
    <t xml:space="preserve">Value per share</t>
  </si>
  <si>
    <t xml:space="preserve">Weight</t>
  </si>
  <si>
    <t xml:space="preserve">Hurdle entry price</t>
  </si>
  <si>
    <t xml:space="preserve">Bear</t>
  </si>
  <si>
    <t xml:space="preserve">Base</t>
  </si>
  <si>
    <t xml:space="preserve">Bull</t>
  </si>
  <si>
    <t xml:space="preserve">Probability-weighted value per share</t>
  </si>
  <si>
    <t xml:space="preserve">Street weighted value per share</t>
  </si>
  <si>
    <t xml:space="preserve">Margin of safety (1 - price/weighted)</t>
  </si>
  <si>
    <t xml:space="preserve">Band position (%; 0 = house, 100 = street)</t>
  </si>
  <si>
    <t xml:space="preserve">Weighted 15% hurdle entry price</t>
  </si>
  <si>
    <t xml:space="preserve">Required-return table (base case; each row rebuilds its own terminal value)</t>
  </si>
  <si>
    <t xml:space="preserve">Rate (%)</t>
  </si>
  <si>
    <t xml:space="preserve">Value per share at 9%</t>
  </si>
  <si>
    <t xml:space="preserve">Value per share at 10% (WACC)</t>
  </si>
  <si>
    <t xml:space="preserve">Value per share at 11%</t>
  </si>
  <si>
    <t xml:space="preserve">Value per share at 12%</t>
  </si>
  <si>
    <t xml:space="preserve">Value per share at 15%</t>
  </si>
  <si>
    <t xml:space="preserve">Sensitivity: value per share, rows WACC (%) x columns terminal growth (%)</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</si>
</sst>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rgb="FF0000FF"/>
      <name val="Cambria"/>
      <family val="0"/>
      <charset val="1"/>
    </font>
    <font>
      <sz val="11"/>
      <color rgb="FF008000"/>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00"/>
  </cols>
  <sheetData>
    <row r="1" customFormat="false" ht="15" hidden="false" customHeight="false" outlineLevel="0" collapsed="false">
      <c r="A1" s="0" t="s">
        <v>0</v>
      </c>
      <c r="B1" s="0" t="s">
        <v>1</v>
      </c>
    </row>
    <row r="2" customFormat="false" ht="15" hidden="false" customHeight="false" outlineLevel="0" collapsed="false">
      <c r="A2" s="0" t="s">
        <v>2</v>
      </c>
      <c r="B2" s="0" t="s">
        <v>3</v>
      </c>
    </row>
    <row r="3" customFormat="false" ht="15" hidden="false" customHeight="false" outlineLevel="0" collapsed="false">
      <c r="A3" s="0" t="s">
        <v>4</v>
      </c>
      <c r="B3" s="0" t="s">
        <v>5</v>
      </c>
    </row>
    <row r="4" customFormat="false" ht="15" hidden="false" customHeight="false" outlineLevel="0" collapsed="false">
      <c r="A4" s="0" t="s">
        <v>6</v>
      </c>
      <c r="B4" s="0" t="n">
        <v>0.74</v>
      </c>
    </row>
    <row r="5" customFormat="false" ht="15" hidden="false" customHeight="false" outlineLevel="0" collapsed="false">
      <c r="A5" s="0" t="s">
        <v>7</v>
      </c>
      <c r="B5" s="0" t="s">
        <v>8</v>
      </c>
    </row>
    <row r="6" customFormat="false" ht="15" hidden="false" customHeight="false" outlineLevel="0" collapsed="false">
      <c r="A6" s="0" t="s">
        <v>9</v>
      </c>
      <c r="B6" s="0" t="s">
        <v>10</v>
      </c>
    </row>
    <row r="7" customFormat="false" ht="15" hidden="false" customHeight="false" outlineLevel="0" collapsed="false">
      <c r="A7" s="0" t="s">
        <v>11</v>
      </c>
      <c r="B7" s="0" t="s">
        <v>12</v>
      </c>
    </row>
    <row r="8" customFormat="false" ht="15" hidden="false" customHeight="false" outlineLevel="0" collapsed="false">
      <c r="A8" s="0" t="s">
        <v>13</v>
      </c>
      <c r="B8" s="0" t="s">
        <v>14</v>
      </c>
    </row>
    <row r="9" customFormat="false" ht="15" hidden="false" customHeight="false" outlineLevel="0" collapsed="false">
      <c r="A9" s="0" t="s">
        <v>15</v>
      </c>
      <c r="B9" s="0" t="s">
        <v>16</v>
      </c>
    </row>
    <row r="10" customFormat="false" ht="15" hidden="false" customHeight="false" outlineLevel="0" collapsed="false">
      <c r="A10" s="0" t="s">
        <v>17</v>
      </c>
      <c r="B10" s="0" t="s">
        <v>18</v>
      </c>
    </row>
    <row r="11" customFormat="false" ht="15" hidden="false" customHeight="false" outlineLevel="0" collapsed="false">
      <c r="A11" s="0" t="s">
        <v>19</v>
      </c>
      <c r="B11" s="0" t="s">
        <v>20</v>
      </c>
    </row>
    <row r="12" customFormat="false" ht="15" hidden="false" customHeight="false" outlineLevel="0" collapsed="false">
      <c r="A12" s="0" t="s">
        <v>21</v>
      </c>
      <c r="B12" s="0" t="s">
        <v>22</v>
      </c>
    </row>
    <row r="13" customFormat="false" ht="15" hidden="false" customHeight="false" outlineLevel="0" collapsed="false">
      <c r="A13" s="0" t="s">
        <v>23</v>
      </c>
      <c r="B13" s="0" t="s">
        <v>24</v>
      </c>
    </row>
    <row r="14" customFormat="false" ht="15" hidden="false" customHeight="false" outlineLevel="0" collapsed="false">
      <c r="A14" s="0" t="s">
        <v>25</v>
      </c>
      <c r="B14" s="0" t="s">
        <v>26</v>
      </c>
    </row>
    <row r="15" customFormat="false" ht="23.85" hidden="false" customHeight="false" outlineLevel="0" collapsed="false">
      <c r="A15" s="0" t="s">
        <v>27</v>
      </c>
      <c r="B15" s="1" t="s">
        <v>28</v>
      </c>
    </row>
    <row r="16" customFormat="false" ht="35.05" hidden="false" customHeight="false" outlineLevel="0" collapsed="false">
      <c r="A16" s="0" t="s">
        <v>29</v>
      </c>
      <c r="B16" s="1" t="s">
        <v>30</v>
      </c>
    </row>
    <row r="17" customFormat="false" ht="15" hidden="false" customHeight="false" outlineLevel="0" collapsed="false">
      <c r="A17" s="0" t="s">
        <v>31</v>
      </c>
      <c r="B17" s="0" t="s">
        <v>32</v>
      </c>
    </row>
    <row r="18" customFormat="false" ht="15" hidden="false" customHeight="false" outlineLevel="0" collapsed="false">
      <c r="A18" s="0" t="s">
        <v>33</v>
      </c>
      <c r="B18" s="0" t="s">
        <v>34</v>
      </c>
    </row>
    <row r="19" customFormat="false" ht="15" hidden="false" customHeight="false" outlineLevel="0" collapsed="false">
      <c r="A19" s="0" t="s">
        <v>35</v>
      </c>
      <c r="B19" s="0" t="s">
        <v>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D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2" t="s">
        <v>37</v>
      </c>
      <c r="B1" s="2" t="s">
        <v>38</v>
      </c>
      <c r="C1" s="2" t="s">
        <v>39</v>
      </c>
      <c r="D1" s="2" t="s">
        <v>40</v>
      </c>
      <c r="E1" s="2" t="s">
        <v>41</v>
      </c>
      <c r="F1" s="2" t="s">
        <v>42</v>
      </c>
      <c r="G1" s="2" t="s">
        <v>43</v>
      </c>
      <c r="H1" s="2" t="s">
        <v>44</v>
      </c>
      <c r="I1" s="2" t="s">
        <v>45</v>
      </c>
      <c r="J1" s="2" t="s">
        <v>46</v>
      </c>
      <c r="K1" s="2" t="s">
        <v>47</v>
      </c>
      <c r="L1" s="2" t="s">
        <v>48</v>
      </c>
      <c r="M1" s="2" t="s">
        <v>49</v>
      </c>
      <c r="N1" s="2" t="s">
        <v>50</v>
      </c>
      <c r="O1" s="2" t="s">
        <v>51</v>
      </c>
      <c r="P1" s="2" t="s">
        <v>52</v>
      </c>
      <c r="Q1" s="2" t="s">
        <v>53</v>
      </c>
      <c r="R1" s="2" t="s">
        <v>54</v>
      </c>
      <c r="S1" s="2" t="s">
        <v>55</v>
      </c>
      <c r="T1" s="2" t="s">
        <v>56</v>
      </c>
      <c r="U1" s="2" t="s">
        <v>57</v>
      </c>
      <c r="V1" s="2" t="s">
        <v>58</v>
      </c>
      <c r="W1" s="2" t="s">
        <v>59</v>
      </c>
      <c r="X1" s="2" t="s">
        <v>60</v>
      </c>
      <c r="Y1" s="2" t="s">
        <v>61</v>
      </c>
      <c r="Z1" s="2" t="s">
        <v>62</v>
      </c>
      <c r="AA1" s="2" t="s">
        <v>17</v>
      </c>
      <c r="AB1" s="2" t="s">
        <v>63</v>
      </c>
      <c r="AC1" s="2" t="s">
        <v>64</v>
      </c>
      <c r="AD1" s="2" t="s">
        <v>65</v>
      </c>
    </row>
    <row r="2" customFormat="false" ht="15" hidden="false" customHeight="false" outlineLevel="0" collapsed="false">
      <c r="A2" s="0" t="s">
        <v>66</v>
      </c>
      <c r="B2" s="0" t="n">
        <v>2745.809</v>
      </c>
      <c r="C2" s="0" t="n">
        <v>758.956</v>
      </c>
      <c r="D2" s="0" t="n">
        <v>1986.853</v>
      </c>
      <c r="E2" s="0" t="n">
        <v>72.4</v>
      </c>
      <c r="F2" s="0" t="n">
        <v>1688.256</v>
      </c>
      <c r="G2" s="0" t="n">
        <v>61.5</v>
      </c>
      <c r="I2" s="0" t="n">
        <v>1448.935</v>
      </c>
      <c r="J2" s="0" t="n">
        <v>52.8</v>
      </c>
      <c r="K2" s="0" t="n">
        <v>0.153</v>
      </c>
      <c r="L2" s="0" t="n">
        <v>1917.59</v>
      </c>
      <c r="O2" s="0" t="n">
        <v>11056.992</v>
      </c>
      <c r="P2" s="0" t="n">
        <v>13591.863</v>
      </c>
      <c r="Q2" s="0" t="n">
        <v>2255.793</v>
      </c>
      <c r="S2" s="0" t="n">
        <v>831.859</v>
      </c>
      <c r="T2" s="0" t="n">
        <v>9482.649</v>
      </c>
      <c r="U2" s="0" t="n">
        <v>1.775</v>
      </c>
      <c r="AA2" s="0" t="s">
        <v>18</v>
      </c>
      <c r="AB2" s="0" t="s">
        <v>14</v>
      </c>
      <c r="AC2" s="0" t="n">
        <v>1478.908</v>
      </c>
      <c r="AD2" s="0" t="n">
        <v>11336.07</v>
      </c>
    </row>
    <row r="3" customFormat="false" ht="15" hidden="false" customHeight="false" outlineLevel="0" collapsed="false">
      <c r="A3" s="0" t="s">
        <v>67</v>
      </c>
      <c r="B3" s="0" t="n">
        <v>2917.405</v>
      </c>
      <c r="C3" s="0" t="n">
        <v>538.317</v>
      </c>
      <c r="D3" s="0" t="n">
        <v>2379.088</v>
      </c>
      <c r="E3" s="0" t="n">
        <v>81.5</v>
      </c>
      <c r="F3" s="0" t="n">
        <v>2025.943</v>
      </c>
      <c r="G3" s="0" t="n">
        <v>69.4</v>
      </c>
      <c r="H3" s="0" t="n">
        <v>2330.921</v>
      </c>
      <c r="I3" s="0" t="n">
        <v>1619.956</v>
      </c>
      <c r="J3" s="0" t="n">
        <v>55.5</v>
      </c>
      <c r="K3" s="0" t="n">
        <v>0.171</v>
      </c>
      <c r="L3" s="0" t="n">
        <v>1792.794</v>
      </c>
      <c r="M3" s="0" t="n">
        <v>282.021</v>
      </c>
      <c r="N3" s="0" t="n">
        <v>1510.773</v>
      </c>
      <c r="O3" s="0" t="n">
        <v>12510.413</v>
      </c>
      <c r="P3" s="0" t="n">
        <v>15443.475</v>
      </c>
      <c r="Q3" s="0" t="n">
        <v>2669.112</v>
      </c>
      <c r="S3" s="0" t="n">
        <v>3314.845</v>
      </c>
      <c r="T3" s="0" t="n">
        <v>9471.082</v>
      </c>
      <c r="U3" s="0" t="n">
        <v>0.345</v>
      </c>
      <c r="AA3" s="0" t="s">
        <v>18</v>
      </c>
      <c r="AB3" s="0" t="s">
        <v>14</v>
      </c>
      <c r="AC3" s="0" t="n">
        <v>1679.361</v>
      </c>
      <c r="AD3" s="0" t="n">
        <v>12774.363</v>
      </c>
    </row>
    <row r="4" customFormat="false" ht="15" hidden="false" customHeight="false" outlineLevel="0" collapsed="false">
      <c r="A4" s="0" t="s">
        <v>68</v>
      </c>
      <c r="B4" s="0" t="n">
        <v>2886.979</v>
      </c>
      <c r="C4" s="0" t="n">
        <v>592.052</v>
      </c>
      <c r="D4" s="0" t="n">
        <v>2294.927</v>
      </c>
      <c r="E4" s="0" t="n">
        <v>79.5</v>
      </c>
      <c r="F4" s="0" t="n">
        <v>-2454.863</v>
      </c>
      <c r="G4" s="0" t="n">
        <v>-85</v>
      </c>
      <c r="H4" s="0" t="n">
        <v>-2106.741</v>
      </c>
      <c r="I4" s="0" t="n">
        <v>-2753.332</v>
      </c>
      <c r="J4" s="0" t="n">
        <v>-95.4</v>
      </c>
      <c r="K4" s="0" t="n">
        <v>-0.291</v>
      </c>
      <c r="L4" s="0" t="n">
        <v>1417.858</v>
      </c>
      <c r="M4" s="0" t="n">
        <v>589.925</v>
      </c>
      <c r="N4" s="0" t="n">
        <v>827.933</v>
      </c>
      <c r="O4" s="0" t="n">
        <v>9606.684</v>
      </c>
      <c r="P4" s="0" t="n">
        <v>12571.436</v>
      </c>
      <c r="Q4" s="0" t="n">
        <v>2629.242</v>
      </c>
      <c r="R4" s="0" t="n">
        <v>0</v>
      </c>
      <c r="S4" s="0" t="n">
        <v>5117.143</v>
      </c>
      <c r="T4" s="0" t="n">
        <v>9468.079</v>
      </c>
      <c r="U4" s="0" t="n">
        <v>0.353</v>
      </c>
      <c r="AA4" s="0" t="s">
        <v>18</v>
      </c>
      <c r="AB4" s="0" t="s">
        <v>14</v>
      </c>
      <c r="AC4" s="0" t="n">
        <v>-2757.311</v>
      </c>
      <c r="AD4" s="0" t="n">
        <v>9942.194</v>
      </c>
    </row>
    <row r="5" customFormat="false" ht="15" hidden="false" customHeight="false" outlineLevel="0" collapsed="false">
      <c r="A5" s="0" t="s">
        <v>69</v>
      </c>
      <c r="B5" s="0" t="n">
        <v>2464.226</v>
      </c>
      <c r="C5" s="0" t="n">
        <v>549.777</v>
      </c>
      <c r="D5" s="0" t="n">
        <v>1914.449</v>
      </c>
      <c r="E5" s="0" t="n">
        <v>77.7</v>
      </c>
      <c r="F5" s="0" t="n">
        <v>787.125</v>
      </c>
      <c r="G5" s="0" t="n">
        <v>31.9</v>
      </c>
      <c r="H5" s="0" t="n">
        <v>1052.35</v>
      </c>
      <c r="I5" s="0" t="n">
        <v>473.382</v>
      </c>
      <c r="J5" s="0" t="n">
        <v>19.2</v>
      </c>
      <c r="K5" s="0" t="n">
        <v>0.05</v>
      </c>
      <c r="L5" s="0" t="n">
        <v>227.131</v>
      </c>
      <c r="M5" s="0" t="n">
        <v>580.614</v>
      </c>
      <c r="N5" s="0" t="n">
        <v>-353.483</v>
      </c>
      <c r="O5" s="0" t="n">
        <v>9190.342</v>
      </c>
      <c r="P5" s="0" t="n">
        <v>13043.926</v>
      </c>
      <c r="Q5" s="0" t="n">
        <v>3095.201</v>
      </c>
      <c r="R5" s="0" t="n">
        <v>719.103</v>
      </c>
      <c r="S5" s="0" t="n">
        <v>4604.041</v>
      </c>
      <c r="T5" s="0" t="n">
        <v>9465.682</v>
      </c>
      <c r="U5" s="0" t="n">
        <v>23.176</v>
      </c>
      <c r="AA5" s="0" t="s">
        <v>18</v>
      </c>
      <c r="AB5" s="0" t="s">
        <v>14</v>
      </c>
      <c r="AC5" s="0" t="n">
        <v>511.887</v>
      </c>
      <c r="AD5" s="0" t="n">
        <v>9948.725</v>
      </c>
    </row>
    <row r="6" customFormat="false" ht="15" hidden="false" customHeight="false" outlineLevel="0" collapsed="false">
      <c r="A6" s="0" t="s">
        <v>70</v>
      </c>
      <c r="B6" s="0" t="n">
        <v>3291.27</v>
      </c>
      <c r="C6" s="0" t="n">
        <v>842.754</v>
      </c>
      <c r="D6" s="0" t="n">
        <v>2448.516</v>
      </c>
      <c r="E6" s="0" t="n">
        <v>74.4</v>
      </c>
      <c r="F6" s="0" t="n">
        <v>763.941</v>
      </c>
      <c r="G6" s="0" t="n">
        <v>23.2</v>
      </c>
      <c r="H6" s="0" t="n">
        <v>1065.404</v>
      </c>
      <c r="I6" s="0" t="n">
        <v>416.509</v>
      </c>
      <c r="J6" s="0" t="n">
        <v>12.7</v>
      </c>
      <c r="K6" s="0" t="n">
        <v>0.0442</v>
      </c>
      <c r="L6" s="0" t="n">
        <v>665.293</v>
      </c>
      <c r="M6" s="0" t="n">
        <v>725.582</v>
      </c>
      <c r="N6" s="0" t="n">
        <v>-60.289</v>
      </c>
      <c r="O6" s="0" t="n">
        <v>8284.148</v>
      </c>
      <c r="P6" s="0" t="n">
        <v>14495.623</v>
      </c>
      <c r="Q6" s="0" t="n">
        <v>5345.557</v>
      </c>
      <c r="R6" s="0" t="n">
        <v>1013.216</v>
      </c>
      <c r="S6" s="0" t="n">
        <v>5682.425</v>
      </c>
      <c r="T6" s="0" t="n">
        <v>9483.383</v>
      </c>
      <c r="U6" s="0" t="n">
        <v>59.35</v>
      </c>
      <c r="AA6" s="0" t="s">
        <v>18</v>
      </c>
      <c r="AB6" s="0" t="s">
        <v>14</v>
      </c>
      <c r="AC6" s="0" t="n">
        <v>232.77</v>
      </c>
      <c r="AD6" s="0" t="n">
        <v>9150.066</v>
      </c>
    </row>
    <row r="7" customFormat="false" ht="15" hidden="false" customHeight="false" outlineLevel="0" collapsed="false">
      <c r="A7" s="0" t="s">
        <v>71</v>
      </c>
      <c r="B7" s="0" t="n">
        <v>2181.189</v>
      </c>
      <c r="C7" s="0" t="n">
        <v>693.608</v>
      </c>
      <c r="D7" s="0" t="n">
        <v>1487.581</v>
      </c>
      <c r="E7" s="0" t="n">
        <v>68.2</v>
      </c>
      <c r="F7" s="0" t="n">
        <v>-1830.727</v>
      </c>
      <c r="G7" s="0" t="n">
        <v>-83.9</v>
      </c>
      <c r="I7" s="0" t="n">
        <v>-1914.918</v>
      </c>
      <c r="J7" s="0" t="n">
        <v>-87.8</v>
      </c>
      <c r="K7" s="0" t="n">
        <v>-0.2052</v>
      </c>
      <c r="L7" s="0" t="n">
        <v>46.493</v>
      </c>
      <c r="M7" s="0" t="n">
        <v>593.937</v>
      </c>
      <c r="N7" s="0" t="n">
        <v>-547.444</v>
      </c>
      <c r="O7" s="0" t="n">
        <v>4736.998</v>
      </c>
      <c r="P7" s="0" t="n">
        <v>12140.551</v>
      </c>
      <c r="Q7" s="0" t="n">
        <v>6500.725</v>
      </c>
      <c r="R7" s="0" t="n">
        <v>1135.458</v>
      </c>
      <c r="S7" s="0" t="n">
        <v>3828.863</v>
      </c>
      <c r="T7" s="0" t="n">
        <v>9329.999</v>
      </c>
      <c r="U7" s="0" t="n">
        <v>89.666</v>
      </c>
      <c r="AA7" s="0" t="s">
        <v>18</v>
      </c>
      <c r="AB7" s="0" t="s">
        <v>14</v>
      </c>
      <c r="AC7" s="0" t="n">
        <v>-2283.276</v>
      </c>
      <c r="AD7" s="0" t="n">
        <v>5639.826</v>
      </c>
    </row>
    <row r="8" customFormat="false" ht="15" hidden="false" customHeight="false" outlineLevel="0" collapsed="false">
      <c r="A8" s="0" t="s">
        <v>72</v>
      </c>
      <c r="B8" s="0" t="n">
        <v>1860.539</v>
      </c>
      <c r="C8" s="0" t="n">
        <v>564.895</v>
      </c>
      <c r="D8" s="0" t="n">
        <v>1295.644</v>
      </c>
      <c r="E8" s="0" t="n">
        <v>69.6</v>
      </c>
      <c r="F8" s="0" t="n">
        <v>161.698</v>
      </c>
      <c r="G8" s="0" t="n">
        <v>8.7</v>
      </c>
      <c r="I8" s="0" t="n">
        <v>-54.017</v>
      </c>
      <c r="J8" s="0" t="n">
        <v>-2.9</v>
      </c>
      <c r="K8" s="0" t="n">
        <v>-0.0058</v>
      </c>
      <c r="L8" s="0" t="n">
        <v>199.487</v>
      </c>
      <c r="M8" s="0" t="n">
        <v>295.418</v>
      </c>
      <c r="N8" s="0" t="n">
        <v>-95.931</v>
      </c>
      <c r="O8" s="0" t="n">
        <v>4432.13</v>
      </c>
      <c r="P8" s="0" t="n">
        <v>11535.43</v>
      </c>
      <c r="Q8" s="0" t="n">
        <v>6398.406</v>
      </c>
      <c r="R8" s="0" t="n">
        <v>1133.822</v>
      </c>
      <c r="S8" s="0" t="n">
        <v>3778.666</v>
      </c>
      <c r="T8" s="0" t="n">
        <v>9297.073</v>
      </c>
      <c r="U8" s="0" t="n">
        <v>89.084</v>
      </c>
      <c r="AA8" s="0" t="s">
        <v>18</v>
      </c>
      <c r="AB8" s="0" t="s">
        <v>14</v>
      </c>
      <c r="AC8" s="0" t="n">
        <v>-257.687</v>
      </c>
      <c r="AD8" s="0" t="n">
        <v>5137.024</v>
      </c>
    </row>
    <row r="9" customFormat="false" ht="15" hidden="false" customHeight="false" outlineLevel="0" collapsed="false">
      <c r="A9" s="0" t="s">
        <v>73</v>
      </c>
      <c r="B9" s="0" t="n">
        <v>1901.109</v>
      </c>
      <c r="C9" s="0" t="n">
        <v>659.399</v>
      </c>
      <c r="D9" s="0" t="n">
        <v>1241.71</v>
      </c>
      <c r="E9" s="0" t="n">
        <v>65.3</v>
      </c>
      <c r="F9" s="0" t="n">
        <v>-138.131</v>
      </c>
      <c r="G9" s="0" t="n">
        <v>-7.3</v>
      </c>
      <c r="I9" s="0" t="n">
        <v>-216.662</v>
      </c>
      <c r="J9" s="0" t="n">
        <v>-11.4</v>
      </c>
      <c r="K9" s="0" t="n">
        <v>-0.0234</v>
      </c>
      <c r="L9" s="0" t="n">
        <v>243.887</v>
      </c>
      <c r="M9" s="0" t="n">
        <v>186.375</v>
      </c>
      <c r="N9" s="0" t="n">
        <v>57.512</v>
      </c>
      <c r="O9" s="0" t="n">
        <v>4372.258</v>
      </c>
      <c r="P9" s="0" t="n">
        <v>10531.517</v>
      </c>
      <c r="Q9" s="0" t="n">
        <v>5582.213</v>
      </c>
      <c r="R9" s="0" t="n">
        <v>841.784</v>
      </c>
      <c r="S9" s="0" t="n">
        <v>3522.383</v>
      </c>
      <c r="T9" s="0" t="n">
        <v>9265.984</v>
      </c>
      <c r="U9" s="0" t="n">
        <v>418.02</v>
      </c>
      <c r="AA9" s="0" t="s">
        <v>18</v>
      </c>
      <c r="AB9" s="0" t="s">
        <v>14</v>
      </c>
      <c r="AC9" s="0" t="n">
        <v>-471.549</v>
      </c>
      <c r="AD9" s="0" t="n">
        <v>4949.304</v>
      </c>
    </row>
    <row r="10" customFormat="false" ht="15" hidden="false" customHeight="false" outlineLevel="0" collapsed="false">
      <c r="A10" s="0" t="s">
        <v>74</v>
      </c>
      <c r="B10" s="0" t="n">
        <v>2618.008</v>
      </c>
      <c r="C10" s="0" t="n">
        <v>816.15</v>
      </c>
      <c r="D10" s="0" t="n">
        <v>1801.858</v>
      </c>
      <c r="E10" s="0" t="n">
        <v>68.8</v>
      </c>
      <c r="F10" s="0" t="n">
        <v>607.124</v>
      </c>
      <c r="G10" s="0" t="n">
        <v>23.2</v>
      </c>
      <c r="I10" s="0" t="n">
        <v>179.696</v>
      </c>
      <c r="J10" s="0" t="n">
        <v>6.9</v>
      </c>
      <c r="K10" s="0" t="n">
        <v>0.0197</v>
      </c>
      <c r="L10" s="0" t="n">
        <v>-23.561</v>
      </c>
      <c r="M10" s="0" t="n">
        <v>194.501</v>
      </c>
      <c r="N10" s="0" t="n">
        <v>-218.062</v>
      </c>
      <c r="O10" s="0" t="n">
        <v>5849.471</v>
      </c>
      <c r="P10" s="0" t="n">
        <v>11631.929</v>
      </c>
      <c r="Q10" s="0" t="n">
        <v>4731.707</v>
      </c>
      <c r="R10" s="0" t="n">
        <v>886.751</v>
      </c>
      <c r="S10" s="0" t="n">
        <v>3560.506</v>
      </c>
      <c r="T10" s="0" t="n">
        <v>9126.832</v>
      </c>
      <c r="U10" s="0" t="n">
        <v>9.032</v>
      </c>
      <c r="AA10" s="0" t="s">
        <v>18</v>
      </c>
      <c r="AB10" s="0" t="s">
        <v>14</v>
      </c>
      <c r="AC10" s="0" t="n">
        <v>185.404</v>
      </c>
      <c r="AD10" s="0" t="n">
        <v>6900.222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s>
  <sheetData>
    <row r="1" customFormat="false" ht="15" hidden="false" customHeight="false" outlineLevel="0" collapsed="false">
      <c r="A1" s="2" t="s">
        <v>75</v>
      </c>
      <c r="B1" s="2" t="s">
        <v>76</v>
      </c>
    </row>
    <row r="2" customFormat="false" ht="15" hidden="false" customHeight="false" outlineLevel="0" collapsed="false">
      <c r="A2" s="0" t="s">
        <v>77</v>
      </c>
      <c r="B2" s="3" t="n">
        <v>0.74</v>
      </c>
    </row>
    <row r="3" customFormat="false" ht="15" hidden="false" customHeight="false" outlineLevel="0" collapsed="false">
      <c r="A3" s="0" t="s">
        <v>78</v>
      </c>
      <c r="B3" s="3" t="n">
        <v>8995.8</v>
      </c>
    </row>
    <row r="4" customFormat="false" ht="15" hidden="false" customHeight="false" outlineLevel="0" collapsed="false">
      <c r="A4" s="0" t="s">
        <v>79</v>
      </c>
      <c r="B4" s="3" t="n">
        <v>-3112.6</v>
      </c>
    </row>
    <row r="5" customFormat="false" ht="15" hidden="false" customHeight="false" outlineLevel="0" collapsed="false">
      <c r="A5" s="0" t="s">
        <v>80</v>
      </c>
      <c r="B5" s="3" t="n">
        <v>314</v>
      </c>
    </row>
    <row r="6" customFormat="false" ht="15" hidden="false" customHeight="false" outlineLevel="0" collapsed="false">
      <c r="A6" s="0" t="s">
        <v>81</v>
      </c>
      <c r="B6" s="3" t="n">
        <v>15</v>
      </c>
    </row>
    <row r="7" customFormat="false" ht="15" hidden="false" customHeight="false" outlineLevel="0" collapsed="false">
      <c r="A7" s="0" t="s">
        <v>82</v>
      </c>
      <c r="B7" s="3" t="n">
        <v>2566.2</v>
      </c>
    </row>
    <row r="8" customFormat="false" ht="15" hidden="false" customHeight="false" outlineLevel="0" collapsed="false">
      <c r="A8" s="0" t="s">
        <v>83</v>
      </c>
      <c r="B8" s="3" t="s">
        <v>74</v>
      </c>
    </row>
    <row r="9" customFormat="false" ht="15" hidden="false" customHeight="false" outlineLevel="0" collapsed="false">
      <c r="A9" s="0" t="s">
        <v>84</v>
      </c>
      <c r="B9" s="3" t="s">
        <v>85</v>
      </c>
    </row>
    <row r="10" customFormat="false" ht="15" hidden="false" customHeight="false" outlineLevel="0" collapsed="false">
      <c r="A10" s="0" t="s">
        <v>86</v>
      </c>
      <c r="B10" s="3" t="n">
        <v>1.1721</v>
      </c>
    </row>
    <row r="12" customFormat="false" ht="15" hidden="false" customHeight="false" outlineLevel="0" collapsed="false">
      <c r="A12" s="2" t="s">
        <v>87</v>
      </c>
      <c r="C12" s="2" t="s">
        <v>88</v>
      </c>
      <c r="D12" s="2" t="s">
        <v>89</v>
      </c>
      <c r="E12" s="2" t="s">
        <v>90</v>
      </c>
      <c r="F12" s="2" t="s">
        <v>91</v>
      </c>
      <c r="G12" s="2" t="s">
        <v>92</v>
      </c>
      <c r="H12" s="2" t="s">
        <v>93</v>
      </c>
      <c r="I12" s="2" t="s">
        <v>94</v>
      </c>
      <c r="J12" s="2" t="s">
        <v>95</v>
      </c>
      <c r="K12" s="2" t="s">
        <v>96</v>
      </c>
      <c r="L12" s="2" t="s">
        <v>97</v>
      </c>
    </row>
    <row r="13" customFormat="false" ht="15" hidden="false" customHeight="false" outlineLevel="0" collapsed="false">
      <c r="A13" s="0" t="s">
        <v>98</v>
      </c>
      <c r="C13" s="3" t="n">
        <v>-5</v>
      </c>
      <c r="D13" s="3" t="n">
        <v>4</v>
      </c>
      <c r="E13" s="3" t="n">
        <v>3</v>
      </c>
      <c r="F13" s="3" t="n">
        <v>2</v>
      </c>
      <c r="G13" s="3" t="n">
        <v>0</v>
      </c>
      <c r="H13" s="3" t="n">
        <v>-12</v>
      </c>
      <c r="I13" s="3" t="n">
        <v>-3</v>
      </c>
      <c r="J13" s="3" t="n">
        <v>0</v>
      </c>
      <c r="K13" s="3" t="n">
        <v>1</v>
      </c>
      <c r="L13" s="3" t="n">
        <v>1.5</v>
      </c>
    </row>
    <row r="14" customFormat="false" ht="15" hidden="false" customHeight="false" outlineLevel="0" collapsed="false">
      <c r="A14" s="0" t="s">
        <v>99</v>
      </c>
      <c r="C14" s="3" t="n">
        <v>24</v>
      </c>
      <c r="D14" s="3" t="n">
        <v>23</v>
      </c>
      <c r="E14" s="3" t="n">
        <v>22</v>
      </c>
      <c r="F14" s="3" t="n">
        <v>21</v>
      </c>
      <c r="G14" s="3" t="n">
        <v>20</v>
      </c>
      <c r="H14" s="3" t="n">
        <v>18</v>
      </c>
      <c r="I14" s="3" t="n">
        <v>18</v>
      </c>
      <c r="J14" s="3" t="n">
        <v>18</v>
      </c>
      <c r="K14" s="3" t="n">
        <v>18</v>
      </c>
      <c r="L14" s="3" t="n">
        <v>18</v>
      </c>
    </row>
    <row r="15" customFormat="false" ht="15" hidden="false" customHeight="false" outlineLevel="0" collapsed="false">
      <c r="A15" s="0" t="s">
        <v>100</v>
      </c>
      <c r="C15" s="3" t="n">
        <v>0.3</v>
      </c>
      <c r="D15" s="3" t="n">
        <v>0.3</v>
      </c>
      <c r="E15" s="3" t="n">
        <v>0.3</v>
      </c>
      <c r="F15" s="3" t="n">
        <v>0.3</v>
      </c>
      <c r="G15" s="3" t="n">
        <v>0.3</v>
      </c>
      <c r="H15" s="3" t="n">
        <v>0.3</v>
      </c>
      <c r="I15" s="3" t="n">
        <v>0.3</v>
      </c>
      <c r="J15" s="3" t="n">
        <v>0.3</v>
      </c>
      <c r="K15" s="3" t="n">
        <v>0.3</v>
      </c>
      <c r="L15" s="3" t="n">
        <v>0.3</v>
      </c>
    </row>
    <row r="16" customFormat="false" ht="15" hidden="false" customHeight="false" outlineLevel="0" collapsed="false">
      <c r="A16" s="0" t="s">
        <v>101</v>
      </c>
      <c r="C16" s="3" t="n">
        <v>0</v>
      </c>
      <c r="D16" s="3" t="n">
        <v>0</v>
      </c>
      <c r="E16" s="3" t="n">
        <v>0</v>
      </c>
      <c r="F16" s="3" t="n">
        <v>0</v>
      </c>
      <c r="G16" s="3" t="n">
        <v>0</v>
      </c>
      <c r="H16" s="3" t="n">
        <v>0</v>
      </c>
      <c r="I16" s="3" t="n">
        <v>0</v>
      </c>
      <c r="J16" s="3" t="n">
        <v>0</v>
      </c>
      <c r="K16" s="3" t="n">
        <v>0</v>
      </c>
      <c r="L16" s="3" t="n">
        <v>0</v>
      </c>
    </row>
    <row r="17" customFormat="false" ht="15" hidden="false" customHeight="false" outlineLevel="0" collapsed="false">
      <c r="A17" s="0" t="s">
        <v>102</v>
      </c>
      <c r="C17" s="3" t="n">
        <v>9</v>
      </c>
      <c r="D17" s="3" t="n">
        <v>8.5</v>
      </c>
      <c r="E17" s="3" t="n">
        <v>8</v>
      </c>
      <c r="F17" s="3" t="n">
        <v>7.5</v>
      </c>
      <c r="G17" s="3" t="n">
        <v>7</v>
      </c>
      <c r="H17" s="3" t="n">
        <v>7</v>
      </c>
      <c r="I17" s="3" t="n">
        <v>6.5</v>
      </c>
      <c r="J17" s="3" t="n">
        <v>6.5</v>
      </c>
      <c r="K17" s="3" t="n">
        <v>6.5</v>
      </c>
      <c r="L17" s="3" t="n">
        <v>6.5</v>
      </c>
    </row>
    <row r="18" customFormat="false" ht="15" hidden="false" customHeight="false" outlineLevel="0" collapsed="false">
      <c r="A18" s="0" t="s">
        <v>103</v>
      </c>
      <c r="C18" s="3" t="n">
        <v>8</v>
      </c>
      <c r="D18" s="3" t="n">
        <v>8</v>
      </c>
      <c r="E18" s="3" t="n">
        <v>7.5</v>
      </c>
      <c r="F18" s="3" t="n">
        <v>7</v>
      </c>
      <c r="G18" s="3" t="n">
        <v>7</v>
      </c>
      <c r="H18" s="3" t="n">
        <v>6.5</v>
      </c>
      <c r="I18" s="3" t="n">
        <v>6.5</v>
      </c>
      <c r="J18" s="3" t="n">
        <v>6.5</v>
      </c>
      <c r="K18" s="3" t="n">
        <v>6.5</v>
      </c>
      <c r="L18" s="3" t="n">
        <v>6.5</v>
      </c>
    </row>
    <row r="19" customFormat="false" ht="15" hidden="false" customHeight="false" outlineLevel="0" collapsed="false">
      <c r="A19" s="0" t="s">
        <v>104</v>
      </c>
      <c r="C19" s="3" t="n">
        <v>40</v>
      </c>
      <c r="D19" s="3" t="n">
        <v>38</v>
      </c>
      <c r="E19" s="3" t="n">
        <v>37</v>
      </c>
      <c r="F19" s="3" t="n">
        <v>36</v>
      </c>
      <c r="G19" s="3" t="n">
        <v>35</v>
      </c>
      <c r="H19" s="3" t="n">
        <v>34</v>
      </c>
      <c r="I19" s="3" t="n">
        <v>34</v>
      </c>
      <c r="J19" s="3" t="n">
        <v>34</v>
      </c>
      <c r="K19" s="3" t="n">
        <v>34</v>
      </c>
      <c r="L19" s="3" t="n">
        <v>34</v>
      </c>
    </row>
    <row r="20" customFormat="false" ht="15" hidden="false" customHeight="false" outlineLevel="0" collapsed="false">
      <c r="A20" s="0" t="s">
        <v>105</v>
      </c>
      <c r="B20" s="3" t="n">
        <v>10</v>
      </c>
    </row>
    <row r="21" customFormat="false" ht="15" hidden="false" customHeight="false" outlineLevel="0" collapsed="false">
      <c r="A21" s="0" t="s">
        <v>106</v>
      </c>
      <c r="B21" s="3" t="n">
        <v>1.5</v>
      </c>
    </row>
    <row r="22" customFormat="false" ht="15" hidden="false" customHeight="false" outlineLevel="0" collapsed="false">
      <c r="A22" s="0" t="s">
        <v>107</v>
      </c>
      <c r="B22" s="3" t="n">
        <v>9</v>
      </c>
    </row>
    <row r="23" customFormat="false" ht="15" hidden="false" customHeight="false" outlineLevel="0" collapsed="false">
      <c r="A23" s="0" t="s">
        <v>108</v>
      </c>
      <c r="B23" s="3" t="n">
        <v>-50</v>
      </c>
    </row>
    <row r="24" customFormat="false" ht="15" hidden="false" customHeight="false" outlineLevel="0" collapsed="false">
      <c r="A24" s="0" t="s">
        <v>109</v>
      </c>
      <c r="B24" s="3" t="n">
        <v>0.3</v>
      </c>
    </row>
    <row r="26" customFormat="false" ht="15" hidden="false" customHeight="false" outlineLevel="0" collapsed="false">
      <c r="A26" s="2" t="s">
        <v>110</v>
      </c>
      <c r="C26" s="2" t="s">
        <v>88</v>
      </c>
      <c r="D26" s="2" t="s">
        <v>89</v>
      </c>
      <c r="E26" s="2" t="s">
        <v>90</v>
      </c>
      <c r="F26" s="2" t="s">
        <v>91</v>
      </c>
      <c r="G26" s="2" t="s">
        <v>92</v>
      </c>
      <c r="H26" s="2" t="s">
        <v>93</v>
      </c>
      <c r="I26" s="2" t="s">
        <v>94</v>
      </c>
      <c r="J26" s="2" t="s">
        <v>95</v>
      </c>
      <c r="K26" s="2" t="s">
        <v>96</v>
      </c>
      <c r="L26" s="2" t="s">
        <v>97</v>
      </c>
    </row>
    <row r="27" customFormat="false" ht="15" hidden="false" customHeight="false" outlineLevel="0" collapsed="false">
      <c r="A27" s="0" t="s">
        <v>98</v>
      </c>
      <c r="C27" s="3" t="n">
        <v>-1</v>
      </c>
      <c r="D27" s="3" t="n">
        <v>12</v>
      </c>
      <c r="E27" s="3" t="n">
        <v>11</v>
      </c>
      <c r="F27" s="3" t="n">
        <v>10</v>
      </c>
      <c r="G27" s="3" t="n">
        <v>8</v>
      </c>
      <c r="H27" s="3" t="n">
        <v>7</v>
      </c>
      <c r="I27" s="3" t="n">
        <v>6</v>
      </c>
      <c r="J27" s="3" t="n">
        <v>5</v>
      </c>
      <c r="K27" s="3" t="n">
        <v>4</v>
      </c>
      <c r="L27" s="3" t="n">
        <v>3</v>
      </c>
    </row>
    <row r="28" customFormat="false" ht="15" hidden="false" customHeight="false" outlineLevel="0" collapsed="false">
      <c r="A28" s="0" t="s">
        <v>99</v>
      </c>
      <c r="C28" s="3" t="n">
        <v>26</v>
      </c>
      <c r="D28" s="3" t="n">
        <v>27.5</v>
      </c>
      <c r="E28" s="3" t="n">
        <v>29</v>
      </c>
      <c r="F28" s="3" t="n">
        <v>30</v>
      </c>
      <c r="G28" s="3" t="n">
        <v>30.5</v>
      </c>
      <c r="H28" s="3" t="n">
        <v>31</v>
      </c>
      <c r="I28" s="3" t="n">
        <v>31</v>
      </c>
      <c r="J28" s="3" t="n">
        <v>31</v>
      </c>
      <c r="K28" s="3" t="n">
        <v>31</v>
      </c>
      <c r="L28" s="3" t="n">
        <v>31</v>
      </c>
    </row>
    <row r="29" customFormat="false" ht="15" hidden="false" customHeight="false" outlineLevel="0" collapsed="false">
      <c r="A29" s="0" t="s">
        <v>100</v>
      </c>
      <c r="C29" s="3" t="n">
        <v>0.3</v>
      </c>
      <c r="D29" s="3" t="n">
        <v>0.3</v>
      </c>
      <c r="E29" s="3" t="n">
        <v>0.3</v>
      </c>
      <c r="F29" s="3" t="n">
        <v>0.3</v>
      </c>
      <c r="G29" s="3" t="n">
        <v>0.3</v>
      </c>
      <c r="H29" s="3" t="n">
        <v>0.3</v>
      </c>
      <c r="I29" s="3" t="n">
        <v>0.3</v>
      </c>
      <c r="J29" s="3" t="n">
        <v>0.3</v>
      </c>
      <c r="K29" s="3" t="n">
        <v>0.3</v>
      </c>
      <c r="L29" s="3" t="n">
        <v>0.3</v>
      </c>
    </row>
    <row r="30" customFormat="false" ht="15" hidden="false" customHeight="false" outlineLevel="0" collapsed="false">
      <c r="A30" s="0" t="s">
        <v>101</v>
      </c>
      <c r="C30" s="3" t="n">
        <v>0</v>
      </c>
      <c r="D30" s="3" t="n">
        <v>0</v>
      </c>
      <c r="E30" s="3" t="n">
        <v>0</v>
      </c>
      <c r="F30" s="3" t="n">
        <v>0</v>
      </c>
      <c r="G30" s="3" t="n">
        <v>0</v>
      </c>
      <c r="H30" s="3" t="n">
        <v>0</v>
      </c>
      <c r="I30" s="3" t="n">
        <v>0</v>
      </c>
      <c r="J30" s="3" t="n">
        <v>0</v>
      </c>
      <c r="K30" s="3" t="n">
        <v>0</v>
      </c>
      <c r="L30" s="3" t="n">
        <v>0</v>
      </c>
    </row>
    <row r="31" customFormat="false" ht="15" hidden="false" customHeight="false" outlineLevel="0" collapsed="false">
      <c r="A31" s="0" t="s">
        <v>102</v>
      </c>
      <c r="C31" s="3" t="n">
        <v>9</v>
      </c>
      <c r="D31" s="3" t="n">
        <v>8.5</v>
      </c>
      <c r="E31" s="3" t="n">
        <v>8</v>
      </c>
      <c r="F31" s="3" t="n">
        <v>7.5</v>
      </c>
      <c r="G31" s="3" t="n">
        <v>7</v>
      </c>
      <c r="H31" s="3" t="n">
        <v>7</v>
      </c>
      <c r="I31" s="3" t="n">
        <v>6.5</v>
      </c>
      <c r="J31" s="3" t="n">
        <v>6.5</v>
      </c>
      <c r="K31" s="3" t="n">
        <v>6.5</v>
      </c>
      <c r="L31" s="3" t="n">
        <v>6.5</v>
      </c>
    </row>
    <row r="32" customFormat="false" ht="15" hidden="false" customHeight="false" outlineLevel="0" collapsed="false">
      <c r="A32" s="0" t="s">
        <v>103</v>
      </c>
      <c r="C32" s="3" t="n">
        <v>8</v>
      </c>
      <c r="D32" s="3" t="n">
        <v>8</v>
      </c>
      <c r="E32" s="3" t="n">
        <v>7.5</v>
      </c>
      <c r="F32" s="3" t="n">
        <v>7</v>
      </c>
      <c r="G32" s="3" t="n">
        <v>7</v>
      </c>
      <c r="H32" s="3" t="n">
        <v>6.5</v>
      </c>
      <c r="I32" s="3" t="n">
        <v>6.5</v>
      </c>
      <c r="J32" s="3" t="n">
        <v>6.5</v>
      </c>
      <c r="K32" s="3" t="n">
        <v>6.5</v>
      </c>
      <c r="L32" s="3" t="n">
        <v>6.5</v>
      </c>
    </row>
    <row r="33" customFormat="false" ht="15" hidden="false" customHeight="false" outlineLevel="0" collapsed="false">
      <c r="A33" s="0" t="s">
        <v>104</v>
      </c>
      <c r="C33" s="3" t="n">
        <v>38</v>
      </c>
      <c r="D33" s="3" t="n">
        <v>36</v>
      </c>
      <c r="E33" s="3" t="n">
        <v>35</v>
      </c>
      <c r="F33" s="3" t="n">
        <v>34</v>
      </c>
      <c r="G33" s="3" t="n">
        <v>33</v>
      </c>
      <c r="H33" s="3" t="n">
        <v>32</v>
      </c>
      <c r="I33" s="3" t="n">
        <v>32</v>
      </c>
      <c r="J33" s="3" t="n">
        <v>32</v>
      </c>
      <c r="K33" s="3" t="n">
        <v>32</v>
      </c>
      <c r="L33" s="3" t="n">
        <v>32</v>
      </c>
    </row>
    <row r="34" customFormat="false" ht="15" hidden="false" customHeight="false" outlineLevel="0" collapsed="false">
      <c r="A34" s="0" t="s">
        <v>105</v>
      </c>
      <c r="B34" s="3" t="n">
        <v>10</v>
      </c>
    </row>
    <row r="35" customFormat="false" ht="15" hidden="false" customHeight="false" outlineLevel="0" collapsed="false">
      <c r="A35" s="0" t="s">
        <v>106</v>
      </c>
      <c r="B35" s="3" t="n">
        <v>2.5</v>
      </c>
    </row>
    <row r="36" customFormat="false" ht="15" hidden="false" customHeight="false" outlineLevel="0" collapsed="false">
      <c r="A36" s="0" t="s">
        <v>107</v>
      </c>
      <c r="B36" s="3" t="n">
        <v>12</v>
      </c>
    </row>
    <row r="37" customFormat="false" ht="15" hidden="false" customHeight="false" outlineLevel="0" collapsed="false">
      <c r="A37" s="0" t="s">
        <v>108</v>
      </c>
      <c r="B37" s="3" t="n">
        <v>-40</v>
      </c>
    </row>
    <row r="38" customFormat="false" ht="15" hidden="false" customHeight="false" outlineLevel="0" collapsed="false">
      <c r="A38" s="0" t="s">
        <v>109</v>
      </c>
      <c r="B38" s="3" t="n">
        <v>0.5</v>
      </c>
    </row>
    <row r="40" customFormat="false" ht="15" hidden="false" customHeight="false" outlineLevel="0" collapsed="false">
      <c r="A40" s="2" t="s">
        <v>111</v>
      </c>
      <c r="C40" s="2" t="s">
        <v>88</v>
      </c>
      <c r="D40" s="2" t="s">
        <v>89</v>
      </c>
      <c r="E40" s="2" t="s">
        <v>90</v>
      </c>
      <c r="F40" s="2" t="s">
        <v>91</v>
      </c>
      <c r="G40" s="2" t="s">
        <v>92</v>
      </c>
      <c r="H40" s="2" t="s">
        <v>93</v>
      </c>
      <c r="I40" s="2" t="s">
        <v>94</v>
      </c>
      <c r="J40" s="2" t="s">
        <v>95</v>
      </c>
      <c r="K40" s="2" t="s">
        <v>96</v>
      </c>
      <c r="L40" s="2" t="s">
        <v>97</v>
      </c>
    </row>
    <row r="41" customFormat="false" ht="15" hidden="false" customHeight="false" outlineLevel="0" collapsed="false">
      <c r="A41" s="0" t="s">
        <v>98</v>
      </c>
      <c r="C41" s="3" t="n">
        <v>3</v>
      </c>
      <c r="D41" s="3" t="n">
        <v>16</v>
      </c>
      <c r="E41" s="3" t="n">
        <v>15</v>
      </c>
      <c r="F41" s="3" t="n">
        <v>13</v>
      </c>
      <c r="G41" s="3" t="n">
        <v>11</v>
      </c>
      <c r="H41" s="3" t="n">
        <v>9</v>
      </c>
      <c r="I41" s="3" t="n">
        <v>7</v>
      </c>
      <c r="J41" s="3" t="n">
        <v>6</v>
      </c>
      <c r="K41" s="3" t="n">
        <v>5</v>
      </c>
      <c r="L41" s="3" t="n">
        <v>4</v>
      </c>
    </row>
    <row r="42" customFormat="false" ht="15" hidden="false" customHeight="false" outlineLevel="0" collapsed="false">
      <c r="A42" s="0" t="s">
        <v>99</v>
      </c>
      <c r="C42" s="3" t="n">
        <v>27</v>
      </c>
      <c r="D42" s="3" t="n">
        <v>29</v>
      </c>
      <c r="E42" s="3" t="n">
        <v>31</v>
      </c>
      <c r="F42" s="3" t="n">
        <v>32.5</v>
      </c>
      <c r="G42" s="3" t="n">
        <v>33.5</v>
      </c>
      <c r="H42" s="3" t="n">
        <v>34</v>
      </c>
      <c r="I42" s="3" t="n">
        <v>34</v>
      </c>
      <c r="J42" s="3" t="n">
        <v>34</v>
      </c>
      <c r="K42" s="3" t="n">
        <v>34</v>
      </c>
      <c r="L42" s="3" t="n">
        <v>34</v>
      </c>
    </row>
    <row r="43" customFormat="false" ht="15" hidden="false" customHeight="false" outlineLevel="0" collapsed="false">
      <c r="A43" s="0" t="s">
        <v>100</v>
      </c>
      <c r="C43" s="3" t="n">
        <v>0.3</v>
      </c>
      <c r="D43" s="3" t="n">
        <v>0.3</v>
      </c>
      <c r="E43" s="3" t="n">
        <v>0.3</v>
      </c>
      <c r="F43" s="3" t="n">
        <v>0.3</v>
      </c>
      <c r="G43" s="3" t="n">
        <v>0.3</v>
      </c>
      <c r="H43" s="3" t="n">
        <v>0.3</v>
      </c>
      <c r="I43" s="3" t="n">
        <v>0.3</v>
      </c>
      <c r="J43" s="3" t="n">
        <v>0.3</v>
      </c>
      <c r="K43" s="3" t="n">
        <v>0.3</v>
      </c>
      <c r="L43" s="3" t="n">
        <v>0.3</v>
      </c>
    </row>
    <row r="44" customFormat="false" ht="15" hidden="false" customHeight="false" outlineLevel="0" collapsed="false">
      <c r="A44" s="0" t="s">
        <v>101</v>
      </c>
      <c r="C44" s="3" t="n">
        <v>0</v>
      </c>
      <c r="D44" s="3" t="n">
        <v>0</v>
      </c>
      <c r="E44" s="3" t="n">
        <v>0</v>
      </c>
      <c r="F44" s="3" t="n">
        <v>0</v>
      </c>
      <c r="G44" s="3" t="n">
        <v>0</v>
      </c>
      <c r="H44" s="3" t="n">
        <v>0</v>
      </c>
      <c r="I44" s="3" t="n">
        <v>0</v>
      </c>
      <c r="J44" s="3" t="n">
        <v>0</v>
      </c>
      <c r="K44" s="3" t="n">
        <v>0</v>
      </c>
      <c r="L44" s="3" t="n">
        <v>0</v>
      </c>
    </row>
    <row r="45" customFormat="false" ht="15" hidden="false" customHeight="false" outlineLevel="0" collapsed="false">
      <c r="A45" s="0" t="s">
        <v>102</v>
      </c>
      <c r="C45" s="3" t="n">
        <v>9</v>
      </c>
      <c r="D45" s="3" t="n">
        <v>8.5</v>
      </c>
      <c r="E45" s="3" t="n">
        <v>8</v>
      </c>
      <c r="F45" s="3" t="n">
        <v>7.5</v>
      </c>
      <c r="G45" s="3" t="n">
        <v>7</v>
      </c>
      <c r="H45" s="3" t="n">
        <v>7</v>
      </c>
      <c r="I45" s="3" t="n">
        <v>6.5</v>
      </c>
      <c r="J45" s="3" t="n">
        <v>6.5</v>
      </c>
      <c r="K45" s="3" t="n">
        <v>6.5</v>
      </c>
      <c r="L45" s="3" t="n">
        <v>6.5</v>
      </c>
    </row>
    <row r="46" customFormat="false" ht="15" hidden="false" customHeight="false" outlineLevel="0" collapsed="false">
      <c r="A46" s="0" t="s">
        <v>103</v>
      </c>
      <c r="C46" s="3" t="n">
        <v>8</v>
      </c>
      <c r="D46" s="3" t="n">
        <v>8</v>
      </c>
      <c r="E46" s="3" t="n">
        <v>7.5</v>
      </c>
      <c r="F46" s="3" t="n">
        <v>7</v>
      </c>
      <c r="G46" s="3" t="n">
        <v>7</v>
      </c>
      <c r="H46" s="3" t="n">
        <v>6.5</v>
      </c>
      <c r="I46" s="3" t="n">
        <v>6.5</v>
      </c>
      <c r="J46" s="3" t="n">
        <v>6.5</v>
      </c>
      <c r="K46" s="3" t="n">
        <v>6.5</v>
      </c>
      <c r="L46" s="3" t="n">
        <v>6.5</v>
      </c>
    </row>
    <row r="47" customFormat="false" ht="15" hidden="false" customHeight="false" outlineLevel="0" collapsed="false">
      <c r="A47" s="0" t="s">
        <v>104</v>
      </c>
      <c r="C47" s="3" t="n">
        <v>37</v>
      </c>
      <c r="D47" s="3" t="n">
        <v>35</v>
      </c>
      <c r="E47" s="3" t="n">
        <v>33</v>
      </c>
      <c r="F47" s="3" t="n">
        <v>32</v>
      </c>
      <c r="G47" s="3" t="n">
        <v>31</v>
      </c>
      <c r="H47" s="3" t="n">
        <v>30</v>
      </c>
      <c r="I47" s="3" t="n">
        <v>30</v>
      </c>
      <c r="J47" s="3" t="n">
        <v>30</v>
      </c>
      <c r="K47" s="3" t="n">
        <v>30</v>
      </c>
      <c r="L47" s="3" t="n">
        <v>30</v>
      </c>
    </row>
    <row r="48" customFormat="false" ht="15" hidden="false" customHeight="false" outlineLevel="0" collapsed="false">
      <c r="A48" s="0" t="s">
        <v>105</v>
      </c>
      <c r="B48" s="3" t="n">
        <v>10</v>
      </c>
    </row>
    <row r="49" customFormat="false" ht="15" hidden="false" customHeight="false" outlineLevel="0" collapsed="false">
      <c r="A49" s="0" t="s">
        <v>106</v>
      </c>
      <c r="B49" s="3" t="n">
        <v>3</v>
      </c>
    </row>
    <row r="50" customFormat="false" ht="15" hidden="false" customHeight="false" outlineLevel="0" collapsed="false">
      <c r="A50" s="0" t="s">
        <v>107</v>
      </c>
      <c r="B50" s="3" t="n">
        <v>14</v>
      </c>
    </row>
    <row r="51" customFormat="false" ht="15" hidden="false" customHeight="false" outlineLevel="0" collapsed="false">
      <c r="A51" s="0" t="s">
        <v>108</v>
      </c>
      <c r="B51" s="3" t="n">
        <v>-35</v>
      </c>
    </row>
    <row r="52" customFormat="false" ht="15" hidden="false" customHeight="false" outlineLevel="0" collapsed="false">
      <c r="A52" s="0" t="s">
        <v>109</v>
      </c>
      <c r="B52" s="3" t="n">
        <v>0.2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112</v>
      </c>
    </row>
    <row r="3" customFormat="false" ht="15" hidden="false" customHeight="false" outlineLevel="0" collapsed="false">
      <c r="A3" s="0" t="s">
        <v>113</v>
      </c>
      <c r="B3" s="0" t="s">
        <v>74</v>
      </c>
      <c r="C3" s="2" t="s">
        <v>88</v>
      </c>
      <c r="D3" s="2" t="s">
        <v>89</v>
      </c>
      <c r="E3" s="2" t="s">
        <v>90</v>
      </c>
      <c r="F3" s="2" t="s">
        <v>91</v>
      </c>
      <c r="G3" s="2" t="s">
        <v>92</v>
      </c>
      <c r="H3" s="2" t="s">
        <v>93</v>
      </c>
      <c r="I3" s="2" t="s">
        <v>94</v>
      </c>
      <c r="J3" s="2" t="s">
        <v>95</v>
      </c>
      <c r="K3" s="2" t="s">
        <v>96</v>
      </c>
      <c r="L3" s="2" t="s">
        <v>97</v>
      </c>
    </row>
    <row r="4" customFormat="false" ht="15" hidden="false" customHeight="false" outlineLevel="0" collapsed="false">
      <c r="A4" s="0" t="s">
        <v>114</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98</v>
      </c>
      <c r="C5" s="4" t="n">
        <f aca="false">Assumptions!C13</f>
        <v>-5</v>
      </c>
      <c r="D5" s="4" t="n">
        <f aca="false">Assumptions!D13</f>
        <v>4</v>
      </c>
      <c r="E5" s="4" t="n">
        <f aca="false">Assumptions!E13</f>
        <v>3</v>
      </c>
      <c r="F5" s="4" t="n">
        <f aca="false">Assumptions!F13</f>
        <v>2</v>
      </c>
      <c r="G5" s="4" t="n">
        <f aca="false">Assumptions!G13</f>
        <v>0</v>
      </c>
      <c r="H5" s="4" t="n">
        <f aca="false">Assumptions!H13</f>
        <v>-12</v>
      </c>
      <c r="I5" s="4" t="n">
        <f aca="false">Assumptions!I13</f>
        <v>-3</v>
      </c>
      <c r="J5" s="4" t="n">
        <f aca="false">Assumptions!J13</f>
        <v>0</v>
      </c>
      <c r="K5" s="4" t="n">
        <f aca="false">Assumptions!K13</f>
        <v>1</v>
      </c>
      <c r="L5" s="4" t="n">
        <f aca="false">Assumptions!L13</f>
        <v>1.5</v>
      </c>
    </row>
    <row r="6" customFormat="false" ht="15" hidden="false" customHeight="false" outlineLevel="0" collapsed="false">
      <c r="A6" s="0" t="s">
        <v>38</v>
      </c>
      <c r="B6" s="3" t="n">
        <v>2566.2</v>
      </c>
      <c r="C6" s="0" t="n">
        <f aca="false">B6*(1+C5/100)</f>
        <v>2437.89</v>
      </c>
      <c r="D6" s="0" t="n">
        <f aca="false">C6*(1+D5/100)</f>
        <v>2535.4056</v>
      </c>
      <c r="E6" s="0" t="n">
        <f aca="false">D6*(1+E5/100)</f>
        <v>2611.467768</v>
      </c>
      <c r="F6" s="0" t="n">
        <f aca="false">E6*(1+F5/100)</f>
        <v>2663.69712336</v>
      </c>
      <c r="G6" s="0" t="n">
        <f aca="false">F6*(1+G5/100)</f>
        <v>2663.69712336</v>
      </c>
      <c r="H6" s="0" t="n">
        <f aca="false">G6*(1+H5/100)</f>
        <v>2344.0534685568</v>
      </c>
      <c r="I6" s="0" t="n">
        <f aca="false">H6*(1+I5/100)</f>
        <v>2273.7318645001</v>
      </c>
      <c r="J6" s="0" t="n">
        <f aca="false">I6*(1+J5/100)</f>
        <v>2273.7318645001</v>
      </c>
      <c r="K6" s="0" t="n">
        <f aca="false">J6*(1+K5/100)</f>
        <v>2296.4691831451</v>
      </c>
      <c r="L6" s="0" t="n">
        <f aca="false">K6*(1+L5/100)</f>
        <v>2330.91622089227</v>
      </c>
    </row>
    <row r="7" customFormat="false" ht="15" hidden="false" customHeight="false" outlineLevel="0" collapsed="false">
      <c r="A7" s="0" t="s">
        <v>99</v>
      </c>
      <c r="C7" s="4" t="n">
        <f aca="false">Assumptions!C14</f>
        <v>24</v>
      </c>
      <c r="D7" s="4" t="n">
        <f aca="false">Assumptions!D14</f>
        <v>23</v>
      </c>
      <c r="E7" s="4" t="n">
        <f aca="false">Assumptions!E14</f>
        <v>22</v>
      </c>
      <c r="F7" s="4" t="n">
        <f aca="false">Assumptions!F14</f>
        <v>21</v>
      </c>
      <c r="G7" s="4" t="n">
        <f aca="false">Assumptions!G14</f>
        <v>20</v>
      </c>
      <c r="H7" s="4" t="n">
        <f aca="false">Assumptions!H14</f>
        <v>18</v>
      </c>
      <c r="I7" s="4" t="n">
        <f aca="false">Assumptions!I14</f>
        <v>18</v>
      </c>
      <c r="J7" s="4" t="n">
        <f aca="false">Assumptions!J14</f>
        <v>18</v>
      </c>
      <c r="K7" s="4" t="n">
        <f aca="false">Assumptions!K14</f>
        <v>18</v>
      </c>
      <c r="L7" s="4" t="n">
        <f aca="false">Assumptions!L14</f>
        <v>18</v>
      </c>
    </row>
    <row r="8" customFormat="false" ht="15" hidden="false" customHeight="false" outlineLevel="0" collapsed="false">
      <c r="A8" s="0" t="s">
        <v>44</v>
      </c>
      <c r="C8" s="0" t="n">
        <f aca="false">C6*C7/100</f>
        <v>585.0936</v>
      </c>
      <c r="D8" s="0" t="n">
        <f aca="false">D6*D7/100</f>
        <v>583.143288</v>
      </c>
      <c r="E8" s="0" t="n">
        <f aca="false">E6*E7/100</f>
        <v>574.52290896</v>
      </c>
      <c r="F8" s="0" t="n">
        <f aca="false">F6*F7/100</f>
        <v>559.3763959056</v>
      </c>
      <c r="G8" s="0" t="n">
        <f aca="false">G6*G7/100</f>
        <v>532.739424672</v>
      </c>
      <c r="H8" s="0" t="n">
        <f aca="false">H6*H7/100</f>
        <v>421.929624340224</v>
      </c>
      <c r="I8" s="0" t="n">
        <f aca="false">I6*I7/100</f>
        <v>409.271735610017</v>
      </c>
      <c r="J8" s="0" t="n">
        <f aca="false">J6*J7/100</f>
        <v>409.271735610017</v>
      </c>
      <c r="K8" s="0" t="n">
        <f aca="false">K6*K7/100</f>
        <v>413.364452966118</v>
      </c>
      <c r="L8" s="0" t="n">
        <f aca="false">L6*L7/100</f>
        <v>419.564919760609</v>
      </c>
    </row>
    <row r="9" customFormat="false" ht="15" hidden="false" customHeight="false" outlineLevel="0" collapsed="false">
      <c r="A9" s="0" t="s">
        <v>100</v>
      </c>
      <c r="C9" s="4" t="n">
        <f aca="false">Assumptions!C15</f>
        <v>0.3</v>
      </c>
      <c r="D9" s="4" t="n">
        <f aca="false">Assumptions!D15</f>
        <v>0.3</v>
      </c>
      <c r="E9" s="4" t="n">
        <f aca="false">Assumptions!E15</f>
        <v>0.3</v>
      </c>
      <c r="F9" s="4" t="n">
        <f aca="false">Assumptions!F15</f>
        <v>0.3</v>
      </c>
      <c r="G9" s="4" t="n">
        <f aca="false">Assumptions!G15</f>
        <v>0.3</v>
      </c>
      <c r="H9" s="4" t="n">
        <f aca="false">Assumptions!H15</f>
        <v>0.3</v>
      </c>
      <c r="I9" s="4" t="n">
        <f aca="false">Assumptions!I15</f>
        <v>0.3</v>
      </c>
      <c r="J9" s="4" t="n">
        <f aca="false">Assumptions!J15</f>
        <v>0.3</v>
      </c>
      <c r="K9" s="4" t="n">
        <f aca="false">Assumptions!K15</f>
        <v>0.3</v>
      </c>
      <c r="L9" s="4" t="n">
        <f aca="false">Assumptions!L15</f>
        <v>0.3</v>
      </c>
    </row>
    <row r="10" customFormat="false" ht="15" hidden="false" customHeight="false" outlineLevel="0" collapsed="false">
      <c r="A10" s="0" t="s">
        <v>115</v>
      </c>
      <c r="C10" s="0" t="n">
        <f aca="false">-C6*C9/100</f>
        <v>-7.31367</v>
      </c>
      <c r="D10" s="0" t="n">
        <f aca="false">-D6*D9/100</f>
        <v>-7.6062168</v>
      </c>
      <c r="E10" s="0" t="n">
        <f aca="false">-E6*E9/100</f>
        <v>-7.834403304</v>
      </c>
      <c r="F10" s="0" t="n">
        <f aca="false">-F6*F9/100</f>
        <v>-7.99109137008</v>
      </c>
      <c r="G10" s="0" t="n">
        <f aca="false">-G6*G9/100</f>
        <v>-7.99109137008</v>
      </c>
      <c r="H10" s="0" t="n">
        <f aca="false">-H6*H9/100</f>
        <v>-7.0321604056704</v>
      </c>
      <c r="I10" s="0" t="n">
        <f aca="false">-I6*I9/100</f>
        <v>-6.82119559350029</v>
      </c>
      <c r="J10" s="0" t="n">
        <f aca="false">-J6*J9/100</f>
        <v>-6.82119559350029</v>
      </c>
      <c r="K10" s="0" t="n">
        <f aca="false">-K6*K9/100</f>
        <v>-6.88940754943529</v>
      </c>
      <c r="L10" s="0" t="n">
        <f aca="false">-L6*L9/100</f>
        <v>-6.99274866267682</v>
      </c>
    </row>
    <row r="11" customFormat="false" ht="15" hidden="false" customHeight="false" outlineLevel="0" collapsed="false">
      <c r="A11" s="0" t="s">
        <v>116</v>
      </c>
      <c r="C11" s="0" t="n">
        <f aca="false">C8+C10+C24</f>
        <v>577.77993</v>
      </c>
      <c r="D11" s="0" t="n">
        <f aca="false">D8+D10+D24</f>
        <v>575.5370712</v>
      </c>
      <c r="E11" s="0" t="n">
        <f aca="false">E8+E10+E24</f>
        <v>566.688505656</v>
      </c>
      <c r="F11" s="0" t="n">
        <f aca="false">F8+F10+F24</f>
        <v>551.38530453552</v>
      </c>
      <c r="G11" s="0" t="n">
        <f aca="false">G8+G10+G24</f>
        <v>524.74833330192</v>
      </c>
      <c r="H11" s="0" t="n">
        <f aca="false">H8+H10+H24</f>
        <v>414.897463934554</v>
      </c>
      <c r="I11" s="0" t="n">
        <f aca="false">I8+I10+I24</f>
        <v>402.450540016517</v>
      </c>
      <c r="J11" s="0" t="n">
        <f aca="false">J8+J10+J24</f>
        <v>402.450540016517</v>
      </c>
      <c r="K11" s="0" t="n">
        <f aca="false">K8+K10+K24</f>
        <v>406.475045416682</v>
      </c>
      <c r="L11" s="0" t="n">
        <f aca="false">L8+L10+L24</f>
        <v>412.572171097932</v>
      </c>
    </row>
    <row r="12" customFormat="false" ht="15" hidden="false" customHeight="false" outlineLevel="0" collapsed="false">
      <c r="A12" s="0" t="s">
        <v>117</v>
      </c>
      <c r="C12" s="4" t="n">
        <f aca="false">-C6*Assumptions!C17/100</f>
        <v>-219.4101</v>
      </c>
      <c r="D12" s="4" t="n">
        <f aca="false">-D6*Assumptions!D17/100</f>
        <v>-215.509476</v>
      </c>
      <c r="E12" s="4" t="n">
        <f aca="false">-E6*Assumptions!E17/100</f>
        <v>-208.91742144</v>
      </c>
      <c r="F12" s="4" t="n">
        <f aca="false">-F6*Assumptions!F17/100</f>
        <v>-199.777284252</v>
      </c>
      <c r="G12" s="4" t="n">
        <f aca="false">-G6*Assumptions!G17/100</f>
        <v>-186.4587986352</v>
      </c>
      <c r="H12" s="4" t="n">
        <f aca="false">-H6*Assumptions!H17/100</f>
        <v>-164.083742798976</v>
      </c>
      <c r="I12" s="4" t="n">
        <f aca="false">-I6*Assumptions!I17/100</f>
        <v>-147.792571192506</v>
      </c>
      <c r="J12" s="4" t="n">
        <f aca="false">-J6*Assumptions!J17/100</f>
        <v>-147.792571192506</v>
      </c>
      <c r="K12" s="4" t="n">
        <f aca="false">-K6*Assumptions!K17/100</f>
        <v>-149.270496904431</v>
      </c>
      <c r="L12" s="4" t="n">
        <f aca="false">-L6*Assumptions!L17/100</f>
        <v>-151.509554357998</v>
      </c>
    </row>
    <row r="13" customFormat="false" ht="15" hidden="false" customHeight="false" outlineLevel="0" collapsed="false">
      <c r="A13" s="0" t="s">
        <v>118</v>
      </c>
      <c r="C13" s="0" t="n">
        <f aca="false">C11+C12</f>
        <v>358.36983</v>
      </c>
      <c r="D13" s="0" t="n">
        <f aca="false">D11+D12</f>
        <v>360.0275952</v>
      </c>
      <c r="E13" s="0" t="n">
        <f aca="false">E11+E12</f>
        <v>357.771084216</v>
      </c>
      <c r="F13" s="0" t="n">
        <f aca="false">F11+F12</f>
        <v>351.60802028352</v>
      </c>
      <c r="G13" s="0" t="n">
        <f aca="false">G11+G12</f>
        <v>338.28953466672</v>
      </c>
      <c r="H13" s="0" t="n">
        <f aca="false">H11+H12</f>
        <v>250.813721135578</v>
      </c>
      <c r="I13" s="0" t="n">
        <f aca="false">I11+I12</f>
        <v>254.657968824011</v>
      </c>
      <c r="J13" s="0" t="n">
        <f aca="false">J11+J12</f>
        <v>254.657968824011</v>
      </c>
      <c r="K13" s="0" t="n">
        <f aca="false">K11+K12</f>
        <v>257.204548512251</v>
      </c>
      <c r="L13" s="0" t="n">
        <f aca="false">L11+L12</f>
        <v>261.062616739935</v>
      </c>
    </row>
    <row r="14" customFormat="false" ht="15" hidden="false" customHeight="false" outlineLevel="0" collapsed="false">
      <c r="A14" s="0" t="s">
        <v>104</v>
      </c>
      <c r="C14" s="4" t="n">
        <f aca="false">Assumptions!C19</f>
        <v>40</v>
      </c>
      <c r="D14" s="4" t="n">
        <f aca="false">Assumptions!D19</f>
        <v>38</v>
      </c>
      <c r="E14" s="4" t="n">
        <f aca="false">Assumptions!E19</f>
        <v>37</v>
      </c>
      <c r="F14" s="4" t="n">
        <f aca="false">Assumptions!F19</f>
        <v>36</v>
      </c>
      <c r="G14" s="4" t="n">
        <f aca="false">Assumptions!G19</f>
        <v>35</v>
      </c>
      <c r="H14" s="4" t="n">
        <f aca="false">Assumptions!H19</f>
        <v>34</v>
      </c>
      <c r="I14" s="4" t="n">
        <f aca="false">Assumptions!I19</f>
        <v>34</v>
      </c>
      <c r="J14" s="4" t="n">
        <f aca="false">Assumptions!J19</f>
        <v>34</v>
      </c>
      <c r="K14" s="4" t="n">
        <f aca="false">Assumptions!K19</f>
        <v>34</v>
      </c>
      <c r="L14" s="4" t="n">
        <f aca="false">Assumptions!L19</f>
        <v>34</v>
      </c>
    </row>
    <row r="15" customFormat="false" ht="15" hidden="false" customHeight="false" outlineLevel="0" collapsed="false">
      <c r="A15" s="0" t="s">
        <v>119</v>
      </c>
      <c r="C15" s="0" t="n">
        <f aca="false">C13-MAX(0,C13)*C14/100</f>
        <v>215.021898</v>
      </c>
      <c r="D15" s="0" t="n">
        <f aca="false">D13-MAX(0,D13)*D14/100</f>
        <v>223.217109024</v>
      </c>
      <c r="E15" s="0" t="n">
        <f aca="false">E13-MAX(0,E13)*E14/100</f>
        <v>225.39578305608</v>
      </c>
      <c r="F15" s="0" t="n">
        <f aca="false">F13-MAX(0,F13)*F14/100</f>
        <v>225.029132981453</v>
      </c>
      <c r="G15" s="0" t="n">
        <f aca="false">G13-MAX(0,G13)*G14/100</f>
        <v>219.888197533368</v>
      </c>
      <c r="H15" s="0" t="n">
        <f aca="false">H13-MAX(0,H13)*H14/100</f>
        <v>165.537055949481</v>
      </c>
      <c r="I15" s="0" t="n">
        <f aca="false">I13-MAX(0,I13)*I14/100</f>
        <v>168.074259423847</v>
      </c>
      <c r="J15" s="0" t="n">
        <f aca="false">J13-MAX(0,J13)*J14/100</f>
        <v>168.074259423847</v>
      </c>
      <c r="K15" s="0" t="n">
        <f aca="false">K13-MAX(0,K13)*K14/100</f>
        <v>169.755002018086</v>
      </c>
      <c r="L15" s="0" t="n">
        <f aca="false">L13-MAX(0,L13)*L14/100</f>
        <v>172.301327048357</v>
      </c>
    </row>
    <row r="16" customFormat="false" ht="15" hidden="false" customHeight="false" outlineLevel="0" collapsed="false">
      <c r="A16" s="0" t="s">
        <v>120</v>
      </c>
      <c r="C16" s="0" t="n">
        <f aca="false">-C12</f>
        <v>219.4101</v>
      </c>
      <c r="D16" s="0" t="n">
        <f aca="false">-D12</f>
        <v>215.509476</v>
      </c>
      <c r="E16" s="0" t="n">
        <f aca="false">-E12</f>
        <v>208.91742144</v>
      </c>
      <c r="F16" s="0" t="n">
        <f aca="false">-F12</f>
        <v>199.777284252</v>
      </c>
      <c r="G16" s="0" t="n">
        <f aca="false">-G12</f>
        <v>186.4587986352</v>
      </c>
      <c r="H16" s="0" t="n">
        <f aca="false">-H12</f>
        <v>164.083742798976</v>
      </c>
      <c r="I16" s="0" t="n">
        <f aca="false">-I12</f>
        <v>147.792571192506</v>
      </c>
      <c r="J16" s="0" t="n">
        <f aca="false">-J12</f>
        <v>147.792571192506</v>
      </c>
      <c r="K16" s="0" t="n">
        <f aca="false">-K12</f>
        <v>149.270496904431</v>
      </c>
      <c r="L16" s="0" t="n">
        <f aca="false">-L12</f>
        <v>151.509554357998</v>
      </c>
    </row>
    <row r="17" customFormat="false" ht="15" hidden="false" customHeight="false" outlineLevel="0" collapsed="false">
      <c r="A17" s="0" t="s">
        <v>121</v>
      </c>
      <c r="C17" s="4" t="n">
        <f aca="false">-C6*Assumptions!C18/100</f>
        <v>-195.0312</v>
      </c>
      <c r="D17" s="4" t="n">
        <f aca="false">-D6*Assumptions!D18/100</f>
        <v>-202.832448</v>
      </c>
      <c r="E17" s="4" t="n">
        <f aca="false">-E6*Assumptions!E18/100</f>
        <v>-195.8600826</v>
      </c>
      <c r="F17" s="4" t="n">
        <f aca="false">-F6*Assumptions!F18/100</f>
        <v>-186.4587986352</v>
      </c>
      <c r="G17" s="4" t="n">
        <f aca="false">-G6*Assumptions!G18/100</f>
        <v>-186.4587986352</v>
      </c>
      <c r="H17" s="4" t="n">
        <f aca="false">-H6*Assumptions!H18/100</f>
        <v>-152.363475456192</v>
      </c>
      <c r="I17" s="4" t="n">
        <f aca="false">-I6*Assumptions!I18/100</f>
        <v>-147.792571192506</v>
      </c>
      <c r="J17" s="4" t="n">
        <f aca="false">-J6*Assumptions!J18/100</f>
        <v>-147.792571192506</v>
      </c>
      <c r="K17" s="4" t="n">
        <f aca="false">-K6*Assumptions!K18/100</f>
        <v>-149.270496904431</v>
      </c>
      <c r="L17" s="4" t="n">
        <f aca="false">-L6*Assumptions!L18/100</f>
        <v>-151.509554357998</v>
      </c>
    </row>
    <row r="18" customFormat="false" ht="15" hidden="false" customHeight="false" outlineLevel="0" collapsed="false">
      <c r="A18" s="0" t="s">
        <v>122</v>
      </c>
      <c r="C18" s="4" t="n">
        <f aca="false">(C6-B6)*Assumptions!$B$23/100</f>
        <v>64.155</v>
      </c>
      <c r="D18" s="4" t="n">
        <f aca="false">(D6-C6)*Assumptions!$B$23/100</f>
        <v>-48.7578000000001</v>
      </c>
      <c r="E18" s="4" t="n">
        <f aca="false">(E6-D6)*Assumptions!$B$23/100</f>
        <v>-38.031084</v>
      </c>
      <c r="F18" s="4" t="n">
        <f aca="false">(F6-E6)*Assumptions!$B$23/100</f>
        <v>-26.1146776800001</v>
      </c>
      <c r="G18" s="4" t="n">
        <f aca="false">(G6-F6)*Assumptions!$B$23/100</f>
        <v>-0</v>
      </c>
      <c r="H18" s="4" t="n">
        <f aca="false">(H6-G6)*Assumptions!$B$23/100</f>
        <v>159.8218274016</v>
      </c>
      <c r="I18" s="4" t="n">
        <f aca="false">(I6-H6)*Assumptions!$B$23/100</f>
        <v>35.160802028352</v>
      </c>
      <c r="J18" s="4" t="n">
        <f aca="false">(J6-I6)*Assumptions!$B$23/100</f>
        <v>-0</v>
      </c>
      <c r="K18" s="4" t="n">
        <f aca="false">(K6-J6)*Assumptions!$B$23/100</f>
        <v>-11.3686593225004</v>
      </c>
      <c r="L18" s="4" t="n">
        <f aca="false">(L6-K6)*Assumptions!$B$23/100</f>
        <v>-17.2235188735881</v>
      </c>
    </row>
    <row r="19" customFormat="false" ht="15" hidden="false" customHeight="false" outlineLevel="0" collapsed="false">
      <c r="A19" s="0" t="s">
        <v>123</v>
      </c>
      <c r="C19" s="0" t="n">
        <f aca="false">C15+C16+C17+C18</f>
        <v>303.555798</v>
      </c>
      <c r="D19" s="0" t="n">
        <f aca="false">D15+D16+D17+D18</f>
        <v>187.136337024</v>
      </c>
      <c r="E19" s="0" t="n">
        <f aca="false">E15+E16+E17+E18</f>
        <v>200.42203789608</v>
      </c>
      <c r="F19" s="0" t="n">
        <f aca="false">F15+F16+F17+F18</f>
        <v>212.232940918253</v>
      </c>
      <c r="G19" s="0" t="n">
        <f aca="false">G15+G16+G17+G18</f>
        <v>219.888197533368</v>
      </c>
      <c r="H19" s="0" t="n">
        <f aca="false">H15+H16+H17+H18</f>
        <v>337.079150693865</v>
      </c>
      <c r="I19" s="0" t="n">
        <f aca="false">I15+I16+I17+I18</f>
        <v>203.235061452199</v>
      </c>
      <c r="J19" s="0" t="n">
        <f aca="false">J15+J16+J17+J18</f>
        <v>168.074259423847</v>
      </c>
      <c r="K19" s="0" t="n">
        <f aca="false">K15+K16+K17+K18</f>
        <v>158.386342695585</v>
      </c>
      <c r="L19" s="0" t="n">
        <f aca="false">L15+L16+L17+L18</f>
        <v>155.077808174769</v>
      </c>
    </row>
    <row r="20" customFormat="false" ht="15" hidden="false" customHeight="false" outlineLevel="0" collapsed="false">
      <c r="A20" s="0" t="s">
        <v>124</v>
      </c>
      <c r="C20" s="0" t="n">
        <f aca="false">1/(1+$B$27/100)^C4</f>
        <v>0.909090909090909</v>
      </c>
      <c r="D20" s="0" t="n">
        <f aca="false">1/(1+$B$27/100)^D4</f>
        <v>0.826446280991735</v>
      </c>
      <c r="E20" s="0" t="n">
        <f aca="false">1/(1+$B$27/100)^E4</f>
        <v>0.751314800901578</v>
      </c>
      <c r="F20" s="0" t="n">
        <f aca="false">1/(1+$B$27/100)^F4</f>
        <v>0.683013455365071</v>
      </c>
      <c r="G20" s="0" t="n">
        <f aca="false">1/(1+$B$27/100)^G4</f>
        <v>0.620921323059155</v>
      </c>
      <c r="H20" s="0" t="n">
        <f aca="false">1/(1+$B$27/100)^H4</f>
        <v>0.564473930053777</v>
      </c>
      <c r="I20" s="0" t="n">
        <f aca="false">1/(1+$B$27/100)^I4</f>
        <v>0.513158118230707</v>
      </c>
      <c r="J20" s="0" t="n">
        <f aca="false">1/(1+$B$27/100)^J4</f>
        <v>0.466507380209733</v>
      </c>
      <c r="K20" s="0" t="n">
        <f aca="false">1/(1+$B$27/100)^K4</f>
        <v>0.424097618372485</v>
      </c>
      <c r="L20" s="0" t="n">
        <f aca="false">1/(1+$B$27/100)^L4</f>
        <v>0.385543289429531</v>
      </c>
    </row>
    <row r="21" customFormat="false" ht="15" hidden="false" customHeight="false" outlineLevel="0" collapsed="false">
      <c r="A21" s="0" t="s">
        <v>125</v>
      </c>
      <c r="C21" s="0" t="n">
        <f aca="false">C19*C20</f>
        <v>275.959816363636</v>
      </c>
      <c r="D21" s="0" t="n">
        <f aca="false">D19*D20</f>
        <v>154.658129771901</v>
      </c>
      <c r="E21" s="0" t="n">
        <f aca="false">E19*E20</f>
        <v>150.580043498182</v>
      </c>
      <c r="F21" s="0" t="n">
        <f aca="false">F19*F20</f>
        <v>144.957954318867</v>
      </c>
      <c r="G21" s="0" t="n">
        <f aca="false">G19*G20</f>
        <v>136.533270537512</v>
      </c>
      <c r="H21" s="0" t="n">
        <f aca="false">H19*H20</f>
        <v>190.272392931356</v>
      </c>
      <c r="I21" s="0" t="n">
        <f aca="false">I19*I20</f>
        <v>104.291721693312</v>
      </c>
      <c r="J21" s="0" t="n">
        <f aca="false">J19*J20</f>
        <v>78.40788244451</v>
      </c>
      <c r="K21" s="0" t="n">
        <f aca="false">K19*K20</f>
        <v>67.1712707199258</v>
      </c>
      <c r="L21" s="0" t="n">
        <f aca="false">L19*L20</f>
        <v>59.7892082812222</v>
      </c>
    </row>
    <row r="23" customFormat="false" ht="15" hidden="false" customHeight="false" outlineLevel="0" collapsed="false">
      <c r="A23" s="0" t="s">
        <v>101</v>
      </c>
      <c r="C23" s="4" t="n">
        <f aca="false">Assumptions!C16</f>
        <v>0</v>
      </c>
      <c r="D23" s="4" t="n">
        <f aca="false">Assumptions!D16</f>
        <v>0</v>
      </c>
      <c r="E23" s="4" t="n">
        <f aca="false">Assumptions!E16</f>
        <v>0</v>
      </c>
      <c r="F23" s="4" t="n">
        <f aca="false">Assumptions!F16</f>
        <v>0</v>
      </c>
      <c r="G23" s="4" t="n">
        <f aca="false">Assumptions!G16</f>
        <v>0</v>
      </c>
      <c r="H23" s="4" t="n">
        <f aca="false">Assumptions!H16</f>
        <v>0</v>
      </c>
      <c r="I23" s="4" t="n">
        <f aca="false">Assumptions!I16</f>
        <v>0</v>
      </c>
      <c r="J23" s="4" t="n">
        <f aca="false">Assumptions!J16</f>
        <v>0</v>
      </c>
      <c r="K23" s="4" t="n">
        <f aca="false">Assumptions!K16</f>
        <v>0</v>
      </c>
      <c r="L23" s="4" t="n">
        <f aca="false">Assumptions!L16</f>
        <v>0</v>
      </c>
    </row>
    <row r="24" customFormat="false" ht="15" hidden="false" customHeight="false" outlineLevel="0" collapsed="false">
      <c r="A24" s="0" t="s">
        <v>126</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127</v>
      </c>
    </row>
    <row r="27" customFormat="false" ht="15" hidden="false" customHeight="false" outlineLevel="0" collapsed="false">
      <c r="A27" s="0" t="s">
        <v>105</v>
      </c>
      <c r="B27" s="4" t="n">
        <f aca="false">Assumptions!$B$20</f>
        <v>10</v>
      </c>
    </row>
    <row r="28" customFormat="false" ht="15" hidden="false" customHeight="false" outlineLevel="0" collapsed="false">
      <c r="A28" s="0" t="s">
        <v>106</v>
      </c>
      <c r="B28" s="4" t="n">
        <f aca="false">Assumptions!$B$21</f>
        <v>1.5</v>
      </c>
    </row>
    <row r="29" customFormat="false" ht="15" hidden="false" customHeight="false" outlineLevel="0" collapsed="false">
      <c r="A29" s="0" t="s">
        <v>107</v>
      </c>
      <c r="B29" s="4" t="n">
        <f aca="false">Assumptions!$B$22</f>
        <v>9</v>
      </c>
    </row>
    <row r="30" customFormat="false" ht="15" hidden="false" customHeight="false" outlineLevel="0" collapsed="false">
      <c r="A30" s="0" t="s">
        <v>128</v>
      </c>
      <c r="B30" s="0" t="n">
        <f aca="false">SUM(C21:L21)</f>
        <v>1362.62169056042</v>
      </c>
    </row>
    <row r="31" customFormat="false" ht="15" hidden="false" customHeight="false" outlineLevel="0" collapsed="false">
      <c r="A31" s="0" t="s">
        <v>129</v>
      </c>
      <c r="B31" s="0" t="n">
        <f aca="false">L19</f>
        <v>155.077808174769</v>
      </c>
    </row>
    <row r="32" customFormat="false" ht="15" hidden="false" customHeight="false" outlineLevel="0" collapsed="false">
      <c r="A32" s="0" t="s">
        <v>130</v>
      </c>
      <c r="B32" s="0" t="n">
        <f aca="false">IF(B27&gt;B28,B31*(1+B28/100)/((B27-B28)/100),B31*B29)</f>
        <v>1851.81147408694</v>
      </c>
    </row>
    <row r="33" customFormat="false" ht="15" hidden="false" customHeight="false" outlineLevel="0" collapsed="false">
      <c r="A33" s="0" t="s">
        <v>131</v>
      </c>
      <c r="B33" s="0" t="n">
        <f aca="false">B31*B29</f>
        <v>1395.70027357292</v>
      </c>
    </row>
    <row r="34" customFormat="false" ht="15" hidden="false" customHeight="false" outlineLevel="0" collapsed="false">
      <c r="A34" s="0" t="s">
        <v>132</v>
      </c>
      <c r="B34" s="0" t="n">
        <f aca="false">MAX(0,MIN(B32,B33))</f>
        <v>1395.70027357292</v>
      </c>
    </row>
    <row r="35" customFormat="false" ht="15" hidden="false" customHeight="false" outlineLevel="0" collapsed="false">
      <c r="A35" s="0" t="s">
        <v>133</v>
      </c>
      <c r="B35" s="0" t="n">
        <f aca="false">B34/(1+B27/100)^L4</f>
        <v>538.102874531</v>
      </c>
    </row>
    <row r="36" customFormat="false" ht="15" hidden="false" customHeight="false" outlineLevel="0" collapsed="false">
      <c r="A36" s="0" t="s">
        <v>134</v>
      </c>
      <c r="B36" s="0" t="n">
        <f aca="false">B30+B35</f>
        <v>1900.72456509142</v>
      </c>
    </row>
    <row r="37" customFormat="false" ht="15" hidden="false" customHeight="false" outlineLevel="0" collapsed="false">
      <c r="A37" s="0" t="s">
        <v>135</v>
      </c>
      <c r="B37" s="0" t="n">
        <f aca="false">B36+Assumptions!$B$5-Assumptions!$B$4</f>
        <v>5327.32456509142</v>
      </c>
    </row>
    <row r="38" customFormat="false" ht="15" hidden="false" customHeight="false" outlineLevel="0" collapsed="false">
      <c r="A38" s="0" t="s">
        <v>136</v>
      </c>
      <c r="B38" s="0" t="n">
        <f aca="false">B37/Assumptions!$B$3*Assumptions!$B$10</f>
        <v>0.694119158134202</v>
      </c>
    </row>
    <row r="39" customFormat="false" ht="15" hidden="false" customHeight="false" outlineLevel="0" collapsed="false">
      <c r="A39" s="0" t="s">
        <v>137</v>
      </c>
      <c r="B39" s="4" t="n">
        <f aca="false">B38/Assumptions!$B$2-1</f>
        <v>-0.0620011376564833</v>
      </c>
    </row>
    <row r="41" customFormat="false" ht="15" hidden="false" customHeight="false" outlineLevel="0" collapsed="false">
      <c r="A41" s="0" t="s">
        <v>138</v>
      </c>
      <c r="B41" s="0" t="n">
        <f aca="false">SUMPRODUCT(-C10:L10/(1+$B$27/100)^C4:L4)</f>
        <v>45.510635466707</v>
      </c>
    </row>
    <row r="42" customFormat="false" ht="15" hidden="false" customHeight="false" outlineLevel="0" collapsed="false">
      <c r="A42" s="0" t="s">
        <v>139</v>
      </c>
      <c r="B42" s="0" t="n">
        <f aca="false">IF(B27&gt;B28,-L10*(1+B28/100)/((B27-B28)/100),-L10*20)/(1+B27/100)^L4</f>
        <v>32.1934991927743</v>
      </c>
    </row>
    <row r="43" customFormat="false" ht="15" hidden="false" customHeight="false" outlineLevel="0" collapsed="false">
      <c r="A43" s="0" t="s">
        <v>140</v>
      </c>
      <c r="B43" s="0" t="n">
        <f aca="false">(B37+B41+B42)/Assumptions!$B$3*Assumptions!$B$10</f>
        <v>0.70424355132151</v>
      </c>
    </row>
    <row r="45" customFormat="false" ht="15" hidden="false" customHeight="false" outlineLevel="0" collapsed="false">
      <c r="A45" s="0" t="s">
        <v>81</v>
      </c>
      <c r="B45" s="4" t="n">
        <f aca="false">Assumptions!$B$6</f>
        <v>15</v>
      </c>
    </row>
    <row r="46" customFormat="false" ht="15" hidden="false" customHeight="false" outlineLevel="0" collapsed="false">
      <c r="A46" s="0" t="s">
        <v>141</v>
      </c>
      <c r="B46" s="0" t="n">
        <f aca="false">MAX(0,MIN(IF(B45&gt;B28,B31*(1+B28/100)/((B45-B28)/100),B31*B29),B31*B29))</f>
        <v>1165.95537257326</v>
      </c>
    </row>
    <row r="47" customFormat="false" ht="15" hidden="false" customHeight="false" outlineLevel="0" collapsed="false">
      <c r="A47" s="0" t="s">
        <v>142</v>
      </c>
      <c r="B47" s="0" t="n">
        <f aca="false">(SUMPRODUCT(C19:L19/(1+B45/100)^C4:L4)+B46/(1+B45/100)^L4+Assumptions!$B$5-Assumptions!$B$4)/Assumptions!$B$3*Assumptions!$B$10</f>
        <v>0.63103416737872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143</v>
      </c>
    </row>
    <row r="3" customFormat="false" ht="15" hidden="false" customHeight="false" outlineLevel="0" collapsed="false">
      <c r="A3" s="0" t="s">
        <v>113</v>
      </c>
      <c r="B3" s="0" t="s">
        <v>74</v>
      </c>
      <c r="C3" s="2" t="s">
        <v>88</v>
      </c>
      <c r="D3" s="2" t="s">
        <v>89</v>
      </c>
      <c r="E3" s="2" t="s">
        <v>90</v>
      </c>
      <c r="F3" s="2" t="s">
        <v>91</v>
      </c>
      <c r="G3" s="2" t="s">
        <v>92</v>
      </c>
      <c r="H3" s="2" t="s">
        <v>93</v>
      </c>
      <c r="I3" s="2" t="s">
        <v>94</v>
      </c>
      <c r="J3" s="2" t="s">
        <v>95</v>
      </c>
      <c r="K3" s="2" t="s">
        <v>96</v>
      </c>
      <c r="L3" s="2" t="s">
        <v>97</v>
      </c>
    </row>
    <row r="4" customFormat="false" ht="15" hidden="false" customHeight="false" outlineLevel="0" collapsed="false">
      <c r="A4" s="0" t="s">
        <v>114</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98</v>
      </c>
      <c r="C5" s="4" t="n">
        <f aca="false">Assumptions!C27</f>
        <v>-1</v>
      </c>
      <c r="D5" s="4" t="n">
        <f aca="false">Assumptions!D27</f>
        <v>12</v>
      </c>
      <c r="E5" s="4" t="n">
        <f aca="false">Assumptions!E27</f>
        <v>11</v>
      </c>
      <c r="F5" s="4" t="n">
        <f aca="false">Assumptions!F27</f>
        <v>10</v>
      </c>
      <c r="G5" s="4" t="n">
        <f aca="false">Assumptions!G27</f>
        <v>8</v>
      </c>
      <c r="H5" s="4" t="n">
        <f aca="false">Assumptions!H27</f>
        <v>7</v>
      </c>
      <c r="I5" s="4" t="n">
        <f aca="false">Assumptions!I27</f>
        <v>6</v>
      </c>
      <c r="J5" s="4" t="n">
        <f aca="false">Assumptions!J27</f>
        <v>5</v>
      </c>
      <c r="K5" s="4" t="n">
        <f aca="false">Assumptions!K27</f>
        <v>4</v>
      </c>
      <c r="L5" s="4" t="n">
        <f aca="false">Assumptions!L27</f>
        <v>3</v>
      </c>
    </row>
    <row r="6" customFormat="false" ht="15" hidden="false" customHeight="false" outlineLevel="0" collapsed="false">
      <c r="A6" s="0" t="s">
        <v>38</v>
      </c>
      <c r="B6" s="3" t="n">
        <v>2566.2</v>
      </c>
      <c r="C6" s="0" t="n">
        <f aca="false">B6*(1+C5/100)</f>
        <v>2540.538</v>
      </c>
      <c r="D6" s="0" t="n">
        <f aca="false">C6*(1+D5/100)</f>
        <v>2845.40256</v>
      </c>
      <c r="E6" s="0" t="n">
        <f aca="false">D6*(1+E5/100)</f>
        <v>3158.3968416</v>
      </c>
      <c r="F6" s="0" t="n">
        <f aca="false">E6*(1+F5/100)</f>
        <v>3474.23652576</v>
      </c>
      <c r="G6" s="0" t="n">
        <f aca="false">F6*(1+G5/100)</f>
        <v>3752.1754478208</v>
      </c>
      <c r="H6" s="0" t="n">
        <f aca="false">G6*(1+H5/100)</f>
        <v>4014.82772916826</v>
      </c>
      <c r="I6" s="0" t="n">
        <f aca="false">H6*(1+I5/100)</f>
        <v>4255.71739291835</v>
      </c>
      <c r="J6" s="0" t="n">
        <f aca="false">I6*(1+J5/100)</f>
        <v>4468.50326256427</v>
      </c>
      <c r="K6" s="0" t="n">
        <f aca="false">J6*(1+K5/100)</f>
        <v>4647.24339306684</v>
      </c>
      <c r="L6" s="0" t="n">
        <f aca="false">K6*(1+L5/100)</f>
        <v>4786.66069485885</v>
      </c>
    </row>
    <row r="7" customFormat="false" ht="15" hidden="false" customHeight="false" outlineLevel="0" collapsed="false">
      <c r="A7" s="0" t="s">
        <v>99</v>
      </c>
      <c r="C7" s="4" t="n">
        <f aca="false">Assumptions!C28</f>
        <v>26</v>
      </c>
      <c r="D7" s="4" t="n">
        <f aca="false">Assumptions!D28</f>
        <v>27.5</v>
      </c>
      <c r="E7" s="4" t="n">
        <f aca="false">Assumptions!E28</f>
        <v>29</v>
      </c>
      <c r="F7" s="4" t="n">
        <f aca="false">Assumptions!F28</f>
        <v>30</v>
      </c>
      <c r="G7" s="4" t="n">
        <f aca="false">Assumptions!G28</f>
        <v>30.5</v>
      </c>
      <c r="H7" s="4" t="n">
        <f aca="false">Assumptions!H28</f>
        <v>31</v>
      </c>
      <c r="I7" s="4" t="n">
        <f aca="false">Assumptions!I28</f>
        <v>31</v>
      </c>
      <c r="J7" s="4" t="n">
        <f aca="false">Assumptions!J28</f>
        <v>31</v>
      </c>
      <c r="K7" s="4" t="n">
        <f aca="false">Assumptions!K28</f>
        <v>31</v>
      </c>
      <c r="L7" s="4" t="n">
        <f aca="false">Assumptions!L28</f>
        <v>31</v>
      </c>
    </row>
    <row r="8" customFormat="false" ht="15" hidden="false" customHeight="false" outlineLevel="0" collapsed="false">
      <c r="A8" s="0" t="s">
        <v>44</v>
      </c>
      <c r="C8" s="0" t="n">
        <f aca="false">C6*C7/100</f>
        <v>660.53988</v>
      </c>
      <c r="D8" s="0" t="n">
        <f aca="false">D6*D7/100</f>
        <v>782.485704</v>
      </c>
      <c r="E8" s="0" t="n">
        <f aca="false">E6*E7/100</f>
        <v>915.935084064</v>
      </c>
      <c r="F8" s="0" t="n">
        <f aca="false">F6*F7/100</f>
        <v>1042.270957728</v>
      </c>
      <c r="G8" s="0" t="n">
        <f aca="false">G6*G7/100</f>
        <v>1144.41351158534</v>
      </c>
      <c r="H8" s="0" t="n">
        <f aca="false">H6*H7/100</f>
        <v>1244.59659604216</v>
      </c>
      <c r="I8" s="0" t="n">
        <f aca="false">I6*I7/100</f>
        <v>1319.27239180469</v>
      </c>
      <c r="J8" s="0" t="n">
        <f aca="false">J6*J7/100</f>
        <v>1385.23601139492</v>
      </c>
      <c r="K8" s="0" t="n">
        <f aca="false">K6*K7/100</f>
        <v>1440.64545185072</v>
      </c>
      <c r="L8" s="0" t="n">
        <f aca="false">L6*L7/100</f>
        <v>1483.86481540624</v>
      </c>
    </row>
    <row r="9" customFormat="false" ht="15" hidden="false" customHeight="false" outlineLevel="0" collapsed="false">
      <c r="A9" s="0" t="s">
        <v>100</v>
      </c>
      <c r="C9" s="4" t="n">
        <f aca="false">Assumptions!C29</f>
        <v>0.3</v>
      </c>
      <c r="D9" s="4" t="n">
        <f aca="false">Assumptions!D29</f>
        <v>0.3</v>
      </c>
      <c r="E9" s="4" t="n">
        <f aca="false">Assumptions!E29</f>
        <v>0.3</v>
      </c>
      <c r="F9" s="4" t="n">
        <f aca="false">Assumptions!F29</f>
        <v>0.3</v>
      </c>
      <c r="G9" s="4" t="n">
        <f aca="false">Assumptions!G29</f>
        <v>0.3</v>
      </c>
      <c r="H9" s="4" t="n">
        <f aca="false">Assumptions!H29</f>
        <v>0.3</v>
      </c>
      <c r="I9" s="4" t="n">
        <f aca="false">Assumptions!I29</f>
        <v>0.3</v>
      </c>
      <c r="J9" s="4" t="n">
        <f aca="false">Assumptions!J29</f>
        <v>0.3</v>
      </c>
      <c r="K9" s="4" t="n">
        <f aca="false">Assumptions!K29</f>
        <v>0.3</v>
      </c>
      <c r="L9" s="4" t="n">
        <f aca="false">Assumptions!L29</f>
        <v>0.3</v>
      </c>
    </row>
    <row r="10" customFormat="false" ht="15" hidden="false" customHeight="false" outlineLevel="0" collapsed="false">
      <c r="A10" s="0" t="s">
        <v>115</v>
      </c>
      <c r="C10" s="0" t="n">
        <f aca="false">-C6*C9/100</f>
        <v>-7.621614</v>
      </c>
      <c r="D10" s="0" t="n">
        <f aca="false">-D6*D9/100</f>
        <v>-8.53620768</v>
      </c>
      <c r="E10" s="0" t="n">
        <f aca="false">-E6*E9/100</f>
        <v>-9.4751905248</v>
      </c>
      <c r="F10" s="0" t="n">
        <f aca="false">-F6*F9/100</f>
        <v>-10.42270957728</v>
      </c>
      <c r="G10" s="0" t="n">
        <f aca="false">-G6*G9/100</f>
        <v>-11.2565263434624</v>
      </c>
      <c r="H10" s="0" t="n">
        <f aca="false">-H6*H9/100</f>
        <v>-12.0444831875048</v>
      </c>
      <c r="I10" s="0" t="n">
        <f aca="false">-I6*I9/100</f>
        <v>-12.7671521787551</v>
      </c>
      <c r="J10" s="0" t="n">
        <f aca="false">-J6*J9/100</f>
        <v>-13.4055097876928</v>
      </c>
      <c r="K10" s="0" t="n">
        <f aca="false">-K6*K9/100</f>
        <v>-13.9417301792005</v>
      </c>
      <c r="L10" s="0" t="n">
        <f aca="false">-L6*L9/100</f>
        <v>-14.3599820845765</v>
      </c>
    </row>
    <row r="11" customFormat="false" ht="15" hidden="false" customHeight="false" outlineLevel="0" collapsed="false">
      <c r="A11" s="0" t="s">
        <v>116</v>
      </c>
      <c r="C11" s="0" t="n">
        <f aca="false">C8+C10+C24</f>
        <v>652.918266</v>
      </c>
      <c r="D11" s="0" t="n">
        <f aca="false">D8+D10+D24</f>
        <v>773.94949632</v>
      </c>
      <c r="E11" s="0" t="n">
        <f aca="false">E8+E10+E24</f>
        <v>906.4598935392</v>
      </c>
      <c r="F11" s="0" t="n">
        <f aca="false">F8+F10+F24</f>
        <v>1031.84824815072</v>
      </c>
      <c r="G11" s="0" t="n">
        <f aca="false">G8+G10+G24</f>
        <v>1133.15698524188</v>
      </c>
      <c r="H11" s="0" t="n">
        <f aca="false">H8+H10+H24</f>
        <v>1232.55211285466</v>
      </c>
      <c r="I11" s="0" t="n">
        <f aca="false">I8+I10+I24</f>
        <v>1306.50523962593</v>
      </c>
      <c r="J11" s="0" t="n">
        <f aca="false">J8+J10+J24</f>
        <v>1371.83050160723</v>
      </c>
      <c r="K11" s="0" t="n">
        <f aca="false">K8+K10+K24</f>
        <v>1426.70372167152</v>
      </c>
      <c r="L11" s="0" t="n">
        <f aca="false">L8+L10+L24</f>
        <v>1469.50483332167</v>
      </c>
    </row>
    <row r="12" customFormat="false" ht="15" hidden="false" customHeight="false" outlineLevel="0" collapsed="false">
      <c r="A12" s="0" t="s">
        <v>117</v>
      </c>
      <c r="C12" s="4" t="n">
        <f aca="false">-C6*Assumptions!C31/100</f>
        <v>-228.64842</v>
      </c>
      <c r="D12" s="4" t="n">
        <f aca="false">-D6*Assumptions!D31/100</f>
        <v>-241.8592176</v>
      </c>
      <c r="E12" s="4" t="n">
        <f aca="false">-E6*Assumptions!E31/100</f>
        <v>-252.671747328</v>
      </c>
      <c r="F12" s="4" t="n">
        <f aca="false">-F6*Assumptions!F31/100</f>
        <v>-260.567739432</v>
      </c>
      <c r="G12" s="4" t="n">
        <f aca="false">-G6*Assumptions!G31/100</f>
        <v>-262.652281347456</v>
      </c>
      <c r="H12" s="4" t="n">
        <f aca="false">-H6*Assumptions!H31/100</f>
        <v>-281.037941041778</v>
      </c>
      <c r="I12" s="4" t="n">
        <f aca="false">-I6*Assumptions!I31/100</f>
        <v>-276.621630539693</v>
      </c>
      <c r="J12" s="4" t="n">
        <f aca="false">-J6*Assumptions!J31/100</f>
        <v>-290.452712066678</v>
      </c>
      <c r="K12" s="4" t="n">
        <f aca="false">-K6*Assumptions!K31/100</f>
        <v>-302.070820549345</v>
      </c>
      <c r="L12" s="4" t="n">
        <f aca="false">-L6*Assumptions!L31/100</f>
        <v>-311.132945165825</v>
      </c>
    </row>
    <row r="13" customFormat="false" ht="15" hidden="false" customHeight="false" outlineLevel="0" collapsed="false">
      <c r="A13" s="0" t="s">
        <v>118</v>
      </c>
      <c r="C13" s="0" t="n">
        <f aca="false">C11+C12</f>
        <v>424.269846</v>
      </c>
      <c r="D13" s="0" t="n">
        <f aca="false">D11+D12</f>
        <v>532.09027872</v>
      </c>
      <c r="E13" s="0" t="n">
        <f aca="false">E11+E12</f>
        <v>653.7881462112</v>
      </c>
      <c r="F13" s="0" t="n">
        <f aca="false">F11+F12</f>
        <v>771.28050871872</v>
      </c>
      <c r="G13" s="0" t="n">
        <f aca="false">G11+G12</f>
        <v>870.504703894426</v>
      </c>
      <c r="H13" s="0" t="n">
        <f aca="false">H11+H12</f>
        <v>951.514171812877</v>
      </c>
      <c r="I13" s="0" t="n">
        <f aca="false">I11+I12</f>
        <v>1029.88360908624</v>
      </c>
      <c r="J13" s="0" t="n">
        <f aca="false">J11+J12</f>
        <v>1081.37778954055</v>
      </c>
      <c r="K13" s="0" t="n">
        <f aca="false">K11+K12</f>
        <v>1124.63290112218</v>
      </c>
      <c r="L13" s="0" t="n">
        <f aca="false">L11+L12</f>
        <v>1158.37188815584</v>
      </c>
    </row>
    <row r="14" customFormat="false" ht="15" hidden="false" customHeight="false" outlineLevel="0" collapsed="false">
      <c r="A14" s="0" t="s">
        <v>104</v>
      </c>
      <c r="C14" s="4" t="n">
        <f aca="false">Assumptions!C33</f>
        <v>38</v>
      </c>
      <c r="D14" s="4" t="n">
        <f aca="false">Assumptions!D33</f>
        <v>36</v>
      </c>
      <c r="E14" s="4" t="n">
        <f aca="false">Assumptions!E33</f>
        <v>35</v>
      </c>
      <c r="F14" s="4" t="n">
        <f aca="false">Assumptions!F33</f>
        <v>34</v>
      </c>
      <c r="G14" s="4" t="n">
        <f aca="false">Assumptions!G33</f>
        <v>33</v>
      </c>
      <c r="H14" s="4" t="n">
        <f aca="false">Assumptions!H33</f>
        <v>32</v>
      </c>
      <c r="I14" s="4" t="n">
        <f aca="false">Assumptions!I33</f>
        <v>32</v>
      </c>
      <c r="J14" s="4" t="n">
        <f aca="false">Assumptions!J33</f>
        <v>32</v>
      </c>
      <c r="K14" s="4" t="n">
        <f aca="false">Assumptions!K33</f>
        <v>32</v>
      </c>
      <c r="L14" s="4" t="n">
        <f aca="false">Assumptions!L33</f>
        <v>32</v>
      </c>
    </row>
    <row r="15" customFormat="false" ht="15" hidden="false" customHeight="false" outlineLevel="0" collapsed="false">
      <c r="A15" s="0" t="s">
        <v>119</v>
      </c>
      <c r="C15" s="0" t="n">
        <f aca="false">C13-MAX(0,C13)*C14/100</f>
        <v>263.04730452</v>
      </c>
      <c r="D15" s="0" t="n">
        <f aca="false">D13-MAX(0,D13)*D14/100</f>
        <v>340.5377783808</v>
      </c>
      <c r="E15" s="0" t="n">
        <f aca="false">E13-MAX(0,E13)*E14/100</f>
        <v>424.96229503728</v>
      </c>
      <c r="F15" s="0" t="n">
        <f aca="false">F13-MAX(0,F13)*F14/100</f>
        <v>509.045135754355</v>
      </c>
      <c r="G15" s="0" t="n">
        <f aca="false">G13-MAX(0,G13)*G14/100</f>
        <v>583.238151609265</v>
      </c>
      <c r="H15" s="0" t="n">
        <f aca="false">H13-MAX(0,H13)*H14/100</f>
        <v>647.029636832756</v>
      </c>
      <c r="I15" s="0" t="n">
        <f aca="false">I13-MAX(0,I13)*I14/100</f>
        <v>700.320854178644</v>
      </c>
      <c r="J15" s="0" t="n">
        <f aca="false">J13-MAX(0,J13)*J14/100</f>
        <v>735.336896887576</v>
      </c>
      <c r="K15" s="0" t="n">
        <f aca="false">K13-MAX(0,K13)*K14/100</f>
        <v>764.750372763079</v>
      </c>
      <c r="L15" s="0" t="n">
        <f aca="false">L13-MAX(0,L13)*L14/100</f>
        <v>787.692883945972</v>
      </c>
    </row>
    <row r="16" customFormat="false" ht="15" hidden="false" customHeight="false" outlineLevel="0" collapsed="false">
      <c r="A16" s="0" t="s">
        <v>120</v>
      </c>
      <c r="C16" s="0" t="n">
        <f aca="false">-C12</f>
        <v>228.64842</v>
      </c>
      <c r="D16" s="0" t="n">
        <f aca="false">-D12</f>
        <v>241.8592176</v>
      </c>
      <c r="E16" s="0" t="n">
        <f aca="false">-E12</f>
        <v>252.671747328</v>
      </c>
      <c r="F16" s="0" t="n">
        <f aca="false">-F12</f>
        <v>260.567739432</v>
      </c>
      <c r="G16" s="0" t="n">
        <f aca="false">-G12</f>
        <v>262.652281347456</v>
      </c>
      <c r="H16" s="0" t="n">
        <f aca="false">-H12</f>
        <v>281.037941041778</v>
      </c>
      <c r="I16" s="0" t="n">
        <f aca="false">-I12</f>
        <v>276.621630539693</v>
      </c>
      <c r="J16" s="0" t="n">
        <f aca="false">-J12</f>
        <v>290.452712066678</v>
      </c>
      <c r="K16" s="0" t="n">
        <f aca="false">-K12</f>
        <v>302.070820549345</v>
      </c>
      <c r="L16" s="0" t="n">
        <f aca="false">-L12</f>
        <v>311.132945165825</v>
      </c>
    </row>
    <row r="17" customFormat="false" ht="15" hidden="false" customHeight="false" outlineLevel="0" collapsed="false">
      <c r="A17" s="0" t="s">
        <v>121</v>
      </c>
      <c r="C17" s="4" t="n">
        <f aca="false">-C6*Assumptions!C32/100</f>
        <v>-203.24304</v>
      </c>
      <c r="D17" s="4" t="n">
        <f aca="false">-D6*Assumptions!D32/100</f>
        <v>-227.6322048</v>
      </c>
      <c r="E17" s="4" t="n">
        <f aca="false">-E6*Assumptions!E32/100</f>
        <v>-236.87976312</v>
      </c>
      <c r="F17" s="4" t="n">
        <f aca="false">-F6*Assumptions!F32/100</f>
        <v>-243.1965568032</v>
      </c>
      <c r="G17" s="4" t="n">
        <f aca="false">-G6*Assumptions!G32/100</f>
        <v>-262.652281347456</v>
      </c>
      <c r="H17" s="4" t="n">
        <f aca="false">-H6*Assumptions!H32/100</f>
        <v>-260.963802395937</v>
      </c>
      <c r="I17" s="4" t="n">
        <f aca="false">-I6*Assumptions!I32/100</f>
        <v>-276.621630539693</v>
      </c>
      <c r="J17" s="4" t="n">
        <f aca="false">-J6*Assumptions!J32/100</f>
        <v>-290.452712066678</v>
      </c>
      <c r="K17" s="4" t="n">
        <f aca="false">-K6*Assumptions!K32/100</f>
        <v>-302.070820549345</v>
      </c>
      <c r="L17" s="4" t="n">
        <f aca="false">-L6*Assumptions!L32/100</f>
        <v>-311.132945165825</v>
      </c>
    </row>
    <row r="18" customFormat="false" ht="15" hidden="false" customHeight="false" outlineLevel="0" collapsed="false">
      <c r="A18" s="0" t="s">
        <v>122</v>
      </c>
      <c r="C18" s="4" t="n">
        <f aca="false">(C6-B6)*Assumptions!$B$37/100</f>
        <v>10.2647999999999</v>
      </c>
      <c r="D18" s="4" t="n">
        <f aca="false">(D6-C6)*Assumptions!$B$37/100</f>
        <v>-121.945824</v>
      </c>
      <c r="E18" s="4" t="n">
        <f aca="false">(E6-D6)*Assumptions!$B$37/100</f>
        <v>-125.19771264</v>
      </c>
      <c r="F18" s="4" t="n">
        <f aca="false">(F6-E6)*Assumptions!$B$37/100</f>
        <v>-126.335873664</v>
      </c>
      <c r="G18" s="4" t="n">
        <f aca="false">(G6-F6)*Assumptions!$B$37/100</f>
        <v>-111.17556882432</v>
      </c>
      <c r="H18" s="4" t="n">
        <f aca="false">(H6-G6)*Assumptions!$B$37/100</f>
        <v>-105.060912538982</v>
      </c>
      <c r="I18" s="4" t="n">
        <f aca="false">(I6-H6)*Assumptions!$B$37/100</f>
        <v>-96.3558655000381</v>
      </c>
      <c r="J18" s="4" t="n">
        <f aca="false">(J6-I6)*Assumptions!$B$37/100</f>
        <v>-85.1143478583672</v>
      </c>
      <c r="K18" s="4" t="n">
        <f aca="false">(K6-J6)*Assumptions!$B$37/100</f>
        <v>-71.4960522010282</v>
      </c>
      <c r="L18" s="4" t="n">
        <f aca="false">(L6-K6)*Assumptions!$B$37/100</f>
        <v>-55.7669207168023</v>
      </c>
    </row>
    <row r="19" customFormat="false" ht="15" hidden="false" customHeight="false" outlineLevel="0" collapsed="false">
      <c r="A19" s="0" t="s">
        <v>123</v>
      </c>
      <c r="C19" s="0" t="n">
        <f aca="false">C15+C16+C17+C18</f>
        <v>298.71748452</v>
      </c>
      <c r="D19" s="0" t="n">
        <f aca="false">D15+D16+D17+D18</f>
        <v>232.8189671808</v>
      </c>
      <c r="E19" s="0" t="n">
        <f aca="false">E15+E16+E17+E18</f>
        <v>315.55656660528</v>
      </c>
      <c r="F19" s="0" t="n">
        <f aca="false">F15+F16+F17+F18</f>
        <v>400.080444719155</v>
      </c>
      <c r="G19" s="0" t="n">
        <f aca="false">G15+G16+G17+G18</f>
        <v>472.062582784945</v>
      </c>
      <c r="H19" s="0" t="n">
        <f aca="false">H15+H16+H17+H18</f>
        <v>562.042862939615</v>
      </c>
      <c r="I19" s="0" t="n">
        <f aca="false">I15+I16+I17+I18</f>
        <v>603.964988678606</v>
      </c>
      <c r="J19" s="0" t="n">
        <f aca="false">J15+J16+J17+J18</f>
        <v>650.222549029209</v>
      </c>
      <c r="K19" s="0" t="n">
        <f aca="false">K15+K16+K17+K18</f>
        <v>693.254320562051</v>
      </c>
      <c r="L19" s="0" t="n">
        <f aca="false">L15+L16+L17+L18</f>
        <v>731.92596322917</v>
      </c>
    </row>
    <row r="20" customFormat="false" ht="15" hidden="false" customHeight="false" outlineLevel="0" collapsed="false">
      <c r="A20" s="0" t="s">
        <v>124</v>
      </c>
      <c r="C20" s="0" t="n">
        <f aca="false">1/(1+$B$27/100)^C4</f>
        <v>0.909090909090909</v>
      </c>
      <c r="D20" s="0" t="n">
        <f aca="false">1/(1+$B$27/100)^D4</f>
        <v>0.826446280991735</v>
      </c>
      <c r="E20" s="0" t="n">
        <f aca="false">1/(1+$B$27/100)^E4</f>
        <v>0.751314800901578</v>
      </c>
      <c r="F20" s="0" t="n">
        <f aca="false">1/(1+$B$27/100)^F4</f>
        <v>0.683013455365071</v>
      </c>
      <c r="G20" s="0" t="n">
        <f aca="false">1/(1+$B$27/100)^G4</f>
        <v>0.620921323059155</v>
      </c>
      <c r="H20" s="0" t="n">
        <f aca="false">1/(1+$B$27/100)^H4</f>
        <v>0.564473930053777</v>
      </c>
      <c r="I20" s="0" t="n">
        <f aca="false">1/(1+$B$27/100)^I4</f>
        <v>0.513158118230707</v>
      </c>
      <c r="J20" s="0" t="n">
        <f aca="false">1/(1+$B$27/100)^J4</f>
        <v>0.466507380209733</v>
      </c>
      <c r="K20" s="0" t="n">
        <f aca="false">1/(1+$B$27/100)^K4</f>
        <v>0.424097618372485</v>
      </c>
      <c r="L20" s="0" t="n">
        <f aca="false">1/(1+$B$27/100)^L4</f>
        <v>0.385543289429531</v>
      </c>
    </row>
    <row r="21" customFormat="false" ht="15" hidden="false" customHeight="false" outlineLevel="0" collapsed="false">
      <c r="A21" s="0" t="s">
        <v>125</v>
      </c>
      <c r="C21" s="0" t="n">
        <f aca="false">C19*C20</f>
        <v>271.561349563636</v>
      </c>
      <c r="D21" s="0" t="n">
        <f aca="false">D19*D20</f>
        <v>192.412369570909</v>
      </c>
      <c r="E21" s="0" t="n">
        <f aca="false">E19*E20</f>
        <v>237.082319012231</v>
      </c>
      <c r="F21" s="0" t="n">
        <f aca="false">F19*F20</f>
        <v>273.260326971624</v>
      </c>
      <c r="G21" s="0" t="n">
        <f aca="false">G19*G20</f>
        <v>293.11372346955</v>
      </c>
      <c r="H21" s="0" t="n">
        <f aca="false">H19*H20</f>
        <v>317.258543702201</v>
      </c>
      <c r="I21" s="0" t="n">
        <f aca="false">I19*I20</f>
        <v>309.929537067543</v>
      </c>
      <c r="J21" s="0" t="n">
        <f aca="false">J19*J20</f>
        <v>303.333617900911</v>
      </c>
      <c r="K21" s="0" t="n">
        <f aca="false">K19*K20</f>
        <v>294.007506276801</v>
      </c>
      <c r="L21" s="0" t="n">
        <f aca="false">L19*L20</f>
        <v>282.189143482252</v>
      </c>
    </row>
    <row r="23" customFormat="false" ht="15" hidden="false" customHeight="false" outlineLevel="0" collapsed="false">
      <c r="A23" s="0" t="s">
        <v>101</v>
      </c>
      <c r="C23" s="4" t="n">
        <f aca="false">Assumptions!C30</f>
        <v>0</v>
      </c>
      <c r="D23" s="4" t="n">
        <f aca="false">Assumptions!D30</f>
        <v>0</v>
      </c>
      <c r="E23" s="4" t="n">
        <f aca="false">Assumptions!E30</f>
        <v>0</v>
      </c>
      <c r="F23" s="4" t="n">
        <f aca="false">Assumptions!F30</f>
        <v>0</v>
      </c>
      <c r="G23" s="4" t="n">
        <f aca="false">Assumptions!G30</f>
        <v>0</v>
      </c>
      <c r="H23" s="4" t="n">
        <f aca="false">Assumptions!H30</f>
        <v>0</v>
      </c>
      <c r="I23" s="4" t="n">
        <f aca="false">Assumptions!I30</f>
        <v>0</v>
      </c>
      <c r="J23" s="4" t="n">
        <f aca="false">Assumptions!J30</f>
        <v>0</v>
      </c>
      <c r="K23" s="4" t="n">
        <f aca="false">Assumptions!K30</f>
        <v>0</v>
      </c>
      <c r="L23" s="4" t="n">
        <f aca="false">Assumptions!L30</f>
        <v>0</v>
      </c>
    </row>
    <row r="24" customFormat="false" ht="15" hidden="false" customHeight="false" outlineLevel="0" collapsed="false">
      <c r="A24" s="0" t="s">
        <v>126</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127</v>
      </c>
    </row>
    <row r="27" customFormat="false" ht="15" hidden="false" customHeight="false" outlineLevel="0" collapsed="false">
      <c r="A27" s="0" t="s">
        <v>105</v>
      </c>
      <c r="B27" s="4" t="n">
        <f aca="false">Assumptions!$B$34</f>
        <v>10</v>
      </c>
    </row>
    <row r="28" customFormat="false" ht="15" hidden="false" customHeight="false" outlineLevel="0" collapsed="false">
      <c r="A28" s="0" t="s">
        <v>106</v>
      </c>
      <c r="B28" s="4" t="n">
        <f aca="false">Assumptions!$B$35</f>
        <v>2.5</v>
      </c>
    </row>
    <row r="29" customFormat="false" ht="15" hidden="false" customHeight="false" outlineLevel="0" collapsed="false">
      <c r="A29" s="0" t="s">
        <v>107</v>
      </c>
      <c r="B29" s="4" t="n">
        <f aca="false">Assumptions!$B$36</f>
        <v>12</v>
      </c>
    </row>
    <row r="30" customFormat="false" ht="15" hidden="false" customHeight="false" outlineLevel="0" collapsed="false">
      <c r="A30" s="0" t="s">
        <v>128</v>
      </c>
      <c r="B30" s="0" t="n">
        <f aca="false">SUM(C21:L21)</f>
        <v>2774.14843701766</v>
      </c>
    </row>
    <row r="31" customFormat="false" ht="15" hidden="false" customHeight="false" outlineLevel="0" collapsed="false">
      <c r="A31" s="0" t="s">
        <v>129</v>
      </c>
      <c r="B31" s="0" t="n">
        <f aca="false">L19</f>
        <v>731.92596322917</v>
      </c>
    </row>
    <row r="32" customFormat="false" ht="15" hidden="false" customHeight="false" outlineLevel="0" collapsed="false">
      <c r="A32" s="0" t="s">
        <v>130</v>
      </c>
      <c r="B32" s="0" t="n">
        <f aca="false">IF(B27&gt;B28,B31*(1+B28/100)/((B27-B28)/100),B31*B29)</f>
        <v>10002.988164132</v>
      </c>
    </row>
    <row r="33" customFormat="false" ht="15" hidden="false" customHeight="false" outlineLevel="0" collapsed="false">
      <c r="A33" s="0" t="s">
        <v>131</v>
      </c>
      <c r="B33" s="0" t="n">
        <f aca="false">B31*B29</f>
        <v>8783.11155875003</v>
      </c>
    </row>
    <row r="34" customFormat="false" ht="15" hidden="false" customHeight="false" outlineLevel="0" collapsed="false">
      <c r="A34" s="0" t="s">
        <v>132</v>
      </c>
      <c r="B34" s="0" t="n">
        <f aca="false">MAX(0,MIN(B32,B33))</f>
        <v>8783.11155875003</v>
      </c>
    </row>
    <row r="35" customFormat="false" ht="15" hidden="false" customHeight="false" outlineLevel="0" collapsed="false">
      <c r="A35" s="0" t="s">
        <v>133</v>
      </c>
      <c r="B35" s="0" t="n">
        <f aca="false">B34/(1+B27/100)^L4</f>
        <v>3386.26972178703</v>
      </c>
    </row>
    <row r="36" customFormat="false" ht="15" hidden="false" customHeight="false" outlineLevel="0" collapsed="false">
      <c r="A36" s="0" t="s">
        <v>134</v>
      </c>
      <c r="B36" s="0" t="n">
        <f aca="false">B30+B35</f>
        <v>6160.41815880469</v>
      </c>
    </row>
    <row r="37" customFormat="false" ht="15" hidden="false" customHeight="false" outlineLevel="0" collapsed="false">
      <c r="A37" s="0" t="s">
        <v>135</v>
      </c>
      <c r="B37" s="0" t="n">
        <f aca="false">B36+Assumptions!$B$5-Assumptions!$B$4</f>
        <v>9587.01815880469</v>
      </c>
    </row>
    <row r="38" customFormat="false" ht="15" hidden="false" customHeight="false" outlineLevel="0" collapsed="false">
      <c r="A38" s="0" t="s">
        <v>136</v>
      </c>
      <c r="B38" s="0" t="n">
        <f aca="false">B37/Assumptions!$B$3*Assumptions!$B$10</f>
        <v>1.2491322599363</v>
      </c>
    </row>
    <row r="39" customFormat="false" ht="15" hidden="false" customHeight="false" outlineLevel="0" collapsed="false">
      <c r="A39" s="0" t="s">
        <v>137</v>
      </c>
      <c r="B39" s="4" t="n">
        <f aca="false">B38/Assumptions!$B$2-1</f>
        <v>0.688016567481487</v>
      </c>
    </row>
    <row r="41" customFormat="false" ht="15" hidden="false" customHeight="false" outlineLevel="0" collapsed="false">
      <c r="A41" s="0" t="s">
        <v>138</v>
      </c>
      <c r="B41" s="0" t="n">
        <f aca="false">SUMPRODUCT(-C10:L10/(1+$B$27/100)^C4:L4)</f>
        <v>66.2637591794237</v>
      </c>
    </row>
    <row r="42" customFormat="false" ht="15" hidden="false" customHeight="false" outlineLevel="0" collapsed="false">
      <c r="A42" s="0" t="s">
        <v>139</v>
      </c>
      <c r="B42" s="0" t="n">
        <f aca="false">IF(B27&gt;B28,-L10*(1+B28/100)/((B27-B28)/100),-L10*20)/(1+B27/100)^L4</f>
        <v>75.664061296836</v>
      </c>
    </row>
    <row r="43" customFormat="false" ht="15" hidden="false" customHeight="false" outlineLevel="0" collapsed="false">
      <c r="A43" s="0" t="s">
        <v>140</v>
      </c>
      <c r="B43" s="0" t="n">
        <f aca="false">(B37+B41+B42)/Assumptions!$B$3*Assumptions!$B$10</f>
        <v>1.26762462285902</v>
      </c>
    </row>
    <row r="45" customFormat="false" ht="15" hidden="false" customHeight="false" outlineLevel="0" collapsed="false">
      <c r="A45" s="0" t="s">
        <v>81</v>
      </c>
      <c r="B45" s="4" t="n">
        <f aca="false">Assumptions!$B$6</f>
        <v>15</v>
      </c>
    </row>
    <row r="46" customFormat="false" ht="15" hidden="false" customHeight="false" outlineLevel="0" collapsed="false">
      <c r="A46" s="0" t="s">
        <v>141</v>
      </c>
      <c r="B46" s="0" t="n">
        <f aca="false">MAX(0,MIN(IF(B45&gt;B28,B31*(1+B28/100)/((B45-B28)/100),B31*B29),B31*B29))</f>
        <v>6001.79289847919</v>
      </c>
    </row>
    <row r="47" customFormat="false" ht="15" hidden="false" customHeight="false" outlineLevel="0" collapsed="false">
      <c r="A47" s="0" t="s">
        <v>142</v>
      </c>
      <c r="B47" s="0" t="n">
        <f aca="false">(SUMPRODUCT(C19:L19/(1+B45/100)^C4:L4)+B46/(1+B45/100)^L4+Assumptions!$B$5-Assumptions!$B$4)/Assumptions!$B$3*Assumptions!$B$10</f>
        <v>0.922152213270154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144</v>
      </c>
    </row>
    <row r="3" customFormat="false" ht="15" hidden="false" customHeight="false" outlineLevel="0" collapsed="false">
      <c r="A3" s="0" t="s">
        <v>113</v>
      </c>
      <c r="B3" s="0" t="s">
        <v>74</v>
      </c>
      <c r="C3" s="2" t="s">
        <v>88</v>
      </c>
      <c r="D3" s="2" t="s">
        <v>89</v>
      </c>
      <c r="E3" s="2" t="s">
        <v>90</v>
      </c>
      <c r="F3" s="2" t="s">
        <v>91</v>
      </c>
      <c r="G3" s="2" t="s">
        <v>92</v>
      </c>
      <c r="H3" s="2" t="s">
        <v>93</v>
      </c>
      <c r="I3" s="2" t="s">
        <v>94</v>
      </c>
      <c r="J3" s="2" t="s">
        <v>95</v>
      </c>
      <c r="K3" s="2" t="s">
        <v>96</v>
      </c>
      <c r="L3" s="2" t="s">
        <v>97</v>
      </c>
    </row>
    <row r="4" customFormat="false" ht="15" hidden="false" customHeight="false" outlineLevel="0" collapsed="false">
      <c r="A4" s="0" t="s">
        <v>114</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98</v>
      </c>
      <c r="C5" s="4" t="n">
        <f aca="false">Assumptions!C41</f>
        <v>3</v>
      </c>
      <c r="D5" s="4" t="n">
        <f aca="false">Assumptions!D41</f>
        <v>16</v>
      </c>
      <c r="E5" s="4" t="n">
        <f aca="false">Assumptions!E41</f>
        <v>15</v>
      </c>
      <c r="F5" s="4" t="n">
        <f aca="false">Assumptions!F41</f>
        <v>13</v>
      </c>
      <c r="G5" s="4" t="n">
        <f aca="false">Assumptions!G41</f>
        <v>11</v>
      </c>
      <c r="H5" s="4" t="n">
        <f aca="false">Assumptions!H41</f>
        <v>9</v>
      </c>
      <c r="I5" s="4" t="n">
        <f aca="false">Assumptions!I41</f>
        <v>7</v>
      </c>
      <c r="J5" s="4" t="n">
        <f aca="false">Assumptions!J41</f>
        <v>6</v>
      </c>
      <c r="K5" s="4" t="n">
        <f aca="false">Assumptions!K41</f>
        <v>5</v>
      </c>
      <c r="L5" s="4" t="n">
        <f aca="false">Assumptions!L41</f>
        <v>4</v>
      </c>
    </row>
    <row r="6" customFormat="false" ht="15" hidden="false" customHeight="false" outlineLevel="0" collapsed="false">
      <c r="A6" s="0" t="s">
        <v>38</v>
      </c>
      <c r="B6" s="3" t="n">
        <v>2566.2</v>
      </c>
      <c r="C6" s="0" t="n">
        <f aca="false">B6*(1+C5/100)</f>
        <v>2643.186</v>
      </c>
      <c r="D6" s="0" t="n">
        <f aca="false">C6*(1+D5/100)</f>
        <v>3066.09576</v>
      </c>
      <c r="E6" s="0" t="n">
        <f aca="false">D6*(1+E5/100)</f>
        <v>3526.010124</v>
      </c>
      <c r="F6" s="0" t="n">
        <f aca="false">E6*(1+F5/100)</f>
        <v>3984.39144012</v>
      </c>
      <c r="G6" s="0" t="n">
        <f aca="false">F6*(1+G5/100)</f>
        <v>4422.6744985332</v>
      </c>
      <c r="H6" s="0" t="n">
        <f aca="false">G6*(1+H5/100)</f>
        <v>4820.71520340119</v>
      </c>
      <c r="I6" s="0" t="n">
        <f aca="false">H6*(1+I5/100)</f>
        <v>5158.16526763927</v>
      </c>
      <c r="J6" s="0" t="n">
        <f aca="false">I6*(1+J5/100)</f>
        <v>5467.65518369763</v>
      </c>
      <c r="K6" s="0" t="n">
        <f aca="false">J6*(1+K5/100)</f>
        <v>5741.03794288251</v>
      </c>
      <c r="L6" s="0" t="n">
        <f aca="false">K6*(1+L5/100)</f>
        <v>5970.67946059781</v>
      </c>
    </row>
    <row r="7" customFormat="false" ht="15" hidden="false" customHeight="false" outlineLevel="0" collapsed="false">
      <c r="A7" s="0" t="s">
        <v>99</v>
      </c>
      <c r="C7" s="4" t="n">
        <f aca="false">Assumptions!C42</f>
        <v>27</v>
      </c>
      <c r="D7" s="4" t="n">
        <f aca="false">Assumptions!D42</f>
        <v>29</v>
      </c>
      <c r="E7" s="4" t="n">
        <f aca="false">Assumptions!E42</f>
        <v>31</v>
      </c>
      <c r="F7" s="4" t="n">
        <f aca="false">Assumptions!F42</f>
        <v>32.5</v>
      </c>
      <c r="G7" s="4" t="n">
        <f aca="false">Assumptions!G42</f>
        <v>33.5</v>
      </c>
      <c r="H7" s="4" t="n">
        <f aca="false">Assumptions!H42</f>
        <v>34</v>
      </c>
      <c r="I7" s="4" t="n">
        <f aca="false">Assumptions!I42</f>
        <v>34</v>
      </c>
      <c r="J7" s="4" t="n">
        <f aca="false">Assumptions!J42</f>
        <v>34</v>
      </c>
      <c r="K7" s="4" t="n">
        <f aca="false">Assumptions!K42</f>
        <v>34</v>
      </c>
      <c r="L7" s="4" t="n">
        <f aca="false">Assumptions!L42</f>
        <v>34</v>
      </c>
    </row>
    <row r="8" customFormat="false" ht="15" hidden="false" customHeight="false" outlineLevel="0" collapsed="false">
      <c r="A8" s="0" t="s">
        <v>44</v>
      </c>
      <c r="C8" s="0" t="n">
        <f aca="false">C6*C7/100</f>
        <v>713.66022</v>
      </c>
      <c r="D8" s="0" t="n">
        <f aca="false">D6*D7/100</f>
        <v>889.1677704</v>
      </c>
      <c r="E8" s="0" t="n">
        <f aca="false">E6*E7/100</f>
        <v>1093.06313844</v>
      </c>
      <c r="F8" s="0" t="n">
        <f aca="false">F6*F7/100</f>
        <v>1294.927218039</v>
      </c>
      <c r="G8" s="0" t="n">
        <f aca="false">G6*G7/100</f>
        <v>1481.59595700862</v>
      </c>
      <c r="H8" s="0" t="n">
        <f aca="false">H6*H7/100</f>
        <v>1639.0431691564</v>
      </c>
      <c r="I8" s="0" t="n">
        <f aca="false">I6*I7/100</f>
        <v>1753.77619099735</v>
      </c>
      <c r="J8" s="0" t="n">
        <f aca="false">J6*J7/100</f>
        <v>1859.00276245719</v>
      </c>
      <c r="K8" s="0" t="n">
        <f aca="false">K6*K7/100</f>
        <v>1951.95290058005</v>
      </c>
      <c r="L8" s="0" t="n">
        <f aca="false">L6*L7/100</f>
        <v>2030.03101660325</v>
      </c>
    </row>
    <row r="9" customFormat="false" ht="15" hidden="false" customHeight="false" outlineLevel="0" collapsed="false">
      <c r="A9" s="0" t="s">
        <v>100</v>
      </c>
      <c r="C9" s="4" t="n">
        <f aca="false">Assumptions!C43</f>
        <v>0.3</v>
      </c>
      <c r="D9" s="4" t="n">
        <f aca="false">Assumptions!D43</f>
        <v>0.3</v>
      </c>
      <c r="E9" s="4" t="n">
        <f aca="false">Assumptions!E43</f>
        <v>0.3</v>
      </c>
      <c r="F9" s="4" t="n">
        <f aca="false">Assumptions!F43</f>
        <v>0.3</v>
      </c>
      <c r="G9" s="4" t="n">
        <f aca="false">Assumptions!G43</f>
        <v>0.3</v>
      </c>
      <c r="H9" s="4" t="n">
        <f aca="false">Assumptions!H43</f>
        <v>0.3</v>
      </c>
      <c r="I9" s="4" t="n">
        <f aca="false">Assumptions!I43</f>
        <v>0.3</v>
      </c>
      <c r="J9" s="4" t="n">
        <f aca="false">Assumptions!J43</f>
        <v>0.3</v>
      </c>
      <c r="K9" s="4" t="n">
        <f aca="false">Assumptions!K43</f>
        <v>0.3</v>
      </c>
      <c r="L9" s="4" t="n">
        <f aca="false">Assumptions!L43</f>
        <v>0.3</v>
      </c>
    </row>
    <row r="10" customFormat="false" ht="15" hidden="false" customHeight="false" outlineLevel="0" collapsed="false">
      <c r="A10" s="0" t="s">
        <v>115</v>
      </c>
      <c r="C10" s="0" t="n">
        <f aca="false">-C6*C9/100</f>
        <v>-7.929558</v>
      </c>
      <c r="D10" s="0" t="n">
        <f aca="false">-D6*D9/100</f>
        <v>-9.19828728</v>
      </c>
      <c r="E10" s="0" t="n">
        <f aca="false">-E6*E9/100</f>
        <v>-10.578030372</v>
      </c>
      <c r="F10" s="0" t="n">
        <f aca="false">-F6*F9/100</f>
        <v>-11.95317432036</v>
      </c>
      <c r="G10" s="0" t="n">
        <f aca="false">-G6*G9/100</f>
        <v>-13.2680234955996</v>
      </c>
      <c r="H10" s="0" t="n">
        <f aca="false">-H6*H9/100</f>
        <v>-14.4621456102036</v>
      </c>
      <c r="I10" s="0" t="n">
        <f aca="false">-I6*I9/100</f>
        <v>-15.4744958029178</v>
      </c>
      <c r="J10" s="0" t="n">
        <f aca="false">-J6*J9/100</f>
        <v>-16.4029655510929</v>
      </c>
      <c r="K10" s="0" t="n">
        <f aca="false">-K6*K9/100</f>
        <v>-17.2231138286475</v>
      </c>
      <c r="L10" s="0" t="n">
        <f aca="false">-L6*L9/100</f>
        <v>-17.9120383817934</v>
      </c>
    </row>
    <row r="11" customFormat="false" ht="15" hidden="false" customHeight="false" outlineLevel="0" collapsed="false">
      <c r="A11" s="0" t="s">
        <v>116</v>
      </c>
      <c r="C11" s="0" t="n">
        <f aca="false">C8+C10+C24</f>
        <v>705.730662</v>
      </c>
      <c r="D11" s="0" t="n">
        <f aca="false">D8+D10+D24</f>
        <v>879.96948312</v>
      </c>
      <c r="E11" s="0" t="n">
        <f aca="false">E8+E10+E24</f>
        <v>1082.485108068</v>
      </c>
      <c r="F11" s="0" t="n">
        <f aca="false">F8+F10+F24</f>
        <v>1282.97404371864</v>
      </c>
      <c r="G11" s="0" t="n">
        <f aca="false">G8+G10+G24</f>
        <v>1468.32793351302</v>
      </c>
      <c r="H11" s="0" t="n">
        <f aca="false">H8+H10+H24</f>
        <v>1624.5810235462</v>
      </c>
      <c r="I11" s="0" t="n">
        <f aca="false">I8+I10+I24</f>
        <v>1738.30169519443</v>
      </c>
      <c r="J11" s="0" t="n">
        <f aca="false">J8+J10+J24</f>
        <v>1842.5997969061</v>
      </c>
      <c r="K11" s="0" t="n">
        <f aca="false">K8+K10+K24</f>
        <v>1934.72978675141</v>
      </c>
      <c r="L11" s="0" t="n">
        <f aca="false">L8+L10+L24</f>
        <v>2012.11897822146</v>
      </c>
    </row>
    <row r="12" customFormat="false" ht="15" hidden="false" customHeight="false" outlineLevel="0" collapsed="false">
      <c r="A12" s="0" t="s">
        <v>117</v>
      </c>
      <c r="C12" s="4" t="n">
        <f aca="false">-C6*Assumptions!C45/100</f>
        <v>-237.88674</v>
      </c>
      <c r="D12" s="4" t="n">
        <f aca="false">-D6*Assumptions!D45/100</f>
        <v>-260.6181396</v>
      </c>
      <c r="E12" s="4" t="n">
        <f aca="false">-E6*Assumptions!E45/100</f>
        <v>-282.08080992</v>
      </c>
      <c r="F12" s="4" t="n">
        <f aca="false">-F6*Assumptions!F45/100</f>
        <v>-298.829358009</v>
      </c>
      <c r="G12" s="4" t="n">
        <f aca="false">-G6*Assumptions!G45/100</f>
        <v>-309.587214897324</v>
      </c>
      <c r="H12" s="4" t="n">
        <f aca="false">-H6*Assumptions!H45/100</f>
        <v>-337.450064238083</v>
      </c>
      <c r="I12" s="4" t="n">
        <f aca="false">-I6*Assumptions!I45/100</f>
        <v>-335.280742396553</v>
      </c>
      <c r="J12" s="4" t="n">
        <f aca="false">-J6*Assumptions!J45/100</f>
        <v>-355.397586940346</v>
      </c>
      <c r="K12" s="4" t="n">
        <f aca="false">-K6*Assumptions!K45/100</f>
        <v>-373.167466287363</v>
      </c>
      <c r="L12" s="4" t="n">
        <f aca="false">-L6*Assumptions!L45/100</f>
        <v>-388.094164938858</v>
      </c>
    </row>
    <row r="13" customFormat="false" ht="15" hidden="false" customHeight="false" outlineLevel="0" collapsed="false">
      <c r="A13" s="0" t="s">
        <v>118</v>
      </c>
      <c r="C13" s="0" t="n">
        <f aca="false">C11+C12</f>
        <v>467.843922</v>
      </c>
      <c r="D13" s="0" t="n">
        <f aca="false">D11+D12</f>
        <v>619.35134352</v>
      </c>
      <c r="E13" s="0" t="n">
        <f aca="false">E11+E12</f>
        <v>800.404298148</v>
      </c>
      <c r="F13" s="0" t="n">
        <f aca="false">F11+F12</f>
        <v>984.14468570964</v>
      </c>
      <c r="G13" s="0" t="n">
        <f aca="false">G11+G12</f>
        <v>1158.7407186157</v>
      </c>
      <c r="H13" s="0" t="n">
        <f aca="false">H11+H12</f>
        <v>1287.13095930812</v>
      </c>
      <c r="I13" s="0" t="n">
        <f aca="false">I11+I12</f>
        <v>1403.02095279788</v>
      </c>
      <c r="J13" s="0" t="n">
        <f aca="false">J11+J12</f>
        <v>1487.20220996575</v>
      </c>
      <c r="K13" s="0" t="n">
        <f aca="false">K11+K12</f>
        <v>1561.56232046404</v>
      </c>
      <c r="L13" s="0" t="n">
        <f aca="false">L11+L12</f>
        <v>1624.0248132826</v>
      </c>
    </row>
    <row r="14" customFormat="false" ht="15" hidden="false" customHeight="false" outlineLevel="0" collapsed="false">
      <c r="A14" s="0" t="s">
        <v>104</v>
      </c>
      <c r="C14" s="4" t="n">
        <f aca="false">Assumptions!C47</f>
        <v>37</v>
      </c>
      <c r="D14" s="4" t="n">
        <f aca="false">Assumptions!D47</f>
        <v>35</v>
      </c>
      <c r="E14" s="4" t="n">
        <f aca="false">Assumptions!E47</f>
        <v>33</v>
      </c>
      <c r="F14" s="4" t="n">
        <f aca="false">Assumptions!F47</f>
        <v>32</v>
      </c>
      <c r="G14" s="4" t="n">
        <f aca="false">Assumptions!G47</f>
        <v>31</v>
      </c>
      <c r="H14" s="4" t="n">
        <f aca="false">Assumptions!H47</f>
        <v>30</v>
      </c>
      <c r="I14" s="4" t="n">
        <f aca="false">Assumptions!I47</f>
        <v>30</v>
      </c>
      <c r="J14" s="4" t="n">
        <f aca="false">Assumptions!J47</f>
        <v>30</v>
      </c>
      <c r="K14" s="4" t="n">
        <f aca="false">Assumptions!K47</f>
        <v>30</v>
      </c>
      <c r="L14" s="4" t="n">
        <f aca="false">Assumptions!L47</f>
        <v>30</v>
      </c>
    </row>
    <row r="15" customFormat="false" ht="15" hidden="false" customHeight="false" outlineLevel="0" collapsed="false">
      <c r="A15" s="0" t="s">
        <v>119</v>
      </c>
      <c r="C15" s="0" t="n">
        <f aca="false">C13-MAX(0,C13)*C14/100</f>
        <v>294.74167086</v>
      </c>
      <c r="D15" s="0" t="n">
        <f aca="false">D13-MAX(0,D13)*D14/100</f>
        <v>402.578373288</v>
      </c>
      <c r="E15" s="0" t="n">
        <f aca="false">E13-MAX(0,E13)*E14/100</f>
        <v>536.27087975916</v>
      </c>
      <c r="F15" s="0" t="n">
        <f aca="false">F13-MAX(0,F13)*F14/100</f>
        <v>669.218386282555</v>
      </c>
      <c r="G15" s="0" t="n">
        <f aca="false">G13-MAX(0,G13)*G14/100</f>
        <v>799.531095844832</v>
      </c>
      <c r="H15" s="0" t="n">
        <f aca="false">H13-MAX(0,H13)*H14/100</f>
        <v>900.991671515682</v>
      </c>
      <c r="I15" s="0" t="n">
        <f aca="false">I13-MAX(0,I13)*I14/100</f>
        <v>982.114666958517</v>
      </c>
      <c r="J15" s="0" t="n">
        <f aca="false">J13-MAX(0,J13)*J14/100</f>
        <v>1041.04154697603</v>
      </c>
      <c r="K15" s="0" t="n">
        <f aca="false">K13-MAX(0,K13)*K14/100</f>
        <v>1093.09362432483</v>
      </c>
      <c r="L15" s="0" t="n">
        <f aca="false">L13-MAX(0,L13)*L14/100</f>
        <v>1136.81736929782</v>
      </c>
    </row>
    <row r="16" customFormat="false" ht="15" hidden="false" customHeight="false" outlineLevel="0" collapsed="false">
      <c r="A16" s="0" t="s">
        <v>120</v>
      </c>
      <c r="C16" s="0" t="n">
        <f aca="false">-C12</f>
        <v>237.88674</v>
      </c>
      <c r="D16" s="0" t="n">
        <f aca="false">-D12</f>
        <v>260.6181396</v>
      </c>
      <c r="E16" s="0" t="n">
        <f aca="false">-E12</f>
        <v>282.08080992</v>
      </c>
      <c r="F16" s="0" t="n">
        <f aca="false">-F12</f>
        <v>298.829358009</v>
      </c>
      <c r="G16" s="0" t="n">
        <f aca="false">-G12</f>
        <v>309.587214897324</v>
      </c>
      <c r="H16" s="0" t="n">
        <f aca="false">-H12</f>
        <v>337.450064238083</v>
      </c>
      <c r="I16" s="0" t="n">
        <f aca="false">-I12</f>
        <v>335.280742396553</v>
      </c>
      <c r="J16" s="0" t="n">
        <f aca="false">-J12</f>
        <v>355.397586940346</v>
      </c>
      <c r="K16" s="0" t="n">
        <f aca="false">-K12</f>
        <v>373.167466287363</v>
      </c>
      <c r="L16" s="0" t="n">
        <f aca="false">-L12</f>
        <v>388.094164938858</v>
      </c>
    </row>
    <row r="17" customFormat="false" ht="15" hidden="false" customHeight="false" outlineLevel="0" collapsed="false">
      <c r="A17" s="0" t="s">
        <v>121</v>
      </c>
      <c r="C17" s="4" t="n">
        <f aca="false">-C6*Assumptions!C46/100</f>
        <v>-211.45488</v>
      </c>
      <c r="D17" s="4" t="n">
        <f aca="false">-D6*Assumptions!D46/100</f>
        <v>-245.2876608</v>
      </c>
      <c r="E17" s="4" t="n">
        <f aca="false">-E6*Assumptions!E46/100</f>
        <v>-264.4507593</v>
      </c>
      <c r="F17" s="4" t="n">
        <f aca="false">-F6*Assumptions!F46/100</f>
        <v>-278.9074008084</v>
      </c>
      <c r="G17" s="4" t="n">
        <f aca="false">-G6*Assumptions!G46/100</f>
        <v>-309.587214897324</v>
      </c>
      <c r="H17" s="4" t="n">
        <f aca="false">-H6*Assumptions!H46/100</f>
        <v>-313.346488221077</v>
      </c>
      <c r="I17" s="4" t="n">
        <f aca="false">-I6*Assumptions!I46/100</f>
        <v>-335.280742396553</v>
      </c>
      <c r="J17" s="4" t="n">
        <f aca="false">-J6*Assumptions!J46/100</f>
        <v>-355.397586940346</v>
      </c>
      <c r="K17" s="4" t="n">
        <f aca="false">-K6*Assumptions!K46/100</f>
        <v>-373.167466287363</v>
      </c>
      <c r="L17" s="4" t="n">
        <f aca="false">-L6*Assumptions!L46/100</f>
        <v>-388.094164938858</v>
      </c>
    </row>
    <row r="18" customFormat="false" ht="15" hidden="false" customHeight="false" outlineLevel="0" collapsed="false">
      <c r="A18" s="0" t="s">
        <v>122</v>
      </c>
      <c r="C18" s="4" t="n">
        <f aca="false">(C6-B6)*Assumptions!$B$51/100</f>
        <v>-26.9451</v>
      </c>
      <c r="D18" s="4" t="n">
        <f aca="false">(D6-C6)*Assumptions!$B$51/100</f>
        <v>-148.018416</v>
      </c>
      <c r="E18" s="4" t="n">
        <f aca="false">(E6-D6)*Assumptions!$B$51/100</f>
        <v>-160.9700274</v>
      </c>
      <c r="F18" s="4" t="n">
        <f aca="false">(F6-E6)*Assumptions!$B$51/100</f>
        <v>-160.433460642</v>
      </c>
      <c r="G18" s="4" t="n">
        <f aca="false">(G6-F6)*Assumptions!$B$51/100</f>
        <v>-153.39907044462</v>
      </c>
      <c r="H18" s="4" t="n">
        <f aca="false">(H6-G6)*Assumptions!$B$51/100</f>
        <v>-139.314246703796</v>
      </c>
      <c r="I18" s="4" t="n">
        <f aca="false">(I6-H6)*Assumptions!$B$51/100</f>
        <v>-118.107522483329</v>
      </c>
      <c r="J18" s="4" t="n">
        <f aca="false">(J6-I6)*Assumptions!$B$51/100</f>
        <v>-108.321470620425</v>
      </c>
      <c r="K18" s="4" t="n">
        <f aca="false">(K6-J6)*Assumptions!$B$51/100</f>
        <v>-95.6839657147084</v>
      </c>
      <c r="L18" s="4" t="n">
        <f aca="false">(L6-K6)*Assumptions!$B$51/100</f>
        <v>-80.3745312003551</v>
      </c>
    </row>
    <row r="19" customFormat="false" ht="15" hidden="false" customHeight="false" outlineLevel="0" collapsed="false">
      <c r="A19" s="0" t="s">
        <v>123</v>
      </c>
      <c r="C19" s="0" t="n">
        <f aca="false">C15+C16+C17+C18</f>
        <v>294.22843086</v>
      </c>
      <c r="D19" s="0" t="n">
        <f aca="false">D15+D16+D17+D18</f>
        <v>269.890436088</v>
      </c>
      <c r="E19" s="0" t="n">
        <f aca="false">E15+E16+E17+E18</f>
        <v>392.93090297916</v>
      </c>
      <c r="F19" s="0" t="n">
        <f aca="false">F15+F16+F17+F18</f>
        <v>528.706882841155</v>
      </c>
      <c r="G19" s="0" t="n">
        <f aca="false">G15+G16+G17+G18</f>
        <v>646.132025400211</v>
      </c>
      <c r="H19" s="0" t="n">
        <f aca="false">H15+H16+H17+H18</f>
        <v>785.781000828892</v>
      </c>
      <c r="I19" s="0" t="n">
        <f aca="false">I15+I16+I17+I18</f>
        <v>864.007144475188</v>
      </c>
      <c r="J19" s="0" t="n">
        <f aca="false">J15+J16+J17+J18</f>
        <v>932.720076355604</v>
      </c>
      <c r="K19" s="0" t="n">
        <f aca="false">K15+K16+K17+K18</f>
        <v>997.409658610121</v>
      </c>
      <c r="L19" s="0" t="n">
        <f aca="false">L15+L16+L17+L18</f>
        <v>1056.44283809747</v>
      </c>
    </row>
    <row r="20" customFormat="false" ht="15" hidden="false" customHeight="false" outlineLevel="0" collapsed="false">
      <c r="A20" s="0" t="s">
        <v>124</v>
      </c>
      <c r="C20" s="0" t="n">
        <f aca="false">1/(1+$B$27/100)^C4</f>
        <v>0.909090909090909</v>
      </c>
      <c r="D20" s="0" t="n">
        <f aca="false">1/(1+$B$27/100)^D4</f>
        <v>0.826446280991735</v>
      </c>
      <c r="E20" s="0" t="n">
        <f aca="false">1/(1+$B$27/100)^E4</f>
        <v>0.751314800901578</v>
      </c>
      <c r="F20" s="0" t="n">
        <f aca="false">1/(1+$B$27/100)^F4</f>
        <v>0.683013455365071</v>
      </c>
      <c r="G20" s="0" t="n">
        <f aca="false">1/(1+$B$27/100)^G4</f>
        <v>0.620921323059155</v>
      </c>
      <c r="H20" s="0" t="n">
        <f aca="false">1/(1+$B$27/100)^H4</f>
        <v>0.564473930053777</v>
      </c>
      <c r="I20" s="0" t="n">
        <f aca="false">1/(1+$B$27/100)^I4</f>
        <v>0.513158118230707</v>
      </c>
      <c r="J20" s="0" t="n">
        <f aca="false">1/(1+$B$27/100)^J4</f>
        <v>0.466507380209733</v>
      </c>
      <c r="K20" s="0" t="n">
        <f aca="false">1/(1+$B$27/100)^K4</f>
        <v>0.424097618372485</v>
      </c>
      <c r="L20" s="0" t="n">
        <f aca="false">1/(1+$B$27/100)^L4</f>
        <v>0.385543289429531</v>
      </c>
    </row>
    <row r="21" customFormat="false" ht="15" hidden="false" customHeight="false" outlineLevel="0" collapsed="false">
      <c r="A21" s="0" t="s">
        <v>125</v>
      </c>
      <c r="C21" s="0" t="n">
        <f aca="false">C19*C20</f>
        <v>267.480391690909</v>
      </c>
      <c r="D21" s="0" t="n">
        <f aca="false">D19*D20</f>
        <v>223.049947180165</v>
      </c>
      <c r="E21" s="0" t="n">
        <f aca="false">E19*E20</f>
        <v>295.214803139865</v>
      </c>
      <c r="F21" s="0" t="n">
        <f aca="false">F19*F20</f>
        <v>361.113914924633</v>
      </c>
      <c r="G21" s="0" t="n">
        <f aca="false">G19*G20</f>
        <v>401.197152082391</v>
      </c>
      <c r="H21" s="0" t="n">
        <f aca="false">H19*H20</f>
        <v>443.552889699475</v>
      </c>
      <c r="I21" s="0" t="n">
        <f aca="false">I19*I20</f>
        <v>443.372280396774</v>
      </c>
      <c r="J21" s="0" t="n">
        <f aca="false">J19*J20</f>
        <v>435.120799289675</v>
      </c>
      <c r="K21" s="0" t="n">
        <f aca="false">K19*K20</f>
        <v>422.999060758265</v>
      </c>
      <c r="L21" s="0" t="n">
        <f aca="false">L19*L20</f>
        <v>407.304446894368</v>
      </c>
    </row>
    <row r="23" customFormat="false" ht="15" hidden="false" customHeight="false" outlineLevel="0" collapsed="false">
      <c r="A23" s="0" t="s">
        <v>101</v>
      </c>
      <c r="C23" s="4" t="n">
        <f aca="false">Assumptions!C44</f>
        <v>0</v>
      </c>
      <c r="D23" s="4" t="n">
        <f aca="false">Assumptions!D44</f>
        <v>0</v>
      </c>
      <c r="E23" s="4" t="n">
        <f aca="false">Assumptions!E44</f>
        <v>0</v>
      </c>
      <c r="F23" s="4" t="n">
        <f aca="false">Assumptions!F44</f>
        <v>0</v>
      </c>
      <c r="G23" s="4" t="n">
        <f aca="false">Assumptions!G44</f>
        <v>0</v>
      </c>
      <c r="H23" s="4" t="n">
        <f aca="false">Assumptions!H44</f>
        <v>0</v>
      </c>
      <c r="I23" s="4" t="n">
        <f aca="false">Assumptions!I44</f>
        <v>0</v>
      </c>
      <c r="J23" s="4" t="n">
        <f aca="false">Assumptions!J44</f>
        <v>0</v>
      </c>
      <c r="K23" s="4" t="n">
        <f aca="false">Assumptions!K44</f>
        <v>0</v>
      </c>
      <c r="L23" s="4" t="n">
        <f aca="false">Assumptions!L44</f>
        <v>0</v>
      </c>
    </row>
    <row r="24" customFormat="false" ht="15" hidden="false" customHeight="false" outlineLevel="0" collapsed="false">
      <c r="A24" s="0" t="s">
        <v>126</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127</v>
      </c>
    </row>
    <row r="27" customFormat="false" ht="15" hidden="false" customHeight="false" outlineLevel="0" collapsed="false">
      <c r="A27" s="0" t="s">
        <v>105</v>
      </c>
      <c r="B27" s="4" t="n">
        <f aca="false">Assumptions!$B$48</f>
        <v>10</v>
      </c>
    </row>
    <row r="28" customFormat="false" ht="15" hidden="false" customHeight="false" outlineLevel="0" collapsed="false">
      <c r="A28" s="0" t="s">
        <v>106</v>
      </c>
      <c r="B28" s="4" t="n">
        <f aca="false">Assumptions!$B$49</f>
        <v>3</v>
      </c>
    </row>
    <row r="29" customFormat="false" ht="15" hidden="false" customHeight="false" outlineLevel="0" collapsed="false">
      <c r="A29" s="0" t="s">
        <v>107</v>
      </c>
      <c r="B29" s="4" t="n">
        <f aca="false">Assumptions!$B$50</f>
        <v>14</v>
      </c>
    </row>
    <row r="30" customFormat="false" ht="15" hidden="false" customHeight="false" outlineLevel="0" collapsed="false">
      <c r="A30" s="0" t="s">
        <v>128</v>
      </c>
      <c r="B30" s="0" t="n">
        <f aca="false">SUM(C21:L21)</f>
        <v>3700.40568605652</v>
      </c>
    </row>
    <row r="31" customFormat="false" ht="15" hidden="false" customHeight="false" outlineLevel="0" collapsed="false">
      <c r="A31" s="0" t="s">
        <v>129</v>
      </c>
      <c r="B31" s="0" t="n">
        <f aca="false">L19</f>
        <v>1056.44283809747</v>
      </c>
    </row>
    <row r="32" customFormat="false" ht="15" hidden="false" customHeight="false" outlineLevel="0" collapsed="false">
      <c r="A32" s="0" t="s">
        <v>130</v>
      </c>
      <c r="B32" s="0" t="n">
        <f aca="false">IF(B27&gt;B28,B31*(1+B28/100)/((B27-B28)/100),B31*B29)</f>
        <v>15544.801760577</v>
      </c>
    </row>
    <row r="33" customFormat="false" ht="15" hidden="false" customHeight="false" outlineLevel="0" collapsed="false">
      <c r="A33" s="0" t="s">
        <v>131</v>
      </c>
      <c r="B33" s="0" t="n">
        <f aca="false">B31*B29</f>
        <v>14790.1997333645</v>
      </c>
    </row>
    <row r="34" customFormat="false" ht="15" hidden="false" customHeight="false" outlineLevel="0" collapsed="false">
      <c r="A34" s="0" t="s">
        <v>132</v>
      </c>
      <c r="B34" s="0" t="n">
        <f aca="false">MAX(0,MIN(B32,B33))</f>
        <v>14790.1997333645</v>
      </c>
    </row>
    <row r="35" customFormat="false" ht="15" hidden="false" customHeight="false" outlineLevel="0" collapsed="false">
      <c r="A35" s="0" t="s">
        <v>133</v>
      </c>
      <c r="B35" s="0" t="n">
        <f aca="false">B34/(1+B27/100)^L4</f>
        <v>5702.26225652115</v>
      </c>
    </row>
    <row r="36" customFormat="false" ht="15" hidden="false" customHeight="false" outlineLevel="0" collapsed="false">
      <c r="A36" s="0" t="s">
        <v>134</v>
      </c>
      <c r="B36" s="0" t="n">
        <f aca="false">B30+B35</f>
        <v>9402.66794257766</v>
      </c>
    </row>
    <row r="37" customFormat="false" ht="15" hidden="false" customHeight="false" outlineLevel="0" collapsed="false">
      <c r="A37" s="0" t="s">
        <v>135</v>
      </c>
      <c r="B37" s="0" t="n">
        <f aca="false">B36+Assumptions!$B$5-Assumptions!$B$4</f>
        <v>12829.2679425777</v>
      </c>
    </row>
    <row r="38" customFormat="false" ht="15" hidden="false" customHeight="false" outlineLevel="0" collapsed="false">
      <c r="A38" s="0" t="s">
        <v>136</v>
      </c>
      <c r="B38" s="0" t="n">
        <f aca="false">B37/Assumptions!$B$3*Assumptions!$B$10</f>
        <v>1.67157839830757</v>
      </c>
    </row>
    <row r="39" customFormat="false" ht="15" hidden="false" customHeight="false" outlineLevel="0" collapsed="false">
      <c r="A39" s="0" t="s">
        <v>137</v>
      </c>
      <c r="B39" s="4" t="n">
        <f aca="false">B38/Assumptions!$B$2-1</f>
        <v>1.25888972744267</v>
      </c>
    </row>
    <row r="41" customFormat="false" ht="15" hidden="false" customHeight="false" outlineLevel="0" collapsed="false">
      <c r="A41" s="0" t="s">
        <v>138</v>
      </c>
      <c r="B41" s="0" t="n">
        <f aca="false">SUMPRODUCT(-C10:L10/(1+$B$27/100)^C4:L4)</f>
        <v>77.1272073433254</v>
      </c>
    </row>
    <row r="42" customFormat="false" ht="15" hidden="false" customHeight="false" outlineLevel="0" collapsed="false">
      <c r="A42" s="0" t="s">
        <v>139</v>
      </c>
      <c r="B42" s="0" t="n">
        <f aca="false">IF(B27&gt;B28,-L10*(1+B28/100)/((B27-B28)/100),-L10*20)/(1+B27/100)^L4</f>
        <v>101.61488834354</v>
      </c>
    </row>
    <row r="43" customFormat="false" ht="15" hidden="false" customHeight="false" outlineLevel="0" collapsed="false">
      <c r="A43" s="0" t="s">
        <v>140</v>
      </c>
      <c r="B43" s="0" t="n">
        <f aca="false">(B37+B41+B42)/Assumptions!$B$3*Assumptions!$B$10</f>
        <v>1.69486744545786</v>
      </c>
    </row>
    <row r="45" customFormat="false" ht="15" hidden="false" customHeight="false" outlineLevel="0" collapsed="false">
      <c r="A45" s="0" t="s">
        <v>81</v>
      </c>
      <c r="B45" s="4" t="n">
        <f aca="false">Assumptions!$B$6</f>
        <v>15</v>
      </c>
    </row>
    <row r="46" customFormat="false" ht="15" hidden="false" customHeight="false" outlineLevel="0" collapsed="false">
      <c r="A46" s="0" t="s">
        <v>141</v>
      </c>
      <c r="B46" s="0" t="n">
        <f aca="false">MAX(0,MIN(IF(B45&gt;B28,B31*(1+B28/100)/((B45-B28)/100),B31*B29),B31*B29))</f>
        <v>9067.80102700326</v>
      </c>
    </row>
    <row r="47" customFormat="false" ht="15" hidden="false" customHeight="false" outlineLevel="0" collapsed="false">
      <c r="A47" s="0" t="s">
        <v>142</v>
      </c>
      <c r="B47" s="0" t="n">
        <f aca="false">(SUMPRODUCT(C19:L19/(1+B45/100)^C4:L4)+B46/(1+B45/100)^L4+Assumptions!$B$5-Assumptions!$B$4)/Assumptions!$B$3*Assumptions!$B$10</f>
        <v>1.11061890732627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s>
  <sheetData>
    <row r="1" customFormat="false" ht="15" hidden="false" customHeight="false" outlineLevel="0" collapsed="false">
      <c r="A1" s="2" t="s">
        <v>145</v>
      </c>
    </row>
    <row r="3" customFormat="false" ht="15" hidden="false" customHeight="false" outlineLevel="0" collapsed="false">
      <c r="A3" s="2" t="s">
        <v>146</v>
      </c>
      <c r="B3" s="2" t="s">
        <v>147</v>
      </c>
      <c r="C3" s="2" t="s">
        <v>137</v>
      </c>
      <c r="D3" s="2" t="s">
        <v>148</v>
      </c>
      <c r="E3" s="2" t="s">
        <v>140</v>
      </c>
      <c r="F3" s="2" t="s">
        <v>149</v>
      </c>
    </row>
    <row r="4" customFormat="false" ht="15" hidden="false" customHeight="false" outlineLevel="0" collapsed="false">
      <c r="A4" s="0" t="s">
        <v>150</v>
      </c>
      <c r="B4" s="4" t="n">
        <f aca="false">DCF_Bear!$B$38</f>
        <v>0.694119158134202</v>
      </c>
      <c r="C4" s="0" t="n">
        <f aca="false">B4/Assumptions!$B$2-1</f>
        <v>-0.0620011376564833</v>
      </c>
      <c r="D4" s="4" t="n">
        <f aca="false">Assumptions!$B$24</f>
        <v>0.3</v>
      </c>
      <c r="E4" s="4" t="n">
        <f aca="false">DCF_Bear!$B$43</f>
        <v>0.70424355132151</v>
      </c>
      <c r="F4" s="4" t="n">
        <f aca="false">DCF_Bear!$B$47</f>
        <v>0.63103416737872</v>
      </c>
    </row>
    <row r="5" customFormat="false" ht="15" hidden="false" customHeight="false" outlineLevel="0" collapsed="false">
      <c r="A5" s="0" t="s">
        <v>151</v>
      </c>
      <c r="B5" s="4" t="n">
        <f aca="false">DCF_Base!$B$38</f>
        <v>1.2491322599363</v>
      </c>
      <c r="C5" s="0" t="n">
        <f aca="false">B5/Assumptions!$B$2-1</f>
        <v>0.688016567481487</v>
      </c>
      <c r="D5" s="4" t="n">
        <f aca="false">Assumptions!$B$38</f>
        <v>0.5</v>
      </c>
      <c r="E5" s="4" t="n">
        <f aca="false">DCF_Base!$B$43</f>
        <v>1.26762462285902</v>
      </c>
      <c r="F5" s="4" t="n">
        <f aca="false">DCF_Base!$B$47</f>
        <v>0.922152213270154</v>
      </c>
    </row>
    <row r="6" customFormat="false" ht="15" hidden="false" customHeight="false" outlineLevel="0" collapsed="false">
      <c r="A6" s="0" t="s">
        <v>152</v>
      </c>
      <c r="B6" s="4" t="n">
        <f aca="false">DCF_Bull!$B$38</f>
        <v>1.67157839830757</v>
      </c>
      <c r="C6" s="0" t="n">
        <f aca="false">B6/Assumptions!$B$2-1</f>
        <v>1.25888972744267</v>
      </c>
      <c r="D6" s="4" t="n">
        <f aca="false">Assumptions!$B$52</f>
        <v>0.2</v>
      </c>
      <c r="E6" s="4" t="n">
        <f aca="false">DCF_Bull!$B$43</f>
        <v>1.69486744545786</v>
      </c>
      <c r="F6" s="4" t="n">
        <f aca="false">DCF_Bull!$B$47</f>
        <v>1.11061890732627</v>
      </c>
    </row>
    <row r="8" customFormat="false" ht="15" hidden="false" customHeight="false" outlineLevel="0" collapsed="false">
      <c r="A8" s="0" t="s">
        <v>153</v>
      </c>
      <c r="B8" s="0" t="n">
        <f aca="false">SUMPRODUCT(B4:B6,D4:D6)</f>
        <v>1.16711755706993</v>
      </c>
    </row>
    <row r="9" customFormat="false" ht="15" hidden="false" customHeight="false" outlineLevel="0" collapsed="false">
      <c r="A9" s="0" t="s">
        <v>154</v>
      </c>
      <c r="B9" s="0" t="n">
        <f aca="false">SUMPRODUCT(E4:E6,D4:D6)</f>
        <v>1.18405886591754</v>
      </c>
    </row>
    <row r="10" customFormat="false" ht="15" hidden="false" customHeight="false" outlineLevel="0" collapsed="false">
      <c r="A10" s="0" t="s">
        <v>155</v>
      </c>
      <c r="B10" s="0" t="n">
        <f aca="false">1-Assumptions!$B$2/B8</f>
        <v>0.36595932816075</v>
      </c>
    </row>
    <row r="11" customFormat="false" ht="15" hidden="false" customHeight="false" outlineLevel="0" collapsed="false">
      <c r="A11" s="0" t="s">
        <v>156</v>
      </c>
      <c r="B11" s="0" t="n">
        <f aca="false">IF(ABS(B9-B8)&gt;0.01*ABS(B8),(Assumptions!$B$2-B8)/(B9-B8)*100,"n/a")</f>
        <v>-2521.16032422222</v>
      </c>
    </row>
    <row r="12" customFormat="false" ht="15" hidden="false" customHeight="false" outlineLevel="0" collapsed="false">
      <c r="A12" s="0" t="s">
        <v>157</v>
      </c>
      <c r="B12" s="0" t="n">
        <f aca="false">SUMPRODUCT(F4:F6,D4:D6)</f>
        <v>0.872510138313948</v>
      </c>
    </row>
    <row r="14" customFormat="false" ht="15" hidden="false" customHeight="false" outlineLevel="0" collapsed="false">
      <c r="A14" s="2" t="s">
        <v>158</v>
      </c>
      <c r="C14" s="0" t="s">
        <v>159</v>
      </c>
    </row>
    <row r="15" customFormat="false" ht="15" hidden="false" customHeight="false" outlineLevel="0" collapsed="false">
      <c r="A15" s="0" t="s">
        <v>160</v>
      </c>
      <c r="B15" s="0" t="n">
        <f aca="false">(SUMPRODUCT(DCF_Base!$C$19:$L$19/(1+$C$15/100)^DCF_Base!$C$4:$L$4)+MAX(0,MIN(IF($C$15&gt;DCF_Base!$B$28,DCF_Base!$L$19*(1+DCF_Base!$B$28/100)/(($C$15-DCF_Base!$B$28)/100),DCF_Base!$L$19*DCF_Base!$B$29),DCF_Base!$L$19*DCF_Base!$B$29))/(1+$C$15/100)^DCF_Base!$L$4+Assumptions!$B$5-Assumptions!$B$4)/Assumptions!$B$3*Assumptions!$B$10</f>
        <v>1.31086391525171</v>
      </c>
      <c r="C15" s="3" t="n">
        <v>9</v>
      </c>
    </row>
    <row r="16" customFormat="false" ht="15" hidden="false" customHeight="false" outlineLevel="0" collapsed="false">
      <c r="A16" s="0" t="s">
        <v>161</v>
      </c>
      <c r="B16" s="0" t="n">
        <f aca="false">(SUMPRODUCT(DCF_Base!$C$19:$L$19/(1+$C$16/100)^DCF_Base!$C$4:$L$4)+MAX(0,MIN(IF($C$16&gt;DCF_Base!$B$28,DCF_Base!$L$19*(1+DCF_Base!$B$28/100)/(($C$16-DCF_Base!$B$28)/100),DCF_Base!$L$19*DCF_Base!$B$29),DCF_Base!$L$19*DCF_Base!$B$29))/(1+$C$16/100)^DCF_Base!$L$4+Assumptions!$B$5-Assumptions!$B$4)/Assumptions!$B$3*Assumptions!$B$10</f>
        <v>1.2491322599363</v>
      </c>
      <c r="C16" s="3" t="n">
        <v>10</v>
      </c>
    </row>
    <row r="17" customFormat="false" ht="15" hidden="false" customHeight="false" outlineLevel="0" collapsed="false">
      <c r="A17" s="0" t="s">
        <v>162</v>
      </c>
      <c r="B17" s="0" t="n">
        <f aca="false">(SUMPRODUCT(DCF_Base!$C$19:$L$19/(1+$C$17/100)^DCF_Base!$C$4:$L$4)+MAX(0,MIN(IF($C$17&gt;DCF_Base!$B$28,DCF_Base!$L$19*(1+DCF_Base!$B$28/100)/(($C$17-DCF_Base!$B$28)/100),DCF_Base!$L$19*DCF_Base!$B$29),DCF_Base!$L$19*DCF_Base!$B$29))/(1+$C$17/100)^DCF_Base!$L$4+Assumptions!$B$5-Assumptions!$B$4)/Assumptions!$B$3*Assumptions!$B$10</f>
        <v>1.19280415919834</v>
      </c>
      <c r="C17" s="3" t="n">
        <v>11</v>
      </c>
    </row>
    <row r="18" customFormat="false" ht="15" hidden="false" customHeight="false" outlineLevel="0" collapsed="false">
      <c r="A18" s="0" t="s">
        <v>163</v>
      </c>
      <c r="B18" s="0" t="n">
        <f aca="false">(SUMPRODUCT(DCF_Base!$C$19:$L$19/(1+$C$18/100)^DCF_Base!$C$4:$L$4)+MAX(0,MIN(IF($C$18&gt;DCF_Base!$B$28,DCF_Base!$L$19*(1+DCF_Base!$B$28/100)/(($C$18-DCF_Base!$B$28)/100),DCF_Base!$L$19*DCF_Base!$B$29),DCF_Base!$L$19*DCF_Base!$B$29))/(1+$C$18/100)^DCF_Base!$L$4+Assumptions!$B$5-Assumptions!$B$4)/Assumptions!$B$3*Assumptions!$B$10</f>
        <v>1.10417951734124</v>
      </c>
      <c r="C18" s="3" t="n">
        <v>12</v>
      </c>
    </row>
    <row r="19" customFormat="false" ht="15" hidden="false" customHeight="false" outlineLevel="0" collapsed="false">
      <c r="A19" s="0" t="s">
        <v>164</v>
      </c>
      <c r="B19" s="0" t="n">
        <f aca="false">(SUMPRODUCT(DCF_Base!$C$19:$L$19/(1+$C$19/100)^DCF_Base!$C$4:$L$4)+MAX(0,MIN(IF($C$19&gt;DCF_Base!$B$28,DCF_Base!$L$19*(1+DCF_Base!$B$28/100)/(($C$19-DCF_Base!$B$28)/100),DCF_Base!$L$19*DCF_Base!$B$29),DCF_Base!$L$19*DCF_Base!$B$29))/(1+$C$19/100)^DCF_Base!$L$4+Assumptions!$B$5-Assumptions!$B$4)/Assumptions!$B$3*Assumptions!$B$10</f>
        <v>0.922152213270154</v>
      </c>
      <c r="C19" s="3" t="n">
        <v>15</v>
      </c>
    </row>
    <row r="21" customFormat="false" ht="15" hidden="false" customHeight="false" outlineLevel="0" collapsed="false">
      <c r="A21" s="2" t="s">
        <v>165</v>
      </c>
    </row>
    <row r="22" customFormat="false" ht="15" hidden="false" customHeight="false" outlineLevel="0" collapsed="false">
      <c r="B22" s="3" t="n">
        <v>1.5</v>
      </c>
      <c r="C22" s="3" t="n">
        <v>2</v>
      </c>
      <c r="D22" s="3" t="n">
        <v>2.5</v>
      </c>
      <c r="E22" s="3" t="n">
        <v>3</v>
      </c>
      <c r="F22" s="3" t="n">
        <v>3.5</v>
      </c>
    </row>
    <row r="23" customFormat="false" ht="15" hidden="false" customHeight="false" outlineLevel="0" collapsed="false">
      <c r="A23" s="3" t="n">
        <v>8</v>
      </c>
      <c r="B23" s="0" t="n">
        <f aca="false">(SUMPRODUCT(DCF_Base!$C$19:$L$19/(1+$A$23/100)^DCF_Base!$C$4:$L$4)+MAX(0,MIN(IF($A$23&gt;$B$22,DCF_Base!$L$19*(1+$B$22/100)/(($A$23-$B$22)/100),DCF_Base!$L$19*DCF_Base!$B$29),DCF_Base!$L$19*DCF_Base!$B$29))/(1+$A$23/100)^DCF_Base!$L$4+Assumptions!$B$5-Assumptions!$B$4)/Assumptions!$B$3*Assumptions!$B$10</f>
        <v>1.37859421522298</v>
      </c>
      <c r="C23" s="0" t="n">
        <f aca="false">(SUMPRODUCT(DCF_Base!$C$19:$L$19/(1+$A$23/100)^DCF_Base!$C$4:$L$4)+MAX(0,MIN(IF($A$23&gt;$C$22,DCF_Base!$L$19*(1+$C$22/100)/(($A$23-$C$22)/100),DCF_Base!$L$19*DCF_Base!$B$29),DCF_Base!$L$19*DCF_Base!$B$29))/(1+$A$23/100)^DCF_Base!$L$4+Assumptions!$B$5-Assumptions!$B$4)/Assumptions!$B$3*Assumptions!$B$10</f>
        <v>1.37859421522298</v>
      </c>
      <c r="D23" s="0" t="n">
        <f aca="false">(SUMPRODUCT(DCF_Base!$C$19:$L$19/(1+$A$23/100)^DCF_Base!$C$4:$L$4)+MAX(0,MIN(IF($A$23&gt;$D$22,DCF_Base!$L$19*(1+$D$22/100)/(($A$23-$D$22)/100),DCF_Base!$L$19*DCF_Base!$B$29),DCF_Base!$L$19*DCF_Base!$B$29))/(1+$A$23/100)^DCF_Base!$L$4+Assumptions!$B$5-Assumptions!$B$4)/Assumptions!$B$3*Assumptions!$B$10</f>
        <v>1.37859421522298</v>
      </c>
      <c r="E23" s="0" t="n">
        <f aca="false">(SUMPRODUCT(DCF_Base!$C$19:$L$19/(1+$A$23/100)^DCF_Base!$C$4:$L$4)+MAX(0,MIN(IF($A$23&gt;$E$22,DCF_Base!$L$19*(1+$E$22/100)/(($A$23-$E$22)/100),DCF_Base!$L$19*DCF_Base!$B$29),DCF_Base!$L$19*DCF_Base!$B$29))/(1+$A$23/100)^DCF_Base!$L$4+Assumptions!$B$5-Assumptions!$B$4)/Assumptions!$B$3*Assumptions!$B$10</f>
        <v>1.37859421522298</v>
      </c>
      <c r="F23" s="0" t="n">
        <f aca="false">(SUMPRODUCT(DCF_Base!$C$19:$L$19/(1+$A$23/100)^DCF_Base!$C$4:$L$4)+MAX(0,MIN(IF($A$23&gt;$F$22,DCF_Base!$L$19*(1+$F$22/100)/(($A$23-$F$22)/100),DCF_Base!$L$19*DCF_Base!$B$29),DCF_Base!$L$19*DCF_Base!$B$29))/(1+$A$23/100)^DCF_Base!$L$4+Assumptions!$B$5-Assumptions!$B$4)/Assumptions!$B$3*Assumptions!$B$10</f>
        <v>1.37859421522298</v>
      </c>
    </row>
    <row r="24" customFormat="false" ht="15" hidden="false" customHeight="false" outlineLevel="0" collapsed="false">
      <c r="A24" s="3" t="n">
        <v>9</v>
      </c>
      <c r="B24" s="0" t="n">
        <f aca="false">(SUMPRODUCT(DCF_Base!$C$19:$L$19/(1+$A$24/100)^DCF_Base!$C$4:$L$4)+MAX(0,MIN(IF($A$24&gt;$B$22,DCF_Base!$L$19*(1+$B$22/100)/(($A$24-$B$22)/100),DCF_Base!$L$19*DCF_Base!$B$29),DCF_Base!$L$19*DCF_Base!$B$29))/(1+$A$24/100)^DCF_Base!$L$4+Assumptions!$B$5-Assumptions!$B$4)/Assumptions!$B$3*Assumptions!$B$10</f>
        <v>1.31086391525171</v>
      </c>
      <c r="C24" s="0" t="n">
        <f aca="false">(SUMPRODUCT(DCF_Base!$C$19:$L$19/(1+$A$24/100)^DCF_Base!$C$4:$L$4)+MAX(0,MIN(IF($A$24&gt;$C$22,DCF_Base!$L$19*(1+$C$22/100)/(($A$24-$C$22)/100),DCF_Base!$L$19*DCF_Base!$B$29),DCF_Base!$L$19*DCF_Base!$B$29))/(1+$A$24/100)^DCF_Base!$L$4+Assumptions!$B$5-Assumptions!$B$4)/Assumptions!$B$3*Assumptions!$B$10</f>
        <v>1.31086391525171</v>
      </c>
      <c r="D24" s="0" t="n">
        <f aca="false">(SUMPRODUCT(DCF_Base!$C$19:$L$19/(1+$A$24/100)^DCF_Base!$C$4:$L$4)+MAX(0,MIN(IF($A$24&gt;$D$22,DCF_Base!$L$19*(1+$D$22/100)/(($A$24-$D$22)/100),DCF_Base!$L$19*DCF_Base!$B$29),DCF_Base!$L$19*DCF_Base!$B$29))/(1+$A$24/100)^DCF_Base!$L$4+Assumptions!$B$5-Assumptions!$B$4)/Assumptions!$B$3*Assumptions!$B$10</f>
        <v>1.31086391525171</v>
      </c>
      <c r="E24" s="0" t="n">
        <f aca="false">(SUMPRODUCT(DCF_Base!$C$19:$L$19/(1+$A$24/100)^DCF_Base!$C$4:$L$4)+MAX(0,MIN(IF($A$24&gt;$E$22,DCF_Base!$L$19*(1+$E$22/100)/(($A$24-$E$22)/100),DCF_Base!$L$19*DCF_Base!$B$29),DCF_Base!$L$19*DCF_Base!$B$29))/(1+$A$24/100)^DCF_Base!$L$4+Assumptions!$B$5-Assumptions!$B$4)/Assumptions!$B$3*Assumptions!$B$10</f>
        <v>1.31086391525171</v>
      </c>
      <c r="F24" s="0" t="n">
        <f aca="false">(SUMPRODUCT(DCF_Base!$C$19:$L$19/(1+$A$24/100)^DCF_Base!$C$4:$L$4)+MAX(0,MIN(IF($A$24&gt;$F$22,DCF_Base!$L$19*(1+$F$22/100)/(($A$24-$F$22)/100),DCF_Base!$L$19*DCF_Base!$B$29),DCF_Base!$L$19*DCF_Base!$B$29))/(1+$A$24/100)^DCF_Base!$L$4+Assumptions!$B$5-Assumptions!$B$4)/Assumptions!$B$3*Assumptions!$B$10</f>
        <v>1.31086391525171</v>
      </c>
    </row>
    <row r="25" customFormat="false" ht="15" hidden="false" customHeight="false" outlineLevel="0" collapsed="false">
      <c r="A25" s="3" t="n">
        <v>10</v>
      </c>
      <c r="B25" s="0" t="n">
        <f aca="false">(SUMPRODUCT(DCF_Base!$C$19:$L$19/(1+$A$25/100)^DCF_Base!$C$4:$L$4)+MAX(0,MIN(IF($A$25&gt;$B$22,DCF_Base!$L$19*(1+$B$22/100)/(($A$25-$B$22)/100),DCF_Base!$L$19*DCF_Base!$B$29),DCF_Base!$L$19*DCF_Base!$B$29))/(1+$A$25/100)^DCF_Base!$L$4+Assumptions!$B$5-Assumptions!$B$4)/Assumptions!$B$3*Assumptions!$B$10</f>
        <v>1.24696946046599</v>
      </c>
      <c r="C25" s="0" t="n">
        <f aca="false">(SUMPRODUCT(DCF_Base!$C$19:$L$19/(1+$A$25/100)^DCF_Base!$C$4:$L$4)+MAX(0,MIN(IF($A$25&gt;$C$22,DCF_Base!$L$19*(1+$C$22/100)/(($A$25-$C$22)/100),DCF_Base!$L$19*DCF_Base!$B$29),DCF_Base!$L$19*DCF_Base!$B$29))/(1+$A$25/100)^DCF_Base!$L$4+Assumptions!$B$5-Assumptions!$B$4)/Assumptions!$B$3*Assumptions!$B$10</f>
        <v>1.2491322599363</v>
      </c>
      <c r="D25" s="0" t="n">
        <f aca="false">(SUMPRODUCT(DCF_Base!$C$19:$L$19/(1+$A$25/100)^DCF_Base!$C$4:$L$4)+MAX(0,MIN(IF($A$25&gt;$D$22,DCF_Base!$L$19*(1+$D$22/100)/(($A$25-$D$22)/100),DCF_Base!$L$19*DCF_Base!$B$29),DCF_Base!$L$19*DCF_Base!$B$29))/(1+$A$25/100)^DCF_Base!$L$4+Assumptions!$B$5-Assumptions!$B$4)/Assumptions!$B$3*Assumptions!$B$10</f>
        <v>1.2491322599363</v>
      </c>
      <c r="E25" s="0" t="n">
        <f aca="false">(SUMPRODUCT(DCF_Base!$C$19:$L$19/(1+$A$25/100)^DCF_Base!$C$4:$L$4)+MAX(0,MIN(IF($A$25&gt;$E$22,DCF_Base!$L$19*(1+$E$22/100)/(($A$25-$E$22)/100),DCF_Base!$L$19*DCF_Base!$B$29),DCF_Base!$L$19*DCF_Base!$B$29))/(1+$A$25/100)^DCF_Base!$L$4+Assumptions!$B$5-Assumptions!$B$4)/Assumptions!$B$3*Assumptions!$B$10</f>
        <v>1.2491322599363</v>
      </c>
      <c r="F25" s="0" t="n">
        <f aca="false">(SUMPRODUCT(DCF_Base!$C$19:$L$19/(1+$A$25/100)^DCF_Base!$C$4:$L$4)+MAX(0,MIN(IF($A$25&gt;$F$22,DCF_Base!$L$19*(1+$F$22/100)/(($A$25-$F$22)/100),DCF_Base!$L$19*DCF_Base!$B$29),DCF_Base!$L$19*DCF_Base!$B$29))/(1+$A$25/100)^DCF_Base!$L$4+Assumptions!$B$5-Assumptions!$B$4)/Assumptions!$B$3*Assumptions!$B$10</f>
        <v>1.2491322599363</v>
      </c>
    </row>
    <row r="26" customFormat="false" ht="15" hidden="false" customHeight="false" outlineLevel="0" collapsed="false">
      <c r="A26" s="3" t="n">
        <v>11</v>
      </c>
      <c r="B26" s="0" t="n">
        <f aca="false">(SUMPRODUCT(DCF_Base!$C$19:$L$19/(1+$A$26/100)^DCF_Base!$C$4:$L$4)+MAX(0,MIN(IF($A$26&gt;$B$22,DCF_Base!$L$19*(1+$B$22/100)/(($A$26-$B$22)/100),DCF_Base!$L$19*DCF_Base!$B$29),DCF_Base!$L$19*DCF_Base!$B$29))/(1+$A$26/100)^DCF_Base!$L$4+Assumptions!$B$5-Assumptions!$B$4)/Assumptions!$B$3*Assumptions!$B$10</f>
        <v>1.14861165138739</v>
      </c>
      <c r="C26" s="0" t="n">
        <f aca="false">(SUMPRODUCT(DCF_Base!$C$19:$L$19/(1+$A$26/100)^DCF_Base!$C$4:$L$4)+MAX(0,MIN(IF($A$26&gt;$C$22,DCF_Base!$L$19*(1+$C$22/100)/(($A$26-$C$22)/100),DCF_Base!$L$19*DCF_Base!$B$29),DCF_Base!$L$19*DCF_Base!$B$29))/(1+$A$26/100)^DCF_Base!$L$4+Assumptions!$B$5-Assumptions!$B$4)/Assumptions!$B$3*Assumptions!$B$10</f>
        <v>1.17041328857413</v>
      </c>
      <c r="D26" s="0" t="n">
        <f aca="false">(SUMPRODUCT(DCF_Base!$C$19:$L$19/(1+$A$26/100)^DCF_Base!$C$4:$L$4)+MAX(0,MIN(IF($A$26&gt;$D$22,DCF_Base!$L$19*(1+$D$22/100)/(($A$26-$D$22)/100),DCF_Base!$L$19*DCF_Base!$B$29),DCF_Base!$L$19*DCF_Base!$B$29))/(1+$A$26/100)^DCF_Base!$L$4+Assumptions!$B$5-Assumptions!$B$4)/Assumptions!$B$3*Assumptions!$B$10</f>
        <v>1.19280415919834</v>
      </c>
      <c r="E26" s="0" t="n">
        <f aca="false">(SUMPRODUCT(DCF_Base!$C$19:$L$19/(1+$A$26/100)^DCF_Base!$C$4:$L$4)+MAX(0,MIN(IF($A$26&gt;$E$22,DCF_Base!$L$19*(1+$E$22/100)/(($A$26-$E$22)/100),DCF_Base!$L$19*DCF_Base!$B$29),DCF_Base!$L$19*DCF_Base!$B$29))/(1+$A$26/100)^DCF_Base!$L$4+Assumptions!$B$5-Assumptions!$B$4)/Assumptions!$B$3*Assumptions!$B$10</f>
        <v>1.19280415919834</v>
      </c>
      <c r="F26" s="0" t="n">
        <f aca="false">(SUMPRODUCT(DCF_Base!$C$19:$L$19/(1+$A$26/100)^DCF_Base!$C$4:$L$4)+MAX(0,MIN(IF($A$26&gt;$F$22,DCF_Base!$L$19*(1+$F$22/100)/(($A$26-$F$22)/100),DCF_Base!$L$19*DCF_Base!$B$29),DCF_Base!$L$19*DCF_Base!$B$29))/(1+$A$26/100)^DCF_Base!$L$4+Assumptions!$B$5-Assumptions!$B$4)/Assumptions!$B$3*Assumptions!$B$10</f>
        <v>1.19280415919834</v>
      </c>
    </row>
    <row r="27" customFormat="false" ht="15" hidden="false" customHeight="false" outlineLevel="0" collapsed="false">
      <c r="A27" s="3" t="n">
        <v>12</v>
      </c>
      <c r="B27" s="0" t="n">
        <f aca="false">(SUMPRODUCT(DCF_Base!$C$19:$L$19/(1+$A$27/100)^DCF_Base!$C$4:$L$4)+MAX(0,MIN(IF($A$27&gt;$B$22,DCF_Base!$L$19*(1+$B$22/100)/(($A$27-$B$22)/100),DCF_Base!$L$19*DCF_Base!$B$29),DCF_Base!$L$19*DCF_Base!$B$29))/(1+$A$27/100)^DCF_Base!$L$4+Assumptions!$B$5-Assumptions!$B$4)/Assumptions!$B$3*Assumptions!$B$10</f>
        <v>1.06970351360451</v>
      </c>
      <c r="C27" s="0" t="n">
        <f aca="false">(SUMPRODUCT(DCF_Base!$C$19:$L$19/(1+$A$27/100)^DCF_Base!$C$4:$L$4)+MAX(0,MIN(IF($A$27&gt;$C$22,DCF_Base!$L$19*(1+$C$22/100)/(($A$27-$C$22)/100),DCF_Base!$L$19*DCF_Base!$B$29),DCF_Base!$L$19*DCF_Base!$B$29))/(1+$A$27/100)^DCF_Base!$L$4+Assumptions!$B$5-Assumptions!$B$4)/Assumptions!$B$3*Assumptions!$B$10</f>
        <v>1.08607961537945</v>
      </c>
      <c r="D27" s="0" t="n">
        <f aca="false">(SUMPRODUCT(DCF_Base!$C$19:$L$19/(1+$A$27/100)^DCF_Base!$C$4:$L$4)+MAX(0,MIN(IF($A$27&gt;$D$22,DCF_Base!$L$19*(1+$D$22/100)/(($A$27-$D$22)/100),DCF_Base!$L$19*DCF_Base!$B$29),DCF_Base!$L$19*DCF_Base!$B$29))/(1+$A$27/100)^DCF_Base!$L$4+Assumptions!$B$5-Assumptions!$B$4)/Assumptions!$B$3*Assumptions!$B$10</f>
        <v>1.10417951734124</v>
      </c>
      <c r="E27" s="0" t="n">
        <f aca="false">(SUMPRODUCT(DCF_Base!$C$19:$L$19/(1+$A$27/100)^DCF_Base!$C$4:$L$4)+MAX(0,MIN(IF($A$27&gt;$E$22,DCF_Base!$L$19*(1+$E$22/100)/(($A$27-$E$22)/100),DCF_Base!$L$19*DCF_Base!$B$29),DCF_Base!$L$19*DCF_Base!$B$29))/(1+$A$27/100)^DCF_Base!$L$4+Assumptions!$B$5-Assumptions!$B$4)/Assumptions!$B$3*Assumptions!$B$10</f>
        <v>1.12429051952101</v>
      </c>
      <c r="F27" s="0" t="n">
        <f aca="false">(SUMPRODUCT(DCF_Base!$C$19:$L$19/(1+$A$27/100)^DCF_Base!$C$4:$L$4)+MAX(0,MIN(IF($A$27&gt;$F$22,DCF_Base!$L$19*(1+$F$22/100)/(($A$27-$F$22)/100),DCF_Base!$L$19*DCF_Base!$B$29),DCF_Base!$L$19*DCF_Base!$B$29))/(1+$A$27/100)^DCF_Base!$L$4+Assumptions!$B$5-Assumptions!$B$4)/Assumptions!$B$3*Assumptions!$B$10</f>
        <v>1.14134895886991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2026-10-10T22:48:50Z</dcterms:created>
  <dc:creator>openpyxl</dc:creator>
  <dc:description/>
  <dc:language>en-NZ</dc:language>
  <cp:lastModifiedBy/>
  <dcterms:modified xsi:type="dcterms:W3CDTF">2026-10-10T22:48:50Z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