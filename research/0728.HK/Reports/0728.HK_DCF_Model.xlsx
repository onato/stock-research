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<sst xmlns="http://schemas.openxmlformats.org/spreadsheetml/2006/main" count="356" uniqueCount="164">
  <si>
    <t xml:space="preserve">Ticker</t>
  </si>
  <si>
    <t xml:space="preserve">0728.HK</t>
  </si>
  <si>
    <t xml:space="preserve">Company</t>
  </si>
  <si>
    <t xml:space="preserve">China Telecom Corporation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</si>
  <si>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</si>
  <si>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</si>
  <si>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</si>
  <si>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</si>
  <si>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HKEX (Friday); 52-week range 4.24-6.08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</si>
  <si>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</si>
  <si>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</si>
  <si>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</si>
  <si>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</si>
  <si>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</si>
  <si>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</si>
  <si>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</si>
  <si>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</si>
  <si>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</si>
  <si>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</si>
  <si>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</si>
  <si>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</si>
  <si>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</si>
  <si>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2026-10-11T06:45:20Z</t>
  </si>
  <si>
    <t xml:space="preserve">Drivers file</t>
  </si>
  <si>
    <t xml:space="preserve">0728.HK_Drivers.json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</si>
  <si>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</si>
  <si>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</si>
  <si>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</si>
  <si>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China Telecom is a mature, cash-generative, state-controlled carrier: ~RMB40bn of owner FCF a year after China Tower rentals, negligible debt, and roughly RMB140bn of cash, deposits, structured deposits and the China Tower stake net of group deposits and NCI. The H-share at HKD 4.685 (RMB 3.99) values the equity at ~RMB365bn, so the operating business is being bought for ~RMB225bn, about 5.9x FY1 owner FCF (RMB223bn / RMB38bn) and &lt;2x pre-IFRS-16 EBITDA, on a 6.8% dividend yield. The house DCF (12x terminal cap, 9% RMB WACC) says the stock is worth far more than that, and the gap is almost entirely a governance/trapped-cash discount: a dividend-only model at the same 9% required return (RMB0.272 x 1.02 / 0.07 = RMB3.96 = HKD4.66) lands on the current price, i.e. the market gives zero credit for retained FCF or the cash hoard. The thesis therefore rests on (1) the 75%-and-rising payout policy, (2) capex continuing to fall as 5G build matures, and (3) the A/H premium (A-share RMB6.49 = HKD7.62) narrowing. Weighted value should be read as the owner's-economics value; the entry price at the 15% hurdle is the price at which the governance discount is paid for. No-re-rate memo: holding the terminal exit at today's ~5.9x owner FCF instead of the 12x cap takes the base value to roughly HKD6.95, so about HKD1.6/share of the HKD8.54 base value is the re-rating assumption and the remaining upside over the price is the bridge (cash, deposits, structured deposits and China Tower stake).
key_risks_to_valuation: Trapped-cash / governance risk: 70% state parent, Finance Company recycles group cash, capex and pricing follow national policy -- surplus assets credited at face in the bridge may never reach minority holders beyond the 75% payout.; VAT regime: the 2026 reclassification to 9% is modelled as permanent; a further reclassification (e.g. of cloud/ICT services) or renewed 'cut tariffs' campaigns would take another step out of net revenue with no cost offset. Government revenue needs can hit earnings with no appeal.; Revenue decline persisting beyond FY2026: H1 2026 -4.1%; saturated mobile market, regulator-driven tariff cuts, shrinking handset sales.; AIDC/computing-power capex overbuild: depreciation and capex stay elevated against under-utilised data-centre assets; bear case carries capex at 14.5-15%.; Industrial Digitalisation receivables: FY2025 OCF fell 13.8% on a ~RMB15bn receivables build; conversion of EBITDA to cash is the weakest link in the component build.; Cash tax normalisation: 14% cash rate vs 22% effective and 25% statutory; loss of western-region/high-tech preferential rates would cost ~RMB3-4bn/yr.; China Tower lease cost: 3.4% of revenue; a re-pricing of the tower services agreement moves owner FCF ~RMB5bn per 1pp.; FX: RMB-denominated value translated at CNY/HKD 1.1747; a 5% RMB depreciation is a 5% hit in HKD terms, and refresh_price.py does not update fx_rate.; Implied multiple expansion: the 12x terminal cap is ~2x the ~5.9x multiple the H-share trades on today; the required_return_table shows value at 15% still above the price only because of the bridge.</t>
  </si>
  <si>
    <t xml:space="preserve">Data sources</t>
  </si>
  <si>
    <t xml:space="preserve">price: Yahoo Finance chart API for 0728.HK at inputs.price_as_of (HKD); 52-week range 4.24-6.08. FX from Yahoo HKDCNY=X on 2026-10-11; A-share parity from 601728.SS same source.
financials: 0728.HK_Metrics.csv (FY2017-FY2025 annual, H1 2024-2026 interims, RMB millions) from core_metrics; component lines from 0728.HK_Annual_FY2025.txt (cash-flow statement lines 8143-8238, lease note 8164/11248, ROU depreciation 9802, Finance Company deposits 12292, dividend table 4225-4235, MD&amp;A 1834-1906) and 0728.HK_HalfYear_H1-2026.txt (balance sheet 2369-2466, cash-flow statement 2670-2712, MD&amp;A 1174-1270).
qualitative: 0728.HK_Analysis.json (2026-10-11): VAT reclassification, FY2026 capex guidance ~RMB73bn, Intelligence Business mix, consensus/broker moves; plus FY2025 annual report chairman's statement and MD&amp;A and H1 2026 interim report sections III-IV (strategy, AIDC/Xirang/Token operations, financial review).</t>
  </si>
  <si>
    <t xml:space="preserve">Scenario narrative: bear</t>
  </si>
  <si>
    <t xml:space="preserve">The FY2026 revenue decline (-5.5%) extends: the VAT step is followed by further regulator-driven tariff cuts, mobile and broadband ARPU erode in three-way price competition, goods sales keep shrinking, and Industrial Digitalisation growth stalls with a receivables build (FY2025 OCF -13.8% for that reason) that the margin path absorbs. AIDC capex (35% of the budget, built to national-policy mandates rather than demonstrated demand, against Alibaba/Tencent/Huawei Cloud) keeps capex at 14.5-15% with depreciation rising against under-utilised computing assets, EBITDA margin compresses to 24.5%, lease cost ticks up to 3.5%, and preferential tax regimes roll off toward the 25% statutory rate. Terminal growth 1%. The cash pile is still credited, so the bear is a margin-and-capex case, not a solvency case; consensus (CLSA -20% profit cuts, Goldman HKD4.20 Sell) sits closer to this path than to the base.</t>
  </si>
  <si>
    <t xml:space="preserve">Scenario narrative: base</t>
  </si>
  <si>
    <t xml:space="preserve">Revenue falls 3.5% in FY2026: H1 2026 printed -4.1% as the Jan-2026 VAT reclassification (6% -&gt; 9% on mobile data, SMS and broadband) permanently cut net revenue by ~1.5-2% on top of mobile ARPU pressure in a saturated market (130 subscriptions per 100 people) and shrinking handset sales. Growth grinds back to ~2% from FY2028 as Tianyi Cloud (RMB120.7bn, #2 IaaS in China), AIDC/computing-power services (8 GW capacity, 118.8 EFLOPS) and 5G-A/FTTR upgrades offset legacy decline; the Intelligence Business (12.8% of principal revenue in H1 2026, +7.1%) keeps missing the 20% mix target but grows. EBITDA margin resets to 26.0% in FY2026 (H1 2026 -1.2pp YoY) and recovers to 27.0% through AI-enabled cost control (H1 2026 opex -2.2%), never fully recouping the VAT step. Accrual capex follows the ~RMB73bn FY2026 guidance (14.2%) and tapers to 13.5%; China Tower lease cost held at 3.4%. Cash tax ramps from 16% to the 22% effective rate. The 75% payout (RMB24.9bn FY2025; interim DPS cut 11.4% with profit) continues; retained FCF and the ~RMB140bn surplus financial assets are credited at face.</t>
  </si>
  <si>
    <t xml:space="preserve">Scenario narrative: bull</t>
  </si>
  <si>
    <t xml:space="preserve">The VAT step laps in FY2027 and Industrial Digitalisation / AI monetisation (Token operations, TeleAgent, Xirang platform, Intelligence Business mix climbing toward the 20% target) return group revenue to 3% growth from FY2028 while the handset drag washes out; margin rebuilds to 28.0% as AI replaces labour and network-sharing with China Unicom deepens. Capex falls to 12.5% of revenue, lease cost edges down as tower-sharing terms improve, preferential tax regimes persist (20% cash rate), and the payout keeps rising above 75%, which is the trigger for the H-share discount and the 63% A/H premium to narrow.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</si>
  <si>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</si>
  <si>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</si>
  <si>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</si>
  <si>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</si>
  <si>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</si>
  <si>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</si>
  <si>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</si>
  <si>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</si>
  <si>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</si>
  <si>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</si>
  <si>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</si>
  <si>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</si>
  <si>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</si>
  <si>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</si>
  <si>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</si>
  <si>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</si>
  <si>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</si>
  <si>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</si>
  <si>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</si>
  <si>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</si>
  <si>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</si>
  <si>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</si>
  <si>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</si>
  <si>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</si>
  <si>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</si>
  <si>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</si>
  <si>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</si>
  <si>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</si>
  <si>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</si>
  <si>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</si>
  <si>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</si>
  <si>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</si>
  <si>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</si>
  <si>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</si>
  <si>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</si>
  <si>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</si>
  <si>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</si>
  <si>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</si>
  <si>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</si>
  <si>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</si>
  <si>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</si>
  <si>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</si>
  <si>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</si>
  <si>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</si>
  <si>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</si>
  <si>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</si>
  <si>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</si>
  <si>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</si>
  <si>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</si>
  <si>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</si>
  <si>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</si>
  <si>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</si>
  <si>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</si>
  <si>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</si>
  <si>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</si>
  <si>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</si>
  <si>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</si>
  <si>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</si>
  <si>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</si>
  <si>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</si>
  <si>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</si>
  <si>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</si>
  <si>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</si>
  <si>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</si>
  <si>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</si>
  <si>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</si>
  <si>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</si>
  <si>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</si>
  <si>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</si>
  <si>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</si>
  <si>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</si>
  <si>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</si>
  <si>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</si>
  <si>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0728.HK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</si>
  <si>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</si>
  <si>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</si>
  <si>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</si>
  <si>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</si>
  <si>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</si>
  <si>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</si>
  <si>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</si>
  <si>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</si>
  <si>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</si>
  <si>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</si>
  <si>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</si>
  <si>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</si>
  <si>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</si>
  <si>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</si>
  <si>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</si>
  <si>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</si>
  <si>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</si>
  <si>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</si>
  <si>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</si>
  <si>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</si>
  <si>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</si>
  <si>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</si>
  <si>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</si>
  <si>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</si>
  <si>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</si>
  <si>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</si>
  <si>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</si>
  <si>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</si>
  <si>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</si>
  <si>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</si>
  <si>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0728.HK owner-FCF component DCF: base case (millions, CNY)</t>
  </si>
  <si>
    <t xml:space="preserve">0728.HK owner-FCF component DCF: bull case (millions, CNY)</t>
  </si>
  <si>
    <t xml:space="preserve">0728.HK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</si>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</sst>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4.685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366229</v>
      </c>
      <c r="F2" s="0" t="n">
        <v>27220</v>
      </c>
      <c r="G2" s="0" t="n">
        <v>7.4</v>
      </c>
      <c r="H2" s="0" t="n">
        <v>102171</v>
      </c>
      <c r="I2" s="0" t="n">
        <v>18617</v>
      </c>
      <c r="J2" s="0" t="n">
        <v>5.1</v>
      </c>
      <c r="K2" s="0" t="n">
        <v>0.23</v>
      </c>
      <c r="L2" s="0" t="n">
        <v>96502</v>
      </c>
      <c r="M2" s="0" t="n">
        <v>87334</v>
      </c>
      <c r="N2" s="0" t="n">
        <v>9168</v>
      </c>
      <c r="O2" s="0" t="n">
        <v>325867</v>
      </c>
      <c r="P2" s="0" t="n">
        <v>661194</v>
      </c>
      <c r="Q2" s="0" t="n">
        <v>334497</v>
      </c>
      <c r="R2" s="0" t="n">
        <v>104300</v>
      </c>
      <c r="S2" s="0" t="n">
        <v>19410</v>
      </c>
      <c r="T2" s="0" t="n">
        <v>80932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377124</v>
      </c>
      <c r="F3" s="0" t="n">
        <v>28714</v>
      </c>
      <c r="G3" s="0" t="n">
        <v>7.6</v>
      </c>
      <c r="H3" s="0" t="n">
        <v>104207</v>
      </c>
      <c r="I3" s="0" t="n">
        <v>21210</v>
      </c>
      <c r="J3" s="0" t="n">
        <v>5.6</v>
      </c>
      <c r="K3" s="0" t="n">
        <v>0.26</v>
      </c>
      <c r="L3" s="0" t="n">
        <v>99298</v>
      </c>
      <c r="M3" s="0" t="n">
        <v>83835</v>
      </c>
      <c r="N3" s="0" t="n">
        <v>15463</v>
      </c>
      <c r="O3" s="0" t="n">
        <v>343069</v>
      </c>
      <c r="P3" s="0" t="n">
        <v>663382</v>
      </c>
      <c r="Q3" s="0" t="n">
        <v>319283</v>
      </c>
      <c r="R3" s="0" t="n">
        <v>95528</v>
      </c>
      <c r="S3" s="0" t="n">
        <v>16666</v>
      </c>
      <c r="T3" s="0" t="n">
        <v>80932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375734</v>
      </c>
      <c r="F4" s="0" t="n">
        <v>29070</v>
      </c>
      <c r="G4" s="0" t="n">
        <v>7.7</v>
      </c>
      <c r="H4" s="0" t="n">
        <v>117215</v>
      </c>
      <c r="I4" s="0" t="n">
        <v>20517</v>
      </c>
      <c r="J4" s="0" t="n">
        <v>5.5</v>
      </c>
      <c r="K4" s="0" t="n">
        <v>0.25</v>
      </c>
      <c r="L4" s="0" t="n">
        <v>112600</v>
      </c>
      <c r="M4" s="0" t="n">
        <v>82853</v>
      </c>
      <c r="N4" s="0" t="n">
        <v>29747</v>
      </c>
      <c r="O4" s="0" t="n">
        <v>352510</v>
      </c>
      <c r="P4" s="0" t="n">
        <v>703131</v>
      </c>
      <c r="Q4" s="0" t="n">
        <v>348091</v>
      </c>
      <c r="R4" s="0" t="n">
        <v>79022</v>
      </c>
      <c r="S4" s="0" t="n">
        <v>20791</v>
      </c>
      <c r="T4" s="0" t="n">
        <v>80932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393561</v>
      </c>
      <c r="F5" s="0" t="n">
        <v>28640</v>
      </c>
      <c r="G5" s="0" t="n">
        <v>7.3</v>
      </c>
      <c r="H5" s="0" t="n">
        <v>118880</v>
      </c>
      <c r="I5" s="0" t="n">
        <v>20850</v>
      </c>
      <c r="J5" s="0" t="n">
        <v>5.3</v>
      </c>
      <c r="K5" s="0" t="n">
        <v>0.26</v>
      </c>
      <c r="L5" s="0" t="n">
        <v>132260</v>
      </c>
      <c r="M5" s="0" t="n">
        <v>88748</v>
      </c>
      <c r="N5" s="0" t="n">
        <v>43512</v>
      </c>
      <c r="O5" s="0" t="n">
        <v>363456</v>
      </c>
      <c r="P5" s="0" t="n">
        <v>715096</v>
      </c>
      <c r="Q5" s="0" t="n">
        <v>348921</v>
      </c>
      <c r="R5" s="0" t="n">
        <v>53342</v>
      </c>
      <c r="S5" s="0" t="n">
        <v>23684</v>
      </c>
      <c r="T5" s="0" t="n">
        <v>80932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439552</v>
      </c>
      <c r="F6" s="0" t="n">
        <v>30947</v>
      </c>
      <c r="G6" s="0" t="n">
        <v>7</v>
      </c>
      <c r="H6" s="0" t="n">
        <v>123912</v>
      </c>
      <c r="I6" s="0" t="n">
        <v>25948</v>
      </c>
      <c r="J6" s="0" t="n">
        <v>5.9</v>
      </c>
      <c r="K6" s="0" t="n">
        <v>0.31</v>
      </c>
      <c r="L6" s="0" t="n">
        <v>137533</v>
      </c>
      <c r="M6" s="0" t="n">
        <v>84847</v>
      </c>
      <c r="N6" s="0" t="n">
        <v>52686</v>
      </c>
      <c r="O6" s="0" t="n">
        <v>428674</v>
      </c>
      <c r="P6" s="0" t="n">
        <v>762234</v>
      </c>
      <c r="Q6" s="0" t="n">
        <v>331066</v>
      </c>
      <c r="R6" s="0" t="n">
        <v>16496</v>
      </c>
      <c r="S6" s="0" t="n">
        <v>73281</v>
      </c>
      <c r="T6" s="0" t="n">
        <v>91507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481448</v>
      </c>
      <c r="F7" s="0" t="n">
        <v>33427</v>
      </c>
      <c r="G7" s="0" t="n">
        <v>6.9</v>
      </c>
      <c r="H7" s="0" t="n">
        <v>130359</v>
      </c>
      <c r="I7" s="0" t="n">
        <v>27593</v>
      </c>
      <c r="J7" s="0" t="n">
        <v>5.7</v>
      </c>
      <c r="K7" s="0" t="n">
        <v>0.3</v>
      </c>
      <c r="L7" s="0" t="n">
        <v>136432</v>
      </c>
      <c r="M7" s="0" t="n">
        <v>89705</v>
      </c>
      <c r="N7" s="0" t="n">
        <v>46727</v>
      </c>
      <c r="O7" s="0" t="n">
        <v>432089</v>
      </c>
      <c r="P7" s="0" t="n">
        <v>807698</v>
      </c>
      <c r="Q7" s="0" t="n">
        <v>371271</v>
      </c>
      <c r="R7" s="0" t="n">
        <v>10484</v>
      </c>
      <c r="S7" s="0" t="n">
        <v>72465</v>
      </c>
      <c r="T7" s="0" t="n">
        <v>91507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513551</v>
      </c>
      <c r="F8" s="0" t="n">
        <v>37128</v>
      </c>
      <c r="G8" s="0" t="n">
        <v>7.2</v>
      </c>
      <c r="H8" s="0" t="n">
        <v>136830</v>
      </c>
      <c r="I8" s="0" t="n">
        <v>30446</v>
      </c>
      <c r="J8" s="0" t="n">
        <v>5.9</v>
      </c>
      <c r="K8" s="0" t="n">
        <v>0.33</v>
      </c>
      <c r="L8" s="0" t="n">
        <v>137508</v>
      </c>
      <c r="M8" s="0" t="n">
        <v>89866</v>
      </c>
      <c r="N8" s="0" t="n">
        <v>47642</v>
      </c>
      <c r="O8" s="0" t="n">
        <v>442926</v>
      </c>
      <c r="P8" s="0" t="n">
        <v>835814</v>
      </c>
      <c r="Q8" s="0" t="n">
        <v>388647</v>
      </c>
      <c r="R8" s="0" t="n">
        <v>9142</v>
      </c>
      <c r="S8" s="0" t="n">
        <v>81046</v>
      </c>
      <c r="T8" s="0" t="n">
        <v>91507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529417</v>
      </c>
      <c r="F9" s="0" t="n">
        <v>39803</v>
      </c>
      <c r="G9" s="0" t="n">
        <v>7.5</v>
      </c>
      <c r="H9" s="0" t="n">
        <v>140847</v>
      </c>
      <c r="I9" s="0" t="n">
        <v>33012</v>
      </c>
      <c r="J9" s="0" t="n">
        <v>6.2</v>
      </c>
      <c r="K9" s="0" t="n">
        <v>0.36</v>
      </c>
      <c r="L9" s="0" t="n">
        <v>145049</v>
      </c>
      <c r="M9" s="0" t="n">
        <v>89928</v>
      </c>
      <c r="N9" s="0" t="n">
        <v>55121</v>
      </c>
      <c r="O9" s="0" t="n">
        <v>452390</v>
      </c>
      <c r="P9" s="0" t="n">
        <v>866625</v>
      </c>
      <c r="Q9" s="0" t="n">
        <v>410073</v>
      </c>
      <c r="R9" s="0" t="n">
        <v>11532</v>
      </c>
      <c r="S9" s="0" t="n">
        <v>82207</v>
      </c>
      <c r="T9" s="0" t="n">
        <v>91507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529559</v>
      </c>
      <c r="F10" s="0" t="n">
        <v>39674</v>
      </c>
      <c r="G10" s="0" t="n">
        <v>7.5</v>
      </c>
      <c r="H10" s="0" t="n">
        <v>143872</v>
      </c>
      <c r="I10" s="0" t="n">
        <v>33185</v>
      </c>
      <c r="J10" s="0" t="n">
        <v>6.3</v>
      </c>
      <c r="K10" s="0" t="n">
        <v>0.36</v>
      </c>
      <c r="L10" s="0" t="n">
        <v>125069</v>
      </c>
      <c r="M10" s="0" t="n">
        <v>73115</v>
      </c>
      <c r="N10" s="0" t="n">
        <v>51954</v>
      </c>
      <c r="O10" s="0" t="n">
        <v>460828</v>
      </c>
      <c r="P10" s="0" t="n">
        <v>870644</v>
      </c>
      <c r="Q10" s="0" t="n">
        <v>402384</v>
      </c>
      <c r="R10" s="0" t="n">
        <v>10023</v>
      </c>
      <c r="S10" s="0" t="n">
        <v>61394</v>
      </c>
      <c r="T10" s="0" t="n">
        <v>91507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4.685</v>
      </c>
    </row>
    <row r="3" customFormat="false" ht="15" hidden="false" customHeight="false" outlineLevel="0" collapsed="false">
      <c r="A3" s="0" t="s">
        <v>76</v>
      </c>
      <c r="B3" s="3" t="n">
        <v>91507</v>
      </c>
    </row>
    <row r="4" customFormat="false" ht="15" hidden="false" customHeight="false" outlineLevel="0" collapsed="false">
      <c r="A4" s="0" t="s">
        <v>77</v>
      </c>
      <c r="B4" s="3" t="n">
        <v>-32162</v>
      </c>
    </row>
    <row r="5" customFormat="false" ht="15" hidden="false" customHeight="false" outlineLevel="0" collapsed="false">
      <c r="A5" s="0" t="s">
        <v>78</v>
      </c>
      <c r="B5" s="3" t="n">
        <v>109615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529559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1.1747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-5.5</v>
      </c>
      <c r="D13" s="3" t="n">
        <v>-2</v>
      </c>
      <c r="E13" s="3" t="n">
        <v>-1</v>
      </c>
      <c r="F13" s="3" t="n">
        <v>0</v>
      </c>
      <c r="G13" s="3" t="n">
        <v>0.5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25.5</v>
      </c>
      <c r="D14" s="3" t="n">
        <v>25.2</v>
      </c>
      <c r="E14" s="3" t="n">
        <v>25</v>
      </c>
      <c r="F14" s="3" t="n">
        <v>24.8</v>
      </c>
      <c r="G14" s="3" t="n">
        <v>24.5</v>
      </c>
      <c r="H14" s="3" t="n">
        <v>24.5</v>
      </c>
      <c r="I14" s="3" t="n">
        <v>24.5</v>
      </c>
      <c r="J14" s="3" t="n">
        <v>24.5</v>
      </c>
      <c r="K14" s="3" t="n">
        <v>24.5</v>
      </c>
      <c r="L14" s="3" t="n">
        <v>24.5</v>
      </c>
    </row>
    <row r="15" customFormat="false" ht="15" hidden="false" customHeight="false" outlineLevel="0" collapsed="false">
      <c r="A15" s="0" t="s">
        <v>98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99</v>
      </c>
      <c r="C16" s="3" t="n">
        <v>3.5</v>
      </c>
      <c r="D16" s="3" t="n">
        <v>3.5</v>
      </c>
      <c r="E16" s="3" t="n">
        <v>3.5</v>
      </c>
      <c r="F16" s="3" t="n">
        <v>3.5</v>
      </c>
      <c r="G16" s="3" t="n">
        <v>3.5</v>
      </c>
      <c r="H16" s="3" t="n">
        <v>3.5</v>
      </c>
      <c r="I16" s="3" t="n">
        <v>3.5</v>
      </c>
      <c r="J16" s="3" t="n">
        <v>3.5</v>
      </c>
      <c r="K16" s="3" t="n">
        <v>3.5</v>
      </c>
      <c r="L16" s="3" t="n">
        <v>3.5</v>
      </c>
    </row>
    <row r="17" customFormat="false" ht="15" hidden="false" customHeight="false" outlineLevel="0" collapsed="false">
      <c r="A17" s="0" t="s">
        <v>100</v>
      </c>
      <c r="C17" s="3" t="n">
        <v>16.3</v>
      </c>
      <c r="D17" s="3" t="n">
        <v>16.1</v>
      </c>
      <c r="E17" s="3" t="n">
        <v>15.9</v>
      </c>
      <c r="F17" s="3" t="n">
        <v>15.7</v>
      </c>
      <c r="G17" s="3" t="n">
        <v>15.5</v>
      </c>
      <c r="H17" s="3" t="n">
        <v>15.3</v>
      </c>
      <c r="I17" s="3" t="n">
        <v>15.1</v>
      </c>
      <c r="J17" s="3" t="n">
        <v>15</v>
      </c>
      <c r="K17" s="3" t="n">
        <v>15</v>
      </c>
      <c r="L17" s="3" t="n">
        <v>15</v>
      </c>
    </row>
    <row r="18" customFormat="false" ht="15" hidden="false" customHeight="false" outlineLevel="0" collapsed="false">
      <c r="A18" s="0" t="s">
        <v>101</v>
      </c>
      <c r="C18" s="3" t="n">
        <v>14.5</v>
      </c>
      <c r="D18" s="3" t="n">
        <v>14.8</v>
      </c>
      <c r="E18" s="3" t="n">
        <v>14.8</v>
      </c>
      <c r="F18" s="3" t="n">
        <v>14.6</v>
      </c>
      <c r="G18" s="3" t="n">
        <v>14.5</v>
      </c>
      <c r="H18" s="3" t="n">
        <v>14.5</v>
      </c>
      <c r="I18" s="3" t="n">
        <v>14.5</v>
      </c>
      <c r="J18" s="3" t="n">
        <v>14.5</v>
      </c>
      <c r="K18" s="3" t="n">
        <v>14.5</v>
      </c>
      <c r="L18" s="3" t="n">
        <v>14.5</v>
      </c>
    </row>
    <row r="19" customFormat="false" ht="15" hidden="false" customHeight="false" outlineLevel="0" collapsed="false">
      <c r="A19" s="0" t="s">
        <v>102</v>
      </c>
      <c r="C19" s="3" t="n">
        <v>17</v>
      </c>
      <c r="D19" s="3" t="n">
        <v>19</v>
      </c>
      <c r="E19" s="3" t="n">
        <v>21</v>
      </c>
      <c r="F19" s="3" t="n">
        <v>23</v>
      </c>
      <c r="G19" s="3" t="n">
        <v>24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103</v>
      </c>
      <c r="B20" s="3" t="n">
        <v>9</v>
      </c>
    </row>
    <row r="21" customFormat="false" ht="15" hidden="false" customHeight="false" outlineLevel="0" collapsed="false">
      <c r="A21" s="0" t="s">
        <v>104</v>
      </c>
      <c r="B21" s="3" t="n">
        <v>1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0</v>
      </c>
    </row>
    <row r="24" customFormat="false" ht="15" hidden="false" customHeight="false" outlineLevel="0" collapsed="false">
      <c r="A24" s="0" t="s">
        <v>107</v>
      </c>
      <c r="B24" s="3" t="n">
        <v>0.3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-3.5</v>
      </c>
      <c r="D27" s="3" t="n">
        <v>0.5</v>
      </c>
      <c r="E27" s="3" t="n">
        <v>1.5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26</v>
      </c>
      <c r="D28" s="3" t="n">
        <v>26.3</v>
      </c>
      <c r="E28" s="3" t="n">
        <v>26.6</v>
      </c>
      <c r="F28" s="3" t="n">
        <v>26.8</v>
      </c>
      <c r="G28" s="3" t="n">
        <v>27</v>
      </c>
      <c r="H28" s="3" t="n">
        <v>27</v>
      </c>
      <c r="I28" s="3" t="n">
        <v>27</v>
      </c>
      <c r="J28" s="3" t="n">
        <v>27</v>
      </c>
      <c r="K28" s="3" t="n">
        <v>27</v>
      </c>
      <c r="L28" s="3" t="n">
        <v>27</v>
      </c>
    </row>
    <row r="29" customFormat="false" ht="15" hidden="false" customHeight="false" outlineLevel="0" collapsed="false">
      <c r="A29" s="0" t="s">
        <v>98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99</v>
      </c>
      <c r="C30" s="3" t="n">
        <v>3.4</v>
      </c>
      <c r="D30" s="3" t="n">
        <v>3.4</v>
      </c>
      <c r="E30" s="3" t="n">
        <v>3.4</v>
      </c>
      <c r="F30" s="3" t="n">
        <v>3.4</v>
      </c>
      <c r="G30" s="3" t="n">
        <v>3.4</v>
      </c>
      <c r="H30" s="3" t="n">
        <v>3.4</v>
      </c>
      <c r="I30" s="3" t="n">
        <v>3.4</v>
      </c>
      <c r="J30" s="3" t="n">
        <v>3.4</v>
      </c>
      <c r="K30" s="3" t="n">
        <v>3.4</v>
      </c>
      <c r="L30" s="3" t="n">
        <v>3.4</v>
      </c>
    </row>
    <row r="31" customFormat="false" ht="15" hidden="false" customHeight="false" outlineLevel="0" collapsed="false">
      <c r="A31" s="0" t="s">
        <v>100</v>
      </c>
      <c r="C31" s="3" t="n">
        <v>16.3</v>
      </c>
      <c r="D31" s="3" t="n">
        <v>16</v>
      </c>
      <c r="E31" s="3" t="n">
        <v>15.7</v>
      </c>
      <c r="F31" s="3" t="n">
        <v>15.4</v>
      </c>
      <c r="G31" s="3" t="n">
        <v>15.1</v>
      </c>
      <c r="H31" s="3" t="n">
        <v>14.9</v>
      </c>
      <c r="I31" s="3" t="n">
        <v>14.7</v>
      </c>
      <c r="J31" s="3" t="n">
        <v>14.5</v>
      </c>
      <c r="K31" s="3" t="n">
        <v>14.4</v>
      </c>
      <c r="L31" s="3" t="n">
        <v>14.3</v>
      </c>
    </row>
    <row r="32" customFormat="false" ht="15" hidden="false" customHeight="false" outlineLevel="0" collapsed="false">
      <c r="A32" s="0" t="s">
        <v>101</v>
      </c>
      <c r="C32" s="3" t="n">
        <v>14.2</v>
      </c>
      <c r="D32" s="3" t="n">
        <v>14</v>
      </c>
      <c r="E32" s="3" t="n">
        <v>13.8</v>
      </c>
      <c r="F32" s="3" t="n">
        <v>13.6</v>
      </c>
      <c r="G32" s="3" t="n">
        <v>13.5</v>
      </c>
      <c r="H32" s="3" t="n">
        <v>13.5</v>
      </c>
      <c r="I32" s="3" t="n">
        <v>13.5</v>
      </c>
      <c r="J32" s="3" t="n">
        <v>13.5</v>
      </c>
      <c r="K32" s="3" t="n">
        <v>13.5</v>
      </c>
      <c r="L32" s="3" t="n">
        <v>13.5</v>
      </c>
    </row>
    <row r="33" customFormat="false" ht="15" hidden="false" customHeight="false" outlineLevel="0" collapsed="false">
      <c r="A33" s="0" t="s">
        <v>102</v>
      </c>
      <c r="C33" s="3" t="n">
        <v>16</v>
      </c>
      <c r="D33" s="3" t="n">
        <v>17</v>
      </c>
      <c r="E33" s="3" t="n">
        <v>18</v>
      </c>
      <c r="F33" s="3" t="n">
        <v>19</v>
      </c>
      <c r="G33" s="3" t="n">
        <v>20</v>
      </c>
      <c r="H33" s="3" t="n">
        <v>21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103</v>
      </c>
      <c r="B34" s="3" t="n">
        <v>9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12</v>
      </c>
    </row>
    <row r="37" customFormat="false" ht="15" hidden="false" customHeight="false" outlineLevel="0" collapsed="false">
      <c r="A37" s="0" t="s">
        <v>106</v>
      </c>
      <c r="B37" s="3" t="n">
        <v>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-2.5</v>
      </c>
      <c r="D41" s="3" t="n">
        <v>2</v>
      </c>
      <c r="E41" s="3" t="n">
        <v>3</v>
      </c>
      <c r="F41" s="3" t="n">
        <v>3</v>
      </c>
      <c r="G41" s="3" t="n">
        <v>3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97</v>
      </c>
      <c r="C42" s="3" t="n">
        <v>26.4</v>
      </c>
      <c r="D42" s="3" t="n">
        <v>27</v>
      </c>
      <c r="E42" s="3" t="n">
        <v>27.5</v>
      </c>
      <c r="F42" s="3" t="n">
        <v>27.8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98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99</v>
      </c>
      <c r="C44" s="3" t="n">
        <v>3.4</v>
      </c>
      <c r="D44" s="3" t="n">
        <v>3.3</v>
      </c>
      <c r="E44" s="3" t="n">
        <v>3.3</v>
      </c>
      <c r="F44" s="3" t="n">
        <v>3.2</v>
      </c>
      <c r="G44" s="3" t="n">
        <v>3.2</v>
      </c>
      <c r="H44" s="3" t="n">
        <v>3.2</v>
      </c>
      <c r="I44" s="3" t="n">
        <v>3.2</v>
      </c>
      <c r="J44" s="3" t="n">
        <v>3.2</v>
      </c>
      <c r="K44" s="3" t="n">
        <v>3.2</v>
      </c>
      <c r="L44" s="3" t="n">
        <v>3.2</v>
      </c>
    </row>
    <row r="45" customFormat="false" ht="15" hidden="false" customHeight="false" outlineLevel="0" collapsed="false">
      <c r="A45" s="0" t="s">
        <v>100</v>
      </c>
      <c r="C45" s="3" t="n">
        <v>16.3</v>
      </c>
      <c r="D45" s="3" t="n">
        <v>16</v>
      </c>
      <c r="E45" s="3" t="n">
        <v>15.7</v>
      </c>
      <c r="F45" s="3" t="n">
        <v>15.4</v>
      </c>
      <c r="G45" s="3" t="n">
        <v>15.1</v>
      </c>
      <c r="H45" s="3" t="n">
        <v>14.9</v>
      </c>
      <c r="I45" s="3" t="n">
        <v>14.7</v>
      </c>
      <c r="J45" s="3" t="n">
        <v>14.5</v>
      </c>
      <c r="K45" s="3" t="n">
        <v>14.4</v>
      </c>
      <c r="L45" s="3" t="n">
        <v>14.3</v>
      </c>
    </row>
    <row r="46" customFormat="false" ht="15" hidden="false" customHeight="false" outlineLevel="0" collapsed="false">
      <c r="A46" s="0" t="s">
        <v>101</v>
      </c>
      <c r="C46" s="3" t="n">
        <v>14</v>
      </c>
      <c r="D46" s="3" t="n">
        <v>13.5</v>
      </c>
      <c r="E46" s="3" t="n">
        <v>13.2</v>
      </c>
      <c r="F46" s="3" t="n">
        <v>12.8</v>
      </c>
      <c r="G46" s="3" t="n">
        <v>12.5</v>
      </c>
      <c r="H46" s="3" t="n">
        <v>12.5</v>
      </c>
      <c r="I46" s="3" t="n">
        <v>12.5</v>
      </c>
      <c r="J46" s="3" t="n">
        <v>12.5</v>
      </c>
      <c r="K46" s="3" t="n">
        <v>12.5</v>
      </c>
      <c r="L46" s="3" t="n">
        <v>12.5</v>
      </c>
    </row>
    <row r="47" customFormat="false" ht="15" hidden="false" customHeight="false" outlineLevel="0" collapsed="false">
      <c r="A47" s="0" t="s">
        <v>102</v>
      </c>
      <c r="C47" s="3" t="n">
        <v>15</v>
      </c>
      <c r="D47" s="3" t="n">
        <v>16</v>
      </c>
      <c r="E47" s="3" t="n">
        <v>17</v>
      </c>
      <c r="F47" s="3" t="n">
        <v>18</v>
      </c>
      <c r="G47" s="3" t="n">
        <v>19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103</v>
      </c>
      <c r="B48" s="3" t="n">
        <v>9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12</v>
      </c>
    </row>
    <row r="51" customFormat="false" ht="15" hidden="false" customHeight="false" outlineLevel="0" collapsed="false">
      <c r="A51" s="0" t="s">
        <v>106</v>
      </c>
      <c r="B51" s="3" t="n">
        <v>0</v>
      </c>
    </row>
    <row r="52" customFormat="false" ht="15" hidden="false" customHeight="false" outlineLevel="0" collapsed="false">
      <c r="A52" s="0" t="s">
        <v>107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-5.5</v>
      </c>
      <c r="D5" s="4" t="n">
        <f aca="false">Assumptions!D13</f>
        <v>-2</v>
      </c>
      <c r="E5" s="4" t="n">
        <f aca="false">Assumptions!E13</f>
        <v>-1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529559</v>
      </c>
      <c r="C6" s="0" t="n">
        <f aca="false">B6*(1+C5/100)</f>
        <v>500433.255</v>
      </c>
      <c r="D6" s="0" t="n">
        <f aca="false">C6*(1+D5/100)</f>
        <v>490424.5899</v>
      </c>
      <c r="E6" s="0" t="n">
        <f aca="false">D6*(1+E5/100)</f>
        <v>485520.344001</v>
      </c>
      <c r="F6" s="0" t="n">
        <f aca="false">E6*(1+F5/100)</f>
        <v>485520.344001</v>
      </c>
      <c r="G6" s="0" t="n">
        <f aca="false">F6*(1+G5/100)</f>
        <v>487947.945721005</v>
      </c>
      <c r="H6" s="0" t="n">
        <f aca="false">G6*(1+H5/100)</f>
        <v>492827.425178215</v>
      </c>
      <c r="I6" s="0" t="n">
        <f aca="false">H6*(1+I5/100)</f>
        <v>497755.699429997</v>
      </c>
      <c r="J6" s="0" t="n">
        <f aca="false">I6*(1+J5/100)</f>
        <v>502733.256424297</v>
      </c>
      <c r="K6" s="0" t="n">
        <f aca="false">J6*(1+K5/100)</f>
        <v>507760.58898854</v>
      </c>
      <c r="L6" s="0" t="n">
        <f aca="false">K6*(1+L5/100)</f>
        <v>512838.194878425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25.5</v>
      </c>
      <c r="D7" s="4" t="n">
        <f aca="false">Assumptions!D14</f>
        <v>25.2</v>
      </c>
      <c r="E7" s="4" t="n">
        <f aca="false">Assumptions!E14</f>
        <v>25</v>
      </c>
      <c r="F7" s="4" t="n">
        <f aca="false">Assumptions!F14</f>
        <v>24.8</v>
      </c>
      <c r="G7" s="4" t="n">
        <f aca="false">Assumptions!G14</f>
        <v>24.5</v>
      </c>
      <c r="H7" s="4" t="n">
        <f aca="false">Assumptions!H14</f>
        <v>24.5</v>
      </c>
      <c r="I7" s="4" t="n">
        <f aca="false">Assumptions!I14</f>
        <v>24.5</v>
      </c>
      <c r="J7" s="4" t="n">
        <f aca="false">Assumptions!J14</f>
        <v>24.5</v>
      </c>
      <c r="K7" s="4" t="n">
        <f aca="false">Assumptions!K14</f>
        <v>24.5</v>
      </c>
      <c r="L7" s="4" t="n">
        <f aca="false">Assumptions!L14</f>
        <v>24.5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127610.480025</v>
      </c>
      <c r="D8" s="0" t="n">
        <f aca="false">D6*D7/100</f>
        <v>123586.9966548</v>
      </c>
      <c r="E8" s="0" t="n">
        <f aca="false">E6*E7/100</f>
        <v>121380.08600025</v>
      </c>
      <c r="F8" s="0" t="n">
        <f aca="false">F6*F7/100</f>
        <v>120409.045312248</v>
      </c>
      <c r="G8" s="0" t="n">
        <f aca="false">G6*G7/100</f>
        <v>119547.246701646</v>
      </c>
      <c r="H8" s="0" t="n">
        <f aca="false">H6*H7/100</f>
        <v>120742.719168663</v>
      </c>
      <c r="I8" s="0" t="n">
        <f aca="false">I6*I7/100</f>
        <v>121950.146360349</v>
      </c>
      <c r="J8" s="0" t="n">
        <f aca="false">J6*J7/100</f>
        <v>123169.647823953</v>
      </c>
      <c r="K8" s="0" t="n">
        <f aca="false">K6*K7/100</f>
        <v>124401.344302192</v>
      </c>
      <c r="L8" s="0" t="n">
        <f aca="false">L6*L7/100</f>
        <v>125645.357745214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110095.3161</v>
      </c>
      <c r="D11" s="0" t="n">
        <f aca="false">D8+D10+D24</f>
        <v>106422.1360083</v>
      </c>
      <c r="E11" s="0" t="n">
        <f aca="false">E8+E10+E24</f>
        <v>104386.873960215</v>
      </c>
      <c r="F11" s="0" t="n">
        <f aca="false">F8+F10+F24</f>
        <v>103415.833272213</v>
      </c>
      <c r="G11" s="0" t="n">
        <f aca="false">G8+G10+G24</f>
        <v>102469.068601411</v>
      </c>
      <c r="H11" s="0" t="n">
        <f aca="false">H8+H10+H24</f>
        <v>103493.759287425</v>
      </c>
      <c r="I11" s="0" t="n">
        <f aca="false">I8+I10+I24</f>
        <v>104528.696880299</v>
      </c>
      <c r="J11" s="0" t="n">
        <f aca="false">J8+J10+J24</f>
        <v>105573.983849102</v>
      </c>
      <c r="K11" s="0" t="n">
        <f aca="false">K8+K10+K24</f>
        <v>106629.723687593</v>
      </c>
      <c r="L11" s="0" t="n">
        <f aca="false">L8+L10+L24</f>
        <v>107696.020924469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-81570.620565</v>
      </c>
      <c r="D12" s="4" t="n">
        <f aca="false">-D6*Assumptions!D17/100</f>
        <v>-78958.3589739</v>
      </c>
      <c r="E12" s="4" t="n">
        <f aca="false">-E6*Assumptions!E17/100</f>
        <v>-77197.734696159</v>
      </c>
      <c r="F12" s="4" t="n">
        <f aca="false">-F6*Assumptions!F17/100</f>
        <v>-76226.694008157</v>
      </c>
      <c r="G12" s="4" t="n">
        <f aca="false">-G6*Assumptions!G17/100</f>
        <v>-75631.9315867558</v>
      </c>
      <c r="H12" s="4" t="n">
        <f aca="false">-H6*Assumptions!H17/100</f>
        <v>-75402.5960522669</v>
      </c>
      <c r="I12" s="4" t="n">
        <f aca="false">-I6*Assumptions!I17/100</f>
        <v>-75161.1106139296</v>
      </c>
      <c r="J12" s="4" t="n">
        <f aca="false">-J6*Assumptions!J17/100</f>
        <v>-75409.9884636446</v>
      </c>
      <c r="K12" s="4" t="n">
        <f aca="false">-K6*Assumptions!K17/100</f>
        <v>-76164.088348281</v>
      </c>
      <c r="L12" s="4" t="n">
        <f aca="false">-L6*Assumptions!L17/100</f>
        <v>-76925.7292317638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28524.695535</v>
      </c>
      <c r="D13" s="0" t="n">
        <f aca="false">D11+D12</f>
        <v>27463.7770344</v>
      </c>
      <c r="E13" s="0" t="n">
        <f aca="false">E11+E12</f>
        <v>27189.139264056</v>
      </c>
      <c r="F13" s="0" t="n">
        <f aca="false">F11+F12</f>
        <v>27189.139264056</v>
      </c>
      <c r="G13" s="0" t="n">
        <f aca="false">G11+G12</f>
        <v>26837.1370146553</v>
      </c>
      <c r="H13" s="0" t="n">
        <f aca="false">H11+H12</f>
        <v>28091.1632351583</v>
      </c>
      <c r="I13" s="0" t="n">
        <f aca="false">I11+I12</f>
        <v>29367.5862663698</v>
      </c>
      <c r="J13" s="0" t="n">
        <f aca="false">J11+J12</f>
        <v>30163.9953854578</v>
      </c>
      <c r="K13" s="0" t="n">
        <f aca="false">K11+K12</f>
        <v>30465.6353393124</v>
      </c>
      <c r="L13" s="0" t="n">
        <f aca="false">L11+L12</f>
        <v>30770.2916927055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17</v>
      </c>
      <c r="D14" s="4" t="n">
        <f aca="false">Assumptions!D19</f>
        <v>19</v>
      </c>
      <c r="E14" s="4" t="n">
        <f aca="false">Assumptions!E19</f>
        <v>21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23675.49729405</v>
      </c>
      <c r="D15" s="0" t="n">
        <f aca="false">D13-MAX(0,D13)*D14/100</f>
        <v>22245.659397864</v>
      </c>
      <c r="E15" s="0" t="n">
        <f aca="false">E13-MAX(0,E13)*E14/100</f>
        <v>21479.4200186042</v>
      </c>
      <c r="F15" s="0" t="n">
        <f aca="false">F13-MAX(0,F13)*F14/100</f>
        <v>20935.6372333231</v>
      </c>
      <c r="G15" s="0" t="n">
        <f aca="false">G13-MAX(0,G13)*G14/100</f>
        <v>20396.224131138</v>
      </c>
      <c r="H15" s="0" t="n">
        <f aca="false">H13-MAX(0,H13)*H14/100</f>
        <v>21068.3724263687</v>
      </c>
      <c r="I15" s="0" t="n">
        <f aca="false">I13-MAX(0,I13)*I14/100</f>
        <v>22025.6896997774</v>
      </c>
      <c r="J15" s="0" t="n">
        <f aca="false">J13-MAX(0,J13)*J14/100</f>
        <v>22622.9965390934</v>
      </c>
      <c r="K15" s="0" t="n">
        <f aca="false">K13-MAX(0,K13)*K14/100</f>
        <v>22849.2265044843</v>
      </c>
      <c r="L15" s="0" t="n">
        <f aca="false">L13-MAX(0,L13)*L14/100</f>
        <v>23077.7187695291</v>
      </c>
    </row>
    <row r="16" customFormat="false" ht="15" hidden="false" customHeight="false" outlineLevel="0" collapsed="false">
      <c r="A16" s="0" t="s">
        <v>118</v>
      </c>
      <c r="C16" s="0" t="n">
        <f aca="false">-C12</f>
        <v>81570.620565</v>
      </c>
      <c r="D16" s="0" t="n">
        <f aca="false">-D12</f>
        <v>78958.3589739</v>
      </c>
      <c r="E16" s="0" t="n">
        <f aca="false">-E12</f>
        <v>77197.734696159</v>
      </c>
      <c r="F16" s="0" t="n">
        <f aca="false">-F12</f>
        <v>76226.694008157</v>
      </c>
      <c r="G16" s="0" t="n">
        <f aca="false">-G12</f>
        <v>75631.9315867558</v>
      </c>
      <c r="H16" s="0" t="n">
        <f aca="false">-H12</f>
        <v>75402.5960522669</v>
      </c>
      <c r="I16" s="0" t="n">
        <f aca="false">-I12</f>
        <v>75161.1106139296</v>
      </c>
      <c r="J16" s="0" t="n">
        <f aca="false">-J12</f>
        <v>75409.9884636446</v>
      </c>
      <c r="K16" s="0" t="n">
        <f aca="false">-K12</f>
        <v>76164.088348281</v>
      </c>
      <c r="L16" s="0" t="n">
        <f aca="false">-L12</f>
        <v>76925.7292317638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-72562.821975</v>
      </c>
      <c r="D17" s="4" t="n">
        <f aca="false">-D6*Assumptions!D18/100</f>
        <v>-72582.8393052</v>
      </c>
      <c r="E17" s="4" t="n">
        <f aca="false">-E6*Assumptions!E18/100</f>
        <v>-71857.010912148</v>
      </c>
      <c r="F17" s="4" t="n">
        <f aca="false">-F6*Assumptions!F18/100</f>
        <v>-70885.970224146</v>
      </c>
      <c r="G17" s="4" t="n">
        <f aca="false">-G6*Assumptions!G18/100</f>
        <v>-70752.4521295457</v>
      </c>
      <c r="H17" s="4" t="n">
        <f aca="false">-H6*Assumptions!H18/100</f>
        <v>-71459.9766508412</v>
      </c>
      <c r="I17" s="4" t="n">
        <f aca="false">-I6*Assumptions!I18/100</f>
        <v>-72174.5764173496</v>
      </c>
      <c r="J17" s="4" t="n">
        <f aca="false">-J6*Assumptions!J18/100</f>
        <v>-72896.3221815231</v>
      </c>
      <c r="K17" s="4" t="n">
        <f aca="false">-K6*Assumptions!K18/100</f>
        <v>-73625.2854033383</v>
      </c>
      <c r="L17" s="4" t="n">
        <f aca="false">-L6*Assumptions!L18/100</f>
        <v>-74361.5382573717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-0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32683.29588405</v>
      </c>
      <c r="D19" s="0" t="n">
        <f aca="false">D15+D16+D17+D18</f>
        <v>28621.179066564</v>
      </c>
      <c r="E19" s="0" t="n">
        <f aca="false">E15+E16+E17+E18</f>
        <v>26820.1438026152</v>
      </c>
      <c r="F19" s="0" t="n">
        <f aca="false">F15+F16+F17+F18</f>
        <v>26276.3610173341</v>
      </c>
      <c r="G19" s="0" t="n">
        <f aca="false">G15+G16+G17+G18</f>
        <v>25275.7035883481</v>
      </c>
      <c r="H19" s="0" t="n">
        <f aca="false">H15+H16+H17+H18</f>
        <v>25010.9918277944</v>
      </c>
      <c r="I19" s="0" t="n">
        <f aca="false">I15+I16+I17+I18</f>
        <v>25012.2238963574</v>
      </c>
      <c r="J19" s="0" t="n">
        <f aca="false">J15+J16+J17+J18</f>
        <v>25136.6628212149</v>
      </c>
      <c r="K19" s="0" t="n">
        <f aca="false">K15+K16+K17+K18</f>
        <v>25388.029449427</v>
      </c>
      <c r="L19" s="0" t="n">
        <f aca="false">L15+L16+L17+L18</f>
        <v>25641.9097439213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29984.6751229817</v>
      </c>
      <c r="D21" s="0" t="n">
        <f aca="false">D19*D20</f>
        <v>24089.8738040266</v>
      </c>
      <c r="E21" s="0" t="n">
        <f aca="false">E19*E20</f>
        <v>20710.0719772416</v>
      </c>
      <c r="F21" s="0" t="n">
        <f aca="false">F19*F20</f>
        <v>18614.8365997302</v>
      </c>
      <c r="G21" s="0" t="n">
        <f aca="false">G19*G20</f>
        <v>16427.4730728411</v>
      </c>
      <c r="H21" s="0" t="n">
        <f aca="false">H19*H20</f>
        <v>14913.2372397569</v>
      </c>
      <c r="I21" s="0" t="n">
        <f aca="false">I19*I20</f>
        <v>13682.5430109958</v>
      </c>
      <c r="J21" s="0" t="n">
        <f aca="false">J19*J20</f>
        <v>12615.2434534719</v>
      </c>
      <c r="K21" s="0" t="n">
        <f aca="false">K19*K20</f>
        <v>11689.3540256941</v>
      </c>
      <c r="L21" s="0" t="n">
        <f aca="false">L19*L20</f>
        <v>10831.4197852762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3.5</v>
      </c>
      <c r="D23" s="4" t="n">
        <f aca="false">Assumptions!D16</f>
        <v>3.5</v>
      </c>
      <c r="E23" s="4" t="n">
        <f aca="false">Assumptions!E16</f>
        <v>3.5</v>
      </c>
      <c r="F23" s="4" t="n">
        <f aca="false">Assumptions!F16</f>
        <v>3.5</v>
      </c>
      <c r="G23" s="4" t="n">
        <f aca="false">Assumptions!G16</f>
        <v>3.5</v>
      </c>
      <c r="H23" s="4" t="n">
        <f aca="false">Assumptions!H16</f>
        <v>3.5</v>
      </c>
      <c r="I23" s="4" t="n">
        <f aca="false">Assumptions!I16</f>
        <v>3.5</v>
      </c>
      <c r="J23" s="4" t="n">
        <f aca="false">Assumptions!J16</f>
        <v>3.5</v>
      </c>
      <c r="K23" s="4" t="n">
        <f aca="false">Assumptions!K16</f>
        <v>3.5</v>
      </c>
      <c r="L23" s="4" t="n">
        <f aca="false">Assumptions!L16</f>
        <v>3.5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-17515.163925</v>
      </c>
      <c r="D24" s="0" t="n">
        <f aca="false">-D6*D23/100</f>
        <v>-17164.8606465</v>
      </c>
      <c r="E24" s="0" t="n">
        <f aca="false">-E6*E23/100</f>
        <v>-16993.212040035</v>
      </c>
      <c r="F24" s="0" t="n">
        <f aca="false">-F6*F23/100</f>
        <v>-16993.212040035</v>
      </c>
      <c r="G24" s="0" t="n">
        <f aca="false">-G6*G23/100</f>
        <v>-17078.1781002352</v>
      </c>
      <c r="H24" s="0" t="n">
        <f aca="false">-H6*H23/100</f>
        <v>-17248.9598812375</v>
      </c>
      <c r="I24" s="0" t="n">
        <f aca="false">-I6*I23/100</f>
        <v>-17421.4494800499</v>
      </c>
      <c r="J24" s="0" t="n">
        <f aca="false">-J6*J23/100</f>
        <v>-17595.6639748504</v>
      </c>
      <c r="K24" s="0" t="n">
        <f aca="false">-K6*K23/100</f>
        <v>-17771.6206145989</v>
      </c>
      <c r="L24" s="0" t="n">
        <f aca="false">-L6*L23/100</f>
        <v>-17949.3368207449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173558.728092016</v>
      </c>
    </row>
    <row r="31" customFormat="false" ht="15" hidden="false" customHeight="false" outlineLevel="0" collapsed="false">
      <c r="A31" s="0" t="s">
        <v>127</v>
      </c>
      <c r="B31" s="0" t="n">
        <f aca="false">L19</f>
        <v>25641.9097439213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323729.110517006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307702.916927055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307702.916927055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129977.037423314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303535.765515331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445312.765515331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5.71659988471766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0.220192077847953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5.71659988471766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184988.063152575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4.16926649942648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-3.5</v>
      </c>
      <c r="D5" s="4" t="n">
        <f aca="false">Assumptions!D27</f>
        <v>0.5</v>
      </c>
      <c r="E5" s="4" t="n">
        <f aca="false">Assumptions!E27</f>
        <v>1.5</v>
      </c>
      <c r="F5" s="4" t="n">
        <f aca="false">Assumptions!F27</f>
        <v>2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529559</v>
      </c>
      <c r="C6" s="0" t="n">
        <f aca="false">B6*(1+C5/100)</f>
        <v>511024.435</v>
      </c>
      <c r="D6" s="0" t="n">
        <f aca="false">C6*(1+D5/100)</f>
        <v>513579.557175</v>
      </c>
      <c r="E6" s="0" t="n">
        <f aca="false">D6*(1+E5/100)</f>
        <v>521283.250532625</v>
      </c>
      <c r="F6" s="0" t="n">
        <f aca="false">E6*(1+F5/100)</f>
        <v>531708.915543277</v>
      </c>
      <c r="G6" s="0" t="n">
        <f aca="false">F6*(1+G5/100)</f>
        <v>542343.093854143</v>
      </c>
      <c r="H6" s="0" t="n">
        <f aca="false">G6*(1+H5/100)</f>
        <v>553189.955731226</v>
      </c>
      <c r="I6" s="0" t="n">
        <f aca="false">H6*(1+I5/100)</f>
        <v>564253.75484585</v>
      </c>
      <c r="J6" s="0" t="n">
        <f aca="false">I6*(1+J5/100)</f>
        <v>575538.829942767</v>
      </c>
      <c r="K6" s="0" t="n">
        <f aca="false">J6*(1+K5/100)</f>
        <v>587049.606541623</v>
      </c>
      <c r="L6" s="0" t="n">
        <f aca="false">K6*(1+L5/100)</f>
        <v>598790.598672455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26</v>
      </c>
      <c r="D7" s="4" t="n">
        <f aca="false">Assumptions!D28</f>
        <v>26.3</v>
      </c>
      <c r="E7" s="4" t="n">
        <f aca="false">Assumptions!E28</f>
        <v>26.6</v>
      </c>
      <c r="F7" s="4" t="n">
        <f aca="false">Assumptions!F28</f>
        <v>26.8</v>
      </c>
      <c r="G7" s="4" t="n">
        <f aca="false">Assumptions!G28</f>
        <v>27</v>
      </c>
      <c r="H7" s="4" t="n">
        <f aca="false">Assumptions!H28</f>
        <v>27</v>
      </c>
      <c r="I7" s="4" t="n">
        <f aca="false">Assumptions!I28</f>
        <v>27</v>
      </c>
      <c r="J7" s="4" t="n">
        <f aca="false">Assumptions!J28</f>
        <v>27</v>
      </c>
      <c r="K7" s="4" t="n">
        <f aca="false">Assumptions!K28</f>
        <v>27</v>
      </c>
      <c r="L7" s="4" t="n">
        <f aca="false">Assumptions!L28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132866.3531</v>
      </c>
      <c r="D8" s="0" t="n">
        <f aca="false">D6*D7/100</f>
        <v>135071.423537025</v>
      </c>
      <c r="E8" s="0" t="n">
        <f aca="false">E6*E7/100</f>
        <v>138661.344641678</v>
      </c>
      <c r="F8" s="0" t="n">
        <f aca="false">F6*F7/100</f>
        <v>142497.989365598</v>
      </c>
      <c r="G8" s="0" t="n">
        <f aca="false">G6*G7/100</f>
        <v>146432.635340619</v>
      </c>
      <c r="H8" s="0" t="n">
        <f aca="false">H6*H7/100</f>
        <v>149361.288047431</v>
      </c>
      <c r="I8" s="0" t="n">
        <f aca="false">I6*I7/100</f>
        <v>152348.51380838</v>
      </c>
      <c r="J8" s="0" t="n">
        <f aca="false">J6*J7/100</f>
        <v>155395.484084547</v>
      </c>
      <c r="K8" s="0" t="n">
        <f aca="false">K6*K7/100</f>
        <v>158503.393766238</v>
      </c>
      <c r="L8" s="0" t="n">
        <f aca="false">L6*L7/100</f>
        <v>161673.461641563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115491.52231</v>
      </c>
      <c r="D11" s="0" t="n">
        <f aca="false">D8+D10+D24</f>
        <v>117609.718593075</v>
      </c>
      <c r="E11" s="0" t="n">
        <f aca="false">E8+E10+E24</f>
        <v>120937.714123569</v>
      </c>
      <c r="F11" s="0" t="n">
        <f aca="false">F8+F10+F24</f>
        <v>124419.886237127</v>
      </c>
      <c r="G11" s="0" t="n">
        <f aca="false">G8+G10+G24</f>
        <v>127992.970149578</v>
      </c>
      <c r="H11" s="0" t="n">
        <f aca="false">H8+H10+H24</f>
        <v>130552.829552569</v>
      </c>
      <c r="I11" s="0" t="n">
        <f aca="false">I8+I10+I24</f>
        <v>133163.886143621</v>
      </c>
      <c r="J11" s="0" t="n">
        <f aca="false">J8+J10+J24</f>
        <v>135827.163866493</v>
      </c>
      <c r="K11" s="0" t="n">
        <f aca="false">K8+K10+K24</f>
        <v>138543.707143823</v>
      </c>
      <c r="L11" s="0" t="n">
        <f aca="false">L8+L10+L24</f>
        <v>141314.581286699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-83296.982905</v>
      </c>
      <c r="D12" s="4" t="n">
        <f aca="false">-D6*Assumptions!D31/100</f>
        <v>-82172.729148</v>
      </c>
      <c r="E12" s="4" t="n">
        <f aca="false">-E6*Assumptions!E31/100</f>
        <v>-81841.4703336221</v>
      </c>
      <c r="F12" s="4" t="n">
        <f aca="false">-F6*Assumptions!F31/100</f>
        <v>-81883.1729936647</v>
      </c>
      <c r="G12" s="4" t="n">
        <f aca="false">-G6*Assumptions!G31/100</f>
        <v>-81893.8071719756</v>
      </c>
      <c r="H12" s="4" t="n">
        <f aca="false">-H6*Assumptions!H31/100</f>
        <v>-82425.3034039526</v>
      </c>
      <c r="I12" s="4" t="n">
        <f aca="false">-I6*Assumptions!I31/100</f>
        <v>-82945.30196234</v>
      </c>
      <c r="J12" s="4" t="n">
        <f aca="false">-J6*Assumptions!J31/100</f>
        <v>-83453.1303417013</v>
      </c>
      <c r="K12" s="4" t="n">
        <f aca="false">-K6*Assumptions!K31/100</f>
        <v>-84535.1433419937</v>
      </c>
      <c r="L12" s="4" t="n">
        <f aca="false">-L6*Assumptions!L31/100</f>
        <v>-85627.0556101611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32194.539405</v>
      </c>
      <c r="D13" s="0" t="n">
        <f aca="false">D11+D12</f>
        <v>35436.989445075</v>
      </c>
      <c r="E13" s="0" t="n">
        <f aca="false">E11+E12</f>
        <v>39096.2437899469</v>
      </c>
      <c r="F13" s="0" t="n">
        <f aca="false">F11+F12</f>
        <v>42536.7132434622</v>
      </c>
      <c r="G13" s="0" t="n">
        <f aca="false">G11+G12</f>
        <v>46099.1629776021</v>
      </c>
      <c r="H13" s="0" t="n">
        <f aca="false">H11+H12</f>
        <v>48127.5261486166</v>
      </c>
      <c r="I13" s="0" t="n">
        <f aca="false">I11+I12</f>
        <v>50218.5841812807</v>
      </c>
      <c r="J13" s="0" t="n">
        <f aca="false">J11+J12</f>
        <v>52374.0335247918</v>
      </c>
      <c r="K13" s="0" t="n">
        <f aca="false">K11+K12</f>
        <v>54008.5638018293</v>
      </c>
      <c r="L13" s="0" t="n">
        <f aca="false">L11+L12</f>
        <v>55687.5256765383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16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19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27043.4131002</v>
      </c>
      <c r="D15" s="0" t="n">
        <f aca="false">D13-MAX(0,D13)*D14/100</f>
        <v>29412.7012394123</v>
      </c>
      <c r="E15" s="0" t="n">
        <f aca="false">E13-MAX(0,E13)*E14/100</f>
        <v>32058.9199077564</v>
      </c>
      <c r="F15" s="0" t="n">
        <f aca="false">F13-MAX(0,F13)*F14/100</f>
        <v>34454.7377272044</v>
      </c>
      <c r="G15" s="0" t="n">
        <f aca="false">G13-MAX(0,G13)*G14/100</f>
        <v>36879.3303820817</v>
      </c>
      <c r="H15" s="0" t="n">
        <f aca="false">H13-MAX(0,H13)*H14/100</f>
        <v>38020.7456574072</v>
      </c>
      <c r="I15" s="0" t="n">
        <f aca="false">I13-MAX(0,I13)*I14/100</f>
        <v>39170.4956613989</v>
      </c>
      <c r="J15" s="0" t="n">
        <f aca="false">J13-MAX(0,J13)*J14/100</f>
        <v>40851.7461493376</v>
      </c>
      <c r="K15" s="0" t="n">
        <f aca="false">K13-MAX(0,K13)*K14/100</f>
        <v>42126.6797654268</v>
      </c>
      <c r="L15" s="0" t="n">
        <f aca="false">L13-MAX(0,L13)*L14/100</f>
        <v>43436.2700276999</v>
      </c>
    </row>
    <row r="16" customFormat="false" ht="15" hidden="false" customHeight="false" outlineLevel="0" collapsed="false">
      <c r="A16" s="0" t="s">
        <v>118</v>
      </c>
      <c r="C16" s="0" t="n">
        <f aca="false">-C12</f>
        <v>83296.982905</v>
      </c>
      <c r="D16" s="0" t="n">
        <f aca="false">-D12</f>
        <v>82172.729148</v>
      </c>
      <c r="E16" s="0" t="n">
        <f aca="false">-E12</f>
        <v>81841.4703336221</v>
      </c>
      <c r="F16" s="0" t="n">
        <f aca="false">-F12</f>
        <v>81883.1729936647</v>
      </c>
      <c r="G16" s="0" t="n">
        <f aca="false">-G12</f>
        <v>81893.8071719756</v>
      </c>
      <c r="H16" s="0" t="n">
        <f aca="false">-H12</f>
        <v>82425.3034039526</v>
      </c>
      <c r="I16" s="0" t="n">
        <f aca="false">-I12</f>
        <v>82945.30196234</v>
      </c>
      <c r="J16" s="0" t="n">
        <f aca="false">-J12</f>
        <v>83453.1303417013</v>
      </c>
      <c r="K16" s="0" t="n">
        <f aca="false">-K12</f>
        <v>84535.1433419937</v>
      </c>
      <c r="L16" s="0" t="n">
        <f aca="false">-L12</f>
        <v>85627.0556101611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-72565.46977</v>
      </c>
      <c r="D17" s="4" t="n">
        <f aca="false">-D6*Assumptions!D32/100</f>
        <v>-71901.1380045</v>
      </c>
      <c r="E17" s="4" t="n">
        <f aca="false">-E6*Assumptions!E32/100</f>
        <v>-71937.0885735022</v>
      </c>
      <c r="F17" s="4" t="n">
        <f aca="false">-F6*Assumptions!F32/100</f>
        <v>-72312.4125138857</v>
      </c>
      <c r="G17" s="4" t="n">
        <f aca="false">-G6*Assumptions!G32/100</f>
        <v>-73216.3176703093</v>
      </c>
      <c r="H17" s="4" t="n">
        <f aca="false">-H6*Assumptions!H32/100</f>
        <v>-74680.6440237155</v>
      </c>
      <c r="I17" s="4" t="n">
        <f aca="false">-I6*Assumptions!I32/100</f>
        <v>-76174.2569041898</v>
      </c>
      <c r="J17" s="4" t="n">
        <f aca="false">-J6*Assumptions!J32/100</f>
        <v>-77697.7420422736</v>
      </c>
      <c r="K17" s="4" t="n">
        <f aca="false">-K6*Assumptions!K32/100</f>
        <v>-79251.6968831191</v>
      </c>
      <c r="L17" s="4" t="n">
        <f aca="false">-L6*Assumptions!L32/100</f>
        <v>-80836.7308207815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37774.9262352</v>
      </c>
      <c r="D19" s="0" t="n">
        <f aca="false">D15+D16+D17+D18</f>
        <v>39684.2923829123</v>
      </c>
      <c r="E19" s="0" t="n">
        <f aca="false">E15+E16+E17+E18</f>
        <v>41963.3016678763</v>
      </c>
      <c r="F19" s="0" t="n">
        <f aca="false">F15+F16+F17+F18</f>
        <v>44025.4982069834</v>
      </c>
      <c r="G19" s="0" t="n">
        <f aca="false">G15+G16+G17+G18</f>
        <v>45556.819883748</v>
      </c>
      <c r="H19" s="0" t="n">
        <f aca="false">H15+H16+H17+H18</f>
        <v>45765.4050376443</v>
      </c>
      <c r="I19" s="0" t="n">
        <f aca="false">I15+I16+I17+I18</f>
        <v>45941.5407195491</v>
      </c>
      <c r="J19" s="0" t="n">
        <f aca="false">J15+J16+J17+J18</f>
        <v>46607.1344487653</v>
      </c>
      <c r="K19" s="0" t="n">
        <f aca="false">K15+K16+K17+K18</f>
        <v>47410.1262243014</v>
      </c>
      <c r="L19" s="0" t="n">
        <f aca="false">L15+L16+L17+L18</f>
        <v>48226.5948170795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34655.8956286239</v>
      </c>
      <c r="D21" s="0" t="n">
        <f aca="false">D19*D20</f>
        <v>33401.4749456378</v>
      </c>
      <c r="E21" s="0" t="n">
        <f aca="false">E19*E20</f>
        <v>32403.368316753</v>
      </c>
      <c r="F21" s="0" t="n">
        <f aca="false">F19*F20</f>
        <v>31188.7728595326</v>
      </c>
      <c r="G21" s="0" t="n">
        <f aca="false">G19*G20</f>
        <v>29608.8071023884</v>
      </c>
      <c r="H21" s="0" t="n">
        <f aca="false">H19*H20</f>
        <v>27288.4157253408</v>
      </c>
      <c r="I21" s="0" t="n">
        <f aca="false">I19*I20</f>
        <v>25131.5960344571</v>
      </c>
      <c r="J21" s="0" t="n">
        <f aca="false">J19*J20</f>
        <v>23390.5491720103</v>
      </c>
      <c r="K21" s="0" t="n">
        <f aca="false">K19*K20</f>
        <v>21828.9391440427</v>
      </c>
      <c r="L21" s="0" t="n">
        <f aca="false">L19*L20</f>
        <v>20371.434830514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3.4</v>
      </c>
      <c r="D23" s="4" t="n">
        <f aca="false">Assumptions!D30</f>
        <v>3.4</v>
      </c>
      <c r="E23" s="4" t="n">
        <f aca="false">Assumptions!E30</f>
        <v>3.4</v>
      </c>
      <c r="F23" s="4" t="n">
        <f aca="false">Assumptions!F30</f>
        <v>3.4</v>
      </c>
      <c r="G23" s="4" t="n">
        <f aca="false">Assumptions!G30</f>
        <v>3.4</v>
      </c>
      <c r="H23" s="4" t="n">
        <f aca="false">Assumptions!H30</f>
        <v>3.4</v>
      </c>
      <c r="I23" s="4" t="n">
        <f aca="false">Assumptions!I30</f>
        <v>3.4</v>
      </c>
      <c r="J23" s="4" t="n">
        <f aca="false">Assumptions!J30</f>
        <v>3.4</v>
      </c>
      <c r="K23" s="4" t="n">
        <f aca="false">Assumptions!K30</f>
        <v>3.4</v>
      </c>
      <c r="L23" s="4" t="n">
        <f aca="false">Assumptions!L30</f>
        <v>3.4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-17374.83079</v>
      </c>
      <c r="D24" s="0" t="n">
        <f aca="false">-D6*D23/100</f>
        <v>-17461.70494395</v>
      </c>
      <c r="E24" s="0" t="n">
        <f aca="false">-E6*E23/100</f>
        <v>-17723.6305181092</v>
      </c>
      <c r="F24" s="0" t="n">
        <f aca="false">-F6*F23/100</f>
        <v>-18078.1031284714</v>
      </c>
      <c r="G24" s="0" t="n">
        <f aca="false">-G6*G23/100</f>
        <v>-18439.6651910409</v>
      </c>
      <c r="H24" s="0" t="n">
        <f aca="false">-H6*H23/100</f>
        <v>-18808.4584948617</v>
      </c>
      <c r="I24" s="0" t="n">
        <f aca="false">-I6*I23/100</f>
        <v>-19184.6276647589</v>
      </c>
      <c r="J24" s="0" t="n">
        <f aca="false">-J6*J23/100</f>
        <v>-19568.3202180541</v>
      </c>
      <c r="K24" s="0" t="n">
        <f aca="false">-K6*K23/100</f>
        <v>-19959.6866224152</v>
      </c>
      <c r="L24" s="0" t="n">
        <f aca="false">-L6*L23/100</f>
        <v>-20358.8803548635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279269.2537593</v>
      </c>
    </row>
    <row r="31" customFormat="false" ht="15" hidden="false" customHeight="false" outlineLevel="0" collapsed="false">
      <c r="A31" s="0" t="s">
        <v>127</v>
      </c>
      <c r="B31" s="0" t="n">
        <f aca="false">L19</f>
        <v>48226.5948170795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702730.381620302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578719.137804954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578719.137804954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244457.217966168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523726.471725469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665503.471725469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8.54324727327863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0.823531968682739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8.54324727327863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378393.282410932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5.79305406980796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-2.5</v>
      </c>
      <c r="D5" s="4" t="n">
        <f aca="false">Assumptions!D41</f>
        <v>2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529559</v>
      </c>
      <c r="C6" s="0" t="n">
        <f aca="false">B6*(1+C5/100)</f>
        <v>516320.025</v>
      </c>
      <c r="D6" s="0" t="n">
        <f aca="false">C6*(1+D5/100)</f>
        <v>526646.4255</v>
      </c>
      <c r="E6" s="0" t="n">
        <f aca="false">D6*(1+E5/100)</f>
        <v>542445.818265</v>
      </c>
      <c r="F6" s="0" t="n">
        <f aca="false">E6*(1+F5/100)</f>
        <v>558719.19281295</v>
      </c>
      <c r="G6" s="0" t="n">
        <f aca="false">F6*(1+G5/100)</f>
        <v>575480.768597339</v>
      </c>
      <c r="H6" s="0" t="n">
        <f aca="false">G6*(1+H5/100)</f>
        <v>589867.787812272</v>
      </c>
      <c r="I6" s="0" t="n">
        <f aca="false">H6*(1+I5/100)</f>
        <v>604614.482507579</v>
      </c>
      <c r="J6" s="0" t="n">
        <f aca="false">I6*(1+J5/100)</f>
        <v>619729.844570268</v>
      </c>
      <c r="K6" s="0" t="n">
        <f aca="false">J6*(1+K5/100)</f>
        <v>635223.090684525</v>
      </c>
      <c r="L6" s="0" t="n">
        <f aca="false">K6*(1+L5/100)</f>
        <v>651103.667951638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26.4</v>
      </c>
      <c r="D7" s="4" t="n">
        <f aca="false">Assumptions!D42</f>
        <v>27</v>
      </c>
      <c r="E7" s="4" t="n">
        <f aca="false">Assumptions!E42</f>
        <v>27.5</v>
      </c>
      <c r="F7" s="4" t="n">
        <f aca="false">Assumptions!F42</f>
        <v>27.8</v>
      </c>
      <c r="G7" s="4" t="n">
        <f aca="false">Assumptions!G42</f>
        <v>28</v>
      </c>
      <c r="H7" s="4" t="n">
        <f aca="false">Assumptions!H42</f>
        <v>28</v>
      </c>
      <c r="I7" s="4" t="n">
        <f aca="false">Assumptions!I42</f>
        <v>28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136308.4866</v>
      </c>
      <c r="D8" s="0" t="n">
        <f aca="false">D6*D7/100</f>
        <v>142194.534885</v>
      </c>
      <c r="E8" s="0" t="n">
        <f aca="false">E6*E7/100</f>
        <v>149172.600022875</v>
      </c>
      <c r="F8" s="0" t="n">
        <f aca="false">F6*F7/100</f>
        <v>155323.935602</v>
      </c>
      <c r="G8" s="0" t="n">
        <f aca="false">G6*G7/100</f>
        <v>161134.615207255</v>
      </c>
      <c r="H8" s="0" t="n">
        <f aca="false">H6*H7/100</f>
        <v>165162.980587436</v>
      </c>
      <c r="I8" s="0" t="n">
        <f aca="false">I6*I7/100</f>
        <v>169292.055102122</v>
      </c>
      <c r="J8" s="0" t="n">
        <f aca="false">J6*J7/100</f>
        <v>173524.356479675</v>
      </c>
      <c r="K8" s="0" t="n">
        <f aca="false">K6*K7/100</f>
        <v>177862.465391667</v>
      </c>
      <c r="L8" s="0" t="n">
        <f aca="false">L6*L7/100</f>
        <v>182309.027026459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118753.60575</v>
      </c>
      <c r="D11" s="0" t="n">
        <f aca="false">D8+D10+D24</f>
        <v>124815.2028435</v>
      </c>
      <c r="E11" s="0" t="n">
        <f aca="false">E8+E10+E24</f>
        <v>131271.88802013</v>
      </c>
      <c r="F11" s="0" t="n">
        <f aca="false">F8+F10+F24</f>
        <v>137444.921431986</v>
      </c>
      <c r="G11" s="0" t="n">
        <f aca="false">G8+G10+G24</f>
        <v>142719.23061214</v>
      </c>
      <c r="H11" s="0" t="n">
        <f aca="false">H8+H10+H24</f>
        <v>146287.211377443</v>
      </c>
      <c r="I11" s="0" t="n">
        <f aca="false">I8+I10+I24</f>
        <v>149944.391661879</v>
      </c>
      <c r="J11" s="0" t="n">
        <f aca="false">J8+J10+J24</f>
        <v>153693.001453426</v>
      </c>
      <c r="K11" s="0" t="n">
        <f aca="false">K8+K10+K24</f>
        <v>157535.326489762</v>
      </c>
      <c r="L11" s="0" t="n">
        <f aca="false">L8+L10+L24</f>
        <v>161473.709652006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-84160.164075</v>
      </c>
      <c r="D12" s="4" t="n">
        <f aca="false">-D6*Assumptions!D45/100</f>
        <v>-84263.42808</v>
      </c>
      <c r="E12" s="4" t="n">
        <f aca="false">-E6*Assumptions!E45/100</f>
        <v>-85163.993467605</v>
      </c>
      <c r="F12" s="4" t="n">
        <f aca="false">-F6*Assumptions!F45/100</f>
        <v>-86042.7556931943</v>
      </c>
      <c r="G12" s="4" t="n">
        <f aca="false">-G6*Assumptions!G45/100</f>
        <v>-86897.5960581981</v>
      </c>
      <c r="H12" s="4" t="n">
        <f aca="false">-H6*Assumptions!H45/100</f>
        <v>-87890.3003840285</v>
      </c>
      <c r="I12" s="4" t="n">
        <f aca="false">-I6*Assumptions!I45/100</f>
        <v>-88878.328928614</v>
      </c>
      <c r="J12" s="4" t="n">
        <f aca="false">-J6*Assumptions!J45/100</f>
        <v>-89860.8274626889</v>
      </c>
      <c r="K12" s="4" t="n">
        <f aca="false">-K6*Assumptions!K45/100</f>
        <v>-91472.1250585716</v>
      </c>
      <c r="L12" s="4" t="n">
        <f aca="false">-L6*Assumptions!L45/100</f>
        <v>-93107.8245170842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34593.441675</v>
      </c>
      <c r="D13" s="0" t="n">
        <f aca="false">D11+D12</f>
        <v>40551.7747635</v>
      </c>
      <c r="E13" s="0" t="n">
        <f aca="false">E11+E12</f>
        <v>46107.894552525</v>
      </c>
      <c r="F13" s="0" t="n">
        <f aca="false">F11+F12</f>
        <v>51402.1657387914</v>
      </c>
      <c r="G13" s="0" t="n">
        <f aca="false">G11+G12</f>
        <v>55821.6345539418</v>
      </c>
      <c r="H13" s="0" t="n">
        <f aca="false">H11+H12</f>
        <v>58396.9109934149</v>
      </c>
      <c r="I13" s="0" t="n">
        <f aca="false">I11+I12</f>
        <v>61066.0627332654</v>
      </c>
      <c r="J13" s="0" t="n">
        <f aca="false">J11+J12</f>
        <v>63832.1739907376</v>
      </c>
      <c r="K13" s="0" t="n">
        <f aca="false">K11+K12</f>
        <v>66063.2014311906</v>
      </c>
      <c r="L13" s="0" t="n">
        <f aca="false">L11+L12</f>
        <v>68365.8851349219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15</v>
      </c>
      <c r="D14" s="4" t="n">
        <f aca="false">Assumptions!D47</f>
        <v>16</v>
      </c>
      <c r="E14" s="4" t="n">
        <f aca="false">Assumptions!E47</f>
        <v>17</v>
      </c>
      <c r="F14" s="4" t="n">
        <f aca="false">Assumptions!F47</f>
        <v>18</v>
      </c>
      <c r="G14" s="4" t="n">
        <f aca="false">Assumptions!G47</f>
        <v>19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29404.42542375</v>
      </c>
      <c r="D15" s="0" t="n">
        <f aca="false">D13-MAX(0,D13)*D14/100</f>
        <v>34063.49080134</v>
      </c>
      <c r="E15" s="0" t="n">
        <f aca="false">E13-MAX(0,E13)*E14/100</f>
        <v>38269.5524785957</v>
      </c>
      <c r="F15" s="0" t="n">
        <f aca="false">F13-MAX(0,F13)*F14/100</f>
        <v>42149.7759058089</v>
      </c>
      <c r="G15" s="0" t="n">
        <f aca="false">G13-MAX(0,G13)*G14/100</f>
        <v>45215.5239886929</v>
      </c>
      <c r="H15" s="0" t="n">
        <f aca="false">H13-MAX(0,H13)*H14/100</f>
        <v>46717.5287947319</v>
      </c>
      <c r="I15" s="0" t="n">
        <f aca="false">I13-MAX(0,I13)*I14/100</f>
        <v>48852.8501866123</v>
      </c>
      <c r="J15" s="0" t="n">
        <f aca="false">J13-MAX(0,J13)*J14/100</f>
        <v>51065.7391925901</v>
      </c>
      <c r="K15" s="0" t="n">
        <f aca="false">K13-MAX(0,K13)*K14/100</f>
        <v>52850.5611449525</v>
      </c>
      <c r="L15" s="0" t="n">
        <f aca="false">L13-MAX(0,L13)*L14/100</f>
        <v>54692.7081079376</v>
      </c>
    </row>
    <row r="16" customFormat="false" ht="15" hidden="false" customHeight="false" outlineLevel="0" collapsed="false">
      <c r="A16" s="0" t="s">
        <v>118</v>
      </c>
      <c r="C16" s="0" t="n">
        <f aca="false">-C12</f>
        <v>84160.164075</v>
      </c>
      <c r="D16" s="0" t="n">
        <f aca="false">-D12</f>
        <v>84263.42808</v>
      </c>
      <c r="E16" s="0" t="n">
        <f aca="false">-E12</f>
        <v>85163.993467605</v>
      </c>
      <c r="F16" s="0" t="n">
        <f aca="false">-F12</f>
        <v>86042.7556931943</v>
      </c>
      <c r="G16" s="0" t="n">
        <f aca="false">-G12</f>
        <v>86897.5960581981</v>
      </c>
      <c r="H16" s="0" t="n">
        <f aca="false">-H12</f>
        <v>87890.3003840285</v>
      </c>
      <c r="I16" s="0" t="n">
        <f aca="false">-I12</f>
        <v>88878.328928614</v>
      </c>
      <c r="J16" s="0" t="n">
        <f aca="false">-J12</f>
        <v>89860.8274626889</v>
      </c>
      <c r="K16" s="0" t="n">
        <f aca="false">-K12</f>
        <v>91472.1250585716</v>
      </c>
      <c r="L16" s="0" t="n">
        <f aca="false">-L12</f>
        <v>93107.8245170842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-72284.8035</v>
      </c>
      <c r="D17" s="4" t="n">
        <f aca="false">-D6*Assumptions!D46/100</f>
        <v>-71097.2674425</v>
      </c>
      <c r="E17" s="4" t="n">
        <f aca="false">-E6*Assumptions!E46/100</f>
        <v>-71602.84801098</v>
      </c>
      <c r="F17" s="4" t="n">
        <f aca="false">-F6*Assumptions!F46/100</f>
        <v>-71516.0566800576</v>
      </c>
      <c r="G17" s="4" t="n">
        <f aca="false">-G6*Assumptions!G46/100</f>
        <v>-71935.0960746673</v>
      </c>
      <c r="H17" s="4" t="n">
        <f aca="false">-H6*Assumptions!H46/100</f>
        <v>-73733.473476534</v>
      </c>
      <c r="I17" s="4" t="n">
        <f aca="false">-I6*Assumptions!I46/100</f>
        <v>-75576.8103134473</v>
      </c>
      <c r="J17" s="4" t="n">
        <f aca="false">-J6*Assumptions!J46/100</f>
        <v>-77466.2305712835</v>
      </c>
      <c r="K17" s="4" t="n">
        <f aca="false">-K6*Assumptions!K46/100</f>
        <v>-79402.8863355656</v>
      </c>
      <c r="L17" s="4" t="n">
        <f aca="false">-L6*Assumptions!L46/100</f>
        <v>-81387.9584939547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41279.78599875</v>
      </c>
      <c r="D19" s="0" t="n">
        <f aca="false">D15+D16+D17+D18</f>
        <v>47229.65143884</v>
      </c>
      <c r="E19" s="0" t="n">
        <f aca="false">E15+E16+E17+E18</f>
        <v>51830.6979352207</v>
      </c>
      <c r="F19" s="0" t="n">
        <f aca="false">F15+F16+F17+F18</f>
        <v>56676.4749189456</v>
      </c>
      <c r="G19" s="0" t="n">
        <f aca="false">G15+G16+G17+G18</f>
        <v>60178.0239722237</v>
      </c>
      <c r="H19" s="0" t="n">
        <f aca="false">H15+H16+H17+H18</f>
        <v>60874.3557022265</v>
      </c>
      <c r="I19" s="0" t="n">
        <f aca="false">I15+I16+I17+I18</f>
        <v>62154.3688017791</v>
      </c>
      <c r="J19" s="0" t="n">
        <f aca="false">J15+J16+J17+J18</f>
        <v>63460.3360839954</v>
      </c>
      <c r="K19" s="0" t="n">
        <f aca="false">K15+K16+K17+K18</f>
        <v>64919.7998679584</v>
      </c>
      <c r="L19" s="0" t="n">
        <f aca="false">L15+L16+L17+L18</f>
        <v>66412.5741310671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37871.3633016055</v>
      </c>
      <c r="D21" s="0" t="n">
        <f aca="false">D19*D20</f>
        <v>39752.2527050248</v>
      </c>
      <c r="E21" s="0" t="n">
        <f aca="false">E19*E20</f>
        <v>40022.8087056126</v>
      </c>
      <c r="F21" s="0" t="n">
        <f aca="false">F19*F20</f>
        <v>40151.0437068854</v>
      </c>
      <c r="G21" s="0" t="n">
        <f aca="false">G19*G20</f>
        <v>39111.5865449624</v>
      </c>
      <c r="H21" s="0" t="n">
        <f aca="false">H19*H20</f>
        <v>36297.3893500611</v>
      </c>
      <c r="I21" s="0" t="n">
        <f aca="false">I19*I20</f>
        <v>34000.5682011942</v>
      </c>
      <c r="J21" s="0" t="n">
        <f aca="false">J19*J20</f>
        <v>31848.6027772583</v>
      </c>
      <c r="K21" s="0" t="n">
        <f aca="false">K19*K20</f>
        <v>29890.8792998467</v>
      </c>
      <c r="L21" s="0" t="n">
        <f aca="false">L19*L20</f>
        <v>28053.3890267238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3.4</v>
      </c>
      <c r="D23" s="4" t="n">
        <f aca="false">Assumptions!D44</f>
        <v>3.3</v>
      </c>
      <c r="E23" s="4" t="n">
        <f aca="false">Assumptions!E44</f>
        <v>3.3</v>
      </c>
      <c r="F23" s="4" t="n">
        <f aca="false">Assumptions!F44</f>
        <v>3.2</v>
      </c>
      <c r="G23" s="4" t="n">
        <f aca="false">Assumptions!G44</f>
        <v>3.2</v>
      </c>
      <c r="H23" s="4" t="n">
        <f aca="false">Assumptions!H44</f>
        <v>3.2</v>
      </c>
      <c r="I23" s="4" t="n">
        <f aca="false">Assumptions!I44</f>
        <v>3.2</v>
      </c>
      <c r="J23" s="4" t="n">
        <f aca="false">Assumptions!J44</f>
        <v>3.2</v>
      </c>
      <c r="K23" s="4" t="n">
        <f aca="false">Assumptions!K44</f>
        <v>3.2</v>
      </c>
      <c r="L23" s="4" t="n">
        <f aca="false">Assumptions!L44</f>
        <v>3.2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-17554.88085</v>
      </c>
      <c r="D24" s="0" t="n">
        <f aca="false">-D6*D23/100</f>
        <v>-17379.3320415</v>
      </c>
      <c r="E24" s="0" t="n">
        <f aca="false">-E6*E23/100</f>
        <v>-17900.712002745</v>
      </c>
      <c r="F24" s="0" t="n">
        <f aca="false">-F6*F23/100</f>
        <v>-17879.0141700144</v>
      </c>
      <c r="G24" s="0" t="n">
        <f aca="false">-G6*G23/100</f>
        <v>-18415.3845951148</v>
      </c>
      <c r="H24" s="0" t="n">
        <f aca="false">-H6*H23/100</f>
        <v>-18875.7692099927</v>
      </c>
      <c r="I24" s="0" t="n">
        <f aca="false">-I6*I23/100</f>
        <v>-19347.6634402425</v>
      </c>
      <c r="J24" s="0" t="n">
        <f aca="false">-J6*J23/100</f>
        <v>-19831.3550262486</v>
      </c>
      <c r="K24" s="0" t="n">
        <f aca="false">-K6*K23/100</f>
        <v>-20327.1389019048</v>
      </c>
      <c r="L24" s="0" t="n">
        <f aca="false">-L6*L23/100</f>
        <v>-20835.3173744524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356999.883619175</v>
      </c>
    </row>
    <row r="31" customFormat="false" ht="15" hidden="false" customHeight="false" outlineLevel="0" collapsed="false">
      <c r="A31" s="0" t="s">
        <v>127</v>
      </c>
      <c r="B31" s="0" t="n">
        <f aca="false">L19</f>
        <v>66412.5741310671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1047275.20745144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796950.889572805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796950.889572805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336640.668320685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693640.55193986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835417.55193986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10.7244800754451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1.28910994139703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10.7244800754451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544583.10787475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7.05665464931338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5.71659988471766</v>
      </c>
      <c r="C4" s="0" t="n">
        <f aca="false">B4/Assumptions!$B$2-1</f>
        <v>0.220192077847953</v>
      </c>
      <c r="D4" s="4" t="n">
        <f aca="false">Assumptions!$B$24</f>
        <v>0.3</v>
      </c>
      <c r="E4" s="4" t="n">
        <f aca="false">DCF_Bear!$B$43</f>
        <v>5.71659988471766</v>
      </c>
      <c r="F4" s="4" t="n">
        <f aca="false">DCF_Bear!$B$47</f>
        <v>4.16926649942648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8.54324727327863</v>
      </c>
      <c r="C5" s="0" t="n">
        <f aca="false">B5/Assumptions!$B$2-1</f>
        <v>0.823531968682739</v>
      </c>
      <c r="D5" s="4" t="n">
        <f aca="false">Assumptions!$B$38</f>
        <v>0.5</v>
      </c>
      <c r="E5" s="4" t="n">
        <f aca="false">DCF_Base!$B$43</f>
        <v>8.54324727327863</v>
      </c>
      <c r="F5" s="4" t="n">
        <f aca="false">DCF_Base!$B$47</f>
        <v>5.79305406980796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10.7244800754451</v>
      </c>
      <c r="C6" s="0" t="n">
        <f aca="false">B6/Assumptions!$B$2-1</f>
        <v>1.28910994139703</v>
      </c>
      <c r="D6" s="4" t="n">
        <f aca="false">Assumptions!$B$52</f>
        <v>0.2</v>
      </c>
      <c r="E6" s="4" t="n">
        <f aca="false">DCF_Bull!$B$43</f>
        <v>10.7244800754451</v>
      </c>
      <c r="F6" s="4" t="n">
        <f aca="false">DCF_Bull!$B$47</f>
        <v>7.05665464931338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8.13149961714363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8.13149961714363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0.423845511826303</v>
      </c>
    </row>
    <row r="11" customFormat="false" ht="15" hidden="false" customHeight="false" outlineLevel="0" collapsed="false">
      <c r="A11" s="0" t="s">
        <v>154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5.5586379145946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8.54324727327863</v>
      </c>
      <c r="C15" s="3" t="n">
        <v>9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8.11022860385116</v>
      </c>
      <c r="C16" s="3" t="n">
        <v>10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7.56845015782849</v>
      </c>
      <c r="C17" s="3" t="n">
        <v>11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6.99164721595878</v>
      </c>
      <c r="C18" s="3" t="n">
        <v>12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5.79305406980796</v>
      </c>
      <c r="C19" s="3" t="n">
        <v>15</v>
      </c>
    </row>
    <row r="21" customFormat="false" ht="15" hidden="false" customHeight="false" outlineLevel="0" collapsed="false">
      <c r="A21" s="2" t="s">
        <v>163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9.53541981660399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9.53541981660399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9.53541981660399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9.53541981660399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9.53541981660399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9.01682861170139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9.01682861170139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9.01682861170139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9.01682861170139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9.01682861170139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8.54324727327863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8.54324727327863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8.54324727327863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8.54324727327863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8.54324727327863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7.92458160683097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8.09618807466476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8.11022860385116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8.11022860385116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8.11022860385116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7.29953831365452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7.42691760826324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7.56845015782849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7.71380791143604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7.71380791143604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2026-10-11T06:45:20Z</dcterms:created>
  <dc:creator>openpyxl</dc:creator>
  <dc:description/>
  <dc:language>en-NZ</dc:language>
  <cp:lastModifiedBy/>
  <dcterms:modified xsi:type="dcterms:W3CDTF">2026-10-11T06:45:20Z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