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</font>
    <font>
      <b val="1"/>
      <sz val="11"/>
    </font>
    <font>
      <color rgb="000000CC"/>
    </font>
    <font>
      <color rgb="00000000"/>
    </font>
    <font>
      <color rgb="00007700"/>
    </font>
  </fonts>
  <fills count="3">
    <fill>
      <patternFill/>
    </fill>
    <fill>
      <patternFill patternType="gray125"/>
    </fill>
    <fill>
      <patternFill patternType="solid">
        <fgColor rgb="00FFF2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0" fillId="0" borderId="0" applyAlignment="1" pivotButton="0" quotePrefix="0" xfId="0">
      <alignment wrapText="1"/>
    </xf>
    <xf numFmtId="164" fontId="3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0" fontId="1" fillId="2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CAP.PA - Capgemini SE DCF model</t>
        </is>
      </c>
      <c r="B1" s="2" t="inlineStr"/>
    </row>
    <row r="2">
      <c r="A2" s="1" t="inlineStr">
        <is>
          <t>Version</t>
        </is>
      </c>
      <c r="B2" s="2" t="inlineStr">
        <is>
          <t>v1 2026-09-01 - fresh build, no prior DCF superseded</t>
        </is>
      </c>
    </row>
    <row r="3">
      <c r="A3" s="1" t="inlineStr">
        <is>
          <t>Built by</t>
        </is>
      </c>
      <c r="B3" s="2" t="inlineStr">
        <is>
          <t>dcf-analyst agent (Claude Fable 5), 2026-09-01, at the user's request via the research pipeline</t>
        </is>
      </c>
    </row>
    <row r="4">
      <c r="A4" s="1" t="inlineStr">
        <is>
          <t>Model</t>
        </is>
      </c>
      <c r="B4" s="2" t="inlineStr">
        <is>
          <t>Owner-FCF component DCF, 10-year horizon, three scenarios at a single EUR 8.0% WACC; terminal = MAX(0, MIN(Gordon, 15x FCF_N))</t>
        </is>
      </c>
    </row>
    <row r="5">
      <c r="A5" s="1" t="inlineStr">
        <is>
          <t>Why this model</t>
        </is>
      </c>
      <c r="B5" s="2" t="inlineStr">
        <is>
          <t>Global IT-services operating company (asset-light, cash-generative) - dcf-methods routing table row 1/2; section 7 adaptations applied (EUR WACC, IFRS-16 leases, statutory margins)</t>
        </is>
      </c>
    </row>
    <row r="6">
      <c r="A6" s="1" t="inlineStr">
        <is>
          <t>Price anchor</t>
        </is>
      </c>
      <c r="B6" s="2" t="inlineStr">
        <is>
          <t>EUR 107.25, Yahoo regular close 2026-08-31T15:35:13Z. Goes stale immediately - refresh before use.</t>
        </is>
      </c>
    </row>
    <row r="7">
      <c r="A7" s="1" t="inlineStr">
        <is>
          <t>Balance sheet anchor</t>
        </is>
      </c>
      <c r="B7" s="2" t="inlineStr">
        <is>
          <t>2026-06-30 (H1 FY2026 interim report): net debt EUR 6,454m COMPANY-DISCLOSED (ex-lease, nets cash-management assets; NOT total_debt-cash), shares 168.3m basic outstanding</t>
        </is>
      </c>
    </row>
    <row r="8">
      <c r="A8" s="1" t="inlineStr">
        <is>
          <t>FY0 flows</t>
        </is>
      </c>
      <c r="B8" s="2" t="inlineStr">
        <is>
          <t>FY2025 annual report: OCF 2,482 - capex 287 - lease principal 296 - SBC 266 = owner FCF EUR 1,633m</t>
        </is>
      </c>
    </row>
    <row r="9">
      <c r="A9" s="1" t="inlineStr">
        <is>
          <t>Guidance vintage</t>
        </is>
      </c>
      <c r="B9" s="2" t="inlineStr">
        <is>
          <t>H1-2026 results 2026-07-30: FY2026 cc growth raised to +8.5/9.0%, APM margin 13.6-13.8% maintained, organic FCF ~EUR 1.8-1.9bn maintained</t>
        </is>
      </c>
    </row>
    <row r="10">
      <c r="A10" s="1" t="inlineStr">
        <is>
          <t>Margin basis</t>
        </is>
      </c>
      <c r="B10" s="2" t="inlineStr">
        <is>
          <t>STATUTORY, not the operating-margin APM: the APM excludes recurring Fit-for-Growth restructuring (~EUR 700m FY2026-27), M&amp;A amortization and SBC. H1-2026: statutory 7.3% vs APM 12.5%.</t>
        </is>
      </c>
    </row>
    <row r="11">
      <c r="A11" s="1" t="inlineStr">
        <is>
          <t>Lease treatment</t>
        </is>
      </c>
      <c r="B11" s="2" t="inlineStr">
        <is>
          <t>Treatment B (owner-fcf.md 7b): lease cash charged in the flows (1.3% of revenue), lease liabilities EXCLUDED from net debt - matches Capgemini's own ex-lease net-debt APM. da_pct 1.8% is non-lease D&amp;A only.</t>
        </is>
      </c>
    </row>
    <row r="12">
      <c r="A12" s="1" t="inlineStr">
        <is>
          <t>SBC / share count</t>
        </is>
      </c>
      <c r="B12" s="2" t="inlineStr">
        <is>
          <t>SBC (1.1% of revenue) fully expensed AND count flat at 168.3m - charge once. Diluted 174.4m not used: ~6m of the gap is unvested performance shares whose cost IS the SBC line. Buybacks (EUR 543m FY2025) fund the flat count.</t>
        </is>
      </c>
    </row>
    <row r="13">
      <c r="A13" s="1" t="inlineStr">
        <is>
          <t>Scenario drivers</t>
        </is>
      </c>
      <c r="B13" s="2" t="inlineStr">
        <is>
          <t>Agent judgment, set 2026-09-01 from FY2025 URD + H1-2026 report + Analysis JSON. Bear weighted 30% (AI structural deflation + leverage + goodwill&gt;equity); base 50%; bull 20%.</t>
        </is>
      </c>
    </row>
    <row r="14">
      <c r="A14" s="1" t="inlineStr">
        <is>
          <t>Row map deviation</t>
        </is>
      </c>
      <c r="B14" s="2" t="inlineStr">
        <is>
          <t>One row inserted vs the canonical owner-fcf.md map: row 11 = lease cost. Drivers (yellow) are rows 5, 7, 9, 15; row 11/13/18/19 link to Assumptions globals.</t>
        </is>
      </c>
    </row>
    <row r="15">
      <c r="A15" s="1" t="inlineStr">
        <is>
          <t>Refresh after next print</t>
        </is>
      </c>
      <c r="B15" s="2" t="inlineStr">
        <is>
          <t>Price; FY2026 annual report: net debt + shares at Dec-2026, actual restructuring spend vs ~EUR 450m assumed, organic growth ex-WNS-scope, statutory margin vs 9.4% modelled</t>
        </is>
      </c>
    </row>
    <row r="16">
      <c r="A16" s="1" t="inlineStr">
        <is>
          <t>Cell legend</t>
        </is>
      </c>
      <c r="B16" s="2" t="inlineStr">
        <is>
          <t>BLUE font = hardcoded input; YELLOW fill = key scenario lever; BLACK = formula; GREEN = cross-sheet link</t>
        </is>
      </c>
    </row>
    <row r="17">
      <c r="A17" s="1" t="inlineStr">
        <is>
          <t>Staleness</t>
        </is>
      </c>
      <c r="B17" s="2" t="inlineStr">
        <is>
          <t>All figures go stale. Anchors dated above; do not reuse without refreshing price, net debt and share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3" t="inlineStr">
        <is>
          <t>Actuals (EUR millions; source CAP.PA_Metrics.csv from the annual reports; pre-2019 = pre-IFRS16, leases in opex)</t>
        </is>
      </c>
    </row>
    <row r="2">
      <c r="A2" s="1" t="inlineStr">
        <is>
          <t>Period</t>
        </is>
      </c>
      <c r="B2" s="1" t="inlineStr">
        <is>
          <t>FY2015</t>
        </is>
      </c>
      <c r="C2" s="1" t="inlineStr">
        <is>
          <t>FY2016</t>
        </is>
      </c>
      <c r="D2" s="1" t="inlineStr">
        <is>
          <t>FY2017</t>
        </is>
      </c>
      <c r="E2" s="1" t="inlineStr">
        <is>
          <t>FY2018</t>
        </is>
      </c>
      <c r="F2" s="1" t="inlineStr">
        <is>
          <t>FY2019</t>
        </is>
      </c>
      <c r="G2" s="1" t="inlineStr">
        <is>
          <t>FY2020</t>
        </is>
      </c>
      <c r="H2" s="1" t="inlineStr">
        <is>
          <t>FY2021</t>
        </is>
      </c>
      <c r="I2" s="1" t="inlineStr">
        <is>
          <t>FY2022</t>
        </is>
      </c>
      <c r="J2" s="1" t="inlineStr">
        <is>
          <t>FY2023</t>
        </is>
      </c>
      <c r="K2" s="1" t="inlineStr">
        <is>
          <t>FY2024</t>
        </is>
      </c>
      <c r="L2" s="1" t="inlineStr">
        <is>
          <t>FY2025</t>
        </is>
      </c>
    </row>
    <row r="3">
      <c r="A3" t="inlineStr">
        <is>
          <t>Revenue</t>
        </is>
      </c>
      <c r="B3" s="4" t="n">
        <v>11915</v>
      </c>
      <c r="C3" s="4" t="n">
        <v>12539</v>
      </c>
      <c r="D3" s="4" t="n">
        <v>12792</v>
      </c>
      <c r="E3" s="4" t="n">
        <v>13197</v>
      </c>
      <c r="F3" s="4" t="n">
        <v>14125</v>
      </c>
      <c r="G3" s="4" t="n">
        <v>15848</v>
      </c>
      <c r="H3" s="4" t="n">
        <v>18160</v>
      </c>
      <c r="I3" s="4" t="n">
        <v>21995</v>
      </c>
      <c r="J3" s="4" t="n">
        <v>22522</v>
      </c>
      <c r="K3" s="4" t="n">
        <v>22096</v>
      </c>
      <c r="L3" s="4" t="n">
        <v>22465</v>
      </c>
    </row>
    <row r="4">
      <c r="A4" t="inlineStr">
        <is>
          <t>Operating income (statutory)</t>
        </is>
      </c>
      <c r="B4" s="4" t="n">
        <v>1022</v>
      </c>
      <c r="C4" s="4" t="n">
        <v>1148</v>
      </c>
      <c r="D4" s="4" t="n">
        <v>1183</v>
      </c>
      <c r="E4" s="4" t="n">
        <v>1251</v>
      </c>
      <c r="F4" s="4" t="n">
        <v>1433</v>
      </c>
      <c r="G4" s="4" t="n">
        <v>1502</v>
      </c>
      <c r="H4" s="4" t="n">
        <v>1839</v>
      </c>
      <c r="I4" s="4" t="n">
        <v>2393</v>
      </c>
      <c r="J4" s="4" t="n">
        <v>2346</v>
      </c>
      <c r="K4" s="4" t="n">
        <v>2356</v>
      </c>
      <c r="L4" s="4" t="n">
        <v>2199</v>
      </c>
    </row>
    <row r="5">
      <c r="A5" t="inlineStr">
        <is>
          <t>Operating margin % (statutory)</t>
        </is>
      </c>
      <c r="B5" s="4" t="n">
        <v>8.6</v>
      </c>
      <c r="C5" s="4" t="n">
        <v>9.199999999999999</v>
      </c>
      <c r="D5" s="4" t="n">
        <v>9.199999999999999</v>
      </c>
      <c r="E5" s="4" t="n">
        <v>9.5</v>
      </c>
      <c r="F5" s="4" t="n">
        <v>10.1</v>
      </c>
      <c r="G5" s="4" t="n">
        <v>9.5</v>
      </c>
      <c r="H5" s="4" t="n">
        <v>10.1</v>
      </c>
      <c r="I5" s="4" t="n">
        <v>10.9</v>
      </c>
      <c r="J5" s="4" t="n">
        <v>10.4</v>
      </c>
      <c r="K5" s="4" t="n">
        <v>10.7</v>
      </c>
      <c r="L5" s="4" t="n">
        <v>9.800000000000001</v>
      </c>
    </row>
    <row r="6">
      <c r="A6" t="inlineStr">
        <is>
          <t>Operating margin APM (EUR m)</t>
        </is>
      </c>
      <c r="B6" s="4" t="n">
        <v>1262</v>
      </c>
      <c r="C6" s="4" t="n">
        <v>1440</v>
      </c>
      <c r="D6" s="4" t="n">
        <v>1493</v>
      </c>
      <c r="E6" s="4" t="n">
        <v>1597</v>
      </c>
      <c r="F6" s="4" t="n">
        <v>1741</v>
      </c>
      <c r="G6" s="4" t="n">
        <v>1879</v>
      </c>
      <c r="H6" s="4" t="n">
        <v>2340</v>
      </c>
      <c r="I6" s="4" t="n">
        <v>2867</v>
      </c>
      <c r="J6" s="4" t="n">
        <v>2991</v>
      </c>
      <c r="K6" s="4" t="n">
        <v>2934</v>
      </c>
      <c r="L6" s="4" t="n">
        <v>2983</v>
      </c>
    </row>
    <row r="7">
      <c r="A7" t="inlineStr">
        <is>
          <t>Net income</t>
        </is>
      </c>
      <c r="B7" s="4" t="n">
        <v>1107</v>
      </c>
      <c r="C7" s="4" t="n">
        <v>908</v>
      </c>
      <c r="D7" s="4" t="n">
        <v>808</v>
      </c>
      <c r="E7" s="4" t="n">
        <v>724</v>
      </c>
      <c r="F7" s="4" t="n">
        <v>852</v>
      </c>
      <c r="G7" s="4" t="n">
        <v>955</v>
      </c>
      <c r="H7" s="4" t="n">
        <v>1159</v>
      </c>
      <c r="I7" s="4" t="n">
        <v>1550</v>
      </c>
      <c r="J7" s="4" t="n">
        <v>1668</v>
      </c>
      <c r="K7" s="4" t="n">
        <v>1677</v>
      </c>
      <c r="L7" s="4" t="n">
        <v>1607</v>
      </c>
    </row>
    <row r="8">
      <c r="A8" t="inlineStr">
        <is>
          <t>EPS (EUR)</t>
        </is>
      </c>
      <c r="B8" s="4" t="n">
        <v>6.67</v>
      </c>
      <c r="C8" s="4" t="n">
        <v>5.44</v>
      </c>
      <c r="D8" s="4" t="n">
        <v>4.88</v>
      </c>
      <c r="E8" s="4" t="n">
        <v>4.37</v>
      </c>
      <c r="F8" s="4" t="n">
        <v>5.15</v>
      </c>
      <c r="G8" s="4" t="n">
        <v>5.71</v>
      </c>
      <c r="H8" s="4" t="n">
        <v>6.87</v>
      </c>
      <c r="I8" s="4" t="n">
        <v>9.09</v>
      </c>
      <c r="J8" s="4" t="n">
        <v>9.699999999999999</v>
      </c>
      <c r="K8" s="4" t="n">
        <v>9.82</v>
      </c>
      <c r="L8" s="4" t="n">
        <v>9.460000000000001</v>
      </c>
    </row>
    <row r="9">
      <c r="A9" t="inlineStr">
        <is>
          <t>Operating cash flow</t>
        </is>
      </c>
      <c r="B9" s="4" t="n">
        <v>1004</v>
      </c>
      <c r="C9" s="4" t="n">
        <v>1319</v>
      </c>
      <c r="D9" s="4" t="n">
        <v>1330</v>
      </c>
      <c r="E9" s="4" t="n">
        <v>1396</v>
      </c>
      <c r="F9" s="4" t="n">
        <v>1794</v>
      </c>
      <c r="G9" s="4" t="n">
        <v>1661</v>
      </c>
      <c r="H9" s="4" t="n">
        <v>2581</v>
      </c>
      <c r="I9" s="4" t="n">
        <v>2517</v>
      </c>
      <c r="J9" s="4" t="n">
        <v>2525</v>
      </c>
      <c r="K9" s="4" t="n">
        <v>2526</v>
      </c>
      <c r="L9" s="4" t="n">
        <v>2482</v>
      </c>
    </row>
    <row r="10">
      <c r="A10" t="inlineStr">
        <is>
          <t>Capex</t>
        </is>
      </c>
      <c r="B10" s="4" t="n">
        <v>198</v>
      </c>
      <c r="C10" s="4" t="n">
        <v>197</v>
      </c>
      <c r="D10" s="4" t="n">
        <v>241</v>
      </c>
      <c r="E10" s="4" t="n">
        <v>236</v>
      </c>
      <c r="F10" s="4" t="n">
        <v>222</v>
      </c>
      <c r="G10" s="4" t="n">
        <v>206</v>
      </c>
      <c r="H10" s="4" t="n">
        <v>266</v>
      </c>
      <c r="I10" s="4" t="n">
        <v>290</v>
      </c>
      <c r="J10" s="4" t="n">
        <v>259</v>
      </c>
      <c r="K10" s="4" t="n">
        <v>315</v>
      </c>
      <c r="L10" s="4" t="n">
        <v>287</v>
      </c>
    </row>
    <row r="11">
      <c r="A11" t="inlineStr">
        <is>
          <t>Lease principal repaid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272</v>
      </c>
      <c r="G11" s="4" t="n">
        <v>291</v>
      </c>
      <c r="H11" s="4" t="n">
        <v>320</v>
      </c>
      <c r="I11" s="4" t="n">
        <v>311</v>
      </c>
      <c r="J11" s="4" t="n">
        <v>297</v>
      </c>
      <c r="K11" s="4" t="n">
        <v>292</v>
      </c>
      <c r="L11" s="4" t="n">
        <v>296</v>
      </c>
    </row>
    <row r="12">
      <c r="A12" t="inlineStr">
        <is>
          <t>SBC (cash-flow add-back)</t>
        </is>
      </c>
      <c r="B12" s="4" t="n">
        <v>32</v>
      </c>
      <c r="C12" s="4" t="n">
        <v>54</v>
      </c>
      <c r="D12" s="4" t="n">
        <v>64</v>
      </c>
      <c r="E12" s="4" t="n">
        <v>84</v>
      </c>
      <c r="F12" s="4" t="n">
        <v>88</v>
      </c>
      <c r="G12" s="4" t="n">
        <v>93</v>
      </c>
      <c r="H12" s="4" t="n">
        <v>125</v>
      </c>
      <c r="I12" s="4" t="n">
        <v>164</v>
      </c>
      <c r="J12" s="4" t="n">
        <v>252</v>
      </c>
      <c r="K12" s="4" t="n">
        <v>273</v>
      </c>
      <c r="L12" s="4" t="n">
        <v>266</v>
      </c>
    </row>
    <row r="13">
      <c r="A13" t="inlineStr">
        <is>
          <t>Cash taxes paid</t>
        </is>
      </c>
      <c r="B13" s="4" t="n">
        <v>137</v>
      </c>
      <c r="C13" s="4" t="n">
        <v>167</v>
      </c>
      <c r="D13" s="4" t="n">
        <v>139</v>
      </c>
      <c r="E13" s="4" t="n">
        <v>205</v>
      </c>
      <c r="F13" s="4" t="n">
        <v>217</v>
      </c>
      <c r="G13" s="4" t="n">
        <v>351</v>
      </c>
      <c r="H13" s="4" t="n">
        <v>440</v>
      </c>
      <c r="I13" s="4" t="n">
        <v>451</v>
      </c>
      <c r="J13" s="4" t="n">
        <v>463</v>
      </c>
      <c r="K13" s="4" t="n">
        <v>521</v>
      </c>
      <c r="L13" s="4" t="n">
        <v>474</v>
      </c>
    </row>
    <row r="14">
      <c r="A14" t="inlineStr">
        <is>
          <t>Shareholders equity</t>
        </is>
      </c>
      <c r="B14" s="4" t="n">
        <v>6887</v>
      </c>
      <c r="C14" s="4" t="n">
        <v>7272</v>
      </c>
      <c r="D14" s="4" t="n">
        <v>6956</v>
      </c>
      <c r="E14" s="4" t="n">
        <v>7480</v>
      </c>
      <c r="F14" s="4" t="n">
        <v>8424</v>
      </c>
      <c r="G14" s="4" t="n">
        <v>6103</v>
      </c>
      <c r="H14" s="4" t="n">
        <v>8467</v>
      </c>
      <c r="I14" s="4" t="n">
        <v>9727</v>
      </c>
      <c r="J14" s="4" t="n">
        <v>10454</v>
      </c>
      <c r="K14" s="4" t="n">
        <v>11775</v>
      </c>
      <c r="L14" s="4" t="n">
        <v>11648</v>
      </c>
    </row>
    <row r="15">
      <c r="A15" t="inlineStr">
        <is>
          <t>Shares outstanding (m)</t>
        </is>
      </c>
      <c r="B15" s="4" t="n">
        <v>168.5</v>
      </c>
      <c r="C15" s="4" t="n">
        <v>169.5</v>
      </c>
      <c r="D15" s="4" t="n">
        <v>168.1</v>
      </c>
      <c r="E15" s="4" t="n">
        <v>167.1</v>
      </c>
      <c r="F15" s="4" t="n">
        <v>166.2</v>
      </c>
      <c r="G15" s="4" t="n">
        <v>167.6</v>
      </c>
      <c r="H15" s="4" t="n">
        <v>168.6</v>
      </c>
      <c r="I15" s="4" t="n">
        <v>170.3</v>
      </c>
      <c r="J15" s="4" t="n">
        <v>171.4</v>
      </c>
      <c r="K15" s="4" t="n">
        <v>170.2</v>
      </c>
      <c r="L15" s="4" t="n">
        <v>169.3</v>
      </c>
    </row>
    <row r="17">
      <c r="A17" s="1" t="inlineStr">
        <is>
          <t>Balance sheet snapshot 2026-06-30 (H1 FY2026 interim report)</t>
        </is>
      </c>
    </row>
    <row r="18">
      <c r="A18" s="5" t="inlineStr">
        <is>
          <t>Total borrowings</t>
        </is>
      </c>
      <c r="B18" s="4" t="n">
        <v>9056</v>
      </c>
    </row>
    <row r="19">
      <c r="A19" s="5" t="inlineStr">
        <is>
          <t>Cash and equivalents</t>
        </is>
      </c>
      <c r="B19" s="4" t="n">
        <v>2279</v>
      </c>
    </row>
    <row r="20">
      <c r="A20" s="5" t="inlineStr">
        <is>
          <t>Net debt (company APM, ex-lease, nets cash-mgmt assets)</t>
        </is>
      </c>
      <c r="B20" s="4" t="n">
        <v>6454</v>
      </c>
    </row>
    <row r="21">
      <c r="A21" s="5" t="inlineStr">
        <is>
          <t>Goodwill</t>
        </is>
      </c>
      <c r="B21" s="4" t="n">
        <v>14674</v>
      </c>
    </row>
    <row r="22">
      <c r="A22" s="5" t="inlineStr">
        <is>
          <t>Equity attributable to owners</t>
        </is>
      </c>
      <c r="B22" s="4" t="n">
        <v>11615</v>
      </c>
    </row>
    <row r="23">
      <c r="A23" s="5" t="inlineStr">
        <is>
          <t>Shares outstanding H1 FY2026 (m, basic avg)</t>
        </is>
      </c>
      <c r="B23" s="4" t="n">
        <v>168.3</v>
      </c>
    </row>
    <row r="24">
      <c r="A24" s="5" t="inlineStr">
        <is>
          <t>Diluted shares H1 FY2026 (m) - NOT used, see Model_Info</t>
        </is>
      </c>
      <c r="B24" s="4" t="n">
        <v>174.4</v>
      </c>
    </row>
    <row r="25">
      <c r="A25" s="5" t="inlineStr">
        <is>
          <t>Buybacks H1 2026 (EUR m)</t>
        </is>
      </c>
      <c r="B25" s="4" t="n">
        <v>315</v>
      </c>
    </row>
    <row r="26">
      <c r="A26" s="5" t="inlineStr">
        <is>
          <t>Dividend per share FY2025 (EUR)</t>
        </is>
      </c>
      <c r="B26" s="4" t="n">
        <v>3.4</v>
      </c>
    </row>
    <row r="27">
      <c r="A27" s="1" t="inlineStr"/>
    </row>
    <row r="28">
      <c r="A28" s="1" t="inlineStr">
        <is>
          <t>FY2026 guidance (raised 2026-07-30)</t>
        </is>
      </c>
    </row>
    <row r="29">
      <c r="A29" s="5" t="inlineStr">
        <is>
          <t>Revenue growth cc</t>
        </is>
      </c>
      <c r="B29" s="4" t="inlineStr">
        <is>
          <t>+8.5% to +9.0% (~5pts WNS/Cloud4C scope)</t>
        </is>
      </c>
    </row>
    <row r="30">
      <c r="A30" s="5" t="inlineStr">
        <is>
          <t>Operating margin APM</t>
        </is>
      </c>
      <c r="B30" s="4" t="inlineStr">
        <is>
          <t>13.6% - 13.8%</t>
        </is>
      </c>
    </row>
    <row r="31">
      <c r="A31" s="5" t="inlineStr">
        <is>
          <t>Organic FCF (company APM)</t>
        </is>
      </c>
      <c r="B31" s="4" t="inlineStr">
        <is>
          <t>~EUR 1.8-1.9bn (incl ~EUR 200m extra restructuring cash)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3" max="3"/>
  </cols>
  <sheetData>
    <row r="1">
      <c r="A1" s="3" t="inlineStr">
        <is>
          <t>Globals (identical across scenarios - risk is charged once, in the flows)</t>
        </is>
      </c>
    </row>
    <row r="2">
      <c r="A2" s="1" t="inlineStr">
        <is>
          <t>WACC</t>
        </is>
      </c>
      <c r="B2" s="6" t="n">
        <v>0.08</v>
      </c>
      <c r="C2" s="7" t="inlineStr">
        <is>
          <t>EUR-built: Bund 2.6% + 5.0% ERP x beta 1.2 = CoE 8.6%; debt 3.0% after tax; 74/26 weights. Same rate all scenarios (owner-fcf.md 7f).</t>
        </is>
      </c>
    </row>
    <row r="3">
      <c r="A3" s="1" t="inlineStr">
        <is>
          <t>D&amp;A % of revenue (non-lease)</t>
        </is>
      </c>
      <c r="B3" s="6" t="n">
        <v>0.018</v>
      </c>
      <c r="C3" s="7" t="inlineStr">
        <is>
          <t>FY2025 total D&amp;A 698 less ~300 ROU depreciation = ~400 = 1.8% of revenue. Lease charge lives on its own row.</t>
        </is>
      </c>
    </row>
    <row r="4">
      <c r="A4" s="1" t="inlineStr">
        <is>
          <t>Capex % of revenue</t>
        </is>
      </c>
      <c r="B4" s="6" t="n">
        <v>0.013</v>
      </c>
      <c r="C4" s="7" t="inlineStr">
        <is>
          <t>FY2025 actual 287/22,465 = 1.28%; asset-light.</t>
        </is>
      </c>
    </row>
    <row r="5">
      <c r="A5" s="1" t="inlineStr">
        <is>
          <t>Lease cost % of revenue</t>
        </is>
      </c>
      <c r="B5" s="6" t="n">
        <v>0.013</v>
      </c>
      <c r="C5" s="7" t="inlineStr">
        <is>
          <t>FY2025 lease principal 296/22,465 = 1.32%. Treatment B: charged in flows, lease liabilities excluded from net debt.</t>
        </is>
      </c>
    </row>
    <row r="6">
      <c r="A6" s="1" t="inlineStr">
        <is>
          <t>WC capture % of revenue change</t>
        </is>
      </c>
      <c r="B6" s="6" t="n">
        <v>-0.1</v>
      </c>
      <c r="C6" s="7" t="inlineStr">
        <is>
          <t>NEGATIVE: services receivables consume ~10% of incremental revenue. Not a deferred-revenue business.</t>
        </is>
      </c>
    </row>
    <row r="7">
      <c r="A7" s="1" t="inlineStr">
        <is>
          <t>Net debt (EUR m, 2026-06-30)</t>
        </is>
      </c>
      <c r="B7" s="4" t="n">
        <v>6454</v>
      </c>
      <c r="C7" s="7" t="inlineStr">
        <is>
          <t>Company-disclosed APM, ex-lease. NOT 9,056-2,279=6,777 (cash-mgmt assets netted) and NOT the stale FY2025 5,306.</t>
        </is>
      </c>
    </row>
    <row r="8">
      <c r="A8" s="1" t="inlineStr">
        <is>
          <t>Diluted shares used (m)</t>
        </is>
      </c>
      <c r="B8" s="4" t="n">
        <v>168.3</v>
      </c>
      <c r="C8" s="7" t="inlineStr">
        <is>
          <t>Basic H1 FY2026; flat - SBC expensed instead of diluted. See Model_Info.</t>
        </is>
      </c>
    </row>
    <row r="9">
      <c r="A9" s="1" t="inlineStr">
        <is>
          <t>Current price (EUR)</t>
        </is>
      </c>
      <c r="B9" s="4" t="n">
        <v>107.25</v>
      </c>
      <c r="C9" s="7" t="inlineStr">
        <is>
          <t>Yahoo regular close 2026-08-31T15:35:13Z.</t>
        </is>
      </c>
    </row>
    <row r="10">
      <c r="A10" s="1" t="inlineStr">
        <is>
          <t>Terminal FCF cap multiple</t>
        </is>
      </c>
      <c r="B10" s="4" t="n">
        <v>15</v>
      </c>
      <c r="C10" s="7" t="inlineStr">
        <is>
          <t>Below the 20x house default - structurally slower/cyclical business. Cap binds in base and bull.</t>
        </is>
      </c>
    </row>
    <row r="11">
      <c r="A11" s="1" t="inlineStr">
        <is>
          <t>Hurdle rate</t>
        </is>
      </c>
      <c r="B11" s="6" t="n">
        <v>0.15</v>
      </c>
      <c r="C11" s="7" t="inlineStr">
        <is>
          <t>Entry-price IRR; terminal value REBUILT at the hurdle.</t>
        </is>
      </c>
    </row>
    <row r="13">
      <c r="A13" s="3" t="inlineStr">
        <is>
          <t>Per scenario</t>
        </is>
      </c>
    </row>
    <row r="14">
      <c r="A14" s="1" t="inlineStr">
        <is>
          <t>Terminal growth - Base</t>
        </is>
      </c>
      <c r="B14" s="6" t="n">
        <v>0.02</v>
      </c>
    </row>
    <row r="15">
      <c r="A15" s="1" t="inlineStr">
        <is>
          <t>Terminal growth - Bull</t>
        </is>
      </c>
      <c r="B15" s="6" t="n">
        <v>0.025</v>
      </c>
    </row>
    <row r="16">
      <c r="A16" s="1" t="inlineStr">
        <is>
          <t>Terminal growth - Bear</t>
        </is>
      </c>
      <c r="B16" s="6" t="n">
        <v>0</v>
      </c>
    </row>
    <row r="17">
      <c r="A17" s="1" t="inlineStr">
        <is>
          <t>Weight - Base</t>
        </is>
      </c>
      <c r="B17" s="4" t="n">
        <v>0.5</v>
      </c>
      <c r="C17" s="7" t="inlineStr">
        <is>
          <t>Bear 30%: structural AI deflation conceded in Capgemini's own URD, arriving at peak leverage with goodwill (14.7bn) &gt; equity (11.6bn). Bull 20%: needs WNS synergies, statutory margin delivery AND sovereignty spend simultaneously.</t>
        </is>
      </c>
    </row>
    <row r="18">
      <c r="A18" s="1" t="inlineStr">
        <is>
          <t>Weight - Bull</t>
        </is>
      </c>
      <c r="B18" s="4" t="n">
        <v>0.2</v>
      </c>
    </row>
    <row r="19">
      <c r="A19" s="1" t="inlineStr">
        <is>
          <t>Weight - Bear</t>
        </is>
      </c>
      <c r="B19" s="4" t="n">
        <v>0.3</v>
      </c>
    </row>
    <row r="20">
      <c r="A20" s="1" t="inlineStr">
        <is>
          <t>Weights sum (must be 1.00)</t>
        </is>
      </c>
      <c r="B20" s="5">
        <f>SUM(B17:B19)</f>
        <v/>
      </c>
    </row>
    <row r="22">
      <c r="A22" s="3" t="inlineStr">
        <is>
          <t>Scenario narratives</t>
        </is>
      </c>
    </row>
    <row r="23">
      <c r="A23" s="1" t="inlineStr">
        <is>
          <t>Base</t>
        </is>
      </c>
      <c r="C23" s="7" t="inlineStr">
        <is>
          <t>FY2026 lands at guidance (+8.0% reported; ~5pts WNS/Cloud4C scope, FX ~-1pt), then growth fades to ~3% organic as the European recovery holds but AI compresses pricing on the staffing-pyramid work roughly in line with the productivity Capgemini passes through. Gross-EBITDA margin dips to 13.6% in FY2026 (Fit-for-Growth restructuring ~EUR 450m, statutory basis) then recovers to 14.8% - statutory EBIT ~10.6%, the middle of the FY2022-24 range, i.e. Fit-for-Growth pays for itself but no more, and ~EUR 150-200m/yr of restructuring remains a permanent cost of the model transition. Cash tax ramps 23%-&gt;26%. Owner-FCF margin matures at 8.1% by FY2035.</t>
        </is>
      </c>
    </row>
    <row r="24">
      <c r="A24" s="1" t="inlineStr">
        <is>
          <t>Bull</t>
        </is>
      </c>
      <c r="C24" s="7" t="inlineStr">
        <is>
          <t>Capgemini's Intelligent Operations bet works: WNS cross-sell (100+ joint pipeline), European sovereignty/defense spend and the agentic-AI transformation cycle make it a share gainer rather than a deflation victim. Growth holds 5-5.5% for three years post-WNS-lap, fading to 3%. Fit-for-Growth delivers the guided margin structure ON A STATUTORY BASIS: gross margin reaches 15.8% (statutory EBIT ~11.6%) as restructuring falls away after FY2027 and the pyramid reshapes toward outcome-based pricing.</t>
        </is>
      </c>
    </row>
    <row r="25">
      <c r="A25" s="1" t="inlineStr">
        <is>
          <t>Bear</t>
        </is>
      </c>
      <c r="C25" s="7" t="inlineStr">
        <is>
          <t>The AI-deflation thesis is right - Capgemini's own URD concedes 'pricing to execution mismatches'. After the WNS lap (FY2026 +6.5%), agentic AI deflates billable hours faster than volume grows: revenue DECLINES 1-2.5%/yr for most of the decade (a real decline path, not slower growth). Pricing pressure plus under-utilized onshore Europe compresses gross margin 13.2%-&gt;11.0% (statutory EBIT ~6.8%) with restructuring permanent. Terminal growth 0%. The EUR 6.5bn net debt and goodwill &gt; equity (EUR 14.7bn vs 11.6bn at Jun-2026) make this scenario a deleveraging grind with likely impairments - equity survives but compounds nothing.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" t="inlineStr">
        <is>
          <t>Bear scenario - owner-FCF build (EUR m). Drivers (yellow): rows 5, 7, 9, 15.</t>
        </is>
      </c>
    </row>
    <row r="3">
      <c r="A3" s="1" t="inlineStr">
        <is>
          <t>Year</t>
        </is>
      </c>
      <c r="B3" s="1" t="inlineStr">
        <is>
          <t>2025A</t>
        </is>
      </c>
      <c r="C3" s="1" t="inlineStr">
        <is>
          <t>2026E</t>
        </is>
      </c>
      <c r="D3" s="1" t="inlineStr">
        <is>
          <t>2027E</t>
        </is>
      </c>
      <c r="E3" s="1" t="inlineStr">
        <is>
          <t>2028E</t>
        </is>
      </c>
      <c r="F3" s="1" t="inlineStr">
        <is>
          <t>2029E</t>
        </is>
      </c>
      <c r="G3" s="1" t="inlineStr">
        <is>
          <t>2030E</t>
        </is>
      </c>
      <c r="H3" s="1" t="inlineStr">
        <is>
          <t>2031E</t>
        </is>
      </c>
      <c r="I3" s="1" t="inlineStr">
        <is>
          <t>2032E</t>
        </is>
      </c>
      <c r="J3" s="1" t="inlineStr">
        <is>
          <t>2033E</t>
        </is>
      </c>
      <c r="K3" s="1" t="inlineStr">
        <is>
          <t>2034E</t>
        </is>
      </c>
      <c r="L3" s="1" t="inlineStr">
        <is>
          <t>2035E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8" t="n">
        <v>0.065</v>
      </c>
      <c r="D5" s="8" t="n">
        <v>-0.01</v>
      </c>
      <c r="E5" s="8" t="n">
        <v>-0.025</v>
      </c>
      <c r="F5" s="8" t="n">
        <v>-0.025</v>
      </c>
      <c r="G5" s="8" t="n">
        <v>-0.02</v>
      </c>
      <c r="H5" s="8" t="n">
        <v>-0.015</v>
      </c>
      <c r="I5" s="8" t="n">
        <v>-0.01</v>
      </c>
      <c r="J5" s="8" t="n">
        <v>-0.01</v>
      </c>
      <c r="K5" s="8" t="n">
        <v>-0.005</v>
      </c>
      <c r="L5" s="8" t="n">
        <v>-0.005</v>
      </c>
    </row>
    <row r="6">
      <c r="A6" t="inlineStr">
        <is>
          <t>Revenue</t>
        </is>
      </c>
      <c r="B6" s="4" t="n">
        <v>22465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 (gross of SBC/lease/D&amp;A, statutory basis)</t>
        </is>
      </c>
      <c r="C7" s="8" t="n">
        <v>0.132</v>
      </c>
      <c r="D7" s="8" t="n">
        <v>0.13</v>
      </c>
      <c r="E7" s="8" t="n">
        <v>0.125</v>
      </c>
      <c r="F7" s="8" t="n">
        <v>0.12</v>
      </c>
      <c r="G7" s="8" t="n">
        <v>0.116</v>
      </c>
      <c r="H7" s="8" t="n">
        <v>0.113</v>
      </c>
      <c r="I7" s="8" t="n">
        <v>0.11</v>
      </c>
      <c r="J7" s="8" t="n">
        <v>0.11</v>
      </c>
      <c r="K7" s="8" t="n">
        <v>0.11</v>
      </c>
      <c r="L7" s="8" t="n">
        <v>0.11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8" t="n">
        <v>0.011</v>
      </c>
      <c r="D9" s="8" t="n">
        <v>0.011</v>
      </c>
      <c r="E9" s="8" t="n">
        <v>0.011</v>
      </c>
      <c r="F9" s="8" t="n">
        <v>0.011</v>
      </c>
      <c r="G9" s="8" t="n">
        <v>0.011</v>
      </c>
      <c r="H9" s="8" t="n">
        <v>0.011</v>
      </c>
      <c r="I9" s="8" t="n">
        <v>0.011</v>
      </c>
      <c r="J9" s="8" t="n">
        <v>0.011</v>
      </c>
      <c r="K9" s="8" t="n">
        <v>0.011</v>
      </c>
      <c r="L9" s="8" t="n">
        <v>0.011</v>
      </c>
    </row>
    <row r="10">
      <c r="A10" t="inlineStr">
        <is>
          <t>SBC (expensed)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cost (IFRS-16 principal, treatment B)</t>
        </is>
      </c>
      <c r="C11" s="9">
        <f>-C6*Assumptions!$B$5</f>
        <v/>
      </c>
      <c r="D11" s="9">
        <f>-D6*Assumptions!$B$5</f>
        <v/>
      </c>
      <c r="E11" s="9">
        <f>-E6*Assumptions!$B$5</f>
        <v/>
      </c>
      <c r="F11" s="9">
        <f>-F6*Assumptions!$B$5</f>
        <v/>
      </c>
      <c r="G11" s="9">
        <f>-G6*Assumptions!$B$5</f>
        <v/>
      </c>
      <c r="H11" s="9">
        <f>-H6*Assumptions!$B$5</f>
        <v/>
      </c>
      <c r="I11" s="9">
        <f>-I6*Assumptions!$B$5</f>
        <v/>
      </c>
      <c r="J11" s="9">
        <f>-J6*Assumptions!$B$5</f>
        <v/>
      </c>
      <c r="K11" s="9">
        <f>-K6*Assumptions!$B$5</f>
        <v/>
      </c>
      <c r="L11" s="9">
        <f>-L6*Assumptions!$B$5</f>
        <v/>
      </c>
    </row>
    <row r="12">
      <c r="A12" t="inlineStr">
        <is>
          <t>Owner EBITDA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D&amp;A (non-lease)</t>
        </is>
      </c>
      <c r="C13" s="9">
        <f>-C6*Assumptions!$B$3</f>
        <v/>
      </c>
      <c r="D13" s="9">
        <f>-D6*Assumptions!$B$3</f>
        <v/>
      </c>
      <c r="E13" s="9">
        <f>-E6*Assumptions!$B$3</f>
        <v/>
      </c>
      <c r="F13" s="9">
        <f>-F6*Assumptions!$B$3</f>
        <v/>
      </c>
      <c r="G13" s="9">
        <f>-G6*Assumptions!$B$3</f>
        <v/>
      </c>
      <c r="H13" s="9">
        <f>-H6*Assumptions!$B$3</f>
        <v/>
      </c>
      <c r="I13" s="9">
        <f>-I6*Assumptions!$B$3</f>
        <v/>
      </c>
      <c r="J13" s="9">
        <f>-J6*Assumptions!$B$3</f>
        <v/>
      </c>
      <c r="K13" s="9">
        <f>-K6*Assumptions!$B$3</f>
        <v/>
      </c>
      <c r="L13" s="9">
        <f>-L6*Assumptions!$B$3</f>
        <v/>
      </c>
    </row>
    <row r="14">
      <c r="A14" t="inlineStr">
        <is>
          <t>EBIT (SBC and lease expensed)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  <c r="K14">
        <f>K12+K13</f>
        <v/>
      </c>
      <c r="L14">
        <f>L12+L13</f>
        <v/>
      </c>
    </row>
    <row r="15">
      <c r="A15" t="inlineStr">
        <is>
          <t>Cash tax rate</t>
        </is>
      </c>
      <c r="C15" s="8" t="n">
        <v>0.23</v>
      </c>
      <c r="D15" s="8" t="n">
        <v>0.24</v>
      </c>
      <c r="E15" s="8" t="n">
        <v>0.25</v>
      </c>
      <c r="F15" s="8" t="n">
        <v>0.26</v>
      </c>
      <c r="G15" s="8" t="n">
        <v>0.26</v>
      </c>
      <c r="H15" s="8" t="n">
        <v>0.26</v>
      </c>
      <c r="I15" s="8" t="n">
        <v>0.26</v>
      </c>
      <c r="J15" s="8" t="n">
        <v>0.26</v>
      </c>
      <c r="K15" s="8" t="n">
        <v>0.26</v>
      </c>
      <c r="L15" s="8" t="n">
        <v>0.26</v>
      </c>
    </row>
    <row r="16">
      <c r="A16" t="inlineStr">
        <is>
          <t>NOPAT</t>
        </is>
      </c>
      <c r="C16">
        <f>C14-MAX(0,C14)*C15</f>
        <v/>
      </c>
      <c r="D16">
        <f>D14-MAX(0,D14)*D15</f>
        <v/>
      </c>
      <c r="E16">
        <f>E14-MAX(0,E14)*E15</f>
        <v/>
      </c>
      <c r="F16">
        <f>F14-MAX(0,F14)*F15</f>
        <v/>
      </c>
      <c r="G16">
        <f>G14-MAX(0,G14)*G15</f>
        <v/>
      </c>
      <c r="H16">
        <f>H14-MAX(0,H14)*H15</f>
        <v/>
      </c>
      <c r="I16">
        <f>I14-MAX(0,I14)*I15</f>
        <v/>
      </c>
      <c r="J16">
        <f>J14-MAX(0,J14)*J15</f>
        <v/>
      </c>
      <c r="K16">
        <f>K14-MAX(0,K14)*K15</f>
        <v/>
      </c>
      <c r="L16">
        <f>L14-MAX(0,L14)*L15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  <c r="H17">
        <f>-H13</f>
        <v/>
      </c>
      <c r="I17">
        <f>-I13</f>
        <v/>
      </c>
      <c r="J17">
        <f>-J13</f>
        <v/>
      </c>
      <c r="K17">
        <f>-K13</f>
        <v/>
      </c>
      <c r="L17">
        <f>-L13</f>
        <v/>
      </c>
    </row>
    <row r="18">
      <c r="A18" t="inlineStr">
        <is>
          <t>less capex</t>
        </is>
      </c>
      <c r="C18" s="9">
        <f>-C6*Assumptions!$B$4</f>
        <v/>
      </c>
      <c r="D18" s="9">
        <f>-D6*Assumptions!$B$4</f>
        <v/>
      </c>
      <c r="E18" s="9">
        <f>-E6*Assumptions!$B$4</f>
        <v/>
      </c>
      <c r="F18" s="9">
        <f>-F6*Assumptions!$B$4</f>
        <v/>
      </c>
      <c r="G18" s="9">
        <f>-G6*Assumptions!$B$4</f>
        <v/>
      </c>
      <c r="H18" s="9">
        <f>-H6*Assumptions!$B$4</f>
        <v/>
      </c>
      <c r="I18" s="9">
        <f>-I6*Assumptions!$B$4</f>
        <v/>
      </c>
      <c r="J18" s="9">
        <f>-J6*Assumptions!$B$4</f>
        <v/>
      </c>
      <c r="K18" s="9">
        <f>-K6*Assumptions!$B$4</f>
        <v/>
      </c>
      <c r="L18" s="9">
        <f>-L6*Assumptions!$B$4</f>
        <v/>
      </c>
    </row>
    <row r="19">
      <c r="A19" t="inlineStr">
        <is>
          <t>add working capital (on revenue CHANGE)</t>
        </is>
      </c>
      <c r="C19" s="9">
        <f>Assumptions!$B$6*(C6-B6)</f>
        <v/>
      </c>
      <c r="D19" s="9">
        <f>Assumptions!$B$6*(D6-C6)</f>
        <v/>
      </c>
      <c r="E19" s="9">
        <f>Assumptions!$B$6*(E6-D6)</f>
        <v/>
      </c>
      <c r="F19" s="9">
        <f>Assumptions!$B$6*(F6-E6)</f>
        <v/>
      </c>
      <c r="G19" s="9">
        <f>Assumptions!$B$6*(G6-F6)</f>
        <v/>
      </c>
      <c r="H19" s="9">
        <f>Assumptions!$B$6*(H6-G6)</f>
        <v/>
      </c>
      <c r="I19" s="9">
        <f>Assumptions!$B$6*(I6-H6)</f>
        <v/>
      </c>
      <c r="J19" s="9">
        <f>Assumptions!$B$6*(J6-I6)</f>
        <v/>
      </c>
      <c r="K19" s="9">
        <f>Assumptions!$B$6*(K6-J6)</f>
        <v/>
      </c>
      <c r="L19" s="9">
        <f>Assumptions!$B$6*(L6-K6)</f>
        <v/>
      </c>
    </row>
    <row r="20">
      <c r="A20" s="1" t="inlineStr">
        <is>
          <t>Unlevered owner FCF</t>
        </is>
      </c>
      <c r="C20" s="1">
        <f>C16+C17+C18+C19</f>
        <v/>
      </c>
      <c r="D20" s="1">
        <f>D16+D17+D18+D19</f>
        <v/>
      </c>
      <c r="E20" s="1">
        <f>E16+E17+E18+E19</f>
        <v/>
      </c>
      <c r="F20" s="1">
        <f>F16+F17+F18+F19</f>
        <v/>
      </c>
      <c r="G20" s="1">
        <f>G16+G17+G18+G19</f>
        <v/>
      </c>
      <c r="H20" s="1">
        <f>H16+H17+H18+H19</f>
        <v/>
      </c>
      <c r="I20" s="1">
        <f>I16+I17+I18+I19</f>
        <v/>
      </c>
      <c r="J20" s="1">
        <f>J16+J17+J18+J19</f>
        <v/>
      </c>
      <c r="K20" s="1">
        <f>K16+K17+K18+K19</f>
        <v/>
      </c>
      <c r="L20" s="1">
        <f>L16+L17+L18+L19</f>
        <v/>
      </c>
    </row>
    <row r="21">
      <c r="A21" t="inlineStr">
        <is>
          <t>Discount factor</t>
        </is>
      </c>
      <c r="C21" s="9">
        <f>1/(1+Assumptions!$B$2)^C4</f>
        <v/>
      </c>
      <c r="D21" s="9">
        <f>1/(1+Assumptions!$B$2)^D4</f>
        <v/>
      </c>
      <c r="E21" s="9">
        <f>1/(1+Assumptions!$B$2)^E4</f>
        <v/>
      </c>
      <c r="F21" s="9">
        <f>1/(1+Assumptions!$B$2)^F4</f>
        <v/>
      </c>
      <c r="G21" s="9">
        <f>1/(1+Assumptions!$B$2)^G4</f>
        <v/>
      </c>
      <c r="H21" s="9">
        <f>1/(1+Assumptions!$B$2)^H4</f>
        <v/>
      </c>
      <c r="I21" s="9">
        <f>1/(1+Assumptions!$B$2)^I4</f>
        <v/>
      </c>
      <c r="J21" s="9">
        <f>1/(1+Assumptions!$B$2)^J4</f>
        <v/>
      </c>
      <c r="K21" s="9">
        <f>1/(1+Assumptions!$B$2)^K4</f>
        <v/>
      </c>
      <c r="L21" s="9">
        <f>1/(1+Assumptions!$B$2)^L4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FCF before SBC (company-style)</t>
        </is>
      </c>
      <c r="C24">
        <f>C20-C10</f>
        <v/>
      </c>
      <c r="D24">
        <f>D20-D10</f>
        <v/>
      </c>
      <c r="E24">
        <f>E20-E10</f>
        <v/>
      </c>
      <c r="F24">
        <f>F20-F10</f>
        <v/>
      </c>
      <c r="G24">
        <f>G20-G10</f>
        <v/>
      </c>
      <c r="H24">
        <f>H20-H10</f>
        <v/>
      </c>
      <c r="I24">
        <f>I20-I10</f>
        <v/>
      </c>
      <c r="J24">
        <f>J20-J10</f>
        <v/>
      </c>
      <c r="K24">
        <f>K20-K10</f>
        <v/>
      </c>
      <c r="L24">
        <f>L20-L10</f>
        <v/>
      </c>
    </row>
    <row r="25">
      <c r="A25" t="inlineStr">
        <is>
          <t>Memo: implied owner-FCF margin</t>
        </is>
      </c>
      <c r="C25" s="10">
        <f>C20/C6</f>
        <v/>
      </c>
      <c r="D25" s="10">
        <f>D20/D6</f>
        <v/>
      </c>
      <c r="E25" s="10">
        <f>E20/E6</f>
        <v/>
      </c>
      <c r="F25" s="10">
        <f>F20/F6</f>
        <v/>
      </c>
      <c r="G25" s="10">
        <f>G20/G6</f>
        <v/>
      </c>
      <c r="H25" s="10">
        <f>H20/H6</f>
        <v/>
      </c>
      <c r="I25" s="10">
        <f>I20/I6</f>
        <v/>
      </c>
      <c r="J25" s="10">
        <f>J20/J6</f>
        <v/>
      </c>
      <c r="K25" s="10">
        <f>K20/K6</f>
        <v/>
      </c>
      <c r="L25" s="10">
        <f>L20/L6</f>
        <v/>
      </c>
    </row>
    <row r="27">
      <c r="A27" s="5" t="inlineStr">
        <is>
          <t>Sum PV of FCF</t>
        </is>
      </c>
      <c r="B27" s="5">
        <f>SUM(C22:L22)</f>
        <v/>
      </c>
    </row>
    <row r="28">
      <c r="A28" s="5" t="inlineStr">
        <is>
          <t>Terminal growth</t>
        </is>
      </c>
      <c r="B28" s="11">
        <f>Assumptions!$B$16</f>
        <v/>
      </c>
    </row>
    <row r="29">
      <c r="A29" s="5" t="inlineStr">
        <is>
          <t>Terminal FCF</t>
        </is>
      </c>
      <c r="B29" s="5">
        <f>L20*(1+B28)</f>
        <v/>
      </c>
    </row>
    <row r="30">
      <c r="A30" s="5" t="inlineStr">
        <is>
          <t>Gordon TV</t>
        </is>
      </c>
      <c r="B30" s="5">
        <f>IF(Assumptions!$B$2&gt;B28,B29/(Assumptions!$B$2-B28),1E+15)</f>
        <v/>
      </c>
    </row>
    <row r="31">
      <c r="A31" s="5" t="inlineStr">
        <is>
          <t>Cap TV</t>
        </is>
      </c>
      <c r="B31" s="5">
        <f>Assumptions!$B$10*L20</f>
        <v/>
      </c>
    </row>
    <row r="32">
      <c r="A32" s="5" t="inlineStr">
        <is>
          <t>TV used</t>
        </is>
      </c>
      <c r="B32" s="5">
        <f>MAX(0,MIN(B30,B31))</f>
        <v/>
      </c>
    </row>
    <row r="33">
      <c r="A33" s="5" t="inlineStr">
        <is>
          <t>Implied exit multiple (TV/FCF_N)</t>
        </is>
      </c>
      <c r="B33" s="5">
        <f>B32/L20</f>
        <v/>
      </c>
    </row>
    <row r="34">
      <c r="A34" s="5" t="inlineStr">
        <is>
          <t>PV of TV</t>
        </is>
      </c>
      <c r="B34" s="5">
        <f>B32*L21</f>
        <v/>
      </c>
    </row>
    <row r="35">
      <c r="A35" s="5" t="inlineStr">
        <is>
          <t>Enterprise value</t>
        </is>
      </c>
      <c r="B35" s="5">
        <f>B27+B34</f>
        <v/>
      </c>
    </row>
    <row r="36">
      <c r="A36" s="5" t="inlineStr">
        <is>
          <t>less net debt</t>
        </is>
      </c>
      <c r="B36" s="9">
        <f>-Assumptions!$B$7</f>
        <v/>
      </c>
    </row>
    <row r="37">
      <c r="A37" s="5" t="inlineStr">
        <is>
          <t>Equity value</t>
        </is>
      </c>
      <c r="B37" s="5">
        <f>B35+B36</f>
        <v/>
      </c>
    </row>
    <row r="38">
      <c r="A38" s="5" t="inlineStr">
        <is>
          <t>Diluted shares (m)</t>
        </is>
      </c>
      <c r="B38" s="9">
        <f>Assumptions!$B$8</f>
        <v/>
      </c>
    </row>
    <row r="39">
      <c r="A39" s="1" t="inlineStr">
        <is>
          <t>Value per share (EUR)</t>
        </is>
      </c>
      <c r="B39" s="12">
        <f>B37/B38</f>
        <v/>
      </c>
    </row>
    <row r="40">
      <c r="A40" s="5" t="inlineStr">
        <is>
          <t>Upside vs price</t>
        </is>
      </c>
      <c r="B40" s="13">
        <f>B39/Assumptions!$B$9-1</f>
        <v/>
      </c>
    </row>
    <row r="42">
      <c r="A42" t="inlineStr">
        <is>
          <t>Street memo: PV of explicit-period SBC</t>
        </is>
      </c>
      <c r="B42">
        <f>SUMPRODUCT(-C10:L10/(1+Assumptions!$B$2)^C4:L4)</f>
        <v/>
      </c>
    </row>
    <row r="43">
      <c r="A43" t="inlineStr">
        <is>
          <t>Street memo: PV of terminal SBC (Gordon)</t>
        </is>
      </c>
      <c r="B43">
        <f>(-L10*(1+B28)/(Assumptions!$B$2-B28))*L21</f>
        <v/>
      </c>
    </row>
    <row r="44">
      <c r="A44" t="inlineStr">
        <is>
          <t>Street value per share (SBC as non-cash)</t>
        </is>
      </c>
      <c r="B44">
        <f>(B37+B42+B43)/B38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" t="inlineStr">
        <is>
          <t>Base scenario - owner-FCF build (EUR m). Drivers (yellow): rows 5, 7, 9, 15.</t>
        </is>
      </c>
    </row>
    <row r="3">
      <c r="A3" s="1" t="inlineStr">
        <is>
          <t>Year</t>
        </is>
      </c>
      <c r="B3" s="1" t="inlineStr">
        <is>
          <t>2025A</t>
        </is>
      </c>
      <c r="C3" s="1" t="inlineStr">
        <is>
          <t>2026E</t>
        </is>
      </c>
      <c r="D3" s="1" t="inlineStr">
        <is>
          <t>2027E</t>
        </is>
      </c>
      <c r="E3" s="1" t="inlineStr">
        <is>
          <t>2028E</t>
        </is>
      </c>
      <c r="F3" s="1" t="inlineStr">
        <is>
          <t>2029E</t>
        </is>
      </c>
      <c r="G3" s="1" t="inlineStr">
        <is>
          <t>2030E</t>
        </is>
      </c>
      <c r="H3" s="1" t="inlineStr">
        <is>
          <t>2031E</t>
        </is>
      </c>
      <c r="I3" s="1" t="inlineStr">
        <is>
          <t>2032E</t>
        </is>
      </c>
      <c r="J3" s="1" t="inlineStr">
        <is>
          <t>2033E</t>
        </is>
      </c>
      <c r="K3" s="1" t="inlineStr">
        <is>
          <t>2034E</t>
        </is>
      </c>
      <c r="L3" s="1" t="inlineStr">
        <is>
          <t>2035E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8" t="n">
        <v>0.08</v>
      </c>
      <c r="D5" s="8" t="n">
        <v>0.04</v>
      </c>
      <c r="E5" s="8" t="n">
        <v>0.035</v>
      </c>
      <c r="F5" s="8" t="n">
        <v>0.03</v>
      </c>
      <c r="G5" s="8" t="n">
        <v>0.03</v>
      </c>
      <c r="H5" s="8" t="n">
        <v>0.03</v>
      </c>
      <c r="I5" s="8" t="n">
        <v>0.025</v>
      </c>
      <c r="J5" s="8" t="n">
        <v>0.025</v>
      </c>
      <c r="K5" s="8" t="n">
        <v>0.025</v>
      </c>
      <c r="L5" s="8" t="n">
        <v>0.02</v>
      </c>
    </row>
    <row r="6">
      <c r="A6" t="inlineStr">
        <is>
          <t>Revenue</t>
        </is>
      </c>
      <c r="B6" s="4" t="n">
        <v>22465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 (gross of SBC/lease/D&amp;A, statutory basis)</t>
        </is>
      </c>
      <c r="C7" s="8" t="n">
        <v>0.136</v>
      </c>
      <c r="D7" s="8" t="n">
        <v>0.144</v>
      </c>
      <c r="E7" s="8" t="n">
        <v>0.146</v>
      </c>
      <c r="F7" s="8" t="n">
        <v>0.147</v>
      </c>
      <c r="G7" s="8" t="n">
        <v>0.148</v>
      </c>
      <c r="H7" s="8" t="n">
        <v>0.148</v>
      </c>
      <c r="I7" s="8" t="n">
        <v>0.148</v>
      </c>
      <c r="J7" s="8" t="n">
        <v>0.148</v>
      </c>
      <c r="K7" s="8" t="n">
        <v>0.148</v>
      </c>
      <c r="L7" s="8" t="n">
        <v>0.148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8" t="n">
        <v>0.011</v>
      </c>
      <c r="D9" s="8" t="n">
        <v>0.011</v>
      </c>
      <c r="E9" s="8" t="n">
        <v>0.011</v>
      </c>
      <c r="F9" s="8" t="n">
        <v>0.011</v>
      </c>
      <c r="G9" s="8" t="n">
        <v>0.011</v>
      </c>
      <c r="H9" s="8" t="n">
        <v>0.011</v>
      </c>
      <c r="I9" s="8" t="n">
        <v>0.011</v>
      </c>
      <c r="J9" s="8" t="n">
        <v>0.011</v>
      </c>
      <c r="K9" s="8" t="n">
        <v>0.011</v>
      </c>
      <c r="L9" s="8" t="n">
        <v>0.011</v>
      </c>
    </row>
    <row r="10">
      <c r="A10" t="inlineStr">
        <is>
          <t>SBC (expensed)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cost (IFRS-16 principal, treatment B)</t>
        </is>
      </c>
      <c r="C11" s="9">
        <f>-C6*Assumptions!$B$5</f>
        <v/>
      </c>
      <c r="D11" s="9">
        <f>-D6*Assumptions!$B$5</f>
        <v/>
      </c>
      <c r="E11" s="9">
        <f>-E6*Assumptions!$B$5</f>
        <v/>
      </c>
      <c r="F11" s="9">
        <f>-F6*Assumptions!$B$5</f>
        <v/>
      </c>
      <c r="G11" s="9">
        <f>-G6*Assumptions!$B$5</f>
        <v/>
      </c>
      <c r="H11" s="9">
        <f>-H6*Assumptions!$B$5</f>
        <v/>
      </c>
      <c r="I11" s="9">
        <f>-I6*Assumptions!$B$5</f>
        <v/>
      </c>
      <c r="J11" s="9">
        <f>-J6*Assumptions!$B$5</f>
        <v/>
      </c>
      <c r="K11" s="9">
        <f>-K6*Assumptions!$B$5</f>
        <v/>
      </c>
      <c r="L11" s="9">
        <f>-L6*Assumptions!$B$5</f>
        <v/>
      </c>
    </row>
    <row r="12">
      <c r="A12" t="inlineStr">
        <is>
          <t>Owner EBITDA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D&amp;A (non-lease)</t>
        </is>
      </c>
      <c r="C13" s="9">
        <f>-C6*Assumptions!$B$3</f>
        <v/>
      </c>
      <c r="D13" s="9">
        <f>-D6*Assumptions!$B$3</f>
        <v/>
      </c>
      <c r="E13" s="9">
        <f>-E6*Assumptions!$B$3</f>
        <v/>
      </c>
      <c r="F13" s="9">
        <f>-F6*Assumptions!$B$3</f>
        <v/>
      </c>
      <c r="G13" s="9">
        <f>-G6*Assumptions!$B$3</f>
        <v/>
      </c>
      <c r="H13" s="9">
        <f>-H6*Assumptions!$B$3</f>
        <v/>
      </c>
      <c r="I13" s="9">
        <f>-I6*Assumptions!$B$3</f>
        <v/>
      </c>
      <c r="J13" s="9">
        <f>-J6*Assumptions!$B$3</f>
        <v/>
      </c>
      <c r="K13" s="9">
        <f>-K6*Assumptions!$B$3</f>
        <v/>
      </c>
      <c r="L13" s="9">
        <f>-L6*Assumptions!$B$3</f>
        <v/>
      </c>
    </row>
    <row r="14">
      <c r="A14" t="inlineStr">
        <is>
          <t>EBIT (SBC and lease expensed)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  <c r="K14">
        <f>K12+K13</f>
        <v/>
      </c>
      <c r="L14">
        <f>L12+L13</f>
        <v/>
      </c>
    </row>
    <row r="15">
      <c r="A15" t="inlineStr">
        <is>
          <t>Cash tax rate</t>
        </is>
      </c>
      <c r="C15" s="8" t="n">
        <v>0.23</v>
      </c>
      <c r="D15" s="8" t="n">
        <v>0.24</v>
      </c>
      <c r="E15" s="8" t="n">
        <v>0.25</v>
      </c>
      <c r="F15" s="8" t="n">
        <v>0.26</v>
      </c>
      <c r="G15" s="8" t="n">
        <v>0.26</v>
      </c>
      <c r="H15" s="8" t="n">
        <v>0.26</v>
      </c>
      <c r="I15" s="8" t="n">
        <v>0.26</v>
      </c>
      <c r="J15" s="8" t="n">
        <v>0.26</v>
      </c>
      <c r="K15" s="8" t="n">
        <v>0.26</v>
      </c>
      <c r="L15" s="8" t="n">
        <v>0.26</v>
      </c>
    </row>
    <row r="16">
      <c r="A16" t="inlineStr">
        <is>
          <t>NOPAT</t>
        </is>
      </c>
      <c r="C16">
        <f>C14-MAX(0,C14)*C15</f>
        <v/>
      </c>
      <c r="D16">
        <f>D14-MAX(0,D14)*D15</f>
        <v/>
      </c>
      <c r="E16">
        <f>E14-MAX(0,E14)*E15</f>
        <v/>
      </c>
      <c r="F16">
        <f>F14-MAX(0,F14)*F15</f>
        <v/>
      </c>
      <c r="G16">
        <f>G14-MAX(0,G14)*G15</f>
        <v/>
      </c>
      <c r="H16">
        <f>H14-MAX(0,H14)*H15</f>
        <v/>
      </c>
      <c r="I16">
        <f>I14-MAX(0,I14)*I15</f>
        <v/>
      </c>
      <c r="J16">
        <f>J14-MAX(0,J14)*J15</f>
        <v/>
      </c>
      <c r="K16">
        <f>K14-MAX(0,K14)*K15</f>
        <v/>
      </c>
      <c r="L16">
        <f>L14-MAX(0,L14)*L15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  <c r="H17">
        <f>-H13</f>
        <v/>
      </c>
      <c r="I17">
        <f>-I13</f>
        <v/>
      </c>
      <c r="J17">
        <f>-J13</f>
        <v/>
      </c>
      <c r="K17">
        <f>-K13</f>
        <v/>
      </c>
      <c r="L17">
        <f>-L13</f>
        <v/>
      </c>
    </row>
    <row r="18">
      <c r="A18" t="inlineStr">
        <is>
          <t>less capex</t>
        </is>
      </c>
      <c r="C18" s="9">
        <f>-C6*Assumptions!$B$4</f>
        <v/>
      </c>
      <c r="D18" s="9">
        <f>-D6*Assumptions!$B$4</f>
        <v/>
      </c>
      <c r="E18" s="9">
        <f>-E6*Assumptions!$B$4</f>
        <v/>
      </c>
      <c r="F18" s="9">
        <f>-F6*Assumptions!$B$4</f>
        <v/>
      </c>
      <c r="G18" s="9">
        <f>-G6*Assumptions!$B$4</f>
        <v/>
      </c>
      <c r="H18" s="9">
        <f>-H6*Assumptions!$B$4</f>
        <v/>
      </c>
      <c r="I18" s="9">
        <f>-I6*Assumptions!$B$4</f>
        <v/>
      </c>
      <c r="J18" s="9">
        <f>-J6*Assumptions!$B$4</f>
        <v/>
      </c>
      <c r="K18" s="9">
        <f>-K6*Assumptions!$B$4</f>
        <v/>
      </c>
      <c r="L18" s="9">
        <f>-L6*Assumptions!$B$4</f>
        <v/>
      </c>
    </row>
    <row r="19">
      <c r="A19" t="inlineStr">
        <is>
          <t>add working capital (on revenue CHANGE)</t>
        </is>
      </c>
      <c r="C19" s="9">
        <f>Assumptions!$B$6*(C6-B6)</f>
        <v/>
      </c>
      <c r="D19" s="9">
        <f>Assumptions!$B$6*(D6-C6)</f>
        <v/>
      </c>
      <c r="E19" s="9">
        <f>Assumptions!$B$6*(E6-D6)</f>
        <v/>
      </c>
      <c r="F19" s="9">
        <f>Assumptions!$B$6*(F6-E6)</f>
        <v/>
      </c>
      <c r="G19" s="9">
        <f>Assumptions!$B$6*(G6-F6)</f>
        <v/>
      </c>
      <c r="H19" s="9">
        <f>Assumptions!$B$6*(H6-G6)</f>
        <v/>
      </c>
      <c r="I19" s="9">
        <f>Assumptions!$B$6*(I6-H6)</f>
        <v/>
      </c>
      <c r="J19" s="9">
        <f>Assumptions!$B$6*(J6-I6)</f>
        <v/>
      </c>
      <c r="K19" s="9">
        <f>Assumptions!$B$6*(K6-J6)</f>
        <v/>
      </c>
      <c r="L19" s="9">
        <f>Assumptions!$B$6*(L6-K6)</f>
        <v/>
      </c>
    </row>
    <row r="20">
      <c r="A20" s="1" t="inlineStr">
        <is>
          <t>Unlevered owner FCF</t>
        </is>
      </c>
      <c r="C20" s="1">
        <f>C16+C17+C18+C19</f>
        <v/>
      </c>
      <c r="D20" s="1">
        <f>D16+D17+D18+D19</f>
        <v/>
      </c>
      <c r="E20" s="1">
        <f>E16+E17+E18+E19</f>
        <v/>
      </c>
      <c r="F20" s="1">
        <f>F16+F17+F18+F19</f>
        <v/>
      </c>
      <c r="G20" s="1">
        <f>G16+G17+G18+G19</f>
        <v/>
      </c>
      <c r="H20" s="1">
        <f>H16+H17+H18+H19</f>
        <v/>
      </c>
      <c r="I20" s="1">
        <f>I16+I17+I18+I19</f>
        <v/>
      </c>
      <c r="J20" s="1">
        <f>J16+J17+J18+J19</f>
        <v/>
      </c>
      <c r="K20" s="1">
        <f>K16+K17+K18+K19</f>
        <v/>
      </c>
      <c r="L20" s="1">
        <f>L16+L17+L18+L19</f>
        <v/>
      </c>
    </row>
    <row r="21">
      <c r="A21" t="inlineStr">
        <is>
          <t>Discount factor</t>
        </is>
      </c>
      <c r="C21" s="9">
        <f>1/(1+Assumptions!$B$2)^C4</f>
        <v/>
      </c>
      <c r="D21" s="9">
        <f>1/(1+Assumptions!$B$2)^D4</f>
        <v/>
      </c>
      <c r="E21" s="9">
        <f>1/(1+Assumptions!$B$2)^E4</f>
        <v/>
      </c>
      <c r="F21" s="9">
        <f>1/(1+Assumptions!$B$2)^F4</f>
        <v/>
      </c>
      <c r="G21" s="9">
        <f>1/(1+Assumptions!$B$2)^G4</f>
        <v/>
      </c>
      <c r="H21" s="9">
        <f>1/(1+Assumptions!$B$2)^H4</f>
        <v/>
      </c>
      <c r="I21" s="9">
        <f>1/(1+Assumptions!$B$2)^I4</f>
        <v/>
      </c>
      <c r="J21" s="9">
        <f>1/(1+Assumptions!$B$2)^J4</f>
        <v/>
      </c>
      <c r="K21" s="9">
        <f>1/(1+Assumptions!$B$2)^K4</f>
        <v/>
      </c>
      <c r="L21" s="9">
        <f>1/(1+Assumptions!$B$2)^L4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FCF before SBC (company-style)</t>
        </is>
      </c>
      <c r="C24">
        <f>C20-C10</f>
        <v/>
      </c>
      <c r="D24">
        <f>D20-D10</f>
        <v/>
      </c>
      <c r="E24">
        <f>E20-E10</f>
        <v/>
      </c>
      <c r="F24">
        <f>F20-F10</f>
        <v/>
      </c>
      <c r="G24">
        <f>G20-G10</f>
        <v/>
      </c>
      <c r="H24">
        <f>H20-H10</f>
        <v/>
      </c>
      <c r="I24">
        <f>I20-I10</f>
        <v/>
      </c>
      <c r="J24">
        <f>J20-J10</f>
        <v/>
      </c>
      <c r="K24">
        <f>K20-K10</f>
        <v/>
      </c>
      <c r="L24">
        <f>L20-L10</f>
        <v/>
      </c>
    </row>
    <row r="25">
      <c r="A25" t="inlineStr">
        <is>
          <t>Memo: implied owner-FCF margin</t>
        </is>
      </c>
      <c r="C25" s="10">
        <f>C20/C6</f>
        <v/>
      </c>
      <c r="D25" s="10">
        <f>D20/D6</f>
        <v/>
      </c>
      <c r="E25" s="10">
        <f>E20/E6</f>
        <v/>
      </c>
      <c r="F25" s="10">
        <f>F20/F6</f>
        <v/>
      </c>
      <c r="G25" s="10">
        <f>G20/G6</f>
        <v/>
      </c>
      <c r="H25" s="10">
        <f>H20/H6</f>
        <v/>
      </c>
      <c r="I25" s="10">
        <f>I20/I6</f>
        <v/>
      </c>
      <c r="J25" s="10">
        <f>J20/J6</f>
        <v/>
      </c>
      <c r="K25" s="10">
        <f>K20/K6</f>
        <v/>
      </c>
      <c r="L25" s="10">
        <f>L20/L6</f>
        <v/>
      </c>
    </row>
    <row r="27">
      <c r="A27" s="5" t="inlineStr">
        <is>
          <t>Sum PV of FCF</t>
        </is>
      </c>
      <c r="B27" s="5">
        <f>SUM(C22:L22)</f>
        <v/>
      </c>
    </row>
    <row r="28">
      <c r="A28" s="5" t="inlineStr">
        <is>
          <t>Terminal growth</t>
        </is>
      </c>
      <c r="B28" s="11">
        <f>Assumptions!$B$14</f>
        <v/>
      </c>
    </row>
    <row r="29">
      <c r="A29" s="5" t="inlineStr">
        <is>
          <t>Terminal FCF</t>
        </is>
      </c>
      <c r="B29" s="5">
        <f>L20*(1+B28)</f>
        <v/>
      </c>
    </row>
    <row r="30">
      <c r="A30" s="5" t="inlineStr">
        <is>
          <t>Gordon TV</t>
        </is>
      </c>
      <c r="B30" s="5">
        <f>IF(Assumptions!$B$2&gt;B28,B29/(Assumptions!$B$2-B28),1E+15)</f>
        <v/>
      </c>
    </row>
    <row r="31">
      <c r="A31" s="5" t="inlineStr">
        <is>
          <t>Cap TV</t>
        </is>
      </c>
      <c r="B31" s="5">
        <f>Assumptions!$B$10*L20</f>
        <v/>
      </c>
    </row>
    <row r="32">
      <c r="A32" s="5" t="inlineStr">
        <is>
          <t>TV used</t>
        </is>
      </c>
      <c r="B32" s="5">
        <f>MAX(0,MIN(B30,B31))</f>
        <v/>
      </c>
    </row>
    <row r="33">
      <c r="A33" s="5" t="inlineStr">
        <is>
          <t>Implied exit multiple (TV/FCF_N)</t>
        </is>
      </c>
      <c r="B33" s="5">
        <f>B32/L20</f>
        <v/>
      </c>
    </row>
    <row r="34">
      <c r="A34" s="5" t="inlineStr">
        <is>
          <t>PV of TV</t>
        </is>
      </c>
      <c r="B34" s="5">
        <f>B32*L21</f>
        <v/>
      </c>
    </row>
    <row r="35">
      <c r="A35" s="5" t="inlineStr">
        <is>
          <t>Enterprise value</t>
        </is>
      </c>
      <c r="B35" s="5">
        <f>B27+B34</f>
        <v/>
      </c>
    </row>
    <row r="36">
      <c r="A36" s="5" t="inlineStr">
        <is>
          <t>less net debt</t>
        </is>
      </c>
      <c r="B36" s="9">
        <f>-Assumptions!$B$7</f>
        <v/>
      </c>
    </row>
    <row r="37">
      <c r="A37" s="5" t="inlineStr">
        <is>
          <t>Equity value</t>
        </is>
      </c>
      <c r="B37" s="5">
        <f>B35+B36</f>
        <v/>
      </c>
    </row>
    <row r="38">
      <c r="A38" s="5" t="inlineStr">
        <is>
          <t>Diluted shares (m)</t>
        </is>
      </c>
      <c r="B38" s="9">
        <f>Assumptions!$B$8</f>
        <v/>
      </c>
    </row>
    <row r="39">
      <c r="A39" s="1" t="inlineStr">
        <is>
          <t>Value per share (EUR)</t>
        </is>
      </c>
      <c r="B39" s="12">
        <f>B37/B38</f>
        <v/>
      </c>
    </row>
    <row r="40">
      <c r="A40" s="5" t="inlineStr">
        <is>
          <t>Upside vs price</t>
        </is>
      </c>
      <c r="B40" s="13">
        <f>B39/Assumptions!$B$9-1</f>
        <v/>
      </c>
    </row>
    <row r="42">
      <c r="A42" t="inlineStr">
        <is>
          <t>Street memo: PV of explicit-period SBC</t>
        </is>
      </c>
      <c r="B42">
        <f>SUMPRODUCT(-C10:L10/(1+Assumptions!$B$2)^C4:L4)</f>
        <v/>
      </c>
    </row>
    <row r="43">
      <c r="A43" t="inlineStr">
        <is>
          <t>Street memo: PV of terminal SBC (Gordon)</t>
        </is>
      </c>
      <c r="B43">
        <f>(-L10*(1+B28)/(Assumptions!$B$2-B28))*L21</f>
        <v/>
      </c>
    </row>
    <row r="44">
      <c r="A44" t="inlineStr">
        <is>
          <t>Street value per share (SBC as non-cash)</t>
        </is>
      </c>
      <c r="B44">
        <f>(B37+B42+B43)/B38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" t="inlineStr">
        <is>
          <t>Bull scenario - owner-FCF build (EUR m). Drivers (yellow): rows 5, 7, 9, 15.</t>
        </is>
      </c>
    </row>
    <row r="3">
      <c r="A3" s="1" t="inlineStr">
        <is>
          <t>Year</t>
        </is>
      </c>
      <c r="B3" s="1" t="inlineStr">
        <is>
          <t>2025A</t>
        </is>
      </c>
      <c r="C3" s="1" t="inlineStr">
        <is>
          <t>2026E</t>
        </is>
      </c>
      <c r="D3" s="1" t="inlineStr">
        <is>
          <t>2027E</t>
        </is>
      </c>
      <c r="E3" s="1" t="inlineStr">
        <is>
          <t>2028E</t>
        </is>
      </c>
      <c r="F3" s="1" t="inlineStr">
        <is>
          <t>2029E</t>
        </is>
      </c>
      <c r="G3" s="1" t="inlineStr">
        <is>
          <t>2030E</t>
        </is>
      </c>
      <c r="H3" s="1" t="inlineStr">
        <is>
          <t>2031E</t>
        </is>
      </c>
      <c r="I3" s="1" t="inlineStr">
        <is>
          <t>2032E</t>
        </is>
      </c>
      <c r="J3" s="1" t="inlineStr">
        <is>
          <t>2033E</t>
        </is>
      </c>
      <c r="K3" s="1" t="inlineStr">
        <is>
          <t>2034E</t>
        </is>
      </c>
      <c r="L3" s="1" t="inlineStr">
        <is>
          <t>2035E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8" t="n">
        <v>0.08500000000000001</v>
      </c>
      <c r="D5" s="8" t="n">
        <v>0.055</v>
      </c>
      <c r="E5" s="8" t="n">
        <v>0.05</v>
      </c>
      <c r="F5" s="8" t="n">
        <v>0.05</v>
      </c>
      <c r="G5" s="8" t="n">
        <v>0.045</v>
      </c>
      <c r="H5" s="8" t="n">
        <v>0.04</v>
      </c>
      <c r="I5" s="8" t="n">
        <v>0.04</v>
      </c>
      <c r="J5" s="8" t="n">
        <v>0.035</v>
      </c>
      <c r="K5" s="8" t="n">
        <v>0.035</v>
      </c>
      <c r="L5" s="8" t="n">
        <v>0.03</v>
      </c>
    </row>
    <row r="6">
      <c r="A6" t="inlineStr">
        <is>
          <t>Revenue</t>
        </is>
      </c>
      <c r="B6" s="4" t="n">
        <v>22465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 (gross of SBC/lease/D&amp;A, statutory basis)</t>
        </is>
      </c>
      <c r="C7" s="8" t="n">
        <v>0.138</v>
      </c>
      <c r="D7" s="8" t="n">
        <v>0.148</v>
      </c>
      <c r="E7" s="8" t="n">
        <v>0.152</v>
      </c>
      <c r="F7" s="8" t="n">
        <v>0.155</v>
      </c>
      <c r="G7" s="8" t="n">
        <v>0.156</v>
      </c>
      <c r="H7" s="8" t="n">
        <v>0.157</v>
      </c>
      <c r="I7" s="8" t="n">
        <v>0.158</v>
      </c>
      <c r="J7" s="8" t="n">
        <v>0.158</v>
      </c>
      <c r="K7" s="8" t="n">
        <v>0.158</v>
      </c>
      <c r="L7" s="8" t="n">
        <v>0.158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8" t="n">
        <v>0.011</v>
      </c>
      <c r="D9" s="8" t="n">
        <v>0.011</v>
      </c>
      <c r="E9" s="8" t="n">
        <v>0.011</v>
      </c>
      <c r="F9" s="8" t="n">
        <v>0.011</v>
      </c>
      <c r="G9" s="8" t="n">
        <v>0.011</v>
      </c>
      <c r="H9" s="8" t="n">
        <v>0.011</v>
      </c>
      <c r="I9" s="8" t="n">
        <v>0.011</v>
      </c>
      <c r="J9" s="8" t="n">
        <v>0.011</v>
      </c>
      <c r="K9" s="8" t="n">
        <v>0.011</v>
      </c>
      <c r="L9" s="8" t="n">
        <v>0.011</v>
      </c>
    </row>
    <row r="10">
      <c r="A10" t="inlineStr">
        <is>
          <t>SBC (expensed)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cost (IFRS-16 principal, treatment B)</t>
        </is>
      </c>
      <c r="C11" s="9">
        <f>-C6*Assumptions!$B$5</f>
        <v/>
      </c>
      <c r="D11" s="9">
        <f>-D6*Assumptions!$B$5</f>
        <v/>
      </c>
      <c r="E11" s="9">
        <f>-E6*Assumptions!$B$5</f>
        <v/>
      </c>
      <c r="F11" s="9">
        <f>-F6*Assumptions!$B$5</f>
        <v/>
      </c>
      <c r="G11" s="9">
        <f>-G6*Assumptions!$B$5</f>
        <v/>
      </c>
      <c r="H11" s="9">
        <f>-H6*Assumptions!$B$5</f>
        <v/>
      </c>
      <c r="I11" s="9">
        <f>-I6*Assumptions!$B$5</f>
        <v/>
      </c>
      <c r="J11" s="9">
        <f>-J6*Assumptions!$B$5</f>
        <v/>
      </c>
      <c r="K11" s="9">
        <f>-K6*Assumptions!$B$5</f>
        <v/>
      </c>
      <c r="L11" s="9">
        <f>-L6*Assumptions!$B$5</f>
        <v/>
      </c>
    </row>
    <row r="12">
      <c r="A12" t="inlineStr">
        <is>
          <t>Owner EBITDA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D&amp;A (non-lease)</t>
        </is>
      </c>
      <c r="C13" s="9">
        <f>-C6*Assumptions!$B$3</f>
        <v/>
      </c>
      <c r="D13" s="9">
        <f>-D6*Assumptions!$B$3</f>
        <v/>
      </c>
      <c r="E13" s="9">
        <f>-E6*Assumptions!$B$3</f>
        <v/>
      </c>
      <c r="F13" s="9">
        <f>-F6*Assumptions!$B$3</f>
        <v/>
      </c>
      <c r="G13" s="9">
        <f>-G6*Assumptions!$B$3</f>
        <v/>
      </c>
      <c r="H13" s="9">
        <f>-H6*Assumptions!$B$3</f>
        <v/>
      </c>
      <c r="I13" s="9">
        <f>-I6*Assumptions!$B$3</f>
        <v/>
      </c>
      <c r="J13" s="9">
        <f>-J6*Assumptions!$B$3</f>
        <v/>
      </c>
      <c r="K13" s="9">
        <f>-K6*Assumptions!$B$3</f>
        <v/>
      </c>
      <c r="L13" s="9">
        <f>-L6*Assumptions!$B$3</f>
        <v/>
      </c>
    </row>
    <row r="14">
      <c r="A14" t="inlineStr">
        <is>
          <t>EBIT (SBC and lease expensed)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  <c r="K14">
        <f>K12+K13</f>
        <v/>
      </c>
      <c r="L14">
        <f>L12+L13</f>
        <v/>
      </c>
    </row>
    <row r="15">
      <c r="A15" t="inlineStr">
        <is>
          <t>Cash tax rate</t>
        </is>
      </c>
      <c r="C15" s="8" t="n">
        <v>0.23</v>
      </c>
      <c r="D15" s="8" t="n">
        <v>0.24</v>
      </c>
      <c r="E15" s="8" t="n">
        <v>0.25</v>
      </c>
      <c r="F15" s="8" t="n">
        <v>0.26</v>
      </c>
      <c r="G15" s="8" t="n">
        <v>0.26</v>
      </c>
      <c r="H15" s="8" t="n">
        <v>0.26</v>
      </c>
      <c r="I15" s="8" t="n">
        <v>0.26</v>
      </c>
      <c r="J15" s="8" t="n">
        <v>0.26</v>
      </c>
      <c r="K15" s="8" t="n">
        <v>0.26</v>
      </c>
      <c r="L15" s="8" t="n">
        <v>0.26</v>
      </c>
    </row>
    <row r="16">
      <c r="A16" t="inlineStr">
        <is>
          <t>NOPAT</t>
        </is>
      </c>
      <c r="C16">
        <f>C14-MAX(0,C14)*C15</f>
        <v/>
      </c>
      <c r="D16">
        <f>D14-MAX(0,D14)*D15</f>
        <v/>
      </c>
      <c r="E16">
        <f>E14-MAX(0,E14)*E15</f>
        <v/>
      </c>
      <c r="F16">
        <f>F14-MAX(0,F14)*F15</f>
        <v/>
      </c>
      <c r="G16">
        <f>G14-MAX(0,G14)*G15</f>
        <v/>
      </c>
      <c r="H16">
        <f>H14-MAX(0,H14)*H15</f>
        <v/>
      </c>
      <c r="I16">
        <f>I14-MAX(0,I14)*I15</f>
        <v/>
      </c>
      <c r="J16">
        <f>J14-MAX(0,J14)*J15</f>
        <v/>
      </c>
      <c r="K16">
        <f>K14-MAX(0,K14)*K15</f>
        <v/>
      </c>
      <c r="L16">
        <f>L14-MAX(0,L14)*L15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  <c r="H17">
        <f>-H13</f>
        <v/>
      </c>
      <c r="I17">
        <f>-I13</f>
        <v/>
      </c>
      <c r="J17">
        <f>-J13</f>
        <v/>
      </c>
      <c r="K17">
        <f>-K13</f>
        <v/>
      </c>
      <c r="L17">
        <f>-L13</f>
        <v/>
      </c>
    </row>
    <row r="18">
      <c r="A18" t="inlineStr">
        <is>
          <t>less capex</t>
        </is>
      </c>
      <c r="C18" s="9">
        <f>-C6*Assumptions!$B$4</f>
        <v/>
      </c>
      <c r="D18" s="9">
        <f>-D6*Assumptions!$B$4</f>
        <v/>
      </c>
      <c r="E18" s="9">
        <f>-E6*Assumptions!$B$4</f>
        <v/>
      </c>
      <c r="F18" s="9">
        <f>-F6*Assumptions!$B$4</f>
        <v/>
      </c>
      <c r="G18" s="9">
        <f>-G6*Assumptions!$B$4</f>
        <v/>
      </c>
      <c r="H18" s="9">
        <f>-H6*Assumptions!$B$4</f>
        <v/>
      </c>
      <c r="I18" s="9">
        <f>-I6*Assumptions!$B$4</f>
        <v/>
      </c>
      <c r="J18" s="9">
        <f>-J6*Assumptions!$B$4</f>
        <v/>
      </c>
      <c r="K18" s="9">
        <f>-K6*Assumptions!$B$4</f>
        <v/>
      </c>
      <c r="L18" s="9">
        <f>-L6*Assumptions!$B$4</f>
        <v/>
      </c>
    </row>
    <row r="19">
      <c r="A19" t="inlineStr">
        <is>
          <t>add working capital (on revenue CHANGE)</t>
        </is>
      </c>
      <c r="C19" s="9">
        <f>Assumptions!$B$6*(C6-B6)</f>
        <v/>
      </c>
      <c r="D19" s="9">
        <f>Assumptions!$B$6*(D6-C6)</f>
        <v/>
      </c>
      <c r="E19" s="9">
        <f>Assumptions!$B$6*(E6-D6)</f>
        <v/>
      </c>
      <c r="F19" s="9">
        <f>Assumptions!$B$6*(F6-E6)</f>
        <v/>
      </c>
      <c r="G19" s="9">
        <f>Assumptions!$B$6*(G6-F6)</f>
        <v/>
      </c>
      <c r="H19" s="9">
        <f>Assumptions!$B$6*(H6-G6)</f>
        <v/>
      </c>
      <c r="I19" s="9">
        <f>Assumptions!$B$6*(I6-H6)</f>
        <v/>
      </c>
      <c r="J19" s="9">
        <f>Assumptions!$B$6*(J6-I6)</f>
        <v/>
      </c>
      <c r="K19" s="9">
        <f>Assumptions!$B$6*(K6-J6)</f>
        <v/>
      </c>
      <c r="L19" s="9">
        <f>Assumptions!$B$6*(L6-K6)</f>
        <v/>
      </c>
    </row>
    <row r="20">
      <c r="A20" s="1" t="inlineStr">
        <is>
          <t>Unlevered owner FCF</t>
        </is>
      </c>
      <c r="C20" s="1">
        <f>C16+C17+C18+C19</f>
        <v/>
      </c>
      <c r="D20" s="1">
        <f>D16+D17+D18+D19</f>
        <v/>
      </c>
      <c r="E20" s="1">
        <f>E16+E17+E18+E19</f>
        <v/>
      </c>
      <c r="F20" s="1">
        <f>F16+F17+F18+F19</f>
        <v/>
      </c>
      <c r="G20" s="1">
        <f>G16+G17+G18+G19</f>
        <v/>
      </c>
      <c r="H20" s="1">
        <f>H16+H17+H18+H19</f>
        <v/>
      </c>
      <c r="I20" s="1">
        <f>I16+I17+I18+I19</f>
        <v/>
      </c>
      <c r="J20" s="1">
        <f>J16+J17+J18+J19</f>
        <v/>
      </c>
      <c r="K20" s="1">
        <f>K16+K17+K18+K19</f>
        <v/>
      </c>
      <c r="L20" s="1">
        <f>L16+L17+L18+L19</f>
        <v/>
      </c>
    </row>
    <row r="21">
      <c r="A21" t="inlineStr">
        <is>
          <t>Discount factor</t>
        </is>
      </c>
      <c r="C21" s="9">
        <f>1/(1+Assumptions!$B$2)^C4</f>
        <v/>
      </c>
      <c r="D21" s="9">
        <f>1/(1+Assumptions!$B$2)^D4</f>
        <v/>
      </c>
      <c r="E21" s="9">
        <f>1/(1+Assumptions!$B$2)^E4</f>
        <v/>
      </c>
      <c r="F21" s="9">
        <f>1/(1+Assumptions!$B$2)^F4</f>
        <v/>
      </c>
      <c r="G21" s="9">
        <f>1/(1+Assumptions!$B$2)^G4</f>
        <v/>
      </c>
      <c r="H21" s="9">
        <f>1/(1+Assumptions!$B$2)^H4</f>
        <v/>
      </c>
      <c r="I21" s="9">
        <f>1/(1+Assumptions!$B$2)^I4</f>
        <v/>
      </c>
      <c r="J21" s="9">
        <f>1/(1+Assumptions!$B$2)^J4</f>
        <v/>
      </c>
      <c r="K21" s="9">
        <f>1/(1+Assumptions!$B$2)^K4</f>
        <v/>
      </c>
      <c r="L21" s="9">
        <f>1/(1+Assumptions!$B$2)^L4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FCF before SBC (company-style)</t>
        </is>
      </c>
      <c r="C24">
        <f>C20-C10</f>
        <v/>
      </c>
      <c r="D24">
        <f>D20-D10</f>
        <v/>
      </c>
      <c r="E24">
        <f>E20-E10</f>
        <v/>
      </c>
      <c r="F24">
        <f>F20-F10</f>
        <v/>
      </c>
      <c r="G24">
        <f>G20-G10</f>
        <v/>
      </c>
      <c r="H24">
        <f>H20-H10</f>
        <v/>
      </c>
      <c r="I24">
        <f>I20-I10</f>
        <v/>
      </c>
      <c r="J24">
        <f>J20-J10</f>
        <v/>
      </c>
      <c r="K24">
        <f>K20-K10</f>
        <v/>
      </c>
      <c r="L24">
        <f>L20-L10</f>
        <v/>
      </c>
    </row>
    <row r="25">
      <c r="A25" t="inlineStr">
        <is>
          <t>Memo: implied owner-FCF margin</t>
        </is>
      </c>
      <c r="C25" s="10">
        <f>C20/C6</f>
        <v/>
      </c>
      <c r="D25" s="10">
        <f>D20/D6</f>
        <v/>
      </c>
      <c r="E25" s="10">
        <f>E20/E6</f>
        <v/>
      </c>
      <c r="F25" s="10">
        <f>F20/F6</f>
        <v/>
      </c>
      <c r="G25" s="10">
        <f>G20/G6</f>
        <v/>
      </c>
      <c r="H25" s="10">
        <f>H20/H6</f>
        <v/>
      </c>
      <c r="I25" s="10">
        <f>I20/I6</f>
        <v/>
      </c>
      <c r="J25" s="10">
        <f>J20/J6</f>
        <v/>
      </c>
      <c r="K25" s="10">
        <f>K20/K6</f>
        <v/>
      </c>
      <c r="L25" s="10">
        <f>L20/L6</f>
        <v/>
      </c>
    </row>
    <row r="27">
      <c r="A27" s="5" t="inlineStr">
        <is>
          <t>Sum PV of FCF</t>
        </is>
      </c>
      <c r="B27" s="5">
        <f>SUM(C22:L22)</f>
        <v/>
      </c>
    </row>
    <row r="28">
      <c r="A28" s="5" t="inlineStr">
        <is>
          <t>Terminal growth</t>
        </is>
      </c>
      <c r="B28" s="11">
        <f>Assumptions!$B$15</f>
        <v/>
      </c>
    </row>
    <row r="29">
      <c r="A29" s="5" t="inlineStr">
        <is>
          <t>Terminal FCF</t>
        </is>
      </c>
      <c r="B29" s="5">
        <f>L20*(1+B28)</f>
        <v/>
      </c>
    </row>
    <row r="30">
      <c r="A30" s="5" t="inlineStr">
        <is>
          <t>Gordon TV</t>
        </is>
      </c>
      <c r="B30" s="5">
        <f>IF(Assumptions!$B$2&gt;B28,B29/(Assumptions!$B$2-B28),1E+15)</f>
        <v/>
      </c>
    </row>
    <row r="31">
      <c r="A31" s="5" t="inlineStr">
        <is>
          <t>Cap TV</t>
        </is>
      </c>
      <c r="B31" s="5">
        <f>Assumptions!$B$10*L20</f>
        <v/>
      </c>
    </row>
    <row r="32">
      <c r="A32" s="5" t="inlineStr">
        <is>
          <t>TV used</t>
        </is>
      </c>
      <c r="B32" s="5">
        <f>MAX(0,MIN(B30,B31))</f>
        <v/>
      </c>
    </row>
    <row r="33">
      <c r="A33" s="5" t="inlineStr">
        <is>
          <t>Implied exit multiple (TV/FCF_N)</t>
        </is>
      </c>
      <c r="B33" s="5">
        <f>B32/L20</f>
        <v/>
      </c>
    </row>
    <row r="34">
      <c r="A34" s="5" t="inlineStr">
        <is>
          <t>PV of TV</t>
        </is>
      </c>
      <c r="B34" s="5">
        <f>B32*L21</f>
        <v/>
      </c>
    </row>
    <row r="35">
      <c r="A35" s="5" t="inlineStr">
        <is>
          <t>Enterprise value</t>
        </is>
      </c>
      <c r="B35" s="5">
        <f>B27+B34</f>
        <v/>
      </c>
    </row>
    <row r="36">
      <c r="A36" s="5" t="inlineStr">
        <is>
          <t>less net debt</t>
        </is>
      </c>
      <c r="B36" s="9">
        <f>-Assumptions!$B$7</f>
        <v/>
      </c>
    </row>
    <row r="37">
      <c r="A37" s="5" t="inlineStr">
        <is>
          <t>Equity value</t>
        </is>
      </c>
      <c r="B37" s="5">
        <f>B35+B36</f>
        <v/>
      </c>
    </row>
    <row r="38">
      <c r="A38" s="5" t="inlineStr">
        <is>
          <t>Diluted shares (m)</t>
        </is>
      </c>
      <c r="B38" s="9">
        <f>Assumptions!$B$8</f>
        <v/>
      </c>
    </row>
    <row r="39">
      <c r="A39" s="1" t="inlineStr">
        <is>
          <t>Value per share (EUR)</t>
        </is>
      </c>
      <c r="B39" s="12">
        <f>B37/B38</f>
        <v/>
      </c>
    </row>
    <row r="40">
      <c r="A40" s="5" t="inlineStr">
        <is>
          <t>Upside vs price</t>
        </is>
      </c>
      <c r="B40" s="13">
        <f>B39/Assumptions!$B$9-1</f>
        <v/>
      </c>
    </row>
    <row r="42">
      <c r="A42" t="inlineStr">
        <is>
          <t>Street memo: PV of explicit-period SBC</t>
        </is>
      </c>
      <c r="B42">
        <f>SUMPRODUCT(-C10:L10/(1+Assumptions!$B$2)^C4:L4)</f>
        <v/>
      </c>
    </row>
    <row r="43">
      <c r="A43" t="inlineStr">
        <is>
          <t>Street memo: PV of terminal SBC (Gordon)</t>
        </is>
      </c>
      <c r="B43">
        <f>(-L10*(1+B28)/(Assumptions!$B$2-B28))*L21</f>
        <v/>
      </c>
    </row>
    <row r="44">
      <c r="A44" t="inlineStr">
        <is>
          <t>Street value per share (SBC as non-cash)</t>
        </is>
      </c>
      <c r="B44">
        <f>(B37+B42+B43)/B38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3" t="inlineStr">
        <is>
          <t>Reported FCF reconciled to owner FCF, every historical year (EUR m). Links to Actuals.</t>
        </is>
      </c>
    </row>
    <row r="2">
      <c r="A2" s="1" t="inlineStr">
        <is>
          <t>Period</t>
        </is>
      </c>
      <c r="B2" s="1" t="inlineStr">
        <is>
          <t>FY2015</t>
        </is>
      </c>
      <c r="C2" s="1" t="inlineStr">
        <is>
          <t>FY2016</t>
        </is>
      </c>
      <c r="D2" s="1" t="inlineStr">
        <is>
          <t>FY2017</t>
        </is>
      </c>
      <c r="E2" s="1" t="inlineStr">
        <is>
          <t>FY2018</t>
        </is>
      </c>
      <c r="F2" s="1" t="inlineStr">
        <is>
          <t>FY2019</t>
        </is>
      </c>
      <c r="G2" s="1" t="inlineStr">
        <is>
          <t>FY2020</t>
        </is>
      </c>
      <c r="H2" s="1" t="inlineStr">
        <is>
          <t>FY2021</t>
        </is>
      </c>
      <c r="I2" s="1" t="inlineStr">
        <is>
          <t>FY2022</t>
        </is>
      </c>
      <c r="J2" s="1" t="inlineStr">
        <is>
          <t>FY2023</t>
        </is>
      </c>
      <c r="K2" s="1" t="inlineStr">
        <is>
          <t>FY2024</t>
        </is>
      </c>
      <c r="L2" s="1" t="inlineStr">
        <is>
          <t>FY2025</t>
        </is>
      </c>
    </row>
    <row r="3">
      <c r="A3" s="5" t="inlineStr">
        <is>
          <t>Operating cash flow</t>
        </is>
      </c>
      <c r="B3" s="9">
        <f>Actuals!B9</f>
        <v/>
      </c>
      <c r="C3" s="9">
        <f>Actuals!C9</f>
        <v/>
      </c>
      <c r="D3" s="9">
        <f>Actuals!D9</f>
        <v/>
      </c>
      <c r="E3" s="9">
        <f>Actuals!E9</f>
        <v/>
      </c>
      <c r="F3" s="9">
        <f>Actuals!F9</f>
        <v/>
      </c>
      <c r="G3" s="9">
        <f>Actuals!G9</f>
        <v/>
      </c>
      <c r="H3" s="9">
        <f>Actuals!H9</f>
        <v/>
      </c>
      <c r="I3" s="9">
        <f>Actuals!I9</f>
        <v/>
      </c>
      <c r="J3" s="9">
        <f>Actuals!J9</f>
        <v/>
      </c>
      <c r="K3" s="9">
        <f>Actuals!K9</f>
        <v/>
      </c>
      <c r="L3" s="9">
        <f>Actuals!L9</f>
        <v/>
      </c>
    </row>
    <row r="4">
      <c r="A4" s="5" t="inlineStr">
        <is>
          <t>less capex</t>
        </is>
      </c>
      <c r="B4" s="9">
        <f>-Actuals!B10</f>
        <v/>
      </c>
      <c r="C4" s="9">
        <f>-Actuals!C10</f>
        <v/>
      </c>
      <c r="D4" s="9">
        <f>-Actuals!D10</f>
        <v/>
      </c>
      <c r="E4" s="9">
        <f>-Actuals!E10</f>
        <v/>
      </c>
      <c r="F4" s="9">
        <f>-Actuals!F10</f>
        <v/>
      </c>
      <c r="G4" s="9">
        <f>-Actuals!G10</f>
        <v/>
      </c>
      <c r="H4" s="9">
        <f>-Actuals!H10</f>
        <v/>
      </c>
      <c r="I4" s="9">
        <f>-Actuals!I10</f>
        <v/>
      </c>
      <c r="J4" s="9">
        <f>-Actuals!J10</f>
        <v/>
      </c>
      <c r="K4" s="9">
        <f>-Actuals!K10</f>
        <v/>
      </c>
      <c r="L4" s="9">
        <f>-Actuals!L10</f>
        <v/>
      </c>
    </row>
    <row r="5">
      <c r="A5" s="5" t="inlineStr">
        <is>
          <t>Free cash flow (OCF - capex)</t>
        </is>
      </c>
      <c r="B5" s="5">
        <f>B3+B4</f>
        <v/>
      </c>
      <c r="C5" s="5">
        <f>C3+C4</f>
        <v/>
      </c>
      <c r="D5" s="5">
        <f>D3+D4</f>
        <v/>
      </c>
      <c r="E5" s="5">
        <f>E3+E4</f>
        <v/>
      </c>
      <c r="F5" s="5">
        <f>F3+F4</f>
        <v/>
      </c>
      <c r="G5" s="5">
        <f>G3+G4</f>
        <v/>
      </c>
      <c r="H5" s="5">
        <f>H3+H4</f>
        <v/>
      </c>
      <c r="I5" s="5">
        <f>I3+I4</f>
        <v/>
      </c>
      <c r="J5" s="5">
        <f>J3+J4</f>
        <v/>
      </c>
      <c r="K5" s="5">
        <f>K3+K4</f>
        <v/>
      </c>
      <c r="L5" s="5">
        <f>L3+L4</f>
        <v/>
      </c>
    </row>
    <row r="6">
      <c r="A6" s="5" t="inlineStr">
        <is>
          <t>less lease principal repaid (IFRS-16)</t>
        </is>
      </c>
      <c r="B6" s="9">
        <f>-Actuals!B11</f>
        <v/>
      </c>
      <c r="C6" s="9">
        <f>-Actuals!C11</f>
        <v/>
      </c>
      <c r="D6" s="9">
        <f>-Actuals!D11</f>
        <v/>
      </c>
      <c r="E6" s="9">
        <f>-Actuals!E11</f>
        <v/>
      </c>
      <c r="F6" s="9">
        <f>-Actuals!F11</f>
        <v/>
      </c>
      <c r="G6" s="9">
        <f>-Actuals!G11</f>
        <v/>
      </c>
      <c r="H6" s="9">
        <f>-Actuals!H11</f>
        <v/>
      </c>
      <c r="I6" s="9">
        <f>-Actuals!I11</f>
        <v/>
      </c>
      <c r="J6" s="9">
        <f>-Actuals!J11</f>
        <v/>
      </c>
      <c r="K6" s="9">
        <f>-Actuals!K11</f>
        <v/>
      </c>
      <c r="L6" s="9">
        <f>-Actuals!L11</f>
        <v/>
      </c>
    </row>
    <row r="7">
      <c r="A7" s="5" t="inlineStr">
        <is>
          <t>less SBC</t>
        </is>
      </c>
      <c r="B7" s="9">
        <f>-Actuals!B12</f>
        <v/>
      </c>
      <c r="C7" s="9">
        <f>-Actuals!C12</f>
        <v/>
      </c>
      <c r="D7" s="9">
        <f>-Actuals!D12</f>
        <v/>
      </c>
      <c r="E7" s="9">
        <f>-Actuals!E12</f>
        <v/>
      </c>
      <c r="F7" s="9">
        <f>-Actuals!F12</f>
        <v/>
      </c>
      <c r="G7" s="9">
        <f>-Actuals!G12</f>
        <v/>
      </c>
      <c r="H7" s="9">
        <f>-Actuals!H12</f>
        <v/>
      </c>
      <c r="I7" s="9">
        <f>-Actuals!I12</f>
        <v/>
      </c>
      <c r="J7" s="9">
        <f>-Actuals!J12</f>
        <v/>
      </c>
      <c r="K7" s="9">
        <f>-Actuals!K12</f>
        <v/>
      </c>
      <c r="L7" s="9">
        <f>-Actuals!L12</f>
        <v/>
      </c>
    </row>
    <row r="8">
      <c r="A8" s="1" t="inlineStr">
        <is>
          <t>Owner FCF</t>
        </is>
      </c>
      <c r="B8" s="5">
        <f>B5+B6+B7</f>
        <v/>
      </c>
      <c r="C8" s="5">
        <f>C5+C6+C7</f>
        <v/>
      </c>
      <c r="D8" s="5">
        <f>D5+D6+D7</f>
        <v/>
      </c>
      <c r="E8" s="5">
        <f>E5+E6+E7</f>
        <v/>
      </c>
      <c r="F8" s="5">
        <f>F5+F6+F7</f>
        <v/>
      </c>
      <c r="G8" s="5">
        <f>G5+G6+G7</f>
        <v/>
      </c>
      <c r="H8" s="5">
        <f>H5+H6+H7</f>
        <v/>
      </c>
      <c r="I8" s="5">
        <f>I5+I6+I7</f>
        <v/>
      </c>
      <c r="J8" s="5">
        <f>J5+J6+J7</f>
        <v/>
      </c>
      <c r="K8" s="5">
        <f>K5+K6+K7</f>
        <v/>
      </c>
      <c r="L8" s="5">
        <f>L5+L6+L7</f>
        <v/>
      </c>
    </row>
    <row r="9">
      <c r="A9" s="5" t="inlineStr">
        <is>
          <t>Reported FCF margin</t>
        </is>
      </c>
      <c r="B9" s="13">
        <f>B5/Actuals!B3</f>
        <v/>
      </c>
      <c r="C9" s="13">
        <f>C5/Actuals!C3</f>
        <v/>
      </c>
      <c r="D9" s="13">
        <f>D5/Actuals!D3</f>
        <v/>
      </c>
      <c r="E9" s="13">
        <f>E5/Actuals!E3</f>
        <v/>
      </c>
      <c r="F9" s="13">
        <f>F5/Actuals!F3</f>
        <v/>
      </c>
      <c r="G9" s="13">
        <f>G5/Actuals!G3</f>
        <v/>
      </c>
      <c r="H9" s="13">
        <f>H5/Actuals!H3</f>
        <v/>
      </c>
      <c r="I9" s="13">
        <f>I5/Actuals!I3</f>
        <v/>
      </c>
      <c r="J9" s="13">
        <f>J5/Actuals!J3</f>
        <v/>
      </c>
      <c r="K9" s="13">
        <f>K5/Actuals!K3</f>
        <v/>
      </c>
      <c r="L9" s="13">
        <f>L5/Actuals!L3</f>
        <v/>
      </c>
    </row>
    <row r="10">
      <c r="A10" s="5" t="inlineStr">
        <is>
          <t>Owner FCF margin</t>
        </is>
      </c>
      <c r="B10" s="13">
        <f>B8/Actuals!B3</f>
        <v/>
      </c>
      <c r="C10" s="13">
        <f>C8/Actuals!C3</f>
        <v/>
      </c>
      <c r="D10" s="13">
        <f>D8/Actuals!D3</f>
        <v/>
      </c>
      <c r="E10" s="13">
        <f>E8/Actuals!E3</f>
        <v/>
      </c>
      <c r="F10" s="13">
        <f>F8/Actuals!F3</f>
        <v/>
      </c>
      <c r="G10" s="13">
        <f>G8/Actuals!G3</f>
        <v/>
      </c>
      <c r="H10" s="13">
        <f>H8/Actuals!H3</f>
        <v/>
      </c>
      <c r="I10" s="13">
        <f>I8/Actuals!I3</f>
        <v/>
      </c>
      <c r="J10" s="13">
        <f>J8/Actuals!J3</f>
        <v/>
      </c>
      <c r="K10" s="13">
        <f>K8/Actuals!K3</f>
        <v/>
      </c>
      <c r="L10" s="13">
        <f>L8/Actuals!L3</f>
        <v/>
      </c>
    </row>
    <row r="11">
      <c r="A11" s="5" t="inlineStr">
        <is>
          <t>Memo: cash taxes paid</t>
        </is>
      </c>
      <c r="B11" s="9">
        <f>Actuals!B13</f>
        <v/>
      </c>
      <c r="C11" s="9">
        <f>Actuals!C13</f>
        <v/>
      </c>
      <c r="D11" s="9">
        <f>Actuals!D13</f>
        <v/>
      </c>
      <c r="E11" s="9">
        <f>Actuals!E13</f>
        <v/>
      </c>
      <c r="F11" s="9">
        <f>Actuals!F13</f>
        <v/>
      </c>
      <c r="G11" s="9">
        <f>Actuals!G13</f>
        <v/>
      </c>
      <c r="H11" s="9">
        <f>Actuals!H13</f>
        <v/>
      </c>
      <c r="I11" s="9">
        <f>Actuals!I13</f>
        <v/>
      </c>
      <c r="J11" s="9">
        <f>Actuals!J13</f>
        <v/>
      </c>
      <c r="K11" s="9">
        <f>Actuals!K13</f>
        <v/>
      </c>
      <c r="L11" s="9">
        <f>Actuals!L13</f>
        <v/>
      </c>
    </row>
    <row r="12">
      <c r="A12" s="5" t="inlineStr">
        <is>
          <t>Memo: cash tax / statutory op income</t>
        </is>
      </c>
      <c r="B12" s="13">
        <f>B11/Actuals!B4</f>
        <v/>
      </c>
      <c r="C12" s="13">
        <f>C11/Actuals!C4</f>
        <v/>
      </c>
      <c r="D12" s="13">
        <f>D11/Actuals!D4</f>
        <v/>
      </c>
      <c r="E12" s="13">
        <f>E11/Actuals!E4</f>
        <v/>
      </c>
      <c r="F12" s="13">
        <f>F11/Actuals!F4</f>
        <v/>
      </c>
      <c r="G12" s="13">
        <f>G11/Actuals!G4</f>
        <v/>
      </c>
      <c r="H12" s="13">
        <f>H11/Actuals!H4</f>
        <v/>
      </c>
      <c r="I12" s="13">
        <f>I11/Actuals!I4</f>
        <v/>
      </c>
      <c r="J12" s="13">
        <f>J11/Actuals!J4</f>
        <v/>
      </c>
      <c r="K12" s="13">
        <f>K11/Actuals!K4</f>
        <v/>
      </c>
      <c r="L12" s="13">
        <f>L11/Actuals!L4</f>
        <v/>
      </c>
    </row>
    <row r="14">
      <c r="A14" s="7" t="inlineStr">
        <is>
          <t>Notes: pre-2019 lease costs sat in opex (pre-IFRS16), so the series is comparable across the break. Interest income is NOT stripped - Capgemini books interest in financing, outside OCF. Owner FCF 3yr CAGR is -2.3% vs reported -0.5%: SBC nearly doubled FY2021-23.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Valuation summary (EUR)</t>
        </is>
      </c>
    </row>
    <row r="2">
      <c r="A2" s="1" t="inlineStr">
        <is>
          <t>Scenario</t>
        </is>
      </c>
      <c r="B2" s="1" t="inlineStr">
        <is>
          <t>Value/share</t>
        </is>
      </c>
      <c r="C2" s="1" t="inlineStr">
        <is>
          <t>Upside</t>
        </is>
      </c>
      <c r="D2" s="1" t="inlineStr">
        <is>
          <t>Probability</t>
        </is>
      </c>
      <c r="E2" s="1" t="inlineStr">
        <is>
          <t>Street value/share</t>
        </is>
      </c>
      <c r="F2" s="1" t="inlineStr">
        <is>
          <t>Entry @15%</t>
        </is>
      </c>
    </row>
    <row r="3">
      <c r="A3" s="1" t="inlineStr">
        <is>
          <t>Bear</t>
        </is>
      </c>
      <c r="B3" s="9">
        <f>DCF_Bear!$B$39</f>
        <v/>
      </c>
      <c r="C3" s="10">
        <f>B3/Assumptions!$B$9-1</f>
        <v/>
      </c>
      <c r="D3" s="9">
        <f>Assumptions!$B$19</f>
        <v/>
      </c>
      <c r="E3" s="9">
        <f>DCF_Bear!$B$44</f>
        <v/>
      </c>
      <c r="F3">
        <f>(SUMPRODUCT(DCF_Bear!$C$20:$L$20/(1+Assumptions!$B$11)^DCF_Bear!$C$4:$L$4)+MAX(0,MIN(IF(Assumptions!$B$11&gt;DCF_Bear!$B$28,DCF_Bear!$L$20*(1+DCF_Bear!$B$28)/(Assumptions!$B$11-DCF_Bear!$B$28),1E+15),Assumptions!$B$10*DCF_Bear!$L$20))/(1+Assumptions!$B$11)^10-Assumptions!$B$7)/Assumptions!$B$8</f>
        <v/>
      </c>
    </row>
    <row r="4">
      <c r="A4" s="1" t="inlineStr">
        <is>
          <t>Base</t>
        </is>
      </c>
      <c r="B4" s="9">
        <f>DCF_Base!$B$39</f>
        <v/>
      </c>
      <c r="C4" s="10">
        <f>B4/Assumptions!$B$9-1</f>
        <v/>
      </c>
      <c r="D4" s="9">
        <f>Assumptions!$B$17</f>
        <v/>
      </c>
      <c r="E4" s="9">
        <f>DCF_Base!$B$44</f>
        <v/>
      </c>
      <c r="F4">
        <f>(SUMPRODUCT(DCF_Base!$C$20:$L$20/(1+Assumptions!$B$11)^DCF_Base!$C$4:$L$4)+MAX(0,MIN(IF(Assumptions!$B$11&gt;DCF_Base!$B$28,DCF_Base!$L$20*(1+DCF_Base!$B$28)/(Assumptions!$B$11-DCF_Base!$B$28),1E+15),Assumptions!$B$10*DCF_Base!$L$20))/(1+Assumptions!$B$11)^10-Assumptions!$B$7)/Assumptions!$B$8</f>
        <v/>
      </c>
    </row>
    <row r="5">
      <c r="A5" s="1" t="inlineStr">
        <is>
          <t>Bull</t>
        </is>
      </c>
      <c r="B5" s="9">
        <f>DCF_Bull!$B$39</f>
        <v/>
      </c>
      <c r="C5" s="10">
        <f>B5/Assumptions!$B$9-1</f>
        <v/>
      </c>
      <c r="D5" s="9">
        <f>Assumptions!$B$18</f>
        <v/>
      </c>
      <c r="E5" s="9">
        <f>DCF_Bull!$B$44</f>
        <v/>
      </c>
      <c r="F5">
        <f>(SUMPRODUCT(DCF_Bull!$C$20:$L$20/(1+Assumptions!$B$11)^DCF_Bull!$C$4:$L$4)+MAX(0,MIN(IF(Assumptions!$B$11&gt;DCF_Bull!$B$28,DCF_Bull!$L$20*(1+DCF_Bull!$B$28)/(Assumptions!$B$11-DCF_Bull!$B$28),1E+15),Assumptions!$B$10*DCF_Bull!$L$20))/(1+Assumptions!$B$11)^10-Assumptions!$B$7)/Assumptions!$B$8</f>
        <v/>
      </c>
    </row>
    <row r="7">
      <c r="A7" s="1" t="inlineStr">
        <is>
          <t>Probability-weighted IV</t>
        </is>
      </c>
      <c r="B7" s="12">
        <f>SUMPRODUCT(B3:B5,D3:D5)</f>
        <v/>
      </c>
    </row>
    <row r="8">
      <c r="A8" t="inlineStr">
        <is>
          <t>Margin of safety vs price</t>
        </is>
      </c>
      <c r="B8" s="10">
        <f>1-Assumptions!$B$9/B7</f>
        <v/>
      </c>
    </row>
    <row r="9">
      <c r="A9" t="inlineStr">
        <is>
          <t>Street weighted IV</t>
        </is>
      </c>
      <c r="B9">
        <f>SUMPRODUCT(E3:E5,D3:D5)</f>
        <v/>
      </c>
    </row>
    <row r="10">
      <c r="A10" t="inlineStr">
        <is>
          <t>Band position (0%=house, 100%=street)</t>
        </is>
      </c>
      <c r="B10" s="10">
        <f>(Assumptions!$B$9-B7)/(B9-B7)</f>
        <v/>
      </c>
    </row>
    <row r="11">
      <c r="A11" s="1" t="inlineStr">
        <is>
          <t>Weighted entry price @15% hurdle</t>
        </is>
      </c>
      <c r="B11" s="1">
        <f>SUMPRODUCT(F3:F5,D3:D5)</f>
        <v/>
      </c>
    </row>
    <row r="13">
      <c r="A13" s="3" t="inlineStr">
        <is>
          <t>Required-return table (base case; TV rebuilt at each rate)</t>
        </is>
      </c>
    </row>
    <row r="14">
      <c r="A14" s="1" t="inlineStr">
        <is>
          <t>Required return</t>
        </is>
      </c>
      <c r="B14" s="6" t="n">
        <v>0.08</v>
      </c>
      <c r="C14" s="6" t="n">
        <v>0.09</v>
      </c>
      <c r="D14" s="6" t="n">
        <v>0.1</v>
      </c>
      <c r="E14" s="6" t="n">
        <v>0.11</v>
      </c>
      <c r="F14" s="6" t="n">
        <v>0.12</v>
      </c>
      <c r="G14" s="6" t="n">
        <v>0.15</v>
      </c>
    </row>
    <row r="15">
      <c r="A15" s="1" t="inlineStr">
        <is>
          <t>Value per share</t>
        </is>
      </c>
      <c r="B15">
        <f>(SUMPRODUCT(DCF_Base!$C$20:$L$20/(1+B$14)^DCF_Base!$C$4:$L$4)+MAX(0,MIN(IF(B$14&gt;DCF_Base!$B$28,DCF_Base!$L$20*(1+DCF_Base!$B$28)/(B$14-DCF_Base!$B$28),1E+15),Assumptions!$B$10*DCF_Base!$L$20))/(1+B$14)^10-Assumptions!$B$7)/Assumptions!$B$8</f>
        <v/>
      </c>
      <c r="C15">
        <f>(SUMPRODUCT(DCF_Base!$C$20:$L$20/(1+C$14)^DCF_Base!$C$4:$L$4)+MAX(0,MIN(IF(C$14&gt;DCF_Base!$B$28,DCF_Base!$L$20*(1+DCF_Base!$B$28)/(C$14-DCF_Base!$B$28),1E+15),Assumptions!$B$10*DCF_Base!$L$20))/(1+C$14)^10-Assumptions!$B$7)/Assumptions!$B$8</f>
        <v/>
      </c>
      <c r="D15">
        <f>(SUMPRODUCT(DCF_Base!$C$20:$L$20/(1+D$14)^DCF_Base!$C$4:$L$4)+MAX(0,MIN(IF(D$14&gt;DCF_Base!$B$28,DCF_Base!$L$20*(1+DCF_Base!$B$28)/(D$14-DCF_Base!$B$28),1E+15),Assumptions!$B$10*DCF_Base!$L$20))/(1+D$14)^10-Assumptions!$B$7)/Assumptions!$B$8</f>
        <v/>
      </c>
      <c r="E15">
        <f>(SUMPRODUCT(DCF_Base!$C$20:$L$20/(1+E$14)^DCF_Base!$C$4:$L$4)+MAX(0,MIN(IF(E$14&gt;DCF_Base!$B$28,DCF_Base!$L$20*(1+DCF_Base!$B$28)/(E$14-DCF_Base!$B$28),1E+15),Assumptions!$B$10*DCF_Base!$L$20))/(1+E$14)^10-Assumptions!$B$7)/Assumptions!$B$8</f>
        <v/>
      </c>
      <c r="F15">
        <f>(SUMPRODUCT(DCF_Base!$C$20:$L$20/(1+F$14)^DCF_Base!$C$4:$L$4)+MAX(0,MIN(IF(F$14&gt;DCF_Base!$B$28,DCF_Base!$L$20*(1+DCF_Base!$B$28)/(F$14-DCF_Base!$B$28),1E+15),Assumptions!$B$10*DCF_Base!$L$20))/(1+F$14)^10-Assumptions!$B$7)/Assumptions!$B$8</f>
        <v/>
      </c>
      <c r="G15">
        <f>(SUMPRODUCT(DCF_Base!$C$20:$L$20/(1+G$14)^DCF_Base!$C$4:$L$4)+MAX(0,MIN(IF(G$14&gt;DCF_Base!$B$28,DCF_Base!$L$20*(1+DCF_Base!$B$28)/(G$14-DCF_Base!$B$28),1E+15),Assumptions!$B$10*DCF_Base!$L$20))/(1+G$14)^10-Assumptions!$B$7)/Assumptions!$B$8</f>
        <v/>
      </c>
    </row>
    <row r="16">
      <c r="A16" t="inlineStr">
        <is>
          <t>Note: the 8% column ties to DCF_Base!B39 and the 15% column to the base entry price - the table, entry price and DCF agree by construction.</t>
        </is>
      </c>
    </row>
    <row r="18">
      <c r="A18" s="3" t="inlineStr">
        <is>
          <t>Sensitivity: WACC x terminal growth (base case)</t>
        </is>
      </c>
    </row>
    <row r="19">
      <c r="B19" s="6" t="n">
        <v>0.01</v>
      </c>
      <c r="C19" s="6" t="n">
        <v>0.015</v>
      </c>
      <c r="D19" s="6" t="n">
        <v>0.02</v>
      </c>
      <c r="E19" s="6" t="n">
        <v>0.025</v>
      </c>
      <c r="F19" s="6" t="n">
        <v>0.03</v>
      </c>
    </row>
    <row r="20">
      <c r="A20" s="6" t="n">
        <v>0.06</v>
      </c>
      <c r="B20">
        <f>(SUMPRODUCT(DCF_Base!$C$20:$L$20/(1+$A20)^DCF_Base!$C$4:$L$4)+MAX(0,MIN(IF($A20&gt;B$19,DCF_Base!$L$20*(1+B$19)/($A20-B$19),1E+15),Assumptions!$B$10*DCF_Base!$L$20))/(1+$A20)^10-Assumptions!$B$7)/Assumptions!$B$8</f>
        <v/>
      </c>
      <c r="C20">
        <f>(SUMPRODUCT(DCF_Base!$C$20:$L$20/(1+$A20)^DCF_Base!$C$4:$L$4)+MAX(0,MIN(IF($A20&gt;C$19,DCF_Base!$L$20*(1+C$19)/($A20-C$19),1E+15),Assumptions!$B$10*DCF_Base!$L$20))/(1+$A20)^10-Assumptions!$B$7)/Assumptions!$B$8</f>
        <v/>
      </c>
      <c r="D20">
        <f>(SUMPRODUCT(DCF_Base!$C$20:$L$20/(1+$A20)^DCF_Base!$C$4:$L$4)+MAX(0,MIN(IF($A20&gt;D$19,DCF_Base!$L$20*(1+D$19)/($A20-D$19),1E+15),Assumptions!$B$10*DCF_Base!$L$20))/(1+$A20)^10-Assumptions!$B$7)/Assumptions!$B$8</f>
        <v/>
      </c>
      <c r="E20">
        <f>(SUMPRODUCT(DCF_Base!$C$20:$L$20/(1+$A20)^DCF_Base!$C$4:$L$4)+MAX(0,MIN(IF($A20&gt;E$19,DCF_Base!$L$20*(1+E$19)/($A20-E$19),1E+15),Assumptions!$B$10*DCF_Base!$L$20))/(1+$A20)^10-Assumptions!$B$7)/Assumptions!$B$8</f>
        <v/>
      </c>
      <c r="F20">
        <f>(SUMPRODUCT(DCF_Base!$C$20:$L$20/(1+$A20)^DCF_Base!$C$4:$L$4)+MAX(0,MIN(IF($A20&gt;F$19,DCF_Base!$L$20*(1+F$19)/($A20-F$19),1E+15),Assumptions!$B$10*DCF_Base!$L$20))/(1+$A20)^10-Assumptions!$B$7)/Assumptions!$B$8</f>
        <v/>
      </c>
    </row>
    <row r="21">
      <c r="A21" s="6" t="n">
        <v>0.07000000000000001</v>
      </c>
      <c r="B21">
        <f>(SUMPRODUCT(DCF_Base!$C$20:$L$20/(1+$A21)^DCF_Base!$C$4:$L$4)+MAX(0,MIN(IF($A21&gt;B$19,DCF_Base!$L$20*(1+B$19)/($A21-B$19),1E+15),Assumptions!$B$10*DCF_Base!$L$20))/(1+$A21)^10-Assumptions!$B$7)/Assumptions!$B$8</f>
        <v/>
      </c>
      <c r="C21">
        <f>(SUMPRODUCT(DCF_Base!$C$20:$L$20/(1+$A21)^DCF_Base!$C$4:$L$4)+MAX(0,MIN(IF($A21&gt;C$19,DCF_Base!$L$20*(1+C$19)/($A21-C$19),1E+15),Assumptions!$B$10*DCF_Base!$L$20))/(1+$A21)^10-Assumptions!$B$7)/Assumptions!$B$8</f>
        <v/>
      </c>
      <c r="D21">
        <f>(SUMPRODUCT(DCF_Base!$C$20:$L$20/(1+$A21)^DCF_Base!$C$4:$L$4)+MAX(0,MIN(IF($A21&gt;D$19,DCF_Base!$L$20*(1+D$19)/($A21-D$19),1E+15),Assumptions!$B$10*DCF_Base!$L$20))/(1+$A21)^10-Assumptions!$B$7)/Assumptions!$B$8</f>
        <v/>
      </c>
      <c r="E21">
        <f>(SUMPRODUCT(DCF_Base!$C$20:$L$20/(1+$A21)^DCF_Base!$C$4:$L$4)+MAX(0,MIN(IF($A21&gt;E$19,DCF_Base!$L$20*(1+E$19)/($A21-E$19),1E+15),Assumptions!$B$10*DCF_Base!$L$20))/(1+$A21)^10-Assumptions!$B$7)/Assumptions!$B$8</f>
        <v/>
      </c>
      <c r="F21">
        <f>(SUMPRODUCT(DCF_Base!$C$20:$L$20/(1+$A21)^DCF_Base!$C$4:$L$4)+MAX(0,MIN(IF($A21&gt;F$19,DCF_Base!$L$20*(1+F$19)/($A21-F$19),1E+15),Assumptions!$B$10*DCF_Base!$L$20))/(1+$A21)^10-Assumptions!$B$7)/Assumptions!$B$8</f>
        <v/>
      </c>
    </row>
    <row r="22">
      <c r="A22" s="6" t="n">
        <v>0.08</v>
      </c>
      <c r="B22">
        <f>(SUMPRODUCT(DCF_Base!$C$20:$L$20/(1+$A22)^DCF_Base!$C$4:$L$4)+MAX(0,MIN(IF($A22&gt;B$19,DCF_Base!$L$20*(1+B$19)/($A22-B$19),1E+15),Assumptions!$B$10*DCF_Base!$L$20))/(1+$A22)^10-Assumptions!$B$7)/Assumptions!$B$8</f>
        <v/>
      </c>
      <c r="C22">
        <f>(SUMPRODUCT(DCF_Base!$C$20:$L$20/(1+$A22)^DCF_Base!$C$4:$L$4)+MAX(0,MIN(IF($A22&gt;C$19,DCF_Base!$L$20*(1+C$19)/($A22-C$19),1E+15),Assumptions!$B$10*DCF_Base!$L$20))/(1+$A22)^10-Assumptions!$B$7)/Assumptions!$B$8</f>
        <v/>
      </c>
      <c r="D22">
        <f>(SUMPRODUCT(DCF_Base!$C$20:$L$20/(1+$A22)^DCF_Base!$C$4:$L$4)+MAX(0,MIN(IF($A22&gt;D$19,DCF_Base!$L$20*(1+D$19)/($A22-D$19),1E+15),Assumptions!$B$10*DCF_Base!$L$20))/(1+$A22)^10-Assumptions!$B$7)/Assumptions!$B$8</f>
        <v/>
      </c>
      <c r="E22">
        <f>(SUMPRODUCT(DCF_Base!$C$20:$L$20/(1+$A22)^DCF_Base!$C$4:$L$4)+MAX(0,MIN(IF($A22&gt;E$19,DCF_Base!$L$20*(1+E$19)/($A22-E$19),1E+15),Assumptions!$B$10*DCF_Base!$L$20))/(1+$A22)^10-Assumptions!$B$7)/Assumptions!$B$8</f>
        <v/>
      </c>
      <c r="F22">
        <f>(SUMPRODUCT(DCF_Base!$C$20:$L$20/(1+$A22)^DCF_Base!$C$4:$L$4)+MAX(0,MIN(IF($A22&gt;F$19,DCF_Base!$L$20*(1+F$19)/($A22-F$19),1E+15),Assumptions!$B$10*DCF_Base!$L$20))/(1+$A22)^10-Assumptions!$B$7)/Assumptions!$B$8</f>
        <v/>
      </c>
    </row>
    <row r="23">
      <c r="A23" s="6" t="n">
        <v>0.09</v>
      </c>
      <c r="B23">
        <f>(SUMPRODUCT(DCF_Base!$C$20:$L$20/(1+$A23)^DCF_Base!$C$4:$L$4)+MAX(0,MIN(IF($A23&gt;B$19,DCF_Base!$L$20*(1+B$19)/($A23-B$19),1E+15),Assumptions!$B$10*DCF_Base!$L$20))/(1+$A23)^10-Assumptions!$B$7)/Assumptions!$B$8</f>
        <v/>
      </c>
      <c r="C23">
        <f>(SUMPRODUCT(DCF_Base!$C$20:$L$20/(1+$A23)^DCF_Base!$C$4:$L$4)+MAX(0,MIN(IF($A23&gt;C$19,DCF_Base!$L$20*(1+C$19)/($A23-C$19),1E+15),Assumptions!$B$10*DCF_Base!$L$20))/(1+$A23)^10-Assumptions!$B$7)/Assumptions!$B$8</f>
        <v/>
      </c>
      <c r="D23">
        <f>(SUMPRODUCT(DCF_Base!$C$20:$L$20/(1+$A23)^DCF_Base!$C$4:$L$4)+MAX(0,MIN(IF($A23&gt;D$19,DCF_Base!$L$20*(1+D$19)/($A23-D$19),1E+15),Assumptions!$B$10*DCF_Base!$L$20))/(1+$A23)^10-Assumptions!$B$7)/Assumptions!$B$8</f>
        <v/>
      </c>
      <c r="E23">
        <f>(SUMPRODUCT(DCF_Base!$C$20:$L$20/(1+$A23)^DCF_Base!$C$4:$L$4)+MAX(0,MIN(IF($A23&gt;E$19,DCF_Base!$L$20*(1+E$19)/($A23-E$19),1E+15),Assumptions!$B$10*DCF_Base!$L$20))/(1+$A23)^10-Assumptions!$B$7)/Assumptions!$B$8</f>
        <v/>
      </c>
      <c r="F23">
        <f>(SUMPRODUCT(DCF_Base!$C$20:$L$20/(1+$A23)^DCF_Base!$C$4:$L$4)+MAX(0,MIN(IF($A23&gt;F$19,DCF_Base!$L$20*(1+F$19)/($A23-F$19),1E+15),Assumptions!$B$10*DCF_Base!$L$20))/(1+$A23)^10-Assumptions!$B$7)/Assumptions!$B$8</f>
        <v/>
      </c>
    </row>
    <row r="24">
      <c r="A24" s="6" t="n">
        <v>0.1</v>
      </c>
      <c r="B24">
        <f>(SUMPRODUCT(DCF_Base!$C$20:$L$20/(1+$A24)^DCF_Base!$C$4:$L$4)+MAX(0,MIN(IF($A24&gt;B$19,DCF_Base!$L$20*(1+B$19)/($A24-B$19),1E+15),Assumptions!$B$10*DCF_Base!$L$20))/(1+$A24)^10-Assumptions!$B$7)/Assumptions!$B$8</f>
        <v/>
      </c>
      <c r="C24">
        <f>(SUMPRODUCT(DCF_Base!$C$20:$L$20/(1+$A24)^DCF_Base!$C$4:$L$4)+MAX(0,MIN(IF($A24&gt;C$19,DCF_Base!$L$20*(1+C$19)/($A24-C$19),1E+15),Assumptions!$B$10*DCF_Base!$L$20))/(1+$A24)^10-Assumptions!$B$7)/Assumptions!$B$8</f>
        <v/>
      </c>
      <c r="D24">
        <f>(SUMPRODUCT(DCF_Base!$C$20:$L$20/(1+$A24)^DCF_Base!$C$4:$L$4)+MAX(0,MIN(IF($A24&gt;D$19,DCF_Base!$L$20*(1+D$19)/($A24-D$19),1E+15),Assumptions!$B$10*DCF_Base!$L$20))/(1+$A24)^10-Assumptions!$B$7)/Assumptions!$B$8</f>
        <v/>
      </c>
      <c r="E24">
        <f>(SUMPRODUCT(DCF_Base!$C$20:$L$20/(1+$A24)^DCF_Base!$C$4:$L$4)+MAX(0,MIN(IF($A24&gt;E$19,DCF_Base!$L$20*(1+E$19)/($A24-E$19),1E+15),Assumptions!$B$10*DCF_Base!$L$20))/(1+$A24)^10-Assumptions!$B$7)/Assumptions!$B$8</f>
        <v/>
      </c>
      <c r="F24">
        <f>(SUMPRODUCT(DCF_Base!$C$20:$L$20/(1+$A24)^DCF_Base!$C$4:$L$4)+MAX(0,MIN(IF($A24&gt;F$19,DCF_Base!$L$20*(1+F$19)/($A24-F$19),1E+15),Assumptions!$B$10*DCF_Base!$L$20))/(1+$A24)^10-Assumptions!$B$7)/Assumptions!$B$8</f>
        <v/>
      </c>
    </row>
    <row r="26">
      <c r="A26" t="inlineStr">
        <is>
          <t>Flat rows at low WACC are the 15x terminal-FCF cap binding regardless of terminal growth.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2026-09-01T01:44:55Z</dcterms:created>
  <dcterms:modified xsi:type="dcterms:W3CDTF">2026-09-01T01:44:55Z</dcterms:modified>
</cp:coreProperties>
</file>