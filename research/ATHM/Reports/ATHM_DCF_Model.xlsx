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<sst xmlns="http://schemas.openxmlformats.org/spreadsheetml/2006/main" count="378" uniqueCount="172">
  <si>
    <t xml:space="preserve">Ticker</t>
  </si>
  <si>
    <t xml:space="preserve">ATHM</t>
  </si>
  <si>
    <t xml:space="preserve">Company</t>
  </si>
  <si>
    <t xml:space="preserve">Autohome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</si>
  <si>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</si>
  <si>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</si>
  <si>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</si>
  <si>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</si>
  <si>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2026-10-02T20:00:03Z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</si>
  <si>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</si>
  <si>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</si>
  <si>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</si>
  <si>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</si>
  <si>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</si>
  <si>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</si>
  <si>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</si>
  <si>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</si>
  <si>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</si>
  <si>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</si>
  <si>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</si>
  <si>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</si>
  <si>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</si>
  <si>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2026-10-02T22:16:29Z</t>
  </si>
  <si>
    <t xml:space="preserve">Drivers file</t>
  </si>
  <si>
    <t xml:space="preserve">ATHM_Drivers.json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</si>
  <si>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</si>
  <si>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</si>
  <si>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</si>
  <si>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RMB at a 10.5% VIE-inclusive cost of equity, with the large net cash added in the bridge after the PRC withholding tax needed to get it offshore, and per-ADS values converted to USD. The operating business is valued from a 2026 trough, with margin recovery capped near FY2025's level rather than mean-reverting to the FY2019-21 peak. Most of the value is the cash, so the valuation is mainly a judgment on whether that cash reaches minority ADS holders.
key_risks_to_valuation: Cash accessibility: ~80% of base-case value is the RMB 19.4bn cash and investment pile, mostly onshore and in RMB. VIE unwinding, capital controls, the WHT rate rising to 10% (another ~RMB 0.8bn, ~US$1.1/ADS), or Ping An-directed uses (related-party deposits and products produced RMB 114m of FY2025 interest income) would impair it; TTP Car redeemable preferred: the bridge deducts only the US$20.6m outstanding redemption notice. If the full US GAAP mezzanine carrying value (RMB 2.22bn) were ever a group cash claim, value falls ~US$3.0/ADS; Operating trough deeper or longer than the base: Q1-26 was an operating loss. Two years of bear-path revenue would leave the operating business near zero value; HFCAA/US-China delisting risk on the ADS (the HKEX 2518 line mitigates it) and governance risk from Ping An's controlling stake; Capital allocation: management could redirect the cash from buybacks and dividends to low-return new-retail or used-car ventures</t>
  </si>
  <si>
    <t xml:space="preserve">Data sources</t>
  </si>
  <si>
    <t xml:space="preserve">price: Yahoo Finance chart API at inputs.price_as_of (regular close); 52-week range 15.57-29.07. FX from Yahoo CNY=X and HKD=X; parity vs 2518.HK.
financials: SEC EDGAR: FY2025 20-F (accession 0001193125-26-155932: income statement, cash flow statement, tax note, share count at 2026-03-31, TTP note); Q2-26 6-K ex99.1 (0001193125-26-357963: H1-26 P&amp;L, Jun-30 balance sheet, buybacks to Aug 14); XBRL companyfacts for FY2020-25 SBC, D&amp;A, capex, tax paid, buybacks, dividends. ATHM_Metrics.csv for history.
qualitative: ATHM_Analysis.json (2026-10-03)</t>
  </si>
  <si>
    <t xml:space="preserve">Scenario narrative: bear</t>
  </si>
  <si>
    <t xml:space="preserve">This is structural disintermediation, not a cycle: NEV brands sell direct through owned apps, dealers build proprietary channels, and ByteDance's Dongchedi and JD's Yiche take the remaining ad budgets. Revenue falls another ~30% in FY2026 and keeps shrinking through FY2031. Fixed content and tech costs cap operating adjusted EBITDA near 12%, and management spends on low-return new-retail and used-car capex (3% of revenue) to defend relevance. The operating business is worth roughly RMB 1.2bn (~US$1.7/ADS), and the ADS is supported almost entirely by the cash, which is also the asset most exposed to the VIE, repatriation and controlling-shareholder risks this model can only partly price.</t>
  </si>
  <si>
    <t xml:space="preserve">Scenario narrative: base</t>
  </si>
  <si>
    <t xml:space="preserve">China's 2026 auto downturn (PV retail ~-16%, the price war, NEV growth turning negative) pushes FY2026 revenue down ~26% to ~RMB 4.8bn and another 6% in FY2027 as paying-dealer counts and lead-gen ARPU keep falling and Dongchedi/Douyin hold their traffic gains. The decline then flattens, because the low-margin vehicle-sales marketplace revenue has already been shed and media stabilises with new-model launches. Cost discipline lifts operating adjusted EBITDA back to ~18%, about FY2025's level. The operating business is worth ~RMB 4.4bn (~US$6.3/ADS), about a fifth of the ADS value. Most of the value is the RMB 19.4bn cash pile less the bridge items, which keeps being returned through the RMB 1.5bn+ dividend and the US$400M buyback.</t>
  </si>
  <si>
    <t xml:space="preserve">Scenario narrative: bull</t>
  </si>
  <si>
    <t xml:space="preserve">The auto market stabilises in 2027 and management's pivot works: the used-car full-process platform goes national, cross-border used-car export scales, the 'Autohome Good Car' franchise and the Cheese Car Butler AI agent turn traffic into transaction and data revenue, and Ping An cross-sell adds financing and insurance take. Revenue troughs in FY2026 and compounds at mid-single digits. Margins rebuild toward ~24% on the higher-margin data and leads mix, which is still far below the 2019-21 ~40%. The market stops pricing the cash pile at a discount as buybacks retire ~15% of the float a year at below-cash prices.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</si>
  <si>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</si>
  <si>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</si>
  <si>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</si>
  <si>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</si>
  <si>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</si>
  <si>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</si>
  <si>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</si>
  <si>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</si>
  <si>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</si>
  <si>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</si>
  <si>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</si>
  <si>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</si>
  <si>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</si>
  <si>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</si>
  <si>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</si>
  <si>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</si>
  <si>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</si>
  <si>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</si>
  <si>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</si>
  <si>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</si>
  <si>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</si>
  <si>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</si>
  <si>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</si>
  <si>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</si>
  <si>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</si>
  <si>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</si>
  <si>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</si>
  <si>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</si>
  <si>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</si>
  <si>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</si>
  <si>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</si>
  <si>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</si>
  <si>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</si>
  <si>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</si>
  <si>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</si>
  <si>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</si>
  <si>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</si>
  <si>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</si>
  <si>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</si>
  <si>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</si>
  <si>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</si>
  <si>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</si>
  <si>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</si>
  <si>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</si>
  <si>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</si>
  <si>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</si>
  <si>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</si>
  <si>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</si>
  <si>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</si>
  <si>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</si>
  <si>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</si>
  <si>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</si>
  <si>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</si>
  <si>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</si>
  <si>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</si>
  <si>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</si>
  <si>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</si>
  <si>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</si>
  <si>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</si>
  <si>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</si>
  <si>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</si>
  <si>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</si>
  <si>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</si>
  <si>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</si>
  <si>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</si>
  <si>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</si>
  <si>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</si>
  <si>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</si>
  <si>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</si>
  <si>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</si>
  <si>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</si>
  <si>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</si>
  <si>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</si>
  <si>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</si>
  <si>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</si>
  <si>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</si>
  <si>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</si>
  <si>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</si>
  <si>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</si>
  <si>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</si>
  <si>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ATHM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</si>
  <si>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</si>
  <si>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</si>
  <si>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</si>
  <si>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</si>
  <si>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</si>
  <si>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</si>
  <si>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</si>
  <si>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</si>
  <si>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</si>
  <si>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</si>
  <si>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</si>
  <si>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</si>
  <si>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</si>
  <si>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</si>
  <si>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</si>
  <si>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</si>
  <si>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</si>
  <si>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</si>
  <si>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</si>
  <si>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</si>
  <si>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</si>
  <si>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</si>
  <si>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</si>
  <si>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</si>
  <si>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</si>
  <si>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</si>
  <si>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</si>
  <si>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</si>
  <si>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</si>
  <si>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</si>
  <si>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ATHM owner-FCF component DCF: base case (millions, CNY)</t>
  </si>
  <si>
    <t xml:space="preserve">ATHM owner-FCF component DCF: bull case (millions, CNY)</t>
  </si>
  <si>
    <t xml:space="preserve">ATHM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</si>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</sst>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20.56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1540.805</v>
      </c>
      <c r="S2" s="0" t="n">
        <v>174.342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433.189</v>
      </c>
      <c r="C3" s="0" t="n">
        <v>130.565</v>
      </c>
      <c r="D3" s="0" t="n">
        <v>302.624</v>
      </c>
      <c r="E3" s="0" t="n">
        <v>69.8595763050308</v>
      </c>
      <c r="F3" s="0" t="n">
        <v>172.118</v>
      </c>
      <c r="G3" s="0" t="n">
        <v>39.7327725311585</v>
      </c>
      <c r="I3" s="0" t="n">
        <v>131.264</v>
      </c>
      <c r="J3" s="0" t="n">
        <v>30.3017851330482</v>
      </c>
      <c r="K3" s="0" t="n">
        <v>1.31</v>
      </c>
      <c r="L3" s="0" t="n">
        <v>146.125</v>
      </c>
      <c r="M3" s="0" t="n">
        <v>30.093</v>
      </c>
      <c r="N3" s="0" t="n">
        <v>116.032</v>
      </c>
      <c r="O3" s="0" t="n">
        <v>1360.279</v>
      </c>
      <c r="S3" s="0" t="n">
        <v>213.705</v>
      </c>
      <c r="T3" s="0" t="n">
        <v>100.189928</v>
      </c>
      <c r="U3" s="0" t="n">
        <v>13.446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732.52</v>
      </c>
      <c r="C4" s="0" t="n">
        <v>178.24</v>
      </c>
      <c r="D4" s="0" t="n">
        <v>554.28</v>
      </c>
      <c r="E4" s="0" t="n">
        <v>75.6675585649539</v>
      </c>
      <c r="F4" s="0" t="n">
        <v>298.466</v>
      </c>
      <c r="G4" s="0" t="n">
        <v>40.7450991099219</v>
      </c>
      <c r="I4" s="0" t="n">
        <v>212.881</v>
      </c>
      <c r="J4" s="0" t="n">
        <v>29.0614590727898</v>
      </c>
      <c r="K4" s="0" t="n">
        <v>2.13</v>
      </c>
      <c r="L4" s="0" t="n">
        <v>279.515</v>
      </c>
      <c r="M4" s="0" t="n">
        <v>27.734</v>
      </c>
      <c r="N4" s="0" t="n">
        <v>251.781</v>
      </c>
      <c r="O4" s="0" t="n">
        <v>1557.975</v>
      </c>
      <c r="P4" s="0" t="n">
        <v>2379.673</v>
      </c>
      <c r="Q4" s="0" t="n">
        <v>821.698</v>
      </c>
      <c r="S4" s="0" t="n">
        <v>420.576</v>
      </c>
      <c r="T4" s="0" t="n">
        <v>100.650652</v>
      </c>
      <c r="U4" s="0" t="n">
        <v>29.142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1216.548</v>
      </c>
      <c r="C5" s="0" t="n">
        <v>252.236</v>
      </c>
      <c r="D5" s="0" t="n">
        <v>964.312</v>
      </c>
      <c r="E5" s="0" t="n">
        <v>79.2662517220858</v>
      </c>
      <c r="F5" s="0" t="n">
        <v>554.904</v>
      </c>
      <c r="G5" s="0" t="n">
        <v>45.6129967744799</v>
      </c>
      <c r="I5" s="0" t="n">
        <v>456.162</v>
      </c>
      <c r="J5" s="0" t="n">
        <v>37.4964243087819</v>
      </c>
      <c r="K5" s="0" t="n">
        <v>4.57</v>
      </c>
      <c r="L5" s="0" t="n">
        <v>593.893</v>
      </c>
      <c r="M5" s="0" t="n">
        <v>44.212</v>
      </c>
      <c r="N5" s="0" t="n">
        <v>549.681</v>
      </c>
      <c r="O5" s="0" t="n">
        <v>2212.364</v>
      </c>
      <c r="P5" s="0" t="n">
        <v>3512.95</v>
      </c>
      <c r="Q5" s="0" t="n">
        <v>1300.586</v>
      </c>
      <c r="S5" s="0" t="n">
        <v>1138.613</v>
      </c>
      <c r="T5" s="0" t="n">
        <v>0</v>
      </c>
      <c r="U5" s="0" t="n">
        <v>25.608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2132.949</v>
      </c>
      <c r="C6" s="0" t="n">
        <v>381.498</v>
      </c>
      <c r="D6" s="0" t="n">
        <v>1751.451</v>
      </c>
      <c r="E6" s="0" t="n">
        <v>82.1140589859392</v>
      </c>
      <c r="F6" s="0" t="n">
        <v>904.235</v>
      </c>
      <c r="G6" s="0" t="n">
        <v>42.3936531065675</v>
      </c>
      <c r="I6" s="0" t="n">
        <v>748.68</v>
      </c>
      <c r="J6" s="0" t="n">
        <v>35.100698610234</v>
      </c>
      <c r="K6" s="0" t="n">
        <v>7.01</v>
      </c>
      <c r="L6" s="0" t="n">
        <v>1023.743</v>
      </c>
      <c r="M6" s="0" t="n">
        <v>42.718</v>
      </c>
      <c r="N6" s="0" t="n">
        <v>981.025</v>
      </c>
      <c r="O6" s="0" t="n">
        <v>3665.423</v>
      </c>
      <c r="P6" s="0" t="n">
        <v>5278.515</v>
      </c>
      <c r="Q6" s="0" t="n">
        <v>1613.092</v>
      </c>
      <c r="S6" s="0" t="n">
        <v>1054.416</v>
      </c>
      <c r="T6" s="0" t="n">
        <v>0</v>
      </c>
      <c r="U6" s="0" t="n">
        <v>56.666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3463.975</v>
      </c>
      <c r="C7" s="0" t="n">
        <v>669.121</v>
      </c>
      <c r="D7" s="0" t="n">
        <v>2794.854</v>
      </c>
      <c r="E7" s="0" t="n">
        <v>80.6834344936092</v>
      </c>
      <c r="F7" s="0" t="n">
        <v>1199.807</v>
      </c>
      <c r="G7" s="0" t="n">
        <v>34.636710715291</v>
      </c>
      <c r="I7" s="0" t="n">
        <v>990.649</v>
      </c>
      <c r="J7" s="0" t="n">
        <v>28.5986186389913</v>
      </c>
      <c r="K7" s="0" t="n">
        <v>8.83</v>
      </c>
      <c r="M7" s="0" t="n">
        <v>89.161</v>
      </c>
      <c r="O7" s="0" t="n">
        <v>4851.036</v>
      </c>
      <c r="P7" s="0" t="n">
        <v>7530.076</v>
      </c>
      <c r="Q7" s="0" t="n">
        <v>2679.04</v>
      </c>
      <c r="S7" s="0" t="n">
        <v>2152.647</v>
      </c>
      <c r="U7" s="0" t="n">
        <v>107.945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5961.621</v>
      </c>
      <c r="C8" s="0" t="n">
        <v>2393.165</v>
      </c>
      <c r="D8" s="0" t="n">
        <v>3568.456</v>
      </c>
      <c r="E8" s="0" t="n">
        <v>59.8571428811057</v>
      </c>
      <c r="F8" s="0" t="n">
        <v>1167.322</v>
      </c>
      <c r="G8" s="0" t="n">
        <v>19.5806140645304</v>
      </c>
      <c r="I8" s="0" t="n">
        <v>1227.914</v>
      </c>
      <c r="J8" s="0" t="n">
        <v>20.5969819282373</v>
      </c>
      <c r="K8" s="0" t="n">
        <v>10.75</v>
      </c>
      <c r="L8" s="0" t="n">
        <v>1574.124</v>
      </c>
      <c r="M8" s="0" t="n">
        <v>88.837</v>
      </c>
      <c r="N8" s="0" t="n">
        <v>1485.287</v>
      </c>
      <c r="O8" s="0" t="n">
        <v>6351.213</v>
      </c>
      <c r="P8" s="0" t="n">
        <v>9392.026</v>
      </c>
      <c r="Q8" s="0" t="n">
        <v>3040.813</v>
      </c>
      <c r="S8" s="0" t="n">
        <v>3293.911</v>
      </c>
      <c r="T8" s="0" t="n">
        <v>116.036327</v>
      </c>
      <c r="U8" s="0" t="n">
        <v>195.393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6210.181</v>
      </c>
      <c r="C9" s="0" t="n">
        <v>1358.685</v>
      </c>
      <c r="D9" s="0" t="n">
        <v>4851.496</v>
      </c>
      <c r="E9" s="0" t="n">
        <v>78.1216521708466</v>
      </c>
      <c r="F9" s="0" t="n">
        <v>2051.83</v>
      </c>
      <c r="G9" s="0" t="n">
        <v>33.0397777456084</v>
      </c>
      <c r="I9" s="0" t="n">
        <v>2001.619</v>
      </c>
      <c r="J9" s="0" t="n">
        <v>32.2312505867381</v>
      </c>
      <c r="K9" s="0" t="n">
        <v>17.2</v>
      </c>
      <c r="L9" s="0" t="n">
        <v>2463.699</v>
      </c>
      <c r="M9" s="0" t="n">
        <v>86.422</v>
      </c>
      <c r="N9" s="0" t="n">
        <v>2377.277</v>
      </c>
      <c r="O9" s="0" t="n">
        <v>7935.286</v>
      </c>
      <c r="P9" s="0" t="n">
        <v>12294.975</v>
      </c>
      <c r="Q9" s="0" t="n">
        <v>4359.689</v>
      </c>
      <c r="S9" s="0" t="n">
        <v>911.588</v>
      </c>
      <c r="T9" s="0" t="n">
        <v>468.563424</v>
      </c>
      <c r="U9" s="0" t="n">
        <v>177.786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7233.151</v>
      </c>
      <c r="C10" s="0" t="n">
        <v>820.288</v>
      </c>
      <c r="D10" s="0" t="n">
        <v>6412.863</v>
      </c>
      <c r="E10" s="0" t="n">
        <v>88.6593270346492</v>
      </c>
      <c r="F10" s="0" t="n">
        <v>2868.925</v>
      </c>
      <c r="G10" s="0" t="n">
        <v>39.6635574177838</v>
      </c>
      <c r="I10" s="0" t="n">
        <v>2871.015</v>
      </c>
      <c r="J10" s="0" t="n">
        <v>39.6924521553608</v>
      </c>
      <c r="K10" s="0" t="n">
        <v>6.1</v>
      </c>
      <c r="L10" s="0" t="n">
        <v>3111.438</v>
      </c>
      <c r="M10" s="0" t="n">
        <v>113.796</v>
      </c>
      <c r="N10" s="0" t="n">
        <v>2997.642</v>
      </c>
      <c r="O10" s="0" t="n">
        <v>11111.443</v>
      </c>
      <c r="P10" s="0" t="n">
        <v>15756.201</v>
      </c>
      <c r="Q10" s="0" t="n">
        <v>4644.758</v>
      </c>
      <c r="S10" s="0" t="n">
        <v>211.97</v>
      </c>
      <c r="T10" s="0" t="n">
        <v>472.22538</v>
      </c>
      <c r="U10" s="0" t="n">
        <v>202.325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8420.751</v>
      </c>
      <c r="C11" s="0" t="n">
        <v>960.292</v>
      </c>
      <c r="D11" s="0" t="n">
        <v>7460.459</v>
      </c>
      <c r="E11" s="0" t="n">
        <v>88.5961240274175</v>
      </c>
      <c r="F11" s="0" t="n">
        <v>3235.792</v>
      </c>
      <c r="G11" s="0" t="n">
        <v>38.4264063858437</v>
      </c>
      <c r="I11" s="0" t="n">
        <v>3200.645</v>
      </c>
      <c r="J11" s="0" t="n">
        <v>38.0090208106142</v>
      </c>
      <c r="K11" s="0" t="n">
        <v>6.75</v>
      </c>
      <c r="L11" s="0" t="n">
        <v>2889.369</v>
      </c>
      <c r="M11" s="0" t="n">
        <v>204.113</v>
      </c>
      <c r="N11" s="0" t="n">
        <v>2685.256</v>
      </c>
      <c r="O11" s="0" t="n">
        <v>14605.941</v>
      </c>
      <c r="P11" s="0" t="n">
        <v>19155.865</v>
      </c>
      <c r="Q11" s="0" t="n">
        <v>4549.924</v>
      </c>
      <c r="S11" s="0" t="n">
        <v>1988.298</v>
      </c>
      <c r="T11" s="0" t="n">
        <v>478.060988</v>
      </c>
      <c r="U11" s="0" t="n">
        <v>204.008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8658.559</v>
      </c>
      <c r="C12" s="0" t="n">
        <v>961.17</v>
      </c>
      <c r="D12" s="0" t="n">
        <v>7697.389</v>
      </c>
      <c r="E12" s="0" t="n">
        <v>88.8991921173027</v>
      </c>
      <c r="F12" s="0" t="n">
        <v>3148.027</v>
      </c>
      <c r="G12" s="0" t="n">
        <v>36.3574008099962</v>
      </c>
      <c r="I12" s="0" t="n">
        <v>3277.996</v>
      </c>
      <c r="J12" s="0" t="n">
        <v>37.8584473467236</v>
      </c>
      <c r="K12" s="0" t="n">
        <v>6.86</v>
      </c>
      <c r="L12" s="0" t="n">
        <v>3325.631</v>
      </c>
      <c r="M12" s="0" t="n">
        <v>263.892</v>
      </c>
      <c r="N12" s="0" t="n">
        <v>3061.739</v>
      </c>
      <c r="O12" s="0" t="n">
        <v>17622.984</v>
      </c>
      <c r="P12" s="0" t="n">
        <v>23730.845</v>
      </c>
      <c r="Q12" s="0" t="n">
        <v>4922.053</v>
      </c>
      <c r="S12" s="0" t="n">
        <v>1751.222</v>
      </c>
      <c r="T12" s="0" t="n">
        <v>479.68638</v>
      </c>
      <c r="U12" s="0" t="n">
        <v>211.206</v>
      </c>
      <c r="V12" s="0" t="n">
        <v>0.77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7237.004</v>
      </c>
      <c r="C13" s="0" t="n">
        <v>1047.892</v>
      </c>
      <c r="D13" s="0" t="n">
        <v>6189.112</v>
      </c>
      <c r="E13" s="0" t="n">
        <v>85.520361740853</v>
      </c>
      <c r="F13" s="0" t="n">
        <v>1781.612</v>
      </c>
      <c r="G13" s="0" t="n">
        <v>24.61808781645</v>
      </c>
      <c r="I13" s="0" t="n">
        <v>2248.785</v>
      </c>
      <c r="J13" s="0" t="n">
        <v>31.0734248592373</v>
      </c>
      <c r="K13" s="0" t="n">
        <v>4.3</v>
      </c>
      <c r="L13" s="0" t="n">
        <v>3523.934</v>
      </c>
      <c r="M13" s="0" t="n">
        <v>218.798</v>
      </c>
      <c r="N13" s="0" t="n">
        <v>3305.136</v>
      </c>
      <c r="O13" s="0" t="n">
        <v>22339.77</v>
      </c>
      <c r="P13" s="0" t="n">
        <v>28399.435</v>
      </c>
      <c r="Q13" s="0" t="n">
        <v>4591.636</v>
      </c>
      <c r="S13" s="0" t="n">
        <v>4236.501</v>
      </c>
      <c r="T13" s="0" t="n">
        <v>505.183788</v>
      </c>
      <c r="U13" s="0" t="n">
        <v>206.06</v>
      </c>
      <c r="V13" s="0" t="n">
        <v>0.87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6940.828</v>
      </c>
      <c r="C14" s="0" t="n">
        <v>1235.173</v>
      </c>
      <c r="D14" s="0" t="n">
        <v>5705.655</v>
      </c>
      <c r="E14" s="0" t="n">
        <v>82.2042413383533</v>
      </c>
      <c r="F14" s="0" t="n">
        <v>1247.522</v>
      </c>
      <c r="G14" s="0" t="n">
        <v>17.9736769157801</v>
      </c>
      <c r="I14" s="0" t="n">
        <v>1855.174</v>
      </c>
      <c r="J14" s="0" t="n">
        <v>26.7284249083827</v>
      </c>
      <c r="K14" s="0" t="n">
        <v>3.62</v>
      </c>
      <c r="L14" s="0" t="n">
        <v>2565.075</v>
      </c>
      <c r="M14" s="0" t="n">
        <v>116.503</v>
      </c>
      <c r="N14" s="0" t="n">
        <v>2448.572</v>
      </c>
      <c r="O14" s="0" t="n">
        <v>23482.987</v>
      </c>
      <c r="P14" s="0" t="n">
        <v>29715.819</v>
      </c>
      <c r="Q14" s="0" t="n">
        <v>4627.193</v>
      </c>
      <c r="S14" s="0" t="n">
        <v>2801.299</v>
      </c>
      <c r="T14" s="0" t="n">
        <v>499.666792</v>
      </c>
      <c r="U14" s="0" t="n">
        <v>168.89</v>
      </c>
      <c r="V14" s="0" t="n">
        <v>0.53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7184.135</v>
      </c>
      <c r="C15" s="0" t="n">
        <v>1411.881</v>
      </c>
      <c r="D15" s="0" t="n">
        <v>5772.254</v>
      </c>
      <c r="E15" s="0" t="n">
        <v>80.3472373500776</v>
      </c>
      <c r="F15" s="0" t="n">
        <v>1137.425</v>
      </c>
      <c r="G15" s="0" t="n">
        <v>15.8324558210557</v>
      </c>
      <c r="I15" s="0" t="n">
        <v>1935.31</v>
      </c>
      <c r="J15" s="0" t="n">
        <v>26.9386641537221</v>
      </c>
      <c r="K15" s="0" t="n">
        <v>3.84</v>
      </c>
      <c r="L15" s="0" t="n">
        <v>2451.429</v>
      </c>
      <c r="M15" s="0" t="n">
        <v>78.567</v>
      </c>
      <c r="N15" s="0" t="n">
        <v>2372.862</v>
      </c>
      <c r="O15" s="0" t="n">
        <v>23414.305</v>
      </c>
      <c r="P15" s="0" t="n">
        <v>30835.731</v>
      </c>
      <c r="Q15" s="0" t="n">
        <v>5662.493</v>
      </c>
      <c r="S15" s="0" t="n">
        <v>4996.353</v>
      </c>
      <c r="T15" s="0" t="n">
        <v>491.25246</v>
      </c>
      <c r="U15" s="0" t="n">
        <v>195.092</v>
      </c>
      <c r="V15" s="0" t="n">
        <v>1.73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7039.587</v>
      </c>
      <c r="C16" s="0" t="n">
        <v>1483.22</v>
      </c>
      <c r="D16" s="0" t="n">
        <v>5556.367</v>
      </c>
      <c r="E16" s="0" t="n">
        <v>78.9302980416323</v>
      </c>
      <c r="F16" s="0" t="n">
        <v>1003.497</v>
      </c>
      <c r="G16" s="0" t="n">
        <v>14.2550550195629</v>
      </c>
      <c r="I16" s="0" t="n">
        <v>1681.123</v>
      </c>
      <c r="J16" s="0" t="n">
        <v>23.8809890409764</v>
      </c>
      <c r="K16" s="0" t="n">
        <v>3.34</v>
      </c>
      <c r="L16" s="0" t="n">
        <v>1373.135</v>
      </c>
      <c r="M16" s="0" t="n">
        <v>139.996</v>
      </c>
      <c r="N16" s="0" t="n">
        <v>1233.139</v>
      </c>
      <c r="O16" s="0" t="n">
        <v>23951.737</v>
      </c>
      <c r="P16" s="0" t="n">
        <v>30221.625</v>
      </c>
      <c r="Q16" s="0" t="n">
        <v>5020.975</v>
      </c>
      <c r="S16" s="0" t="n">
        <v>1693.597</v>
      </c>
      <c r="T16" s="0" t="n">
        <v>486.552724</v>
      </c>
      <c r="U16" s="0" t="n">
        <v>192.024</v>
      </c>
      <c r="V16" s="0" t="n">
        <v>1.72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6452.03</v>
      </c>
      <c r="C17" s="0" t="n">
        <v>1783.831</v>
      </c>
      <c r="D17" s="0" t="n">
        <v>4668.199</v>
      </c>
      <c r="E17" s="0" t="n">
        <v>72.3524069168928</v>
      </c>
      <c r="F17" s="0" t="n">
        <v>769.287</v>
      </c>
      <c r="G17" s="0" t="n">
        <v>11.9231776665639</v>
      </c>
      <c r="I17" s="0" t="n">
        <v>1442.83</v>
      </c>
      <c r="J17" s="0" t="n">
        <v>22.3624192695942</v>
      </c>
      <c r="K17" s="0" t="n">
        <v>2.95</v>
      </c>
      <c r="L17" s="0" t="n">
        <v>889.462</v>
      </c>
      <c r="M17" s="0" t="n">
        <v>118.057</v>
      </c>
      <c r="N17" s="0" t="n">
        <v>771.405</v>
      </c>
      <c r="O17" s="0" t="n">
        <v>23041.328</v>
      </c>
      <c r="P17" s="0" t="n">
        <v>28308.524</v>
      </c>
      <c r="Q17" s="0" t="n">
        <v>4013.346</v>
      </c>
      <c r="S17" s="0" t="n">
        <v>2175.493</v>
      </c>
      <c r="T17" s="0" t="n">
        <v>472.096864</v>
      </c>
      <c r="U17" s="0" t="n">
        <v>218.974</v>
      </c>
      <c r="V17" s="0" t="n">
        <v>1.79</v>
      </c>
      <c r="AA17" s="0" t="s">
        <v>18</v>
      </c>
      <c r="AB17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20.56</v>
      </c>
    </row>
    <row r="3" customFormat="false" ht="15" hidden="false" customHeight="false" outlineLevel="0" collapsed="false">
      <c r="A3" s="0" t="s">
        <v>83</v>
      </c>
      <c r="B3" s="3" t="n">
        <v>103.51</v>
      </c>
    </row>
    <row r="4" customFormat="false" ht="15" hidden="false" customHeight="false" outlineLevel="0" collapsed="false">
      <c r="A4" s="0" t="s">
        <v>84</v>
      </c>
      <c r="B4" s="3" t="n">
        <v>-19364.6</v>
      </c>
    </row>
    <row r="5" customFormat="false" ht="15" hidden="false" customHeight="false" outlineLevel="0" collapsed="false">
      <c r="A5" s="0" t="s">
        <v>85</v>
      </c>
      <c r="B5" s="3" t="n">
        <v>-1940.6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6452.03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0.149283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-30</v>
      </c>
      <c r="D13" s="3" t="n">
        <v>-12</v>
      </c>
      <c r="E13" s="3" t="n">
        <v>-8</v>
      </c>
      <c r="F13" s="3" t="n">
        <v>-5</v>
      </c>
      <c r="G13" s="3" t="n">
        <v>-3</v>
      </c>
      <c r="H13" s="3" t="n">
        <v>-2</v>
      </c>
      <c r="I13" s="3" t="n">
        <v>-1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104</v>
      </c>
      <c r="C14" s="3" t="n">
        <v>10</v>
      </c>
      <c r="D14" s="3" t="n">
        <v>11</v>
      </c>
      <c r="E14" s="3" t="n">
        <v>12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105</v>
      </c>
      <c r="C15" s="3" t="n">
        <v>3</v>
      </c>
      <c r="D15" s="3" t="n">
        <v>3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2.6</v>
      </c>
      <c r="D17" s="3" t="n">
        <v>2.8</v>
      </c>
      <c r="E17" s="3" t="n">
        <v>2.9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108</v>
      </c>
      <c r="C18" s="3" t="n">
        <v>2.6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109</v>
      </c>
      <c r="C19" s="3" t="n">
        <v>18</v>
      </c>
      <c r="D19" s="3" t="n">
        <v>19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110</v>
      </c>
      <c r="B20" s="3" t="n">
        <v>10.5</v>
      </c>
    </row>
    <row r="21" customFormat="false" ht="15" hidden="false" customHeight="false" outlineLevel="0" collapsed="false">
      <c r="A21" s="0" t="s">
        <v>111</v>
      </c>
      <c r="B21" s="3" t="n">
        <v>0</v>
      </c>
    </row>
    <row r="22" customFormat="false" ht="15" hidden="false" customHeight="false" outlineLevel="0" collapsed="false">
      <c r="A22" s="0" t="s">
        <v>112</v>
      </c>
      <c r="B22" s="3" t="n">
        <v>8</v>
      </c>
    </row>
    <row r="23" customFormat="false" ht="15" hidden="false" customHeight="false" outlineLevel="0" collapsed="false">
      <c r="A23" s="0" t="s">
        <v>113</v>
      </c>
      <c r="B23" s="3" t="n">
        <v>10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-26</v>
      </c>
      <c r="D27" s="3" t="n">
        <v>-6</v>
      </c>
      <c r="E27" s="3" t="n">
        <v>-2</v>
      </c>
      <c r="F27" s="3" t="n">
        <v>0</v>
      </c>
      <c r="G27" s="3" t="n">
        <v>1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104</v>
      </c>
      <c r="C28" s="3" t="n">
        <v>13</v>
      </c>
      <c r="D28" s="3" t="n">
        <v>15</v>
      </c>
      <c r="E28" s="3" t="n">
        <v>16.5</v>
      </c>
      <c r="F28" s="3" t="n">
        <v>17.5</v>
      </c>
      <c r="G28" s="3" t="n">
        <v>18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105</v>
      </c>
      <c r="C29" s="3" t="n">
        <v>3</v>
      </c>
      <c r="D29" s="3" t="n">
        <v>3</v>
      </c>
      <c r="E29" s="3" t="n">
        <v>2.9</v>
      </c>
      <c r="F29" s="3" t="n">
        <v>2.8</v>
      </c>
      <c r="G29" s="3" t="n">
        <v>2.7</v>
      </c>
      <c r="H29" s="3" t="n">
        <v>2.6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2.5</v>
      </c>
      <c r="D31" s="3" t="n">
        <v>2.6</v>
      </c>
      <c r="E31" s="3" t="n">
        <v>2.6</v>
      </c>
      <c r="F31" s="3" t="n">
        <v>2.6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108</v>
      </c>
      <c r="C32" s="3" t="n">
        <v>2.2</v>
      </c>
      <c r="D32" s="3" t="n">
        <v>2.2</v>
      </c>
      <c r="E32" s="3" t="n">
        <v>2.1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109</v>
      </c>
      <c r="C33" s="3" t="n">
        <v>18</v>
      </c>
      <c r="D33" s="3" t="n">
        <v>19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110</v>
      </c>
      <c r="B34" s="3" t="n">
        <v>10.5</v>
      </c>
    </row>
    <row r="35" customFormat="false" ht="15" hidden="false" customHeight="false" outlineLevel="0" collapsed="false">
      <c r="A35" s="0" t="s">
        <v>111</v>
      </c>
      <c r="B35" s="3" t="n">
        <v>1</v>
      </c>
    </row>
    <row r="36" customFormat="false" ht="15" hidden="false" customHeight="false" outlineLevel="0" collapsed="false">
      <c r="A36" s="0" t="s">
        <v>112</v>
      </c>
      <c r="B36" s="3" t="n">
        <v>10</v>
      </c>
    </row>
    <row r="37" customFormat="false" ht="15" hidden="false" customHeight="false" outlineLevel="0" collapsed="false">
      <c r="A37" s="0" t="s">
        <v>113</v>
      </c>
      <c r="B37" s="3" t="n">
        <v>10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-24</v>
      </c>
      <c r="D41" s="3" t="n">
        <v>2</v>
      </c>
      <c r="E41" s="3" t="n">
        <v>4</v>
      </c>
      <c r="F41" s="3" t="n">
        <v>5</v>
      </c>
      <c r="G41" s="3" t="n">
        <v>5</v>
      </c>
      <c r="H41" s="3" t="n">
        <v>4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104</v>
      </c>
      <c r="C42" s="3" t="n">
        <v>14</v>
      </c>
      <c r="D42" s="3" t="n">
        <v>18</v>
      </c>
      <c r="E42" s="3" t="n">
        <v>21</v>
      </c>
      <c r="F42" s="3" t="n">
        <v>23</v>
      </c>
      <c r="G42" s="3" t="n">
        <v>24</v>
      </c>
      <c r="H42" s="3" t="n">
        <v>24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105</v>
      </c>
      <c r="C43" s="3" t="n">
        <v>3</v>
      </c>
      <c r="D43" s="3" t="n">
        <v>3</v>
      </c>
      <c r="E43" s="3" t="n">
        <v>2.9</v>
      </c>
      <c r="F43" s="3" t="n">
        <v>2.8</v>
      </c>
      <c r="G43" s="3" t="n">
        <v>2.7</v>
      </c>
      <c r="H43" s="3" t="n">
        <v>2.6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2.5</v>
      </c>
      <c r="D45" s="3" t="n">
        <v>2.5</v>
      </c>
      <c r="E45" s="3" t="n">
        <v>2.5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108</v>
      </c>
      <c r="C46" s="3" t="n">
        <v>2.2</v>
      </c>
      <c r="D46" s="3" t="n">
        <v>2.1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109</v>
      </c>
      <c r="C47" s="3" t="n">
        <v>18</v>
      </c>
      <c r="D47" s="3" t="n">
        <v>19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110</v>
      </c>
      <c r="B48" s="3" t="n">
        <v>10.5</v>
      </c>
    </row>
    <row r="49" customFormat="false" ht="15" hidden="false" customHeight="false" outlineLevel="0" collapsed="false">
      <c r="A49" s="0" t="s">
        <v>111</v>
      </c>
      <c r="B49" s="3" t="n">
        <v>2</v>
      </c>
    </row>
    <row r="50" customFormat="false" ht="15" hidden="false" customHeight="false" outlineLevel="0" collapsed="false">
      <c r="A50" s="0" t="s">
        <v>112</v>
      </c>
      <c r="B50" s="3" t="n">
        <v>12</v>
      </c>
    </row>
    <row r="51" customFormat="false" ht="15" hidden="false" customHeight="false" outlineLevel="0" collapsed="false">
      <c r="A51" s="0" t="s">
        <v>113</v>
      </c>
      <c r="B51" s="3" t="n">
        <v>10</v>
      </c>
    </row>
    <row r="52" customFormat="false" ht="15" hidden="false" customHeight="false" outlineLevel="0" collapsed="false">
      <c r="A52" s="0" t="s">
        <v>114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-30</v>
      </c>
      <c r="D5" s="4" t="n">
        <f aca="false">Assumptions!D13</f>
        <v>-12</v>
      </c>
      <c r="E5" s="4" t="n">
        <f aca="false">Assumptions!E13</f>
        <v>-8</v>
      </c>
      <c r="F5" s="4" t="n">
        <f aca="false">Assumptions!F13</f>
        <v>-5</v>
      </c>
      <c r="G5" s="4" t="n">
        <f aca="false">Assumptions!G13</f>
        <v>-3</v>
      </c>
      <c r="H5" s="4" t="n">
        <f aca="false">Assumptions!H13</f>
        <v>-2</v>
      </c>
      <c r="I5" s="4" t="n">
        <f aca="false">Assumptions!I13</f>
        <v>-1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6452.03</v>
      </c>
      <c r="C6" s="0" t="n">
        <f aca="false">B6*(1+C5/100)</f>
        <v>4516.421</v>
      </c>
      <c r="D6" s="0" t="n">
        <f aca="false">C6*(1+D5/100)</f>
        <v>3974.45048</v>
      </c>
      <c r="E6" s="0" t="n">
        <f aca="false">D6*(1+E5/100)</f>
        <v>3656.4944416</v>
      </c>
      <c r="F6" s="0" t="n">
        <f aca="false">E6*(1+F5/100)</f>
        <v>3473.66971952</v>
      </c>
      <c r="G6" s="0" t="n">
        <f aca="false">F6*(1+G5/100)</f>
        <v>3369.4596279344</v>
      </c>
      <c r="H6" s="0" t="n">
        <f aca="false">G6*(1+H5/100)</f>
        <v>3302.07043537571</v>
      </c>
      <c r="I6" s="0" t="n">
        <f aca="false">H6*(1+I5/100)</f>
        <v>3269.04973102195</v>
      </c>
      <c r="J6" s="0" t="n">
        <f aca="false">I6*(1+J5/100)</f>
        <v>3269.04973102195</v>
      </c>
      <c r="K6" s="0" t="n">
        <f aca="false">J6*(1+K5/100)</f>
        <v>3269.04973102195</v>
      </c>
      <c r="L6" s="0" t="n">
        <f aca="false">K6*(1+L5/100)</f>
        <v>3269.04973102195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10</v>
      </c>
      <c r="D7" s="4" t="n">
        <f aca="false">Assumptions!D14</f>
        <v>11</v>
      </c>
      <c r="E7" s="4" t="n">
        <f aca="false">Assumptions!E14</f>
        <v>12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451.6421</v>
      </c>
      <c r="D8" s="0" t="n">
        <f aca="false">D6*D7/100</f>
        <v>437.1895528</v>
      </c>
      <c r="E8" s="0" t="n">
        <f aca="false">E6*E7/100</f>
        <v>438.779332992</v>
      </c>
      <c r="F8" s="0" t="n">
        <f aca="false">F6*F7/100</f>
        <v>416.8403663424</v>
      </c>
      <c r="G8" s="0" t="n">
        <f aca="false">G6*G7/100</f>
        <v>404.335155352128</v>
      </c>
      <c r="H8" s="0" t="n">
        <f aca="false">H6*H7/100</f>
        <v>396.248452245085</v>
      </c>
      <c r="I8" s="0" t="n">
        <f aca="false">I6*I7/100</f>
        <v>392.285967722635</v>
      </c>
      <c r="J8" s="0" t="n">
        <f aca="false">J6*J7/100</f>
        <v>392.285967722635</v>
      </c>
      <c r="K8" s="0" t="n">
        <f aca="false">K6*K7/100</f>
        <v>392.285967722635</v>
      </c>
      <c r="L8" s="0" t="n">
        <f aca="false">L6*L7/100</f>
        <v>392.285967722635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3</v>
      </c>
      <c r="D9" s="4" t="n">
        <f aca="false">Assumptions!D15</f>
        <v>3</v>
      </c>
      <c r="E9" s="4" t="n">
        <f aca="false">Assumptions!E15</f>
        <v>3</v>
      </c>
      <c r="F9" s="4" t="n">
        <f aca="false">Assumptions!F15</f>
        <v>3</v>
      </c>
      <c r="G9" s="4" t="n">
        <f aca="false">Assumptions!G15</f>
        <v>3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-135.49263</v>
      </c>
      <c r="D10" s="0" t="n">
        <f aca="false">-D6*D9/100</f>
        <v>-119.2335144</v>
      </c>
      <c r="E10" s="0" t="n">
        <f aca="false">-E6*E9/100</f>
        <v>-109.694833248</v>
      </c>
      <c r="F10" s="0" t="n">
        <f aca="false">-F6*F9/100</f>
        <v>-104.2100915856</v>
      </c>
      <c r="G10" s="0" t="n">
        <f aca="false">-G6*G9/100</f>
        <v>-101.083788838032</v>
      </c>
      <c r="H10" s="0" t="n">
        <f aca="false">-H6*H9/100</f>
        <v>-99.0621130612713</v>
      </c>
      <c r="I10" s="0" t="n">
        <f aca="false">-I6*I9/100</f>
        <v>-98.0714919306586</v>
      </c>
      <c r="J10" s="0" t="n">
        <f aca="false">-J6*J9/100</f>
        <v>-98.0714919306586</v>
      </c>
      <c r="K10" s="0" t="n">
        <f aca="false">-K6*K9/100</f>
        <v>-98.0714919306586</v>
      </c>
      <c r="L10" s="0" t="n">
        <f aca="false">-L6*L9/100</f>
        <v>-98.0714919306586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316.14947</v>
      </c>
      <c r="D11" s="0" t="n">
        <f aca="false">D8+D10+D24</f>
        <v>317.9560384</v>
      </c>
      <c r="E11" s="0" t="n">
        <f aca="false">E8+E10+E24</f>
        <v>329.084499744</v>
      </c>
      <c r="F11" s="0" t="n">
        <f aca="false">F8+F10+F24</f>
        <v>312.6302747568</v>
      </c>
      <c r="G11" s="0" t="n">
        <f aca="false">G8+G10+G24</f>
        <v>303.251366514096</v>
      </c>
      <c r="H11" s="0" t="n">
        <f aca="false">H8+H10+H24</f>
        <v>297.186339183814</v>
      </c>
      <c r="I11" s="0" t="n">
        <f aca="false">I8+I10+I24</f>
        <v>294.214475791976</v>
      </c>
      <c r="J11" s="0" t="n">
        <f aca="false">J8+J10+J24</f>
        <v>294.214475791976</v>
      </c>
      <c r="K11" s="0" t="n">
        <f aca="false">K8+K10+K24</f>
        <v>294.214475791976</v>
      </c>
      <c r="L11" s="0" t="n">
        <f aca="false">L8+L10+L24</f>
        <v>294.214475791976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-117.426946</v>
      </c>
      <c r="D12" s="4" t="n">
        <f aca="false">-D6*Assumptions!D17/100</f>
        <v>-111.28461344</v>
      </c>
      <c r="E12" s="4" t="n">
        <f aca="false">-E6*Assumptions!E17/100</f>
        <v>-106.0383388064</v>
      </c>
      <c r="F12" s="4" t="n">
        <f aca="false">-F6*Assumptions!F17/100</f>
        <v>-104.2100915856</v>
      </c>
      <c r="G12" s="4" t="n">
        <f aca="false">-G6*Assumptions!G17/100</f>
        <v>-101.083788838032</v>
      </c>
      <c r="H12" s="4" t="n">
        <f aca="false">-H6*Assumptions!H17/100</f>
        <v>-99.0621130612713</v>
      </c>
      <c r="I12" s="4" t="n">
        <f aca="false">-I6*Assumptions!I17/100</f>
        <v>-98.0714919306586</v>
      </c>
      <c r="J12" s="4" t="n">
        <f aca="false">-J6*Assumptions!J17/100</f>
        <v>-98.0714919306586</v>
      </c>
      <c r="K12" s="4" t="n">
        <f aca="false">-K6*Assumptions!K17/100</f>
        <v>-98.0714919306586</v>
      </c>
      <c r="L12" s="4" t="n">
        <f aca="false">-L6*Assumptions!L17/100</f>
        <v>-98.0714919306586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198.722524</v>
      </c>
      <c r="D13" s="0" t="n">
        <f aca="false">D11+D12</f>
        <v>206.67142496</v>
      </c>
      <c r="E13" s="0" t="n">
        <f aca="false">E11+E12</f>
        <v>223.0461609376</v>
      </c>
      <c r="F13" s="0" t="n">
        <f aca="false">F11+F12</f>
        <v>208.4201831712</v>
      </c>
      <c r="G13" s="0" t="n">
        <f aca="false">G11+G12</f>
        <v>202.167577676064</v>
      </c>
      <c r="H13" s="0" t="n">
        <f aca="false">H11+H12</f>
        <v>198.124226122543</v>
      </c>
      <c r="I13" s="0" t="n">
        <f aca="false">I11+I12</f>
        <v>196.142983861317</v>
      </c>
      <c r="J13" s="0" t="n">
        <f aca="false">J11+J12</f>
        <v>196.142983861317</v>
      </c>
      <c r="K13" s="0" t="n">
        <f aca="false">K11+K12</f>
        <v>196.142983861317</v>
      </c>
      <c r="L13" s="0" t="n">
        <f aca="false">L11+L12</f>
        <v>196.142983861317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162.95246968</v>
      </c>
      <c r="D15" s="0" t="n">
        <f aca="false">D13-MAX(0,D13)*D14/100</f>
        <v>167.4038542176</v>
      </c>
      <c r="E15" s="0" t="n">
        <f aca="false">E13-MAX(0,E13)*E14/100</f>
        <v>178.43692875008</v>
      </c>
      <c r="F15" s="0" t="n">
        <f aca="false">F13-MAX(0,F13)*F14/100</f>
        <v>166.73614653696</v>
      </c>
      <c r="G15" s="0" t="n">
        <f aca="false">G13-MAX(0,G13)*G14/100</f>
        <v>161.734062140851</v>
      </c>
      <c r="H15" s="0" t="n">
        <f aca="false">H13-MAX(0,H13)*H14/100</f>
        <v>158.499380898034</v>
      </c>
      <c r="I15" s="0" t="n">
        <f aca="false">I13-MAX(0,I13)*I14/100</f>
        <v>156.914387089054</v>
      </c>
      <c r="J15" s="0" t="n">
        <f aca="false">J13-MAX(0,J13)*J14/100</f>
        <v>156.914387089054</v>
      </c>
      <c r="K15" s="0" t="n">
        <f aca="false">K13-MAX(0,K13)*K14/100</f>
        <v>156.914387089054</v>
      </c>
      <c r="L15" s="0" t="n">
        <f aca="false">L13-MAX(0,L13)*L14/100</f>
        <v>156.914387089054</v>
      </c>
    </row>
    <row r="16" customFormat="false" ht="15" hidden="false" customHeight="false" outlineLevel="0" collapsed="false">
      <c r="A16" s="0" t="s">
        <v>125</v>
      </c>
      <c r="C16" s="0" t="n">
        <f aca="false">-C12</f>
        <v>117.426946</v>
      </c>
      <c r="D16" s="0" t="n">
        <f aca="false">-D12</f>
        <v>111.28461344</v>
      </c>
      <c r="E16" s="0" t="n">
        <f aca="false">-E12</f>
        <v>106.0383388064</v>
      </c>
      <c r="F16" s="0" t="n">
        <f aca="false">-F12</f>
        <v>104.2100915856</v>
      </c>
      <c r="G16" s="0" t="n">
        <f aca="false">-G12</f>
        <v>101.083788838032</v>
      </c>
      <c r="H16" s="0" t="n">
        <f aca="false">-H12</f>
        <v>99.0621130612713</v>
      </c>
      <c r="I16" s="0" t="n">
        <f aca="false">-I12</f>
        <v>98.0714919306586</v>
      </c>
      <c r="J16" s="0" t="n">
        <f aca="false">-J12</f>
        <v>98.0714919306586</v>
      </c>
      <c r="K16" s="0" t="n">
        <f aca="false">-K12</f>
        <v>98.0714919306586</v>
      </c>
      <c r="L16" s="0" t="n">
        <f aca="false">-L12</f>
        <v>98.0714919306586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-117.426946</v>
      </c>
      <c r="D17" s="4" t="n">
        <f aca="false">-D6*Assumptions!D18/100</f>
        <v>-119.2335144</v>
      </c>
      <c r="E17" s="4" t="n">
        <f aca="false">-E6*Assumptions!E18/100</f>
        <v>-109.694833248</v>
      </c>
      <c r="F17" s="4" t="n">
        <f aca="false">-F6*Assumptions!F18/100</f>
        <v>-104.2100915856</v>
      </c>
      <c r="G17" s="4" t="n">
        <f aca="false">-G6*Assumptions!G18/100</f>
        <v>-101.083788838032</v>
      </c>
      <c r="H17" s="4" t="n">
        <f aca="false">-H6*Assumptions!H18/100</f>
        <v>-99.0621130612713</v>
      </c>
      <c r="I17" s="4" t="n">
        <f aca="false">-I6*Assumptions!I18/100</f>
        <v>-98.0714919306586</v>
      </c>
      <c r="J17" s="4" t="n">
        <f aca="false">-J6*Assumptions!J18/100</f>
        <v>-98.0714919306586</v>
      </c>
      <c r="K17" s="4" t="n">
        <f aca="false">-K6*Assumptions!K18/100</f>
        <v>-98.0714919306586</v>
      </c>
      <c r="L17" s="4" t="n">
        <f aca="false">-L6*Assumptions!L18/100</f>
        <v>-98.0714919306586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-193.5609</v>
      </c>
      <c r="D18" s="4" t="n">
        <f aca="false">(D6-C6)*Assumptions!$B$23/100</f>
        <v>-54.197052</v>
      </c>
      <c r="E18" s="4" t="n">
        <f aca="false">(E6-D6)*Assumptions!$B$23/100</f>
        <v>-31.79560384</v>
      </c>
      <c r="F18" s="4" t="n">
        <f aca="false">(F6-E6)*Assumptions!$B$23/100</f>
        <v>-18.282472208</v>
      </c>
      <c r="G18" s="4" t="n">
        <f aca="false">(G6-F6)*Assumptions!$B$23/100</f>
        <v>-10.42100915856</v>
      </c>
      <c r="H18" s="4" t="n">
        <f aca="false">(H6-G6)*Assumptions!$B$23/100</f>
        <v>-6.73891925586881</v>
      </c>
      <c r="I18" s="4" t="n">
        <f aca="false">(I6-H6)*Assumptions!$B$23/100</f>
        <v>-3.30207043537571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-30.6084303200001</v>
      </c>
      <c r="D19" s="0" t="n">
        <f aca="false">D15+D16+D17+D18</f>
        <v>105.2579012576</v>
      </c>
      <c r="E19" s="0" t="n">
        <f aca="false">E15+E16+E17+E18</f>
        <v>142.98483046848</v>
      </c>
      <c r="F19" s="0" t="n">
        <f aca="false">F15+F16+F17+F18</f>
        <v>148.45367432896</v>
      </c>
      <c r="G19" s="0" t="n">
        <f aca="false">G15+G16+G17+G18</f>
        <v>151.313052982291</v>
      </c>
      <c r="H19" s="0" t="n">
        <f aca="false">H15+H16+H17+H18</f>
        <v>151.760461642165</v>
      </c>
      <c r="I19" s="0" t="n">
        <f aca="false">I15+I16+I17+I18</f>
        <v>153.612316653678</v>
      </c>
      <c r="J19" s="0" t="n">
        <f aca="false">J15+J16+J17+J18</f>
        <v>156.914387089054</v>
      </c>
      <c r="K19" s="0" t="n">
        <f aca="false">K15+K16+K17+K18</f>
        <v>156.914387089054</v>
      </c>
      <c r="L19" s="0" t="n">
        <f aca="false">L15+L16+L17+L18</f>
        <v>156.914387089054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-27.6999369411765</v>
      </c>
      <c r="D21" s="0" t="n">
        <f aca="false">D19*D20</f>
        <v>86.2045422965132</v>
      </c>
      <c r="E21" s="0" t="n">
        <f aca="false">E19*E20</f>
        <v>105.97492813256</v>
      </c>
      <c r="F21" s="0" t="n">
        <f aca="false">F19*F20</f>
        <v>99.5730566382458</v>
      </c>
      <c r="G21" s="0" t="n">
        <f aca="false">G19*G20</f>
        <v>91.847005991661</v>
      </c>
      <c r="H21" s="0" t="n">
        <f aca="false">H19*H20</f>
        <v>83.365233481846</v>
      </c>
      <c r="I21" s="0" t="n">
        <f aca="false">I19*I20</f>
        <v>76.3642503464787</v>
      </c>
      <c r="J21" s="0" t="n">
        <f aca="false">J19*J20</f>
        <v>70.5934717216877</v>
      </c>
      <c r="K21" s="0" t="n">
        <f aca="false">K19*K20</f>
        <v>63.8854947707581</v>
      </c>
      <c r="L21" s="0" t="n">
        <f aca="false">L19*L20</f>
        <v>57.8149273943512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707.922973832925</v>
      </c>
    </row>
    <row r="31" customFormat="false" ht="15" hidden="false" customHeight="false" outlineLevel="0" collapsed="false">
      <c r="A31" s="0" t="s">
        <v>134</v>
      </c>
      <c r="B31" s="0" t="n">
        <f aca="false">L19</f>
        <v>156.914387089054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1494.42273418146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1255.31509671243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1255.31509671243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462.51941915481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1170.44239298774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18594.4423929877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26.8170625422895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0.304331835714471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656.179163697777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344.136472585424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28.2597262378867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1046.09591392703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26.3170196127191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-26</v>
      </c>
      <c r="D5" s="4" t="n">
        <f aca="false">Assumptions!D27</f>
        <v>-6</v>
      </c>
      <c r="E5" s="4" t="n">
        <f aca="false">Assumptions!E27</f>
        <v>-2</v>
      </c>
      <c r="F5" s="4" t="n">
        <f aca="false">Assumptions!F27</f>
        <v>0</v>
      </c>
      <c r="G5" s="4" t="n">
        <f aca="false">Assumptions!G27</f>
        <v>1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6452.03</v>
      </c>
      <c r="C6" s="0" t="n">
        <f aca="false">B6*(1+C5/100)</f>
        <v>4774.5022</v>
      </c>
      <c r="D6" s="0" t="n">
        <f aca="false">C6*(1+D5/100)</f>
        <v>4488.032068</v>
      </c>
      <c r="E6" s="0" t="n">
        <f aca="false">D6*(1+E5/100)</f>
        <v>4398.27142664</v>
      </c>
      <c r="F6" s="0" t="n">
        <f aca="false">E6*(1+F5/100)</f>
        <v>4398.27142664</v>
      </c>
      <c r="G6" s="0" t="n">
        <f aca="false">F6*(1+G5/100)</f>
        <v>4442.2541409064</v>
      </c>
      <c r="H6" s="0" t="n">
        <f aca="false">G6*(1+H5/100)</f>
        <v>4508.88795302</v>
      </c>
      <c r="I6" s="0" t="n">
        <f aca="false">H6*(1+I5/100)</f>
        <v>4576.5212723153</v>
      </c>
      <c r="J6" s="0" t="n">
        <f aca="false">I6*(1+J5/100)</f>
        <v>4645.16909140003</v>
      </c>
      <c r="K6" s="0" t="n">
        <f aca="false">J6*(1+K5/100)</f>
        <v>4714.84662777103</v>
      </c>
      <c r="L6" s="0" t="n">
        <f aca="false">K6*(1+L5/100)</f>
        <v>4785.56932718759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13</v>
      </c>
      <c r="D7" s="4" t="n">
        <f aca="false">Assumptions!D28</f>
        <v>15</v>
      </c>
      <c r="E7" s="4" t="n">
        <f aca="false">Assumptions!E28</f>
        <v>16.5</v>
      </c>
      <c r="F7" s="4" t="n">
        <f aca="false">Assumptions!F28</f>
        <v>17.5</v>
      </c>
      <c r="G7" s="4" t="n">
        <f aca="false">Assumptions!G28</f>
        <v>18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620.685286</v>
      </c>
      <c r="D8" s="0" t="n">
        <f aca="false">D6*D7/100</f>
        <v>673.2048102</v>
      </c>
      <c r="E8" s="0" t="n">
        <f aca="false">E6*E7/100</f>
        <v>725.7147853956</v>
      </c>
      <c r="F8" s="0" t="n">
        <f aca="false">F6*F7/100</f>
        <v>769.697499662</v>
      </c>
      <c r="G8" s="0" t="n">
        <f aca="false">G6*G7/100</f>
        <v>799.605745363152</v>
      </c>
      <c r="H8" s="0" t="n">
        <f aca="false">H6*H7/100</f>
        <v>811.599831543599</v>
      </c>
      <c r="I8" s="0" t="n">
        <f aca="false">I6*I7/100</f>
        <v>823.773829016753</v>
      </c>
      <c r="J8" s="0" t="n">
        <f aca="false">J6*J7/100</f>
        <v>836.130436452004</v>
      </c>
      <c r="K8" s="0" t="n">
        <f aca="false">K6*K7/100</f>
        <v>848.672392998785</v>
      </c>
      <c r="L8" s="0" t="n">
        <f aca="false">L6*L7/100</f>
        <v>861.402478893766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2.9</v>
      </c>
      <c r="F9" s="4" t="n">
        <f aca="false">Assumptions!F29</f>
        <v>2.8</v>
      </c>
      <c r="G9" s="4" t="n">
        <f aca="false">Assumptions!G29</f>
        <v>2.7</v>
      </c>
      <c r="H9" s="4" t="n">
        <f aca="false">Assumptions!H29</f>
        <v>2.6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-143.235066</v>
      </c>
      <c r="D10" s="0" t="n">
        <f aca="false">-D6*D9/100</f>
        <v>-134.64096204</v>
      </c>
      <c r="E10" s="0" t="n">
        <f aca="false">-E6*E9/100</f>
        <v>-127.54987137256</v>
      </c>
      <c r="F10" s="0" t="n">
        <f aca="false">-F6*F9/100</f>
        <v>-123.15159994592</v>
      </c>
      <c r="G10" s="0" t="n">
        <f aca="false">-G6*G9/100</f>
        <v>-119.940861804473</v>
      </c>
      <c r="H10" s="0" t="n">
        <f aca="false">-H6*H9/100</f>
        <v>-117.23108677852</v>
      </c>
      <c r="I10" s="0" t="n">
        <f aca="false">-I6*I9/100</f>
        <v>-114.413031807882</v>
      </c>
      <c r="J10" s="0" t="n">
        <f aca="false">-J6*J9/100</f>
        <v>-116.129227285001</v>
      </c>
      <c r="K10" s="0" t="n">
        <f aca="false">-K6*K9/100</f>
        <v>-117.871165694276</v>
      </c>
      <c r="L10" s="0" t="n">
        <f aca="false">-L6*L9/100</f>
        <v>-119.63923317969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477.45022</v>
      </c>
      <c r="D11" s="0" t="n">
        <f aca="false">D8+D10+D24</f>
        <v>538.56384816</v>
      </c>
      <c r="E11" s="0" t="n">
        <f aca="false">E8+E10+E24</f>
        <v>598.16491402304</v>
      </c>
      <c r="F11" s="0" t="n">
        <f aca="false">F8+F10+F24</f>
        <v>646.54589971608</v>
      </c>
      <c r="G11" s="0" t="n">
        <f aca="false">G8+G10+G24</f>
        <v>679.664883558679</v>
      </c>
      <c r="H11" s="0" t="n">
        <f aca="false">H8+H10+H24</f>
        <v>694.368744765079</v>
      </c>
      <c r="I11" s="0" t="n">
        <f aca="false">I8+I10+I24</f>
        <v>709.360797208871</v>
      </c>
      <c r="J11" s="0" t="n">
        <f aca="false">J8+J10+J24</f>
        <v>720.001209167004</v>
      </c>
      <c r="K11" s="0" t="n">
        <f aca="false">K8+K10+K24</f>
        <v>730.801227304509</v>
      </c>
      <c r="L11" s="0" t="n">
        <f aca="false">L8+L10+L24</f>
        <v>741.763245714076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-119.362555</v>
      </c>
      <c r="D12" s="4" t="n">
        <f aca="false">-D6*Assumptions!D31/100</f>
        <v>-116.688833768</v>
      </c>
      <c r="E12" s="4" t="n">
        <f aca="false">-E6*Assumptions!E31/100</f>
        <v>-114.35505709264</v>
      </c>
      <c r="F12" s="4" t="n">
        <f aca="false">-F6*Assumptions!F31/100</f>
        <v>-114.35505709264</v>
      </c>
      <c r="G12" s="4" t="n">
        <f aca="false">-G6*Assumptions!G31/100</f>
        <v>-111.05635352266</v>
      </c>
      <c r="H12" s="4" t="n">
        <f aca="false">-H6*Assumptions!H31/100</f>
        <v>-112.7221988255</v>
      </c>
      <c r="I12" s="4" t="n">
        <f aca="false">-I6*Assumptions!I31/100</f>
        <v>-114.413031807882</v>
      </c>
      <c r="J12" s="4" t="n">
        <f aca="false">-J6*Assumptions!J31/100</f>
        <v>-116.129227285001</v>
      </c>
      <c r="K12" s="4" t="n">
        <f aca="false">-K6*Assumptions!K31/100</f>
        <v>-117.871165694276</v>
      </c>
      <c r="L12" s="4" t="n">
        <f aca="false">-L6*Assumptions!L31/100</f>
        <v>-119.63923317969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358.087665</v>
      </c>
      <c r="D13" s="0" t="n">
        <f aca="false">D11+D12</f>
        <v>421.875014392</v>
      </c>
      <c r="E13" s="0" t="n">
        <f aca="false">E11+E12</f>
        <v>483.8098569304</v>
      </c>
      <c r="F13" s="0" t="n">
        <f aca="false">F11+F12</f>
        <v>532.19084262344</v>
      </c>
      <c r="G13" s="0" t="n">
        <f aca="false">G11+G12</f>
        <v>568.608530036019</v>
      </c>
      <c r="H13" s="0" t="n">
        <f aca="false">H11+H12</f>
        <v>581.64654593958</v>
      </c>
      <c r="I13" s="0" t="n">
        <f aca="false">I11+I12</f>
        <v>594.947765400988</v>
      </c>
      <c r="J13" s="0" t="n">
        <f aca="false">J11+J12</f>
        <v>603.871981882003</v>
      </c>
      <c r="K13" s="0" t="n">
        <f aca="false">K11+K12</f>
        <v>612.930061610233</v>
      </c>
      <c r="L13" s="0" t="n">
        <f aca="false">L11+L12</f>
        <v>622.124012534387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293.6318853</v>
      </c>
      <c r="D15" s="0" t="n">
        <f aca="false">D13-MAX(0,D13)*D14/100</f>
        <v>341.71876165752</v>
      </c>
      <c r="E15" s="0" t="n">
        <f aca="false">E13-MAX(0,E13)*E14/100</f>
        <v>387.04788554432</v>
      </c>
      <c r="F15" s="0" t="n">
        <f aca="false">F13-MAX(0,F13)*F14/100</f>
        <v>425.752674098752</v>
      </c>
      <c r="G15" s="0" t="n">
        <f aca="false">G13-MAX(0,G13)*G14/100</f>
        <v>454.886824028815</v>
      </c>
      <c r="H15" s="0" t="n">
        <f aca="false">H13-MAX(0,H13)*H14/100</f>
        <v>465.317236751664</v>
      </c>
      <c r="I15" s="0" t="n">
        <f aca="false">I13-MAX(0,I13)*I14/100</f>
        <v>475.958212320791</v>
      </c>
      <c r="J15" s="0" t="n">
        <f aca="false">J13-MAX(0,J13)*J14/100</f>
        <v>483.097585505602</v>
      </c>
      <c r="K15" s="0" t="n">
        <f aca="false">K13-MAX(0,K13)*K14/100</f>
        <v>490.344049288187</v>
      </c>
      <c r="L15" s="0" t="n">
        <f aca="false">L13-MAX(0,L13)*L14/100</f>
        <v>497.699210027509</v>
      </c>
    </row>
    <row r="16" customFormat="false" ht="15" hidden="false" customHeight="false" outlineLevel="0" collapsed="false">
      <c r="A16" s="0" t="s">
        <v>125</v>
      </c>
      <c r="C16" s="0" t="n">
        <f aca="false">-C12</f>
        <v>119.362555</v>
      </c>
      <c r="D16" s="0" t="n">
        <f aca="false">-D12</f>
        <v>116.688833768</v>
      </c>
      <c r="E16" s="0" t="n">
        <f aca="false">-E12</f>
        <v>114.35505709264</v>
      </c>
      <c r="F16" s="0" t="n">
        <f aca="false">-F12</f>
        <v>114.35505709264</v>
      </c>
      <c r="G16" s="0" t="n">
        <f aca="false">-G12</f>
        <v>111.05635352266</v>
      </c>
      <c r="H16" s="0" t="n">
        <f aca="false">-H12</f>
        <v>112.7221988255</v>
      </c>
      <c r="I16" s="0" t="n">
        <f aca="false">-I12</f>
        <v>114.413031807882</v>
      </c>
      <c r="J16" s="0" t="n">
        <f aca="false">-J12</f>
        <v>116.129227285001</v>
      </c>
      <c r="K16" s="0" t="n">
        <f aca="false">-K12</f>
        <v>117.871165694276</v>
      </c>
      <c r="L16" s="0" t="n">
        <f aca="false">-L12</f>
        <v>119.63923317969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-105.0390484</v>
      </c>
      <c r="D17" s="4" t="n">
        <f aca="false">-D6*Assumptions!D32/100</f>
        <v>-98.736705496</v>
      </c>
      <c r="E17" s="4" t="n">
        <f aca="false">-E6*Assumptions!E32/100</f>
        <v>-92.36369995944</v>
      </c>
      <c r="F17" s="4" t="n">
        <f aca="false">-F6*Assumptions!F32/100</f>
        <v>-87.9654285328</v>
      </c>
      <c r="G17" s="4" t="n">
        <f aca="false">-G6*Assumptions!G32/100</f>
        <v>-88.845082818128</v>
      </c>
      <c r="H17" s="4" t="n">
        <f aca="false">-H6*Assumptions!H32/100</f>
        <v>-90.1777590603999</v>
      </c>
      <c r="I17" s="4" t="n">
        <f aca="false">-I6*Assumptions!I32/100</f>
        <v>-91.5304254463059</v>
      </c>
      <c r="J17" s="4" t="n">
        <f aca="false">-J6*Assumptions!J32/100</f>
        <v>-92.9033818280005</v>
      </c>
      <c r="K17" s="4" t="n">
        <f aca="false">-K6*Assumptions!K32/100</f>
        <v>-94.2969325554205</v>
      </c>
      <c r="L17" s="4" t="n">
        <f aca="false">-L6*Assumptions!L32/100</f>
        <v>-95.7113865437518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-167.75278</v>
      </c>
      <c r="D18" s="4" t="n">
        <f aca="false">(D6-C6)*Assumptions!$B$37/100</f>
        <v>-28.6470132</v>
      </c>
      <c r="E18" s="4" t="n">
        <f aca="false">(E6-D6)*Assumptions!$B$37/100</f>
        <v>-8.97606413599997</v>
      </c>
      <c r="F18" s="4" t="n">
        <f aca="false">(F6-E6)*Assumptions!$B$37/100</f>
        <v>0</v>
      </c>
      <c r="G18" s="4" t="n">
        <f aca="false">(G6-F6)*Assumptions!$B$37/100</f>
        <v>4.39827142663999</v>
      </c>
      <c r="H18" s="4" t="n">
        <f aca="false">(H6-G6)*Assumptions!$B$37/100</f>
        <v>6.66338121135959</v>
      </c>
      <c r="I18" s="4" t="n">
        <f aca="false">(I6-H6)*Assumptions!$B$37/100</f>
        <v>6.76333192952998</v>
      </c>
      <c r="J18" s="4" t="n">
        <f aca="false">(J6-I6)*Assumptions!$B$37/100</f>
        <v>6.86478190847292</v>
      </c>
      <c r="K18" s="4" t="n">
        <f aca="false">(K6-J6)*Assumptions!$B$37/100</f>
        <v>6.96775363710003</v>
      </c>
      <c r="L18" s="4" t="n">
        <f aca="false">(L6-K6)*Assumptions!$B$37/100</f>
        <v>7.07226994165649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140.2026119</v>
      </c>
      <c r="D19" s="0" t="n">
        <f aca="false">D15+D16+D17+D18</f>
        <v>331.02387672952</v>
      </c>
      <c r="E19" s="0" t="n">
        <f aca="false">E15+E16+E17+E18</f>
        <v>400.06317854152</v>
      </c>
      <c r="F19" s="0" t="n">
        <f aca="false">F15+F16+F17+F18</f>
        <v>452.142302658592</v>
      </c>
      <c r="G19" s="0" t="n">
        <f aca="false">G15+G16+G17+G18</f>
        <v>481.496366159987</v>
      </c>
      <c r="H19" s="0" t="n">
        <f aca="false">H15+H16+H17+H18</f>
        <v>494.525057728123</v>
      </c>
      <c r="I19" s="0" t="n">
        <f aca="false">I15+I16+I17+I18</f>
        <v>505.604150611897</v>
      </c>
      <c r="J19" s="0" t="n">
        <f aca="false">J15+J16+J17+J18</f>
        <v>513.188212871076</v>
      </c>
      <c r="K19" s="0" t="n">
        <f aca="false">K15+K16+K17+K18</f>
        <v>520.886036064142</v>
      </c>
      <c r="L19" s="0" t="n">
        <f aca="false">L15+L16+L17+L18</f>
        <v>528.699326605104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126.880191764706</v>
      </c>
      <c r="D21" s="0" t="n">
        <f aca="false">D19*D20</f>
        <v>271.10327530519</v>
      </c>
      <c r="E21" s="0" t="n">
        <f aca="false">E19*E20</f>
        <v>296.511640119523</v>
      </c>
      <c r="F21" s="0" t="n">
        <f aca="false">F19*F20</f>
        <v>303.267610685122</v>
      </c>
      <c r="G21" s="0" t="n">
        <f aca="false">G19*G20</f>
        <v>292.268239626591</v>
      </c>
      <c r="H21" s="0" t="n">
        <f aca="false">H19*H20</f>
        <v>271.653080479784</v>
      </c>
      <c r="I21" s="0" t="n">
        <f aca="false">I19*I20</f>
        <v>251.347566227992</v>
      </c>
      <c r="J21" s="0" t="n">
        <f aca="false">J19*J20</f>
        <v>230.875818752409</v>
      </c>
      <c r="K21" s="0" t="n">
        <f aca="false">K19*K20</f>
        <v>212.071453424158</v>
      </c>
      <c r="L21" s="0" t="n">
        <f aca="false">L19*L20</f>
        <v>194.798665362462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2450.77754174794</v>
      </c>
    </row>
    <row r="31" customFormat="false" ht="15" hidden="false" customHeight="false" outlineLevel="0" collapsed="false">
      <c r="A31" s="0" t="s">
        <v>134</v>
      </c>
      <c r="B31" s="0" t="n">
        <f aca="false">L19</f>
        <v>528.699326605104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5620.90863022268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5286.99326605104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5286.99326605104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1947.98665362462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4398.76419537256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21822.7641953726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31.4729756291933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0.530786752392672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755.424834338751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468.64998673199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33.2383467190774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3814.18799907968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29.3494697697248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-24</v>
      </c>
      <c r="D5" s="4" t="n">
        <f aca="false">Assumptions!D41</f>
        <v>2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6452.03</v>
      </c>
      <c r="C6" s="0" t="n">
        <f aca="false">B6*(1+C5/100)</f>
        <v>4903.5428</v>
      </c>
      <c r="D6" s="0" t="n">
        <f aca="false">C6*(1+D5/100)</f>
        <v>5001.613656</v>
      </c>
      <c r="E6" s="0" t="n">
        <f aca="false">D6*(1+E5/100)</f>
        <v>5201.67820224</v>
      </c>
      <c r="F6" s="0" t="n">
        <f aca="false">E6*(1+F5/100)</f>
        <v>5461.762112352</v>
      </c>
      <c r="G6" s="0" t="n">
        <f aca="false">F6*(1+G5/100)</f>
        <v>5734.8502179696</v>
      </c>
      <c r="H6" s="0" t="n">
        <f aca="false">G6*(1+H5/100)</f>
        <v>5964.24422668838</v>
      </c>
      <c r="I6" s="0" t="n">
        <f aca="false">H6*(1+I5/100)</f>
        <v>6143.17155348904</v>
      </c>
      <c r="J6" s="0" t="n">
        <f aca="false">I6*(1+J5/100)</f>
        <v>6327.46670009371</v>
      </c>
      <c r="K6" s="0" t="n">
        <f aca="false">J6*(1+K5/100)</f>
        <v>6485.65336759605</v>
      </c>
      <c r="L6" s="0" t="n">
        <f aca="false">K6*(1+L5/100)</f>
        <v>6647.79470178595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14</v>
      </c>
      <c r="D7" s="4" t="n">
        <f aca="false">Assumptions!D42</f>
        <v>18</v>
      </c>
      <c r="E7" s="4" t="n">
        <f aca="false">Assumptions!E42</f>
        <v>21</v>
      </c>
      <c r="F7" s="4" t="n">
        <f aca="false">Assumptions!F42</f>
        <v>23</v>
      </c>
      <c r="G7" s="4" t="n">
        <f aca="false">Assumptions!G42</f>
        <v>24</v>
      </c>
      <c r="H7" s="4" t="n">
        <f aca="false">Assumptions!H42</f>
        <v>24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686.495992</v>
      </c>
      <c r="D8" s="0" t="n">
        <f aca="false">D6*D7/100</f>
        <v>900.29045808</v>
      </c>
      <c r="E8" s="0" t="n">
        <f aca="false">E6*E7/100</f>
        <v>1092.3524224704</v>
      </c>
      <c r="F8" s="0" t="n">
        <f aca="false">F6*F7/100</f>
        <v>1256.20528584096</v>
      </c>
      <c r="G8" s="0" t="n">
        <f aca="false">G6*G7/100</f>
        <v>1376.3640523127</v>
      </c>
      <c r="H8" s="0" t="n">
        <f aca="false">H6*H7/100</f>
        <v>1431.41861440521</v>
      </c>
      <c r="I8" s="0" t="n">
        <f aca="false">I6*I7/100</f>
        <v>1474.36117283737</v>
      </c>
      <c r="J8" s="0" t="n">
        <f aca="false">J6*J7/100</f>
        <v>1518.59200802249</v>
      </c>
      <c r="K8" s="0" t="n">
        <f aca="false">K6*K7/100</f>
        <v>1556.55680822305</v>
      </c>
      <c r="L8" s="0" t="n">
        <f aca="false">L6*L7/100</f>
        <v>1595.47072842863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3</v>
      </c>
      <c r="D9" s="4" t="n">
        <f aca="false">Assumptions!D43</f>
        <v>3</v>
      </c>
      <c r="E9" s="4" t="n">
        <f aca="false">Assumptions!E43</f>
        <v>2.9</v>
      </c>
      <c r="F9" s="4" t="n">
        <f aca="false">Assumptions!F43</f>
        <v>2.8</v>
      </c>
      <c r="G9" s="4" t="n">
        <f aca="false">Assumptions!G43</f>
        <v>2.7</v>
      </c>
      <c r="H9" s="4" t="n">
        <f aca="false">Assumptions!H43</f>
        <v>2.6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-147.106284</v>
      </c>
      <c r="D10" s="0" t="n">
        <f aca="false">-D6*D9/100</f>
        <v>-150.04840968</v>
      </c>
      <c r="E10" s="0" t="n">
        <f aca="false">-E6*E9/100</f>
        <v>-150.84866786496</v>
      </c>
      <c r="F10" s="0" t="n">
        <f aca="false">-F6*F9/100</f>
        <v>-152.929339145856</v>
      </c>
      <c r="G10" s="0" t="n">
        <f aca="false">-G6*G9/100</f>
        <v>-154.840955885179</v>
      </c>
      <c r="H10" s="0" t="n">
        <f aca="false">-H6*H9/100</f>
        <v>-155.070349893898</v>
      </c>
      <c r="I10" s="0" t="n">
        <f aca="false">-I6*I9/100</f>
        <v>-153.579288837226</v>
      </c>
      <c r="J10" s="0" t="n">
        <f aca="false">-J6*J9/100</f>
        <v>-158.186667502343</v>
      </c>
      <c r="K10" s="0" t="n">
        <f aca="false">-K6*K9/100</f>
        <v>-162.141334189901</v>
      </c>
      <c r="L10" s="0" t="n">
        <f aca="false">-L6*L9/100</f>
        <v>-166.194867544649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539.389708</v>
      </c>
      <c r="D11" s="0" t="n">
        <f aca="false">D8+D10+D24</f>
        <v>750.2420484</v>
      </c>
      <c r="E11" s="0" t="n">
        <f aca="false">E8+E10+E24</f>
        <v>941.50375460544</v>
      </c>
      <c r="F11" s="0" t="n">
        <f aca="false">F8+F10+F24</f>
        <v>1103.2759466951</v>
      </c>
      <c r="G11" s="0" t="n">
        <f aca="false">G8+G10+G24</f>
        <v>1221.52309642753</v>
      </c>
      <c r="H11" s="0" t="n">
        <f aca="false">H8+H10+H24</f>
        <v>1276.34826451131</v>
      </c>
      <c r="I11" s="0" t="n">
        <f aca="false">I8+I10+I24</f>
        <v>1320.78188400014</v>
      </c>
      <c r="J11" s="0" t="n">
        <f aca="false">J8+J10+J24</f>
        <v>1360.40534052015</v>
      </c>
      <c r="K11" s="0" t="n">
        <f aca="false">K8+K10+K24</f>
        <v>1394.41547403315</v>
      </c>
      <c r="L11" s="0" t="n">
        <f aca="false">L8+L10+L24</f>
        <v>1429.27586088398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-122.58857</v>
      </c>
      <c r="D12" s="4" t="n">
        <f aca="false">-D6*Assumptions!D45/100</f>
        <v>-125.0403414</v>
      </c>
      <c r="E12" s="4" t="n">
        <f aca="false">-E6*Assumptions!E45/100</f>
        <v>-130.041955056</v>
      </c>
      <c r="F12" s="4" t="n">
        <f aca="false">-F6*Assumptions!F45/100</f>
        <v>-136.5440528088</v>
      </c>
      <c r="G12" s="4" t="n">
        <f aca="false">-G6*Assumptions!G45/100</f>
        <v>-143.37125544924</v>
      </c>
      <c r="H12" s="4" t="n">
        <f aca="false">-H6*Assumptions!H45/100</f>
        <v>-149.10610566721</v>
      </c>
      <c r="I12" s="4" t="n">
        <f aca="false">-I6*Assumptions!I45/100</f>
        <v>-153.579288837226</v>
      </c>
      <c r="J12" s="4" t="n">
        <f aca="false">-J6*Assumptions!J45/100</f>
        <v>-158.186667502343</v>
      </c>
      <c r="K12" s="4" t="n">
        <f aca="false">-K6*Assumptions!K45/100</f>
        <v>-162.141334189901</v>
      </c>
      <c r="L12" s="4" t="n">
        <f aca="false">-L6*Assumptions!L45/100</f>
        <v>-166.194867544649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416.801138</v>
      </c>
      <c r="D13" s="0" t="n">
        <f aca="false">D11+D12</f>
        <v>625.201707</v>
      </c>
      <c r="E13" s="0" t="n">
        <f aca="false">E11+E12</f>
        <v>811.46179954944</v>
      </c>
      <c r="F13" s="0" t="n">
        <f aca="false">F11+F12</f>
        <v>966.731893886304</v>
      </c>
      <c r="G13" s="0" t="n">
        <f aca="false">G11+G12</f>
        <v>1078.15184097829</v>
      </c>
      <c r="H13" s="0" t="n">
        <f aca="false">H11+H12</f>
        <v>1127.2421588441</v>
      </c>
      <c r="I13" s="0" t="n">
        <f aca="false">I11+I12</f>
        <v>1167.20259516292</v>
      </c>
      <c r="J13" s="0" t="n">
        <f aca="false">J11+J12</f>
        <v>1202.2186730178</v>
      </c>
      <c r="K13" s="0" t="n">
        <f aca="false">K11+K12</f>
        <v>1232.27413984325</v>
      </c>
      <c r="L13" s="0" t="n">
        <f aca="false">L11+L12</f>
        <v>1263.08099333933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341.77693316</v>
      </c>
      <c r="D15" s="0" t="n">
        <f aca="false">D13-MAX(0,D13)*D14/100</f>
        <v>506.41338267</v>
      </c>
      <c r="E15" s="0" t="n">
        <f aca="false">E13-MAX(0,E13)*E14/100</f>
        <v>649.169439639552</v>
      </c>
      <c r="F15" s="0" t="n">
        <f aca="false">F13-MAX(0,F13)*F14/100</f>
        <v>773.385515109043</v>
      </c>
      <c r="G15" s="0" t="n">
        <f aca="false">G13-MAX(0,G13)*G14/100</f>
        <v>862.521472782628</v>
      </c>
      <c r="H15" s="0" t="n">
        <f aca="false">H13-MAX(0,H13)*H14/100</f>
        <v>901.793727075284</v>
      </c>
      <c r="I15" s="0" t="n">
        <f aca="false">I13-MAX(0,I13)*I14/100</f>
        <v>933.762076130334</v>
      </c>
      <c r="J15" s="0" t="n">
        <f aca="false">J13-MAX(0,J13)*J14/100</f>
        <v>961.774938414244</v>
      </c>
      <c r="K15" s="0" t="n">
        <f aca="false">K13-MAX(0,K13)*K14/100</f>
        <v>985.8193118746</v>
      </c>
      <c r="L15" s="0" t="n">
        <f aca="false">L13-MAX(0,L13)*L14/100</f>
        <v>1010.46479467146</v>
      </c>
    </row>
    <row r="16" customFormat="false" ht="15" hidden="false" customHeight="false" outlineLevel="0" collapsed="false">
      <c r="A16" s="0" t="s">
        <v>125</v>
      </c>
      <c r="C16" s="0" t="n">
        <f aca="false">-C12</f>
        <v>122.58857</v>
      </c>
      <c r="D16" s="0" t="n">
        <f aca="false">-D12</f>
        <v>125.0403414</v>
      </c>
      <c r="E16" s="0" t="n">
        <f aca="false">-E12</f>
        <v>130.041955056</v>
      </c>
      <c r="F16" s="0" t="n">
        <f aca="false">-F12</f>
        <v>136.5440528088</v>
      </c>
      <c r="G16" s="0" t="n">
        <f aca="false">-G12</f>
        <v>143.37125544924</v>
      </c>
      <c r="H16" s="0" t="n">
        <f aca="false">-H12</f>
        <v>149.10610566721</v>
      </c>
      <c r="I16" s="0" t="n">
        <f aca="false">-I12</f>
        <v>153.579288837226</v>
      </c>
      <c r="J16" s="0" t="n">
        <f aca="false">-J12</f>
        <v>158.186667502343</v>
      </c>
      <c r="K16" s="0" t="n">
        <f aca="false">-K12</f>
        <v>162.141334189901</v>
      </c>
      <c r="L16" s="0" t="n">
        <f aca="false">-L12</f>
        <v>166.194867544649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-107.8779416</v>
      </c>
      <c r="D17" s="4" t="n">
        <f aca="false">-D6*Assumptions!D46/100</f>
        <v>-105.033886776</v>
      </c>
      <c r="E17" s="4" t="n">
        <f aca="false">-E6*Assumptions!E46/100</f>
        <v>-104.0335640448</v>
      </c>
      <c r="F17" s="4" t="n">
        <f aca="false">-F6*Assumptions!F46/100</f>
        <v>-109.23524224704</v>
      </c>
      <c r="G17" s="4" t="n">
        <f aca="false">-G6*Assumptions!G46/100</f>
        <v>-114.697004359392</v>
      </c>
      <c r="H17" s="4" t="n">
        <f aca="false">-H6*Assumptions!H46/100</f>
        <v>-119.284884533768</v>
      </c>
      <c r="I17" s="4" t="n">
        <f aca="false">-I6*Assumptions!I46/100</f>
        <v>-122.863431069781</v>
      </c>
      <c r="J17" s="4" t="n">
        <f aca="false">-J6*Assumptions!J46/100</f>
        <v>-126.549334001874</v>
      </c>
      <c r="K17" s="4" t="n">
        <f aca="false">-K6*Assumptions!K46/100</f>
        <v>-129.713067351921</v>
      </c>
      <c r="L17" s="4" t="n">
        <f aca="false">-L6*Assumptions!L46/100</f>
        <v>-132.955894035719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-154.84872</v>
      </c>
      <c r="D18" s="4" t="n">
        <f aca="false">(D6-C6)*Assumptions!$B$51/100</f>
        <v>9.80708560000003</v>
      </c>
      <c r="E18" s="4" t="n">
        <f aca="false">(E6-D6)*Assumptions!$B$51/100</f>
        <v>20.006454624</v>
      </c>
      <c r="F18" s="4" t="n">
        <f aca="false">(F6-E6)*Assumptions!$B$51/100</f>
        <v>26.0083910112</v>
      </c>
      <c r="G18" s="4" t="n">
        <f aca="false">(G6-F6)*Assumptions!$B$51/100</f>
        <v>27.30881056176</v>
      </c>
      <c r="H18" s="4" t="n">
        <f aca="false">(H6-G6)*Assumptions!$B$51/100</f>
        <v>22.9394008718784</v>
      </c>
      <c r="I18" s="4" t="n">
        <f aca="false">(I6-H6)*Assumptions!$B$51/100</f>
        <v>17.8927326800652</v>
      </c>
      <c r="J18" s="4" t="n">
        <f aca="false">(J6-I6)*Assumptions!$B$51/100</f>
        <v>18.4295146604672</v>
      </c>
      <c r="K18" s="4" t="n">
        <f aca="false">(K6-J6)*Assumptions!$B$51/100</f>
        <v>15.8186667502342</v>
      </c>
      <c r="L18" s="4" t="n">
        <f aca="false">(L6-K6)*Assumptions!$B$51/100</f>
        <v>16.2141334189901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201.63884156</v>
      </c>
      <c r="D19" s="0" t="n">
        <f aca="false">D15+D16+D17+D18</f>
        <v>536.226922894</v>
      </c>
      <c r="E19" s="0" t="n">
        <f aca="false">E15+E16+E17+E18</f>
        <v>695.184285274752</v>
      </c>
      <c r="F19" s="0" t="n">
        <f aca="false">F15+F16+F17+F18</f>
        <v>826.702716682003</v>
      </c>
      <c r="G19" s="0" t="n">
        <f aca="false">G15+G16+G17+G18</f>
        <v>918.504534434236</v>
      </c>
      <c r="H19" s="0" t="n">
        <f aca="false">H15+H16+H17+H18</f>
        <v>954.554349080604</v>
      </c>
      <c r="I19" s="0" t="n">
        <f aca="false">I15+I16+I17+I18</f>
        <v>982.370666577844</v>
      </c>
      <c r="J19" s="0" t="n">
        <f aca="false">J15+J16+J17+J18</f>
        <v>1011.84178657518</v>
      </c>
      <c r="K19" s="0" t="n">
        <f aca="false">K15+K16+K17+K18</f>
        <v>1034.06624546281</v>
      </c>
      <c r="L19" s="0" t="n">
        <f aca="false">L15+L16+L17+L18</f>
        <v>1059.91790159938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182.478589647059</v>
      </c>
      <c r="D21" s="0" t="n">
        <f aca="false">D19*D20</f>
        <v>439.161297183923</v>
      </c>
      <c r="E21" s="0" t="n">
        <f aca="false">E19*E20</f>
        <v>515.244200587539</v>
      </c>
      <c r="F21" s="0" t="n">
        <f aca="false">F19*F20</f>
        <v>554.498343023569</v>
      </c>
      <c r="G21" s="0" t="n">
        <f aca="false">G19*G20</f>
        <v>557.53214818435</v>
      </c>
      <c r="H21" s="0" t="n">
        <f aca="false">H19*H20</f>
        <v>524.356906411165</v>
      </c>
      <c r="I21" s="0" t="n">
        <f aca="false">I19*I20</f>
        <v>488.359274502169</v>
      </c>
      <c r="J21" s="0" t="n">
        <f aca="false">J19*J20</f>
        <v>455.212717409261</v>
      </c>
      <c r="K21" s="0" t="n">
        <f aca="false">K19*K20</f>
        <v>421.005587458593</v>
      </c>
      <c r="L21" s="0" t="n">
        <f aca="false">L19*L20</f>
        <v>390.525544927654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4528.37460933528</v>
      </c>
    </row>
    <row r="31" customFormat="false" ht="15" hidden="false" customHeight="false" outlineLevel="0" collapsed="false">
      <c r="A31" s="0" t="s">
        <v>134</v>
      </c>
      <c r="B31" s="0" t="n">
        <f aca="false">L19</f>
        <v>1059.91790159938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12719.0148191926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12719.0148191926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12719.0148191926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4686.30653913184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9214.68114846712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26638.6811484671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38.418531908865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0.868605637590711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924.32689423598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734.811718312703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40.8113556891481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8316.27892024132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33.3374969676839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26.8170625422895</v>
      </c>
      <c r="C4" s="0" t="n">
        <f aca="false">B4/Assumptions!$B$2-1</f>
        <v>0.304331835714471</v>
      </c>
      <c r="D4" s="4" t="n">
        <f aca="false">Assumptions!$B$24</f>
        <v>0.3</v>
      </c>
      <c r="E4" s="4" t="n">
        <f aca="false">DCF_Bear!$B$43</f>
        <v>28.2597262378867</v>
      </c>
      <c r="F4" s="4" t="n">
        <f aca="false">DCF_Bear!$B$47</f>
        <v>26.3170196127191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31.4729756291933</v>
      </c>
      <c r="C5" s="0" t="n">
        <f aca="false">B5/Assumptions!$B$2-1</f>
        <v>0.530786752392672</v>
      </c>
      <c r="D5" s="4" t="n">
        <f aca="false">Assumptions!$B$38</f>
        <v>0.5</v>
      </c>
      <c r="E5" s="4" t="n">
        <f aca="false">DCF_Base!$B$43</f>
        <v>33.2383467190774</v>
      </c>
      <c r="F5" s="4" t="n">
        <f aca="false">DCF_Base!$B$47</f>
        <v>29.3494697697248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38.418531908865</v>
      </c>
      <c r="C6" s="0" t="n">
        <f aca="false">B6/Assumptions!$B$2-1</f>
        <v>0.868605637590711</v>
      </c>
      <c r="D6" s="4" t="n">
        <f aca="false">Assumptions!$B$52</f>
        <v>0.2</v>
      </c>
      <c r="E6" s="4" t="n">
        <f aca="false">DCF_Bull!$B$43</f>
        <v>40.8113556891481</v>
      </c>
      <c r="F6" s="4" t="n">
        <f aca="false">DCF_Bull!$B$47</f>
        <v>33.3374969676839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31.4653129590565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33.2593623687344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0.346582059210623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-607.860235076515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29.2373401622149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32.1596032890502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31.6918241997134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31.4729756291933</v>
      </c>
      <c r="C17" s="3" t="n">
        <v>10.5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31.263494959793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30.6699532653598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29.3494697697248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32.409595675741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32.409595675741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32.409595675741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32.409595675741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32.409595675741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31.9205281393408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31.9205281393408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31.9205281393408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31.9205281393408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31.9205281393408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31.3391945398976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31.4729756291933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31.4729756291933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31.4729756291933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31.4729756291933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30.7280473097306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30.8411941616582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30.9651169042455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31.0629214006373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31.0629214006373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30.2171618331026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30.3052145672743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30.4009240609391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30.5053344176644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30.6196886178873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2026-10-02T22:16:29Z</dcterms:created>
  <dc:creator>openpyxl</dc:creator>
  <dc:description/>
  <dc:language>en-NZ</dc:language>
  <cp:lastModifiedBy/>
  <dcterms:modified xsi:type="dcterms:W3CDTF">2026-10-02T22:16:29Z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