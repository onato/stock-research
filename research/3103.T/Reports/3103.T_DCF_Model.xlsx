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<sst xmlns="http://schemas.openxmlformats.org/spreadsheetml/2006/main" count="372" uniqueCount="173">
  <si>
    <t xml:space="preserve">Ticker</t>
  </si>
  <si>
    <t xml:space="preserve">3103.T</t>
  </si>
  <si>
    <t xml:space="preserve">Company</t>
  </si>
  <si>
    <r>
      <rPr>
        <sz val="11"/>
        <color theme="1"/>
        <rFont val="Calibri"/>
        <family val="2"/>
        <charset val="1"/>
      </rPr>
      <t xml:space="preserve">Unitika Ltd. (</t>
    </r>
    <r>
      <rPr>
        <sz val="11"/>
        <color theme="1"/>
        <rFont val="Arial Unicode MS"/>
        <family val="2"/>
      </rPr>
      <t xml:space="preserve">ユニチカ株式会社</t>
    </r>
    <r>
      <rPr>
        <sz val="11"/>
        <color theme="1"/>
        <rFont val="Calibri"/>
        <family val="2"/>
        <charset val="1"/>
      </rPr>
      <t xml:space="preserve">)</t>
    </r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</si>
  <si>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</si>
  <si>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</si>
  <si>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</si>
  <si>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</si>
  <si>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2026-10-26T06:30:00Z (TSE regular close, 15:30 JST)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</si>
  <si>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</si>
  <si>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</si>
  <si>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</si>
  <si>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</si>
  <si>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</si>
  <si>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</si>
  <si>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</si>
  <si>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</si>
  <si>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</si>
  <si>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</si>
  <si>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</si>
  <si>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</si>
  <si>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2026-10-26T07:21:50Z</t>
  </si>
  <si>
    <t xml:space="preserve">Drivers file</t>
  </si>
  <si>
    <t xml:space="preserve">3103.T_Drivers.json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</si>
  <si>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</si>
  <si>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</si>
  <si>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</si>
  <si>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r>
      <rPr>
        <sz val="11"/>
        <color theme="1"/>
        <rFont val="Calibri"/>
        <family val="2"/>
        <charset val="1"/>
      </rPr>
      <t xml:space="preserve">summary: A normalised, post-restructuring owner-FCF DCF on the fully diluted share count. The two judgments that matter most are (1) treating the REVIC C-class preferred as 462m common shares -- it converts at ~JPY 43 and is therefore worth its converted value, not its JPY 20bn paid-in capital, so the common owns 11% of the equity -- and (2) refusing to capitalise FY2026's one-off-driven profit or Q1 FY2027's record margin, instead building FY2027 from guidance and segment margins and fading the AI glass-cloth premium. Both push value far below a quote that was set during a retail/short-covering rally and that appears to price the common as if it were the only equity claim.
key_risks_to_valuation: C-class terms: the issuance </t>
    </r>
    <r>
      <rPr>
        <sz val="11"/>
        <color theme="1"/>
        <rFont val="Arial Unicode MS"/>
        <family val="2"/>
      </rPr>
      <t xml:space="preserve">発行要領 </t>
    </r>
    <r>
      <rPr>
        <sz val="11"/>
        <color theme="1"/>
        <rFont val="Calibri"/>
        <family val="2"/>
        <charset val="1"/>
      </rPr>
      <t xml:space="preserve">is not in the extracted filings. If the preferred carried a company cash-redemption right at paid-in value that REVIC could not pre-empt by converting, the dilution would shrink from 462m shares to zero and per-share value would rise ~8x less a JPY 20bn deduction; the 4-for-1 dilutive count the company itself reports in two consecutive filings makes this unlikely but it is the single largest swing factor.; Normalisation call on margins: Q1 FY2027 OP margin was 17.3% against a 14.5% base EBITDA margin (OP ~11%); if the AI-substrate glass-cloth premium is structural rather than cyclical, the bull case is the base case.; Perimeter: revenue guidance of 84bn vs a 96bn Q1 run-rate leaves ~12bn of FY2027 revenue whose fate (exit vs retention) is unclear; the base splits the difference.; Cash taxes: the NOL position after the FY2026 gains is not disclosed in the tanshin; a fuller shield would add value in years 1-3, an 8.5bn deferred tax liability crystallising would subtract it.; Price anchor: 52-week range JPY 186-4,380 on a thematic retail narrative; upside/downside and entry-price gaps are against a quote with no fundamental anchor.; REVIC exit path: a block sale or conversion-and-placement of the C-class could reset the share register and the price regardless of operating results.; Pension and wind-down claims (JPY 7.1bn unfunded retirement obligation, 0.7bn provisions) are in the bridge at book; further stranded costs from residual fibre exits are not.</t>
    </r>
  </si>
  <si>
    <t xml:space="preserve">Data sources</t>
  </si>
  <si>
    <t xml:space="preserve">price: Yahoo Finance chart API (query1.finance.yahoo.com v8 chart, 3103.T) at inputs.price_as_of; 52-week range 186-4,380; TSE regular-session close.
financials: FY2026 kessan tanshin (3103.T_Annual_FY2025.txt; year ended 31 Mar 2026): P&amp;L, BS (lines 321-398), CF (600-662), EPS/diluted-share note (778-824), supplementary capex/D&amp;A/debt table (868-882), segment tables (711-763). Q1 FY2027 tanshin (3103.T_Quarterly_Q1-FY2026.txt; quarter ended 30 Jun 2026): guidance (51-57), BS (225-287). C-class terms: FY2025 tanshin subsequent-events note (3103.T_Annual_FY2024.txt 816-850) and FY2025 results presentation (3103.T_Presentation_FY2024.txt 344-360). History: 3103.T_Metrics.csv via make dcf-context.
qualitative: 3103.T_Analysis.json (2026-10-26): business model, REVIC restructuring timeline, FY2027 guidance commentary, bull/bear points.</t>
  </si>
  <si>
    <t xml:space="preserve">Scenario narrative: bear</t>
  </si>
  <si>
    <t xml:space="preserve">Revenue lands on the 84bn guide and then shrinks another 2% as stranded industrial-textile lines are exited; the glass-cloth cycle turns in FY2028 just as oil-linked feedstock and energy costs rise, and the EBITDA margin falls back to 10% -- the FY2021-22 level of the old Polymers-led business. Growth is 0-1%, the terminal multiple is capped at 10x, and the unfunded pension and wind-down provisions remain cash claims. Covenant or solvency failure is NOT assumed (equity ratio 38.6%, net debt ~1x EBITDA), which is why this is a bear case rather than the receivership waterfall.</t>
  </si>
  <si>
    <t xml:space="preserve">Scenario narrative: base</t>
  </si>
  <si>
    <t xml:space="preserve">The restructuring is complete and the continuing company -- Polymers (nylon/PET film, engineering plastics) plus Functional Materials (glass cloth, activated carbon fibre, glass beads) with a residual monofilament business -- settles at ~88bn of FY2027 revenue and a 14-14.5% EBITDA margin: well above the 11.7% FY2026 margin on the old perimeter because the loss-making fibre/nonwoven units are gone, but below the 17.3% Q1 FY2027 print because the AI-substrate glass-cloth premium normalises and feedstock costs are only partly passed through. Capex is rebuilt to 4.5-5% of revenue after two starved years, cash taxes ramp to the statutory 31% as the NOL shield runs off, and value accrues to a fully diluted 519.7m shares because REVIC's C-class preferred converts 4-for-1 at ~JPY 43.</t>
  </si>
  <si>
    <t xml:space="preserve">Scenario narrative: bull</t>
  </si>
  <si>
    <t xml:space="preserve">The AI/data-centre substrate cycle proves multi-year: ultra-thin low-CTE glass cloth and electronics-grade nylon film grow high-single-digits for four years, the Q1 FY2027 17% operating margin becomes the norm (17.5% EBITDA), and management funds capacity at 5.5-6% of revenue. A 14x terminal cap credits a specialty-materials multiple. The share count is still fully diluted -- the bull case does not assume REVIC leaves the conversion right unexercised.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</si>
  <si>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</si>
  <si>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</si>
  <si>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</si>
  <si>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</si>
  <si>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</si>
  <si>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</si>
  <si>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</si>
  <si>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</si>
  <si>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</si>
  <si>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</si>
  <si>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</si>
  <si>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</si>
  <si>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</si>
  <si>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</si>
  <si>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</si>
  <si>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</si>
  <si>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</si>
  <si>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</si>
  <si>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</si>
  <si>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</si>
  <si>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</si>
  <si>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</si>
  <si>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</si>
  <si>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</si>
  <si>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</si>
  <si>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</si>
  <si>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</si>
  <si>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</si>
  <si>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EPSDiluted</t>
  </si>
  <si>
    <t xml:space="preserve">NetAssets</t>
  </si>
  <si>
    <t xml:space="preserve">OrdinaryIncome</t>
  </si>
  <si>
    <t xml:space="preserve">SegmentOperatingProfitOther</t>
  </si>
  <si>
    <t xml:space="preserve">SegmentRevenueOther</t>
  </si>
  <si>
    <t xml:space="preserve">ShareIssuanceProceeds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</si>
  <si>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</si>
  <si>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</si>
  <si>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</si>
  <si>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</si>
  <si>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</si>
  <si>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</si>
  <si>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</si>
  <si>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</si>
  <si>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</si>
  <si>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</si>
  <si>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</si>
  <si>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</si>
  <si>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</si>
  <si>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</si>
  <si>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</si>
  <si>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</si>
  <si>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</si>
  <si>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</si>
  <si>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</si>
  <si>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</si>
  <si>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</si>
  <si>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</si>
  <si>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</si>
  <si>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</si>
  <si>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</si>
  <si>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</si>
  <si>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</si>
  <si>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</si>
  <si>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</si>
  <si>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</si>
  <si>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</si>
  <si>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</si>
  <si>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</si>
  <si>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</si>
  <si>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</si>
  <si>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</si>
  <si>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</si>
  <si>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</si>
  <si>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</si>
  <si>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</si>
  <si>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</si>
  <si>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</si>
  <si>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</si>
  <si>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</si>
  <si>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</si>
  <si>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</si>
  <si>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</si>
  <si>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</si>
  <si>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</si>
  <si>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3103.T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</si>
  <si>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</si>
  <si>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</si>
  <si>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</si>
  <si>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</si>
  <si>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</si>
  <si>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</si>
  <si>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</si>
  <si>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</si>
  <si>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</si>
  <si>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</si>
  <si>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</si>
  <si>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</si>
  <si>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</si>
  <si>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</si>
  <si>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</si>
  <si>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</si>
  <si>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</si>
  <si>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</si>
  <si>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</si>
  <si>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</si>
  <si>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</si>
  <si>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</si>
  <si>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</si>
  <si>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</si>
  <si>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</si>
  <si>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</si>
  <si>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</si>
  <si>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</si>
  <si>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</si>
  <si>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</si>
  <si>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3103.T owner-FCF component DCF: base case (millions, JPY)</t>
  </si>
  <si>
    <t xml:space="preserve">3103.T owner-FCF component DCF: bull case (millions, JPY)</t>
  </si>
  <si>
    <t xml:space="preserve">3103.T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</si>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</sst>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Unicode MS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6.4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1203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7.6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</row>
    <row r="2" customFormat="false" ht="15" hidden="false" customHeight="false" outlineLevel="0" collapsed="false">
      <c r="A2" s="0" t="s">
        <v>70</v>
      </c>
      <c r="B2" s="0" t="n">
        <v>159126</v>
      </c>
      <c r="C2" s="0" t="n">
        <v>126515</v>
      </c>
      <c r="D2" s="0" t="n">
        <v>32610</v>
      </c>
      <c r="E2" s="0" t="n">
        <v>20.5</v>
      </c>
      <c r="F2" s="0" t="n">
        <v>8916</v>
      </c>
      <c r="G2" s="0" t="n">
        <v>5.6</v>
      </c>
      <c r="H2" s="0" t="n">
        <v>13870</v>
      </c>
      <c r="I2" s="0" t="n">
        <v>-27033</v>
      </c>
      <c r="J2" s="0" t="n">
        <v>-17</v>
      </c>
      <c r="K2" s="0" t="n">
        <v>-468.7</v>
      </c>
      <c r="L2" s="0" t="n">
        <v>6080</v>
      </c>
      <c r="M2" s="0" t="n">
        <v>4737</v>
      </c>
      <c r="N2" s="0" t="n">
        <v>1343</v>
      </c>
      <c r="O2" s="0" t="n">
        <v>28354</v>
      </c>
      <c r="P2" s="0" t="n">
        <v>235882</v>
      </c>
      <c r="Q2" s="0" t="n">
        <v>204291</v>
      </c>
      <c r="R2" s="0" t="n">
        <v>133902</v>
      </c>
      <c r="S2" s="0" t="n">
        <v>31708</v>
      </c>
      <c r="T2" s="0" t="n">
        <v>57.673</v>
      </c>
      <c r="AA2" s="0" t="s">
        <v>17</v>
      </c>
      <c r="AB2" s="0" t="s">
        <v>14</v>
      </c>
      <c r="AC2" s="0" t="n">
        <v>-468.7</v>
      </c>
      <c r="AE2" s="0" t="n">
        <v>31590</v>
      </c>
      <c r="AF2" s="0" t="n">
        <v>7680</v>
      </c>
    </row>
    <row r="3" customFormat="false" ht="15" hidden="false" customHeight="false" outlineLevel="0" collapsed="false">
      <c r="A3" s="0" t="s">
        <v>71</v>
      </c>
      <c r="B3" s="0" t="n">
        <v>146474</v>
      </c>
      <c r="C3" s="0" t="n">
        <v>114943</v>
      </c>
      <c r="D3" s="0" t="n">
        <v>31530</v>
      </c>
      <c r="E3" s="0" t="n">
        <v>21.5</v>
      </c>
      <c r="F3" s="0" t="n">
        <v>10450</v>
      </c>
      <c r="G3" s="0" t="n">
        <v>7.1</v>
      </c>
      <c r="H3" s="0" t="n">
        <v>15281</v>
      </c>
      <c r="I3" s="0" t="n">
        <v>6933</v>
      </c>
      <c r="J3" s="0" t="n">
        <v>4.7</v>
      </c>
      <c r="K3" s="0" t="n">
        <v>55</v>
      </c>
      <c r="L3" s="0" t="n">
        <v>11661</v>
      </c>
      <c r="M3" s="0" t="n">
        <v>5476</v>
      </c>
      <c r="N3" s="0" t="n">
        <v>6185</v>
      </c>
      <c r="O3" s="0" t="n">
        <v>34598</v>
      </c>
      <c r="P3" s="0" t="n">
        <v>219957</v>
      </c>
      <c r="Q3" s="0" t="n">
        <v>182020</v>
      </c>
      <c r="R3" s="0" t="n">
        <v>126332</v>
      </c>
      <c r="S3" s="0" t="n">
        <v>42023</v>
      </c>
      <c r="T3" s="0" t="n">
        <v>126.05</v>
      </c>
      <c r="AA3" s="0" t="s">
        <v>17</v>
      </c>
      <c r="AB3" s="0" t="s">
        <v>14</v>
      </c>
      <c r="AC3" s="0" t="n">
        <v>102.9</v>
      </c>
      <c r="AD3" s="0" t="n">
        <v>55</v>
      </c>
      <c r="AE3" s="0" t="n">
        <v>37936</v>
      </c>
      <c r="AF3" s="0" t="n">
        <v>6821</v>
      </c>
      <c r="AG3" s="0" t="n">
        <v>-630</v>
      </c>
      <c r="AH3" s="0" t="n">
        <v>12814</v>
      </c>
    </row>
    <row r="4" customFormat="false" ht="15" hidden="false" customHeight="false" outlineLevel="0" collapsed="false">
      <c r="A4" s="0" t="s">
        <v>72</v>
      </c>
      <c r="B4" s="0" t="n">
        <v>126219</v>
      </c>
      <c r="C4" s="0" t="n">
        <v>94189</v>
      </c>
      <c r="D4" s="0" t="n">
        <v>32029</v>
      </c>
      <c r="E4" s="0" t="n">
        <v>25.4</v>
      </c>
      <c r="F4" s="0" t="n">
        <v>12538</v>
      </c>
      <c r="G4" s="0" t="n">
        <v>9.9</v>
      </c>
      <c r="H4" s="0" t="n">
        <v>17064</v>
      </c>
      <c r="I4" s="0" t="n">
        <v>7389</v>
      </c>
      <c r="J4" s="0" t="n">
        <v>5.9</v>
      </c>
      <c r="K4" s="0" t="n">
        <v>57.47</v>
      </c>
      <c r="L4" s="0" t="n">
        <v>18111</v>
      </c>
      <c r="M4" s="0" t="n">
        <v>5099</v>
      </c>
      <c r="N4" s="0" t="n">
        <v>13012</v>
      </c>
      <c r="O4" s="0" t="n">
        <v>41841</v>
      </c>
      <c r="P4" s="0" t="n">
        <v>211872</v>
      </c>
      <c r="Q4" s="0" t="n">
        <v>166608</v>
      </c>
      <c r="R4" s="0" t="n">
        <v>109326</v>
      </c>
      <c r="S4" s="0" t="n">
        <v>36890</v>
      </c>
      <c r="T4" s="0" t="n">
        <v>128.57</v>
      </c>
      <c r="AA4" s="0" t="s">
        <v>17</v>
      </c>
      <c r="AB4" s="0" t="s">
        <v>14</v>
      </c>
      <c r="AC4" s="0" t="n">
        <v>110.82</v>
      </c>
      <c r="AD4" s="0" t="n">
        <v>57.47</v>
      </c>
      <c r="AE4" s="0" t="n">
        <v>45264</v>
      </c>
      <c r="AF4" s="0" t="n">
        <v>10483</v>
      </c>
      <c r="AG4" s="0" t="n">
        <v>-578</v>
      </c>
      <c r="AH4" s="0" t="n">
        <v>3536</v>
      </c>
    </row>
    <row r="5" customFormat="false" ht="15" hidden="false" customHeight="false" outlineLevel="0" collapsed="false">
      <c r="A5" s="0" t="s">
        <v>73</v>
      </c>
      <c r="B5" s="0" t="n">
        <v>128388</v>
      </c>
      <c r="C5" s="0" t="n">
        <v>96515</v>
      </c>
      <c r="D5" s="0" t="n">
        <v>31873</v>
      </c>
      <c r="E5" s="0" t="n">
        <v>24.8</v>
      </c>
      <c r="F5" s="0" t="n">
        <v>11658</v>
      </c>
      <c r="G5" s="0" t="n">
        <v>9.1</v>
      </c>
      <c r="H5" s="0" t="n">
        <v>16526</v>
      </c>
      <c r="I5" s="0" t="n">
        <v>8081</v>
      </c>
      <c r="J5" s="0" t="n">
        <v>6.3</v>
      </c>
      <c r="K5" s="0" t="n">
        <v>89.4</v>
      </c>
      <c r="L5" s="0" t="n">
        <v>9739</v>
      </c>
      <c r="M5" s="0" t="n">
        <v>3535</v>
      </c>
      <c r="N5" s="0" t="n">
        <v>6204</v>
      </c>
      <c r="O5" s="0" t="n">
        <v>37165</v>
      </c>
      <c r="P5" s="0" t="n">
        <v>201447</v>
      </c>
      <c r="Q5" s="0" t="n">
        <v>160717</v>
      </c>
      <c r="R5" s="0" t="n">
        <v>105251</v>
      </c>
      <c r="S5" s="0" t="n">
        <v>26169</v>
      </c>
      <c r="T5" s="0" t="n">
        <v>90.39</v>
      </c>
      <c r="AA5" s="0" t="s">
        <v>17</v>
      </c>
      <c r="AB5" s="0" t="s">
        <v>14</v>
      </c>
      <c r="AC5" s="0" t="n">
        <v>133.25</v>
      </c>
      <c r="AD5" s="0" t="n">
        <v>89.4</v>
      </c>
      <c r="AE5" s="0" t="n">
        <v>40729</v>
      </c>
      <c r="AF5" s="0" t="n">
        <v>9972</v>
      </c>
      <c r="AG5" s="0" t="n">
        <v>-277</v>
      </c>
      <c r="AH5" s="0" t="n">
        <v>3723</v>
      </c>
    </row>
    <row r="6" customFormat="false" ht="15" hidden="false" customHeight="false" outlineLevel="0" collapsed="false">
      <c r="A6" s="0" t="s">
        <v>74</v>
      </c>
      <c r="B6" s="0" t="n">
        <v>129098</v>
      </c>
      <c r="C6" s="0" t="n">
        <v>99779</v>
      </c>
      <c r="D6" s="0" t="n">
        <v>29319</v>
      </c>
      <c r="E6" s="0" t="n">
        <v>22.7</v>
      </c>
      <c r="F6" s="0" t="n">
        <v>8144</v>
      </c>
      <c r="G6" s="0" t="n">
        <v>6.3</v>
      </c>
      <c r="H6" s="0" t="n">
        <v>13179</v>
      </c>
      <c r="I6" s="0" t="n">
        <v>5232</v>
      </c>
      <c r="J6" s="0" t="n">
        <v>4.1</v>
      </c>
      <c r="K6" s="0" t="n">
        <v>52.81</v>
      </c>
      <c r="L6" s="0" t="n">
        <v>8985</v>
      </c>
      <c r="M6" s="0" t="n">
        <v>5769</v>
      </c>
      <c r="N6" s="0" t="n">
        <v>3216</v>
      </c>
      <c r="O6" s="0" t="n">
        <v>37873</v>
      </c>
      <c r="P6" s="0" t="n">
        <v>199093</v>
      </c>
      <c r="Q6" s="0" t="n">
        <v>157740</v>
      </c>
      <c r="R6" s="0" t="n">
        <v>102603</v>
      </c>
      <c r="S6" s="0" t="n">
        <v>22122</v>
      </c>
      <c r="T6" s="0" t="n">
        <v>99.07</v>
      </c>
      <c r="AA6" s="0" t="s">
        <v>17</v>
      </c>
      <c r="AB6" s="0" t="s">
        <v>14</v>
      </c>
      <c r="AC6" s="0" t="n">
        <v>85.17</v>
      </c>
      <c r="AD6" s="0" t="n">
        <v>52.81</v>
      </c>
      <c r="AE6" s="0" t="n">
        <v>41352</v>
      </c>
      <c r="AF6" s="0" t="n">
        <v>7093</v>
      </c>
      <c r="AG6" s="0" t="n">
        <v>-275</v>
      </c>
      <c r="AH6" s="0" t="n">
        <v>1532</v>
      </c>
    </row>
    <row r="7" customFormat="false" ht="15" hidden="false" customHeight="false" outlineLevel="0" collapsed="false">
      <c r="A7" s="0" t="s">
        <v>75</v>
      </c>
      <c r="B7" s="0" t="n">
        <v>119537</v>
      </c>
      <c r="C7" s="0" t="n">
        <v>92156</v>
      </c>
      <c r="D7" s="0" t="n">
        <v>27380</v>
      </c>
      <c r="E7" s="0" t="n">
        <v>22.9</v>
      </c>
      <c r="F7" s="0" t="n">
        <v>5467</v>
      </c>
      <c r="G7" s="0" t="n">
        <v>4.6</v>
      </c>
      <c r="H7" s="0" t="n">
        <v>10800</v>
      </c>
      <c r="I7" s="0" t="n">
        <v>-2158</v>
      </c>
      <c r="J7" s="0" t="n">
        <v>-1.8</v>
      </c>
      <c r="K7" s="0" t="n">
        <v>-43.01</v>
      </c>
      <c r="L7" s="0" t="n">
        <v>9797</v>
      </c>
      <c r="M7" s="0" t="n">
        <v>9170</v>
      </c>
      <c r="N7" s="0" t="n">
        <v>627</v>
      </c>
      <c r="O7" s="0" t="n">
        <v>35481</v>
      </c>
      <c r="P7" s="0" t="n">
        <v>193726</v>
      </c>
      <c r="Q7" s="0" t="n">
        <v>154792</v>
      </c>
      <c r="R7" s="0" t="n">
        <v>99594</v>
      </c>
      <c r="S7" s="0" t="n">
        <v>18194</v>
      </c>
      <c r="T7" s="0" t="n">
        <v>57.658</v>
      </c>
      <c r="AA7" s="0" t="s">
        <v>17</v>
      </c>
      <c r="AB7" s="0" t="s">
        <v>14</v>
      </c>
      <c r="AC7" s="0" t="n">
        <v>-43.01</v>
      </c>
      <c r="AE7" s="0" t="n">
        <v>38933</v>
      </c>
      <c r="AF7" s="0" t="n">
        <v>3153</v>
      </c>
      <c r="AG7" s="0" t="n">
        <v>-289</v>
      </c>
      <c r="AH7" s="0" t="n">
        <v>137</v>
      </c>
    </row>
    <row r="8" customFormat="false" ht="15" hidden="false" customHeight="false" outlineLevel="0" collapsed="false">
      <c r="A8" s="0" t="s">
        <v>76</v>
      </c>
      <c r="B8" s="0" t="n">
        <v>110375</v>
      </c>
      <c r="C8" s="0" t="n">
        <v>83220</v>
      </c>
      <c r="D8" s="0" t="n">
        <v>27155</v>
      </c>
      <c r="E8" s="0" t="n">
        <v>24.6</v>
      </c>
      <c r="F8" s="0" t="n">
        <v>6018</v>
      </c>
      <c r="G8" s="0" t="n">
        <v>5.5</v>
      </c>
      <c r="H8" s="0" t="n">
        <v>11008</v>
      </c>
      <c r="I8" s="0" t="n">
        <v>3864</v>
      </c>
      <c r="J8" s="0" t="n">
        <v>3.5</v>
      </c>
      <c r="K8" s="0" t="n">
        <v>30.85</v>
      </c>
      <c r="L8" s="0" t="n">
        <v>14869</v>
      </c>
      <c r="M8" s="0" t="n">
        <v>6708</v>
      </c>
      <c r="N8" s="0" t="n">
        <v>8161</v>
      </c>
      <c r="O8" s="0" t="n">
        <v>39476</v>
      </c>
      <c r="P8" s="0" t="n">
        <v>190403</v>
      </c>
      <c r="Q8" s="0" t="n">
        <v>149211</v>
      </c>
      <c r="R8" s="0" t="n">
        <v>96796</v>
      </c>
      <c r="S8" s="0" t="n">
        <v>22593</v>
      </c>
      <c r="T8" s="0" t="n">
        <v>125.25</v>
      </c>
      <c r="AA8" s="0" t="s">
        <v>17</v>
      </c>
      <c r="AB8" s="0" t="s">
        <v>14</v>
      </c>
      <c r="AC8" s="0" t="n">
        <v>61.44</v>
      </c>
      <c r="AD8" s="0" t="n">
        <v>30.85</v>
      </c>
      <c r="AE8" s="0" t="n">
        <v>41192</v>
      </c>
      <c r="AF8" s="0" t="n">
        <v>5381</v>
      </c>
    </row>
    <row r="9" customFormat="false" ht="15" hidden="false" customHeight="false" outlineLevel="0" collapsed="false">
      <c r="A9" s="0" t="s">
        <v>77</v>
      </c>
      <c r="B9" s="0" t="n">
        <v>114713</v>
      </c>
      <c r="C9" s="0" t="n">
        <v>86858</v>
      </c>
      <c r="D9" s="0" t="n">
        <v>27855</v>
      </c>
      <c r="E9" s="0" t="n">
        <v>24.3</v>
      </c>
      <c r="F9" s="0" t="n">
        <v>6005</v>
      </c>
      <c r="G9" s="0" t="n">
        <v>5.2</v>
      </c>
      <c r="H9" s="0" t="n">
        <v>11251</v>
      </c>
      <c r="I9" s="0" t="n">
        <v>2223</v>
      </c>
      <c r="J9" s="0" t="n">
        <v>1.9</v>
      </c>
      <c r="K9" s="0" t="n">
        <v>17.88</v>
      </c>
      <c r="L9" s="0" t="n">
        <v>8666</v>
      </c>
      <c r="M9" s="0" t="n">
        <v>8105</v>
      </c>
      <c r="N9" s="0" t="n">
        <v>561</v>
      </c>
      <c r="O9" s="0" t="n">
        <v>41296</v>
      </c>
      <c r="P9" s="0" t="n">
        <v>191399</v>
      </c>
      <c r="Q9" s="0" t="n">
        <v>148328</v>
      </c>
      <c r="R9" s="0" t="n">
        <v>93889</v>
      </c>
      <c r="S9" s="0" t="n">
        <v>18415</v>
      </c>
      <c r="T9" s="0" t="n">
        <v>124.33</v>
      </c>
      <c r="AA9" s="0" t="s">
        <v>17</v>
      </c>
      <c r="AB9" s="0" t="s">
        <v>14</v>
      </c>
      <c r="AC9" s="0" t="n">
        <v>33.32</v>
      </c>
      <c r="AD9" s="0" t="n">
        <v>17.88</v>
      </c>
      <c r="AE9" s="0" t="n">
        <v>43071</v>
      </c>
      <c r="AF9" s="0" t="n">
        <v>6399</v>
      </c>
    </row>
    <row r="10" customFormat="false" ht="15" hidden="false" customHeight="false" outlineLevel="0" collapsed="false">
      <c r="A10" s="0" t="s">
        <v>78</v>
      </c>
      <c r="B10" s="0" t="n">
        <v>117942</v>
      </c>
      <c r="C10" s="0" t="n">
        <v>94126</v>
      </c>
      <c r="D10" s="0" t="n">
        <v>23816</v>
      </c>
      <c r="E10" s="0" t="n">
        <v>20.2</v>
      </c>
      <c r="F10" s="0" t="n">
        <v>1327</v>
      </c>
      <c r="G10" s="0" t="n">
        <v>1.1</v>
      </c>
      <c r="H10" s="0" t="n">
        <v>6748</v>
      </c>
      <c r="I10" s="0" t="n">
        <v>102</v>
      </c>
      <c r="J10" s="0" t="n">
        <v>0.1</v>
      </c>
      <c r="K10" s="0" t="n">
        <v>-3.13</v>
      </c>
      <c r="L10" s="0" t="n">
        <v>509</v>
      </c>
      <c r="M10" s="0" t="n">
        <v>7958</v>
      </c>
      <c r="N10" s="0" t="n">
        <v>-7449</v>
      </c>
      <c r="O10" s="0" t="n">
        <v>42110</v>
      </c>
      <c r="P10" s="0" t="n">
        <v>190003</v>
      </c>
      <c r="Q10" s="0" t="n">
        <v>146085</v>
      </c>
      <c r="R10" s="0" t="n">
        <v>93438</v>
      </c>
      <c r="S10" s="0" t="n">
        <v>9612</v>
      </c>
      <c r="T10" s="0" t="n">
        <v>57.656</v>
      </c>
      <c r="AA10" s="0" t="s">
        <v>17</v>
      </c>
      <c r="AB10" s="0" t="s">
        <v>14</v>
      </c>
      <c r="AC10" s="0" t="n">
        <v>-3.13</v>
      </c>
      <c r="AE10" s="0" t="n">
        <v>43918</v>
      </c>
      <c r="AF10" s="0" t="n">
        <v>1069</v>
      </c>
    </row>
    <row r="11" customFormat="false" ht="15" hidden="false" customHeight="false" outlineLevel="0" collapsed="false">
      <c r="A11" s="0" t="s">
        <v>79</v>
      </c>
      <c r="B11" s="0" t="n">
        <v>118341</v>
      </c>
      <c r="C11" s="0" t="n">
        <v>99458</v>
      </c>
      <c r="D11" s="0" t="n">
        <v>18883</v>
      </c>
      <c r="E11" s="0" t="n">
        <v>16</v>
      </c>
      <c r="F11" s="0" t="n">
        <v>-2475</v>
      </c>
      <c r="G11" s="0" t="n">
        <v>-2.1</v>
      </c>
      <c r="H11" s="0" t="n">
        <v>3662</v>
      </c>
      <c r="I11" s="0" t="n">
        <v>-5443</v>
      </c>
      <c r="J11" s="0" t="n">
        <v>-4.6</v>
      </c>
      <c r="K11" s="0" t="n">
        <v>-94.41</v>
      </c>
      <c r="L11" s="0" t="n">
        <v>8169</v>
      </c>
      <c r="M11" s="0" t="n">
        <v>6671</v>
      </c>
      <c r="N11" s="0" t="n">
        <v>1498</v>
      </c>
      <c r="O11" s="0" t="n">
        <v>36764</v>
      </c>
      <c r="P11" s="0" t="n">
        <v>186333</v>
      </c>
      <c r="Q11" s="0" t="n">
        <v>148085</v>
      </c>
      <c r="R11" s="0" t="n">
        <v>92148</v>
      </c>
      <c r="S11" s="0" t="n">
        <v>10187</v>
      </c>
      <c r="T11" s="0" t="n">
        <v>57.655</v>
      </c>
      <c r="AA11" s="0" t="s">
        <v>17</v>
      </c>
      <c r="AB11" s="0" t="s">
        <v>14</v>
      </c>
      <c r="AC11" s="0" t="n">
        <v>-94.41</v>
      </c>
      <c r="AE11" s="0" t="n">
        <v>38247</v>
      </c>
      <c r="AF11" s="0" t="n">
        <v>-1014</v>
      </c>
      <c r="AG11" s="0" t="n">
        <v>-87</v>
      </c>
      <c r="AH11" s="0" t="n">
        <v>54</v>
      </c>
    </row>
    <row r="12" customFormat="false" ht="15" hidden="false" customHeight="false" outlineLevel="0" collapsed="false">
      <c r="A12" s="0" t="s">
        <v>80</v>
      </c>
      <c r="B12" s="0" t="n">
        <v>126411</v>
      </c>
      <c r="C12" s="0" t="n">
        <v>100714</v>
      </c>
      <c r="D12" s="0" t="n">
        <v>25696</v>
      </c>
      <c r="E12" s="0" t="n">
        <v>20.3</v>
      </c>
      <c r="F12" s="0" t="n">
        <v>5851</v>
      </c>
      <c r="G12" s="0" t="n">
        <v>4.6</v>
      </c>
      <c r="H12" s="0" t="n">
        <v>11091</v>
      </c>
      <c r="I12" s="0" t="n">
        <v>-24283</v>
      </c>
      <c r="J12" s="0" t="n">
        <v>-19.2</v>
      </c>
      <c r="K12" s="0" t="n">
        <v>-421.18</v>
      </c>
      <c r="L12" s="0" t="n">
        <v>6293</v>
      </c>
      <c r="M12" s="0" t="n">
        <v>3887</v>
      </c>
      <c r="N12" s="0" t="n">
        <v>2406</v>
      </c>
      <c r="O12" s="0" t="n">
        <v>15568</v>
      </c>
      <c r="P12" s="0" t="n">
        <v>149430</v>
      </c>
      <c r="Q12" s="0" t="n">
        <v>133197</v>
      </c>
      <c r="R12" s="0" t="n">
        <v>92140</v>
      </c>
      <c r="S12" s="0" t="n">
        <v>13120</v>
      </c>
      <c r="T12" s="0" t="n">
        <v>57.655</v>
      </c>
      <c r="AA12" s="0" t="s">
        <v>17</v>
      </c>
      <c r="AB12" s="0" t="s">
        <v>14</v>
      </c>
      <c r="AC12" s="0" t="n">
        <v>-421.18</v>
      </c>
      <c r="AE12" s="0" t="n">
        <v>16233</v>
      </c>
      <c r="AF12" s="0" t="n">
        <v>4693</v>
      </c>
    </row>
    <row r="13" customFormat="false" ht="15" hidden="false" customHeight="false" outlineLevel="0" collapsed="false">
      <c r="A13" s="0" t="s">
        <v>81</v>
      </c>
      <c r="B13" s="0" t="n">
        <v>118563</v>
      </c>
      <c r="C13" s="0" t="n">
        <v>89261</v>
      </c>
      <c r="D13" s="0" t="n">
        <v>29301</v>
      </c>
      <c r="E13" s="0" t="n">
        <v>24.7</v>
      </c>
      <c r="F13" s="0" t="n">
        <v>10549</v>
      </c>
      <c r="G13" s="0" t="n">
        <v>8.9</v>
      </c>
      <c r="H13" s="0" t="n">
        <v>13916</v>
      </c>
      <c r="I13" s="0" t="n">
        <v>18153</v>
      </c>
      <c r="J13" s="0" t="n">
        <v>15.3</v>
      </c>
      <c r="K13" s="0" t="n">
        <v>34.93</v>
      </c>
      <c r="L13" s="0" t="n">
        <v>5614</v>
      </c>
      <c r="M13" s="0" t="n">
        <v>2305</v>
      </c>
      <c r="N13" s="0" t="n">
        <v>3309</v>
      </c>
      <c r="O13" s="0" t="n">
        <v>53784</v>
      </c>
      <c r="P13" s="0" t="n">
        <v>150704</v>
      </c>
      <c r="Q13" s="0" t="n">
        <v>96659</v>
      </c>
      <c r="R13" s="0" t="n">
        <v>54692</v>
      </c>
      <c r="S13" s="0" t="n">
        <v>47314</v>
      </c>
      <c r="T13" s="0" t="n">
        <v>519.7</v>
      </c>
      <c r="AA13" s="0" t="s">
        <v>17</v>
      </c>
      <c r="AB13" s="0" t="s">
        <v>14</v>
      </c>
      <c r="AC13" s="0" t="n">
        <v>310.33</v>
      </c>
      <c r="AD13" s="0" t="n">
        <v>34.93</v>
      </c>
      <c r="AE13" s="0" t="n">
        <v>54044</v>
      </c>
      <c r="AF13" s="0" t="n">
        <v>10392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1203</v>
      </c>
    </row>
    <row r="3" customFormat="false" ht="15" hidden="false" customHeight="false" outlineLevel="0" collapsed="false">
      <c r="A3" s="0" t="s">
        <v>85</v>
      </c>
      <c r="B3" s="3" t="n">
        <v>519.672</v>
      </c>
    </row>
    <row r="4" customFormat="false" ht="15" hidden="false" customHeight="false" outlineLevel="0" collapsed="false">
      <c r="A4" s="0" t="s">
        <v>86</v>
      </c>
      <c r="B4" s="3" t="n">
        <v>12053</v>
      </c>
    </row>
    <row r="5" customFormat="false" ht="15" hidden="false" customHeight="false" outlineLevel="0" collapsed="false">
      <c r="A5" s="0" t="s">
        <v>87</v>
      </c>
      <c r="B5" s="3" t="n">
        <v>-2751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118563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-29.2</v>
      </c>
      <c r="D13" s="3" t="n">
        <v>-2</v>
      </c>
      <c r="E13" s="3" t="n">
        <v>0</v>
      </c>
      <c r="F13" s="3" t="n">
        <v>0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106</v>
      </c>
      <c r="C14" s="3" t="n">
        <v>12.5</v>
      </c>
      <c r="D14" s="3" t="n">
        <v>11.5</v>
      </c>
      <c r="E14" s="3" t="n">
        <v>10.5</v>
      </c>
      <c r="F14" s="3" t="n">
        <v>10</v>
      </c>
      <c r="G14" s="3" t="n">
        <v>10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107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3.8</v>
      </c>
      <c r="D17" s="3" t="n">
        <v>4</v>
      </c>
      <c r="E17" s="3" t="n">
        <v>4.2</v>
      </c>
      <c r="F17" s="3" t="n">
        <v>4.2</v>
      </c>
      <c r="G17" s="3" t="n">
        <v>4.2</v>
      </c>
      <c r="H17" s="3" t="n">
        <v>4.2</v>
      </c>
      <c r="I17" s="3" t="n">
        <v>4.2</v>
      </c>
      <c r="J17" s="3" t="n">
        <v>4.2</v>
      </c>
      <c r="K17" s="3" t="n">
        <v>4.2</v>
      </c>
      <c r="L17" s="3" t="n">
        <v>4.2</v>
      </c>
    </row>
    <row r="18" customFormat="false" ht="15" hidden="false" customHeight="false" outlineLevel="0" collapsed="false">
      <c r="A18" s="0" t="s">
        <v>110</v>
      </c>
      <c r="C18" s="3" t="n">
        <v>4</v>
      </c>
      <c r="D18" s="3" t="n">
        <v>4.5</v>
      </c>
      <c r="E18" s="3" t="n">
        <v>4.5</v>
      </c>
      <c r="F18" s="3" t="n">
        <v>4.5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111</v>
      </c>
      <c r="C19" s="3" t="n">
        <v>20</v>
      </c>
      <c r="D19" s="3" t="n">
        <v>25</v>
      </c>
      <c r="E19" s="3" t="n">
        <v>30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1</v>
      </c>
    </row>
    <row r="22" customFormat="false" ht="15" hidden="false" customHeight="false" outlineLevel="0" collapsed="false">
      <c r="A22" s="0" t="s">
        <v>114</v>
      </c>
      <c r="B22" s="3" t="n">
        <v>10</v>
      </c>
    </row>
    <row r="23" customFormat="false" ht="15" hidden="false" customHeight="false" outlineLevel="0" collapsed="false">
      <c r="A23" s="0" t="s">
        <v>115</v>
      </c>
      <c r="B23" s="3" t="n">
        <v>-10</v>
      </c>
    </row>
    <row r="24" customFormat="false" ht="15" hidden="false" customHeight="false" outlineLevel="0" collapsed="false">
      <c r="A24" s="0" t="s">
        <v>116</v>
      </c>
      <c r="B24" s="3" t="n">
        <v>0.3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-25.8</v>
      </c>
      <c r="D27" s="3" t="n">
        <v>3.5</v>
      </c>
      <c r="E27" s="3" t="n">
        <v>3.5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1.5</v>
      </c>
    </row>
    <row r="28" customFormat="false" ht="15" hidden="false" customHeight="false" outlineLevel="0" collapsed="false">
      <c r="A28" s="0" t="s">
        <v>106</v>
      </c>
      <c r="C28" s="3" t="n">
        <v>14.5</v>
      </c>
      <c r="D28" s="3" t="n">
        <v>14.5</v>
      </c>
      <c r="E28" s="3" t="n">
        <v>14.5</v>
      </c>
      <c r="F28" s="3" t="n">
        <v>14</v>
      </c>
      <c r="G28" s="3" t="n">
        <v>14</v>
      </c>
      <c r="H28" s="3" t="n">
        <v>14</v>
      </c>
      <c r="I28" s="3" t="n">
        <v>14</v>
      </c>
      <c r="J28" s="3" t="n">
        <v>14</v>
      </c>
      <c r="K28" s="3" t="n">
        <v>14</v>
      </c>
      <c r="L28" s="3" t="n">
        <v>14</v>
      </c>
    </row>
    <row r="29" customFormat="false" ht="15" hidden="false" customHeight="false" outlineLevel="0" collapsed="false">
      <c r="A29" s="0" t="s">
        <v>107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3.6</v>
      </c>
      <c r="D31" s="3" t="n">
        <v>3.8</v>
      </c>
      <c r="E31" s="3" t="n">
        <v>4</v>
      </c>
      <c r="F31" s="3" t="n">
        <v>4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110</v>
      </c>
      <c r="C32" s="3" t="n">
        <v>4</v>
      </c>
      <c r="D32" s="3" t="n">
        <v>4.5</v>
      </c>
      <c r="E32" s="3" t="n">
        <v>5</v>
      </c>
      <c r="F32" s="3" t="n">
        <v>5</v>
      </c>
      <c r="G32" s="3" t="n">
        <v>5</v>
      </c>
      <c r="H32" s="3" t="n">
        <v>4.8</v>
      </c>
      <c r="I32" s="3" t="n">
        <v>4.8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111</v>
      </c>
      <c r="C33" s="3" t="n">
        <v>20</v>
      </c>
      <c r="D33" s="3" t="n">
        <v>25</v>
      </c>
      <c r="E33" s="3" t="n">
        <v>30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1.5</v>
      </c>
    </row>
    <row r="36" customFormat="false" ht="15" hidden="false" customHeight="false" outlineLevel="0" collapsed="false">
      <c r="A36" s="0" t="s">
        <v>114</v>
      </c>
      <c r="B36" s="3" t="n">
        <v>12</v>
      </c>
    </row>
    <row r="37" customFormat="false" ht="15" hidden="false" customHeight="false" outlineLevel="0" collapsed="false">
      <c r="A37" s="0" t="s">
        <v>115</v>
      </c>
      <c r="B37" s="3" t="n">
        <v>-10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-22</v>
      </c>
      <c r="D41" s="3" t="n">
        <v>8</v>
      </c>
      <c r="E41" s="3" t="n">
        <v>7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2.5</v>
      </c>
      <c r="L41" s="3" t="n">
        <v>2</v>
      </c>
    </row>
    <row r="42" customFormat="false" ht="15" hidden="false" customHeight="false" outlineLevel="0" collapsed="false">
      <c r="A42" s="0" t="s">
        <v>106</v>
      </c>
      <c r="C42" s="3" t="n">
        <v>16</v>
      </c>
      <c r="D42" s="3" t="n">
        <v>16.5</v>
      </c>
      <c r="E42" s="3" t="n">
        <v>17</v>
      </c>
      <c r="F42" s="3" t="n">
        <v>17.5</v>
      </c>
      <c r="G42" s="3" t="n">
        <v>17.5</v>
      </c>
      <c r="H42" s="3" t="n">
        <v>17.5</v>
      </c>
      <c r="I42" s="3" t="n">
        <v>17.5</v>
      </c>
      <c r="J42" s="3" t="n">
        <v>17.5</v>
      </c>
      <c r="K42" s="3" t="n">
        <v>17.5</v>
      </c>
      <c r="L42" s="3" t="n">
        <v>17.5</v>
      </c>
    </row>
    <row r="43" customFormat="false" ht="15" hidden="false" customHeight="false" outlineLevel="0" collapsed="false">
      <c r="A43" s="0" t="s">
        <v>107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3.6</v>
      </c>
      <c r="D45" s="3" t="n">
        <v>3.8</v>
      </c>
      <c r="E45" s="3" t="n">
        <v>4</v>
      </c>
      <c r="F45" s="3" t="n">
        <v>4.2</v>
      </c>
      <c r="G45" s="3" t="n">
        <v>4.5</v>
      </c>
      <c r="H45" s="3" t="n">
        <v>4.5</v>
      </c>
      <c r="I45" s="3" t="n">
        <v>4.5</v>
      </c>
      <c r="J45" s="3" t="n">
        <v>4.5</v>
      </c>
      <c r="K45" s="3" t="n">
        <v>4.5</v>
      </c>
      <c r="L45" s="3" t="n">
        <v>4.5</v>
      </c>
    </row>
    <row r="46" customFormat="false" ht="15" hidden="false" customHeight="false" outlineLevel="0" collapsed="false">
      <c r="A46" s="0" t="s">
        <v>110</v>
      </c>
      <c r="C46" s="3" t="n">
        <v>5</v>
      </c>
      <c r="D46" s="3" t="n">
        <v>6</v>
      </c>
      <c r="E46" s="3" t="n">
        <v>6</v>
      </c>
      <c r="F46" s="3" t="n">
        <v>6</v>
      </c>
      <c r="G46" s="3" t="n">
        <v>5.5</v>
      </c>
      <c r="H46" s="3" t="n">
        <v>5.5</v>
      </c>
      <c r="I46" s="3" t="n">
        <v>5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111</v>
      </c>
      <c r="C47" s="3" t="n">
        <v>20</v>
      </c>
      <c r="D47" s="3" t="n">
        <v>25</v>
      </c>
      <c r="E47" s="3" t="n">
        <v>30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2</v>
      </c>
    </row>
    <row r="50" customFormat="false" ht="15" hidden="false" customHeight="false" outlineLevel="0" collapsed="false">
      <c r="A50" s="0" t="s">
        <v>114</v>
      </c>
      <c r="B50" s="3" t="n">
        <v>14</v>
      </c>
    </row>
    <row r="51" customFormat="false" ht="15" hidden="false" customHeight="false" outlineLevel="0" collapsed="false">
      <c r="A51" s="0" t="s">
        <v>115</v>
      </c>
      <c r="B51" s="3" t="n">
        <v>-10</v>
      </c>
    </row>
    <row r="52" customFormat="false" ht="15" hidden="false" customHeight="false" outlineLevel="0" collapsed="false">
      <c r="A52" s="0" t="s">
        <v>116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-29.2</v>
      </c>
      <c r="D5" s="4" t="n">
        <f aca="false">Assumptions!D13</f>
        <v>-2</v>
      </c>
      <c r="E5" s="4" t="n">
        <f aca="false">Assumptions!E13</f>
        <v>0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118563</v>
      </c>
      <c r="C6" s="0" t="n">
        <f aca="false">B6*(1+C5/100)</f>
        <v>83942.604</v>
      </c>
      <c r="D6" s="0" t="n">
        <f aca="false">C6*(1+D5/100)</f>
        <v>82263.75192</v>
      </c>
      <c r="E6" s="0" t="n">
        <f aca="false">D6*(1+E5/100)</f>
        <v>82263.75192</v>
      </c>
      <c r="F6" s="0" t="n">
        <f aca="false">E6*(1+F5/100)</f>
        <v>82263.75192</v>
      </c>
      <c r="G6" s="0" t="n">
        <f aca="false">F6*(1+G5/100)</f>
        <v>83086.3894392</v>
      </c>
      <c r="H6" s="0" t="n">
        <f aca="false">G6*(1+H5/100)</f>
        <v>83917.253333592</v>
      </c>
      <c r="I6" s="0" t="n">
        <f aca="false">H6*(1+I5/100)</f>
        <v>84756.4258669279</v>
      </c>
      <c r="J6" s="0" t="n">
        <f aca="false">I6*(1+J5/100)</f>
        <v>85603.9901255972</v>
      </c>
      <c r="K6" s="0" t="n">
        <f aca="false">J6*(1+K5/100)</f>
        <v>86460.0300268532</v>
      </c>
      <c r="L6" s="0" t="n">
        <f aca="false">K6*(1+L5/100)</f>
        <v>87324.6303271217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12.5</v>
      </c>
      <c r="D7" s="4" t="n">
        <f aca="false">Assumptions!D14</f>
        <v>11.5</v>
      </c>
      <c r="E7" s="4" t="n">
        <f aca="false">Assumptions!E14</f>
        <v>10.5</v>
      </c>
      <c r="F7" s="4" t="n">
        <f aca="false">Assumptions!F14</f>
        <v>10</v>
      </c>
      <c r="G7" s="4" t="n">
        <f aca="false">Assumptions!G14</f>
        <v>10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10492.8255</v>
      </c>
      <c r="D8" s="0" t="n">
        <f aca="false">D6*D7/100</f>
        <v>9460.3314708</v>
      </c>
      <c r="E8" s="0" t="n">
        <f aca="false">E6*E7/100</f>
        <v>8637.6939516</v>
      </c>
      <c r="F8" s="0" t="n">
        <f aca="false">F6*F7/100</f>
        <v>8226.375192</v>
      </c>
      <c r="G8" s="0" t="n">
        <f aca="false">G6*G7/100</f>
        <v>8308.63894392</v>
      </c>
      <c r="H8" s="0" t="n">
        <f aca="false">H6*H7/100</f>
        <v>8391.7253333592</v>
      </c>
      <c r="I8" s="0" t="n">
        <f aca="false">I6*I7/100</f>
        <v>8475.64258669279</v>
      </c>
      <c r="J8" s="0" t="n">
        <f aca="false">J6*J7/100</f>
        <v>8560.39901255972</v>
      </c>
      <c r="K8" s="0" t="n">
        <f aca="false">K6*K7/100</f>
        <v>8646.00300268532</v>
      </c>
      <c r="L8" s="0" t="n">
        <f aca="false">L6*L7/100</f>
        <v>8732.46303271217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10492.8255</v>
      </c>
      <c r="D11" s="0" t="n">
        <f aca="false">D8+D10+D24</f>
        <v>9460.3314708</v>
      </c>
      <c r="E11" s="0" t="n">
        <f aca="false">E8+E10+E24</f>
        <v>8637.6939516</v>
      </c>
      <c r="F11" s="0" t="n">
        <f aca="false">F8+F10+F24</f>
        <v>8226.375192</v>
      </c>
      <c r="G11" s="0" t="n">
        <f aca="false">G8+G10+G24</f>
        <v>8308.63894392</v>
      </c>
      <c r="H11" s="0" t="n">
        <f aca="false">H8+H10+H24</f>
        <v>8391.7253333592</v>
      </c>
      <c r="I11" s="0" t="n">
        <f aca="false">I8+I10+I24</f>
        <v>8475.64258669279</v>
      </c>
      <c r="J11" s="0" t="n">
        <f aca="false">J8+J10+J24</f>
        <v>8560.39901255972</v>
      </c>
      <c r="K11" s="0" t="n">
        <f aca="false">K8+K10+K24</f>
        <v>8646.00300268532</v>
      </c>
      <c r="L11" s="0" t="n">
        <f aca="false">L8+L10+L24</f>
        <v>8732.46303271217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-3189.818952</v>
      </c>
      <c r="D12" s="4" t="n">
        <f aca="false">-D6*Assumptions!D17/100</f>
        <v>-3290.5500768</v>
      </c>
      <c r="E12" s="4" t="n">
        <f aca="false">-E6*Assumptions!E17/100</f>
        <v>-3455.07758064</v>
      </c>
      <c r="F12" s="4" t="n">
        <f aca="false">-F6*Assumptions!F17/100</f>
        <v>-3455.07758064</v>
      </c>
      <c r="G12" s="4" t="n">
        <f aca="false">-G6*Assumptions!G17/100</f>
        <v>-3489.6283564464</v>
      </c>
      <c r="H12" s="4" t="n">
        <f aca="false">-H6*Assumptions!H17/100</f>
        <v>-3524.52464001086</v>
      </c>
      <c r="I12" s="4" t="n">
        <f aca="false">-I6*Assumptions!I17/100</f>
        <v>-3559.76988641097</v>
      </c>
      <c r="J12" s="4" t="n">
        <f aca="false">-J6*Assumptions!J17/100</f>
        <v>-3595.36758527508</v>
      </c>
      <c r="K12" s="4" t="n">
        <f aca="false">-K6*Assumptions!K17/100</f>
        <v>-3631.32126112783</v>
      </c>
      <c r="L12" s="4" t="n">
        <f aca="false">-L6*Assumptions!L17/100</f>
        <v>-3667.63447373911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7303.006548</v>
      </c>
      <c r="D13" s="0" t="n">
        <f aca="false">D11+D12</f>
        <v>6169.781394</v>
      </c>
      <c r="E13" s="0" t="n">
        <f aca="false">E11+E12</f>
        <v>5182.61637096</v>
      </c>
      <c r="F13" s="0" t="n">
        <f aca="false">F11+F12</f>
        <v>4771.29761136</v>
      </c>
      <c r="G13" s="0" t="n">
        <f aca="false">G11+G12</f>
        <v>4819.0105874736</v>
      </c>
      <c r="H13" s="0" t="n">
        <f aca="false">H11+H12</f>
        <v>4867.20069334833</v>
      </c>
      <c r="I13" s="0" t="n">
        <f aca="false">I11+I12</f>
        <v>4915.87270028182</v>
      </c>
      <c r="J13" s="0" t="n">
        <f aca="false">J11+J12</f>
        <v>4965.03142728464</v>
      </c>
      <c r="K13" s="0" t="n">
        <f aca="false">K11+K12</f>
        <v>5014.68174155749</v>
      </c>
      <c r="L13" s="0" t="n">
        <f aca="false">L11+L12</f>
        <v>5064.82855897306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20</v>
      </c>
      <c r="D14" s="4" t="n">
        <f aca="false">Assumptions!D19</f>
        <v>25</v>
      </c>
      <c r="E14" s="4" t="n">
        <f aca="false">Assumptions!E19</f>
        <v>30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5842.4052384</v>
      </c>
      <c r="D15" s="0" t="n">
        <f aca="false">D13-MAX(0,D13)*D14/100</f>
        <v>4627.3360455</v>
      </c>
      <c r="E15" s="0" t="n">
        <f aca="false">E13-MAX(0,E13)*E14/100</f>
        <v>3627.831459672</v>
      </c>
      <c r="F15" s="0" t="n">
        <f aca="false">F13-MAX(0,F13)*F14/100</f>
        <v>3292.1953518384</v>
      </c>
      <c r="G15" s="0" t="n">
        <f aca="false">G13-MAX(0,G13)*G14/100</f>
        <v>3325.11730535678</v>
      </c>
      <c r="H15" s="0" t="n">
        <f aca="false">H13-MAX(0,H13)*H14/100</f>
        <v>3358.36847841035</v>
      </c>
      <c r="I15" s="0" t="n">
        <f aca="false">I13-MAX(0,I13)*I14/100</f>
        <v>3391.95216319446</v>
      </c>
      <c r="J15" s="0" t="n">
        <f aca="false">J13-MAX(0,J13)*J14/100</f>
        <v>3425.8716848264</v>
      </c>
      <c r="K15" s="0" t="n">
        <f aca="false">K13-MAX(0,K13)*K14/100</f>
        <v>3460.13040167467</v>
      </c>
      <c r="L15" s="0" t="n">
        <f aca="false">L13-MAX(0,L13)*L14/100</f>
        <v>3494.73170569141</v>
      </c>
    </row>
    <row r="16" customFormat="false" ht="15" hidden="false" customHeight="false" outlineLevel="0" collapsed="false">
      <c r="A16" s="0" t="s">
        <v>127</v>
      </c>
      <c r="C16" s="0" t="n">
        <f aca="false">-C12</f>
        <v>3189.818952</v>
      </c>
      <c r="D16" s="0" t="n">
        <f aca="false">-D12</f>
        <v>3290.5500768</v>
      </c>
      <c r="E16" s="0" t="n">
        <f aca="false">-E12</f>
        <v>3455.07758064</v>
      </c>
      <c r="F16" s="0" t="n">
        <f aca="false">-F12</f>
        <v>3455.07758064</v>
      </c>
      <c r="G16" s="0" t="n">
        <f aca="false">-G12</f>
        <v>3489.6283564464</v>
      </c>
      <c r="H16" s="0" t="n">
        <f aca="false">-H12</f>
        <v>3524.52464001086</v>
      </c>
      <c r="I16" s="0" t="n">
        <f aca="false">-I12</f>
        <v>3559.76988641097</v>
      </c>
      <c r="J16" s="0" t="n">
        <f aca="false">-J12</f>
        <v>3595.36758527508</v>
      </c>
      <c r="K16" s="0" t="n">
        <f aca="false">-K12</f>
        <v>3631.32126112783</v>
      </c>
      <c r="L16" s="0" t="n">
        <f aca="false">-L12</f>
        <v>3667.63447373911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-3357.70416</v>
      </c>
      <c r="D17" s="4" t="n">
        <f aca="false">-D6*Assumptions!D18/100</f>
        <v>-3701.8688364</v>
      </c>
      <c r="E17" s="4" t="n">
        <f aca="false">-E6*Assumptions!E18/100</f>
        <v>-3701.8688364</v>
      </c>
      <c r="F17" s="4" t="n">
        <f aca="false">-F6*Assumptions!F18/100</f>
        <v>-3701.8688364</v>
      </c>
      <c r="G17" s="4" t="n">
        <f aca="false">-G6*Assumptions!G18/100</f>
        <v>-3738.887524764</v>
      </c>
      <c r="H17" s="4" t="n">
        <f aca="false">-H6*Assumptions!H18/100</f>
        <v>-3776.27640001164</v>
      </c>
      <c r="I17" s="4" t="n">
        <f aca="false">-I6*Assumptions!I18/100</f>
        <v>-3814.03916401176</v>
      </c>
      <c r="J17" s="4" t="n">
        <f aca="false">-J6*Assumptions!J18/100</f>
        <v>-3852.17955565187</v>
      </c>
      <c r="K17" s="4" t="n">
        <f aca="false">-K6*Assumptions!K18/100</f>
        <v>-3890.70135120839</v>
      </c>
      <c r="L17" s="4" t="n">
        <f aca="false">-L6*Assumptions!L18/100</f>
        <v>-3929.60836472048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3462.0396</v>
      </c>
      <c r="D18" s="4" t="n">
        <f aca="false">(D6-C6)*Assumptions!$B$23/100</f>
        <v>167.885208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-82.2637519199998</v>
      </c>
      <c r="H18" s="4" t="n">
        <f aca="false">(H6-G6)*Assumptions!$B$23/100</f>
        <v>-83.0863894391994</v>
      </c>
      <c r="I18" s="4" t="n">
        <f aca="false">(I6-H6)*Assumptions!$B$23/100</f>
        <v>-83.9172533335921</v>
      </c>
      <c r="J18" s="4" t="n">
        <f aca="false">(J6-I6)*Assumptions!$B$23/100</f>
        <v>-84.7564258669285</v>
      </c>
      <c r="K18" s="4" t="n">
        <f aca="false">(K6-J6)*Assumptions!$B$23/100</f>
        <v>-85.6039901255979</v>
      </c>
      <c r="L18" s="4" t="n">
        <f aca="false">(L6-K6)*Assumptions!$B$23/100</f>
        <v>-86.4600300268532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9136.5596304</v>
      </c>
      <c r="D19" s="0" t="n">
        <f aca="false">D15+D16+D17+D18</f>
        <v>4383.9024939</v>
      </c>
      <c r="E19" s="0" t="n">
        <f aca="false">E15+E16+E17+E18</f>
        <v>3381.040203912</v>
      </c>
      <c r="F19" s="0" t="n">
        <f aca="false">F15+F16+F17+F18</f>
        <v>3045.4040960784</v>
      </c>
      <c r="G19" s="0" t="n">
        <f aca="false">G15+G16+G17+G18</f>
        <v>2993.59438511918</v>
      </c>
      <c r="H19" s="0" t="n">
        <f aca="false">H15+H16+H17+H18</f>
        <v>3023.53032897038</v>
      </c>
      <c r="I19" s="0" t="n">
        <f aca="false">I15+I16+I17+I18</f>
        <v>3053.76563226008</v>
      </c>
      <c r="J19" s="0" t="n">
        <f aca="false">J15+J16+J17+J18</f>
        <v>3084.30328858268</v>
      </c>
      <c r="K19" s="0" t="n">
        <f aca="false">K15+K16+K17+K18</f>
        <v>3115.14632146851</v>
      </c>
      <c r="L19" s="0" t="n">
        <f aca="false">L15+L16+L17+L18</f>
        <v>3146.29778468319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8382.16479853211</v>
      </c>
      <c r="D21" s="0" t="n">
        <f aca="false">D19*D20</f>
        <v>3689.84302154701</v>
      </c>
      <c r="E21" s="0" t="n">
        <f aca="false">E19*E20</f>
        <v>2610.78339088314</v>
      </c>
      <c r="F21" s="0" t="n">
        <f aca="false">F19*F20</f>
        <v>2157.44103954315</v>
      </c>
      <c r="G21" s="0" t="n">
        <f aca="false">G19*G20</f>
        <v>1945.63094873545</v>
      </c>
      <c r="H21" s="0" t="n">
        <f aca="false">H19*H20</f>
        <v>1802.8323469934</v>
      </c>
      <c r="I21" s="0" t="n">
        <f aca="false">I19*I20</f>
        <v>1670.51437657187</v>
      </c>
      <c r="J21" s="0" t="n">
        <f aca="false">J19*J20</f>
        <v>1547.90781682347</v>
      </c>
      <c r="K21" s="0" t="n">
        <f aca="false">K19*K20</f>
        <v>1434.29990366212</v>
      </c>
      <c r="L21" s="0" t="n">
        <f aca="false">L19*L20</f>
        <v>1329.03018596215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26570.4478292539</v>
      </c>
    </row>
    <row r="31" customFormat="false" ht="15" hidden="false" customHeight="false" outlineLevel="0" collapsed="false">
      <c r="A31" s="0" t="s">
        <v>136</v>
      </c>
      <c r="B31" s="0" t="n">
        <f aca="false">L19</f>
        <v>3146.29778468319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39722.0095316253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31462.9778468319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31462.9778468319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13290.3018596215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39860.7496888753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25056.7496888753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48.2164705600366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-0.959919808345772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48.2164705600366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22698.2911609287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24.3339993366148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-25.8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118563</v>
      </c>
      <c r="C6" s="0" t="n">
        <f aca="false">B6*(1+C5/100)</f>
        <v>87973.746</v>
      </c>
      <c r="D6" s="0" t="n">
        <f aca="false">C6*(1+D5/100)</f>
        <v>91052.82711</v>
      </c>
      <c r="E6" s="0" t="n">
        <f aca="false">D6*(1+E5/100)</f>
        <v>94239.67605885</v>
      </c>
      <c r="F6" s="0" t="n">
        <f aca="false">E6*(1+F5/100)</f>
        <v>97066.8663406155</v>
      </c>
      <c r="G6" s="0" t="n">
        <f aca="false">F6*(1+G5/100)</f>
        <v>99978.872330834</v>
      </c>
      <c r="H6" s="0" t="n">
        <f aca="false">G6*(1+H5/100)</f>
        <v>102478.344139105</v>
      </c>
      <c r="I6" s="0" t="n">
        <f aca="false">H6*(1+I5/100)</f>
        <v>105040.302742582</v>
      </c>
      <c r="J6" s="0" t="n">
        <f aca="false">I6*(1+J5/100)</f>
        <v>107141.108797434</v>
      </c>
      <c r="K6" s="0" t="n">
        <f aca="false">J6*(1+K5/100)</f>
        <v>109283.930973383</v>
      </c>
      <c r="L6" s="0" t="n">
        <f aca="false">K6*(1+L5/100)</f>
        <v>110923.189937983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14.5</v>
      </c>
      <c r="D7" s="4" t="n">
        <f aca="false">Assumptions!D28</f>
        <v>14.5</v>
      </c>
      <c r="E7" s="4" t="n">
        <f aca="false">Assumptions!E28</f>
        <v>14.5</v>
      </c>
      <c r="F7" s="4" t="n">
        <f aca="false">Assumptions!F28</f>
        <v>14</v>
      </c>
      <c r="G7" s="4" t="n">
        <f aca="false">Assumptions!G28</f>
        <v>14</v>
      </c>
      <c r="H7" s="4" t="n">
        <f aca="false">Assumptions!H28</f>
        <v>14</v>
      </c>
      <c r="I7" s="4" t="n">
        <f aca="false">Assumptions!I28</f>
        <v>14</v>
      </c>
      <c r="J7" s="4" t="n">
        <f aca="false">Assumptions!J28</f>
        <v>14</v>
      </c>
      <c r="K7" s="4" t="n">
        <f aca="false">Assumptions!K28</f>
        <v>14</v>
      </c>
      <c r="L7" s="4" t="n">
        <f aca="false">Assumptions!L28</f>
        <v>14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12756.19317</v>
      </c>
      <c r="D8" s="0" t="n">
        <f aca="false">D6*D7/100</f>
        <v>13202.65993095</v>
      </c>
      <c r="E8" s="0" t="n">
        <f aca="false">E6*E7/100</f>
        <v>13664.7530285332</v>
      </c>
      <c r="F8" s="0" t="n">
        <f aca="false">F6*F7/100</f>
        <v>13589.3612876862</v>
      </c>
      <c r="G8" s="0" t="n">
        <f aca="false">G6*G7/100</f>
        <v>13997.0421263168</v>
      </c>
      <c r="H8" s="0" t="n">
        <f aca="false">H6*H7/100</f>
        <v>14346.9681794747</v>
      </c>
      <c r="I8" s="0" t="n">
        <f aca="false">I6*I7/100</f>
        <v>14705.6423839615</v>
      </c>
      <c r="J8" s="0" t="n">
        <f aca="false">J6*J7/100</f>
        <v>14999.7552316408</v>
      </c>
      <c r="K8" s="0" t="n">
        <f aca="false">K6*K7/100</f>
        <v>15299.7503362736</v>
      </c>
      <c r="L8" s="0" t="n">
        <f aca="false">L6*L7/100</f>
        <v>15529.2465913177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12756.19317</v>
      </c>
      <c r="D11" s="0" t="n">
        <f aca="false">D8+D10+D24</f>
        <v>13202.65993095</v>
      </c>
      <c r="E11" s="0" t="n">
        <f aca="false">E8+E10+E24</f>
        <v>13664.7530285332</v>
      </c>
      <c r="F11" s="0" t="n">
        <f aca="false">F8+F10+F24</f>
        <v>13589.3612876862</v>
      </c>
      <c r="G11" s="0" t="n">
        <f aca="false">G8+G10+G24</f>
        <v>13997.0421263168</v>
      </c>
      <c r="H11" s="0" t="n">
        <f aca="false">H8+H10+H24</f>
        <v>14346.9681794747</v>
      </c>
      <c r="I11" s="0" t="n">
        <f aca="false">I8+I10+I24</f>
        <v>14705.6423839615</v>
      </c>
      <c r="J11" s="0" t="n">
        <f aca="false">J8+J10+J24</f>
        <v>14999.7552316408</v>
      </c>
      <c r="K11" s="0" t="n">
        <f aca="false">K8+K10+K24</f>
        <v>15299.7503362736</v>
      </c>
      <c r="L11" s="0" t="n">
        <f aca="false">L8+L10+L24</f>
        <v>15529.2465913177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-3167.054856</v>
      </c>
      <c r="D12" s="4" t="n">
        <f aca="false">-D6*Assumptions!D31/100</f>
        <v>-3460.00743018</v>
      </c>
      <c r="E12" s="4" t="n">
        <f aca="false">-E6*Assumptions!E31/100</f>
        <v>-3769.587042354</v>
      </c>
      <c r="F12" s="4" t="n">
        <f aca="false">-F6*Assumptions!F31/100</f>
        <v>-3882.67465362462</v>
      </c>
      <c r="G12" s="4" t="n">
        <f aca="false">-G6*Assumptions!G31/100</f>
        <v>-3999.15489323336</v>
      </c>
      <c r="H12" s="4" t="n">
        <f aca="false">-H6*Assumptions!H31/100</f>
        <v>-4099.13376556419</v>
      </c>
      <c r="I12" s="4" t="n">
        <f aca="false">-I6*Assumptions!I31/100</f>
        <v>-4201.6121097033</v>
      </c>
      <c r="J12" s="4" t="n">
        <f aca="false">-J6*Assumptions!J31/100</f>
        <v>-4285.64435189736</v>
      </c>
      <c r="K12" s="4" t="n">
        <f aca="false">-K6*Assumptions!K31/100</f>
        <v>-4371.35723893531</v>
      </c>
      <c r="L12" s="4" t="n">
        <f aca="false">-L6*Assumptions!L31/100</f>
        <v>-4436.92759751934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9589.138314</v>
      </c>
      <c r="D13" s="0" t="n">
        <f aca="false">D11+D12</f>
        <v>9742.65250077</v>
      </c>
      <c r="E13" s="0" t="n">
        <f aca="false">E11+E12</f>
        <v>9895.16598617925</v>
      </c>
      <c r="F13" s="0" t="n">
        <f aca="false">F11+F12</f>
        <v>9706.68663406155</v>
      </c>
      <c r="G13" s="0" t="n">
        <f aca="false">G11+G12</f>
        <v>9997.8872330834</v>
      </c>
      <c r="H13" s="0" t="n">
        <f aca="false">H11+H12</f>
        <v>10247.8344139105</v>
      </c>
      <c r="I13" s="0" t="n">
        <f aca="false">I11+I12</f>
        <v>10504.0302742582</v>
      </c>
      <c r="J13" s="0" t="n">
        <f aca="false">J11+J12</f>
        <v>10714.1108797434</v>
      </c>
      <c r="K13" s="0" t="n">
        <f aca="false">K11+K12</f>
        <v>10928.3930973383</v>
      </c>
      <c r="L13" s="0" t="n">
        <f aca="false">L11+L12</f>
        <v>11092.3189937983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20</v>
      </c>
      <c r="D14" s="4" t="n">
        <f aca="false">Assumptions!D33</f>
        <v>25</v>
      </c>
      <c r="E14" s="4" t="n">
        <f aca="false">Assumptions!E33</f>
        <v>30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7671.3106512</v>
      </c>
      <c r="D15" s="0" t="n">
        <f aca="false">D13-MAX(0,D13)*D14/100</f>
        <v>7306.9893755775</v>
      </c>
      <c r="E15" s="0" t="n">
        <f aca="false">E13-MAX(0,E13)*E14/100</f>
        <v>6926.61619032547</v>
      </c>
      <c r="F15" s="0" t="n">
        <f aca="false">F13-MAX(0,F13)*F14/100</f>
        <v>6697.61377750247</v>
      </c>
      <c r="G15" s="0" t="n">
        <f aca="false">G13-MAX(0,G13)*G14/100</f>
        <v>6898.54219082754</v>
      </c>
      <c r="H15" s="0" t="n">
        <f aca="false">H13-MAX(0,H13)*H14/100</f>
        <v>7071.00574559823</v>
      </c>
      <c r="I15" s="0" t="n">
        <f aca="false">I13-MAX(0,I13)*I14/100</f>
        <v>7247.78088923819</v>
      </c>
      <c r="J15" s="0" t="n">
        <f aca="false">J13-MAX(0,J13)*J14/100</f>
        <v>7392.73650702295</v>
      </c>
      <c r="K15" s="0" t="n">
        <f aca="false">K13-MAX(0,K13)*K14/100</f>
        <v>7540.59123716341</v>
      </c>
      <c r="L15" s="0" t="n">
        <f aca="false">L13-MAX(0,L13)*L14/100</f>
        <v>7653.70010572086</v>
      </c>
    </row>
    <row r="16" customFormat="false" ht="15" hidden="false" customHeight="false" outlineLevel="0" collapsed="false">
      <c r="A16" s="0" t="s">
        <v>127</v>
      </c>
      <c r="C16" s="0" t="n">
        <f aca="false">-C12</f>
        <v>3167.054856</v>
      </c>
      <c r="D16" s="0" t="n">
        <f aca="false">-D12</f>
        <v>3460.00743018</v>
      </c>
      <c r="E16" s="0" t="n">
        <f aca="false">-E12</f>
        <v>3769.587042354</v>
      </c>
      <c r="F16" s="0" t="n">
        <f aca="false">-F12</f>
        <v>3882.67465362462</v>
      </c>
      <c r="G16" s="0" t="n">
        <f aca="false">-G12</f>
        <v>3999.15489323336</v>
      </c>
      <c r="H16" s="0" t="n">
        <f aca="false">-H12</f>
        <v>4099.13376556419</v>
      </c>
      <c r="I16" s="0" t="n">
        <f aca="false">-I12</f>
        <v>4201.6121097033</v>
      </c>
      <c r="J16" s="0" t="n">
        <f aca="false">-J12</f>
        <v>4285.64435189736</v>
      </c>
      <c r="K16" s="0" t="n">
        <f aca="false">-K12</f>
        <v>4371.35723893531</v>
      </c>
      <c r="L16" s="0" t="n">
        <f aca="false">-L12</f>
        <v>4436.92759751934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-3518.94984</v>
      </c>
      <c r="D17" s="4" t="n">
        <f aca="false">-D6*Assumptions!D32/100</f>
        <v>-4097.37721995</v>
      </c>
      <c r="E17" s="4" t="n">
        <f aca="false">-E6*Assumptions!E32/100</f>
        <v>-4711.9838029425</v>
      </c>
      <c r="F17" s="4" t="n">
        <f aca="false">-F6*Assumptions!F32/100</f>
        <v>-4853.34331703077</v>
      </c>
      <c r="G17" s="4" t="n">
        <f aca="false">-G6*Assumptions!G32/100</f>
        <v>-4998.9436165417</v>
      </c>
      <c r="H17" s="4" t="n">
        <f aca="false">-H6*Assumptions!H32/100</f>
        <v>-4918.96051867703</v>
      </c>
      <c r="I17" s="4" t="n">
        <f aca="false">-I6*Assumptions!I32/100</f>
        <v>-5041.93453164396</v>
      </c>
      <c r="J17" s="4" t="n">
        <f aca="false">-J6*Assumptions!J32/100</f>
        <v>-4821.34989588453</v>
      </c>
      <c r="K17" s="4" t="n">
        <f aca="false">-K6*Assumptions!K32/100</f>
        <v>-4917.77689380222</v>
      </c>
      <c r="L17" s="4" t="n">
        <f aca="false">-L6*Assumptions!L32/100</f>
        <v>-4991.54354720926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3058.9254</v>
      </c>
      <c r="D18" s="4" t="n">
        <f aca="false">(D6-C6)*Assumptions!$B$37/100</f>
        <v>-307.908111</v>
      </c>
      <c r="E18" s="4" t="n">
        <f aca="false">(E6-D6)*Assumptions!$B$37/100</f>
        <v>-318.684894884999</v>
      </c>
      <c r="F18" s="4" t="n">
        <f aca="false">(F6-E6)*Assumptions!$B$37/100</f>
        <v>-282.719028176551</v>
      </c>
      <c r="G18" s="4" t="n">
        <f aca="false">(G6-F6)*Assumptions!$B$37/100</f>
        <v>-291.200599021847</v>
      </c>
      <c r="H18" s="4" t="n">
        <f aca="false">(H6-G6)*Assumptions!$B$37/100</f>
        <v>-249.947180827084</v>
      </c>
      <c r="I18" s="4" t="n">
        <f aca="false">(I6-H6)*Assumptions!$B$37/100</f>
        <v>-256.195860347762</v>
      </c>
      <c r="J18" s="4" t="n">
        <f aca="false">(J6-I6)*Assumptions!$B$37/100</f>
        <v>-210.080605485165</v>
      </c>
      <c r="K18" s="4" t="n">
        <f aca="false">(K6-J6)*Assumptions!$B$37/100</f>
        <v>-214.282217594868</v>
      </c>
      <c r="L18" s="4" t="n">
        <f aca="false">(L6-K6)*Assumptions!$B$37/100</f>
        <v>-163.925896460073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10378.3410672</v>
      </c>
      <c r="D19" s="0" t="n">
        <f aca="false">D15+D16+D17+D18</f>
        <v>6361.7114748075</v>
      </c>
      <c r="E19" s="0" t="n">
        <f aca="false">E15+E16+E17+E18</f>
        <v>5665.53453485198</v>
      </c>
      <c r="F19" s="0" t="n">
        <f aca="false">F15+F16+F17+F18</f>
        <v>5444.22608591976</v>
      </c>
      <c r="G19" s="0" t="n">
        <f aca="false">G15+G16+G17+G18</f>
        <v>5607.55286849736</v>
      </c>
      <c r="H19" s="0" t="n">
        <f aca="false">H15+H16+H17+H18</f>
        <v>6001.23181165831</v>
      </c>
      <c r="I19" s="0" t="n">
        <f aca="false">I15+I16+I17+I18</f>
        <v>6151.26260694977</v>
      </c>
      <c r="J19" s="0" t="n">
        <f aca="false">J15+J16+J17+J18</f>
        <v>6646.95035755062</v>
      </c>
      <c r="K19" s="0" t="n">
        <f aca="false">K15+K16+K17+K18</f>
        <v>6779.88936470163</v>
      </c>
      <c r="L19" s="0" t="n">
        <f aca="false">L15+L16+L17+L18</f>
        <v>6935.15825957087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9521.41382311927</v>
      </c>
      <c r="D21" s="0" t="n">
        <f aca="false">D19*D20</f>
        <v>5354.52527127977</v>
      </c>
      <c r="E21" s="0" t="n">
        <f aca="false">E19*E20</f>
        <v>4374.83217352814</v>
      </c>
      <c r="F21" s="0" t="n">
        <f aca="false">F19*F20</f>
        <v>3856.82701400436</v>
      </c>
      <c r="G21" s="0" t="n">
        <f aca="false">G19*G20</f>
        <v>3644.52460956375</v>
      </c>
      <c r="H21" s="0" t="n">
        <f aca="false">H19*H20</f>
        <v>3578.33845032001</v>
      </c>
      <c r="I21" s="0" t="n">
        <f aca="false">I19*I20</f>
        <v>3364.9512950257</v>
      </c>
      <c r="J21" s="0" t="n">
        <f aca="false">J19*J20</f>
        <v>3335.8802471135</v>
      </c>
      <c r="K21" s="0" t="n">
        <f aca="false">K19*K20</f>
        <v>3121.64940555575</v>
      </c>
      <c r="L21" s="0" t="n">
        <f aca="false">L19*L20</f>
        <v>2929.48579637463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43082.4280858849</v>
      </c>
    </row>
    <row r="31" customFormat="false" ht="15" hidden="false" customHeight="false" outlineLevel="0" collapsed="false">
      <c r="A31" s="0" t="s">
        <v>136</v>
      </c>
      <c r="B31" s="0" t="n">
        <f aca="false">L19</f>
        <v>6935.15825957087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93855.8084461924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83221.8991148504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83221.8991148504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35153.8295564956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78236.2576423805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63432.2576423805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122.062103870096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-0.898535242003245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122.062103870096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52142.1158034402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62.0911723319227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-22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118563</v>
      </c>
      <c r="C6" s="0" t="n">
        <f aca="false">B6*(1+C5/100)</f>
        <v>92479.14</v>
      </c>
      <c r="D6" s="0" t="n">
        <f aca="false">C6*(1+D5/100)</f>
        <v>99877.4712</v>
      </c>
      <c r="E6" s="0" t="n">
        <f aca="false">D6*(1+E5/100)</f>
        <v>106868.894184</v>
      </c>
      <c r="F6" s="0" t="n">
        <f aca="false">E6*(1+F5/100)</f>
        <v>113281.02783504</v>
      </c>
      <c r="G6" s="0" t="n">
        <f aca="false">F6*(1+G5/100)</f>
        <v>118945.079226792</v>
      </c>
      <c r="H6" s="0" t="n">
        <f aca="false">G6*(1+H5/100)</f>
        <v>123702.882395864</v>
      </c>
      <c r="I6" s="0" t="n">
        <f aca="false">H6*(1+I5/100)</f>
        <v>128032.483279719</v>
      </c>
      <c r="J6" s="0" t="n">
        <f aca="false">I6*(1+J5/100)</f>
        <v>131873.457778111</v>
      </c>
      <c r="K6" s="0" t="n">
        <f aca="false">J6*(1+K5/100)</f>
        <v>135170.294222563</v>
      </c>
      <c r="L6" s="0" t="n">
        <f aca="false">K6*(1+L5/100)</f>
        <v>137873.700107015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16</v>
      </c>
      <c r="D7" s="4" t="n">
        <f aca="false">Assumptions!D42</f>
        <v>16.5</v>
      </c>
      <c r="E7" s="4" t="n">
        <f aca="false">Assumptions!E42</f>
        <v>17</v>
      </c>
      <c r="F7" s="4" t="n">
        <f aca="false">Assumptions!F42</f>
        <v>17.5</v>
      </c>
      <c r="G7" s="4" t="n">
        <f aca="false">Assumptions!G42</f>
        <v>17.5</v>
      </c>
      <c r="H7" s="4" t="n">
        <f aca="false">Assumptions!H42</f>
        <v>17.5</v>
      </c>
      <c r="I7" s="4" t="n">
        <f aca="false">Assumptions!I42</f>
        <v>17.5</v>
      </c>
      <c r="J7" s="4" t="n">
        <f aca="false">Assumptions!J42</f>
        <v>17.5</v>
      </c>
      <c r="K7" s="4" t="n">
        <f aca="false">Assumptions!K42</f>
        <v>17.5</v>
      </c>
      <c r="L7" s="4" t="n">
        <f aca="false">Assumptions!L42</f>
        <v>17.5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14796.6624</v>
      </c>
      <c r="D8" s="0" t="n">
        <f aca="false">D6*D7/100</f>
        <v>16479.782748</v>
      </c>
      <c r="E8" s="0" t="n">
        <f aca="false">E6*E7/100</f>
        <v>18167.71201128</v>
      </c>
      <c r="F8" s="0" t="n">
        <f aca="false">F6*F7/100</f>
        <v>19824.179871132</v>
      </c>
      <c r="G8" s="0" t="n">
        <f aca="false">G6*G7/100</f>
        <v>20815.3888646886</v>
      </c>
      <c r="H8" s="0" t="n">
        <f aca="false">H6*H7/100</f>
        <v>21648.0044192761</v>
      </c>
      <c r="I8" s="0" t="n">
        <f aca="false">I6*I7/100</f>
        <v>22405.6845739508</v>
      </c>
      <c r="J8" s="0" t="n">
        <f aca="false">J6*J7/100</f>
        <v>23077.8551111693</v>
      </c>
      <c r="K8" s="0" t="n">
        <f aca="false">K6*K7/100</f>
        <v>23654.8014889486</v>
      </c>
      <c r="L8" s="0" t="n">
        <f aca="false">L6*L7/100</f>
        <v>24127.8975187275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14796.6624</v>
      </c>
      <c r="D11" s="0" t="n">
        <f aca="false">D8+D10+D24</f>
        <v>16479.782748</v>
      </c>
      <c r="E11" s="0" t="n">
        <f aca="false">E8+E10+E24</f>
        <v>18167.71201128</v>
      </c>
      <c r="F11" s="0" t="n">
        <f aca="false">F8+F10+F24</f>
        <v>19824.179871132</v>
      </c>
      <c r="G11" s="0" t="n">
        <f aca="false">G8+G10+G24</f>
        <v>20815.3888646886</v>
      </c>
      <c r="H11" s="0" t="n">
        <f aca="false">H8+H10+H24</f>
        <v>21648.0044192761</v>
      </c>
      <c r="I11" s="0" t="n">
        <f aca="false">I8+I10+I24</f>
        <v>22405.6845739508</v>
      </c>
      <c r="J11" s="0" t="n">
        <f aca="false">J8+J10+J24</f>
        <v>23077.8551111693</v>
      </c>
      <c r="K11" s="0" t="n">
        <f aca="false">K8+K10+K24</f>
        <v>23654.8014889486</v>
      </c>
      <c r="L11" s="0" t="n">
        <f aca="false">L8+L10+L24</f>
        <v>24127.8975187275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-3329.24904</v>
      </c>
      <c r="D12" s="4" t="n">
        <f aca="false">-D6*Assumptions!D45/100</f>
        <v>-3795.3439056</v>
      </c>
      <c r="E12" s="4" t="n">
        <f aca="false">-E6*Assumptions!E45/100</f>
        <v>-4274.75576736</v>
      </c>
      <c r="F12" s="4" t="n">
        <f aca="false">-F6*Assumptions!F45/100</f>
        <v>-4757.80316907168</v>
      </c>
      <c r="G12" s="4" t="n">
        <f aca="false">-G6*Assumptions!G45/100</f>
        <v>-5352.52856520564</v>
      </c>
      <c r="H12" s="4" t="n">
        <f aca="false">-H6*Assumptions!H45/100</f>
        <v>-5566.62970781387</v>
      </c>
      <c r="I12" s="4" t="n">
        <f aca="false">-I6*Assumptions!I45/100</f>
        <v>-5761.46174758735</v>
      </c>
      <c r="J12" s="4" t="n">
        <f aca="false">-J6*Assumptions!J45/100</f>
        <v>-5934.30560001497</v>
      </c>
      <c r="K12" s="4" t="n">
        <f aca="false">-K6*Assumptions!K45/100</f>
        <v>-6082.66324001535</v>
      </c>
      <c r="L12" s="4" t="n">
        <f aca="false">-L6*Assumptions!L45/100</f>
        <v>-6204.31650481565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11467.41336</v>
      </c>
      <c r="D13" s="0" t="n">
        <f aca="false">D11+D12</f>
        <v>12684.4388424</v>
      </c>
      <c r="E13" s="0" t="n">
        <f aca="false">E11+E12</f>
        <v>13892.95624392</v>
      </c>
      <c r="F13" s="0" t="n">
        <f aca="false">F11+F12</f>
        <v>15066.3767020603</v>
      </c>
      <c r="G13" s="0" t="n">
        <f aca="false">G11+G12</f>
        <v>15462.860299483</v>
      </c>
      <c r="H13" s="0" t="n">
        <f aca="false">H11+H12</f>
        <v>16081.3747114623</v>
      </c>
      <c r="I13" s="0" t="n">
        <f aca="false">I11+I12</f>
        <v>16644.2228263635</v>
      </c>
      <c r="J13" s="0" t="n">
        <f aca="false">J11+J12</f>
        <v>17143.5495111544</v>
      </c>
      <c r="K13" s="0" t="n">
        <f aca="false">K11+K12</f>
        <v>17572.1382489332</v>
      </c>
      <c r="L13" s="0" t="n">
        <f aca="false">L11+L12</f>
        <v>17923.5810139119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20</v>
      </c>
      <c r="D14" s="4" t="n">
        <f aca="false">Assumptions!D47</f>
        <v>25</v>
      </c>
      <c r="E14" s="4" t="n">
        <f aca="false">Assumptions!E47</f>
        <v>30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9173.930688</v>
      </c>
      <c r="D15" s="0" t="n">
        <f aca="false">D13-MAX(0,D13)*D14/100</f>
        <v>9513.3291318</v>
      </c>
      <c r="E15" s="0" t="n">
        <f aca="false">E13-MAX(0,E13)*E14/100</f>
        <v>9725.069370744</v>
      </c>
      <c r="F15" s="0" t="n">
        <f aca="false">F13-MAX(0,F13)*F14/100</f>
        <v>10395.7999244216</v>
      </c>
      <c r="G15" s="0" t="n">
        <f aca="false">G13-MAX(0,G13)*G14/100</f>
        <v>10669.3736066432</v>
      </c>
      <c r="H15" s="0" t="n">
        <f aca="false">H13-MAX(0,H13)*H14/100</f>
        <v>11096.148550909</v>
      </c>
      <c r="I15" s="0" t="n">
        <f aca="false">I13-MAX(0,I13)*I14/100</f>
        <v>11484.5137501908</v>
      </c>
      <c r="J15" s="0" t="n">
        <f aca="false">J13-MAX(0,J13)*J14/100</f>
        <v>11829.0491626965</v>
      </c>
      <c r="K15" s="0" t="n">
        <f aca="false">K13-MAX(0,K13)*K14/100</f>
        <v>12124.7753917639</v>
      </c>
      <c r="L15" s="0" t="n">
        <f aca="false">L13-MAX(0,L13)*L14/100</f>
        <v>12367.2708995992</v>
      </c>
    </row>
    <row r="16" customFormat="false" ht="15" hidden="false" customHeight="false" outlineLevel="0" collapsed="false">
      <c r="A16" s="0" t="s">
        <v>127</v>
      </c>
      <c r="C16" s="0" t="n">
        <f aca="false">-C12</f>
        <v>3329.24904</v>
      </c>
      <c r="D16" s="0" t="n">
        <f aca="false">-D12</f>
        <v>3795.3439056</v>
      </c>
      <c r="E16" s="0" t="n">
        <f aca="false">-E12</f>
        <v>4274.75576736</v>
      </c>
      <c r="F16" s="0" t="n">
        <f aca="false">-F12</f>
        <v>4757.80316907168</v>
      </c>
      <c r="G16" s="0" t="n">
        <f aca="false">-G12</f>
        <v>5352.52856520564</v>
      </c>
      <c r="H16" s="0" t="n">
        <f aca="false">-H12</f>
        <v>5566.62970781387</v>
      </c>
      <c r="I16" s="0" t="n">
        <f aca="false">-I12</f>
        <v>5761.46174758735</v>
      </c>
      <c r="J16" s="0" t="n">
        <f aca="false">-J12</f>
        <v>5934.30560001497</v>
      </c>
      <c r="K16" s="0" t="n">
        <f aca="false">-K12</f>
        <v>6082.66324001535</v>
      </c>
      <c r="L16" s="0" t="n">
        <f aca="false">-L12</f>
        <v>6204.31650481565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-4623.957</v>
      </c>
      <c r="D17" s="4" t="n">
        <f aca="false">-D6*Assumptions!D46/100</f>
        <v>-5992.648272</v>
      </c>
      <c r="E17" s="4" t="n">
        <f aca="false">-E6*Assumptions!E46/100</f>
        <v>-6412.13365104</v>
      </c>
      <c r="F17" s="4" t="n">
        <f aca="false">-F6*Assumptions!F46/100</f>
        <v>-6796.8616701024</v>
      </c>
      <c r="G17" s="4" t="n">
        <f aca="false">-G6*Assumptions!G46/100</f>
        <v>-6541.97935747356</v>
      </c>
      <c r="H17" s="4" t="n">
        <f aca="false">-H6*Assumptions!H46/100</f>
        <v>-6803.6585317725</v>
      </c>
      <c r="I17" s="4" t="n">
        <f aca="false">-I6*Assumptions!I46/100</f>
        <v>-6401.62416398595</v>
      </c>
      <c r="J17" s="4" t="n">
        <f aca="false">-J6*Assumptions!J46/100</f>
        <v>-6593.67288890553</v>
      </c>
      <c r="K17" s="4" t="n">
        <f aca="false">-K6*Assumptions!K46/100</f>
        <v>-6758.51471112816</v>
      </c>
      <c r="L17" s="4" t="n">
        <f aca="false">-L6*Assumptions!L46/100</f>
        <v>-6893.68500535073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2608.386</v>
      </c>
      <c r="D18" s="4" t="n">
        <f aca="false">(D6-C6)*Assumptions!$B$51/100</f>
        <v>-739.83312</v>
      </c>
      <c r="E18" s="4" t="n">
        <f aca="false">(E6-D6)*Assumptions!$B$51/100</f>
        <v>-699.1422984</v>
      </c>
      <c r="F18" s="4" t="n">
        <f aca="false">(F6-E6)*Assumptions!$B$51/100</f>
        <v>-641.213365104</v>
      </c>
      <c r="G18" s="4" t="n">
        <f aca="false">(G6-F6)*Assumptions!$B$51/100</f>
        <v>-566.4051391752</v>
      </c>
      <c r="H18" s="4" t="n">
        <f aca="false">(H6-G6)*Assumptions!$B$51/100</f>
        <v>-475.780316907169</v>
      </c>
      <c r="I18" s="4" t="n">
        <f aca="false">(I6-H6)*Assumptions!$B$51/100</f>
        <v>-432.960088385522</v>
      </c>
      <c r="J18" s="4" t="n">
        <f aca="false">(J6-I6)*Assumptions!$B$51/100</f>
        <v>-384.097449839157</v>
      </c>
      <c r="K18" s="4" t="n">
        <f aca="false">(K6-J6)*Assumptions!$B$51/100</f>
        <v>-329.683644445275</v>
      </c>
      <c r="L18" s="4" t="n">
        <f aca="false">(L6-K6)*Assumptions!$B$51/100</f>
        <v>-270.340588445126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10487.608728</v>
      </c>
      <c r="D19" s="0" t="n">
        <f aca="false">D15+D16+D17+D18</f>
        <v>6576.1916454</v>
      </c>
      <c r="E19" s="0" t="n">
        <f aca="false">E15+E16+E17+E18</f>
        <v>6888.549188664</v>
      </c>
      <c r="F19" s="0" t="n">
        <f aca="false">F15+F16+F17+F18</f>
        <v>7715.5280582869</v>
      </c>
      <c r="G19" s="0" t="n">
        <f aca="false">G15+G16+G17+G18</f>
        <v>8913.51767520012</v>
      </c>
      <c r="H19" s="0" t="n">
        <f aca="false">H15+H16+H17+H18</f>
        <v>9383.33941004317</v>
      </c>
      <c r="I19" s="0" t="n">
        <f aca="false">I15+I16+I17+I18</f>
        <v>10411.3912454067</v>
      </c>
      <c r="J19" s="0" t="n">
        <f aca="false">J15+J16+J17+J18</f>
        <v>10785.5844239668</v>
      </c>
      <c r="K19" s="0" t="n">
        <f aca="false">K15+K16+K17+K18</f>
        <v>11119.2402762058</v>
      </c>
      <c r="L19" s="0" t="n">
        <f aca="false">L15+L16+L17+L18</f>
        <v>11407.561810619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9621.65938348624</v>
      </c>
      <c r="D21" s="0" t="n">
        <f aca="false">D19*D20</f>
        <v>5535.04893981988</v>
      </c>
      <c r="E21" s="0" t="n">
        <f aca="false">E19*E20</f>
        <v>5319.22388507439</v>
      </c>
      <c r="F21" s="0" t="n">
        <f aca="false">F19*F20</f>
        <v>5465.87459317134</v>
      </c>
      <c r="G21" s="0" t="n">
        <f aca="false">G19*G20</f>
        <v>5793.17489943762</v>
      </c>
      <c r="H21" s="0" t="n">
        <f aca="false">H19*H20</f>
        <v>5594.97870722684</v>
      </c>
      <c r="I21" s="0" t="n">
        <f aca="false">I19*I20</f>
        <v>5695.38754769936</v>
      </c>
      <c r="J21" s="0" t="n">
        <f aca="false">J19*J20</f>
        <v>5412.92112895277</v>
      </c>
      <c r="K21" s="0" t="n">
        <f aca="false">K19*K20</f>
        <v>5119.60711028167</v>
      </c>
      <c r="L21" s="0" t="n">
        <f aca="false">L19*L20</f>
        <v>4818.67738913602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58376.5535842861</v>
      </c>
    </row>
    <row r="31" customFormat="false" ht="15" hidden="false" customHeight="false" outlineLevel="0" collapsed="false">
      <c r="A31" s="0" t="s">
        <v>136</v>
      </c>
      <c r="B31" s="0" t="n">
        <f aca="false">L19</f>
        <v>11407.561810619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166224.472097591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159705.865348666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159705.865348666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67461.4834479042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125838.03703219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111034.03703219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213.661765560181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-0.82239254733152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213.661765560181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89505.484975626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100.567251837689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48.2164705600366</v>
      </c>
      <c r="C4" s="0" t="n">
        <f aca="false">B4/Assumptions!$B$2-1</f>
        <v>-0.959919808345772</v>
      </c>
      <c r="D4" s="4" t="n">
        <f aca="false">Assumptions!$B$24</f>
        <v>0.3</v>
      </c>
      <c r="E4" s="4" t="n">
        <f aca="false">DCF_Bear!$B$43</f>
        <v>48.2164705600366</v>
      </c>
      <c r="F4" s="4" t="n">
        <f aca="false">DCF_Bear!$B$47</f>
        <v>24.3339993366148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122.062103870096</v>
      </c>
      <c r="C5" s="0" t="n">
        <f aca="false">B5/Assumptions!$B$2-1</f>
        <v>-0.898535242003245</v>
      </c>
      <c r="D5" s="4" t="n">
        <f aca="false">Assumptions!$B$38</f>
        <v>0.5</v>
      </c>
      <c r="E5" s="4" t="n">
        <f aca="false">DCF_Base!$B$43</f>
        <v>122.062103870096</v>
      </c>
      <c r="F5" s="4" t="n">
        <f aca="false">DCF_Base!$B$47</f>
        <v>62.0911723319227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213.661765560181</v>
      </c>
      <c r="C6" s="0" t="n">
        <f aca="false">B6/Assumptions!$B$2-1</f>
        <v>-0.82239254733152</v>
      </c>
      <c r="D6" s="4" t="n">
        <f aca="false">Assumptions!$B$52</f>
        <v>0.2</v>
      </c>
      <c r="E6" s="4" t="n">
        <f aca="false">DCF_Bull!$B$43</f>
        <v>213.661765560181</v>
      </c>
      <c r="F6" s="4" t="n">
        <f aca="false">DCF_Bull!$B$47</f>
        <v>100.567251837689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118.228346215095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118.228346215095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-9.17522479601769</v>
      </c>
    </row>
    <row r="11" customFormat="false" ht="15" hidden="false" customHeight="false" outlineLevel="0" collapsed="false">
      <c r="A11" s="0" t="s">
        <v>163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58.4592363344837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122.062103870096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112.509156825903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98.1581261543208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86.5520630176489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62.0911723319227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0.5</v>
      </c>
      <c r="C22" s="3" t="n">
        <v>1</v>
      </c>
      <c r="D22" s="3" t="n">
        <v>1.5</v>
      </c>
      <c r="E22" s="3" t="n">
        <v>2</v>
      </c>
      <c r="F22" s="3" t="n">
        <v>2.5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143.254665921483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143.254665921483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143.254665921483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143.254665921483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143.254665921483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132.178004310368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132.178004310368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132.178004310368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132.178004310368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132.178004310368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121.067306994926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122.062103870096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122.062103870096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122.062103870096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122.062103870096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105.500248799467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108.810010923062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112.509156825903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112.811814217953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112.811814217953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92.9280580394058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95.4123403939904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98.1581261543208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101.208999221355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104.342328317227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2026-10-26T07:21:50Z</dcterms:created>
  <dc:creator>openpyxl</dc:creator>
  <dc:description/>
  <dc:language>en-NZ</dc:language>
  <cp:lastModifiedBy/>
  <dcterms:modified xsi:type="dcterms:W3CDTF">2026-10-26T07:21:50Z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