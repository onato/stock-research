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<sst xmlns="http://schemas.openxmlformats.org/spreadsheetml/2006/main" count="390" uniqueCount="176">
  <si>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</si>
  <si>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OMC</t>
  </si>
  <si>
    <t xml:space="preserve">Company</t>
  </si>
  <si>
    <t xml:space="preserve">Omnicom Group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</si>
  <si>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</si>
  <si>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</si>
  <si>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</si>
  <si>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</si>
  <si>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API); 52-week range 66.33-89.57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</si>
  <si>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</si>
  <si>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</si>
  <si>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</si>
  <si>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</si>
  <si>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</si>
  <si>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</si>
  <si>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</si>
  <si>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</si>
  <si>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</si>
  <si>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</si>
  <si>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</si>
  <si>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</si>
  <si>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2026-10-02T06:27:07Z</t>
  </si>
  <si>
    <t xml:space="preserve">Drivers file</t>
  </si>
  <si>
    <t xml:space="preserve">OMC_Drivers.json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</si>
  <si>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</si>
  <si>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</si>
  <si>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</si>
  <si>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combined Omnicom-IPG entity on a normalised FY2026 Core Operations run-rate, not on FY2025 GAAP (one month of IPG, $1.25B of repositioning charges, negative net income) or on the pre-merger standalone history. Unlevered owner FCF is built from an adjusted-EBITA-plus-depreciation margin with SBC expensed and the share count held flat, acquired-intangible amortisation ignored as non-cash and non-deductible, operating leases left inside operating cost, and three debt-like claims deducted in the bridge: net debt, non-controlling interests and the unpaid cash severance. Cash integration costs are charged in the FY2027-28 margins rather than adjusted away. The three scenarios carry the integration and structural-decline risk in their flows and weights; WACC is the same 8% in all three so that risk is charged once. Terminal value is capped at 9-14x FCF, below the sector's pre-2022 multiples, because the market's 7x P/E is itself evidence that a Gordon-growth exit is not something a buyer has to grant.
key_risks_to_valuation: Integration execution: client defections or talent attrition during the six-to-three network consolidation would show up first as organic growth below the 5% FY2026 guidance and would move the base case toward the bear path; Structural AI disintermediation: if self-serve platforms and in-housing compress agency revenue faster than the bear case's -1 to -2% a year, the 15% bear margin and 9x cap are not the floor; Synergy give-back: the FY2027-28 margin step-up assumes 75-80% of the $900M 2026 synergy flows to EBITA; competitive pricing or reinvestment could hold margins at the ~16.5% pre-merger combined level; Terminal multiple: the 12x base cap sits above today's ~9.5x EV/owner-FCF; if the market never re-rates, intrinsic value is overstated by roughly the gap between the two multiples on the FY2036 FCF; Leverage and rates: 2.4x gross leverage with ~$10B of notes; a cyclical ad downturn would cut FCF while the $5B buyback and $0.80 quarterly dividend are being funded; Disposal proceeds and remaining restructuring cash are both estimates: proceeds are carried at zero (upside) and the $341M severance liability at book (could rise if further actions are announced); FTC consent order and five-year compliance monitor add a compliance cost and client-relationship friction not separately modelled</t>
  </si>
  <si>
    <t xml:space="preserve">Data sources</t>
  </si>
  <si>
    <t xml:space="preserve">price: Yahoo Finance chart API at inputs.price_as_of; 52-week range 66.33-89.57
financials: SEC EDGAR: Q2 2026 10-Q (accession 0000029989-26-000019, filed 2026-07-29, iXBRL parsed directly because the companyfacts API had not yet indexed it), Q2 2026 earnings release 8-K ex (a2026q2earningsrelease.htm, 2026-07-28), FY2025 10-K and Q1 2026 10-Q via companyfacts; OMC_Metrics.csv (XBRL, FY2006-Q1 2026) for the pre-merger history
qualitative: OMC_Analysis.json (2026-10-02): business model, guidance (FY2026 ~5% organic, high-teens adjusted EPS growth off $8.65, $900M 2026 cost synergies, 2.4x leverage target, $5B buyback), bull/bear cases, FTC consent order</t>
  </si>
  <si>
    <t xml:space="preserve">Scenario narrative: bear</t>
  </si>
  <si>
    <t xml:space="preserve">The merger scales up the problem rather than solving it: AI-native creative and self-serve media tools and advertiser in-housing erode the intermediary role, client conflicts across the combined roster force resignations, and talent leaves with the retired DDB/FCB/MullenLowe brands. Revenue declines 1-2% a year from FY2028, synergies are given back in pricing, EBITDA margin drifts to 15%, and the exit multiple is 9x FCF. Leverage (2.4x) stays serviceable but the $5B buyback is in hindsight capital spent on a melting asset. The 30% weight reflects that this is the branch the current price is already discounting and that integration execution is unproven for at least four more quarters.</t>
  </si>
  <si>
    <t xml:space="preserve">Scenario narrative: base</t>
  </si>
  <si>
    <t xml:space="preserve">The integration lands roughly as guided: six creative networks become three without major client losses, the $750M-$1.5B synergy programme reaches the ~$1B run-rate during FY2027, and Core Operations grow 3% then 2.5% a year as a 'Big 3' scale media buyer with a data platform. EBITDA margin settles at 18.5% (EBITA ~17.7%) once the last ~$200-300M of cash severance and integration costs roll off in FY2027-28. FCF is deployed to the $5B buyback and the $3.20 dividend, which the model treats as value-neutral. The axes are organic growth versus the 2-3% industry rate, synergy capture net of dis-synergies, and whether the market's 7x adjusted P/E persists -- the 12x FCF exit cap assumes a modest re-rating toward Omnicom's own history, not toward the market.</t>
  </si>
  <si>
    <t xml:space="preserve">Scenario narrative: bull</t>
  </si>
  <si>
    <t xml:space="preserve">Scale and data become a real moat: media-buying leverage against Google, Meta, Amazon and retail media networks plus Omni/Acxiom/Kinesso identity data lift organic growth to 4-5.5% through FY2029 with $3B+/yr of new-business billings, synergies reach the $1.5B top of the range and margins expand to 19.8% EBITDA (EBITA ~19%, Publicis-level). The buyback retires ~20% of the count at single-digit multiples and the stock re-rates toward a 14x FCF exit. Needs three things to go right at once -- growth, margin and multiple -- which is why the weight is 20%.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</si>
  <si>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</si>
  <si>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</si>
  <si>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</si>
  <si>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</si>
  <si>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</si>
  <si>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</si>
  <si>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</si>
  <si>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</si>
  <si>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</si>
  <si>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</si>
  <si>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</si>
  <si>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</si>
  <si>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</si>
  <si>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</si>
  <si>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</si>
  <si>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</si>
  <si>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</si>
  <si>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</si>
  <si>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</si>
  <si>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</si>
  <si>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</si>
  <si>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</si>
  <si>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</si>
  <si>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</si>
  <si>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</si>
  <si>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</si>
  <si>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</si>
  <si>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</si>
  <si>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</si>
  <si>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</si>
  <si>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</si>
  <si>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</si>
  <si>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</si>
  <si>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</si>
  <si>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</si>
  <si>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</si>
  <si>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</si>
  <si>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</si>
  <si>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</si>
  <si>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</si>
  <si>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</si>
  <si>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</si>
  <si>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</si>
  <si>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</si>
  <si>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</si>
  <si>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</si>
  <si>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</si>
  <si>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</si>
  <si>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</si>
  <si>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</si>
  <si>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</si>
  <si>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</si>
  <si>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</si>
  <si>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</si>
  <si>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</si>
  <si>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</si>
  <si>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</si>
  <si>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</si>
  <si>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</si>
  <si>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</si>
  <si>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</si>
  <si>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</si>
  <si>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</si>
  <si>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</si>
  <si>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</si>
  <si>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</si>
  <si>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</si>
  <si>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</si>
  <si>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</si>
  <si>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</si>
  <si>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</si>
  <si>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</si>
  <si>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</si>
  <si>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</si>
  <si>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</si>
  <si>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</si>
  <si>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</si>
  <si>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</si>
  <si>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</si>
  <si>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</si>
  <si>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</si>
  <si>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</si>
  <si>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</si>
  <si>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</si>
  <si>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</si>
  <si>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OMC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</si>
  <si>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</si>
  <si>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</si>
  <si>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</si>
  <si>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</si>
  <si>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</si>
  <si>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</si>
  <si>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</si>
  <si>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</si>
  <si>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</si>
  <si>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</si>
  <si>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</si>
  <si>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</si>
  <si>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</si>
  <si>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</si>
  <si>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</si>
  <si>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</si>
  <si>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</si>
  <si>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</si>
  <si>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</si>
  <si>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</si>
  <si>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</si>
  <si>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</si>
  <si>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</si>
  <si>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</si>
  <si>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</si>
  <si>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</si>
  <si>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</si>
  <si>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</si>
  <si>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</si>
  <si>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</si>
  <si>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OMC owner-FCF component DCF: base case (millions, USD)</t>
  </si>
  <si>
    <t xml:space="preserve">OMC owner-FCF component DCF: bull case (millions, USD)</t>
  </si>
  <si>
    <t xml:space="preserve">OMC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</si>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</sst>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74.7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4070.1</v>
      </c>
      <c r="S2" s="0" t="n">
        <v>1739.5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12694</v>
      </c>
      <c r="F3" s="0" t="n">
        <v>1659.1</v>
      </c>
      <c r="G3" s="0" t="n">
        <v>13.0699543091224</v>
      </c>
      <c r="I3" s="0" t="n">
        <v>1086.6</v>
      </c>
      <c r="J3" s="0" t="n">
        <v>8.55994958247991</v>
      </c>
      <c r="K3" s="0" t="n">
        <v>2.95</v>
      </c>
      <c r="L3" s="0" t="n">
        <v>1599.3</v>
      </c>
      <c r="M3" s="0" t="n">
        <v>-223</v>
      </c>
      <c r="N3" s="0" t="n">
        <v>1376.3</v>
      </c>
      <c r="O3" s="0" t="n">
        <v>4333.8</v>
      </c>
      <c r="S3" s="0" t="n">
        <v>1793.2</v>
      </c>
      <c r="U3" s="0" t="n">
        <v>68.7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13359.9</v>
      </c>
      <c r="F4" s="0" t="n">
        <v>1689.4</v>
      </c>
      <c r="G4" s="0" t="n">
        <v>12.6453042313191</v>
      </c>
      <c r="I4" s="0" t="n">
        <v>1114.4</v>
      </c>
      <c r="J4" s="0" t="n">
        <v>8.34137980074701</v>
      </c>
      <c r="K4" s="0" t="n">
        <v>3.17</v>
      </c>
      <c r="L4" s="0" t="n">
        <v>1394.2</v>
      </c>
      <c r="M4" s="0" t="n">
        <v>-212.2</v>
      </c>
      <c r="N4" s="0" t="n">
        <v>1182</v>
      </c>
      <c r="O4" s="0" t="n">
        <v>3753.4</v>
      </c>
      <c r="P4" s="0" t="n">
        <v>17318.4</v>
      </c>
      <c r="R4" s="0" t="n">
        <v>2.7</v>
      </c>
      <c r="S4" s="0" t="n">
        <v>1097.3</v>
      </c>
      <c r="T4" s="0" t="n">
        <v>307.3</v>
      </c>
      <c r="U4" s="0" t="n">
        <v>59.3</v>
      </c>
      <c r="V4" s="0" t="n">
        <v>0.6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11720.7</v>
      </c>
      <c r="F5" s="0" t="n">
        <v>1374.9</v>
      </c>
      <c r="G5" s="0" t="n">
        <v>11.7305280401341</v>
      </c>
      <c r="I5" s="0" t="n">
        <v>871.4</v>
      </c>
      <c r="J5" s="0" t="n">
        <v>7.43470953100071</v>
      </c>
      <c r="K5" s="0" t="n">
        <v>2.54</v>
      </c>
      <c r="L5" s="0" t="n">
        <v>1731.6</v>
      </c>
      <c r="M5" s="0" t="n">
        <v>130.6</v>
      </c>
      <c r="N5" s="0" t="n">
        <v>1601</v>
      </c>
      <c r="O5" s="0" t="n">
        <v>4452.8</v>
      </c>
      <c r="P5" s="0" t="n">
        <v>17920.7</v>
      </c>
      <c r="R5" s="0" t="n">
        <v>17.8</v>
      </c>
      <c r="S5" s="0" t="n">
        <v>1587</v>
      </c>
      <c r="T5" s="0" t="n">
        <v>310.4</v>
      </c>
      <c r="U5" s="0" t="n">
        <v>78.6</v>
      </c>
      <c r="V5" s="0" t="n">
        <v>0.6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12542.5</v>
      </c>
      <c r="F6" s="0" t="n">
        <v>1460.2</v>
      </c>
      <c r="G6" s="0" t="n">
        <v>11.6420171417182</v>
      </c>
      <c r="I6" s="0" t="n">
        <v>923.7</v>
      </c>
      <c r="J6" s="0" t="n">
        <v>7.36456049431932</v>
      </c>
      <c r="K6" s="0" t="n">
        <v>2.74</v>
      </c>
      <c r="L6" s="0" t="n">
        <v>1488</v>
      </c>
      <c r="M6" s="0" t="n">
        <v>153.7</v>
      </c>
      <c r="N6" s="0" t="n">
        <v>1334.3</v>
      </c>
      <c r="O6" s="0" t="n">
        <v>3893.1</v>
      </c>
      <c r="P6" s="0" t="n">
        <v>19566.1</v>
      </c>
      <c r="R6" s="0" t="n">
        <v>1.4</v>
      </c>
      <c r="S6" s="0" t="n">
        <v>2288.7</v>
      </c>
      <c r="T6" s="0" t="n">
        <v>303.5</v>
      </c>
      <c r="U6" s="0" t="n">
        <v>69.3</v>
      </c>
      <c r="V6" s="0" t="n">
        <v>0.8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13872.5</v>
      </c>
      <c r="F7" s="0" t="n">
        <v>1671.1</v>
      </c>
      <c r="G7" s="0" t="n">
        <v>12.0461344386376</v>
      </c>
      <c r="I7" s="0" t="n">
        <v>1060.4</v>
      </c>
      <c r="J7" s="0" t="n">
        <v>7.64389980176609</v>
      </c>
      <c r="K7" s="0" t="n">
        <v>3.38</v>
      </c>
      <c r="L7" s="0" t="n">
        <v>1315.3</v>
      </c>
      <c r="M7" s="0" t="n">
        <v>185.5</v>
      </c>
      <c r="N7" s="0" t="n">
        <v>1129.8</v>
      </c>
      <c r="O7" s="0" t="n">
        <v>3979.8</v>
      </c>
      <c r="P7" s="0" t="n">
        <v>20505.4</v>
      </c>
      <c r="R7" s="0" t="n">
        <v>3161.4</v>
      </c>
      <c r="S7" s="0" t="n">
        <v>1781.2</v>
      </c>
      <c r="T7" s="0" t="n">
        <v>283.3</v>
      </c>
      <c r="U7" s="0" t="n">
        <v>74.5</v>
      </c>
      <c r="V7" s="0" t="n">
        <v>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14219.4</v>
      </c>
      <c r="F8" s="0" t="n">
        <v>1804.2</v>
      </c>
      <c r="G8" s="0" t="n">
        <v>12.6882990843496</v>
      </c>
      <c r="I8" s="0" t="n">
        <v>1117.5</v>
      </c>
      <c r="J8" s="0" t="n">
        <v>7.8589813916199</v>
      </c>
      <c r="K8" s="0" t="n">
        <v>3.64</v>
      </c>
      <c r="L8" s="0" t="n">
        <v>1451.3</v>
      </c>
      <c r="M8" s="0" t="n">
        <v>226.3</v>
      </c>
      <c r="N8" s="0" t="n">
        <v>1225</v>
      </c>
      <c r="O8" s="0" t="n">
        <v>3956.3</v>
      </c>
      <c r="P8" s="0" t="n">
        <v>22151.9</v>
      </c>
      <c r="R8" s="0" t="n">
        <v>4410.2</v>
      </c>
      <c r="S8" s="0" t="n">
        <v>2678.3</v>
      </c>
      <c r="T8" s="0" t="n">
        <v>270</v>
      </c>
      <c r="U8" s="0" t="n">
        <v>80.8</v>
      </c>
      <c r="V8" s="0" t="n">
        <v>1.2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14584.5</v>
      </c>
      <c r="F9" s="0" t="n">
        <v>1825.3</v>
      </c>
      <c r="G9" s="0" t="n">
        <v>12.5153416298125</v>
      </c>
      <c r="I9" s="0" t="n">
        <v>1111.6</v>
      </c>
      <c r="J9" s="0" t="n">
        <v>7.62179025677946</v>
      </c>
      <c r="K9" s="0" t="n">
        <v>3.73</v>
      </c>
      <c r="L9" s="0" t="n">
        <v>1809</v>
      </c>
      <c r="M9" s="0" t="n">
        <v>212</v>
      </c>
      <c r="N9" s="0" t="n">
        <v>1597</v>
      </c>
      <c r="O9" s="0" t="n">
        <v>4067.9</v>
      </c>
      <c r="P9" s="0" t="n">
        <v>22098.7</v>
      </c>
      <c r="R9" s="0" t="n">
        <v>4003.6</v>
      </c>
      <c r="S9" s="0" t="n">
        <v>2710.5</v>
      </c>
      <c r="T9" s="0" t="n">
        <v>260.4</v>
      </c>
      <c r="U9" s="0" t="n">
        <v>86.3</v>
      </c>
      <c r="V9" s="0" t="n">
        <v>1.6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15317.8</v>
      </c>
      <c r="F10" s="0" t="n">
        <v>1944.1</v>
      </c>
      <c r="G10" s="0" t="n">
        <v>12.6917703586677</v>
      </c>
      <c r="H10" s="0" t="n">
        <v>2238.5</v>
      </c>
      <c r="I10" s="0" t="n">
        <v>1233.1</v>
      </c>
      <c r="J10" s="0" t="n">
        <v>8.05011163483007</v>
      </c>
      <c r="K10" s="0" t="n">
        <v>4.27</v>
      </c>
      <c r="L10" s="0" t="n">
        <v>1476.5</v>
      </c>
      <c r="M10" s="0" t="n">
        <v>213</v>
      </c>
      <c r="N10" s="0" t="n">
        <v>1263.5</v>
      </c>
      <c r="O10" s="0" t="n">
        <v>3321.3</v>
      </c>
      <c r="P10" s="0" t="n">
        <v>21428.4</v>
      </c>
      <c r="R10" s="0" t="n">
        <v>4500.9</v>
      </c>
      <c r="S10" s="0" t="n">
        <v>2388.1</v>
      </c>
      <c r="T10" s="0" t="n">
        <v>255.3</v>
      </c>
      <c r="U10" s="0" t="n">
        <v>93.5</v>
      </c>
      <c r="V10" s="0" t="n">
        <v>1.9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15134.4</v>
      </c>
      <c r="F11" s="0" t="n">
        <v>1920.1</v>
      </c>
      <c r="G11" s="0" t="n">
        <v>12.6869912252881</v>
      </c>
      <c r="H11" s="0" t="n">
        <v>2211.2</v>
      </c>
      <c r="I11" s="0" t="n">
        <v>1203.4</v>
      </c>
      <c r="J11" s="0" t="n">
        <v>7.95142192620785</v>
      </c>
      <c r="K11" s="0" t="n">
        <v>4.43</v>
      </c>
      <c r="L11" s="0" t="n">
        <v>2199.5</v>
      </c>
      <c r="M11" s="0" t="n">
        <v>202.7</v>
      </c>
      <c r="N11" s="0" t="n">
        <v>1996.8</v>
      </c>
      <c r="O11" s="0" t="n">
        <v>2889.4</v>
      </c>
      <c r="P11" s="0" t="n">
        <v>22110.7</v>
      </c>
      <c r="R11" s="0" t="n">
        <v>5501.7</v>
      </c>
      <c r="S11" s="0" t="n">
        <v>2605.2</v>
      </c>
      <c r="T11" s="0" t="n">
        <v>245.2</v>
      </c>
      <c r="U11" s="0" t="n">
        <v>99.4</v>
      </c>
      <c r="V11" s="0" t="n">
        <v>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15416.9</v>
      </c>
      <c r="C12" s="0" t="n">
        <v>12649.6</v>
      </c>
      <c r="F12" s="0" t="n">
        <v>2030.5</v>
      </c>
      <c r="G12" s="0" t="n">
        <v>13.1706114718264</v>
      </c>
      <c r="H12" s="0" t="n">
        <v>2323.4</v>
      </c>
      <c r="I12" s="0" t="n">
        <v>1246.7</v>
      </c>
      <c r="J12" s="0" t="n">
        <v>8.08658031121691</v>
      </c>
      <c r="K12" s="0" t="n">
        <v>4.8</v>
      </c>
      <c r="L12" s="0" t="n">
        <v>1952.4</v>
      </c>
      <c r="M12" s="0" t="n">
        <v>165.5</v>
      </c>
      <c r="N12" s="0" t="n">
        <v>1786.9</v>
      </c>
      <c r="O12" s="0" t="n">
        <v>2659.6</v>
      </c>
      <c r="P12" s="0" t="n">
        <v>23165.4</v>
      </c>
      <c r="R12" s="0" t="n">
        <v>4900.2</v>
      </c>
      <c r="S12" s="0" t="n">
        <v>3002.2</v>
      </c>
      <c r="T12" s="0" t="n">
        <v>239.2</v>
      </c>
      <c r="U12" s="0" t="n">
        <v>93.4</v>
      </c>
      <c r="V12" s="0" t="n">
        <v>2.15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15273.6</v>
      </c>
      <c r="C13" s="0" t="n">
        <v>12468</v>
      </c>
      <c r="F13" s="0" t="n">
        <v>2083.8</v>
      </c>
      <c r="G13" s="0" t="n">
        <v>13.6431489629164</v>
      </c>
      <c r="H13" s="0" t="n">
        <v>2365.9</v>
      </c>
      <c r="I13" s="0" t="n">
        <v>1192.2</v>
      </c>
      <c r="J13" s="0" t="n">
        <v>7.8056253928347</v>
      </c>
      <c r="K13" s="0" t="n">
        <v>4.68</v>
      </c>
      <c r="L13" s="0" t="n">
        <v>2023.9</v>
      </c>
      <c r="M13" s="0" t="n">
        <v>156</v>
      </c>
      <c r="N13" s="0" t="n">
        <v>1867.9</v>
      </c>
      <c r="O13" s="0" t="n">
        <v>3152.2</v>
      </c>
      <c r="P13" s="0" t="n">
        <v>24931.2</v>
      </c>
      <c r="R13" s="0" t="n">
        <v>4900</v>
      </c>
      <c r="S13" s="0" t="n">
        <v>3796</v>
      </c>
      <c r="T13" s="0" t="n">
        <v>233.9</v>
      </c>
      <c r="U13" s="0" t="n">
        <v>80.2</v>
      </c>
      <c r="V13" s="0" t="n">
        <v>2.25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15290.2</v>
      </c>
      <c r="C14" s="0" t="n">
        <v>12437.3</v>
      </c>
      <c r="F14" s="0" t="n">
        <v>2133.5</v>
      </c>
      <c r="G14" s="0" t="n">
        <v>13.9533819047495</v>
      </c>
      <c r="H14" s="0" t="n">
        <v>2397.5</v>
      </c>
      <c r="I14" s="0" t="n">
        <v>1440.5</v>
      </c>
      <c r="J14" s="0" t="n">
        <v>9.4210670887235</v>
      </c>
      <c r="K14" s="0" t="n">
        <v>5.85</v>
      </c>
      <c r="L14" s="0" t="n">
        <v>1722.3</v>
      </c>
      <c r="M14" s="0" t="n">
        <v>195.7</v>
      </c>
      <c r="N14" s="0" t="n">
        <v>1526.6</v>
      </c>
      <c r="O14" s="0" t="n">
        <v>3106.9</v>
      </c>
      <c r="P14" s="0" t="n">
        <v>24617</v>
      </c>
      <c r="R14" s="0" t="n">
        <v>5399.6</v>
      </c>
      <c r="S14" s="0" t="n">
        <v>3652.4</v>
      </c>
      <c r="T14" s="0" t="n">
        <v>227.6</v>
      </c>
      <c r="U14" s="0" t="n">
        <v>70.5</v>
      </c>
      <c r="V14" s="0" t="n">
        <v>2.4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14953.7</v>
      </c>
      <c r="C15" s="0" t="n">
        <v>12194</v>
      </c>
      <c r="F15" s="0" t="n">
        <v>2122.3</v>
      </c>
      <c r="G15" s="0" t="n">
        <v>14.1924741033992</v>
      </c>
      <c r="H15" s="0" t="n">
        <v>2353.8</v>
      </c>
      <c r="I15" s="0" t="n">
        <v>1435.9</v>
      </c>
      <c r="J15" s="0" t="n">
        <v>9.60230578385283</v>
      </c>
      <c r="K15" s="0" t="n">
        <v>6.09</v>
      </c>
      <c r="L15" s="0" t="n">
        <v>1856</v>
      </c>
      <c r="M15" s="0" t="n">
        <v>102.2</v>
      </c>
      <c r="N15" s="0" t="n">
        <v>1753.8</v>
      </c>
      <c r="O15" s="0" t="n">
        <v>3373.7</v>
      </c>
      <c r="P15" s="0" t="n">
        <v>26783.4</v>
      </c>
      <c r="R15" s="0" t="n">
        <v>5122.8</v>
      </c>
      <c r="S15" s="0" t="n">
        <v>4305.7</v>
      </c>
      <c r="T15" s="0" t="n">
        <v>220.9</v>
      </c>
      <c r="U15" s="0" t="n">
        <v>72.5</v>
      </c>
      <c r="V15" s="0" t="n">
        <v>2.6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13171.1</v>
      </c>
      <c r="C16" s="0" t="n">
        <v>10989.2</v>
      </c>
      <c r="F16" s="0" t="n">
        <v>1598.8</v>
      </c>
      <c r="G16" s="0" t="n">
        <v>12.1386976030855</v>
      </c>
      <c r="H16" s="0" t="n">
        <v>1821.4</v>
      </c>
      <c r="I16" s="0" t="n">
        <v>1020.8</v>
      </c>
      <c r="J16" s="0" t="n">
        <v>7.75030179711641</v>
      </c>
      <c r="K16" s="0" t="n">
        <v>4.38</v>
      </c>
      <c r="L16" s="0" t="n">
        <v>1724.6</v>
      </c>
      <c r="M16" s="0" t="n">
        <v>75.4</v>
      </c>
      <c r="N16" s="0" t="n">
        <v>1649.2</v>
      </c>
      <c r="O16" s="0" t="n">
        <v>3576.9</v>
      </c>
      <c r="P16" s="0" t="n">
        <v>27647.2</v>
      </c>
      <c r="R16" s="0" t="n">
        <v>5823</v>
      </c>
      <c r="S16" s="0" t="n">
        <v>5600.5</v>
      </c>
      <c r="T16" s="0" t="n">
        <v>216.2</v>
      </c>
      <c r="U16" s="0" t="n">
        <v>70.8</v>
      </c>
      <c r="V16" s="0" t="n">
        <v>2.6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14289.4</v>
      </c>
      <c r="C17" s="0" t="n">
        <v>11499.7</v>
      </c>
      <c r="F17" s="0" t="n">
        <v>2197.9</v>
      </c>
      <c r="G17" s="0" t="n">
        <v>15.381331616443</v>
      </c>
      <c r="H17" s="0" t="n">
        <v>2410</v>
      </c>
      <c r="I17" s="0" t="n">
        <v>1507.6</v>
      </c>
      <c r="J17" s="0" t="n">
        <v>10.550477976682</v>
      </c>
      <c r="K17" s="0" t="n">
        <v>6.57</v>
      </c>
      <c r="L17" s="0" t="n">
        <v>1945.4</v>
      </c>
      <c r="M17" s="0" t="n">
        <v>665.8</v>
      </c>
      <c r="N17" s="0" t="n">
        <v>1279.6</v>
      </c>
      <c r="O17" s="0" t="n">
        <v>3773.7</v>
      </c>
      <c r="P17" s="0" t="n">
        <v>28421.8</v>
      </c>
      <c r="R17" s="0" t="n">
        <v>5727</v>
      </c>
      <c r="S17" s="0" t="n">
        <v>5316.8</v>
      </c>
      <c r="T17" s="0" t="n">
        <v>215.6</v>
      </c>
      <c r="U17" s="0" t="n">
        <v>84.7</v>
      </c>
      <c r="V17" s="0" t="n">
        <v>2.8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14289.1</v>
      </c>
      <c r="C18" s="0" t="n">
        <v>11607.9</v>
      </c>
      <c r="F18" s="0" t="n">
        <v>2083.3</v>
      </c>
      <c r="G18" s="0" t="n">
        <v>14.5796446242241</v>
      </c>
      <c r="H18" s="0" t="n">
        <v>2302.7</v>
      </c>
      <c r="I18" s="0" t="n">
        <v>1403.8</v>
      </c>
      <c r="J18" s="0" t="n">
        <v>9.82427164761951</v>
      </c>
      <c r="K18" s="0" t="n">
        <v>6.4</v>
      </c>
      <c r="L18" s="0" t="n">
        <v>926.5</v>
      </c>
      <c r="M18" s="0" t="n">
        <v>78.2</v>
      </c>
      <c r="N18" s="0" t="n">
        <v>848.3</v>
      </c>
      <c r="O18" s="0" t="n">
        <v>3776.4</v>
      </c>
      <c r="P18" s="0" t="n">
        <v>27002.5</v>
      </c>
      <c r="R18" s="0" t="n">
        <v>5611.8</v>
      </c>
      <c r="T18" s="0" t="n">
        <v>207</v>
      </c>
      <c r="U18" s="0" t="n">
        <v>81.7</v>
      </c>
      <c r="V18" s="0" t="n">
        <v>2.8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14692.2</v>
      </c>
      <c r="C19" s="0" t="n">
        <v>11982.7</v>
      </c>
      <c r="F19" s="0" t="n">
        <v>2104.7</v>
      </c>
      <c r="G19" s="0" t="n">
        <v>14.3252882481861</v>
      </c>
      <c r="H19" s="0" t="n">
        <v>2315.8</v>
      </c>
      <c r="I19" s="0" t="n">
        <v>1473.2</v>
      </c>
      <c r="J19" s="0" t="n">
        <v>10.0270892037952</v>
      </c>
      <c r="K19" s="0" t="n">
        <v>6.98</v>
      </c>
      <c r="L19" s="0" t="n">
        <v>1421.9</v>
      </c>
      <c r="M19" s="0" t="n">
        <v>78.4</v>
      </c>
      <c r="N19" s="0" t="n">
        <v>1343.5</v>
      </c>
      <c r="O19" s="0" t="n">
        <v>4225.1</v>
      </c>
      <c r="P19" s="0" t="n">
        <v>28044.6</v>
      </c>
      <c r="R19" s="0" t="n">
        <v>5669.9</v>
      </c>
      <c r="T19" s="0" t="n">
        <v>201.4</v>
      </c>
      <c r="U19" s="0" t="n">
        <v>84.8</v>
      </c>
      <c r="V19" s="0" t="n">
        <v>2.8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15689.1</v>
      </c>
      <c r="C20" s="0" t="n">
        <v>12764.7</v>
      </c>
      <c r="F20" s="0" t="n">
        <v>2274.6</v>
      </c>
      <c r="G20" s="0" t="n">
        <v>14.4979635543148</v>
      </c>
      <c r="H20" s="0" t="n">
        <v>2516.3</v>
      </c>
      <c r="I20" s="0" t="n">
        <v>1574</v>
      </c>
      <c r="J20" s="0" t="n">
        <v>10.0324429062215</v>
      </c>
      <c r="K20" s="0" t="n">
        <v>7.54</v>
      </c>
      <c r="L20" s="0" t="n">
        <v>1733.5</v>
      </c>
      <c r="M20" s="0" t="n">
        <v>140.6</v>
      </c>
      <c r="N20" s="0" t="n">
        <v>1592.9</v>
      </c>
      <c r="O20" s="0" t="n">
        <v>4745.9</v>
      </c>
      <c r="P20" s="0" t="n">
        <v>29620.7</v>
      </c>
      <c r="R20" s="0" t="n">
        <v>6073</v>
      </c>
      <c r="T20" s="0" t="n">
        <v>198.6</v>
      </c>
      <c r="U20" s="0" t="n">
        <v>91.4</v>
      </c>
      <c r="V20" s="0" t="n">
        <v>2.8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17271.9</v>
      </c>
      <c r="C21" s="0" t="n">
        <v>15804.8</v>
      </c>
      <c r="F21" s="0" t="n">
        <v>444.7</v>
      </c>
      <c r="G21" s="0" t="n">
        <v>2.57470226205571</v>
      </c>
      <c r="H21" s="0" t="n">
        <v>721.4</v>
      </c>
      <c r="I21" s="0" t="n">
        <v>-54.5</v>
      </c>
      <c r="J21" s="0" t="n">
        <v>-0.315541428563158</v>
      </c>
      <c r="K21" s="0" t="n">
        <v>-0.27</v>
      </c>
      <c r="L21" s="0" t="n">
        <v>2938.2</v>
      </c>
      <c r="M21" s="0" t="n">
        <v>149.8</v>
      </c>
      <c r="N21" s="0" t="n">
        <v>2788.4</v>
      </c>
      <c r="O21" s="0" t="n">
        <v>12693</v>
      </c>
      <c r="P21" s="0" t="n">
        <v>54415.3</v>
      </c>
      <c r="R21" s="0" t="n">
        <v>9272.9</v>
      </c>
      <c r="T21" s="0" t="n">
        <v>313.1</v>
      </c>
      <c r="U21" s="0" t="n">
        <v>100.8</v>
      </c>
      <c r="V21" s="0" t="n">
        <v>2.9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74.7</v>
      </c>
    </row>
    <row r="3" customFormat="false" ht="15" hidden="false" customHeight="false" outlineLevel="0" collapsed="false">
      <c r="A3" s="0" t="s">
        <v>86</v>
      </c>
      <c r="B3" s="3" t="n">
        <v>275.5</v>
      </c>
    </row>
    <row r="4" customFormat="false" ht="15" hidden="false" customHeight="false" outlineLevel="0" collapsed="false">
      <c r="A4" s="0" t="s">
        <v>87</v>
      </c>
      <c r="B4" s="3" t="n">
        <v>6665.8</v>
      </c>
    </row>
    <row r="5" customFormat="false" ht="15" hidden="false" customHeight="false" outlineLevel="0" collapsed="false">
      <c r="A5" s="0" t="s">
        <v>88</v>
      </c>
      <c r="B5" s="3" t="n">
        <v>-1270.2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24100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1</v>
      </c>
      <c r="D13" s="3" t="n">
        <v>-1</v>
      </c>
      <c r="E13" s="3" t="n">
        <v>-2</v>
      </c>
      <c r="F13" s="3" t="n">
        <v>-2</v>
      </c>
      <c r="G13" s="3" t="n">
        <v>-2</v>
      </c>
      <c r="H13" s="3" t="n">
        <v>-2</v>
      </c>
      <c r="I13" s="3" t="n">
        <v>-1</v>
      </c>
      <c r="J13" s="3" t="n">
        <v>-1</v>
      </c>
      <c r="K13" s="3" t="n">
        <v>-1</v>
      </c>
      <c r="L13" s="3" t="n">
        <v>-1</v>
      </c>
    </row>
    <row r="14" customFormat="false" ht="15" hidden="false" customHeight="false" outlineLevel="0" collapsed="false">
      <c r="A14" s="0" t="s">
        <v>108</v>
      </c>
      <c r="C14" s="3" t="n">
        <v>17</v>
      </c>
      <c r="D14" s="3" t="n">
        <v>16.5</v>
      </c>
      <c r="E14" s="3" t="n">
        <v>16</v>
      </c>
      <c r="F14" s="3" t="n">
        <v>15.5</v>
      </c>
      <c r="G14" s="3" t="n">
        <v>15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109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0.85</v>
      </c>
      <c r="D17" s="3" t="n">
        <v>0.85</v>
      </c>
      <c r="E17" s="3" t="n">
        <v>0.85</v>
      </c>
      <c r="F17" s="3" t="n">
        <v>0.85</v>
      </c>
      <c r="G17" s="3" t="n">
        <v>0.85</v>
      </c>
      <c r="H17" s="3" t="n">
        <v>0.85</v>
      </c>
      <c r="I17" s="3" t="n">
        <v>0.85</v>
      </c>
      <c r="J17" s="3" t="n">
        <v>0.85</v>
      </c>
      <c r="K17" s="3" t="n">
        <v>0.85</v>
      </c>
      <c r="L17" s="3" t="n">
        <v>0.85</v>
      </c>
    </row>
    <row r="18" customFormat="false" ht="15" hidden="false" customHeight="false" outlineLevel="0" collapsed="false">
      <c r="A18" s="0" t="s">
        <v>112</v>
      </c>
      <c r="C18" s="3" t="n">
        <v>1.1</v>
      </c>
      <c r="D18" s="3" t="n">
        <v>1.1</v>
      </c>
      <c r="E18" s="3" t="n">
        <v>1.1</v>
      </c>
      <c r="F18" s="3" t="n">
        <v>1.1</v>
      </c>
      <c r="G18" s="3" t="n">
        <v>1.1</v>
      </c>
      <c r="H18" s="3" t="n">
        <v>1.1</v>
      </c>
      <c r="I18" s="3" t="n">
        <v>1.1</v>
      </c>
      <c r="J18" s="3" t="n">
        <v>1.1</v>
      </c>
      <c r="K18" s="3" t="n">
        <v>1.1</v>
      </c>
      <c r="L18" s="3" t="n">
        <v>1.1</v>
      </c>
    </row>
    <row r="19" customFormat="false" ht="15" hidden="false" customHeight="false" outlineLevel="0" collapsed="false">
      <c r="A19" s="0" t="s">
        <v>113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114</v>
      </c>
      <c r="B20" s="3" t="n">
        <v>8</v>
      </c>
    </row>
    <row r="21" customFormat="false" ht="15" hidden="false" customHeight="false" outlineLevel="0" collapsed="false">
      <c r="A21" s="0" t="s">
        <v>115</v>
      </c>
      <c r="B21" s="3" t="n">
        <v>0.5</v>
      </c>
    </row>
    <row r="22" customFormat="false" ht="15" hidden="false" customHeight="false" outlineLevel="0" collapsed="false">
      <c r="A22" s="0" t="s">
        <v>116</v>
      </c>
      <c r="B22" s="3" t="n">
        <v>9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0.3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3</v>
      </c>
      <c r="D27" s="3" t="n">
        <v>3</v>
      </c>
      <c r="E27" s="3" t="n">
        <v>2.75</v>
      </c>
      <c r="F27" s="3" t="n">
        <v>2.5</v>
      </c>
      <c r="G27" s="3" t="n">
        <v>2.5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108</v>
      </c>
      <c r="C28" s="3" t="n">
        <v>17.6</v>
      </c>
      <c r="D28" s="3" t="n">
        <v>18.2</v>
      </c>
      <c r="E28" s="3" t="n">
        <v>18.5</v>
      </c>
      <c r="F28" s="3" t="n">
        <v>18.5</v>
      </c>
      <c r="G28" s="3" t="n">
        <v>18.5</v>
      </c>
      <c r="H28" s="3" t="n">
        <v>18.5</v>
      </c>
      <c r="I28" s="3" t="n">
        <v>18.5</v>
      </c>
      <c r="J28" s="3" t="n">
        <v>18.5</v>
      </c>
      <c r="K28" s="3" t="n">
        <v>18.5</v>
      </c>
      <c r="L28" s="3" t="n">
        <v>18.5</v>
      </c>
    </row>
    <row r="29" customFormat="false" ht="15" hidden="false" customHeight="false" outlineLevel="0" collapsed="false">
      <c r="A29" s="0" t="s">
        <v>109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0.85</v>
      </c>
      <c r="D31" s="3" t="n">
        <v>0.85</v>
      </c>
      <c r="E31" s="3" t="n">
        <v>0.85</v>
      </c>
      <c r="F31" s="3" t="n">
        <v>0.85</v>
      </c>
      <c r="G31" s="3" t="n">
        <v>0.85</v>
      </c>
      <c r="H31" s="3" t="n">
        <v>0.85</v>
      </c>
      <c r="I31" s="3" t="n">
        <v>0.85</v>
      </c>
      <c r="J31" s="3" t="n">
        <v>0.85</v>
      </c>
      <c r="K31" s="3" t="n">
        <v>0.85</v>
      </c>
      <c r="L31" s="3" t="n">
        <v>0.85</v>
      </c>
    </row>
    <row r="32" customFormat="false" ht="15" hidden="false" customHeight="false" outlineLevel="0" collapsed="false">
      <c r="A32" s="0" t="s">
        <v>112</v>
      </c>
      <c r="C32" s="3" t="n">
        <v>1.1</v>
      </c>
      <c r="D32" s="3" t="n">
        <v>1.1</v>
      </c>
      <c r="E32" s="3" t="n">
        <v>1.1</v>
      </c>
      <c r="F32" s="3" t="n">
        <v>1.1</v>
      </c>
      <c r="G32" s="3" t="n">
        <v>1.1</v>
      </c>
      <c r="H32" s="3" t="n">
        <v>1.1</v>
      </c>
      <c r="I32" s="3" t="n">
        <v>1.1</v>
      </c>
      <c r="J32" s="3" t="n">
        <v>1.1</v>
      </c>
      <c r="K32" s="3" t="n">
        <v>1.1</v>
      </c>
      <c r="L32" s="3" t="n">
        <v>1.1</v>
      </c>
    </row>
    <row r="33" customFormat="false" ht="15" hidden="false" customHeight="false" outlineLevel="0" collapsed="false">
      <c r="A33" s="0" t="s">
        <v>113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114</v>
      </c>
      <c r="B34" s="3" t="n">
        <v>8</v>
      </c>
    </row>
    <row r="35" customFormat="false" ht="15" hidden="false" customHeight="false" outlineLevel="0" collapsed="false">
      <c r="A35" s="0" t="s">
        <v>115</v>
      </c>
      <c r="B35" s="3" t="n">
        <v>2</v>
      </c>
    </row>
    <row r="36" customFormat="false" ht="15" hidden="false" customHeight="false" outlineLevel="0" collapsed="false">
      <c r="A36" s="0" t="s">
        <v>116</v>
      </c>
      <c r="B36" s="3" t="n">
        <v>12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5.5</v>
      </c>
      <c r="D41" s="3" t="n">
        <v>5</v>
      </c>
      <c r="E41" s="3" t="n">
        <v>4.5</v>
      </c>
      <c r="F41" s="3" t="n">
        <v>4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108</v>
      </c>
      <c r="C42" s="3" t="n">
        <v>18</v>
      </c>
      <c r="D42" s="3" t="n">
        <v>19</v>
      </c>
      <c r="E42" s="3" t="n">
        <v>19.5</v>
      </c>
      <c r="F42" s="3" t="n">
        <v>19.8</v>
      </c>
      <c r="G42" s="3" t="n">
        <v>19.8</v>
      </c>
      <c r="H42" s="3" t="n">
        <v>19.8</v>
      </c>
      <c r="I42" s="3" t="n">
        <v>19.8</v>
      </c>
      <c r="J42" s="3" t="n">
        <v>19.8</v>
      </c>
      <c r="K42" s="3" t="n">
        <v>19.8</v>
      </c>
      <c r="L42" s="3" t="n">
        <v>19.8</v>
      </c>
    </row>
    <row r="43" customFormat="false" ht="15" hidden="false" customHeight="false" outlineLevel="0" collapsed="false">
      <c r="A43" s="0" t="s">
        <v>109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0.85</v>
      </c>
      <c r="D45" s="3" t="n">
        <v>0.85</v>
      </c>
      <c r="E45" s="3" t="n">
        <v>0.85</v>
      </c>
      <c r="F45" s="3" t="n">
        <v>0.85</v>
      </c>
      <c r="G45" s="3" t="n">
        <v>0.85</v>
      </c>
      <c r="H45" s="3" t="n">
        <v>0.85</v>
      </c>
      <c r="I45" s="3" t="n">
        <v>0.85</v>
      </c>
      <c r="J45" s="3" t="n">
        <v>0.85</v>
      </c>
      <c r="K45" s="3" t="n">
        <v>0.85</v>
      </c>
      <c r="L45" s="3" t="n">
        <v>0.85</v>
      </c>
    </row>
    <row r="46" customFormat="false" ht="15" hidden="false" customHeight="false" outlineLevel="0" collapsed="false">
      <c r="A46" s="0" t="s">
        <v>112</v>
      </c>
      <c r="C46" s="3" t="n">
        <v>1.1</v>
      </c>
      <c r="D46" s="3" t="n">
        <v>1.1</v>
      </c>
      <c r="E46" s="3" t="n">
        <v>1.1</v>
      </c>
      <c r="F46" s="3" t="n">
        <v>1.1</v>
      </c>
      <c r="G46" s="3" t="n">
        <v>1.1</v>
      </c>
      <c r="H46" s="3" t="n">
        <v>1.1</v>
      </c>
      <c r="I46" s="3" t="n">
        <v>1.1</v>
      </c>
      <c r="J46" s="3" t="n">
        <v>1.1</v>
      </c>
      <c r="K46" s="3" t="n">
        <v>1.1</v>
      </c>
      <c r="L46" s="3" t="n">
        <v>1.1</v>
      </c>
    </row>
    <row r="47" customFormat="false" ht="15" hidden="false" customHeight="false" outlineLevel="0" collapsed="false">
      <c r="A47" s="0" t="s">
        <v>113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114</v>
      </c>
      <c r="B48" s="3" t="n">
        <v>8</v>
      </c>
    </row>
    <row r="49" customFormat="false" ht="15" hidden="false" customHeight="false" outlineLevel="0" collapsed="false">
      <c r="A49" s="0" t="s">
        <v>115</v>
      </c>
      <c r="B49" s="3" t="n">
        <v>2.5</v>
      </c>
    </row>
    <row r="50" customFormat="false" ht="15" hidden="false" customHeight="false" outlineLevel="0" collapsed="false">
      <c r="A50" s="0" t="s">
        <v>116</v>
      </c>
      <c r="B50" s="3" t="n">
        <v>14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1</v>
      </c>
      <c r="D5" s="4" t="n">
        <f aca="false">Assumptions!D13</f>
        <v>-1</v>
      </c>
      <c r="E5" s="4" t="n">
        <f aca="false">Assumptions!E13</f>
        <v>-2</v>
      </c>
      <c r="F5" s="4" t="n">
        <f aca="false">Assumptions!F13</f>
        <v>-2</v>
      </c>
      <c r="G5" s="4" t="n">
        <f aca="false">Assumptions!G13</f>
        <v>-2</v>
      </c>
      <c r="H5" s="4" t="n">
        <f aca="false">Assumptions!H13</f>
        <v>-2</v>
      </c>
      <c r="I5" s="4" t="n">
        <f aca="false">Assumptions!I13</f>
        <v>-1</v>
      </c>
      <c r="J5" s="4" t="n">
        <f aca="false">Assumptions!J13</f>
        <v>-1</v>
      </c>
      <c r="K5" s="4" t="n">
        <f aca="false">Assumptions!K13</f>
        <v>-1</v>
      </c>
      <c r="L5" s="4" t="n">
        <f aca="false">Assumptions!L13</f>
        <v>-1</v>
      </c>
    </row>
    <row r="6" customFormat="false" ht="15" hidden="false" customHeight="false" outlineLevel="0" collapsed="false">
      <c r="A6" s="0" t="s">
        <v>37</v>
      </c>
      <c r="B6" s="3" t="n">
        <v>24100</v>
      </c>
      <c r="C6" s="0" t="n">
        <f aca="false">B6*(1+C5/100)</f>
        <v>24341</v>
      </c>
      <c r="D6" s="0" t="n">
        <f aca="false">C6*(1+D5/100)</f>
        <v>24097.59</v>
      </c>
      <c r="E6" s="0" t="n">
        <f aca="false">D6*(1+E5/100)</f>
        <v>23615.6382</v>
      </c>
      <c r="F6" s="0" t="n">
        <f aca="false">E6*(1+F5/100)</f>
        <v>23143.325436</v>
      </c>
      <c r="G6" s="0" t="n">
        <f aca="false">F6*(1+G5/100)</f>
        <v>22680.45892728</v>
      </c>
      <c r="H6" s="0" t="n">
        <f aca="false">G6*(1+H5/100)</f>
        <v>22226.8497487344</v>
      </c>
      <c r="I6" s="0" t="n">
        <f aca="false">H6*(1+I5/100)</f>
        <v>22004.5812512471</v>
      </c>
      <c r="J6" s="0" t="n">
        <f aca="false">I6*(1+J5/100)</f>
        <v>21784.5354387346</v>
      </c>
      <c r="K6" s="0" t="n">
        <f aca="false">J6*(1+K5/100)</f>
        <v>21566.6900843472</v>
      </c>
      <c r="L6" s="0" t="n">
        <f aca="false">K6*(1+L5/100)</f>
        <v>21351.0231835038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17</v>
      </c>
      <c r="D7" s="4" t="n">
        <f aca="false">Assumptions!D14</f>
        <v>16.5</v>
      </c>
      <c r="E7" s="4" t="n">
        <f aca="false">Assumptions!E14</f>
        <v>16</v>
      </c>
      <c r="F7" s="4" t="n">
        <f aca="false">Assumptions!F14</f>
        <v>15.5</v>
      </c>
      <c r="G7" s="4" t="n">
        <f aca="false">Assumptions!G14</f>
        <v>15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4137.97</v>
      </c>
      <c r="D8" s="0" t="n">
        <f aca="false">D6*D7/100</f>
        <v>3976.10235</v>
      </c>
      <c r="E8" s="0" t="n">
        <f aca="false">E6*E7/100</f>
        <v>3778.502112</v>
      </c>
      <c r="F8" s="0" t="n">
        <f aca="false">F6*F7/100</f>
        <v>3587.21544258</v>
      </c>
      <c r="G8" s="0" t="n">
        <f aca="false">G6*G7/100</f>
        <v>3402.068839092</v>
      </c>
      <c r="H8" s="0" t="n">
        <f aca="false">H6*H7/100</f>
        <v>3334.02746231016</v>
      </c>
      <c r="I8" s="0" t="n">
        <f aca="false">I6*I7/100</f>
        <v>3300.68718768706</v>
      </c>
      <c r="J8" s="0" t="n">
        <f aca="false">J6*J7/100</f>
        <v>3267.68031581019</v>
      </c>
      <c r="K8" s="0" t="n">
        <f aca="false">K6*K7/100</f>
        <v>3235.00351265209</v>
      </c>
      <c r="L8" s="0" t="n">
        <f aca="false">L6*L7/100</f>
        <v>3202.65347752556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-121.705</v>
      </c>
      <c r="D10" s="0" t="n">
        <f aca="false">-D6*D9/100</f>
        <v>-120.48795</v>
      </c>
      <c r="E10" s="0" t="n">
        <f aca="false">-E6*E9/100</f>
        <v>-118.078191</v>
      </c>
      <c r="F10" s="0" t="n">
        <f aca="false">-F6*F9/100</f>
        <v>-115.71662718</v>
      </c>
      <c r="G10" s="0" t="n">
        <f aca="false">-G6*G9/100</f>
        <v>-113.4022946364</v>
      </c>
      <c r="H10" s="0" t="n">
        <f aca="false">-H6*H9/100</f>
        <v>-111.134248743672</v>
      </c>
      <c r="I10" s="0" t="n">
        <f aca="false">-I6*I9/100</f>
        <v>-110.022906256235</v>
      </c>
      <c r="J10" s="0" t="n">
        <f aca="false">-J6*J9/100</f>
        <v>-108.922677193673</v>
      </c>
      <c r="K10" s="0" t="n">
        <f aca="false">-K6*K9/100</f>
        <v>-107.833450421736</v>
      </c>
      <c r="L10" s="0" t="n">
        <f aca="false">-L6*L9/100</f>
        <v>-106.755115917519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4016.265</v>
      </c>
      <c r="D11" s="0" t="n">
        <f aca="false">D8+D10+D24</f>
        <v>3855.6144</v>
      </c>
      <c r="E11" s="0" t="n">
        <f aca="false">E8+E10+E24</f>
        <v>3660.423921</v>
      </c>
      <c r="F11" s="0" t="n">
        <f aca="false">F8+F10+F24</f>
        <v>3471.4988154</v>
      </c>
      <c r="G11" s="0" t="n">
        <f aca="false">G8+G10+G24</f>
        <v>3288.6665444556</v>
      </c>
      <c r="H11" s="0" t="n">
        <f aca="false">H8+H10+H24</f>
        <v>3222.89321356649</v>
      </c>
      <c r="I11" s="0" t="n">
        <f aca="false">I8+I10+I24</f>
        <v>3190.66428143082</v>
      </c>
      <c r="J11" s="0" t="n">
        <f aca="false">J8+J10+J24</f>
        <v>3158.75763861651</v>
      </c>
      <c r="K11" s="0" t="n">
        <f aca="false">K8+K10+K24</f>
        <v>3127.17006223035</v>
      </c>
      <c r="L11" s="0" t="n">
        <f aca="false">L8+L10+L24</f>
        <v>3095.89836160805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-206.8985</v>
      </c>
      <c r="D12" s="4" t="n">
        <f aca="false">-D6*Assumptions!D17/100</f>
        <v>-204.829515</v>
      </c>
      <c r="E12" s="4" t="n">
        <f aca="false">-E6*Assumptions!E17/100</f>
        <v>-200.7329247</v>
      </c>
      <c r="F12" s="4" t="n">
        <f aca="false">-F6*Assumptions!F17/100</f>
        <v>-196.718266206</v>
      </c>
      <c r="G12" s="4" t="n">
        <f aca="false">-G6*Assumptions!G17/100</f>
        <v>-192.78390088188</v>
      </c>
      <c r="H12" s="4" t="n">
        <f aca="false">-H6*Assumptions!H17/100</f>
        <v>-188.928222864242</v>
      </c>
      <c r="I12" s="4" t="n">
        <f aca="false">-I6*Assumptions!I17/100</f>
        <v>-187.0389406356</v>
      </c>
      <c r="J12" s="4" t="n">
        <f aca="false">-J6*Assumptions!J17/100</f>
        <v>-185.168551229244</v>
      </c>
      <c r="K12" s="4" t="n">
        <f aca="false">-K6*Assumptions!K17/100</f>
        <v>-183.316865716952</v>
      </c>
      <c r="L12" s="4" t="n">
        <f aca="false">-L6*Assumptions!L17/100</f>
        <v>-181.483697059782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3809.3665</v>
      </c>
      <c r="D13" s="0" t="n">
        <f aca="false">D11+D12</f>
        <v>3650.784885</v>
      </c>
      <c r="E13" s="0" t="n">
        <f aca="false">E11+E12</f>
        <v>3459.6909963</v>
      </c>
      <c r="F13" s="0" t="n">
        <f aca="false">F11+F12</f>
        <v>3274.780549194</v>
      </c>
      <c r="G13" s="0" t="n">
        <f aca="false">G11+G12</f>
        <v>3095.88264357372</v>
      </c>
      <c r="H13" s="0" t="n">
        <f aca="false">H11+H12</f>
        <v>3033.96499070225</v>
      </c>
      <c r="I13" s="0" t="n">
        <f aca="false">I11+I12</f>
        <v>3003.62534079522</v>
      </c>
      <c r="J13" s="0" t="n">
        <f aca="false">J11+J12</f>
        <v>2973.58908738727</v>
      </c>
      <c r="K13" s="0" t="n">
        <f aca="false">K11+K12</f>
        <v>2943.8531965134</v>
      </c>
      <c r="L13" s="0" t="n">
        <f aca="false">L11+L12</f>
        <v>2914.41466454826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2818.93121</v>
      </c>
      <c r="D15" s="0" t="n">
        <f aca="false">D13-MAX(0,D13)*D14/100</f>
        <v>2701.5808149</v>
      </c>
      <c r="E15" s="0" t="n">
        <f aca="false">E13-MAX(0,E13)*E14/100</f>
        <v>2560.171337262</v>
      </c>
      <c r="F15" s="0" t="n">
        <f aca="false">F13-MAX(0,F13)*F14/100</f>
        <v>2423.33760640356</v>
      </c>
      <c r="G15" s="0" t="n">
        <f aca="false">G13-MAX(0,G13)*G14/100</f>
        <v>2290.95315624455</v>
      </c>
      <c r="H15" s="0" t="n">
        <f aca="false">H13-MAX(0,H13)*H14/100</f>
        <v>2245.13409311966</v>
      </c>
      <c r="I15" s="0" t="n">
        <f aca="false">I13-MAX(0,I13)*I14/100</f>
        <v>2222.68275218847</v>
      </c>
      <c r="J15" s="0" t="n">
        <f aca="false">J13-MAX(0,J13)*J14/100</f>
        <v>2200.45592466658</v>
      </c>
      <c r="K15" s="0" t="n">
        <f aca="false">K13-MAX(0,K13)*K14/100</f>
        <v>2178.45136541991</v>
      </c>
      <c r="L15" s="0" t="n">
        <f aca="false">L13-MAX(0,L13)*L14/100</f>
        <v>2156.66685176572</v>
      </c>
    </row>
    <row r="16" customFormat="false" ht="15" hidden="false" customHeight="false" outlineLevel="0" collapsed="false">
      <c r="A16" s="0" t="s">
        <v>129</v>
      </c>
      <c r="C16" s="0" t="n">
        <f aca="false">-C12</f>
        <v>206.8985</v>
      </c>
      <c r="D16" s="0" t="n">
        <f aca="false">-D12</f>
        <v>204.829515</v>
      </c>
      <c r="E16" s="0" t="n">
        <f aca="false">-E12</f>
        <v>200.7329247</v>
      </c>
      <c r="F16" s="0" t="n">
        <f aca="false">-F12</f>
        <v>196.718266206</v>
      </c>
      <c r="G16" s="0" t="n">
        <f aca="false">-G12</f>
        <v>192.78390088188</v>
      </c>
      <c r="H16" s="0" t="n">
        <f aca="false">-H12</f>
        <v>188.928222864242</v>
      </c>
      <c r="I16" s="0" t="n">
        <f aca="false">-I12</f>
        <v>187.0389406356</v>
      </c>
      <c r="J16" s="0" t="n">
        <f aca="false">-J12</f>
        <v>185.168551229244</v>
      </c>
      <c r="K16" s="0" t="n">
        <f aca="false">-K12</f>
        <v>183.316865716952</v>
      </c>
      <c r="L16" s="0" t="n">
        <f aca="false">-L12</f>
        <v>181.483697059782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-267.751</v>
      </c>
      <c r="D17" s="4" t="n">
        <f aca="false">-D6*Assumptions!D18/100</f>
        <v>-265.07349</v>
      </c>
      <c r="E17" s="4" t="n">
        <f aca="false">-E6*Assumptions!E18/100</f>
        <v>-259.7720202</v>
      </c>
      <c r="F17" s="4" t="n">
        <f aca="false">-F6*Assumptions!F18/100</f>
        <v>-254.576579796</v>
      </c>
      <c r="G17" s="4" t="n">
        <f aca="false">-G6*Assumptions!G18/100</f>
        <v>-249.48504820008</v>
      </c>
      <c r="H17" s="4" t="n">
        <f aca="false">-H6*Assumptions!H18/100</f>
        <v>-244.495347236078</v>
      </c>
      <c r="I17" s="4" t="n">
        <f aca="false">-I6*Assumptions!I18/100</f>
        <v>-242.050393763718</v>
      </c>
      <c r="J17" s="4" t="n">
        <f aca="false">-J6*Assumptions!J18/100</f>
        <v>-239.62988982608</v>
      </c>
      <c r="K17" s="4" t="n">
        <f aca="false">-K6*Assumptions!K18/100</f>
        <v>-237.23359092782</v>
      </c>
      <c r="L17" s="4" t="n">
        <f aca="false">-L6*Assumptions!L18/100</f>
        <v>-234.861255018541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-0</v>
      </c>
      <c r="K18" s="4" t="n">
        <f aca="false">(K6-J6)*Assumptions!$B$23/100</f>
        <v>-0</v>
      </c>
      <c r="L18" s="4" t="n">
        <f aca="false">(L6-K6)*Assumptions!$B$23/100</f>
        <v>-0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2758.07871</v>
      </c>
      <c r="D19" s="0" t="n">
        <f aca="false">D15+D16+D17+D18</f>
        <v>2641.3368399</v>
      </c>
      <c r="E19" s="0" t="n">
        <f aca="false">E15+E16+E17+E18</f>
        <v>2501.132241762</v>
      </c>
      <c r="F19" s="0" t="n">
        <f aca="false">F15+F16+F17+F18</f>
        <v>2365.47929281356</v>
      </c>
      <c r="G19" s="0" t="n">
        <f aca="false">G15+G16+G17+G18</f>
        <v>2234.25200892635</v>
      </c>
      <c r="H19" s="0" t="n">
        <f aca="false">H15+H16+H17+H18</f>
        <v>2189.56696874783</v>
      </c>
      <c r="I19" s="0" t="n">
        <f aca="false">I15+I16+I17+I18</f>
        <v>2167.67129906035</v>
      </c>
      <c r="J19" s="0" t="n">
        <f aca="false">J15+J16+J17+J18</f>
        <v>2145.99458606974</v>
      </c>
      <c r="K19" s="0" t="n">
        <f aca="false">K15+K16+K17+K18</f>
        <v>2124.53464020905</v>
      </c>
      <c r="L19" s="0" t="n">
        <f aca="false">L15+L16+L17+L18</f>
        <v>2103.28929380696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2553.77658333333</v>
      </c>
      <c r="D21" s="0" t="n">
        <f aca="false">D19*D20</f>
        <v>2264.52061033951</v>
      </c>
      <c r="E21" s="0" t="n">
        <f aca="false">E19*E20</f>
        <v>1985.47941256573</v>
      </c>
      <c r="F21" s="0" t="n">
        <f aca="false">F19*F20</f>
        <v>1738.69789638981</v>
      </c>
      <c r="G21" s="0" t="n">
        <f aca="false">G19*G20</f>
        <v>1520.59437521418</v>
      </c>
      <c r="H21" s="0" t="n">
        <f aca="false">H19*H20</f>
        <v>1379.79859973139</v>
      </c>
      <c r="I21" s="0" t="n">
        <f aca="false">I19*I20</f>
        <v>1264.81538308711</v>
      </c>
      <c r="J21" s="0" t="n">
        <f aca="false">J19*J20</f>
        <v>1159.41410116318</v>
      </c>
      <c r="K21" s="0" t="n">
        <f aca="false">K19*K20</f>
        <v>1062.79625939958</v>
      </c>
      <c r="L21" s="0" t="n">
        <f aca="false">L19*L20</f>
        <v>974.229904449616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15904.1231256734</v>
      </c>
    </row>
    <row r="31" customFormat="false" ht="15" hidden="false" customHeight="false" outlineLevel="0" collapsed="false">
      <c r="A31" s="0" t="s">
        <v>138</v>
      </c>
      <c r="B31" s="0" t="n">
        <f aca="false">L19</f>
        <v>2103.28929380696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28184.0765370132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18929.6036442626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18929.6036442626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8768.06914004655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24672.19226572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16736.19226572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60.7484292766605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-0.186768015038012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768.428075519238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662.606878470452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65.9427485288917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14577.970622593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28.158650934766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3</v>
      </c>
      <c r="D5" s="4" t="n">
        <f aca="false">Assumptions!D27</f>
        <v>3</v>
      </c>
      <c r="E5" s="4" t="n">
        <f aca="false">Assumptions!E27</f>
        <v>2.75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24100</v>
      </c>
      <c r="C6" s="0" t="n">
        <f aca="false">B6*(1+C5/100)</f>
        <v>24823</v>
      </c>
      <c r="D6" s="0" t="n">
        <f aca="false">C6*(1+D5/100)</f>
        <v>25567.69</v>
      </c>
      <c r="E6" s="0" t="n">
        <f aca="false">D6*(1+E5/100)</f>
        <v>26270.801475</v>
      </c>
      <c r="F6" s="0" t="n">
        <f aca="false">E6*(1+F5/100)</f>
        <v>26927.571511875</v>
      </c>
      <c r="G6" s="0" t="n">
        <f aca="false">F6*(1+G5/100)</f>
        <v>27600.7607996719</v>
      </c>
      <c r="H6" s="0" t="n">
        <f aca="false">G6*(1+H5/100)</f>
        <v>28290.7798196637</v>
      </c>
      <c r="I6" s="0" t="n">
        <f aca="false">H6*(1+I5/100)</f>
        <v>28998.0493151553</v>
      </c>
      <c r="J6" s="0" t="n">
        <f aca="false">I6*(1+J5/100)</f>
        <v>29723.0005480341</v>
      </c>
      <c r="K6" s="0" t="n">
        <f aca="false">J6*(1+K5/100)</f>
        <v>30466.075561735</v>
      </c>
      <c r="L6" s="0" t="n">
        <f aca="false">K6*(1+L5/100)</f>
        <v>31227.7274507784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17.6</v>
      </c>
      <c r="D7" s="4" t="n">
        <f aca="false">Assumptions!D28</f>
        <v>18.2</v>
      </c>
      <c r="E7" s="4" t="n">
        <f aca="false">Assumptions!E28</f>
        <v>18.5</v>
      </c>
      <c r="F7" s="4" t="n">
        <f aca="false">Assumptions!F28</f>
        <v>18.5</v>
      </c>
      <c r="G7" s="4" t="n">
        <f aca="false">Assumptions!G28</f>
        <v>18.5</v>
      </c>
      <c r="H7" s="4" t="n">
        <f aca="false">Assumptions!H28</f>
        <v>18.5</v>
      </c>
      <c r="I7" s="4" t="n">
        <f aca="false">Assumptions!I28</f>
        <v>18.5</v>
      </c>
      <c r="J7" s="4" t="n">
        <f aca="false">Assumptions!J28</f>
        <v>18.5</v>
      </c>
      <c r="K7" s="4" t="n">
        <f aca="false">Assumptions!K28</f>
        <v>18.5</v>
      </c>
      <c r="L7" s="4" t="n">
        <f aca="false">Assumptions!L28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4368.848</v>
      </c>
      <c r="D8" s="0" t="n">
        <f aca="false">D6*D7/100</f>
        <v>4653.31958</v>
      </c>
      <c r="E8" s="0" t="n">
        <f aca="false">E6*E7/100</f>
        <v>4860.098272875</v>
      </c>
      <c r="F8" s="0" t="n">
        <f aca="false">F6*F7/100</f>
        <v>4981.60072969688</v>
      </c>
      <c r="G8" s="0" t="n">
        <f aca="false">G6*G7/100</f>
        <v>5106.1407479393</v>
      </c>
      <c r="H8" s="0" t="n">
        <f aca="false">H6*H7/100</f>
        <v>5233.79426663778</v>
      </c>
      <c r="I8" s="0" t="n">
        <f aca="false">I6*I7/100</f>
        <v>5364.63912330372</v>
      </c>
      <c r="J8" s="0" t="n">
        <f aca="false">J6*J7/100</f>
        <v>5498.75510138632</v>
      </c>
      <c r="K8" s="0" t="n">
        <f aca="false">K6*K7/100</f>
        <v>5636.22397892097</v>
      </c>
      <c r="L8" s="0" t="n">
        <f aca="false">L6*L7/100</f>
        <v>5777.129578394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-124.115</v>
      </c>
      <c r="D10" s="0" t="n">
        <f aca="false">-D6*D9/100</f>
        <v>-127.83845</v>
      </c>
      <c r="E10" s="0" t="n">
        <f aca="false">-E6*E9/100</f>
        <v>-131.354007375</v>
      </c>
      <c r="F10" s="0" t="n">
        <f aca="false">-F6*F9/100</f>
        <v>-134.637857559375</v>
      </c>
      <c r="G10" s="0" t="n">
        <f aca="false">-G6*G9/100</f>
        <v>-138.003803998359</v>
      </c>
      <c r="H10" s="0" t="n">
        <f aca="false">-H6*H9/100</f>
        <v>-141.453899098318</v>
      </c>
      <c r="I10" s="0" t="n">
        <f aca="false">-I6*I9/100</f>
        <v>-144.990246575776</v>
      </c>
      <c r="J10" s="0" t="n">
        <f aca="false">-J6*J9/100</f>
        <v>-148.615002740171</v>
      </c>
      <c r="K10" s="0" t="n">
        <f aca="false">-K6*K9/100</f>
        <v>-152.330377808675</v>
      </c>
      <c r="L10" s="0" t="n">
        <f aca="false">-L6*L9/100</f>
        <v>-156.138637253892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4244.733</v>
      </c>
      <c r="D11" s="0" t="n">
        <f aca="false">D8+D10+D24</f>
        <v>4525.48113</v>
      </c>
      <c r="E11" s="0" t="n">
        <f aca="false">E8+E10+E24</f>
        <v>4728.7442655</v>
      </c>
      <c r="F11" s="0" t="n">
        <f aca="false">F8+F10+F24</f>
        <v>4846.9628721375</v>
      </c>
      <c r="G11" s="0" t="n">
        <f aca="false">G8+G10+G24</f>
        <v>4968.13694394094</v>
      </c>
      <c r="H11" s="0" t="n">
        <f aca="false">H8+H10+H24</f>
        <v>5092.34036753946</v>
      </c>
      <c r="I11" s="0" t="n">
        <f aca="false">I8+I10+I24</f>
        <v>5219.64887672795</v>
      </c>
      <c r="J11" s="0" t="n">
        <f aca="false">J8+J10+J24</f>
        <v>5350.14009864615</v>
      </c>
      <c r="K11" s="0" t="n">
        <f aca="false">K8+K10+K24</f>
        <v>5483.8936011123</v>
      </c>
      <c r="L11" s="0" t="n">
        <f aca="false">L8+L10+L24</f>
        <v>5620.99094114011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-210.9955</v>
      </c>
      <c r="D12" s="4" t="n">
        <f aca="false">-D6*Assumptions!D31/100</f>
        <v>-217.325365</v>
      </c>
      <c r="E12" s="4" t="n">
        <f aca="false">-E6*Assumptions!E31/100</f>
        <v>-223.3018125375</v>
      </c>
      <c r="F12" s="4" t="n">
        <f aca="false">-F6*Assumptions!F31/100</f>
        <v>-228.884357850938</v>
      </c>
      <c r="G12" s="4" t="n">
        <f aca="false">-G6*Assumptions!G31/100</f>
        <v>-234.606466797211</v>
      </c>
      <c r="H12" s="4" t="n">
        <f aca="false">-H6*Assumptions!H31/100</f>
        <v>-240.471628467141</v>
      </c>
      <c r="I12" s="4" t="n">
        <f aca="false">-I6*Assumptions!I31/100</f>
        <v>-246.48341917882</v>
      </c>
      <c r="J12" s="4" t="n">
        <f aca="false">-J6*Assumptions!J31/100</f>
        <v>-252.64550465829</v>
      </c>
      <c r="K12" s="4" t="n">
        <f aca="false">-K6*Assumptions!K31/100</f>
        <v>-258.961642274747</v>
      </c>
      <c r="L12" s="4" t="n">
        <f aca="false">-L6*Assumptions!L31/100</f>
        <v>-265.435683331616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4033.7375</v>
      </c>
      <c r="D13" s="0" t="n">
        <f aca="false">D11+D12</f>
        <v>4308.155765</v>
      </c>
      <c r="E13" s="0" t="n">
        <f aca="false">E11+E12</f>
        <v>4505.4424529625</v>
      </c>
      <c r="F13" s="0" t="n">
        <f aca="false">F11+F12</f>
        <v>4618.07851428656</v>
      </c>
      <c r="G13" s="0" t="n">
        <f aca="false">G11+G12</f>
        <v>4733.53047714373</v>
      </c>
      <c r="H13" s="0" t="n">
        <f aca="false">H11+H12</f>
        <v>4851.86873907232</v>
      </c>
      <c r="I13" s="0" t="n">
        <f aca="false">I11+I12</f>
        <v>4973.16545754913</v>
      </c>
      <c r="J13" s="0" t="n">
        <f aca="false">J11+J12</f>
        <v>5097.49459398785</v>
      </c>
      <c r="K13" s="0" t="n">
        <f aca="false">K11+K12</f>
        <v>5224.93195883755</v>
      </c>
      <c r="L13" s="0" t="n">
        <f aca="false">L11+L12</f>
        <v>5355.55525780849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2984.96575</v>
      </c>
      <c r="D15" s="0" t="n">
        <f aca="false">D13-MAX(0,D13)*D14/100</f>
        <v>3188.0352661</v>
      </c>
      <c r="E15" s="0" t="n">
        <f aca="false">E13-MAX(0,E13)*E14/100</f>
        <v>3334.02741519225</v>
      </c>
      <c r="F15" s="0" t="n">
        <f aca="false">F13-MAX(0,F13)*F14/100</f>
        <v>3417.37810057206</v>
      </c>
      <c r="G15" s="0" t="n">
        <f aca="false">G13-MAX(0,G13)*G14/100</f>
        <v>3502.81255308636</v>
      </c>
      <c r="H15" s="0" t="n">
        <f aca="false">H13-MAX(0,H13)*H14/100</f>
        <v>3590.38286691352</v>
      </c>
      <c r="I15" s="0" t="n">
        <f aca="false">I13-MAX(0,I13)*I14/100</f>
        <v>3680.14243858635</v>
      </c>
      <c r="J15" s="0" t="n">
        <f aca="false">J13-MAX(0,J13)*J14/100</f>
        <v>3772.14599955101</v>
      </c>
      <c r="K15" s="0" t="n">
        <f aca="false">K13-MAX(0,K13)*K14/100</f>
        <v>3866.44964953979</v>
      </c>
      <c r="L15" s="0" t="n">
        <f aca="false">L13-MAX(0,L13)*L14/100</f>
        <v>3963.11089077828</v>
      </c>
    </row>
    <row r="16" customFormat="false" ht="15" hidden="false" customHeight="false" outlineLevel="0" collapsed="false">
      <c r="A16" s="0" t="s">
        <v>129</v>
      </c>
      <c r="C16" s="0" t="n">
        <f aca="false">-C12</f>
        <v>210.9955</v>
      </c>
      <c r="D16" s="0" t="n">
        <f aca="false">-D12</f>
        <v>217.325365</v>
      </c>
      <c r="E16" s="0" t="n">
        <f aca="false">-E12</f>
        <v>223.3018125375</v>
      </c>
      <c r="F16" s="0" t="n">
        <f aca="false">-F12</f>
        <v>228.884357850938</v>
      </c>
      <c r="G16" s="0" t="n">
        <f aca="false">-G12</f>
        <v>234.606466797211</v>
      </c>
      <c r="H16" s="0" t="n">
        <f aca="false">-H12</f>
        <v>240.471628467141</v>
      </c>
      <c r="I16" s="0" t="n">
        <f aca="false">-I12</f>
        <v>246.48341917882</v>
      </c>
      <c r="J16" s="0" t="n">
        <f aca="false">-J12</f>
        <v>252.64550465829</v>
      </c>
      <c r="K16" s="0" t="n">
        <f aca="false">-K12</f>
        <v>258.961642274747</v>
      </c>
      <c r="L16" s="0" t="n">
        <f aca="false">-L12</f>
        <v>265.435683331616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-273.053</v>
      </c>
      <c r="D17" s="4" t="n">
        <f aca="false">-D6*Assumptions!D32/100</f>
        <v>-281.24459</v>
      </c>
      <c r="E17" s="4" t="n">
        <f aca="false">-E6*Assumptions!E32/100</f>
        <v>-288.978816225</v>
      </c>
      <c r="F17" s="4" t="n">
        <f aca="false">-F6*Assumptions!F32/100</f>
        <v>-296.203286630625</v>
      </c>
      <c r="G17" s="4" t="n">
        <f aca="false">-G6*Assumptions!G32/100</f>
        <v>-303.608368796391</v>
      </c>
      <c r="H17" s="4" t="n">
        <f aca="false">-H6*Assumptions!H32/100</f>
        <v>-311.1985780163</v>
      </c>
      <c r="I17" s="4" t="n">
        <f aca="false">-I6*Assumptions!I32/100</f>
        <v>-318.978542466708</v>
      </c>
      <c r="J17" s="4" t="n">
        <f aca="false">-J6*Assumptions!J32/100</f>
        <v>-326.953006028376</v>
      </c>
      <c r="K17" s="4" t="n">
        <f aca="false">-K6*Assumptions!K32/100</f>
        <v>-335.126831179085</v>
      </c>
      <c r="L17" s="4" t="n">
        <f aca="false">-L6*Assumptions!L32/100</f>
        <v>-343.505001958562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2922.90825</v>
      </c>
      <c r="D19" s="0" t="n">
        <f aca="false">D15+D16+D17+D18</f>
        <v>3124.1160411</v>
      </c>
      <c r="E19" s="0" t="n">
        <f aca="false">E15+E16+E17+E18</f>
        <v>3268.35041150475</v>
      </c>
      <c r="F19" s="0" t="n">
        <f aca="false">F15+F16+F17+F18</f>
        <v>3350.05917179237</v>
      </c>
      <c r="G19" s="0" t="n">
        <f aca="false">G15+G16+G17+G18</f>
        <v>3433.81065108718</v>
      </c>
      <c r="H19" s="0" t="n">
        <f aca="false">H15+H16+H17+H18</f>
        <v>3519.65591736436</v>
      </c>
      <c r="I19" s="0" t="n">
        <f aca="false">I15+I16+I17+I18</f>
        <v>3607.64731529847</v>
      </c>
      <c r="J19" s="0" t="n">
        <f aca="false">J15+J16+J17+J18</f>
        <v>3697.83849818093</v>
      </c>
      <c r="K19" s="0" t="n">
        <f aca="false">K15+K16+K17+K18</f>
        <v>3790.28446063545</v>
      </c>
      <c r="L19" s="0" t="n">
        <f aca="false">L15+L16+L17+L18</f>
        <v>3885.04157215134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2706.39652777778</v>
      </c>
      <c r="D21" s="0" t="n">
        <f aca="false">D19*D20</f>
        <v>2678.42596116255</v>
      </c>
      <c r="E21" s="0" t="n">
        <f aca="false">E19*E20</f>
        <v>2594.52193160401</v>
      </c>
      <c r="F21" s="0" t="n">
        <f aca="false">F19*F20</f>
        <v>2462.39349990195</v>
      </c>
      <c r="G21" s="0" t="n">
        <f aca="false">G19*G20</f>
        <v>2336.99383092546</v>
      </c>
      <c r="H21" s="0" t="n">
        <f aca="false">H19*H20</f>
        <v>2217.98025620241</v>
      </c>
      <c r="I21" s="0" t="n">
        <f aca="false">I19*I20</f>
        <v>2105.02755796988</v>
      </c>
      <c r="J21" s="0" t="n">
        <f aca="false">J19*J20</f>
        <v>1997.82708048067</v>
      </c>
      <c r="K21" s="0" t="n">
        <f aca="false">K19*K20</f>
        <v>1896.0858865673</v>
      </c>
      <c r="L21" s="0" t="n">
        <f aca="false">L19*L20</f>
        <v>1799.52595715878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22795.1784897508</v>
      </c>
    </row>
    <row r="31" customFormat="false" ht="15" hidden="false" customHeight="false" outlineLevel="0" collapsed="false">
      <c r="A31" s="0" t="s">
        <v>138</v>
      </c>
      <c r="B31" s="0" t="n">
        <f aca="false">L19</f>
        <v>3885.04157215134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66045.7067265727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46620.498865816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46620.498865816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21594.3114859054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44389.4899756562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36453.4899756562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132.317567969714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0.771319517666853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924.239066026947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1229.48080024513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140.135062947108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30482.6338738028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59.5240402443756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5.5</v>
      </c>
      <c r="D5" s="4" t="n">
        <f aca="false">Assumptions!D41</f>
        <v>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24100</v>
      </c>
      <c r="C6" s="0" t="n">
        <f aca="false">B6*(1+C5/100)</f>
        <v>25425.5</v>
      </c>
      <c r="D6" s="0" t="n">
        <f aca="false">C6*(1+D5/100)</f>
        <v>26696.775</v>
      </c>
      <c r="E6" s="0" t="n">
        <f aca="false">D6*(1+E5/100)</f>
        <v>27898.129875</v>
      </c>
      <c r="F6" s="0" t="n">
        <f aca="false">E6*(1+F5/100)</f>
        <v>29014.05507</v>
      </c>
      <c r="G6" s="0" t="n">
        <f aca="false">F6*(1+G5/100)</f>
        <v>30174.6172728</v>
      </c>
      <c r="H6" s="0" t="n">
        <f aca="false">G6*(1+H5/100)</f>
        <v>31230.728877348</v>
      </c>
      <c r="I6" s="0" t="n">
        <f aca="false">H6*(1+I5/100)</f>
        <v>32167.6507436684</v>
      </c>
      <c r="J6" s="0" t="n">
        <f aca="false">I6*(1+J5/100)</f>
        <v>33132.6802659785</v>
      </c>
      <c r="K6" s="0" t="n">
        <f aca="false">J6*(1+K5/100)</f>
        <v>34126.6606739578</v>
      </c>
      <c r="L6" s="0" t="n">
        <f aca="false">K6*(1+L5/100)</f>
        <v>35150.4604941766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18</v>
      </c>
      <c r="D7" s="4" t="n">
        <f aca="false">Assumptions!D42</f>
        <v>19</v>
      </c>
      <c r="E7" s="4" t="n">
        <f aca="false">Assumptions!E42</f>
        <v>19.5</v>
      </c>
      <c r="F7" s="4" t="n">
        <f aca="false">Assumptions!F42</f>
        <v>19.8</v>
      </c>
      <c r="G7" s="4" t="n">
        <f aca="false">Assumptions!G42</f>
        <v>19.8</v>
      </c>
      <c r="H7" s="4" t="n">
        <f aca="false">Assumptions!H42</f>
        <v>19.8</v>
      </c>
      <c r="I7" s="4" t="n">
        <f aca="false">Assumptions!I42</f>
        <v>19.8</v>
      </c>
      <c r="J7" s="4" t="n">
        <f aca="false">Assumptions!J42</f>
        <v>19.8</v>
      </c>
      <c r="K7" s="4" t="n">
        <f aca="false">Assumptions!K42</f>
        <v>19.8</v>
      </c>
      <c r="L7" s="4" t="n">
        <f aca="false">Assumptions!L42</f>
        <v>19.8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4576.59</v>
      </c>
      <c r="D8" s="0" t="n">
        <f aca="false">D6*D7/100</f>
        <v>5072.38725</v>
      </c>
      <c r="E8" s="0" t="n">
        <f aca="false">E6*E7/100</f>
        <v>5440.135325625</v>
      </c>
      <c r="F8" s="0" t="n">
        <f aca="false">F6*F7/100</f>
        <v>5744.78290386</v>
      </c>
      <c r="G8" s="0" t="n">
        <f aca="false">G6*G7/100</f>
        <v>5974.5742200144</v>
      </c>
      <c r="H8" s="0" t="n">
        <f aca="false">H6*H7/100</f>
        <v>6183.6843177149</v>
      </c>
      <c r="I8" s="0" t="n">
        <f aca="false">I6*I7/100</f>
        <v>6369.19484724635</v>
      </c>
      <c r="J8" s="0" t="n">
        <f aca="false">J6*J7/100</f>
        <v>6560.27069266374</v>
      </c>
      <c r="K8" s="0" t="n">
        <f aca="false">K6*K7/100</f>
        <v>6757.07881344365</v>
      </c>
      <c r="L8" s="0" t="n">
        <f aca="false">L6*L7/100</f>
        <v>6959.79117784696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-127.1275</v>
      </c>
      <c r="D10" s="0" t="n">
        <f aca="false">-D6*D9/100</f>
        <v>-133.483875</v>
      </c>
      <c r="E10" s="0" t="n">
        <f aca="false">-E6*E9/100</f>
        <v>-139.490649375</v>
      </c>
      <c r="F10" s="0" t="n">
        <f aca="false">-F6*F9/100</f>
        <v>-145.07027535</v>
      </c>
      <c r="G10" s="0" t="n">
        <f aca="false">-G6*G9/100</f>
        <v>-150.873086364</v>
      </c>
      <c r="H10" s="0" t="n">
        <f aca="false">-H6*H9/100</f>
        <v>-156.15364438674</v>
      </c>
      <c r="I10" s="0" t="n">
        <f aca="false">-I6*I9/100</f>
        <v>-160.838253718342</v>
      </c>
      <c r="J10" s="0" t="n">
        <f aca="false">-J6*J9/100</f>
        <v>-165.663401329892</v>
      </c>
      <c r="K10" s="0" t="n">
        <f aca="false">-K6*K9/100</f>
        <v>-170.633303369789</v>
      </c>
      <c r="L10" s="0" t="n">
        <f aca="false">-L6*L9/100</f>
        <v>-175.752302470883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4449.4625</v>
      </c>
      <c r="D11" s="0" t="n">
        <f aca="false">D8+D10+D24</f>
        <v>4938.903375</v>
      </c>
      <c r="E11" s="0" t="n">
        <f aca="false">E8+E10+E24</f>
        <v>5300.64467625</v>
      </c>
      <c r="F11" s="0" t="n">
        <f aca="false">F8+F10+F24</f>
        <v>5599.71262851</v>
      </c>
      <c r="G11" s="0" t="n">
        <f aca="false">G8+G10+G24</f>
        <v>5823.7011336504</v>
      </c>
      <c r="H11" s="0" t="n">
        <f aca="false">H8+H10+H24</f>
        <v>6027.53067332816</v>
      </c>
      <c r="I11" s="0" t="n">
        <f aca="false">I8+I10+I24</f>
        <v>6208.35659352801</v>
      </c>
      <c r="J11" s="0" t="n">
        <f aca="false">J8+J10+J24</f>
        <v>6394.60729133385</v>
      </c>
      <c r="K11" s="0" t="n">
        <f aca="false">K8+K10+K24</f>
        <v>6586.44551007386</v>
      </c>
      <c r="L11" s="0" t="n">
        <f aca="false">L8+L10+L24</f>
        <v>6784.03887537608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-216.11675</v>
      </c>
      <c r="D12" s="4" t="n">
        <f aca="false">-D6*Assumptions!D45/100</f>
        <v>-226.9225875</v>
      </c>
      <c r="E12" s="4" t="n">
        <f aca="false">-E6*Assumptions!E45/100</f>
        <v>-237.1341039375</v>
      </c>
      <c r="F12" s="4" t="n">
        <f aca="false">-F6*Assumptions!F45/100</f>
        <v>-246.619468095</v>
      </c>
      <c r="G12" s="4" t="n">
        <f aca="false">-G6*Assumptions!G45/100</f>
        <v>-256.4842468188</v>
      </c>
      <c r="H12" s="4" t="n">
        <f aca="false">-H6*Assumptions!H45/100</f>
        <v>-265.461195457458</v>
      </c>
      <c r="I12" s="4" t="n">
        <f aca="false">-I6*Assumptions!I45/100</f>
        <v>-273.425031321182</v>
      </c>
      <c r="J12" s="4" t="n">
        <f aca="false">-J6*Assumptions!J45/100</f>
        <v>-281.627782260817</v>
      </c>
      <c r="K12" s="4" t="n">
        <f aca="false">-K6*Assumptions!K45/100</f>
        <v>-290.076615728642</v>
      </c>
      <c r="L12" s="4" t="n">
        <f aca="false">-L6*Assumptions!L45/100</f>
        <v>-298.778914200501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4233.34575</v>
      </c>
      <c r="D13" s="0" t="n">
        <f aca="false">D11+D12</f>
        <v>4711.9807875</v>
      </c>
      <c r="E13" s="0" t="n">
        <f aca="false">E11+E12</f>
        <v>5063.5105723125</v>
      </c>
      <c r="F13" s="0" t="n">
        <f aca="false">F11+F12</f>
        <v>5353.093160415</v>
      </c>
      <c r="G13" s="0" t="n">
        <f aca="false">G11+G12</f>
        <v>5567.2168868316</v>
      </c>
      <c r="H13" s="0" t="n">
        <f aca="false">H11+H12</f>
        <v>5762.06947787071</v>
      </c>
      <c r="I13" s="0" t="n">
        <f aca="false">I11+I12</f>
        <v>5934.93156220683</v>
      </c>
      <c r="J13" s="0" t="n">
        <f aca="false">J11+J12</f>
        <v>6112.97950907303</v>
      </c>
      <c r="K13" s="0" t="n">
        <f aca="false">K11+K12</f>
        <v>6296.36889434522</v>
      </c>
      <c r="L13" s="0" t="n">
        <f aca="false">L11+L12</f>
        <v>6485.25996117558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3132.675855</v>
      </c>
      <c r="D15" s="0" t="n">
        <f aca="false">D13-MAX(0,D13)*D14/100</f>
        <v>3486.86578275</v>
      </c>
      <c r="E15" s="0" t="n">
        <f aca="false">E13-MAX(0,E13)*E14/100</f>
        <v>3746.99782351125</v>
      </c>
      <c r="F15" s="0" t="n">
        <f aca="false">F13-MAX(0,F13)*F14/100</f>
        <v>3961.2889387071</v>
      </c>
      <c r="G15" s="0" t="n">
        <f aca="false">G13-MAX(0,G13)*G14/100</f>
        <v>4119.74049625538</v>
      </c>
      <c r="H15" s="0" t="n">
        <f aca="false">H13-MAX(0,H13)*H14/100</f>
        <v>4263.93141362432</v>
      </c>
      <c r="I15" s="0" t="n">
        <f aca="false">I13-MAX(0,I13)*I14/100</f>
        <v>4391.84935603305</v>
      </c>
      <c r="J15" s="0" t="n">
        <f aca="false">J13-MAX(0,J13)*J14/100</f>
        <v>4523.60483671404</v>
      </c>
      <c r="K15" s="0" t="n">
        <f aca="false">K13-MAX(0,K13)*K14/100</f>
        <v>4659.31298181547</v>
      </c>
      <c r="L15" s="0" t="n">
        <f aca="false">L13-MAX(0,L13)*L14/100</f>
        <v>4799.09237126993</v>
      </c>
    </row>
    <row r="16" customFormat="false" ht="15" hidden="false" customHeight="false" outlineLevel="0" collapsed="false">
      <c r="A16" s="0" t="s">
        <v>129</v>
      </c>
      <c r="C16" s="0" t="n">
        <f aca="false">-C12</f>
        <v>216.11675</v>
      </c>
      <c r="D16" s="0" t="n">
        <f aca="false">-D12</f>
        <v>226.9225875</v>
      </c>
      <c r="E16" s="0" t="n">
        <f aca="false">-E12</f>
        <v>237.1341039375</v>
      </c>
      <c r="F16" s="0" t="n">
        <f aca="false">-F12</f>
        <v>246.619468095</v>
      </c>
      <c r="G16" s="0" t="n">
        <f aca="false">-G12</f>
        <v>256.4842468188</v>
      </c>
      <c r="H16" s="0" t="n">
        <f aca="false">-H12</f>
        <v>265.461195457458</v>
      </c>
      <c r="I16" s="0" t="n">
        <f aca="false">-I12</f>
        <v>273.425031321182</v>
      </c>
      <c r="J16" s="0" t="n">
        <f aca="false">-J12</f>
        <v>281.627782260817</v>
      </c>
      <c r="K16" s="0" t="n">
        <f aca="false">-K12</f>
        <v>290.076615728642</v>
      </c>
      <c r="L16" s="0" t="n">
        <f aca="false">-L12</f>
        <v>298.778914200501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-279.6805</v>
      </c>
      <c r="D17" s="4" t="n">
        <f aca="false">-D6*Assumptions!D46/100</f>
        <v>-293.664525</v>
      </c>
      <c r="E17" s="4" t="n">
        <f aca="false">-E6*Assumptions!E46/100</f>
        <v>-306.879428625</v>
      </c>
      <c r="F17" s="4" t="n">
        <f aca="false">-F6*Assumptions!F46/100</f>
        <v>-319.15460577</v>
      </c>
      <c r="G17" s="4" t="n">
        <f aca="false">-G6*Assumptions!G46/100</f>
        <v>-331.9207900008</v>
      </c>
      <c r="H17" s="4" t="n">
        <f aca="false">-H6*Assumptions!H46/100</f>
        <v>-343.538017650828</v>
      </c>
      <c r="I17" s="4" t="n">
        <f aca="false">-I6*Assumptions!I46/100</f>
        <v>-353.844158180353</v>
      </c>
      <c r="J17" s="4" t="n">
        <f aca="false">-J6*Assumptions!J46/100</f>
        <v>-364.459482925763</v>
      </c>
      <c r="K17" s="4" t="n">
        <f aca="false">-K6*Assumptions!K46/100</f>
        <v>-375.393267413536</v>
      </c>
      <c r="L17" s="4" t="n">
        <f aca="false">-L6*Assumptions!L46/100</f>
        <v>-386.655065435942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3069.112105</v>
      </c>
      <c r="D19" s="0" t="n">
        <f aca="false">D15+D16+D17+D18</f>
        <v>3420.12384525</v>
      </c>
      <c r="E19" s="0" t="n">
        <f aca="false">E15+E16+E17+E18</f>
        <v>3677.25249882375</v>
      </c>
      <c r="F19" s="0" t="n">
        <f aca="false">F15+F16+F17+F18</f>
        <v>3888.7538010321</v>
      </c>
      <c r="G19" s="0" t="n">
        <f aca="false">G15+G16+G17+G18</f>
        <v>4044.30395307338</v>
      </c>
      <c r="H19" s="0" t="n">
        <f aca="false">H15+H16+H17+H18</f>
        <v>4185.85459143095</v>
      </c>
      <c r="I19" s="0" t="n">
        <f aca="false">I15+I16+I17+I18</f>
        <v>4311.43022917388</v>
      </c>
      <c r="J19" s="0" t="n">
        <f aca="false">J15+J16+J17+J18</f>
        <v>4440.7731360491</v>
      </c>
      <c r="K19" s="0" t="n">
        <f aca="false">K15+K16+K17+K18</f>
        <v>4573.99633013057</v>
      </c>
      <c r="L19" s="0" t="n">
        <f aca="false">L15+L16+L17+L18</f>
        <v>4711.21622003449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2841.77046759259</v>
      </c>
      <c r="D21" s="0" t="n">
        <f aca="false">D19*D20</f>
        <v>2932.20494277263</v>
      </c>
      <c r="E21" s="0" t="n">
        <f aca="false">E19*E20</f>
        <v>2919.12159193828</v>
      </c>
      <c r="F21" s="0" t="n">
        <f aca="false">F19*F20</f>
        <v>2858.35013393427</v>
      </c>
      <c r="G21" s="0" t="n">
        <f aca="false">G19*G20</f>
        <v>2752.48531415893</v>
      </c>
      <c r="H21" s="0" t="n">
        <f aca="false">H19*H20</f>
        <v>2637.79842606897</v>
      </c>
      <c r="I21" s="0" t="n">
        <f aca="false">I19*I20</f>
        <v>2515.67812856578</v>
      </c>
      <c r="J21" s="0" t="n">
        <f aca="false">J19*J20</f>
        <v>2399.21154853959</v>
      </c>
      <c r="K21" s="0" t="n">
        <f aca="false">K19*K20</f>
        <v>2288.1369398109</v>
      </c>
      <c r="L21" s="0" t="n">
        <f aca="false">L19*L20</f>
        <v>2182.20467407891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26326.9621674609</v>
      </c>
    </row>
    <row r="31" customFormat="false" ht="15" hidden="false" customHeight="false" outlineLevel="0" collapsed="false">
      <c r="A31" s="0" t="s">
        <v>138</v>
      </c>
      <c r="B31" s="0" t="n">
        <f aca="false">L19</f>
        <v>4711.21622003449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87799.9386460973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65957.0270804828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65957.0270804828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30550.8654371048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56877.8276045657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48941.8276045657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177.64728713091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1.37814306734819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1000.71649834797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1517.13645583478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186.786499305802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38631.9730042828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75.7425222493186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60.7484292766605</v>
      </c>
      <c r="C4" s="0" t="n">
        <f aca="false">B4/Assumptions!$B$2-1</f>
        <v>-0.186768015038012</v>
      </c>
      <c r="D4" s="4" t="n">
        <f aca="false">Assumptions!$B$24</f>
        <v>0.3</v>
      </c>
      <c r="E4" s="4" t="n">
        <f aca="false">DCF_Bear!$B$43</f>
        <v>65.9427485288917</v>
      </c>
      <c r="F4" s="4" t="n">
        <f aca="false">DCF_Bear!$B$47</f>
        <v>28.158650934766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132.317567969714</v>
      </c>
      <c r="C5" s="0" t="n">
        <f aca="false">B5/Assumptions!$B$2-1</f>
        <v>0.771319517666853</v>
      </c>
      <c r="D5" s="4" t="n">
        <f aca="false">Assumptions!$B$38</f>
        <v>0.5</v>
      </c>
      <c r="E5" s="4" t="n">
        <f aca="false">DCF_Base!$B$43</f>
        <v>140.135062947108</v>
      </c>
      <c r="F5" s="4" t="n">
        <f aca="false">DCF_Base!$B$47</f>
        <v>59.5240402443756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177.64728713091</v>
      </c>
      <c r="C6" s="0" t="n">
        <f aca="false">B6/Assumptions!$B$2-1</f>
        <v>1.37814306734819</v>
      </c>
      <c r="D6" s="4" t="n">
        <f aca="false">Assumptions!$B$52</f>
        <v>0.2</v>
      </c>
      <c r="E6" s="4" t="n">
        <f aca="false">DCF_Bull!$B$43</f>
        <v>186.786499305802</v>
      </c>
      <c r="F6" s="4" t="n">
        <f aca="false">DCF_Bull!$B$47</f>
        <v>75.7425222493186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119.912770194037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127.207655893382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0.37704716620987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-619.78723255524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53.3581198524813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132.317567969714</v>
      </c>
      <c r="C15" s="3" t="n">
        <v>8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121.637271523852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111.875007103877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99.6299155802365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86.5819058683933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59.5240402443756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156.848129638076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156.848129638076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156.848129638076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156.848129638076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156.848129638076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144.016758031666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144.016758031666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144.016758031666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144.016758031666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144.016758031666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132.317567969714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132.317567969714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132.317567969714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132.317567969714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132.317567969714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121.637271523852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121.637271523852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121.637271523852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121.637271523852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121.637271523852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107.64634731316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111.555192497856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111.875007103877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111.875007103877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111.875007103877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2026-10-02T06:27:07Z</dcterms:created>
  <dc:creator>openpyxl</dc:creator>
  <dc:description/>
  <dc:language>en-NZ</dc:language>
  <cp:lastModifiedBy/>
  <dcterms:modified xsi:type="dcterms:W3CDTF">2026-10-02T06:27:07Z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