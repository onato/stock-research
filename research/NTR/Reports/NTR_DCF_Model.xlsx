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<sst xmlns="http://schemas.openxmlformats.org/spreadsheetml/2006/main" count="363" uniqueCount="172">
  <si>
    <t xml:space="preserve">Ticker</t>
  </si>
  <si>
    <t xml:space="preserve">NTR</t>
  </si>
  <si>
    <t xml:space="preserve">Company</t>
  </si>
  <si>
    <t xml:space="preserve">Nutrien Ltd.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</si>
  <si>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</si>
  <si>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</si>
  <si>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</si>
  <si>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</si>
  <si>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</si>
  <si>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</si>
  <si>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</si>
  <si>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</si>
  <si>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</si>
  <si>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</si>
  <si>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</si>
  <si>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</si>
  <si>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</si>
  <si>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</si>
  <si>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</si>
  <si>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</si>
  <si>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</si>
  <si>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2026-10-04T00:00:47Z</t>
  </si>
  <si>
    <t xml:space="preserve">Drivers file</t>
  </si>
  <si>
    <t xml:space="preserve">NTR_Drivers.json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</si>
  <si>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</si>
  <si>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</si>
  <si>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</si>
  <si>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Cyclical commodity producer bolted to a steadier, working-capital-heavy retail distributor. Value it on a mid-cycle owner-FCF path, never on the FY2022 peak, with cyclicality priced once in the flows (25/50/25 weights, a trough bear) and a single USD WACC. Leases are treated as an operating cost; the terminal value is capped at 14x unlevered FCF (cyclical cap), which binds in every scenario -- the market has historically paid ~7-8x EV/adj EBITDA, roughly 18x this FCF definition, so the gap between the cap and Gordon is the price of a re-rating thesis.
key_risks_to_valuation: Potash price: Jansen ramp (2027+) and Belarusian tonnes re-entering the US market; Nitrogen margin depends on the US natural-gas spread versus global marginal producers; Retail credit and the $7.0bn Retail North America goodwill (critical audit matter); Working capital: Retail receivables/inventory absorb cash when revenue grows; the -25% capture is an estimate from a noisy 2020-2025 history; Year 1 (FY2026) is mostly elapsed; H2 seasonality is the swing factor for the June net-debt anchor</t>
  </si>
  <si>
    <t xml:space="preserve">Data sources</t>
  </si>
  <si>
    <t xml:space="preserve">price: Yahoo Finance chart API at inputs.price_as_of (regular close); 52-week range 53.03-85.36
financials: NTR_Metrics.csv / NTR.duckdb core_metrics + kpis (Adjusted EBITDA, segment adj EBITDA, D&amp;A, cash taxes, interest, lease principal, buybacks); NTR_Annual_FY2025 (SBC reconciliation lines 2667-2685, lease note line 2045/2203, Note 7 settlement terms); NTR_Quarterly_Q2-2026 (balance sheet lines 219-252, diluted shares line 59)
qualitative: NTR_Analysis.json (2026-10-04): guidance as of Q2 2026 (5-Aug-2026), bull/bear cases, Belarus and Jansen developments</t>
  </si>
  <si>
    <t xml:space="preserve">Scenario narrative: bear</t>
  </si>
  <si>
    <t xml:space="preserve">A potash down-cycle arrives in 2027-28: the US-Belarus deal admits sub-benchmark tonnes into Nutrien's home market while Jansen adds ~4Mt of lowest-cost Canadian supply, breaking Canpotex pricing discipline. Nitrogen margins compress on a US gas spike or cheap Middle East/Russian urea, and Retail suffers a farm-income squeeze (low grain prices, elevated &gt;90-day receivables, goodwill impairment risk on the $7.0bn Retail NA CGU). Revenue falls ~9% over 2027-28 and EBITDA margin troughs at 18% (FY2020 trough was 17.5%) before recovering only to 19% -- i.e. the post-Jansen world is permanently less profitable than 2020-2025.</t>
  </si>
  <si>
    <t xml:space="preserve">Scenario narrative: base</t>
  </si>
  <si>
    <t xml:space="preserve">Fertilizer markets normalise to mid-cycle. FY2026 lands near guidance (record potash volumes 14.2-14.8Mt, Retail adj EBITDA $1.75-1.95bn, capex ~$2.0bn). From 2027 BHP Jansen Stage 1 and a partial reopening of US access for Belarusian potash take the edge off potash pricing, but Canpotex discipline and trend demand growth in Asia/LatAm keep potash near mid-cycle. Nitrogen earns its North American gas-cost advantage; Phosphate is sold or shrunk with little value either way. Retail grows with crop inputs and proprietary-mix gains, and the ~$200m cost programme offsets inflation rather than lifting margins. Group EBITDA margin settles at 21.5% (2020-2025 median), capex ~= maintenance-level D&amp;A.</t>
  </si>
  <si>
    <t xml:space="preserve">Scenario narrative: bull</t>
  </si>
  <si>
    <t xml:space="preserve">The 'structural FCF growth' story works. Potash stays tight through the decade as demand replenishes soils after record crops, Belarus remains sanctioned/contracted-out and Jansen ramps slowly into a growing market; automation (49% of ore tonnes in 2025) keeps controllable cash costs below $60/t. Retail proprietary products keep climbing past 32% of gross margin, the $200m savings drop through, Phosphate/Trinidad/Brazil Retail exits lift the mix, and capex settles at the low end of guidance. EBITDA margin reaches 24% -- below the 2021-22 boom (25.7-32.1%), so this is a strong mid-cycle, not a repeat of the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</si>
  <si>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</si>
  <si>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</si>
  <si>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</si>
  <si>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</si>
  <si>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</si>
  <si>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</si>
  <si>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</si>
  <si>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</si>
  <si>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</si>
  <si>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</si>
  <si>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</si>
  <si>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</si>
  <si>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</si>
  <si>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</si>
  <si>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</si>
  <si>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</si>
  <si>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</si>
  <si>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</si>
  <si>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</si>
  <si>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</si>
  <si>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</si>
  <si>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</si>
  <si>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</si>
  <si>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</si>
  <si>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</si>
  <si>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</si>
  <si>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</si>
  <si>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</si>
  <si>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InterestPaid</t>
  </si>
  <si>
    <t xml:space="preserve">LeasePrincipalPaid</t>
  </si>
  <si>
    <t xml:space="preserve">NetIncomeContinuing</t>
  </si>
  <si>
    <t xml:space="preserve">NetIncomeDiscontinued</t>
  </si>
  <si>
    <t xml:space="preserve">NonControllingInterestProfit</t>
  </si>
  <si>
    <t xml:space="preserve">ProfitForPeriodTotal</t>
  </si>
  <si>
    <t xml:space="preserve">TotalDrawnDebt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</si>
  <si>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</si>
  <si>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</si>
  <si>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</si>
  <si>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</si>
  <si>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</si>
  <si>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</si>
  <si>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</si>
  <si>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</si>
  <si>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</si>
  <si>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</si>
  <si>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</si>
  <si>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</si>
  <si>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</si>
  <si>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</si>
  <si>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</si>
  <si>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</si>
  <si>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</si>
  <si>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</si>
  <si>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</si>
  <si>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</si>
  <si>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</si>
  <si>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</si>
  <si>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</si>
  <si>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</si>
  <si>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</si>
  <si>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</si>
  <si>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</si>
  <si>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</si>
  <si>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</si>
  <si>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</si>
  <si>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</si>
  <si>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</si>
  <si>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</si>
  <si>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</si>
  <si>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</si>
  <si>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</si>
  <si>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</si>
  <si>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</si>
  <si>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</si>
  <si>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</si>
  <si>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</si>
  <si>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</si>
  <si>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</si>
  <si>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</si>
  <si>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</si>
  <si>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</si>
  <si>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NTR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</si>
  <si>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</si>
  <si>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</si>
  <si>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</si>
  <si>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</si>
  <si>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</si>
  <si>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</si>
  <si>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</si>
  <si>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</si>
  <si>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</si>
  <si>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</si>
  <si>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</si>
  <si>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</si>
  <si>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</si>
  <si>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</si>
  <si>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</si>
  <si>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</si>
  <si>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</si>
  <si>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</si>
  <si>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</si>
  <si>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</si>
  <si>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</si>
  <si>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</si>
  <si>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</si>
  <si>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</si>
  <si>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</si>
  <si>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</si>
  <si>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</si>
  <si>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</si>
  <si>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</si>
  <si>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</si>
  <si>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NTR owner-FCF component DCF: base case (millions, USD)</t>
  </si>
  <si>
    <t xml:space="preserve">NTR owner-FCF component DCF: bull case (millions, USD)</t>
  </si>
  <si>
    <t xml:space="preserve">NTR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</si>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</sst>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70.06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</row>
    <row r="2" customFormat="false" ht="15" hidden="false" customHeight="false" outlineLevel="0" collapsed="false">
      <c r="A2" s="0" t="s">
        <v>72</v>
      </c>
      <c r="B2" s="0" t="n">
        <v>19636</v>
      </c>
      <c r="C2" s="0" t="n">
        <v>14244</v>
      </c>
      <c r="D2" s="0" t="n">
        <v>5392</v>
      </c>
      <c r="E2" s="0" t="n">
        <v>27.5</v>
      </c>
      <c r="F2" s="0" t="n">
        <v>414</v>
      </c>
      <c r="G2" s="0" t="n">
        <v>2.1</v>
      </c>
      <c r="H2" s="0" t="n">
        <v>2006</v>
      </c>
      <c r="I2" s="0" t="n">
        <v>3573</v>
      </c>
      <c r="J2" s="0" t="n">
        <v>18.2</v>
      </c>
      <c r="K2" s="0" t="n">
        <v>5.72</v>
      </c>
      <c r="L2" s="0" t="n">
        <v>2052</v>
      </c>
      <c r="M2" s="0" t="n">
        <v>1405</v>
      </c>
      <c r="N2" s="0" t="n">
        <v>647</v>
      </c>
      <c r="O2" s="0" t="n">
        <v>24425</v>
      </c>
      <c r="P2" s="0" t="n">
        <v>45502</v>
      </c>
      <c r="Q2" s="0" t="n">
        <v>21077</v>
      </c>
      <c r="R2" s="0" t="n">
        <v>9223</v>
      </c>
      <c r="S2" s="0" t="n">
        <v>2314</v>
      </c>
      <c r="T2" s="0" t="n">
        <v>624.9</v>
      </c>
      <c r="U2" s="0" t="n">
        <v>116</v>
      </c>
      <c r="AA2" s="0" t="s">
        <v>17</v>
      </c>
      <c r="AB2" s="0" t="s">
        <v>14</v>
      </c>
      <c r="AD2" s="0" t="n">
        <v>507</v>
      </c>
      <c r="AF2" s="0" t="n">
        <v>-31</v>
      </c>
      <c r="AG2" s="0" t="n">
        <v>3604</v>
      </c>
      <c r="AI2" s="0" t="n">
        <v>3573</v>
      </c>
      <c r="AJ2" s="0" t="n">
        <v>9203</v>
      </c>
      <c r="AK2" s="0" t="n">
        <v>24425</v>
      </c>
    </row>
    <row r="3" customFormat="false" ht="15" hidden="false" customHeight="false" outlineLevel="0" collapsed="false">
      <c r="A3" s="0" t="s">
        <v>73</v>
      </c>
      <c r="B3" s="0" t="n">
        <v>20084</v>
      </c>
      <c r="C3" s="0" t="n">
        <v>14582</v>
      </c>
      <c r="D3" s="0" t="n">
        <v>5502</v>
      </c>
      <c r="E3" s="0" t="n">
        <v>27.4</v>
      </c>
      <c r="F3" s="0" t="n">
        <v>1862</v>
      </c>
      <c r="G3" s="0" t="n">
        <v>9.3</v>
      </c>
      <c r="H3" s="0" t="n">
        <v>3661</v>
      </c>
      <c r="I3" s="0" t="n">
        <v>992</v>
      </c>
      <c r="J3" s="0" t="n">
        <v>4.9</v>
      </c>
      <c r="K3" s="0" t="n">
        <v>1.7</v>
      </c>
      <c r="L3" s="0" t="n">
        <v>3665</v>
      </c>
      <c r="M3" s="0" t="n">
        <v>1728</v>
      </c>
      <c r="N3" s="0" t="n">
        <v>1937</v>
      </c>
      <c r="O3" s="0" t="n">
        <v>22869</v>
      </c>
      <c r="P3" s="0" t="n">
        <v>46799</v>
      </c>
      <c r="Q3" s="0" t="n">
        <v>23930</v>
      </c>
      <c r="R3" s="0" t="n">
        <v>11104</v>
      </c>
      <c r="S3" s="0" t="n">
        <v>671</v>
      </c>
      <c r="T3" s="0" t="n">
        <v>583.102</v>
      </c>
      <c r="U3" s="0" t="n">
        <v>104</v>
      </c>
      <c r="AA3" s="0" t="s">
        <v>17</v>
      </c>
      <c r="AB3" s="0" t="s">
        <v>14</v>
      </c>
      <c r="AD3" s="0" t="n">
        <v>505</v>
      </c>
      <c r="AE3" s="0" t="n">
        <v>234</v>
      </c>
      <c r="AI3" s="0" t="n">
        <v>992</v>
      </c>
      <c r="AJ3" s="0" t="n">
        <v>10031</v>
      </c>
      <c r="AK3" s="0" t="n">
        <v>22869</v>
      </c>
    </row>
    <row r="4" customFormat="false" ht="15" hidden="false" customHeight="false" outlineLevel="0" collapsed="false">
      <c r="A4" s="0" t="s">
        <v>74</v>
      </c>
      <c r="B4" s="0" t="n">
        <v>20908</v>
      </c>
      <c r="C4" s="0" t="n">
        <v>15669</v>
      </c>
      <c r="D4" s="0" t="n">
        <v>5239</v>
      </c>
      <c r="E4" s="0" t="n">
        <v>25.1</v>
      </c>
      <c r="F4" s="0" t="n">
        <v>902</v>
      </c>
      <c r="G4" s="0" t="n">
        <v>4.3</v>
      </c>
      <c r="H4" s="0" t="n">
        <v>2891</v>
      </c>
      <c r="I4" s="0" t="n">
        <v>459</v>
      </c>
      <c r="J4" s="0" t="n">
        <v>2.2</v>
      </c>
      <c r="K4" s="0" t="n">
        <v>0.81</v>
      </c>
      <c r="L4" s="0" t="n">
        <v>3323</v>
      </c>
      <c r="M4" s="0" t="n">
        <v>1549</v>
      </c>
      <c r="N4" s="0" t="n">
        <v>1774</v>
      </c>
      <c r="O4" s="0" t="n">
        <v>22365</v>
      </c>
      <c r="P4" s="0" t="n">
        <v>47192</v>
      </c>
      <c r="Q4" s="0" t="n">
        <v>24789</v>
      </c>
      <c r="R4" s="0" t="n">
        <v>11360</v>
      </c>
      <c r="S4" s="0" t="n">
        <v>1454</v>
      </c>
      <c r="T4" s="0" t="n">
        <v>569.686</v>
      </c>
      <c r="U4" s="0" t="n">
        <v>69</v>
      </c>
      <c r="AA4" s="0" t="s">
        <v>17</v>
      </c>
      <c r="AB4" s="0" t="s">
        <v>14</v>
      </c>
      <c r="AC4" s="0" t="n">
        <v>3667</v>
      </c>
      <c r="AD4" s="0" t="n">
        <v>498</v>
      </c>
      <c r="AE4" s="0" t="n">
        <v>274</v>
      </c>
      <c r="AH4" s="0" t="n">
        <v>0</v>
      </c>
      <c r="AI4" s="0" t="n">
        <v>459</v>
      </c>
      <c r="AJ4" s="0" t="n">
        <v>10220</v>
      </c>
      <c r="AK4" s="0" t="n">
        <v>22403</v>
      </c>
    </row>
    <row r="5" customFormat="false" ht="15" hidden="false" customHeight="false" outlineLevel="0" collapsed="false">
      <c r="A5" s="0" t="s">
        <v>75</v>
      </c>
      <c r="B5" s="0" t="n">
        <v>27712</v>
      </c>
      <c r="C5" s="0" t="n">
        <v>18303</v>
      </c>
      <c r="D5" s="0" t="n">
        <v>9409</v>
      </c>
      <c r="E5" s="0" t="n">
        <v>34</v>
      </c>
      <c r="F5" s="0" t="n">
        <v>4781</v>
      </c>
      <c r="G5" s="0" t="n">
        <v>17.3</v>
      </c>
      <c r="H5" s="0" t="n">
        <v>6732</v>
      </c>
      <c r="I5" s="0" t="n">
        <v>3153</v>
      </c>
      <c r="J5" s="0" t="n">
        <v>11.4</v>
      </c>
      <c r="K5" s="0" t="n">
        <v>5.52</v>
      </c>
      <c r="L5" s="0" t="n">
        <v>3886</v>
      </c>
      <c r="M5" s="0" t="n">
        <v>1884</v>
      </c>
      <c r="N5" s="0" t="n">
        <v>2002</v>
      </c>
      <c r="O5" s="0" t="n">
        <v>23652</v>
      </c>
      <c r="P5" s="0" t="n">
        <v>49954</v>
      </c>
      <c r="Q5" s="0" t="n">
        <v>26255</v>
      </c>
      <c r="R5" s="0" t="n">
        <v>10846</v>
      </c>
      <c r="S5" s="0" t="n">
        <v>499</v>
      </c>
      <c r="T5" s="0" t="n">
        <v>571.289</v>
      </c>
      <c r="U5" s="0" t="n">
        <v>198</v>
      </c>
      <c r="AA5" s="0" t="s">
        <v>17</v>
      </c>
      <c r="AB5" s="0" t="s">
        <v>14</v>
      </c>
      <c r="AC5" s="0" t="n">
        <v>7126</v>
      </c>
      <c r="AD5" s="0" t="n">
        <v>491</v>
      </c>
      <c r="AE5" s="0" t="n">
        <v>320</v>
      </c>
      <c r="AH5" s="0" t="n">
        <v>26</v>
      </c>
      <c r="AI5" s="0" t="n">
        <v>3179</v>
      </c>
      <c r="AJ5" s="0" t="n">
        <v>9626</v>
      </c>
      <c r="AK5" s="0" t="n">
        <v>23699</v>
      </c>
    </row>
    <row r="6" customFormat="false" ht="15" hidden="false" customHeight="false" outlineLevel="0" collapsed="false">
      <c r="A6" s="0" t="s">
        <v>76</v>
      </c>
      <c r="B6" s="0" t="n">
        <v>37884</v>
      </c>
      <c r="C6" s="0" t="n">
        <v>22460</v>
      </c>
      <c r="D6" s="0" t="n">
        <v>15424</v>
      </c>
      <c r="E6" s="0" t="n">
        <v>40.7</v>
      </c>
      <c r="F6" s="0" t="n">
        <v>10809</v>
      </c>
      <c r="G6" s="0" t="n">
        <v>28.5</v>
      </c>
      <c r="H6" s="0" t="n">
        <v>12821</v>
      </c>
      <c r="I6" s="0" t="n">
        <v>7660</v>
      </c>
      <c r="J6" s="0" t="n">
        <v>20.2</v>
      </c>
      <c r="K6" s="0" t="n">
        <v>14.18</v>
      </c>
      <c r="L6" s="0" t="n">
        <v>8110</v>
      </c>
      <c r="M6" s="0" t="n">
        <v>2475</v>
      </c>
      <c r="N6" s="0" t="n">
        <v>5635</v>
      </c>
      <c r="O6" s="0" t="n">
        <v>25818</v>
      </c>
      <c r="P6" s="0" t="n">
        <v>54586</v>
      </c>
      <c r="Q6" s="0" t="n">
        <v>28723</v>
      </c>
      <c r="R6" s="0" t="n">
        <v>11928</v>
      </c>
      <c r="S6" s="0" t="n">
        <v>901</v>
      </c>
      <c r="T6" s="0" t="n">
        <v>540.01</v>
      </c>
      <c r="U6" s="0" t="n">
        <v>63</v>
      </c>
      <c r="AA6" s="0" t="s">
        <v>17</v>
      </c>
      <c r="AB6" s="0" t="s">
        <v>14</v>
      </c>
      <c r="AC6" s="0" t="n">
        <v>12170</v>
      </c>
      <c r="AD6" s="0" t="n">
        <v>482</v>
      </c>
      <c r="AE6" s="0" t="n">
        <v>341</v>
      </c>
      <c r="AH6" s="0" t="n">
        <v>27</v>
      </c>
      <c r="AI6" s="0" t="n">
        <v>7687</v>
      </c>
      <c r="AJ6" s="0" t="n">
        <v>10724</v>
      </c>
      <c r="AK6" s="0" t="n">
        <v>25863</v>
      </c>
    </row>
    <row r="7" customFormat="false" ht="15" hidden="false" customHeight="false" outlineLevel="0" collapsed="false">
      <c r="A7" s="0" t="s">
        <v>77</v>
      </c>
      <c r="B7" s="0" t="n">
        <v>29056</v>
      </c>
      <c r="C7" s="0" t="n">
        <v>20582</v>
      </c>
      <c r="D7" s="0" t="n">
        <v>8474</v>
      </c>
      <c r="E7" s="0" t="n">
        <v>29.2</v>
      </c>
      <c r="F7" s="0" t="n">
        <v>2745</v>
      </c>
      <c r="G7" s="0" t="n">
        <v>9.4</v>
      </c>
      <c r="H7" s="0" t="n">
        <v>4914</v>
      </c>
      <c r="I7" s="0" t="n">
        <v>1258</v>
      </c>
      <c r="J7" s="0" t="n">
        <v>4.3</v>
      </c>
      <c r="K7" s="0" t="n">
        <v>2.53</v>
      </c>
      <c r="L7" s="0" t="n">
        <v>5066</v>
      </c>
      <c r="M7" s="0" t="n">
        <v>2600</v>
      </c>
      <c r="N7" s="0" t="n">
        <v>2466</v>
      </c>
      <c r="O7" s="0" t="n">
        <v>25156</v>
      </c>
      <c r="P7" s="0" t="n">
        <v>52749</v>
      </c>
      <c r="Q7" s="0" t="n">
        <v>27548</v>
      </c>
      <c r="R7" s="0" t="n">
        <v>12566</v>
      </c>
      <c r="S7" s="0" t="n">
        <v>941</v>
      </c>
      <c r="T7" s="0" t="n">
        <v>496.994</v>
      </c>
      <c r="U7" s="0" t="n">
        <v>-14</v>
      </c>
      <c r="AA7" s="0" t="s">
        <v>17</v>
      </c>
      <c r="AB7" s="0" t="s">
        <v>14</v>
      </c>
      <c r="AC7" s="0" t="n">
        <v>6058</v>
      </c>
      <c r="AD7" s="0" t="n">
        <v>729</v>
      </c>
      <c r="AE7" s="0" t="n">
        <v>375</v>
      </c>
      <c r="AH7" s="0" t="n">
        <v>24</v>
      </c>
      <c r="AI7" s="0" t="n">
        <v>1282</v>
      </c>
      <c r="AJ7" s="0" t="n">
        <v>11240</v>
      </c>
      <c r="AK7" s="0" t="n">
        <v>25201</v>
      </c>
    </row>
    <row r="8" customFormat="false" ht="15" hidden="false" customHeight="false" outlineLevel="0" collapsed="false">
      <c r="A8" s="0" t="s">
        <v>78</v>
      </c>
      <c r="B8" s="0" t="n">
        <v>25972</v>
      </c>
      <c r="C8" s="0" t="n">
        <v>18442</v>
      </c>
      <c r="D8" s="0" t="n">
        <v>7530</v>
      </c>
      <c r="E8" s="0" t="n">
        <v>29</v>
      </c>
      <c r="F8" s="0" t="n">
        <v>1856</v>
      </c>
      <c r="G8" s="0" t="n">
        <v>7.1</v>
      </c>
      <c r="H8" s="0" t="n">
        <v>4195</v>
      </c>
      <c r="I8" s="0" t="n">
        <v>674</v>
      </c>
      <c r="J8" s="0" t="n">
        <v>2.6</v>
      </c>
      <c r="K8" s="0" t="n">
        <v>1.36</v>
      </c>
      <c r="L8" s="0" t="n">
        <v>3535</v>
      </c>
      <c r="M8" s="0" t="n">
        <v>2154</v>
      </c>
      <c r="N8" s="0" t="n">
        <v>1381</v>
      </c>
      <c r="O8" s="0" t="n">
        <v>24407</v>
      </c>
      <c r="P8" s="0" t="n">
        <v>51840</v>
      </c>
      <c r="Q8" s="0" t="n">
        <v>27398</v>
      </c>
      <c r="R8" s="0" t="n">
        <v>12807</v>
      </c>
      <c r="S8" s="0" t="n">
        <v>853</v>
      </c>
      <c r="T8" s="0" t="n">
        <v>494.365</v>
      </c>
      <c r="U8" s="0" t="n">
        <v>37</v>
      </c>
      <c r="AA8" s="0" t="s">
        <v>17</v>
      </c>
      <c r="AB8" s="0" t="s">
        <v>14</v>
      </c>
      <c r="AC8" s="0" t="n">
        <v>5355</v>
      </c>
      <c r="AD8" s="0" t="n">
        <v>740</v>
      </c>
      <c r="AE8" s="0" t="n">
        <v>402</v>
      </c>
      <c r="AH8" s="0" t="n">
        <v>26</v>
      </c>
      <c r="AI8" s="0" t="n">
        <v>700</v>
      </c>
      <c r="AJ8" s="0" t="n">
        <v>11452</v>
      </c>
      <c r="AK8" s="0" t="n">
        <v>24442</v>
      </c>
    </row>
    <row r="9" customFormat="false" ht="15" hidden="false" customHeight="false" outlineLevel="0" collapsed="false">
      <c r="A9" s="0" t="s">
        <v>79</v>
      </c>
      <c r="B9" s="0" t="n">
        <v>26885</v>
      </c>
      <c r="C9" s="0" t="n">
        <v>18538</v>
      </c>
      <c r="D9" s="0" t="n">
        <v>8347</v>
      </c>
      <c r="E9" s="0" t="n">
        <v>31</v>
      </c>
      <c r="F9" s="0" t="n">
        <v>3736</v>
      </c>
      <c r="G9" s="0" t="n">
        <v>13.9</v>
      </c>
      <c r="H9" s="0" t="n">
        <v>6105</v>
      </c>
      <c r="I9" s="0" t="n">
        <v>2267</v>
      </c>
      <c r="J9" s="0" t="n">
        <v>8.4</v>
      </c>
      <c r="K9" s="0" t="n">
        <v>4.66</v>
      </c>
      <c r="L9" s="0" t="n">
        <v>4007</v>
      </c>
      <c r="M9" s="0" t="n">
        <v>2005</v>
      </c>
      <c r="N9" s="0" t="n">
        <v>2002</v>
      </c>
      <c r="O9" s="0" t="n">
        <v>25323</v>
      </c>
      <c r="P9" s="0" t="n">
        <v>52301</v>
      </c>
      <c r="Q9" s="0" t="n">
        <v>26936</v>
      </c>
      <c r="R9" s="0" t="n">
        <v>12019</v>
      </c>
      <c r="S9" s="0" t="n">
        <v>701</v>
      </c>
      <c r="T9" s="0" t="n">
        <v>486.518</v>
      </c>
      <c r="U9" s="0" t="n">
        <v>163</v>
      </c>
      <c r="AA9" s="0" t="s">
        <v>17</v>
      </c>
      <c r="AB9" s="0" t="s">
        <v>14</v>
      </c>
      <c r="AC9" s="0" t="n">
        <v>6046</v>
      </c>
      <c r="AD9" s="0" t="n">
        <v>738</v>
      </c>
      <c r="AE9" s="0" t="n">
        <v>419</v>
      </c>
      <c r="AH9" s="0" t="n">
        <v>30</v>
      </c>
      <c r="AI9" s="0" t="n">
        <v>2297</v>
      </c>
      <c r="AJ9" s="0" t="n">
        <v>10736</v>
      </c>
      <c r="AK9" s="0" t="n">
        <v>25365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70.06</v>
      </c>
    </row>
    <row r="3" customFormat="false" ht="15" hidden="false" customHeight="false" outlineLevel="0" collapsed="false">
      <c r="A3" s="0" t="s">
        <v>83</v>
      </c>
      <c r="B3" s="3" t="n">
        <v>479.824</v>
      </c>
    </row>
    <row r="4" customFormat="false" ht="15" hidden="false" customHeight="false" outlineLevel="0" collapsed="false">
      <c r="A4" s="0" t="s">
        <v>84</v>
      </c>
      <c r="B4" s="3" t="n">
        <v>10467</v>
      </c>
    </row>
    <row r="5" customFormat="false" ht="15" hidden="false" customHeight="false" outlineLevel="0" collapsed="false">
      <c r="A5" s="0" t="s">
        <v>85</v>
      </c>
      <c r="B5" s="3" t="n">
        <v>101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26885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6</v>
      </c>
      <c r="D13" s="3" t="n">
        <v>-6</v>
      </c>
      <c r="E13" s="3" t="n">
        <v>-3</v>
      </c>
      <c r="F13" s="3" t="n">
        <v>1</v>
      </c>
      <c r="G13" s="3" t="n">
        <v>2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21.8</v>
      </c>
      <c r="D14" s="3" t="n">
        <v>19</v>
      </c>
      <c r="E14" s="3" t="n">
        <v>18</v>
      </c>
      <c r="F14" s="3" t="n">
        <v>18.5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105</v>
      </c>
      <c r="C15" s="3" t="n">
        <v>0.35</v>
      </c>
      <c r="D15" s="3" t="n">
        <v>0.35</v>
      </c>
      <c r="E15" s="3" t="n">
        <v>0.35</v>
      </c>
      <c r="F15" s="3" t="n">
        <v>0.35</v>
      </c>
      <c r="G15" s="3" t="n">
        <v>0.35</v>
      </c>
      <c r="H15" s="3" t="n">
        <v>0.35</v>
      </c>
      <c r="I15" s="3" t="n">
        <v>0.35</v>
      </c>
      <c r="J15" s="3" t="n">
        <v>0.35</v>
      </c>
      <c r="K15" s="3" t="n">
        <v>0.35</v>
      </c>
      <c r="L15" s="3" t="n">
        <v>0.35</v>
      </c>
    </row>
    <row r="16" customFormat="false" ht="15" hidden="false" customHeight="false" outlineLevel="0" collapsed="false">
      <c r="A16" s="0" t="s">
        <v>106</v>
      </c>
      <c r="C16" s="3" t="n">
        <v>1.75</v>
      </c>
      <c r="D16" s="3" t="n">
        <v>1.8</v>
      </c>
      <c r="E16" s="3" t="n">
        <v>1.85</v>
      </c>
      <c r="F16" s="3" t="n">
        <v>1.85</v>
      </c>
      <c r="G16" s="3" t="n">
        <v>1.85</v>
      </c>
      <c r="H16" s="3" t="n">
        <v>1.85</v>
      </c>
      <c r="I16" s="3" t="n">
        <v>1.85</v>
      </c>
      <c r="J16" s="3" t="n">
        <v>1.85</v>
      </c>
      <c r="K16" s="3" t="n">
        <v>1.85</v>
      </c>
      <c r="L16" s="3" t="n">
        <v>1.85</v>
      </c>
    </row>
    <row r="17" customFormat="false" ht="15" hidden="false" customHeight="false" outlineLevel="0" collapsed="false">
      <c r="A17" s="0" t="s">
        <v>107</v>
      </c>
      <c r="C17" s="3" t="n">
        <v>7.1</v>
      </c>
      <c r="D17" s="3" t="n">
        <v>7.4</v>
      </c>
      <c r="E17" s="3" t="n">
        <v>7.5</v>
      </c>
      <c r="F17" s="3" t="n">
        <v>7.4</v>
      </c>
      <c r="G17" s="3" t="n">
        <v>7.3</v>
      </c>
      <c r="H17" s="3" t="n">
        <v>7.2</v>
      </c>
      <c r="I17" s="3" t="n">
        <v>7.1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108</v>
      </c>
      <c r="C18" s="3" t="n">
        <v>6.9</v>
      </c>
      <c r="D18" s="3" t="n">
        <v>7</v>
      </c>
      <c r="E18" s="3" t="n">
        <v>7</v>
      </c>
      <c r="F18" s="3" t="n">
        <v>7.1</v>
      </c>
      <c r="G18" s="3" t="n">
        <v>7.1</v>
      </c>
      <c r="H18" s="3" t="n">
        <v>7.1</v>
      </c>
      <c r="I18" s="3" t="n">
        <v>7.1</v>
      </c>
      <c r="J18" s="3" t="n">
        <v>7.1</v>
      </c>
      <c r="K18" s="3" t="n">
        <v>7.1</v>
      </c>
      <c r="L18" s="3" t="n">
        <v>7.1</v>
      </c>
    </row>
    <row r="19" customFormat="false" ht="15" hidden="false" customHeight="false" outlineLevel="0" collapsed="false">
      <c r="A19" s="0" t="s">
        <v>109</v>
      </c>
      <c r="C19" s="3" t="n">
        <v>20</v>
      </c>
      <c r="D19" s="3" t="n">
        <v>22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14</v>
      </c>
    </row>
    <row r="23" customFormat="false" ht="15" hidden="false" customHeight="false" outlineLevel="0" collapsed="false">
      <c r="A23" s="0" t="s">
        <v>113</v>
      </c>
      <c r="B23" s="3" t="n">
        <v>-25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7</v>
      </c>
      <c r="D27" s="3" t="n">
        <v>2</v>
      </c>
      <c r="E27" s="3" t="n">
        <v>2.5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22.2</v>
      </c>
      <c r="D28" s="3" t="n">
        <v>21.8</v>
      </c>
      <c r="E28" s="3" t="n">
        <v>21.5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105</v>
      </c>
      <c r="C29" s="3" t="n">
        <v>0.35</v>
      </c>
      <c r="D29" s="3" t="n">
        <v>0.35</v>
      </c>
      <c r="E29" s="3" t="n">
        <v>0.35</v>
      </c>
      <c r="F29" s="3" t="n">
        <v>0.35</v>
      </c>
      <c r="G29" s="3" t="n">
        <v>0.35</v>
      </c>
      <c r="H29" s="3" t="n">
        <v>0.35</v>
      </c>
      <c r="I29" s="3" t="n">
        <v>0.35</v>
      </c>
      <c r="J29" s="3" t="n">
        <v>0.35</v>
      </c>
      <c r="K29" s="3" t="n">
        <v>0.35</v>
      </c>
      <c r="L29" s="3" t="n">
        <v>0.35</v>
      </c>
    </row>
    <row r="30" customFormat="false" ht="15" hidden="false" customHeight="false" outlineLevel="0" collapsed="false">
      <c r="A30" s="0" t="s">
        <v>106</v>
      </c>
      <c r="C30" s="3" t="n">
        <v>1.75</v>
      </c>
      <c r="D30" s="3" t="n">
        <v>1.75</v>
      </c>
      <c r="E30" s="3" t="n">
        <v>1.75</v>
      </c>
      <c r="F30" s="3" t="n">
        <v>1.75</v>
      </c>
      <c r="G30" s="3" t="n">
        <v>1.75</v>
      </c>
      <c r="H30" s="3" t="n">
        <v>1.75</v>
      </c>
      <c r="I30" s="3" t="n">
        <v>1.75</v>
      </c>
      <c r="J30" s="3" t="n">
        <v>1.75</v>
      </c>
      <c r="K30" s="3" t="n">
        <v>1.75</v>
      </c>
      <c r="L30" s="3" t="n">
        <v>1.75</v>
      </c>
    </row>
    <row r="31" customFormat="false" ht="15" hidden="false" customHeight="false" outlineLevel="0" collapsed="false">
      <c r="A31" s="0" t="s">
        <v>107</v>
      </c>
      <c r="C31" s="3" t="n">
        <v>7.1</v>
      </c>
      <c r="D31" s="3" t="n">
        <v>7</v>
      </c>
      <c r="E31" s="3" t="n">
        <v>7</v>
      </c>
      <c r="F31" s="3" t="n">
        <v>6.9</v>
      </c>
      <c r="G31" s="3" t="n">
        <v>6.9</v>
      </c>
      <c r="H31" s="3" t="n">
        <v>6.9</v>
      </c>
      <c r="I31" s="3" t="n">
        <v>6.8</v>
      </c>
      <c r="J31" s="3" t="n">
        <v>6.8</v>
      </c>
      <c r="K31" s="3" t="n">
        <v>6.8</v>
      </c>
      <c r="L31" s="3" t="n">
        <v>6.8</v>
      </c>
    </row>
    <row r="32" customFormat="false" ht="15" hidden="false" customHeight="false" outlineLevel="0" collapsed="false">
      <c r="A32" s="0" t="s">
        <v>108</v>
      </c>
      <c r="C32" s="3" t="n">
        <v>6.9</v>
      </c>
      <c r="D32" s="3" t="n">
        <v>6.9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109</v>
      </c>
      <c r="C33" s="3" t="n">
        <v>20</v>
      </c>
      <c r="D33" s="3" t="n">
        <v>22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14</v>
      </c>
    </row>
    <row r="37" customFormat="false" ht="15" hidden="false" customHeight="false" outlineLevel="0" collapsed="false">
      <c r="A37" s="0" t="s">
        <v>113</v>
      </c>
      <c r="B37" s="3" t="n">
        <v>-25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8</v>
      </c>
      <c r="D41" s="3" t="n">
        <v>5</v>
      </c>
      <c r="E41" s="3" t="n">
        <v>4.5</v>
      </c>
      <c r="F41" s="3" t="n">
        <v>4</v>
      </c>
      <c r="G41" s="3" t="n">
        <v>3.5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22.8</v>
      </c>
      <c r="D42" s="3" t="n">
        <v>23.3</v>
      </c>
      <c r="E42" s="3" t="n">
        <v>23.8</v>
      </c>
      <c r="F42" s="3" t="n">
        <v>24</v>
      </c>
      <c r="G42" s="3" t="n">
        <v>24</v>
      </c>
      <c r="H42" s="3" t="n">
        <v>24</v>
      </c>
      <c r="I42" s="3" t="n">
        <v>24</v>
      </c>
      <c r="J42" s="3" t="n">
        <v>24</v>
      </c>
      <c r="K42" s="3" t="n">
        <v>24</v>
      </c>
      <c r="L42" s="3" t="n">
        <v>24</v>
      </c>
    </row>
    <row r="43" customFormat="false" ht="15" hidden="false" customHeight="false" outlineLevel="0" collapsed="false">
      <c r="A43" s="0" t="s">
        <v>105</v>
      </c>
      <c r="C43" s="3" t="n">
        <v>0.35</v>
      </c>
      <c r="D43" s="3" t="n">
        <v>0.35</v>
      </c>
      <c r="E43" s="3" t="n">
        <v>0.35</v>
      </c>
      <c r="F43" s="3" t="n">
        <v>0.35</v>
      </c>
      <c r="G43" s="3" t="n">
        <v>0.35</v>
      </c>
      <c r="H43" s="3" t="n">
        <v>0.35</v>
      </c>
      <c r="I43" s="3" t="n">
        <v>0.35</v>
      </c>
      <c r="J43" s="3" t="n">
        <v>0.35</v>
      </c>
      <c r="K43" s="3" t="n">
        <v>0.35</v>
      </c>
      <c r="L43" s="3" t="n">
        <v>0.35</v>
      </c>
    </row>
    <row r="44" customFormat="false" ht="15" hidden="false" customHeight="false" outlineLevel="0" collapsed="false">
      <c r="A44" s="0" t="s">
        <v>106</v>
      </c>
      <c r="C44" s="3" t="n">
        <v>1.75</v>
      </c>
      <c r="D44" s="3" t="n">
        <v>1.75</v>
      </c>
      <c r="E44" s="3" t="n">
        <v>1.75</v>
      </c>
      <c r="F44" s="3" t="n">
        <v>1.75</v>
      </c>
      <c r="G44" s="3" t="n">
        <v>1.75</v>
      </c>
      <c r="H44" s="3" t="n">
        <v>1.75</v>
      </c>
      <c r="I44" s="3" t="n">
        <v>1.75</v>
      </c>
      <c r="J44" s="3" t="n">
        <v>1.75</v>
      </c>
      <c r="K44" s="3" t="n">
        <v>1.75</v>
      </c>
      <c r="L44" s="3" t="n">
        <v>1.75</v>
      </c>
    </row>
    <row r="45" customFormat="false" ht="15" hidden="false" customHeight="false" outlineLevel="0" collapsed="false">
      <c r="A45" s="0" t="s">
        <v>107</v>
      </c>
      <c r="C45" s="3" t="n">
        <v>7.1</v>
      </c>
      <c r="D45" s="3" t="n">
        <v>7</v>
      </c>
      <c r="E45" s="3" t="n">
        <v>6.9</v>
      </c>
      <c r="F45" s="3" t="n">
        <v>6.8</v>
      </c>
      <c r="G45" s="3" t="n">
        <v>6.8</v>
      </c>
      <c r="H45" s="3" t="n">
        <v>6.7</v>
      </c>
      <c r="I45" s="3" t="n">
        <v>6.7</v>
      </c>
      <c r="J45" s="3" t="n">
        <v>6.7</v>
      </c>
      <c r="K45" s="3" t="n">
        <v>6.7</v>
      </c>
      <c r="L45" s="3" t="n">
        <v>6.7</v>
      </c>
    </row>
    <row r="46" customFormat="false" ht="15" hidden="false" customHeight="false" outlineLevel="0" collapsed="false">
      <c r="A46" s="0" t="s">
        <v>108</v>
      </c>
      <c r="C46" s="3" t="n">
        <v>6.9</v>
      </c>
      <c r="D46" s="3" t="n">
        <v>6.8</v>
      </c>
      <c r="E46" s="3" t="n">
        <v>6.8</v>
      </c>
      <c r="F46" s="3" t="n">
        <v>6.8</v>
      </c>
      <c r="G46" s="3" t="n">
        <v>6.8</v>
      </c>
      <c r="H46" s="3" t="n">
        <v>6.8</v>
      </c>
      <c r="I46" s="3" t="n">
        <v>6.8</v>
      </c>
      <c r="J46" s="3" t="n">
        <v>6.8</v>
      </c>
      <c r="K46" s="3" t="n">
        <v>6.8</v>
      </c>
      <c r="L46" s="3" t="n">
        <v>6.8</v>
      </c>
    </row>
    <row r="47" customFormat="false" ht="15" hidden="false" customHeight="false" outlineLevel="0" collapsed="false">
      <c r="A47" s="0" t="s">
        <v>109</v>
      </c>
      <c r="C47" s="3" t="n">
        <v>20</v>
      </c>
      <c r="D47" s="3" t="n">
        <v>22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14</v>
      </c>
    </row>
    <row r="51" customFormat="false" ht="15" hidden="false" customHeight="false" outlineLevel="0" collapsed="false">
      <c r="A51" s="0" t="s">
        <v>113</v>
      </c>
      <c r="B51" s="3" t="n">
        <v>-25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6</v>
      </c>
      <c r="D5" s="4" t="n">
        <f aca="false">Assumptions!D13</f>
        <v>-6</v>
      </c>
      <c r="E5" s="4" t="n">
        <f aca="false">Assumptions!E13</f>
        <v>-3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28498.1</v>
      </c>
      <c r="D6" s="0" t="n">
        <f aca="false">C6*(1+D5/100)</f>
        <v>26788.214</v>
      </c>
      <c r="E6" s="0" t="n">
        <f aca="false">D6*(1+E5/100)</f>
        <v>25984.56758</v>
      </c>
      <c r="F6" s="0" t="n">
        <f aca="false">E6*(1+F5/100)</f>
        <v>26244.4132558</v>
      </c>
      <c r="G6" s="0" t="n">
        <f aca="false">F6*(1+G5/100)</f>
        <v>26769.301520916</v>
      </c>
      <c r="H6" s="0" t="n">
        <f aca="false">G6*(1+H5/100)</f>
        <v>27438.5340589389</v>
      </c>
      <c r="I6" s="0" t="n">
        <f aca="false">H6*(1+I5/100)</f>
        <v>28124.4974104124</v>
      </c>
      <c r="J6" s="0" t="n">
        <f aca="false">I6*(1+J5/100)</f>
        <v>28686.9873586206</v>
      </c>
      <c r="K6" s="0" t="n">
        <f aca="false">J6*(1+K5/100)</f>
        <v>29260.727105793</v>
      </c>
      <c r="L6" s="0" t="n">
        <f aca="false">K6*(1+L5/100)</f>
        <v>29845.9416479089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21.8</v>
      </c>
      <c r="D7" s="4" t="n">
        <f aca="false">Assumptions!D14</f>
        <v>19</v>
      </c>
      <c r="E7" s="4" t="n">
        <f aca="false">Assumptions!E14</f>
        <v>18</v>
      </c>
      <c r="F7" s="4" t="n">
        <f aca="false">Assumptions!F14</f>
        <v>18.5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6212.5858</v>
      </c>
      <c r="D8" s="0" t="n">
        <f aca="false">D6*D7/100</f>
        <v>5089.76066</v>
      </c>
      <c r="E8" s="0" t="n">
        <f aca="false">E6*E7/100</f>
        <v>4677.2221644</v>
      </c>
      <c r="F8" s="0" t="n">
        <f aca="false">F6*F7/100</f>
        <v>4855.216452323</v>
      </c>
      <c r="G8" s="0" t="n">
        <f aca="false">G6*G7/100</f>
        <v>5086.16728897404</v>
      </c>
      <c r="H8" s="0" t="n">
        <f aca="false">H6*H7/100</f>
        <v>5213.32147119839</v>
      </c>
      <c r="I8" s="0" t="n">
        <f aca="false">I6*I7/100</f>
        <v>5343.65450797835</v>
      </c>
      <c r="J8" s="0" t="n">
        <f aca="false">J6*J7/100</f>
        <v>5450.52759813792</v>
      </c>
      <c r="K8" s="0" t="n">
        <f aca="false">K6*K7/100</f>
        <v>5559.53815010068</v>
      </c>
      <c r="L8" s="0" t="n">
        <f aca="false">L6*L7/100</f>
        <v>5670.72891310269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0.35</v>
      </c>
      <c r="D9" s="4" t="n">
        <f aca="false">Assumptions!D15</f>
        <v>0.35</v>
      </c>
      <c r="E9" s="4" t="n">
        <f aca="false">Assumptions!E15</f>
        <v>0.35</v>
      </c>
      <c r="F9" s="4" t="n">
        <f aca="false">Assumptions!F15</f>
        <v>0.35</v>
      </c>
      <c r="G9" s="4" t="n">
        <f aca="false">Assumptions!G15</f>
        <v>0.35</v>
      </c>
      <c r="H9" s="4" t="n">
        <f aca="false">Assumptions!H15</f>
        <v>0.35</v>
      </c>
      <c r="I9" s="4" t="n">
        <f aca="false">Assumptions!I15</f>
        <v>0.35</v>
      </c>
      <c r="J9" s="4" t="n">
        <f aca="false">Assumptions!J15</f>
        <v>0.35</v>
      </c>
      <c r="K9" s="4" t="n">
        <f aca="false">Assumptions!K15</f>
        <v>0.35</v>
      </c>
      <c r="L9" s="4" t="n">
        <f aca="false">Assumptions!L15</f>
        <v>0.35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-99.74335</v>
      </c>
      <c r="D10" s="0" t="n">
        <f aca="false">-D6*D9/100</f>
        <v>-93.758749</v>
      </c>
      <c r="E10" s="0" t="n">
        <f aca="false">-E6*E9/100</f>
        <v>-90.94598653</v>
      </c>
      <c r="F10" s="0" t="n">
        <f aca="false">-F6*F9/100</f>
        <v>-91.8554463953</v>
      </c>
      <c r="G10" s="0" t="n">
        <f aca="false">-G6*G9/100</f>
        <v>-93.692555323206</v>
      </c>
      <c r="H10" s="0" t="n">
        <f aca="false">-H6*H9/100</f>
        <v>-96.0348692062861</v>
      </c>
      <c r="I10" s="0" t="n">
        <f aca="false">-I6*I9/100</f>
        <v>-98.4357409364433</v>
      </c>
      <c r="J10" s="0" t="n">
        <f aca="false">-J6*J9/100</f>
        <v>-100.404455755172</v>
      </c>
      <c r="K10" s="0" t="n">
        <f aca="false">-K6*K9/100</f>
        <v>-102.412544870276</v>
      </c>
      <c r="L10" s="0" t="n">
        <f aca="false">-L6*L9/100</f>
        <v>-104.460795767681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5614.1257</v>
      </c>
      <c r="D11" s="0" t="n">
        <f aca="false">D8+D10+D24</f>
        <v>4513.814059</v>
      </c>
      <c r="E11" s="0" t="n">
        <f aca="false">E8+E10+E24</f>
        <v>4105.56167764</v>
      </c>
      <c r="F11" s="0" t="n">
        <f aca="false">F8+F10+F24</f>
        <v>4277.8393606954</v>
      </c>
      <c r="G11" s="0" t="n">
        <f aca="false">G8+G10+G24</f>
        <v>4497.24265551389</v>
      </c>
      <c r="H11" s="0" t="n">
        <f aca="false">H8+H10+H24</f>
        <v>4609.67372190173</v>
      </c>
      <c r="I11" s="0" t="n">
        <f aca="false">I8+I10+I24</f>
        <v>4724.91556494928</v>
      </c>
      <c r="J11" s="0" t="n">
        <f aca="false">J8+J10+J24</f>
        <v>4819.41387624826</v>
      </c>
      <c r="K11" s="0" t="n">
        <f aca="false">K8+K10+K24</f>
        <v>4915.80215377323</v>
      </c>
      <c r="L11" s="0" t="n">
        <f aca="false">L8+L10+L24</f>
        <v>5014.11819684869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-2023.3651</v>
      </c>
      <c r="D12" s="4" t="n">
        <f aca="false">-D6*Assumptions!D17/100</f>
        <v>-1982.327836</v>
      </c>
      <c r="E12" s="4" t="n">
        <f aca="false">-E6*Assumptions!E17/100</f>
        <v>-1948.8425685</v>
      </c>
      <c r="F12" s="4" t="n">
        <f aca="false">-F6*Assumptions!F17/100</f>
        <v>-1942.0865809292</v>
      </c>
      <c r="G12" s="4" t="n">
        <f aca="false">-G6*Assumptions!G17/100</f>
        <v>-1954.15901102687</v>
      </c>
      <c r="H12" s="4" t="n">
        <f aca="false">-H6*Assumptions!H17/100</f>
        <v>-1975.5744522436</v>
      </c>
      <c r="I12" s="4" t="n">
        <f aca="false">-I6*Assumptions!I17/100</f>
        <v>-1996.83931613928</v>
      </c>
      <c r="J12" s="4" t="n">
        <f aca="false">-J6*Assumptions!J17/100</f>
        <v>-2008.08911510344</v>
      </c>
      <c r="K12" s="4" t="n">
        <f aca="false">-K6*Assumptions!K17/100</f>
        <v>-2048.25089740551</v>
      </c>
      <c r="L12" s="4" t="n">
        <f aca="false">-L6*Assumptions!L17/100</f>
        <v>-2089.21591535362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3590.7606</v>
      </c>
      <c r="D13" s="0" t="n">
        <f aca="false">D11+D12</f>
        <v>2531.486223</v>
      </c>
      <c r="E13" s="0" t="n">
        <f aca="false">E11+E12</f>
        <v>2156.71910914</v>
      </c>
      <c r="F13" s="0" t="n">
        <f aca="false">F11+F12</f>
        <v>2335.7527797662</v>
      </c>
      <c r="G13" s="0" t="n">
        <f aca="false">G11+G12</f>
        <v>2543.08364448702</v>
      </c>
      <c r="H13" s="0" t="n">
        <f aca="false">H11+H12</f>
        <v>2634.09926965813</v>
      </c>
      <c r="I13" s="0" t="n">
        <f aca="false">I11+I12</f>
        <v>2728.07624881</v>
      </c>
      <c r="J13" s="0" t="n">
        <f aca="false">J11+J12</f>
        <v>2811.32476114482</v>
      </c>
      <c r="K13" s="0" t="n">
        <f aca="false">K11+K12</f>
        <v>2867.55125636772</v>
      </c>
      <c r="L13" s="0" t="n">
        <f aca="false">L11+L12</f>
        <v>2924.90228149507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20</v>
      </c>
      <c r="D14" s="4" t="n">
        <f aca="false">Assumptions!D19</f>
        <v>22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2872.60848</v>
      </c>
      <c r="D15" s="0" t="n">
        <f aca="false">D13-MAX(0,D13)*D14/100</f>
        <v>1974.55925394</v>
      </c>
      <c r="E15" s="0" t="n">
        <f aca="false">E13-MAX(0,E13)*E14/100</f>
        <v>1639.1065229464</v>
      </c>
      <c r="F15" s="0" t="n">
        <f aca="false">F13-MAX(0,F13)*F14/100</f>
        <v>1751.81458482465</v>
      </c>
      <c r="G15" s="0" t="n">
        <f aca="false">G13-MAX(0,G13)*G14/100</f>
        <v>1907.31273336527</v>
      </c>
      <c r="H15" s="0" t="n">
        <f aca="false">H13-MAX(0,H13)*H14/100</f>
        <v>1975.5744522436</v>
      </c>
      <c r="I15" s="0" t="n">
        <f aca="false">I13-MAX(0,I13)*I14/100</f>
        <v>2046.0571866075</v>
      </c>
      <c r="J15" s="0" t="n">
        <f aca="false">J13-MAX(0,J13)*J14/100</f>
        <v>2108.49357085862</v>
      </c>
      <c r="K15" s="0" t="n">
        <f aca="false">K13-MAX(0,K13)*K14/100</f>
        <v>2150.66344227579</v>
      </c>
      <c r="L15" s="0" t="n">
        <f aca="false">L13-MAX(0,L13)*L14/100</f>
        <v>2193.6767111213</v>
      </c>
    </row>
    <row r="16" customFormat="false" ht="15" hidden="false" customHeight="false" outlineLevel="0" collapsed="false">
      <c r="A16" s="0" t="s">
        <v>125</v>
      </c>
      <c r="C16" s="0" t="n">
        <f aca="false">-C12</f>
        <v>2023.3651</v>
      </c>
      <c r="D16" s="0" t="n">
        <f aca="false">-D12</f>
        <v>1982.327836</v>
      </c>
      <c r="E16" s="0" t="n">
        <f aca="false">-E12</f>
        <v>1948.8425685</v>
      </c>
      <c r="F16" s="0" t="n">
        <f aca="false">-F12</f>
        <v>1942.0865809292</v>
      </c>
      <c r="G16" s="0" t="n">
        <f aca="false">-G12</f>
        <v>1954.15901102687</v>
      </c>
      <c r="H16" s="0" t="n">
        <f aca="false">-H12</f>
        <v>1975.5744522436</v>
      </c>
      <c r="I16" s="0" t="n">
        <f aca="false">-I12</f>
        <v>1996.83931613928</v>
      </c>
      <c r="J16" s="0" t="n">
        <f aca="false">-J12</f>
        <v>2008.08911510344</v>
      </c>
      <c r="K16" s="0" t="n">
        <f aca="false">-K12</f>
        <v>2048.25089740551</v>
      </c>
      <c r="L16" s="0" t="n">
        <f aca="false">-L12</f>
        <v>2089.21591535362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-1966.3689</v>
      </c>
      <c r="D17" s="4" t="n">
        <f aca="false">-D6*Assumptions!D18/100</f>
        <v>-1875.17498</v>
      </c>
      <c r="E17" s="4" t="n">
        <f aca="false">-E6*Assumptions!E18/100</f>
        <v>-1818.9197306</v>
      </c>
      <c r="F17" s="4" t="n">
        <f aca="false">-F6*Assumptions!F18/100</f>
        <v>-1863.3533411618</v>
      </c>
      <c r="G17" s="4" t="n">
        <f aca="false">-G6*Assumptions!G18/100</f>
        <v>-1900.62040798504</v>
      </c>
      <c r="H17" s="4" t="n">
        <f aca="false">-H6*Assumptions!H18/100</f>
        <v>-1948.13591818466</v>
      </c>
      <c r="I17" s="4" t="n">
        <f aca="false">-I6*Assumptions!I18/100</f>
        <v>-1996.83931613928</v>
      </c>
      <c r="J17" s="4" t="n">
        <f aca="false">-J6*Assumptions!J18/100</f>
        <v>-2036.77610246206</v>
      </c>
      <c r="K17" s="4" t="n">
        <f aca="false">-K6*Assumptions!K18/100</f>
        <v>-2077.51162451131</v>
      </c>
      <c r="L17" s="4" t="n">
        <f aca="false">-L6*Assumptions!L18/100</f>
        <v>-2119.06185700153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-403.275000000001</v>
      </c>
      <c r="D18" s="4" t="n">
        <f aca="false">(D6-C6)*Assumptions!$B$23/100</f>
        <v>427.471500000001</v>
      </c>
      <c r="E18" s="4" t="n">
        <f aca="false">(E6-D6)*Assumptions!$B$23/100</f>
        <v>200.911605</v>
      </c>
      <c r="F18" s="4" t="n">
        <f aca="false">(F6-E6)*Assumptions!$B$23/100</f>
        <v>-64.9614189499998</v>
      </c>
      <c r="G18" s="4" t="n">
        <f aca="false">(G6-F6)*Assumptions!$B$23/100</f>
        <v>-131.222066279001</v>
      </c>
      <c r="H18" s="4" t="n">
        <f aca="false">(H6-G6)*Assumptions!$B$23/100</f>
        <v>-167.308134505724</v>
      </c>
      <c r="I18" s="4" t="n">
        <f aca="false">(I6-H6)*Assumptions!$B$23/100</f>
        <v>-171.490837868368</v>
      </c>
      <c r="J18" s="4" t="n">
        <f aca="false">(J6-I6)*Assumptions!$B$23/100</f>
        <v>-140.622487052062</v>
      </c>
      <c r="K18" s="4" t="n">
        <f aca="false">(K6-J6)*Assumptions!$B$23/100</f>
        <v>-143.434936793104</v>
      </c>
      <c r="L18" s="4" t="n">
        <f aca="false">(L6-K6)*Assumptions!$B$23/100</f>
        <v>-146.303635528965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2526.32968</v>
      </c>
      <c r="D19" s="0" t="n">
        <f aca="false">D15+D16+D17+D18</f>
        <v>2509.18360994</v>
      </c>
      <c r="E19" s="0" t="n">
        <f aca="false">E15+E16+E17+E18</f>
        <v>1969.9409658464</v>
      </c>
      <c r="F19" s="0" t="n">
        <f aca="false">F15+F16+F17+F18</f>
        <v>1765.58640564205</v>
      </c>
      <c r="G19" s="0" t="n">
        <f aca="false">G15+G16+G17+G18</f>
        <v>1829.6292701281</v>
      </c>
      <c r="H19" s="0" t="n">
        <f aca="false">H15+H16+H17+H18</f>
        <v>1835.70485179681</v>
      </c>
      <c r="I19" s="0" t="n">
        <f aca="false">I15+I16+I17+I18</f>
        <v>1874.56634873913</v>
      </c>
      <c r="J19" s="0" t="n">
        <f aca="false">J15+J16+J17+J18</f>
        <v>1939.18409644793</v>
      </c>
      <c r="K19" s="0" t="n">
        <f aca="false">K15+K16+K17+K18</f>
        <v>1977.96777837689</v>
      </c>
      <c r="L19" s="0" t="n">
        <f aca="false">L15+L16+L17+L18</f>
        <v>2017.52713394443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2339.19414814815</v>
      </c>
      <c r="D21" s="0" t="n">
        <f aca="false">D19*D20</f>
        <v>2151.22051606653</v>
      </c>
      <c r="E21" s="0" t="n">
        <f aca="false">E19*E20</f>
        <v>1563.80265159529</v>
      </c>
      <c r="F21" s="0" t="n">
        <f aca="false">F19*F20</f>
        <v>1297.75871583849</v>
      </c>
      <c r="G21" s="0" t="n">
        <f aca="false">G19*G20</f>
        <v>1245.21493805031</v>
      </c>
      <c r="H21" s="0" t="n">
        <f aca="false">H19*H20</f>
        <v>1156.8054415243</v>
      </c>
      <c r="I21" s="0" t="n">
        <f aca="false">I19*I20</f>
        <v>1093.79145977089</v>
      </c>
      <c r="J21" s="0" t="n">
        <f aca="false">J19*J20</f>
        <v>1047.6808286319</v>
      </c>
      <c r="K21" s="0" t="n">
        <f aca="false">K19*K20</f>
        <v>989.476338152346</v>
      </c>
      <c r="L21" s="0" t="n">
        <f aca="false">L19*L20</f>
        <v>934.505430477216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1.75</v>
      </c>
      <c r="D23" s="4" t="n">
        <f aca="false">Assumptions!D16</f>
        <v>1.8</v>
      </c>
      <c r="E23" s="4" t="n">
        <f aca="false">Assumptions!E16</f>
        <v>1.85</v>
      </c>
      <c r="F23" s="4" t="n">
        <f aca="false">Assumptions!F16</f>
        <v>1.85</v>
      </c>
      <c r="G23" s="4" t="n">
        <f aca="false">Assumptions!G16</f>
        <v>1.85</v>
      </c>
      <c r="H23" s="4" t="n">
        <f aca="false">Assumptions!H16</f>
        <v>1.85</v>
      </c>
      <c r="I23" s="4" t="n">
        <f aca="false">Assumptions!I16</f>
        <v>1.85</v>
      </c>
      <c r="J23" s="4" t="n">
        <f aca="false">Assumptions!J16</f>
        <v>1.85</v>
      </c>
      <c r="K23" s="4" t="n">
        <f aca="false">Assumptions!K16</f>
        <v>1.85</v>
      </c>
      <c r="L23" s="4" t="n">
        <f aca="false">Assumptions!L16</f>
        <v>1.85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-498.71675</v>
      </c>
      <c r="D24" s="0" t="n">
        <f aca="false">-D6*D23/100</f>
        <v>-482.187852</v>
      </c>
      <c r="E24" s="0" t="n">
        <f aca="false">-E6*E23/100</f>
        <v>-480.71450023</v>
      </c>
      <c r="F24" s="0" t="n">
        <f aca="false">-F6*F23/100</f>
        <v>-485.5216452323</v>
      </c>
      <c r="G24" s="0" t="n">
        <f aca="false">-G6*G23/100</f>
        <v>-495.232078136946</v>
      </c>
      <c r="H24" s="0" t="n">
        <f aca="false">-H6*H23/100</f>
        <v>-507.61288009037</v>
      </c>
      <c r="I24" s="0" t="n">
        <f aca="false">-I6*I23/100</f>
        <v>-520.303202092629</v>
      </c>
      <c r="J24" s="0" t="n">
        <f aca="false">-J6*J23/100</f>
        <v>-530.709266134482</v>
      </c>
      <c r="K24" s="0" t="n">
        <f aca="false">-K6*K23/100</f>
        <v>-541.323451457171</v>
      </c>
      <c r="L24" s="0" t="n">
        <f aca="false">-L6*L23/100</f>
        <v>-552.149920486315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13819.4504682554</v>
      </c>
    </row>
    <row r="31" customFormat="false" ht="15" hidden="false" customHeight="false" outlineLevel="0" collapsed="false">
      <c r="A31" s="0" t="s">
        <v>134</v>
      </c>
      <c r="B31" s="0" t="n">
        <f aca="false">L19</f>
        <v>2017.52713394443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34297.9612770553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28245.379875222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28245.379875222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13083.076026681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26902.5264949365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16536.5264949365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34.4637335667588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-0.508082592538414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648.033199890542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822.554526115478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37.5285817736138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15829.8282817178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8.43774268677358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7</v>
      </c>
      <c r="D5" s="4" t="n">
        <f aca="false">Assumptions!D27</f>
        <v>2</v>
      </c>
      <c r="E5" s="4" t="n">
        <f aca="false">Assumptions!E27</f>
        <v>2.5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28766.95</v>
      </c>
      <c r="D6" s="0" t="n">
        <f aca="false">C6*(1+D5/100)</f>
        <v>29342.289</v>
      </c>
      <c r="E6" s="0" t="n">
        <f aca="false">D6*(1+E5/100)</f>
        <v>30075.846225</v>
      </c>
      <c r="F6" s="0" t="n">
        <f aca="false">E6*(1+F5/100)</f>
        <v>30978.12161175</v>
      </c>
      <c r="G6" s="0" t="n">
        <f aca="false">F6*(1+G5/100)</f>
        <v>31907.4652601025</v>
      </c>
      <c r="H6" s="0" t="n">
        <f aca="false">G6*(1+H5/100)</f>
        <v>32864.6892179056</v>
      </c>
      <c r="I6" s="0" t="n">
        <f aca="false">H6*(1+I5/100)</f>
        <v>33850.6298944427</v>
      </c>
      <c r="J6" s="0" t="n">
        <f aca="false">I6*(1+J5/100)</f>
        <v>34696.8956418038</v>
      </c>
      <c r="K6" s="0" t="n">
        <f aca="false">J6*(1+K5/100)</f>
        <v>35564.3180328489</v>
      </c>
      <c r="L6" s="0" t="n">
        <f aca="false">K6*(1+L5/100)</f>
        <v>36453.4259836701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22.2</v>
      </c>
      <c r="D7" s="4" t="n">
        <f aca="false">Assumptions!D28</f>
        <v>21.8</v>
      </c>
      <c r="E7" s="4" t="n">
        <f aca="false">Assumptions!E28</f>
        <v>21.5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6386.2629</v>
      </c>
      <c r="D8" s="0" t="n">
        <f aca="false">D6*D7/100</f>
        <v>6396.619002</v>
      </c>
      <c r="E8" s="0" t="n">
        <f aca="false">E6*E7/100</f>
        <v>6466.306938375</v>
      </c>
      <c r="F8" s="0" t="n">
        <f aca="false">F6*F7/100</f>
        <v>6660.29614652625</v>
      </c>
      <c r="G8" s="0" t="n">
        <f aca="false">G6*G7/100</f>
        <v>6860.10503092204</v>
      </c>
      <c r="H8" s="0" t="n">
        <f aca="false">H6*H7/100</f>
        <v>7065.9081818497</v>
      </c>
      <c r="I8" s="0" t="n">
        <f aca="false">I6*I7/100</f>
        <v>7277.88542730519</v>
      </c>
      <c r="J8" s="0" t="n">
        <f aca="false">J6*J7/100</f>
        <v>7459.83256298782</v>
      </c>
      <c r="K8" s="0" t="n">
        <f aca="false">K6*K7/100</f>
        <v>7646.32837706251</v>
      </c>
      <c r="L8" s="0" t="n">
        <f aca="false">L6*L7/100</f>
        <v>7837.48658648908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0.35</v>
      </c>
      <c r="D9" s="4" t="n">
        <f aca="false">Assumptions!D29</f>
        <v>0.35</v>
      </c>
      <c r="E9" s="4" t="n">
        <f aca="false">Assumptions!E29</f>
        <v>0.35</v>
      </c>
      <c r="F9" s="4" t="n">
        <f aca="false">Assumptions!F29</f>
        <v>0.35</v>
      </c>
      <c r="G9" s="4" t="n">
        <f aca="false">Assumptions!G29</f>
        <v>0.35</v>
      </c>
      <c r="H9" s="4" t="n">
        <f aca="false">Assumptions!H29</f>
        <v>0.35</v>
      </c>
      <c r="I9" s="4" t="n">
        <f aca="false">Assumptions!I29</f>
        <v>0.35</v>
      </c>
      <c r="J9" s="4" t="n">
        <f aca="false">Assumptions!J29</f>
        <v>0.35</v>
      </c>
      <c r="K9" s="4" t="n">
        <f aca="false">Assumptions!K29</f>
        <v>0.35</v>
      </c>
      <c r="L9" s="4" t="n">
        <f aca="false">Assumptions!L29</f>
        <v>0.35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-100.684325</v>
      </c>
      <c r="D10" s="0" t="n">
        <f aca="false">-D6*D9/100</f>
        <v>-102.6980115</v>
      </c>
      <c r="E10" s="0" t="n">
        <f aca="false">-E6*E9/100</f>
        <v>-105.2654617875</v>
      </c>
      <c r="F10" s="0" t="n">
        <f aca="false">-F6*F9/100</f>
        <v>-108.423425641125</v>
      </c>
      <c r="G10" s="0" t="n">
        <f aca="false">-G6*G9/100</f>
        <v>-111.676128410359</v>
      </c>
      <c r="H10" s="0" t="n">
        <f aca="false">-H6*H9/100</f>
        <v>-115.02641226267</v>
      </c>
      <c r="I10" s="0" t="n">
        <f aca="false">-I6*I9/100</f>
        <v>-118.47720463055</v>
      </c>
      <c r="J10" s="0" t="n">
        <f aca="false">-J6*J9/100</f>
        <v>-121.439134746313</v>
      </c>
      <c r="K10" s="0" t="n">
        <f aca="false">-K6*K9/100</f>
        <v>-124.475113114971</v>
      </c>
      <c r="L10" s="0" t="n">
        <f aca="false">-L6*L9/100</f>
        <v>-127.586990942845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5782.15695</v>
      </c>
      <c r="D11" s="0" t="n">
        <f aca="false">D8+D10+D24</f>
        <v>5780.430933</v>
      </c>
      <c r="E11" s="0" t="n">
        <f aca="false">E8+E10+E24</f>
        <v>5834.71416765</v>
      </c>
      <c r="F11" s="0" t="n">
        <f aca="false">F8+F10+F24</f>
        <v>6009.7555926795</v>
      </c>
      <c r="G11" s="0" t="n">
        <f aca="false">G8+G10+G24</f>
        <v>6190.04826045988</v>
      </c>
      <c r="H11" s="0" t="n">
        <f aca="false">H8+H10+H24</f>
        <v>6375.74970827368</v>
      </c>
      <c r="I11" s="0" t="n">
        <f aca="false">I8+I10+I24</f>
        <v>6567.02219952189</v>
      </c>
      <c r="J11" s="0" t="n">
        <f aca="false">J8+J10+J24</f>
        <v>6731.19775450994</v>
      </c>
      <c r="K11" s="0" t="n">
        <f aca="false">K8+K10+K24</f>
        <v>6899.47769837269</v>
      </c>
      <c r="L11" s="0" t="n">
        <f aca="false">L8+L10+L24</f>
        <v>7071.964640832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-2042.45345</v>
      </c>
      <c r="D12" s="4" t="n">
        <f aca="false">-D6*Assumptions!D31/100</f>
        <v>-2053.96023</v>
      </c>
      <c r="E12" s="4" t="n">
        <f aca="false">-E6*Assumptions!E31/100</f>
        <v>-2105.30923575</v>
      </c>
      <c r="F12" s="4" t="n">
        <f aca="false">-F6*Assumptions!F31/100</f>
        <v>-2137.49039121075</v>
      </c>
      <c r="G12" s="4" t="n">
        <f aca="false">-G6*Assumptions!G31/100</f>
        <v>-2201.61510294707</v>
      </c>
      <c r="H12" s="4" t="n">
        <f aca="false">-H6*Assumptions!H31/100</f>
        <v>-2267.66355603549</v>
      </c>
      <c r="I12" s="4" t="n">
        <f aca="false">-I6*Assumptions!I31/100</f>
        <v>-2301.84283282211</v>
      </c>
      <c r="J12" s="4" t="n">
        <f aca="false">-J6*Assumptions!J31/100</f>
        <v>-2359.38890364266</v>
      </c>
      <c r="K12" s="4" t="n">
        <f aca="false">-K6*Assumptions!K31/100</f>
        <v>-2418.37362623372</v>
      </c>
      <c r="L12" s="4" t="n">
        <f aca="false">-L6*Assumptions!L31/100</f>
        <v>-2478.83296688957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3739.7035</v>
      </c>
      <c r="D13" s="0" t="n">
        <f aca="false">D11+D12</f>
        <v>3726.470703</v>
      </c>
      <c r="E13" s="0" t="n">
        <f aca="false">E11+E12</f>
        <v>3729.4049319</v>
      </c>
      <c r="F13" s="0" t="n">
        <f aca="false">F11+F12</f>
        <v>3872.26520146875</v>
      </c>
      <c r="G13" s="0" t="n">
        <f aca="false">G11+G12</f>
        <v>3988.43315751281</v>
      </c>
      <c r="H13" s="0" t="n">
        <f aca="false">H11+H12</f>
        <v>4108.0861522382</v>
      </c>
      <c r="I13" s="0" t="n">
        <f aca="false">I11+I12</f>
        <v>4265.17936669979</v>
      </c>
      <c r="J13" s="0" t="n">
        <f aca="false">J11+J12</f>
        <v>4371.80885086728</v>
      </c>
      <c r="K13" s="0" t="n">
        <f aca="false">K11+K12</f>
        <v>4481.10407213896</v>
      </c>
      <c r="L13" s="0" t="n">
        <f aca="false">L11+L12</f>
        <v>4593.13167394244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2991.7628</v>
      </c>
      <c r="D15" s="0" t="n">
        <f aca="false">D13-MAX(0,D13)*D14/100</f>
        <v>2906.64714834</v>
      </c>
      <c r="E15" s="0" t="n">
        <f aca="false">E13-MAX(0,E13)*E14/100</f>
        <v>2834.347748244</v>
      </c>
      <c r="F15" s="0" t="n">
        <f aca="false">F13-MAX(0,F13)*F14/100</f>
        <v>2904.19890110156</v>
      </c>
      <c r="G15" s="0" t="n">
        <f aca="false">G13-MAX(0,G13)*G14/100</f>
        <v>2991.32486813461</v>
      </c>
      <c r="H15" s="0" t="n">
        <f aca="false">H13-MAX(0,H13)*H14/100</f>
        <v>3081.06461417865</v>
      </c>
      <c r="I15" s="0" t="n">
        <f aca="false">I13-MAX(0,I13)*I14/100</f>
        <v>3198.88452502484</v>
      </c>
      <c r="J15" s="0" t="n">
        <f aca="false">J13-MAX(0,J13)*J14/100</f>
        <v>3278.85663815046</v>
      </c>
      <c r="K15" s="0" t="n">
        <f aca="false">K13-MAX(0,K13)*K14/100</f>
        <v>3360.82805410422</v>
      </c>
      <c r="L15" s="0" t="n">
        <f aca="false">L13-MAX(0,L13)*L14/100</f>
        <v>3444.84875545683</v>
      </c>
    </row>
    <row r="16" customFormat="false" ht="15" hidden="false" customHeight="false" outlineLevel="0" collapsed="false">
      <c r="A16" s="0" t="s">
        <v>125</v>
      </c>
      <c r="C16" s="0" t="n">
        <f aca="false">-C12</f>
        <v>2042.45345</v>
      </c>
      <c r="D16" s="0" t="n">
        <f aca="false">-D12</f>
        <v>2053.96023</v>
      </c>
      <c r="E16" s="0" t="n">
        <f aca="false">-E12</f>
        <v>2105.30923575</v>
      </c>
      <c r="F16" s="0" t="n">
        <f aca="false">-F12</f>
        <v>2137.49039121075</v>
      </c>
      <c r="G16" s="0" t="n">
        <f aca="false">-G12</f>
        <v>2201.61510294707</v>
      </c>
      <c r="H16" s="0" t="n">
        <f aca="false">-H12</f>
        <v>2267.66355603549</v>
      </c>
      <c r="I16" s="0" t="n">
        <f aca="false">-I12</f>
        <v>2301.84283282211</v>
      </c>
      <c r="J16" s="0" t="n">
        <f aca="false">-J12</f>
        <v>2359.38890364266</v>
      </c>
      <c r="K16" s="0" t="n">
        <f aca="false">-K12</f>
        <v>2418.37362623372</v>
      </c>
      <c r="L16" s="0" t="n">
        <f aca="false">-L12</f>
        <v>2478.83296688957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-1984.91955</v>
      </c>
      <c r="D17" s="4" t="n">
        <f aca="false">-D6*Assumptions!D32/100</f>
        <v>-2024.617941</v>
      </c>
      <c r="E17" s="4" t="n">
        <f aca="false">-E6*Assumptions!E32/100</f>
        <v>-2105.30923575</v>
      </c>
      <c r="F17" s="4" t="n">
        <f aca="false">-F6*Assumptions!F32/100</f>
        <v>-2168.4685128225</v>
      </c>
      <c r="G17" s="4" t="n">
        <f aca="false">-G6*Assumptions!G32/100</f>
        <v>-2233.52256820717</v>
      </c>
      <c r="H17" s="4" t="n">
        <f aca="false">-H6*Assumptions!H32/100</f>
        <v>-2300.52824525339</v>
      </c>
      <c r="I17" s="4" t="n">
        <f aca="false">-I6*Assumptions!I32/100</f>
        <v>-2369.54409261099</v>
      </c>
      <c r="J17" s="4" t="n">
        <f aca="false">-J6*Assumptions!J32/100</f>
        <v>-2428.78269492627</v>
      </c>
      <c r="K17" s="4" t="n">
        <f aca="false">-K6*Assumptions!K32/100</f>
        <v>-2489.50226229942</v>
      </c>
      <c r="L17" s="4" t="n">
        <f aca="false">-L6*Assumptions!L32/100</f>
        <v>-2551.73981885691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-470.4875</v>
      </c>
      <c r="D18" s="4" t="n">
        <f aca="false">(D6-C6)*Assumptions!$B$37/100</f>
        <v>-143.83475</v>
      </c>
      <c r="E18" s="4" t="n">
        <f aca="false">(E6-D6)*Assumptions!$B$37/100</f>
        <v>-183.389306249999</v>
      </c>
      <c r="F18" s="4" t="n">
        <f aca="false">(F6-E6)*Assumptions!$B$37/100</f>
        <v>-225.5688466875</v>
      </c>
      <c r="G18" s="4" t="n">
        <f aca="false">(G6-F6)*Assumptions!$B$37/100</f>
        <v>-232.335912088125</v>
      </c>
      <c r="H18" s="4" t="n">
        <f aca="false">(H6-G6)*Assumptions!$B$37/100</f>
        <v>-239.305989450769</v>
      </c>
      <c r="I18" s="4" t="n">
        <f aca="false">(I6-H6)*Assumptions!$B$37/100</f>
        <v>-246.485169134292</v>
      </c>
      <c r="J18" s="4" t="n">
        <f aca="false">(J6-I6)*Assumptions!$B$37/100</f>
        <v>-211.566436840267</v>
      </c>
      <c r="K18" s="4" t="n">
        <f aca="false">(K6-J6)*Assumptions!$B$37/100</f>
        <v>-216.855597761272</v>
      </c>
      <c r="L18" s="4" t="n">
        <f aca="false">(L6-K6)*Assumptions!$B$37/100</f>
        <v>-222.276987705305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2578.8092</v>
      </c>
      <c r="D19" s="0" t="n">
        <f aca="false">D15+D16+D17+D18</f>
        <v>2792.15468734</v>
      </c>
      <c r="E19" s="0" t="n">
        <f aca="false">E15+E16+E17+E18</f>
        <v>2650.958441994</v>
      </c>
      <c r="F19" s="0" t="n">
        <f aca="false">F15+F16+F17+F18</f>
        <v>2647.65193280231</v>
      </c>
      <c r="G19" s="0" t="n">
        <f aca="false">G15+G16+G17+G18</f>
        <v>2727.08149078638</v>
      </c>
      <c r="H19" s="0" t="n">
        <f aca="false">H15+H16+H17+H18</f>
        <v>2808.89393550997</v>
      </c>
      <c r="I19" s="0" t="n">
        <f aca="false">I15+I16+I17+I18</f>
        <v>2884.69809610166</v>
      </c>
      <c r="J19" s="0" t="n">
        <f aca="false">J15+J16+J17+J18</f>
        <v>2997.89641002658</v>
      </c>
      <c r="K19" s="0" t="n">
        <f aca="false">K15+K16+K17+K18</f>
        <v>3072.84382027725</v>
      </c>
      <c r="L19" s="0" t="n">
        <f aca="false">L15+L16+L17+L18</f>
        <v>3149.66491578418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2387.7862962963</v>
      </c>
      <c r="D21" s="0" t="n">
        <f aca="false">D19*D20</f>
        <v>2393.82260574417</v>
      </c>
      <c r="E21" s="0" t="n">
        <f aca="false">E19*E20</f>
        <v>2104.41628085944</v>
      </c>
      <c r="F21" s="0" t="n">
        <f aca="false">F19*F20</f>
        <v>1946.10321042393</v>
      </c>
      <c r="G21" s="0" t="n">
        <f aca="false">G19*G20</f>
        <v>1856.00583957097</v>
      </c>
      <c r="H21" s="0" t="n">
        <f aca="false">H19*H20</f>
        <v>1770.07964329453</v>
      </c>
      <c r="I21" s="0" t="n">
        <f aca="false">I19*I20</f>
        <v>1683.19363230628</v>
      </c>
      <c r="J21" s="0" t="n">
        <f aca="false">J19*J20</f>
        <v>1619.67014929754</v>
      </c>
      <c r="K21" s="0" t="n">
        <f aca="false">K19*K20</f>
        <v>1537.18694724998</v>
      </c>
      <c r="L21" s="0" t="n">
        <f aca="false">L19*L20</f>
        <v>1458.90427864003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1.75</v>
      </c>
      <c r="D23" s="4" t="n">
        <f aca="false">Assumptions!D30</f>
        <v>1.75</v>
      </c>
      <c r="E23" s="4" t="n">
        <f aca="false">Assumptions!E30</f>
        <v>1.75</v>
      </c>
      <c r="F23" s="4" t="n">
        <f aca="false">Assumptions!F30</f>
        <v>1.75</v>
      </c>
      <c r="G23" s="4" t="n">
        <f aca="false">Assumptions!G30</f>
        <v>1.75</v>
      </c>
      <c r="H23" s="4" t="n">
        <f aca="false">Assumptions!H30</f>
        <v>1.75</v>
      </c>
      <c r="I23" s="4" t="n">
        <f aca="false">Assumptions!I30</f>
        <v>1.75</v>
      </c>
      <c r="J23" s="4" t="n">
        <f aca="false">Assumptions!J30</f>
        <v>1.75</v>
      </c>
      <c r="K23" s="4" t="n">
        <f aca="false">Assumptions!K30</f>
        <v>1.75</v>
      </c>
      <c r="L23" s="4" t="n">
        <f aca="false">Assumptions!L30</f>
        <v>1.75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-503.421625</v>
      </c>
      <c r="D24" s="0" t="n">
        <f aca="false">-D6*D23/100</f>
        <v>-513.4900575</v>
      </c>
      <c r="E24" s="0" t="n">
        <f aca="false">-E6*E23/100</f>
        <v>-526.3273089375</v>
      </c>
      <c r="F24" s="0" t="n">
        <f aca="false">-F6*F23/100</f>
        <v>-542.117128205625</v>
      </c>
      <c r="G24" s="0" t="n">
        <f aca="false">-G6*G23/100</f>
        <v>-558.380642051794</v>
      </c>
      <c r="H24" s="0" t="n">
        <f aca="false">-H6*H23/100</f>
        <v>-575.132061313348</v>
      </c>
      <c r="I24" s="0" t="n">
        <f aca="false">-I6*I23/100</f>
        <v>-592.386023152748</v>
      </c>
      <c r="J24" s="0" t="n">
        <f aca="false">-J6*J23/100</f>
        <v>-607.195673731567</v>
      </c>
      <c r="K24" s="0" t="n">
        <f aca="false">-K6*K23/100</f>
        <v>-622.375565574856</v>
      </c>
      <c r="L24" s="0" t="n">
        <f aca="false">-L6*L23/100</f>
        <v>-637.934954714227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18757.1688836832</v>
      </c>
    </row>
    <row r="31" customFormat="false" ht="15" hidden="false" customHeight="false" outlineLevel="0" collapsed="false">
      <c r="A31" s="0" t="s">
        <v>134</v>
      </c>
      <c r="B31" s="0" t="n">
        <f aca="false">L19</f>
        <v>3149.66491578418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58698.3007032506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44095.3088209785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44095.3088209785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20424.6599009604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39181.8287846436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28815.8287846436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60.0549968001675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-0.142806211816051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749.12794566531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1101.36181733221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63.9115978934799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25827.2523094303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20.6646515756006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8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26885</v>
      </c>
      <c r="C6" s="0" t="n">
        <f aca="false">B6*(1+C5/100)</f>
        <v>29035.8</v>
      </c>
      <c r="D6" s="0" t="n">
        <f aca="false">C6*(1+D5/100)</f>
        <v>30487.59</v>
      </c>
      <c r="E6" s="0" t="n">
        <f aca="false">D6*(1+E5/100)</f>
        <v>31859.53155</v>
      </c>
      <c r="F6" s="0" t="n">
        <f aca="false">E6*(1+F5/100)</f>
        <v>33133.912812</v>
      </c>
      <c r="G6" s="0" t="n">
        <f aca="false">F6*(1+G5/100)</f>
        <v>34293.59976042</v>
      </c>
      <c r="H6" s="0" t="n">
        <f aca="false">G6*(1+H5/100)</f>
        <v>35493.8757520347</v>
      </c>
      <c r="I6" s="0" t="n">
        <f aca="false">H6*(1+I5/100)</f>
        <v>36558.6920245957</v>
      </c>
      <c r="J6" s="0" t="n">
        <f aca="false">I6*(1+J5/100)</f>
        <v>37655.4527853336</v>
      </c>
      <c r="K6" s="0" t="n">
        <f aca="false">J6*(1+K5/100)</f>
        <v>38785.1163688936</v>
      </c>
      <c r="L6" s="0" t="n">
        <f aca="false">K6*(1+L5/100)</f>
        <v>39948.6698599604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22.8</v>
      </c>
      <c r="D7" s="4" t="n">
        <f aca="false">Assumptions!D42</f>
        <v>23.3</v>
      </c>
      <c r="E7" s="4" t="n">
        <f aca="false">Assumptions!E42</f>
        <v>23.8</v>
      </c>
      <c r="F7" s="4" t="n">
        <f aca="false">Assumptions!F42</f>
        <v>24</v>
      </c>
      <c r="G7" s="4" t="n">
        <f aca="false">Assumptions!G42</f>
        <v>24</v>
      </c>
      <c r="H7" s="4" t="n">
        <f aca="false">Assumptions!H42</f>
        <v>24</v>
      </c>
      <c r="I7" s="4" t="n">
        <f aca="false">Assumptions!I42</f>
        <v>24</v>
      </c>
      <c r="J7" s="4" t="n">
        <f aca="false">Assumptions!J42</f>
        <v>24</v>
      </c>
      <c r="K7" s="4" t="n">
        <f aca="false">Assumptions!K42</f>
        <v>24</v>
      </c>
      <c r="L7" s="4" t="n">
        <f aca="false">Assumptions!L42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6620.1624</v>
      </c>
      <c r="D8" s="0" t="n">
        <f aca="false">D6*D7/100</f>
        <v>7103.60847</v>
      </c>
      <c r="E8" s="0" t="n">
        <f aca="false">E6*E7/100</f>
        <v>7582.5685089</v>
      </c>
      <c r="F8" s="0" t="n">
        <f aca="false">F6*F7/100</f>
        <v>7952.13907488</v>
      </c>
      <c r="G8" s="0" t="n">
        <f aca="false">G6*G7/100</f>
        <v>8230.4639425008</v>
      </c>
      <c r="H8" s="0" t="n">
        <f aca="false">H6*H7/100</f>
        <v>8518.53018048833</v>
      </c>
      <c r="I8" s="0" t="n">
        <f aca="false">I6*I7/100</f>
        <v>8774.08608590298</v>
      </c>
      <c r="J8" s="0" t="n">
        <f aca="false">J6*J7/100</f>
        <v>9037.30866848007</v>
      </c>
      <c r="K8" s="0" t="n">
        <f aca="false">K6*K7/100</f>
        <v>9308.42792853447</v>
      </c>
      <c r="L8" s="0" t="n">
        <f aca="false">L6*L7/100</f>
        <v>9587.6807663905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0.35</v>
      </c>
      <c r="D9" s="4" t="n">
        <f aca="false">Assumptions!D43</f>
        <v>0.35</v>
      </c>
      <c r="E9" s="4" t="n">
        <f aca="false">Assumptions!E43</f>
        <v>0.35</v>
      </c>
      <c r="F9" s="4" t="n">
        <f aca="false">Assumptions!F43</f>
        <v>0.35</v>
      </c>
      <c r="G9" s="4" t="n">
        <f aca="false">Assumptions!G43</f>
        <v>0.35</v>
      </c>
      <c r="H9" s="4" t="n">
        <f aca="false">Assumptions!H43</f>
        <v>0.35</v>
      </c>
      <c r="I9" s="4" t="n">
        <f aca="false">Assumptions!I43</f>
        <v>0.35</v>
      </c>
      <c r="J9" s="4" t="n">
        <f aca="false">Assumptions!J43</f>
        <v>0.35</v>
      </c>
      <c r="K9" s="4" t="n">
        <f aca="false">Assumptions!K43</f>
        <v>0.35</v>
      </c>
      <c r="L9" s="4" t="n">
        <f aca="false">Assumptions!L43</f>
        <v>0.35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-101.6253</v>
      </c>
      <c r="D10" s="0" t="n">
        <f aca="false">-D6*D9/100</f>
        <v>-106.706565</v>
      </c>
      <c r="E10" s="0" t="n">
        <f aca="false">-E6*E9/100</f>
        <v>-111.508360425</v>
      </c>
      <c r="F10" s="0" t="n">
        <f aca="false">-F6*F9/100</f>
        <v>-115.968694842</v>
      </c>
      <c r="G10" s="0" t="n">
        <f aca="false">-G6*G9/100</f>
        <v>-120.02759916147</v>
      </c>
      <c r="H10" s="0" t="n">
        <f aca="false">-H6*H9/100</f>
        <v>-124.228565132121</v>
      </c>
      <c r="I10" s="0" t="n">
        <f aca="false">-I6*I9/100</f>
        <v>-127.955422086085</v>
      </c>
      <c r="J10" s="0" t="n">
        <f aca="false">-J6*J9/100</f>
        <v>-131.794084748668</v>
      </c>
      <c r="K10" s="0" t="n">
        <f aca="false">-K6*K9/100</f>
        <v>-135.747907291128</v>
      </c>
      <c r="L10" s="0" t="n">
        <f aca="false">-L6*L9/100</f>
        <v>-139.820344509862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6010.4106</v>
      </c>
      <c r="D11" s="0" t="n">
        <f aca="false">D8+D10+D24</f>
        <v>6463.36908</v>
      </c>
      <c r="E11" s="0" t="n">
        <f aca="false">E8+E10+E24</f>
        <v>6913.51834635</v>
      </c>
      <c r="F11" s="0" t="n">
        <f aca="false">F8+F10+F24</f>
        <v>7256.326905828</v>
      </c>
      <c r="G11" s="0" t="n">
        <f aca="false">G8+G10+G24</f>
        <v>7510.29834753198</v>
      </c>
      <c r="H11" s="0" t="n">
        <f aca="false">H8+H10+H24</f>
        <v>7773.1587896956</v>
      </c>
      <c r="I11" s="0" t="n">
        <f aca="false">I8+I10+I24</f>
        <v>8006.35355338647</v>
      </c>
      <c r="J11" s="0" t="n">
        <f aca="false">J8+J10+J24</f>
        <v>8246.54415998806</v>
      </c>
      <c r="K11" s="0" t="n">
        <f aca="false">K8+K10+K24</f>
        <v>8493.94048478771</v>
      </c>
      <c r="L11" s="0" t="n">
        <f aca="false">L8+L10+L24</f>
        <v>8748.75869933134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-2061.5418</v>
      </c>
      <c r="D12" s="4" t="n">
        <f aca="false">-D6*Assumptions!D45/100</f>
        <v>-2134.1313</v>
      </c>
      <c r="E12" s="4" t="n">
        <f aca="false">-E6*Assumptions!E45/100</f>
        <v>-2198.30767695</v>
      </c>
      <c r="F12" s="4" t="n">
        <f aca="false">-F6*Assumptions!F45/100</f>
        <v>-2253.106071216</v>
      </c>
      <c r="G12" s="4" t="n">
        <f aca="false">-G6*Assumptions!G45/100</f>
        <v>-2331.96478370856</v>
      </c>
      <c r="H12" s="4" t="n">
        <f aca="false">-H6*Assumptions!H45/100</f>
        <v>-2378.08967538633</v>
      </c>
      <c r="I12" s="4" t="n">
        <f aca="false">-I6*Assumptions!I45/100</f>
        <v>-2449.43236564792</v>
      </c>
      <c r="J12" s="4" t="n">
        <f aca="false">-J6*Assumptions!J45/100</f>
        <v>-2522.91533661735</v>
      </c>
      <c r="K12" s="4" t="n">
        <f aca="false">-K6*Assumptions!K45/100</f>
        <v>-2598.60279671587</v>
      </c>
      <c r="L12" s="4" t="n">
        <f aca="false">-L6*Assumptions!L45/100</f>
        <v>-2676.56088061735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3948.8688</v>
      </c>
      <c r="D13" s="0" t="n">
        <f aca="false">D11+D12</f>
        <v>4329.23778</v>
      </c>
      <c r="E13" s="0" t="n">
        <f aca="false">E11+E12</f>
        <v>4715.2106694</v>
      </c>
      <c r="F13" s="0" t="n">
        <f aca="false">F11+F12</f>
        <v>5003.220834612</v>
      </c>
      <c r="G13" s="0" t="n">
        <f aca="false">G11+G12</f>
        <v>5178.33356382342</v>
      </c>
      <c r="H13" s="0" t="n">
        <f aca="false">H11+H12</f>
        <v>5395.06911430927</v>
      </c>
      <c r="I13" s="0" t="n">
        <f aca="false">I11+I12</f>
        <v>5556.92118773855</v>
      </c>
      <c r="J13" s="0" t="n">
        <f aca="false">J11+J12</f>
        <v>5723.62882337071</v>
      </c>
      <c r="K13" s="0" t="n">
        <f aca="false">K11+K12</f>
        <v>5895.33768807183</v>
      </c>
      <c r="L13" s="0" t="n">
        <f aca="false">L11+L12</f>
        <v>6072.19781871399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3159.09504</v>
      </c>
      <c r="D15" s="0" t="n">
        <f aca="false">D13-MAX(0,D13)*D14/100</f>
        <v>3376.8054684</v>
      </c>
      <c r="E15" s="0" t="n">
        <f aca="false">E13-MAX(0,E13)*E14/100</f>
        <v>3583.560108744</v>
      </c>
      <c r="F15" s="0" t="n">
        <f aca="false">F13-MAX(0,F13)*F14/100</f>
        <v>3752.415625959</v>
      </c>
      <c r="G15" s="0" t="n">
        <f aca="false">G13-MAX(0,G13)*G14/100</f>
        <v>3883.75017286756</v>
      </c>
      <c r="H15" s="0" t="n">
        <f aca="false">H13-MAX(0,H13)*H14/100</f>
        <v>4046.30183573196</v>
      </c>
      <c r="I15" s="0" t="n">
        <f aca="false">I13-MAX(0,I13)*I14/100</f>
        <v>4167.69089080392</v>
      </c>
      <c r="J15" s="0" t="n">
        <f aca="false">J13-MAX(0,J13)*J14/100</f>
        <v>4292.72161752803</v>
      </c>
      <c r="K15" s="0" t="n">
        <f aca="false">K13-MAX(0,K13)*K14/100</f>
        <v>4421.50326605387</v>
      </c>
      <c r="L15" s="0" t="n">
        <f aca="false">L13-MAX(0,L13)*L14/100</f>
        <v>4554.14836403549</v>
      </c>
    </row>
    <row r="16" customFormat="false" ht="15" hidden="false" customHeight="false" outlineLevel="0" collapsed="false">
      <c r="A16" s="0" t="s">
        <v>125</v>
      </c>
      <c r="C16" s="0" t="n">
        <f aca="false">-C12</f>
        <v>2061.5418</v>
      </c>
      <c r="D16" s="0" t="n">
        <f aca="false">-D12</f>
        <v>2134.1313</v>
      </c>
      <c r="E16" s="0" t="n">
        <f aca="false">-E12</f>
        <v>2198.30767695</v>
      </c>
      <c r="F16" s="0" t="n">
        <f aca="false">-F12</f>
        <v>2253.106071216</v>
      </c>
      <c r="G16" s="0" t="n">
        <f aca="false">-G12</f>
        <v>2331.96478370856</v>
      </c>
      <c r="H16" s="0" t="n">
        <f aca="false">-H12</f>
        <v>2378.08967538633</v>
      </c>
      <c r="I16" s="0" t="n">
        <f aca="false">-I12</f>
        <v>2449.43236564792</v>
      </c>
      <c r="J16" s="0" t="n">
        <f aca="false">-J12</f>
        <v>2522.91533661735</v>
      </c>
      <c r="K16" s="0" t="n">
        <f aca="false">-K12</f>
        <v>2598.60279671587</v>
      </c>
      <c r="L16" s="0" t="n">
        <f aca="false">-L12</f>
        <v>2676.56088061735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-2003.4702</v>
      </c>
      <c r="D17" s="4" t="n">
        <f aca="false">-D6*Assumptions!D46/100</f>
        <v>-2073.15612</v>
      </c>
      <c r="E17" s="4" t="n">
        <f aca="false">-E6*Assumptions!E46/100</f>
        <v>-2166.4481454</v>
      </c>
      <c r="F17" s="4" t="n">
        <f aca="false">-F6*Assumptions!F46/100</f>
        <v>-2253.106071216</v>
      </c>
      <c r="G17" s="4" t="n">
        <f aca="false">-G6*Assumptions!G46/100</f>
        <v>-2331.96478370856</v>
      </c>
      <c r="H17" s="4" t="n">
        <f aca="false">-H6*Assumptions!H46/100</f>
        <v>-2413.58355113836</v>
      </c>
      <c r="I17" s="4" t="n">
        <f aca="false">-I6*Assumptions!I46/100</f>
        <v>-2485.99105767251</v>
      </c>
      <c r="J17" s="4" t="n">
        <f aca="false">-J6*Assumptions!J46/100</f>
        <v>-2560.57078940269</v>
      </c>
      <c r="K17" s="4" t="n">
        <f aca="false">-K6*Assumptions!K46/100</f>
        <v>-2637.38791308477</v>
      </c>
      <c r="L17" s="4" t="n">
        <f aca="false">-L6*Assumptions!L46/100</f>
        <v>-2716.50955047731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-537.700000000001</v>
      </c>
      <c r="D18" s="4" t="n">
        <f aca="false">(D6-C6)*Assumptions!$B$51/100</f>
        <v>-362.9475</v>
      </c>
      <c r="E18" s="4" t="n">
        <f aca="false">(E6-D6)*Assumptions!$B$51/100</f>
        <v>-342.9853875</v>
      </c>
      <c r="F18" s="4" t="n">
        <f aca="false">(F6-E6)*Assumptions!$B$51/100</f>
        <v>-318.5953155</v>
      </c>
      <c r="G18" s="4" t="n">
        <f aca="false">(G6-F6)*Assumptions!$B$51/100</f>
        <v>-289.921737105</v>
      </c>
      <c r="H18" s="4" t="n">
        <f aca="false">(H6-G6)*Assumptions!$B$51/100</f>
        <v>-300.068997903674</v>
      </c>
      <c r="I18" s="4" t="n">
        <f aca="false">(I6-H6)*Assumptions!$B$51/100</f>
        <v>-266.204068140261</v>
      </c>
      <c r="J18" s="4" t="n">
        <f aca="false">(J6-I6)*Assumptions!$B$51/100</f>
        <v>-274.190190184469</v>
      </c>
      <c r="K18" s="4" t="n">
        <f aca="false">(K6-J6)*Assumptions!$B$51/100</f>
        <v>-282.415895890003</v>
      </c>
      <c r="L18" s="4" t="n">
        <f aca="false">(L6-K6)*Assumptions!$B$51/100</f>
        <v>-290.888372766702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2679.46664</v>
      </c>
      <c r="D19" s="0" t="n">
        <f aca="false">D15+D16+D17+D18</f>
        <v>3074.8331484</v>
      </c>
      <c r="E19" s="0" t="n">
        <f aca="false">E15+E16+E17+E18</f>
        <v>3272.434252794</v>
      </c>
      <c r="F19" s="0" t="n">
        <f aca="false">F15+F16+F17+F18</f>
        <v>3433.820310459</v>
      </c>
      <c r="G19" s="0" t="n">
        <f aca="false">G15+G16+G17+G18</f>
        <v>3593.82843576256</v>
      </c>
      <c r="H19" s="0" t="n">
        <f aca="false">H15+H16+H17+H18</f>
        <v>3710.73896207625</v>
      </c>
      <c r="I19" s="0" t="n">
        <f aca="false">I15+I16+I17+I18</f>
        <v>3864.92813063906</v>
      </c>
      <c r="J19" s="0" t="n">
        <f aca="false">J15+J16+J17+J18</f>
        <v>3980.87597455823</v>
      </c>
      <c r="K19" s="0" t="n">
        <f aca="false">K15+K16+K17+K18</f>
        <v>4100.30225379498</v>
      </c>
      <c r="L19" s="0" t="n">
        <f aca="false">L15+L16+L17+L18</f>
        <v>4223.31132140883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2480.98762962963</v>
      </c>
      <c r="D21" s="0" t="n">
        <f aca="false">D19*D20</f>
        <v>2636.17382407407</v>
      </c>
      <c r="E21" s="0" t="n">
        <f aca="false">E19*E20</f>
        <v>2597.76381648663</v>
      </c>
      <c r="F21" s="0" t="n">
        <f aca="false">F19*F20</f>
        <v>2523.96043732615</v>
      </c>
      <c r="G21" s="0" t="n">
        <f aca="false">G19*G20</f>
        <v>2445.8992464021</v>
      </c>
      <c r="H21" s="0" t="n">
        <f aca="false">H19*H20</f>
        <v>2338.39498719219</v>
      </c>
      <c r="I21" s="0" t="n">
        <f aca="false">I19*I20</f>
        <v>2255.14844260632</v>
      </c>
      <c r="J21" s="0" t="n">
        <f aca="false">J19*J20</f>
        <v>2150.74342211529</v>
      </c>
      <c r="K21" s="0" t="n">
        <f aca="false">K19*K20</f>
        <v>2051.17196738773</v>
      </c>
      <c r="L21" s="0" t="n">
        <f aca="false">L19*L20</f>
        <v>1956.21030223089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1.75</v>
      </c>
      <c r="D23" s="4" t="n">
        <f aca="false">Assumptions!D44</f>
        <v>1.75</v>
      </c>
      <c r="E23" s="4" t="n">
        <f aca="false">Assumptions!E44</f>
        <v>1.75</v>
      </c>
      <c r="F23" s="4" t="n">
        <f aca="false">Assumptions!F44</f>
        <v>1.75</v>
      </c>
      <c r="G23" s="4" t="n">
        <f aca="false">Assumptions!G44</f>
        <v>1.75</v>
      </c>
      <c r="H23" s="4" t="n">
        <f aca="false">Assumptions!H44</f>
        <v>1.75</v>
      </c>
      <c r="I23" s="4" t="n">
        <f aca="false">Assumptions!I44</f>
        <v>1.75</v>
      </c>
      <c r="J23" s="4" t="n">
        <f aca="false">Assumptions!J44</f>
        <v>1.75</v>
      </c>
      <c r="K23" s="4" t="n">
        <f aca="false">Assumptions!K44</f>
        <v>1.75</v>
      </c>
      <c r="L23" s="4" t="n">
        <f aca="false">Assumptions!L44</f>
        <v>1.75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-508.1265</v>
      </c>
      <c r="D24" s="0" t="n">
        <f aca="false">-D6*D23/100</f>
        <v>-533.532825</v>
      </c>
      <c r="E24" s="0" t="n">
        <f aca="false">-E6*E23/100</f>
        <v>-557.541802125</v>
      </c>
      <c r="F24" s="0" t="n">
        <f aca="false">-F6*F23/100</f>
        <v>-579.84347421</v>
      </c>
      <c r="G24" s="0" t="n">
        <f aca="false">-G6*G23/100</f>
        <v>-600.13799580735</v>
      </c>
      <c r="H24" s="0" t="n">
        <f aca="false">-H6*H23/100</f>
        <v>-621.142825660607</v>
      </c>
      <c r="I24" s="0" t="n">
        <f aca="false">-I6*I23/100</f>
        <v>-639.777110430426</v>
      </c>
      <c r="J24" s="0" t="n">
        <f aca="false">-J6*J23/100</f>
        <v>-658.970423743338</v>
      </c>
      <c r="K24" s="0" t="n">
        <f aca="false">-K6*K23/100</f>
        <v>-678.739536455639</v>
      </c>
      <c r="L24" s="0" t="n">
        <f aca="false">-L6*L23/100</f>
        <v>-699.101722549308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23436.454075451</v>
      </c>
    </row>
    <row r="31" customFormat="false" ht="15" hidden="false" customHeight="false" outlineLevel="0" collapsed="false">
      <c r="A31" s="0" t="s">
        <v>134</v>
      </c>
      <c r="B31" s="0" t="n">
        <f aca="false">L19</f>
        <v>4223.31132140883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87000.2132210219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59126.3584997236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59126.3584997236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27386.9442312325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50823.3983066835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40457.3983066835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84.3171627652712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0.203499325796049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797.851027061495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1334.13578542173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88.7604311563546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36250.0888420924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32.7605086206402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34.4637335667588</v>
      </c>
      <c r="C4" s="0" t="n">
        <f aca="false">B4/Assumptions!$B$2-1</f>
        <v>-0.508082592538414</v>
      </c>
      <c r="D4" s="4" t="n">
        <f aca="false">Assumptions!$B$24</f>
        <v>0.25</v>
      </c>
      <c r="E4" s="4" t="n">
        <f aca="false">DCF_Bear!$B$43</f>
        <v>37.5285817736138</v>
      </c>
      <c r="F4" s="4" t="n">
        <f aca="false">DCF_Bear!$B$47</f>
        <v>8.43774268677358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60.0549968001675</v>
      </c>
      <c r="C5" s="0" t="n">
        <f aca="false">B5/Assumptions!$B$2-1</f>
        <v>-0.142806211816051</v>
      </c>
      <c r="D5" s="4" t="n">
        <f aca="false">Assumptions!$B$38</f>
        <v>0.5</v>
      </c>
      <c r="E5" s="4" t="n">
        <f aca="false">DCF_Base!$B$43</f>
        <v>63.9115978934799</v>
      </c>
      <c r="F5" s="4" t="n">
        <f aca="false">DCF_Base!$B$47</f>
        <v>20.6646515756006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84.3171627652712</v>
      </c>
      <c r="C6" s="0" t="n">
        <f aca="false">B6/Assumptions!$B$2-1</f>
        <v>0.203499325796049</v>
      </c>
      <c r="D6" s="4" t="n">
        <f aca="false">Assumptions!$B$52</f>
        <v>0.25</v>
      </c>
      <c r="E6" s="4" t="n">
        <f aca="false">DCF_Bull!$B$43</f>
        <v>88.7604311563546</v>
      </c>
      <c r="F6" s="4" t="n">
        <f aca="false">DCF_Bull!$B$47</f>
        <v>32.7605086206402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59.7227224830912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63.528052179232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-0.173087848093923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271.652612055989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20.6318886146538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60.0549968001675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54.5494178342392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48.6784998215997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40.4382488808428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33.9332886896104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20.6646515756006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72.7191396313193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72.7191396313193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72.7191396313193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72.7191396313193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72.7191396313193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66.0917487790357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66.0917487790357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66.0917487790357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66.0917487790357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66.0917487790357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60.0549968001675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60.0549968001675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60.0549968001675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60.0549968001675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60.0549968001675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53.255447893915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54.5494178342392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54.5494178342392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54.5494178342392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54.5494178342392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44.3116522733959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46.3586120616164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48.6784998215997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49.5220953706845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49.5220953706845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2026-10-04T00:00:47Z</dcterms:created>
  <dc:creator>openpyxl</dc:creator>
  <dc:description/>
  <dc:language>en-NZ</dc:language>
  <cp:lastModifiedBy/>
  <dcterms:modified xsi:type="dcterms:W3CDTF">2026-10-04T00:00:47Z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