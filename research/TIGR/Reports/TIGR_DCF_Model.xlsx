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<sst xmlns="http://schemas.openxmlformats.org/spreadsheetml/2006/main" count="360" uniqueCount="165">
  <si>
    <t xml:space="preserve">Ticker</t>
  </si>
  <si>
    <t xml:space="preserve">TIGR</t>
  </si>
  <si>
    <t xml:space="preserve">Company</t>
  </si>
  <si>
    <t xml:space="preserve">UP Fintech Holding Limited (Tiger Brokers)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</si>
  <si>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</si>
  <si>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</si>
  <si>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</si>
  <si>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</si>
  <si>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2026-10-02T20:00:00Z regular close (Friday; valuation written Saturday 2026-10-04, no later print exists)</t>
  </si>
  <si>
    <t xml:space="preserve">Balance sheet date</t>
  </si>
  <si>
    <t xml:space="preserve">2026-06-30</t>
  </si>
  <si>
    <t xml:space="preserve">Model</t>
  </si>
  <si>
    <t xml:space="preserve">Online broker FCFE capitalisation at cost of equity (engine route, net debt held at zero, capital retention charged on revenue growth)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</si>
  <si>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</si>
  <si>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</si>
  <si>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</si>
  <si>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</si>
  <si>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</si>
  <si>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</si>
  <si>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</si>
  <si>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</si>
  <si>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2026-10-04T08:50:16Z</t>
  </si>
  <si>
    <t xml:space="preserve">Drivers file</t>
  </si>
  <si>
    <t xml:space="preserve">TIGR_Drivers.json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</si>
  <si>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</si>
  <si>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</si>
  <si>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</si>
  <si>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broker's value is the equity cash flow left after the capital its margin book and regulators demand, discounted at the cost of equity - not an unlevered FCF stream over client-money noise. Tangible book of US$887m (30-Jun-2026) is roughly US$4.79 per diluted ADS, so at the current price the market pays below book for a business earning a ~18-20% ROE ex the penalty; the model asks what that excess return is worth if it fades with growth, and charges the China/regulatory/cyclical risk once, through the bear flows and a 30% bear weight rather than a stacked discount rate.
key_risks_to_valuation: Trading-volume and rate cyclicality: commissions (44%) and interest income (42%) both fall in a risk-off, easing-cycle year; FY2022 revenue fell 15% and FY2022-23 net income was ~zero; Mainland-China client wind-down after the CSRC settlement removes a historically high-activity cohort over a multi-year window; any further PRC action on data, capital controls or the offshore structure is not priced beyond the bear weight; China-ADR structural discount (HFCAA, geopolitics) can keep the price below intrinsic value indefinitely; the model values flows, not the re-rating; Capital retention is a judgment (US$1.20 per US$1 of incremental revenue); if regulators or margin-book growth demand materially more equity, FCFE and the value fall roughly in proportion to the retention step; Competitive CAC inflation (guided US$450-550 per funded account) and secular take-rate compression against Futu, IBKR, Webull and Robinhood; Margin-lending credit losses in a sharp drawdown (receivables from customers US$2.19bn = 2.5x equity)</t>
  </si>
  <si>
    <t xml:space="preserve">Data sources</t>
  </si>
  <si>
    <t xml:space="preserve">price: Yahoo Finance chart API regular close at inputs.price_as_of; 52-week range 4.00-11.35 (USD per ADS)
financials: FY2025 20-F (SEC XBRL companyfacts, filed 2026-04-24) for FY2024-FY2025 revenue, pre-tax income, tax, SBC, D&amp;A, equity; Q1-2026 6-K ex99.1 (filed 2026-06-02) and Q2-2026 6-K ex99.1 (filed 2026-08-26) for the 30-Jun-2026 balance sheet, H1-2026 income statement, SBC reconciliation, ADS ratio and share counts; TIGR_Metrics.csv for the FY2017-FY2025 history
qualitative: TIGR_Analysis.json (2026-10-04): business mix, CSRC settlement, Q2-2026 call commentary (Q3 trading slightly below Q2, CAC US$450-550, client assets +high single digit QoQ); FUTU peer valuation (FUTU_DCF.json) for model consistency</t>
  </si>
  <si>
    <t xml:space="preserve">Scenario narrative: bear</t>
  </si>
  <si>
    <t xml:space="preserve">A 2027 stall and 2028 risk-off year compress margins to 18% before a slow recovery to 25%; mainland exit, fee compression and higher capital intensity (US$1.40 per US$1) cap growth at 3-4%, tax at 25%. The resulting value sits close to today's price - the market is pricing roughly this case, plus a China-ADR structural discount.</t>
  </si>
  <si>
    <t xml:space="preserve">Scenario narrative: base</t>
  </si>
  <si>
    <t xml:space="preserve">Tiger Brokers keeps growing funded accounts ~10%/yr and client assets faster, offsetting the sell-only wind-down of mainland clients and a lower-rate interest line; revenue compounds ~9% over FY2026-30 and ~5% thereafter at a steady ~32% pre-tax margin (ex SBC/D&amp;A), with US$1.20 of equity retained per US$1 of revenue growth to fund regulatory capital behind the margin book. Discounted at a 12.5% cost of equity with 3% terminal growth; net debt is zero by construction and corporate cash is treated as regulatory capital, not surplus.</t>
  </si>
  <si>
    <t xml:space="preserve">Scenario narrative: bull</t>
  </si>
  <si>
    <t xml:space="preserve">Retail participation, HK retail crypto dealing and wealth-management distribution lift growth to the mid-teens for three years and margins back to 35%; incremental capital needs ease to US$1.00 per US$1 of revenue growth and the tax rate holds at 21%.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</si>
  <si>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</si>
  <si>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</si>
  <si>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</si>
  <si>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</si>
  <si>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</si>
  <si>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</si>
  <si>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</si>
  <si>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</si>
  <si>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</si>
  <si>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</si>
  <si>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</si>
  <si>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</si>
  <si>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</si>
  <si>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</si>
  <si>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</si>
  <si>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</si>
  <si>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</si>
  <si>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</si>
  <si>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</si>
  <si>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</si>
  <si>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</si>
  <si>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</si>
  <si>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</si>
  <si>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</si>
  <si>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</si>
  <si>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</si>
  <si>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</si>
  <si>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</si>
  <si>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</si>
  <si>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</si>
  <si>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</si>
  <si>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</si>
  <si>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</si>
  <si>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</si>
  <si>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</si>
  <si>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</si>
  <si>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</si>
  <si>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</si>
  <si>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</si>
  <si>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</si>
  <si>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</si>
  <si>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</si>
  <si>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</si>
  <si>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</si>
  <si>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</si>
  <si>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</si>
  <si>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</si>
  <si>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</si>
  <si>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</si>
  <si>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</si>
  <si>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</si>
  <si>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</si>
  <si>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</si>
  <si>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</si>
  <si>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</si>
  <si>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</si>
  <si>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</si>
  <si>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</si>
  <si>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</si>
  <si>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</si>
  <si>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</si>
  <si>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</si>
  <si>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</si>
  <si>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</si>
  <si>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</si>
  <si>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</si>
  <si>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</si>
  <si>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</si>
  <si>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</si>
  <si>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</si>
  <si>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</si>
  <si>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</si>
  <si>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</si>
  <si>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</si>
  <si>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TIGR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</si>
  <si>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</si>
  <si>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</si>
  <si>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</si>
  <si>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</si>
  <si>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</si>
  <si>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</si>
  <si>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</si>
  <si>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</si>
  <si>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</si>
  <si>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</si>
  <si>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</si>
  <si>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</si>
  <si>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</si>
  <si>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</si>
  <si>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</si>
  <si>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</si>
  <si>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</si>
  <si>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</si>
  <si>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</si>
  <si>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</si>
  <si>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</si>
  <si>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</si>
  <si>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</si>
  <si>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</si>
  <si>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</si>
  <si>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</si>
  <si>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</si>
  <si>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</si>
  <si>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</si>
  <si>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</si>
  <si>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TIGR owner-FCF component DCF: base case (millions, USD)</t>
  </si>
  <si>
    <t xml:space="preserve">TIGR owner-FCF component DCF: bull case (millions, USD)</t>
  </si>
  <si>
    <t xml:space="preserve">TIGR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</si>
  <si>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</si>
  <si>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</si>
  <si>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</si>
  <si>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</si>
  <si>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</si>
  <si>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</si>
  <si>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</si>
  <si>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</si>
  <si>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</si>
  <si>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</si>
  <si>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</si>
  <si>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</si>
  <si>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</si>
  <si>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</si>
  <si>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</si>
  <si>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</si>
  <si>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</si>
  <si>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</si>
  <si>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12.5% (WACC)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</si>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</sst>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4.16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-9.198553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16.949184</v>
      </c>
      <c r="I3" s="0" t="n">
        <v>-7.927494</v>
      </c>
      <c r="J3" s="0" t="n">
        <v>-46.7721277909308</v>
      </c>
      <c r="L3" s="0" t="n">
        <v>-8.510634</v>
      </c>
      <c r="M3" s="0" t="n">
        <v>0.585016</v>
      </c>
      <c r="N3" s="0" t="n">
        <v>-9.09565</v>
      </c>
      <c r="O3" s="0" t="n">
        <v>-15.295941</v>
      </c>
      <c r="U3" s="0" t="n">
        <v>0.3497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33.560265</v>
      </c>
      <c r="I4" s="0" t="n">
        <v>-44.293555</v>
      </c>
      <c r="J4" s="0" t="n">
        <v>-131.982137208988</v>
      </c>
      <c r="K4" s="0" t="n">
        <v>-0.09</v>
      </c>
      <c r="L4" s="0" t="n">
        <v>-21.1716</v>
      </c>
      <c r="M4" s="0" t="n">
        <v>1.684382</v>
      </c>
      <c r="N4" s="0" t="n">
        <v>-22.855982</v>
      </c>
      <c r="O4" s="0" t="n">
        <v>-25.877957</v>
      </c>
      <c r="P4" s="0" t="n">
        <v>115.215165</v>
      </c>
      <c r="Q4" s="0" t="n">
        <v>16.987261</v>
      </c>
      <c r="S4" s="0" t="n">
        <v>34.40697</v>
      </c>
      <c r="T4" s="0" t="n">
        <v>506.393198</v>
      </c>
      <c r="U4" s="0" t="n">
        <v>34.204761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58.6629</v>
      </c>
      <c r="I5" s="0" t="n">
        <v>-5.949858</v>
      </c>
      <c r="J5" s="0" t="n">
        <v>-10.1424546007784</v>
      </c>
      <c r="K5" s="0" t="n">
        <v>0</v>
      </c>
      <c r="L5" s="0" t="n">
        <v>243.309139</v>
      </c>
      <c r="M5" s="0" t="n">
        <v>1.317435</v>
      </c>
      <c r="N5" s="0" t="n">
        <v>241.991704</v>
      </c>
      <c r="O5" s="0" t="n">
        <v>211.941612</v>
      </c>
      <c r="P5" s="0" t="n">
        <v>809.059947</v>
      </c>
      <c r="Q5" s="0" t="n">
        <v>594.034213</v>
      </c>
      <c r="S5" s="0" t="n">
        <v>59.408555</v>
      </c>
      <c r="T5" s="0" t="n">
        <v>1751.784176</v>
      </c>
      <c r="U5" s="0" t="n">
        <v>4.0626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138.49669</v>
      </c>
      <c r="I6" s="0" t="n">
        <v>19.179245</v>
      </c>
      <c r="J6" s="0" t="n">
        <v>13.8481612809664</v>
      </c>
      <c r="K6" s="0" t="n">
        <v>0.01</v>
      </c>
      <c r="L6" s="0" t="n">
        <v>535.281015</v>
      </c>
      <c r="M6" s="0" t="n">
        <v>0.978142</v>
      </c>
      <c r="N6" s="0" t="n">
        <v>534.302873</v>
      </c>
      <c r="O6" s="0" t="n">
        <v>235.687128</v>
      </c>
      <c r="P6" s="0" t="n">
        <v>2192.317351</v>
      </c>
      <c r="Q6" s="0" t="n">
        <v>1956.630223</v>
      </c>
      <c r="S6" s="0" t="n">
        <v>79.652897</v>
      </c>
      <c r="T6" s="0" t="n">
        <v>2162.232325</v>
      </c>
      <c r="U6" s="0" t="n">
        <v>6.054612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264.488162</v>
      </c>
      <c r="I7" s="0" t="n">
        <v>14.690701</v>
      </c>
      <c r="J7" s="0" t="n">
        <v>5.55438885767598</v>
      </c>
      <c r="K7" s="0" t="n">
        <v>0.01</v>
      </c>
      <c r="L7" s="0" t="n">
        <v>413.203956</v>
      </c>
      <c r="M7" s="0" t="n">
        <v>4.967842</v>
      </c>
      <c r="N7" s="0" t="n">
        <v>408.236114</v>
      </c>
      <c r="O7" s="0" t="n">
        <v>446.625868</v>
      </c>
      <c r="P7" s="0" t="n">
        <v>3321.418656</v>
      </c>
      <c r="Q7" s="0" t="n">
        <v>2874.792788</v>
      </c>
      <c r="S7" s="0" t="n">
        <v>269.057708</v>
      </c>
      <c r="T7" s="0" t="n">
        <v>2335.717204</v>
      </c>
      <c r="U7" s="0" t="n">
        <v>13.370377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225.365547</v>
      </c>
      <c r="I8" s="0" t="n">
        <v>-2.25688</v>
      </c>
      <c r="J8" s="0" t="n">
        <v>-1.00143079989063</v>
      </c>
      <c r="K8" s="0" t="n">
        <v>0</v>
      </c>
      <c r="L8" s="0" t="n">
        <v>258.060599</v>
      </c>
      <c r="M8" s="0" t="n">
        <v>4.888631</v>
      </c>
      <c r="N8" s="0" t="n">
        <v>253.171968</v>
      </c>
      <c r="O8" s="0" t="n">
        <v>446.986892</v>
      </c>
      <c r="P8" s="0" t="n">
        <v>3797.360388</v>
      </c>
      <c r="Q8" s="0" t="n">
        <v>3345.731754</v>
      </c>
      <c r="S8" s="0" t="n">
        <v>277.660847</v>
      </c>
      <c r="T8" s="0" t="n">
        <v>2295.154791</v>
      </c>
      <c r="U8" s="0" t="n">
        <v>14.213841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272.507595</v>
      </c>
      <c r="I9" s="0" t="n">
        <v>33.007427</v>
      </c>
      <c r="J9" s="0" t="n">
        <v>12.1124796540074</v>
      </c>
      <c r="K9" s="0" t="n">
        <v>0.014</v>
      </c>
      <c r="L9" s="0" t="n">
        <v>-6.566354</v>
      </c>
      <c r="M9" s="0" t="n">
        <v>2.76403</v>
      </c>
      <c r="N9" s="0" t="n">
        <v>-9.330384</v>
      </c>
      <c r="O9" s="0" t="n">
        <v>488.715518</v>
      </c>
      <c r="P9" s="0" t="n">
        <v>3746.047103</v>
      </c>
      <c r="Q9" s="0" t="n">
        <v>3250.624925</v>
      </c>
      <c r="S9" s="0" t="n">
        <v>322.599616</v>
      </c>
      <c r="T9" s="0" t="n">
        <v>2427.268831</v>
      </c>
      <c r="U9" s="0" t="n">
        <v>10.147362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391.541429</v>
      </c>
      <c r="I10" s="0" t="n">
        <v>61.353928</v>
      </c>
      <c r="J10" s="0" t="n">
        <v>15.6698432032336</v>
      </c>
      <c r="K10" s="0" t="n">
        <v>0.025</v>
      </c>
      <c r="L10" s="0" t="n">
        <v>827.978252</v>
      </c>
      <c r="M10" s="0" t="n">
        <v>1.553276</v>
      </c>
      <c r="N10" s="0" t="n">
        <v>826.424976</v>
      </c>
      <c r="O10" s="0" t="n">
        <v>655.234014</v>
      </c>
      <c r="P10" s="0" t="n">
        <v>6391.312469</v>
      </c>
      <c r="Q10" s="0" t="n">
        <v>5729.18872</v>
      </c>
      <c r="S10" s="0" t="n">
        <v>393.576874</v>
      </c>
      <c r="T10" s="0" t="n">
        <v>2534.097315</v>
      </c>
      <c r="U10" s="0" t="n">
        <v>9.736901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612.064917</v>
      </c>
      <c r="I11" s="0" t="n">
        <v>171.481621</v>
      </c>
      <c r="J11" s="0" t="n">
        <v>28.0169008608608</v>
      </c>
      <c r="K11" s="0" t="n">
        <v>0.064</v>
      </c>
      <c r="L11" s="0" t="n">
        <v>1316.684703</v>
      </c>
      <c r="M11" s="0" t="n">
        <v>5.482918</v>
      </c>
      <c r="N11" s="0" t="n">
        <v>1311.201785</v>
      </c>
      <c r="O11" s="0" t="n">
        <v>865.507397</v>
      </c>
      <c r="P11" s="0" t="n">
        <v>8226.531037</v>
      </c>
      <c r="Q11" s="0" t="n">
        <v>7356.352294</v>
      </c>
      <c r="S11" s="0" t="n">
        <v>791.016893</v>
      </c>
      <c r="T11" s="0" t="n">
        <v>2807.732382</v>
      </c>
      <c r="U11" s="0" t="n">
        <v>15.609141</v>
      </c>
      <c r="AA11" s="0" t="s">
        <v>17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4.16</v>
      </c>
    </row>
    <row r="3" customFormat="false" ht="15" hidden="false" customHeight="false" outlineLevel="0" collapsed="false">
      <c r="A3" s="0" t="s">
        <v>76</v>
      </c>
      <c r="B3" s="3" t="n">
        <v>185.04</v>
      </c>
    </row>
    <row r="4" customFormat="false" ht="15" hidden="false" customHeight="false" outlineLevel="0" collapsed="false">
      <c r="A4" s="0" t="s">
        <v>77</v>
      </c>
      <c r="B4" s="3" t="n">
        <v>0</v>
      </c>
    </row>
    <row r="5" customFormat="false" ht="15" hidden="false" customHeight="false" outlineLevel="0" collapsed="false">
      <c r="A5" s="0" t="s">
        <v>78</v>
      </c>
      <c r="B5" s="3" t="n">
        <v>0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612.065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11</v>
      </c>
      <c r="D13" s="3" t="n">
        <v>0</v>
      </c>
      <c r="E13" s="3" t="n">
        <v>-5</v>
      </c>
      <c r="F13" s="3" t="n">
        <v>2</v>
      </c>
      <c r="G13" s="3" t="n">
        <v>4</v>
      </c>
      <c r="H13" s="3" t="n">
        <v>4</v>
      </c>
      <c r="I13" s="3" t="n">
        <v>4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97</v>
      </c>
      <c r="C14" s="3" t="n">
        <v>30</v>
      </c>
      <c r="D14" s="3" t="n">
        <v>24</v>
      </c>
      <c r="E14" s="3" t="n">
        <v>18</v>
      </c>
      <c r="F14" s="3" t="n">
        <v>22</v>
      </c>
      <c r="G14" s="3" t="n">
        <v>24</v>
      </c>
      <c r="H14" s="3" t="n">
        <v>25</v>
      </c>
      <c r="I14" s="3" t="n">
        <v>25</v>
      </c>
      <c r="J14" s="3" t="n">
        <v>25</v>
      </c>
      <c r="K14" s="3" t="n">
        <v>25</v>
      </c>
      <c r="L14" s="3" t="n">
        <v>25</v>
      </c>
    </row>
    <row r="15" customFormat="false" ht="15" hidden="false" customHeight="false" outlineLevel="0" collapsed="false">
      <c r="A15" s="0" t="s">
        <v>98</v>
      </c>
      <c r="C15" s="3" t="n">
        <v>2</v>
      </c>
      <c r="D15" s="3" t="n">
        <v>2.2</v>
      </c>
      <c r="E15" s="3" t="n">
        <v>2.4</v>
      </c>
      <c r="F15" s="3" t="n">
        <v>2.2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0.45</v>
      </c>
      <c r="D17" s="3" t="n">
        <v>0.5</v>
      </c>
      <c r="E17" s="3" t="n">
        <v>0.55</v>
      </c>
      <c r="F17" s="3" t="n">
        <v>0.5</v>
      </c>
      <c r="G17" s="3" t="n">
        <v>0.5</v>
      </c>
      <c r="H17" s="3" t="n">
        <v>0.5</v>
      </c>
      <c r="I17" s="3" t="n">
        <v>0.5</v>
      </c>
      <c r="J17" s="3" t="n">
        <v>0.5</v>
      </c>
      <c r="K17" s="3" t="n">
        <v>0.5</v>
      </c>
      <c r="L17" s="3" t="n">
        <v>0.5</v>
      </c>
    </row>
    <row r="18" customFormat="false" ht="15" hidden="false" customHeight="false" outlineLevel="0" collapsed="false">
      <c r="A18" s="0" t="s">
        <v>101</v>
      </c>
      <c r="C18" s="3" t="n">
        <v>0.7</v>
      </c>
      <c r="D18" s="3" t="n">
        <v>0.7</v>
      </c>
      <c r="E18" s="3" t="n">
        <v>0.7</v>
      </c>
      <c r="F18" s="3" t="n">
        <v>0.7</v>
      </c>
      <c r="G18" s="3" t="n">
        <v>0.7</v>
      </c>
      <c r="H18" s="3" t="n">
        <v>0.7</v>
      </c>
      <c r="I18" s="3" t="n">
        <v>0.7</v>
      </c>
      <c r="J18" s="3" t="n">
        <v>0.7</v>
      </c>
      <c r="K18" s="3" t="n">
        <v>0.7</v>
      </c>
      <c r="L18" s="3" t="n">
        <v>0.7</v>
      </c>
    </row>
    <row r="19" customFormat="false" ht="15" hidden="false" customHeight="false" outlineLevel="0" collapsed="false">
      <c r="A19" s="0" t="s">
        <v>102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103</v>
      </c>
      <c r="B20" s="3" t="n">
        <v>12.5</v>
      </c>
    </row>
    <row r="21" customFormat="false" ht="15" hidden="false" customHeight="false" outlineLevel="0" collapsed="false">
      <c r="A21" s="0" t="s">
        <v>104</v>
      </c>
      <c r="B21" s="3" t="n">
        <v>3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-140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14</v>
      </c>
      <c r="D27" s="3" t="n">
        <v>9</v>
      </c>
      <c r="E27" s="3" t="n">
        <v>8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97</v>
      </c>
      <c r="C28" s="3" t="n">
        <v>32.5</v>
      </c>
      <c r="D28" s="3" t="n">
        <v>32.5</v>
      </c>
      <c r="E28" s="3" t="n">
        <v>32</v>
      </c>
      <c r="F28" s="3" t="n">
        <v>32</v>
      </c>
      <c r="G28" s="3" t="n">
        <v>32</v>
      </c>
      <c r="H28" s="3" t="n">
        <v>32</v>
      </c>
      <c r="I28" s="3" t="n">
        <v>32</v>
      </c>
      <c r="J28" s="3" t="n">
        <v>32</v>
      </c>
      <c r="K28" s="3" t="n">
        <v>32</v>
      </c>
      <c r="L28" s="3" t="n">
        <v>32</v>
      </c>
    </row>
    <row r="29" customFormat="false" ht="15" hidden="false" customHeight="false" outlineLevel="0" collapsed="false">
      <c r="A29" s="0" t="s">
        <v>98</v>
      </c>
      <c r="C29" s="3" t="n">
        <v>2</v>
      </c>
      <c r="D29" s="3" t="n">
        <v>2</v>
      </c>
      <c r="E29" s="3" t="n">
        <v>2</v>
      </c>
      <c r="F29" s="3" t="n">
        <v>2</v>
      </c>
      <c r="G29" s="3" t="n">
        <v>2</v>
      </c>
      <c r="H29" s="3" t="n">
        <v>1.8</v>
      </c>
      <c r="I29" s="3" t="n">
        <v>1.8</v>
      </c>
      <c r="J29" s="3" t="n">
        <v>1.8</v>
      </c>
      <c r="K29" s="3" t="n">
        <v>1.8</v>
      </c>
      <c r="L29" s="3" t="n">
        <v>1.8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0.45</v>
      </c>
      <c r="D31" s="3" t="n">
        <v>0.45</v>
      </c>
      <c r="E31" s="3" t="n">
        <v>0.45</v>
      </c>
      <c r="F31" s="3" t="n">
        <v>0.45</v>
      </c>
      <c r="G31" s="3" t="n">
        <v>0.45</v>
      </c>
      <c r="H31" s="3" t="n">
        <v>0.45</v>
      </c>
      <c r="I31" s="3" t="n">
        <v>0.45</v>
      </c>
      <c r="J31" s="3" t="n">
        <v>0.45</v>
      </c>
      <c r="K31" s="3" t="n">
        <v>0.45</v>
      </c>
      <c r="L31" s="3" t="n">
        <v>0.45</v>
      </c>
    </row>
    <row r="32" customFormat="false" ht="15" hidden="false" customHeight="false" outlineLevel="0" collapsed="false">
      <c r="A32" s="0" t="s">
        <v>101</v>
      </c>
      <c r="C32" s="3" t="n">
        <v>0.7</v>
      </c>
      <c r="D32" s="3" t="n">
        <v>0.7</v>
      </c>
      <c r="E32" s="3" t="n">
        <v>0.7</v>
      </c>
      <c r="F32" s="3" t="n">
        <v>0.7</v>
      </c>
      <c r="G32" s="3" t="n">
        <v>0.7</v>
      </c>
      <c r="H32" s="3" t="n">
        <v>0.7</v>
      </c>
      <c r="I32" s="3" t="n">
        <v>0.7</v>
      </c>
      <c r="J32" s="3" t="n">
        <v>0.7</v>
      </c>
      <c r="K32" s="3" t="n">
        <v>0.7</v>
      </c>
      <c r="L32" s="3" t="n">
        <v>0.7</v>
      </c>
    </row>
    <row r="33" customFormat="false" ht="15" hidden="false" customHeight="false" outlineLevel="0" collapsed="false">
      <c r="A33" s="0" t="s">
        <v>102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103</v>
      </c>
      <c r="B34" s="3" t="n">
        <v>12.5</v>
      </c>
    </row>
    <row r="35" customFormat="false" ht="15" hidden="false" customHeight="false" outlineLevel="0" collapsed="false">
      <c r="A35" s="0" t="s">
        <v>104</v>
      </c>
      <c r="B35" s="3" t="n">
        <v>3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-120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16</v>
      </c>
      <c r="D41" s="3" t="n">
        <v>14</v>
      </c>
      <c r="E41" s="3" t="n">
        <v>12</v>
      </c>
      <c r="F41" s="3" t="n">
        <v>10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97</v>
      </c>
      <c r="C42" s="3" t="n">
        <v>33</v>
      </c>
      <c r="D42" s="3" t="n">
        <v>34</v>
      </c>
      <c r="E42" s="3" t="n">
        <v>35</v>
      </c>
      <c r="F42" s="3" t="n">
        <v>35</v>
      </c>
      <c r="G42" s="3" t="n">
        <v>35</v>
      </c>
      <c r="H42" s="3" t="n">
        <v>35</v>
      </c>
      <c r="I42" s="3" t="n">
        <v>35</v>
      </c>
      <c r="J42" s="3" t="n">
        <v>35</v>
      </c>
      <c r="K42" s="3" t="n">
        <v>35</v>
      </c>
      <c r="L42" s="3" t="n">
        <v>35</v>
      </c>
    </row>
    <row r="43" customFormat="false" ht="15" hidden="false" customHeight="false" outlineLevel="0" collapsed="false">
      <c r="A43" s="0" t="s">
        <v>98</v>
      </c>
      <c r="C43" s="3" t="n">
        <v>2</v>
      </c>
      <c r="D43" s="3" t="n">
        <v>2</v>
      </c>
      <c r="E43" s="3" t="n">
        <v>1.9</v>
      </c>
      <c r="F43" s="3" t="n">
        <v>1.9</v>
      </c>
      <c r="G43" s="3" t="n">
        <v>1.8</v>
      </c>
      <c r="H43" s="3" t="n">
        <v>1.8</v>
      </c>
      <c r="I43" s="3" t="n">
        <v>1.8</v>
      </c>
      <c r="J43" s="3" t="n">
        <v>1.8</v>
      </c>
      <c r="K43" s="3" t="n">
        <v>1.8</v>
      </c>
      <c r="L43" s="3" t="n">
        <v>1.8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0.45</v>
      </c>
      <c r="D45" s="3" t="n">
        <v>0.45</v>
      </c>
      <c r="E45" s="3" t="n">
        <v>0.45</v>
      </c>
      <c r="F45" s="3" t="n">
        <v>0.45</v>
      </c>
      <c r="G45" s="3" t="n">
        <v>0.45</v>
      </c>
      <c r="H45" s="3" t="n">
        <v>0.45</v>
      </c>
      <c r="I45" s="3" t="n">
        <v>0.45</v>
      </c>
      <c r="J45" s="3" t="n">
        <v>0.45</v>
      </c>
      <c r="K45" s="3" t="n">
        <v>0.45</v>
      </c>
      <c r="L45" s="3" t="n">
        <v>0.45</v>
      </c>
    </row>
    <row r="46" customFormat="false" ht="15" hidden="false" customHeight="false" outlineLevel="0" collapsed="false">
      <c r="A46" s="0" t="s">
        <v>101</v>
      </c>
      <c r="C46" s="3" t="n">
        <v>0.7</v>
      </c>
      <c r="D46" s="3" t="n">
        <v>0.7</v>
      </c>
      <c r="E46" s="3" t="n">
        <v>0.7</v>
      </c>
      <c r="F46" s="3" t="n">
        <v>0.7</v>
      </c>
      <c r="G46" s="3" t="n">
        <v>0.7</v>
      </c>
      <c r="H46" s="3" t="n">
        <v>0.7</v>
      </c>
      <c r="I46" s="3" t="n">
        <v>0.7</v>
      </c>
      <c r="J46" s="3" t="n">
        <v>0.7</v>
      </c>
      <c r="K46" s="3" t="n">
        <v>0.7</v>
      </c>
      <c r="L46" s="3" t="n">
        <v>0.7</v>
      </c>
    </row>
    <row r="47" customFormat="false" ht="15" hidden="false" customHeight="false" outlineLevel="0" collapsed="false">
      <c r="A47" s="0" t="s">
        <v>102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103</v>
      </c>
      <c r="B48" s="3" t="n">
        <v>12.5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12</v>
      </c>
    </row>
    <row r="51" customFormat="false" ht="15" hidden="false" customHeight="false" outlineLevel="0" collapsed="false">
      <c r="A51" s="0" t="s">
        <v>106</v>
      </c>
      <c r="B51" s="3" t="n">
        <v>-100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11</v>
      </c>
      <c r="D5" s="4" t="n">
        <f aca="false">Assumptions!D13</f>
        <v>0</v>
      </c>
      <c r="E5" s="4" t="n">
        <f aca="false">Assumptions!E13</f>
        <v>-5</v>
      </c>
      <c r="F5" s="4" t="n">
        <f aca="false">Assumptions!F13</f>
        <v>2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4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612.065</v>
      </c>
      <c r="C6" s="0" t="n">
        <f aca="false">B6*(1+C5/100)</f>
        <v>679.39215</v>
      </c>
      <c r="D6" s="0" t="n">
        <f aca="false">C6*(1+D5/100)</f>
        <v>679.39215</v>
      </c>
      <c r="E6" s="0" t="n">
        <f aca="false">D6*(1+E5/100)</f>
        <v>645.4225425</v>
      </c>
      <c r="F6" s="0" t="n">
        <f aca="false">E6*(1+F5/100)</f>
        <v>658.33099335</v>
      </c>
      <c r="G6" s="0" t="n">
        <f aca="false">F6*(1+G5/100)</f>
        <v>684.664233084</v>
      </c>
      <c r="H6" s="0" t="n">
        <f aca="false">G6*(1+H5/100)</f>
        <v>712.05080240736</v>
      </c>
      <c r="I6" s="0" t="n">
        <f aca="false">H6*(1+I5/100)</f>
        <v>740.532834503655</v>
      </c>
      <c r="J6" s="0" t="n">
        <f aca="false">I6*(1+J5/100)</f>
        <v>762.748819538764</v>
      </c>
      <c r="K6" s="0" t="n">
        <f aca="false">J6*(1+K5/100)</f>
        <v>785.631284124927</v>
      </c>
      <c r="L6" s="0" t="n">
        <f aca="false">K6*(1+L5/100)</f>
        <v>809.200222648675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30</v>
      </c>
      <c r="D7" s="4" t="n">
        <f aca="false">Assumptions!D14</f>
        <v>24</v>
      </c>
      <c r="E7" s="4" t="n">
        <f aca="false">Assumptions!E14</f>
        <v>18</v>
      </c>
      <c r="F7" s="4" t="n">
        <f aca="false">Assumptions!F14</f>
        <v>22</v>
      </c>
      <c r="G7" s="4" t="n">
        <f aca="false">Assumptions!G14</f>
        <v>24</v>
      </c>
      <c r="H7" s="4" t="n">
        <f aca="false">Assumptions!H14</f>
        <v>25</v>
      </c>
      <c r="I7" s="4" t="n">
        <f aca="false">Assumptions!I14</f>
        <v>25</v>
      </c>
      <c r="J7" s="4" t="n">
        <f aca="false">Assumptions!J14</f>
        <v>25</v>
      </c>
      <c r="K7" s="4" t="n">
        <f aca="false">Assumptions!K14</f>
        <v>25</v>
      </c>
      <c r="L7" s="4" t="n">
        <f aca="false">Assumptions!L14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203.817645</v>
      </c>
      <c r="D8" s="0" t="n">
        <f aca="false">D6*D7/100</f>
        <v>163.054116</v>
      </c>
      <c r="E8" s="0" t="n">
        <f aca="false">E6*E7/100</f>
        <v>116.17605765</v>
      </c>
      <c r="F8" s="0" t="n">
        <f aca="false">F6*F7/100</f>
        <v>144.832818537</v>
      </c>
      <c r="G8" s="0" t="n">
        <f aca="false">G6*G7/100</f>
        <v>164.31941594016</v>
      </c>
      <c r="H8" s="0" t="n">
        <f aca="false">H6*H7/100</f>
        <v>178.01270060184</v>
      </c>
      <c r="I8" s="0" t="n">
        <f aca="false">I6*I7/100</f>
        <v>185.133208625914</v>
      </c>
      <c r="J8" s="0" t="n">
        <f aca="false">J6*J7/100</f>
        <v>190.687204884691</v>
      </c>
      <c r="K8" s="0" t="n">
        <f aca="false">K6*K7/100</f>
        <v>196.407821031232</v>
      </c>
      <c r="L8" s="0" t="n">
        <f aca="false">L6*L7/100</f>
        <v>202.300055662169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2</v>
      </c>
      <c r="D9" s="4" t="n">
        <f aca="false">Assumptions!D15</f>
        <v>2.2</v>
      </c>
      <c r="E9" s="4" t="n">
        <f aca="false">Assumptions!E15</f>
        <v>2.4</v>
      </c>
      <c r="F9" s="4" t="n">
        <f aca="false">Assumptions!F15</f>
        <v>2.2</v>
      </c>
      <c r="G9" s="4" t="n">
        <f aca="false">Assumptions!G15</f>
        <v>2</v>
      </c>
      <c r="H9" s="4" t="n">
        <f aca="false">Assumptions!H15</f>
        <v>2</v>
      </c>
      <c r="I9" s="4" t="n">
        <f aca="false">Assumptions!I15</f>
        <v>2</v>
      </c>
      <c r="J9" s="4" t="n">
        <f aca="false">Assumptions!J15</f>
        <v>2</v>
      </c>
      <c r="K9" s="4" t="n">
        <f aca="false">Assumptions!K15</f>
        <v>2</v>
      </c>
      <c r="L9" s="4" t="n">
        <f aca="false">Assumptions!L15</f>
        <v>2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-13.587843</v>
      </c>
      <c r="D10" s="0" t="n">
        <f aca="false">-D6*D9/100</f>
        <v>-14.9466273</v>
      </c>
      <c r="E10" s="0" t="n">
        <f aca="false">-E6*E9/100</f>
        <v>-15.49014102</v>
      </c>
      <c r="F10" s="0" t="n">
        <f aca="false">-F6*F9/100</f>
        <v>-14.4832818537</v>
      </c>
      <c r="G10" s="0" t="n">
        <f aca="false">-G6*G9/100</f>
        <v>-13.69328466168</v>
      </c>
      <c r="H10" s="0" t="n">
        <f aca="false">-H6*H9/100</f>
        <v>-14.2410160481472</v>
      </c>
      <c r="I10" s="0" t="n">
        <f aca="false">-I6*I9/100</f>
        <v>-14.8106566900731</v>
      </c>
      <c r="J10" s="0" t="n">
        <f aca="false">-J6*J9/100</f>
        <v>-15.2549763907753</v>
      </c>
      <c r="K10" s="0" t="n">
        <f aca="false">-K6*K9/100</f>
        <v>-15.7126256824985</v>
      </c>
      <c r="L10" s="0" t="n">
        <f aca="false">-L6*L9/100</f>
        <v>-16.1840044529735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190.229802</v>
      </c>
      <c r="D11" s="0" t="n">
        <f aca="false">D8+D10+D24</f>
        <v>148.1074887</v>
      </c>
      <c r="E11" s="0" t="n">
        <f aca="false">E8+E10+E24</f>
        <v>100.68591663</v>
      </c>
      <c r="F11" s="0" t="n">
        <f aca="false">F8+F10+F24</f>
        <v>130.3495366833</v>
      </c>
      <c r="G11" s="0" t="n">
        <f aca="false">G8+G10+G24</f>
        <v>150.62613127848</v>
      </c>
      <c r="H11" s="0" t="n">
        <f aca="false">H8+H10+H24</f>
        <v>163.771684553693</v>
      </c>
      <c r="I11" s="0" t="n">
        <f aca="false">I8+I10+I24</f>
        <v>170.322551935841</v>
      </c>
      <c r="J11" s="0" t="n">
        <f aca="false">J8+J10+J24</f>
        <v>175.432228493916</v>
      </c>
      <c r="K11" s="0" t="n">
        <f aca="false">K8+K10+K24</f>
        <v>180.695195348733</v>
      </c>
      <c r="L11" s="0" t="n">
        <f aca="false">L8+L10+L24</f>
        <v>186.116051209195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-3.057264675</v>
      </c>
      <c r="D12" s="4" t="n">
        <f aca="false">-D6*Assumptions!D17/100</f>
        <v>-3.39696075</v>
      </c>
      <c r="E12" s="4" t="n">
        <f aca="false">-E6*Assumptions!E17/100</f>
        <v>-3.54982398375</v>
      </c>
      <c r="F12" s="4" t="n">
        <f aca="false">-F6*Assumptions!F17/100</f>
        <v>-3.29165496675</v>
      </c>
      <c r="G12" s="4" t="n">
        <f aca="false">-G6*Assumptions!G17/100</f>
        <v>-3.42332116542</v>
      </c>
      <c r="H12" s="4" t="n">
        <f aca="false">-H6*Assumptions!H17/100</f>
        <v>-3.5602540120368</v>
      </c>
      <c r="I12" s="4" t="n">
        <f aca="false">-I6*Assumptions!I17/100</f>
        <v>-3.70266417251827</v>
      </c>
      <c r="J12" s="4" t="n">
        <f aca="false">-J6*Assumptions!J17/100</f>
        <v>-3.81374409769382</v>
      </c>
      <c r="K12" s="4" t="n">
        <f aca="false">-K6*Assumptions!K17/100</f>
        <v>-3.92815642062464</v>
      </c>
      <c r="L12" s="4" t="n">
        <f aca="false">-L6*Assumptions!L17/100</f>
        <v>-4.04600111324338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187.172537325</v>
      </c>
      <c r="D13" s="0" t="n">
        <f aca="false">D11+D12</f>
        <v>144.71052795</v>
      </c>
      <c r="E13" s="0" t="n">
        <f aca="false">E11+E12</f>
        <v>97.13609264625</v>
      </c>
      <c r="F13" s="0" t="n">
        <f aca="false">F11+F12</f>
        <v>127.05788171655</v>
      </c>
      <c r="G13" s="0" t="n">
        <f aca="false">G11+G12</f>
        <v>147.20281011306</v>
      </c>
      <c r="H13" s="0" t="n">
        <f aca="false">H11+H12</f>
        <v>160.211430541656</v>
      </c>
      <c r="I13" s="0" t="n">
        <f aca="false">I11+I12</f>
        <v>166.619887763322</v>
      </c>
      <c r="J13" s="0" t="n">
        <f aca="false">J11+J12</f>
        <v>171.618484396222</v>
      </c>
      <c r="K13" s="0" t="n">
        <f aca="false">K11+K12</f>
        <v>176.767038928109</v>
      </c>
      <c r="L13" s="0" t="n">
        <f aca="false">L11+L12</f>
        <v>182.070050095952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140.37940299375</v>
      </c>
      <c r="D15" s="0" t="n">
        <f aca="false">D13-MAX(0,D13)*D14/100</f>
        <v>108.5328959625</v>
      </c>
      <c r="E15" s="0" t="n">
        <f aca="false">E13-MAX(0,E13)*E14/100</f>
        <v>72.8520694846875</v>
      </c>
      <c r="F15" s="0" t="n">
        <f aca="false">F13-MAX(0,F13)*F14/100</f>
        <v>95.2934112874125</v>
      </c>
      <c r="G15" s="0" t="n">
        <f aca="false">G13-MAX(0,G13)*G14/100</f>
        <v>110.402107584795</v>
      </c>
      <c r="H15" s="0" t="n">
        <f aca="false">H13-MAX(0,H13)*H14/100</f>
        <v>120.158572906242</v>
      </c>
      <c r="I15" s="0" t="n">
        <f aca="false">I13-MAX(0,I13)*I14/100</f>
        <v>124.964915822492</v>
      </c>
      <c r="J15" s="0" t="n">
        <f aca="false">J13-MAX(0,J13)*J14/100</f>
        <v>128.713863297166</v>
      </c>
      <c r="K15" s="0" t="n">
        <f aca="false">K13-MAX(0,K13)*K14/100</f>
        <v>132.575279196081</v>
      </c>
      <c r="L15" s="0" t="n">
        <f aca="false">L13-MAX(0,L13)*L14/100</f>
        <v>136.552537571964</v>
      </c>
    </row>
    <row r="16" customFormat="false" ht="15" hidden="false" customHeight="false" outlineLevel="0" collapsed="false">
      <c r="A16" s="0" t="s">
        <v>118</v>
      </c>
      <c r="C16" s="0" t="n">
        <f aca="false">-C12</f>
        <v>3.057264675</v>
      </c>
      <c r="D16" s="0" t="n">
        <f aca="false">-D12</f>
        <v>3.39696075</v>
      </c>
      <c r="E16" s="0" t="n">
        <f aca="false">-E12</f>
        <v>3.54982398375</v>
      </c>
      <c r="F16" s="0" t="n">
        <f aca="false">-F12</f>
        <v>3.29165496675</v>
      </c>
      <c r="G16" s="0" t="n">
        <f aca="false">-G12</f>
        <v>3.42332116542</v>
      </c>
      <c r="H16" s="0" t="n">
        <f aca="false">-H12</f>
        <v>3.5602540120368</v>
      </c>
      <c r="I16" s="0" t="n">
        <f aca="false">-I12</f>
        <v>3.70266417251827</v>
      </c>
      <c r="J16" s="0" t="n">
        <f aca="false">-J12</f>
        <v>3.81374409769382</v>
      </c>
      <c r="K16" s="0" t="n">
        <f aca="false">-K12</f>
        <v>3.92815642062464</v>
      </c>
      <c r="L16" s="0" t="n">
        <f aca="false">-L12</f>
        <v>4.04600111324338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-4.75574505</v>
      </c>
      <c r="D17" s="4" t="n">
        <f aca="false">-D6*Assumptions!D18/100</f>
        <v>-4.75574505</v>
      </c>
      <c r="E17" s="4" t="n">
        <f aca="false">-E6*Assumptions!E18/100</f>
        <v>-4.5179577975</v>
      </c>
      <c r="F17" s="4" t="n">
        <f aca="false">-F6*Assumptions!F18/100</f>
        <v>-4.60831695345</v>
      </c>
      <c r="G17" s="4" t="n">
        <f aca="false">-G6*Assumptions!G18/100</f>
        <v>-4.792649631588</v>
      </c>
      <c r="H17" s="4" t="n">
        <f aca="false">-H6*Assumptions!H18/100</f>
        <v>-4.98435561685152</v>
      </c>
      <c r="I17" s="4" t="n">
        <f aca="false">-I6*Assumptions!I18/100</f>
        <v>-5.18372984152558</v>
      </c>
      <c r="J17" s="4" t="n">
        <f aca="false">-J6*Assumptions!J18/100</f>
        <v>-5.33924173677135</v>
      </c>
      <c r="K17" s="4" t="n">
        <f aca="false">-K6*Assumptions!K18/100</f>
        <v>-5.49941898887449</v>
      </c>
      <c r="L17" s="4" t="n">
        <f aca="false">-L6*Assumptions!L18/100</f>
        <v>-5.66440155854073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-94.2580100000001</v>
      </c>
      <c r="D18" s="4" t="n">
        <f aca="false">(D6-C6)*Assumptions!$B$23/100</f>
        <v>-0</v>
      </c>
      <c r="E18" s="4" t="n">
        <f aca="false">(E6-D6)*Assumptions!$B$23/100</f>
        <v>47.5574505000001</v>
      </c>
      <c r="F18" s="4" t="n">
        <f aca="false">(F6-E6)*Assumptions!$B$23/100</f>
        <v>-18.07183119</v>
      </c>
      <c r="G18" s="4" t="n">
        <f aca="false">(G6-F6)*Assumptions!$B$23/100</f>
        <v>-36.8665356276</v>
      </c>
      <c r="H18" s="4" t="n">
        <f aca="false">(H6-G6)*Assumptions!$B$23/100</f>
        <v>-38.3411970527041</v>
      </c>
      <c r="I18" s="4" t="n">
        <f aca="false">(I6-H6)*Assumptions!$B$23/100</f>
        <v>-39.8748449348122</v>
      </c>
      <c r="J18" s="4" t="n">
        <f aca="false">(J6-I6)*Assumptions!$B$23/100</f>
        <v>-31.1023790491535</v>
      </c>
      <c r="K18" s="4" t="n">
        <f aca="false">(K6-J6)*Assumptions!$B$23/100</f>
        <v>-32.0354504206282</v>
      </c>
      <c r="L18" s="4" t="n">
        <f aca="false">(L6-K6)*Assumptions!$B$23/100</f>
        <v>-32.996513933247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44.42291261875</v>
      </c>
      <c r="D19" s="0" t="n">
        <f aca="false">D15+D16+D17+D18</f>
        <v>107.1741116625</v>
      </c>
      <c r="E19" s="0" t="n">
        <f aca="false">E15+E16+E17+E18</f>
        <v>119.441386170938</v>
      </c>
      <c r="F19" s="0" t="n">
        <f aca="false">F15+F16+F17+F18</f>
        <v>75.9049181107125</v>
      </c>
      <c r="G19" s="0" t="n">
        <f aca="false">G15+G16+G17+G18</f>
        <v>72.166243491027</v>
      </c>
      <c r="H19" s="0" t="n">
        <f aca="false">H15+H16+H17+H18</f>
        <v>80.3932742487233</v>
      </c>
      <c r="I19" s="0" t="n">
        <f aca="false">I15+I16+I17+I18</f>
        <v>83.6090052186722</v>
      </c>
      <c r="J19" s="0" t="n">
        <f aca="false">J15+J16+J17+J18</f>
        <v>96.0859866089355</v>
      </c>
      <c r="K19" s="0" t="n">
        <f aca="false">K15+K16+K17+K18</f>
        <v>98.9685662072034</v>
      </c>
      <c r="L19" s="0" t="n">
        <f aca="false">L15+L16+L17+L18</f>
        <v>101.93762319342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39.4870334388889</v>
      </c>
      <c r="D21" s="0" t="n">
        <f aca="false">D19*D20</f>
        <v>84.6807795851852</v>
      </c>
      <c r="E21" s="0" t="n">
        <f aca="false">E19*E20</f>
        <v>83.8875030446091</v>
      </c>
      <c r="F21" s="0" t="n">
        <f aca="false">F19*F20</f>
        <v>47.3870666943268</v>
      </c>
      <c r="G21" s="0" t="n">
        <f aca="false">G19*G20</f>
        <v>40.047138253213</v>
      </c>
      <c r="H21" s="0" t="n">
        <f aca="false">H19*H20</f>
        <v>39.6556052029432</v>
      </c>
      <c r="I21" s="0" t="n">
        <f aca="false">I19*I20</f>
        <v>36.659403920943</v>
      </c>
      <c r="J21" s="0" t="n">
        <f aca="false">J19*J20</f>
        <v>37.4489697347962</v>
      </c>
      <c r="K21" s="0" t="n">
        <f aca="false">K19*K20</f>
        <v>34.2866122905245</v>
      </c>
      <c r="L21" s="0" t="n">
        <f aca="false">L19*L20</f>
        <v>31.3912983637691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12.5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474.931410529199</v>
      </c>
    </row>
    <row r="31" customFormat="false" ht="15" hidden="false" customHeight="false" outlineLevel="0" collapsed="false">
      <c r="A31" s="0" t="s">
        <v>127</v>
      </c>
      <c r="B31" s="0" t="n">
        <f aca="false">L19</f>
        <v>101.93762319342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1105.21844093918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1223.25147832103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1105.21844093918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340.347761207181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815.27917173638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815.27917173638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4.40596180142877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0.0591254330357627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81.2990262892985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54.0349039969784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5.13733842424696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874.964599076851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3.48404410291845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14</v>
      </c>
      <c r="D5" s="4" t="n">
        <f aca="false">Assumptions!D27</f>
        <v>9</v>
      </c>
      <c r="E5" s="4" t="n">
        <f aca="false">Assumptions!E27</f>
        <v>8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612.065</v>
      </c>
      <c r="C6" s="0" t="n">
        <f aca="false">B6*(1+C5/100)</f>
        <v>697.7541</v>
      </c>
      <c r="D6" s="0" t="n">
        <f aca="false">C6*(1+D5/100)</f>
        <v>760.551969</v>
      </c>
      <c r="E6" s="0" t="n">
        <f aca="false">D6*(1+E5/100)</f>
        <v>821.39612652</v>
      </c>
      <c r="F6" s="0" t="n">
        <f aca="false">E6*(1+F5/100)</f>
        <v>887.1078166416</v>
      </c>
      <c r="G6" s="0" t="n">
        <f aca="false">F6*(1+G5/100)</f>
        <v>949.205363806512</v>
      </c>
      <c r="H6" s="0" t="n">
        <f aca="false">G6*(1+H5/100)</f>
        <v>1006.1576856349</v>
      </c>
      <c r="I6" s="0" t="n">
        <f aca="false">H6*(1+I5/100)</f>
        <v>1056.46556991665</v>
      </c>
      <c r="J6" s="0" t="n">
        <f aca="false">I6*(1+J5/100)</f>
        <v>1098.72419271331</v>
      </c>
      <c r="K6" s="0" t="n">
        <f aca="false">J6*(1+K5/100)</f>
        <v>1137.17953945828</v>
      </c>
      <c r="L6" s="0" t="n">
        <f aca="false">K6*(1+L5/100)</f>
        <v>1171.29492564203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32.5</v>
      </c>
      <c r="D7" s="4" t="n">
        <f aca="false">Assumptions!D28</f>
        <v>32.5</v>
      </c>
      <c r="E7" s="4" t="n">
        <f aca="false">Assumptions!E28</f>
        <v>32</v>
      </c>
      <c r="F7" s="4" t="n">
        <f aca="false">Assumptions!F28</f>
        <v>32</v>
      </c>
      <c r="G7" s="4" t="n">
        <f aca="false">Assumptions!G28</f>
        <v>32</v>
      </c>
      <c r="H7" s="4" t="n">
        <f aca="false">Assumptions!H28</f>
        <v>32</v>
      </c>
      <c r="I7" s="4" t="n">
        <f aca="false">Assumptions!I28</f>
        <v>32</v>
      </c>
      <c r="J7" s="4" t="n">
        <f aca="false">Assumptions!J28</f>
        <v>32</v>
      </c>
      <c r="K7" s="4" t="n">
        <f aca="false">Assumptions!K28</f>
        <v>32</v>
      </c>
      <c r="L7" s="4" t="n">
        <f aca="false">Assumptions!L28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226.7700825</v>
      </c>
      <c r="D8" s="0" t="n">
        <f aca="false">D6*D7/100</f>
        <v>247.179389925</v>
      </c>
      <c r="E8" s="0" t="n">
        <f aca="false">E6*E7/100</f>
        <v>262.8467604864</v>
      </c>
      <c r="F8" s="0" t="n">
        <f aca="false">F6*F7/100</f>
        <v>283.874501325312</v>
      </c>
      <c r="G8" s="0" t="n">
        <f aca="false">G6*G7/100</f>
        <v>303.745716418084</v>
      </c>
      <c r="H8" s="0" t="n">
        <f aca="false">H6*H7/100</f>
        <v>321.970459403169</v>
      </c>
      <c r="I8" s="0" t="n">
        <f aca="false">I6*I7/100</f>
        <v>338.068982373328</v>
      </c>
      <c r="J8" s="0" t="n">
        <f aca="false">J6*J7/100</f>
        <v>351.591741668261</v>
      </c>
      <c r="K8" s="0" t="n">
        <f aca="false">K6*K7/100</f>
        <v>363.89745262665</v>
      </c>
      <c r="L8" s="0" t="n">
        <f aca="false">L6*L7/100</f>
        <v>374.814376205449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2</v>
      </c>
      <c r="D9" s="4" t="n">
        <f aca="false">Assumptions!D29</f>
        <v>2</v>
      </c>
      <c r="E9" s="4" t="n">
        <f aca="false">Assumptions!E29</f>
        <v>2</v>
      </c>
      <c r="F9" s="4" t="n">
        <f aca="false">Assumptions!F29</f>
        <v>2</v>
      </c>
      <c r="G9" s="4" t="n">
        <f aca="false">Assumptions!G29</f>
        <v>2</v>
      </c>
      <c r="H9" s="4" t="n">
        <f aca="false">Assumptions!H29</f>
        <v>1.8</v>
      </c>
      <c r="I9" s="4" t="n">
        <f aca="false">Assumptions!I29</f>
        <v>1.8</v>
      </c>
      <c r="J9" s="4" t="n">
        <f aca="false">Assumptions!J29</f>
        <v>1.8</v>
      </c>
      <c r="K9" s="4" t="n">
        <f aca="false">Assumptions!K29</f>
        <v>1.8</v>
      </c>
      <c r="L9" s="4" t="n">
        <f aca="false">Assumptions!L29</f>
        <v>1.8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-13.955082</v>
      </c>
      <c r="D10" s="0" t="n">
        <f aca="false">-D6*D9/100</f>
        <v>-15.21103938</v>
      </c>
      <c r="E10" s="0" t="n">
        <f aca="false">-E6*E9/100</f>
        <v>-16.4279225304</v>
      </c>
      <c r="F10" s="0" t="n">
        <f aca="false">-F6*F9/100</f>
        <v>-17.742156332832</v>
      </c>
      <c r="G10" s="0" t="n">
        <f aca="false">-G6*G9/100</f>
        <v>-18.9841072761303</v>
      </c>
      <c r="H10" s="0" t="n">
        <f aca="false">-H6*H9/100</f>
        <v>-18.1108383414283</v>
      </c>
      <c r="I10" s="0" t="n">
        <f aca="false">-I6*I9/100</f>
        <v>-19.0163802584997</v>
      </c>
      <c r="J10" s="0" t="n">
        <f aca="false">-J6*J9/100</f>
        <v>-19.7770354688397</v>
      </c>
      <c r="K10" s="0" t="n">
        <f aca="false">-K6*K9/100</f>
        <v>-20.469231710249</v>
      </c>
      <c r="L10" s="0" t="n">
        <f aca="false">-L6*L9/100</f>
        <v>-21.0833086615565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212.8150005</v>
      </c>
      <c r="D11" s="0" t="n">
        <f aca="false">D8+D10+D24</f>
        <v>231.968350545</v>
      </c>
      <c r="E11" s="0" t="n">
        <f aca="false">E8+E10+E24</f>
        <v>246.418837956</v>
      </c>
      <c r="F11" s="0" t="n">
        <f aca="false">F8+F10+F24</f>
        <v>266.13234499248</v>
      </c>
      <c r="G11" s="0" t="n">
        <f aca="false">G8+G10+G24</f>
        <v>284.761609141954</v>
      </c>
      <c r="H11" s="0" t="n">
        <f aca="false">H8+H10+H24</f>
        <v>303.859621061741</v>
      </c>
      <c r="I11" s="0" t="n">
        <f aca="false">I8+I10+I24</f>
        <v>319.052602114828</v>
      </c>
      <c r="J11" s="0" t="n">
        <f aca="false">J8+J10+J24</f>
        <v>331.814706199421</v>
      </c>
      <c r="K11" s="0" t="n">
        <f aca="false">K8+K10+K24</f>
        <v>343.428220916401</v>
      </c>
      <c r="L11" s="0" t="n">
        <f aca="false">L8+L10+L24</f>
        <v>353.731067543893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-3.13989345</v>
      </c>
      <c r="D12" s="4" t="n">
        <f aca="false">-D6*Assumptions!D31/100</f>
        <v>-3.4224838605</v>
      </c>
      <c r="E12" s="4" t="n">
        <f aca="false">-E6*Assumptions!E31/100</f>
        <v>-3.69628256934</v>
      </c>
      <c r="F12" s="4" t="n">
        <f aca="false">-F6*Assumptions!F31/100</f>
        <v>-3.9919851748872</v>
      </c>
      <c r="G12" s="4" t="n">
        <f aca="false">-G6*Assumptions!G31/100</f>
        <v>-4.27142413712931</v>
      </c>
      <c r="H12" s="4" t="n">
        <f aca="false">-H6*Assumptions!H31/100</f>
        <v>-4.52770958535707</v>
      </c>
      <c r="I12" s="4" t="n">
        <f aca="false">-I6*Assumptions!I31/100</f>
        <v>-4.75409506462492</v>
      </c>
      <c r="J12" s="4" t="n">
        <f aca="false">-J6*Assumptions!J31/100</f>
        <v>-4.94425886720992</v>
      </c>
      <c r="K12" s="4" t="n">
        <f aca="false">-K6*Assumptions!K31/100</f>
        <v>-5.11730792756226</v>
      </c>
      <c r="L12" s="4" t="n">
        <f aca="false">-L6*Assumptions!L31/100</f>
        <v>-5.27082716538913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209.67510705</v>
      </c>
      <c r="D13" s="0" t="n">
        <f aca="false">D11+D12</f>
        <v>228.5458666845</v>
      </c>
      <c r="E13" s="0" t="n">
        <f aca="false">E11+E12</f>
        <v>242.72255538666</v>
      </c>
      <c r="F13" s="0" t="n">
        <f aca="false">F11+F12</f>
        <v>262.140359817593</v>
      </c>
      <c r="G13" s="0" t="n">
        <f aca="false">G11+G12</f>
        <v>280.490185004824</v>
      </c>
      <c r="H13" s="0" t="n">
        <f aca="false">H11+H12</f>
        <v>299.331911476384</v>
      </c>
      <c r="I13" s="0" t="n">
        <f aca="false">I11+I12</f>
        <v>314.298507050203</v>
      </c>
      <c r="J13" s="0" t="n">
        <f aca="false">J11+J12</f>
        <v>326.870447332211</v>
      </c>
      <c r="K13" s="0" t="n">
        <f aca="false">K11+K12</f>
        <v>338.310912988838</v>
      </c>
      <c r="L13" s="0" t="n">
        <f aca="false">L11+L12</f>
        <v>348.460240378504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161.4498324285</v>
      </c>
      <c r="D15" s="0" t="n">
        <f aca="false">D13-MAX(0,D13)*D14/100</f>
        <v>175.980317347065</v>
      </c>
      <c r="E15" s="0" t="n">
        <f aca="false">E13-MAX(0,E13)*E14/100</f>
        <v>186.896367647728</v>
      </c>
      <c r="F15" s="0" t="n">
        <f aca="false">F13-MAX(0,F13)*F14/100</f>
        <v>201.848077059547</v>
      </c>
      <c r="G15" s="0" t="n">
        <f aca="false">G13-MAX(0,G13)*G14/100</f>
        <v>215.977442453715</v>
      </c>
      <c r="H15" s="0" t="n">
        <f aca="false">H13-MAX(0,H13)*H14/100</f>
        <v>230.485571836816</v>
      </c>
      <c r="I15" s="0" t="n">
        <f aca="false">I13-MAX(0,I13)*I14/100</f>
        <v>242.009850428656</v>
      </c>
      <c r="J15" s="0" t="n">
        <f aca="false">J13-MAX(0,J13)*J14/100</f>
        <v>251.690244445803</v>
      </c>
      <c r="K15" s="0" t="n">
        <f aca="false">K13-MAX(0,K13)*K14/100</f>
        <v>260.499403001406</v>
      </c>
      <c r="L15" s="0" t="n">
        <f aca="false">L13-MAX(0,L13)*L14/100</f>
        <v>268.314385091448</v>
      </c>
    </row>
    <row r="16" customFormat="false" ht="15" hidden="false" customHeight="false" outlineLevel="0" collapsed="false">
      <c r="A16" s="0" t="s">
        <v>118</v>
      </c>
      <c r="C16" s="0" t="n">
        <f aca="false">-C12</f>
        <v>3.13989345</v>
      </c>
      <c r="D16" s="0" t="n">
        <f aca="false">-D12</f>
        <v>3.4224838605</v>
      </c>
      <c r="E16" s="0" t="n">
        <f aca="false">-E12</f>
        <v>3.69628256934</v>
      </c>
      <c r="F16" s="0" t="n">
        <f aca="false">-F12</f>
        <v>3.9919851748872</v>
      </c>
      <c r="G16" s="0" t="n">
        <f aca="false">-G12</f>
        <v>4.27142413712931</v>
      </c>
      <c r="H16" s="0" t="n">
        <f aca="false">-H12</f>
        <v>4.52770958535707</v>
      </c>
      <c r="I16" s="0" t="n">
        <f aca="false">-I12</f>
        <v>4.75409506462492</v>
      </c>
      <c r="J16" s="0" t="n">
        <f aca="false">-J12</f>
        <v>4.94425886720992</v>
      </c>
      <c r="K16" s="0" t="n">
        <f aca="false">-K12</f>
        <v>5.11730792756226</v>
      </c>
      <c r="L16" s="0" t="n">
        <f aca="false">-L12</f>
        <v>5.27082716538913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-4.8842787</v>
      </c>
      <c r="D17" s="4" t="n">
        <f aca="false">-D6*Assumptions!D32/100</f>
        <v>-5.323863783</v>
      </c>
      <c r="E17" s="4" t="n">
        <f aca="false">-E6*Assumptions!E32/100</f>
        <v>-5.74977288564</v>
      </c>
      <c r="F17" s="4" t="n">
        <f aca="false">-F6*Assumptions!F32/100</f>
        <v>-6.2097547164912</v>
      </c>
      <c r="G17" s="4" t="n">
        <f aca="false">-G6*Assumptions!G32/100</f>
        <v>-6.64443754664559</v>
      </c>
      <c r="H17" s="4" t="n">
        <f aca="false">-H6*Assumptions!H32/100</f>
        <v>-7.04310379944432</v>
      </c>
      <c r="I17" s="4" t="n">
        <f aca="false">-I6*Assumptions!I32/100</f>
        <v>-7.39525898941654</v>
      </c>
      <c r="J17" s="4" t="n">
        <f aca="false">-J6*Assumptions!J32/100</f>
        <v>-7.6910693489932</v>
      </c>
      <c r="K17" s="4" t="n">
        <f aca="false">-K6*Assumptions!K32/100</f>
        <v>-7.96025677620796</v>
      </c>
      <c r="L17" s="4" t="n">
        <f aca="false">-L6*Assumptions!L32/100</f>
        <v>-8.1990644794942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-102.82692</v>
      </c>
      <c r="D18" s="4" t="n">
        <f aca="false">(D6-C6)*Assumptions!$B$37/100</f>
        <v>-75.3574428000001</v>
      </c>
      <c r="E18" s="4" t="n">
        <f aca="false">(E6-D6)*Assumptions!$B$37/100</f>
        <v>-73.0129890240001</v>
      </c>
      <c r="F18" s="4" t="n">
        <f aca="false">(F6-E6)*Assumptions!$B$37/100</f>
        <v>-78.8540281459201</v>
      </c>
      <c r="G18" s="4" t="n">
        <f aca="false">(G6-F6)*Assumptions!$B$37/100</f>
        <v>-74.5170565978945</v>
      </c>
      <c r="H18" s="4" t="n">
        <f aca="false">(H6-G6)*Assumptions!$B$37/100</f>
        <v>-68.342786194069</v>
      </c>
      <c r="I18" s="4" t="n">
        <f aca="false">(I6-H6)*Assumptions!$B$37/100</f>
        <v>-60.3694611380943</v>
      </c>
      <c r="J18" s="4" t="n">
        <f aca="false">(J6-I6)*Assumptions!$B$37/100</f>
        <v>-50.7103473559992</v>
      </c>
      <c r="K18" s="4" t="n">
        <f aca="false">(K6-J6)*Assumptions!$B$37/100</f>
        <v>-46.1464160939591</v>
      </c>
      <c r="L18" s="4" t="n">
        <f aca="false">(L6-K6)*Assumptions!$B$37/100</f>
        <v>-40.938463420498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56.8785271785</v>
      </c>
      <c r="D19" s="0" t="n">
        <f aca="false">D15+D16+D17+D18</f>
        <v>98.7214946245649</v>
      </c>
      <c r="E19" s="0" t="n">
        <f aca="false">E15+E16+E17+E18</f>
        <v>111.829888307428</v>
      </c>
      <c r="F19" s="0" t="n">
        <f aca="false">F15+F16+F17+F18</f>
        <v>120.776279372022</v>
      </c>
      <c r="G19" s="0" t="n">
        <f aca="false">G15+G16+G17+G18</f>
        <v>139.087372446304</v>
      </c>
      <c r="H19" s="0" t="n">
        <f aca="false">H15+H16+H17+H18</f>
        <v>159.627391428659</v>
      </c>
      <c r="I19" s="0" t="n">
        <f aca="false">I15+I16+I17+I18</f>
        <v>178.99922536577</v>
      </c>
      <c r="J19" s="0" t="n">
        <f aca="false">J15+J16+J17+J18</f>
        <v>198.23308660802</v>
      </c>
      <c r="K19" s="0" t="n">
        <f aca="false">K15+K16+K17+K18</f>
        <v>211.510038058801</v>
      </c>
      <c r="L19" s="0" t="n">
        <f aca="false">L15+L16+L17+L18</f>
        <v>224.447684356845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50.5586908253333</v>
      </c>
      <c r="D21" s="0" t="n">
        <f aca="false">D19*D20</f>
        <v>78.0021685922488</v>
      </c>
      <c r="E21" s="0" t="n">
        <f aca="false">E19*E20</f>
        <v>78.5417048194832</v>
      </c>
      <c r="F21" s="0" t="n">
        <f aca="false">F19*F20</f>
        <v>75.4000366267038</v>
      </c>
      <c r="G21" s="0" t="n">
        <f aca="false">G19*G20</f>
        <v>77.1836105661483</v>
      </c>
      <c r="H21" s="0" t="n">
        <f aca="false">H19*H20</f>
        <v>78.7394327849647</v>
      </c>
      <c r="I21" s="0" t="n">
        <f aca="false">I19*I20</f>
        <v>78.4844274496188</v>
      </c>
      <c r="J21" s="0" t="n">
        <f aca="false">J19*J20</f>
        <v>77.2602241264662</v>
      </c>
      <c r="K21" s="0" t="n">
        <f aca="false">K19*K20</f>
        <v>73.2754140874717</v>
      </c>
      <c r="L21" s="0" t="n">
        <f aca="false">L19*L20</f>
        <v>69.1177997483231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12.5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736.563509626762</v>
      </c>
    </row>
    <row r="31" customFormat="false" ht="15" hidden="false" customHeight="false" outlineLevel="0" collapsed="false">
      <c r="A31" s="0" t="s">
        <v>127</v>
      </c>
      <c r="B31" s="0" t="n">
        <f aca="false">L19</f>
        <v>224.447684356845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2433.48541986895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2693.37221228214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2433.48541986895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749.382460429187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1485.94597005595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1485.94597005595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8.030404075097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0.930385594975241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96.1355072045002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70.3926251859475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8.93036155667097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1926.50929072958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6.1000700305916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16</v>
      </c>
      <c r="D5" s="4" t="n">
        <f aca="false">Assumptions!D41</f>
        <v>14</v>
      </c>
      <c r="E5" s="4" t="n">
        <f aca="false">Assumptions!E41</f>
        <v>12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612.065</v>
      </c>
      <c r="C6" s="0" t="n">
        <f aca="false">B6*(1+C5/100)</f>
        <v>709.9954</v>
      </c>
      <c r="D6" s="0" t="n">
        <f aca="false">C6*(1+D5/100)</f>
        <v>809.394756</v>
      </c>
      <c r="E6" s="0" t="n">
        <f aca="false">D6*(1+E5/100)</f>
        <v>906.52212672</v>
      </c>
      <c r="F6" s="0" t="n">
        <f aca="false">E6*(1+F5/100)</f>
        <v>997.174339392</v>
      </c>
      <c r="G6" s="0" t="n">
        <f aca="false">F6*(1+G5/100)</f>
        <v>1086.92002993728</v>
      </c>
      <c r="H6" s="0" t="n">
        <f aca="false">G6*(1+H5/100)</f>
        <v>1173.87363233226</v>
      </c>
      <c r="I6" s="0" t="n">
        <f aca="false">H6*(1+I5/100)</f>
        <v>1256.04478659552</v>
      </c>
      <c r="J6" s="0" t="n">
        <f aca="false">I6*(1+J5/100)</f>
        <v>1331.40747379125</v>
      </c>
      <c r="K6" s="0" t="n">
        <f aca="false">J6*(1+K5/100)</f>
        <v>1397.97784748082</v>
      </c>
      <c r="L6" s="0" t="n">
        <f aca="false">K6*(1+L5/100)</f>
        <v>1453.89696138005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33</v>
      </c>
      <c r="D7" s="4" t="n">
        <f aca="false">Assumptions!D42</f>
        <v>34</v>
      </c>
      <c r="E7" s="4" t="n">
        <f aca="false">Assumptions!E42</f>
        <v>35</v>
      </c>
      <c r="F7" s="4" t="n">
        <f aca="false">Assumptions!F42</f>
        <v>35</v>
      </c>
      <c r="G7" s="4" t="n">
        <f aca="false">Assumptions!G42</f>
        <v>35</v>
      </c>
      <c r="H7" s="4" t="n">
        <f aca="false">Assumptions!H42</f>
        <v>35</v>
      </c>
      <c r="I7" s="4" t="n">
        <f aca="false">Assumptions!I42</f>
        <v>35</v>
      </c>
      <c r="J7" s="4" t="n">
        <f aca="false">Assumptions!J42</f>
        <v>35</v>
      </c>
      <c r="K7" s="4" t="n">
        <f aca="false">Assumptions!K42</f>
        <v>35</v>
      </c>
      <c r="L7" s="4" t="n">
        <f aca="false">Assumptions!L42</f>
        <v>35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234.298482</v>
      </c>
      <c r="D8" s="0" t="n">
        <f aca="false">D6*D7/100</f>
        <v>275.19421704</v>
      </c>
      <c r="E8" s="0" t="n">
        <f aca="false">E6*E7/100</f>
        <v>317.282744352</v>
      </c>
      <c r="F8" s="0" t="n">
        <f aca="false">F6*F7/100</f>
        <v>349.0110187872</v>
      </c>
      <c r="G8" s="0" t="n">
        <f aca="false">G6*G7/100</f>
        <v>380.422010478048</v>
      </c>
      <c r="H8" s="0" t="n">
        <f aca="false">H6*H7/100</f>
        <v>410.855771316292</v>
      </c>
      <c r="I8" s="0" t="n">
        <f aca="false">I6*I7/100</f>
        <v>439.615675308433</v>
      </c>
      <c r="J8" s="0" t="n">
        <f aca="false">J6*J7/100</f>
        <v>465.992615826939</v>
      </c>
      <c r="K8" s="0" t="n">
        <f aca="false">K6*K7/100</f>
        <v>489.292246618286</v>
      </c>
      <c r="L8" s="0" t="n">
        <f aca="false">L6*L7/100</f>
        <v>508.863936483017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2</v>
      </c>
      <c r="D9" s="4" t="n">
        <f aca="false">Assumptions!D43</f>
        <v>2</v>
      </c>
      <c r="E9" s="4" t="n">
        <f aca="false">Assumptions!E43</f>
        <v>1.9</v>
      </c>
      <c r="F9" s="4" t="n">
        <f aca="false">Assumptions!F43</f>
        <v>1.9</v>
      </c>
      <c r="G9" s="4" t="n">
        <f aca="false">Assumptions!G43</f>
        <v>1.8</v>
      </c>
      <c r="H9" s="4" t="n">
        <f aca="false">Assumptions!H43</f>
        <v>1.8</v>
      </c>
      <c r="I9" s="4" t="n">
        <f aca="false">Assumptions!I43</f>
        <v>1.8</v>
      </c>
      <c r="J9" s="4" t="n">
        <f aca="false">Assumptions!J43</f>
        <v>1.8</v>
      </c>
      <c r="K9" s="4" t="n">
        <f aca="false">Assumptions!K43</f>
        <v>1.8</v>
      </c>
      <c r="L9" s="4" t="n">
        <f aca="false">Assumptions!L43</f>
        <v>1.8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-14.199908</v>
      </c>
      <c r="D10" s="0" t="n">
        <f aca="false">-D6*D9/100</f>
        <v>-16.18789512</v>
      </c>
      <c r="E10" s="0" t="n">
        <f aca="false">-E6*E9/100</f>
        <v>-17.22392040768</v>
      </c>
      <c r="F10" s="0" t="n">
        <f aca="false">-F6*F9/100</f>
        <v>-18.946312448448</v>
      </c>
      <c r="G10" s="0" t="n">
        <f aca="false">-G6*G9/100</f>
        <v>-19.5645605388711</v>
      </c>
      <c r="H10" s="0" t="n">
        <f aca="false">-H6*H9/100</f>
        <v>-21.1297253819807</v>
      </c>
      <c r="I10" s="0" t="n">
        <f aca="false">-I6*I9/100</f>
        <v>-22.6088061587194</v>
      </c>
      <c r="J10" s="0" t="n">
        <f aca="false">-J6*J9/100</f>
        <v>-23.9653345282426</v>
      </c>
      <c r="K10" s="0" t="n">
        <f aca="false">-K6*K9/100</f>
        <v>-25.1636012546547</v>
      </c>
      <c r="L10" s="0" t="n">
        <f aca="false">-L6*L9/100</f>
        <v>-26.1701453048409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220.098574</v>
      </c>
      <c r="D11" s="0" t="n">
        <f aca="false">D8+D10+D24</f>
        <v>259.00632192</v>
      </c>
      <c r="E11" s="0" t="n">
        <f aca="false">E8+E10+E24</f>
        <v>300.05882394432</v>
      </c>
      <c r="F11" s="0" t="n">
        <f aca="false">F8+F10+F24</f>
        <v>330.064706338752</v>
      </c>
      <c r="G11" s="0" t="n">
        <f aca="false">G8+G10+G24</f>
        <v>360.857449939177</v>
      </c>
      <c r="H11" s="0" t="n">
        <f aca="false">H8+H10+H24</f>
        <v>389.726045934311</v>
      </c>
      <c r="I11" s="0" t="n">
        <f aca="false">I8+I10+I24</f>
        <v>417.006869149713</v>
      </c>
      <c r="J11" s="0" t="n">
        <f aca="false">J8+J10+J24</f>
        <v>442.027281298696</v>
      </c>
      <c r="K11" s="0" t="n">
        <f aca="false">K8+K10+K24</f>
        <v>464.128645363631</v>
      </c>
      <c r="L11" s="0" t="n">
        <f aca="false">L8+L10+L24</f>
        <v>482.693791178176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-3.1949793</v>
      </c>
      <c r="D12" s="4" t="n">
        <f aca="false">-D6*Assumptions!D45/100</f>
        <v>-3.642276402</v>
      </c>
      <c r="E12" s="4" t="n">
        <f aca="false">-E6*Assumptions!E45/100</f>
        <v>-4.07934957024</v>
      </c>
      <c r="F12" s="4" t="n">
        <f aca="false">-F6*Assumptions!F45/100</f>
        <v>-4.487284527264</v>
      </c>
      <c r="G12" s="4" t="n">
        <f aca="false">-G6*Assumptions!G45/100</f>
        <v>-4.89114013471776</v>
      </c>
      <c r="H12" s="4" t="n">
        <f aca="false">-H6*Assumptions!H45/100</f>
        <v>-5.28243134549518</v>
      </c>
      <c r="I12" s="4" t="n">
        <f aca="false">-I6*Assumptions!I45/100</f>
        <v>-5.65220153967985</v>
      </c>
      <c r="J12" s="4" t="n">
        <f aca="false">-J6*Assumptions!J45/100</f>
        <v>-5.99133363206064</v>
      </c>
      <c r="K12" s="4" t="n">
        <f aca="false">-K6*Assumptions!K45/100</f>
        <v>-6.29090031366367</v>
      </c>
      <c r="L12" s="4" t="n">
        <f aca="false">-L6*Assumptions!L45/100</f>
        <v>-6.54253632621022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216.9035947</v>
      </c>
      <c r="D13" s="0" t="n">
        <f aca="false">D11+D12</f>
        <v>255.364045518</v>
      </c>
      <c r="E13" s="0" t="n">
        <f aca="false">E11+E12</f>
        <v>295.97947437408</v>
      </c>
      <c r="F13" s="0" t="n">
        <f aca="false">F11+F12</f>
        <v>325.577421811488</v>
      </c>
      <c r="G13" s="0" t="n">
        <f aca="false">G11+G12</f>
        <v>355.966309804459</v>
      </c>
      <c r="H13" s="0" t="n">
        <f aca="false">H11+H12</f>
        <v>384.443614588816</v>
      </c>
      <c r="I13" s="0" t="n">
        <f aca="false">I11+I12</f>
        <v>411.354667610033</v>
      </c>
      <c r="J13" s="0" t="n">
        <f aca="false">J11+J12</f>
        <v>436.035947666635</v>
      </c>
      <c r="K13" s="0" t="n">
        <f aca="false">K11+K12</f>
        <v>457.837745049967</v>
      </c>
      <c r="L13" s="0" t="n">
        <f aca="false">L11+L12</f>
        <v>476.151254851966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171.353839813</v>
      </c>
      <c r="D15" s="0" t="n">
        <f aca="false">D13-MAX(0,D13)*D14/100</f>
        <v>201.73759595922</v>
      </c>
      <c r="E15" s="0" t="n">
        <f aca="false">E13-MAX(0,E13)*E14/100</f>
        <v>233.823784755523</v>
      </c>
      <c r="F15" s="0" t="n">
        <f aca="false">F13-MAX(0,F13)*F14/100</f>
        <v>257.206163231076</v>
      </c>
      <c r="G15" s="0" t="n">
        <f aca="false">G13-MAX(0,G13)*G14/100</f>
        <v>281.213384745523</v>
      </c>
      <c r="H15" s="0" t="n">
        <f aca="false">H13-MAX(0,H13)*H14/100</f>
        <v>303.710455525165</v>
      </c>
      <c r="I15" s="0" t="n">
        <f aca="false">I13-MAX(0,I13)*I14/100</f>
        <v>324.970187411926</v>
      </c>
      <c r="J15" s="0" t="n">
        <f aca="false">J13-MAX(0,J13)*J14/100</f>
        <v>344.468398656642</v>
      </c>
      <c r="K15" s="0" t="n">
        <f aca="false">K13-MAX(0,K13)*K14/100</f>
        <v>361.691818589474</v>
      </c>
      <c r="L15" s="0" t="n">
        <f aca="false">L13-MAX(0,L13)*L14/100</f>
        <v>376.159491333053</v>
      </c>
    </row>
    <row r="16" customFormat="false" ht="15" hidden="false" customHeight="false" outlineLevel="0" collapsed="false">
      <c r="A16" s="0" t="s">
        <v>118</v>
      </c>
      <c r="C16" s="0" t="n">
        <f aca="false">-C12</f>
        <v>3.1949793</v>
      </c>
      <c r="D16" s="0" t="n">
        <f aca="false">-D12</f>
        <v>3.642276402</v>
      </c>
      <c r="E16" s="0" t="n">
        <f aca="false">-E12</f>
        <v>4.07934957024</v>
      </c>
      <c r="F16" s="0" t="n">
        <f aca="false">-F12</f>
        <v>4.487284527264</v>
      </c>
      <c r="G16" s="0" t="n">
        <f aca="false">-G12</f>
        <v>4.89114013471776</v>
      </c>
      <c r="H16" s="0" t="n">
        <f aca="false">-H12</f>
        <v>5.28243134549518</v>
      </c>
      <c r="I16" s="0" t="n">
        <f aca="false">-I12</f>
        <v>5.65220153967985</v>
      </c>
      <c r="J16" s="0" t="n">
        <f aca="false">-J12</f>
        <v>5.99133363206064</v>
      </c>
      <c r="K16" s="0" t="n">
        <f aca="false">-K12</f>
        <v>6.29090031366367</v>
      </c>
      <c r="L16" s="0" t="n">
        <f aca="false">-L12</f>
        <v>6.54253632621022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-4.9699678</v>
      </c>
      <c r="D17" s="4" t="n">
        <f aca="false">-D6*Assumptions!D46/100</f>
        <v>-5.665763292</v>
      </c>
      <c r="E17" s="4" t="n">
        <f aca="false">-E6*Assumptions!E46/100</f>
        <v>-6.34565488704</v>
      </c>
      <c r="F17" s="4" t="n">
        <f aca="false">-F6*Assumptions!F46/100</f>
        <v>-6.980220375744</v>
      </c>
      <c r="G17" s="4" t="n">
        <f aca="false">-G6*Assumptions!G46/100</f>
        <v>-7.60844020956096</v>
      </c>
      <c r="H17" s="4" t="n">
        <f aca="false">-H6*Assumptions!H46/100</f>
        <v>-8.21711542632584</v>
      </c>
      <c r="I17" s="4" t="n">
        <f aca="false">-I6*Assumptions!I46/100</f>
        <v>-8.79231350616865</v>
      </c>
      <c r="J17" s="4" t="n">
        <f aca="false">-J6*Assumptions!J46/100</f>
        <v>-9.31985231653877</v>
      </c>
      <c r="K17" s="4" t="n">
        <f aca="false">-K6*Assumptions!K46/100</f>
        <v>-9.78584493236571</v>
      </c>
      <c r="L17" s="4" t="n">
        <f aca="false">-L6*Assumptions!L46/100</f>
        <v>-10.1772787296603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-97.9304</v>
      </c>
      <c r="D18" s="4" t="n">
        <f aca="false">(D6-C6)*Assumptions!$B$51/100</f>
        <v>-99.3993560000001</v>
      </c>
      <c r="E18" s="4" t="n">
        <f aca="false">(E6-D6)*Assumptions!$B$51/100</f>
        <v>-97.1273707200002</v>
      </c>
      <c r="F18" s="4" t="n">
        <f aca="false">(F6-E6)*Assumptions!$B$51/100</f>
        <v>-90.6522126720001</v>
      </c>
      <c r="G18" s="4" t="n">
        <f aca="false">(G6-F6)*Assumptions!$B$51/100</f>
        <v>-89.7456905452801</v>
      </c>
      <c r="H18" s="4" t="n">
        <f aca="false">(H6-G6)*Assumptions!$B$51/100</f>
        <v>-86.9536023949824</v>
      </c>
      <c r="I18" s="4" t="n">
        <f aca="false">(I6-H6)*Assumptions!$B$51/100</f>
        <v>-82.1711542632586</v>
      </c>
      <c r="J18" s="4" t="n">
        <f aca="false">(J6-I6)*Assumptions!$B$51/100</f>
        <v>-75.3626871957313</v>
      </c>
      <c r="K18" s="4" t="n">
        <f aca="false">(K6-J6)*Assumptions!$B$51/100</f>
        <v>-66.5703736895628</v>
      </c>
      <c r="L18" s="4" t="n">
        <f aca="false">(L6-K6)*Assumptions!$B$51/100</f>
        <v>-55.9191138992326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71.648451313</v>
      </c>
      <c r="D19" s="0" t="n">
        <f aca="false">D15+D16+D17+D18</f>
        <v>100.31475306922</v>
      </c>
      <c r="E19" s="0" t="n">
        <f aca="false">E15+E16+E17+E18</f>
        <v>134.430108718723</v>
      </c>
      <c r="F19" s="0" t="n">
        <f aca="false">F15+F16+F17+F18</f>
        <v>164.061014710596</v>
      </c>
      <c r="G19" s="0" t="n">
        <f aca="false">G15+G16+G17+G18</f>
        <v>188.7503941254</v>
      </c>
      <c r="H19" s="0" t="n">
        <f aca="false">H15+H16+H17+H18</f>
        <v>213.822169049352</v>
      </c>
      <c r="I19" s="0" t="n">
        <f aca="false">I15+I16+I17+I18</f>
        <v>239.658921182179</v>
      </c>
      <c r="J19" s="0" t="n">
        <f aca="false">J15+J16+J17+J18</f>
        <v>265.777192776433</v>
      </c>
      <c r="K19" s="0" t="n">
        <f aca="false">K15+K16+K17+K18</f>
        <v>291.626500281209</v>
      </c>
      <c r="L19" s="0" t="n">
        <f aca="false">L15+L16+L17+L18</f>
        <v>316.60563503037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63.6875122782222</v>
      </c>
      <c r="D21" s="0" t="n">
        <f aca="false">D19*D20</f>
        <v>79.2610394620997</v>
      </c>
      <c r="E21" s="0" t="n">
        <f aca="false">E19*E20</f>
        <v>94.4145619533419</v>
      </c>
      <c r="F21" s="0" t="n">
        <f aca="false">F19*F20</f>
        <v>102.422483806523</v>
      </c>
      <c r="G21" s="0" t="n">
        <f aca="false">G19*G20</f>
        <v>104.743059403226</v>
      </c>
      <c r="H21" s="0" t="n">
        <f aca="false">H19*H20</f>
        <v>105.472100728535</v>
      </c>
      <c r="I21" s="0" t="n">
        <f aca="false">I19*I20</f>
        <v>105.081422412533</v>
      </c>
      <c r="J21" s="0" t="n">
        <f aca="false">J19*J20</f>
        <v>103.585157417306</v>
      </c>
      <c r="K21" s="0" t="n">
        <f aca="false">K19*K20</f>
        <v>101.030914480972</v>
      </c>
      <c r="L21" s="0" t="n">
        <f aca="false">L19*L20</f>
        <v>97.4974856342396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12.5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957.195737576998</v>
      </c>
    </row>
    <row r="31" customFormat="false" ht="15" hidden="false" customHeight="false" outlineLevel="0" collapsed="false">
      <c r="A31" s="0" t="s">
        <v>127</v>
      </c>
      <c r="B31" s="0" t="n">
        <f aca="false">L19</f>
        <v>316.60563503037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3432.67162190823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3799.26762036444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3432.67162190823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1057.07800213965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2014.27373971665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2014.27373971665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10.8856125146814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1.61673377756765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106.647303615387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87.3764767701998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11.9341629923381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2717.53170067735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8.19553497041097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4.40596180142877</v>
      </c>
      <c r="C4" s="0" t="n">
        <f aca="false">B4/Assumptions!$B$2-1</f>
        <v>0.0591254330357627</v>
      </c>
      <c r="D4" s="4" t="n">
        <f aca="false">Assumptions!$B$24</f>
        <v>0.3</v>
      </c>
      <c r="E4" s="4" t="n">
        <f aca="false">DCF_Bear!$B$43</f>
        <v>5.13733842424696</v>
      </c>
      <c r="F4" s="4" t="n">
        <f aca="false">DCF_Bear!$B$47</f>
        <v>3.48404410291845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8.030404075097</v>
      </c>
      <c r="C5" s="0" t="n">
        <f aca="false">B5/Assumptions!$B$2-1</f>
        <v>0.930385594975241</v>
      </c>
      <c r="D5" s="4" t="n">
        <f aca="false">Assumptions!$B$38</f>
        <v>0.5</v>
      </c>
      <c r="E5" s="4" t="n">
        <f aca="false">DCF_Base!$B$43</f>
        <v>8.93036155667097</v>
      </c>
      <c r="F5" s="4" t="n">
        <f aca="false">DCF_Base!$B$47</f>
        <v>6.1000700305916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10.8856125146814</v>
      </c>
      <c r="C6" s="0" t="n">
        <f aca="false">B6/Assumptions!$B$2-1</f>
        <v>1.61673377756765</v>
      </c>
      <c r="D6" s="4" t="n">
        <f aca="false">Assumptions!$B$52</f>
        <v>0.2</v>
      </c>
      <c r="E6" s="4" t="n">
        <f aca="false">DCF_Bull!$B$43</f>
        <v>11.9341629923381</v>
      </c>
      <c r="F6" s="4" t="n">
        <f aca="false">DCF_Bull!$B$47</f>
        <v>8.19553497041097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7.51411308091342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8.39321490407719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0.446375113708788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-381.538633243007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5.73435524025353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10.9169639219049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10.1343155123928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9.42017939114912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8.55085589106373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8.030404075097</v>
      </c>
      <c r="C19" s="3" t="n">
        <v>12.5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6.1000700305916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10.5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9.76912209701147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9.76912209701147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9.76912209701147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9.76912209701147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9.76912209701147</v>
      </c>
    </row>
    <row r="25" customFormat="false" ht="15" hidden="false" customHeight="false" outlineLevel="0" collapsed="false">
      <c r="A25" s="3" t="n">
        <v>11.5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8.57077908986015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8.83708425658934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9.08667071329966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9.08667071329966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9.08667071329966</v>
      </c>
    </row>
    <row r="26" customFormat="false" ht="15" hidden="false" customHeight="false" outlineLevel="0" collapsed="false">
      <c r="A26" s="3" t="n">
        <v>12.5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7.60913080590552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7.80923560877147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8.030404075097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8.2761468154587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8.46291129813359</v>
      </c>
    </row>
    <row r="27" customFormat="false" ht="15" hidden="false" customHeight="false" outlineLevel="0" collapsed="false">
      <c r="A27" s="3" t="n">
        <v>13.5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6.82188883163571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6.97526794905761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7.14325460147208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7.32803991912799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7.53227632285295</v>
      </c>
    </row>
    <row r="28" customFormat="false" ht="15" hidden="false" customHeight="false" outlineLevel="0" collapsed="false">
      <c r="A28" s="3" t="n">
        <v>14.5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6.16673809623985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6.28626863432367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6.41619313224087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6.55792894815054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6.71316341319447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2026-10-04T08:50:16Z</dcterms:created>
  <dc:creator>openpyxl</dc:creator>
  <dc:description/>
  <dc:language>en-NZ</dc:language>
  <cp:lastModifiedBy/>
  <dcterms:modified xsi:type="dcterms:W3CDTF">2026-10-04T08:50:16Z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