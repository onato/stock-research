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<sst xmlns="http://schemas.openxmlformats.org/spreadsheetml/2006/main" count="364" uniqueCount="171">
  <si>
    <t xml:space="preserve">Ticker</t>
  </si>
  <si>
    <t xml:space="preserve">RSG.AX</t>
  </si>
  <si>
    <t xml:space="preserve">Company</t>
  </si>
  <si>
    <t xml:space="preserve">Resolute Mining Limited</t>
  </si>
  <si>
    <t xml:space="preserve">Valuation date</t>
  </si>
  <si>
    <t xml:space="preserve">2026-09-25</t>
  </si>
  <si>
    <t xml:space="preserve">Current price</t>
  </si>
  <si>
    <t xml:space="preserve">Price as of</t>
  </si>
  <si>
    <t xml:space="preserve">2026-09-25T04:12:37Z regular session (ASX)</t>
  </si>
  <si>
    <t xml:space="preserve">Balance sheet date</t>
  </si>
  <si>
    <t xml:space="preserve">2025-12-31</t>
  </si>
  <si>
    <t xml:space="preserve">Model</t>
  </si>
  <si>
    <t xml:space="preserve">owner_fcf_dcf_component</t>
  </si>
  <si>
    <t xml:space="preserve">Currency (model)</t>
  </si>
  <si>
    <t xml:space="preserve">USD</t>
  </si>
  <si>
    <t xml:space="preserve">Currency (quote)</t>
  </si>
  <si>
    <t xml:space="preserve">AUD</t>
  </si>
  <si>
    <t xml:space="preserve">Units</t>
  </si>
  <si>
    <t xml:space="preserve">millions</t>
  </si>
  <si>
    <t xml:space="preserve">Engine</t>
  </si>
  <si>
    <t xml:space="preserve">dcf_engine v1</t>
  </si>
  <si>
    <t xml:space="preserve">Built at</t>
  </si>
  <si>
    <t xml:space="preserve">2026-09-25T04:39:51Z</t>
  </si>
  <si>
    <t xml:space="preserve">Drivers file</t>
  </si>
  <si>
    <t xml:space="preserve">RSG.AX_Drivers.json</t>
  </si>
  <si>
    <t xml:space="preserve">Convention</t>
  </si>
  <si>
    <t xml:space="preserve">Percents stored as percents; formulas divide by 100. Blue = input, green = link, black = formula.</t>
  </si>
  <si>
    <t xml:space="preserve">Methodology</t>
  </si>
  <si>
    <t xml:space="preserve">summary: Resolute is valued as an owner-FCF DCF on a mid-cycle gold price, not on spot. Three choices drive the number and are made explicit so they can be argued with. (1) Price: the base case deliberately walks realised gold from the US$4,712 achieved in H1-2026 down to US$3,000 by 2030 (the company's own Doropo DFS price), so the valuation does not rest on record gold persisting; the bull case is the plateau case and it too sits below today's spot from 2028. (2) Volume and capital: the value is mostly Doropo (first gold H1-2028) and a recovered Syama, which means 2026-27 owner FCF is near zero or negative while US$516m is spent; a 10-year horizon is used so the terminal year capitalises a ramped, steady-state producer rather than a construction year. (3) Jurisdiction: Mali risk is charged once, in the flows and weights (30% bear) plus a 1pp premium inside an 11% USD WACC applied identically to all scenarios; the 2024 Mali settlement (US$159.9m) is treated as sunk, and the lasting cost of the 2023 Mining Code is carried inside the Syama AISC and the 42-48% combined tax/NCI leakage. History matters less than usual: the reporting currency switched from AUD to USD in CY2019, and USD revenue growth since then is gold price rather than ounces (production fell 395koz to 277koz), so no historical CAGR is used as a forward driver. The balance sheet is anchored at 31-Dec-2025 with the Doropo deferred consideration (US$125m nominal) treated as debt and bullion excluded from cash because it was sold into H1-2026 revenue.
key_risks_to_valuation: Gold price: every US$100/oz on the mid-cycle assumption is roughly US$35-40m/yr of owner FCF at 450koz; the base already assumes a ~30% retreat from spot, so the risk is asymmetric to the upside on price alone but the bear ($2,600) is not remote.; Mali sovereign/security risk at Syama (~70% of near-term output): expropriation, further fiscal demands, or sustained explosives/logistics disruption; none of the three scenarios models loss of the asset.; Doropo execution: US$516m upfront capital, US$105m local bank financing not finalised at Sept-2026, first gold H1-2028; a one-year slip and 25% overrun are in the bear case only.; Mako mine life: stockpile processing ends ~2027; the base assumes no life extension, the bull assumes one.; Balance-sheet vintage: the H1-2026 interim (net cash US$317.4m at 30-Jun-26) is not yet extracted; the Dec-2025 anchor is used with H1-26 flows counted inside Y1. Re-anchor when the interim is extracted.; FX: intrinsic value is computed in USD and converted at 1.4249 USD/AUD; a 5% AUD move is ~A$0.05/share on the weighted IV.</t>
  </si>
  <si>
    <t xml:space="preserve">Data sources</t>
  </si>
  <si>
    <t xml:space="preserve">price: Yahoo Finance chart API at inputs.price_as_of; 52-week range A$0.783-1.685. AUD/USD from Yahoo AUDUSD=X, same session; gold spot from Yahoo GC=F.
financials: RSG.AX_Metrics.csv (core_metrics, USD millions from CY2019); CY2025 annual report (RSG.AX_Annual_FY2026.txt: P&amp;L analysis 3100-3130, financial position 3148-3166, financial liabilities 6460-6500, Doropo 2755-2800 and 6200-6215, 2026 guidance 2320-2410, EPS share counts 5764-5776); kpis table (AISC, production, realised price, cash taxes, NCI).
qualitative: RSG.AX_Analysis.json (2026-09-25): H1-2026 results of 2026-08-20 (revenue 584.7, 123,951 oz sold at $4,712/oz, EBITDA 323.9, NPAT 162.6, net cash 317.4) and the 2026-09-21 guidance cut (205-225koz at AISC $2,250-2,350/oz); Doropo DFS Dec-2025 (US$516m capital, ~170koz LOM / 204koz first five years, AISC $1,406/oz, NPV5 US$1.5bn at $3,000).</t>
  </si>
  <si>
    <t xml:space="preserve">Scenario narrative: bear</t>
  </si>
  <si>
    <t xml:space="preserve">The Sahel stays hard and gold gives back its 2025-26 run: Syama's A21 pit and explosives supply keep disrupting output through 2027; Mali applies the 2023 Mining Code in full (state take up, ~48% combined leakage); gold reverts to $2,600 (the CY-2024 average, still above the $1,950 reserve price) from 2028; Mako ends with its stockpiles; Doropo slips to 2029 and overruns to ~US$650m. Two years of negative owner FCF eat most of the June-2026 net cash, and the business emerges as a ~380koz producer at 30% margins capped at 10x. A Barrick-style expropriation or asset seizure at Syama is NOT in this path; it would take the bear value materially lower and is the reason the bear weight is 30%.</t>
  </si>
  <si>
    <t xml:space="preserve">Scenario narrative: base</t>
  </si>
  <si>
    <t xml:space="preserve">Gold glides from the ~$4,700 realised in H1-2026 to a $3,000 mid-cycle by 2030 while volumes roughly double: Syama recovers from the 2026 security/logistics disruptions as the sulphide conversion project (SSCP) reaches 4Mtpa, Doropo pours first gold in H1-2028 and ramps to ~200koz, and Mako's stockpiles run out around 2027-28 without a life extension. Owner FCF is roughly zero in 2026 and negative in 2027 (US$420m capex on a US$944m revenue year), then ~US$250m/yr from 2029. The valuation is therefore mostly Doropo-era cash flows discounted at 11%: terminal value is about half of EV, and the model implies an exit at 12x owner FCF.</t>
  </si>
  <si>
    <t xml:space="preserve">Scenario narrative: bull</t>
  </si>
  <si>
    <t xml:space="preserve">Gold holds a $3,600-4,500 plateau (still below today's spot from 2028 on), central-bank demand keeps the floor, and execution goes to plan: Syama North lifts Syama to 250koz, Doropo delivers its 204koz first-five-year average on time and budget, the Mako life extension is approved, and the group reaches the 500koz run-rate in 2029. Margins hold ~50%, the Cote d'Ivoire fiscal take lowers the blended leakage to 40%, and the 14x cap reflects a diversified three-country producer rather than a Mali single-asset story.</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</si>
  <si>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</si>
  <si>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</si>
  <si>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</si>
  <si>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</si>
  <si>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</si>
  <si>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</si>
  <si>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</si>
  <si>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</si>
  <si>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</si>
  <si>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</si>
  <si>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</si>
  <si>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</si>
  <si>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</si>
  <si>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</si>
  <si>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</si>
  <si>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</si>
  <si>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</si>
  <si>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</si>
  <si>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</si>
  <si>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</si>
  <si>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</si>
  <si>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</si>
  <si>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</si>
  <si>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</si>
  <si>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</si>
  <si>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</si>
  <si>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</si>
  <si>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AISC</t>
  </si>
  <si>
    <t xml:space="preserve">EPSDiluted</t>
  </si>
  <si>
    <t xml:space="preserve">GoldPriceAchieved</t>
  </si>
  <si>
    <t xml:space="preserve">GoldProduction</t>
  </si>
  <si>
    <t xml:space="preserve">ImpairmentExpense</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</si>
  <si>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</si>
  <si>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</si>
  <si>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</si>
  <si>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</si>
  <si>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</si>
  <si>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</si>
  <si>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</si>
  <si>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</si>
  <si>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</si>
  <si>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</si>
  <si>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</si>
  <si>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</si>
  <si>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</si>
  <si>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</si>
  <si>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</si>
  <si>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</si>
  <si>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</si>
  <si>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</si>
  <si>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</si>
  <si>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CY2025</t>
  </si>
  <si>
    <t xml:space="preserve">Currency / units</t>
  </si>
  <si>
    <t xml:space="preserve">USD millions</t>
  </si>
  <si>
    <t xml:space="preserve">FX rate (model -&gt; quote)</t>
  </si>
  <si>
    <t xml:space="preserve">BEAR</t>
  </si>
  <si>
    <t xml:space="preserve">CY2026</t>
  </si>
  <si>
    <t xml:space="preserve">CY2027</t>
  </si>
  <si>
    <t xml:space="preserve">CY2028</t>
  </si>
  <si>
    <t xml:space="preserve">CY2029</t>
  </si>
  <si>
    <t xml:space="preserve">CY2030</t>
  </si>
  <si>
    <t xml:space="preserve">CY2031</t>
  </si>
  <si>
    <t xml:space="preserve">CY2032</t>
  </si>
  <si>
    <t xml:space="preserve">CY2033</t>
  </si>
  <si>
    <t xml:space="preserve">CY2034</t>
  </si>
  <si>
    <t xml:space="preserve">CY2035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</si>
  <si>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</si>
  <si>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</si>
  <si>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</si>
  <si>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</si>
  <si>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</si>
  <si>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</si>
  <si>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</si>
  <si>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</si>
  <si>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</si>
  <si>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</si>
  <si>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</si>
  <si>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</si>
  <si>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</si>
  <si>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</si>
  <si>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RSG.AX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</si>
  <si>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</si>
  <si>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</si>
  <si>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</si>
  <si>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</si>
  <si>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</si>
  <si>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</si>
  <si>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</si>
  <si>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</si>
  <si>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</si>
  <si>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</si>
  <si>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</si>
  <si>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</si>
  <si>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</si>
  <si>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</si>
  <si>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</si>
  <si>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</si>
  <si>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</si>
  <si>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</si>
  <si>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</si>
  <si>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</si>
  <si>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</si>
  <si>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</si>
  <si>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</si>
  <si>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</si>
  <si>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</si>
  <si>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</si>
  <si>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</si>
  <si>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</si>
  <si>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</si>
  <si>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</si>
  <si>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RSG.AX owner-FCF component DCF: base case (millions, USD)</t>
  </si>
  <si>
    <t xml:space="preserve">RSG.AX owner-FCF component DCF: bull case (millions, USD)</t>
  </si>
  <si>
    <t xml:space="preserve">RSG.AX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</si>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</sst>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row>
    <row r="2" customFormat="false" ht="15" hidden="false" customHeight="false" outlineLevel="0" collapsed="false">
      <c r="A2" s="0" t="s">
        <v>69</v>
      </c>
      <c r="B2" s="0" t="n">
        <v>554.624</v>
      </c>
      <c r="C2" s="0" t="n">
        <v>399.913</v>
      </c>
      <c r="D2" s="0" t="n">
        <v>154.711</v>
      </c>
      <c r="E2" s="0" t="n">
        <v>27.9</v>
      </c>
      <c r="F2" s="0" t="n">
        <v>165.044</v>
      </c>
      <c r="G2" s="0" t="n">
        <v>29.8</v>
      </c>
      <c r="H2" s="0" t="n">
        <v>204.259</v>
      </c>
      <c r="I2" s="0" t="n">
        <v>171.957</v>
      </c>
      <c r="J2" s="0" t="n">
        <v>31</v>
      </c>
      <c r="K2" s="0" t="n">
        <v>0.2679</v>
      </c>
      <c r="L2" s="0" t="n">
        <v>192.797</v>
      </c>
      <c r="M2" s="0" t="n">
        <v>44.717</v>
      </c>
      <c r="N2" s="0" t="n">
        <v>148.08</v>
      </c>
      <c r="O2" s="0" t="n">
        <v>386.789</v>
      </c>
      <c r="P2" s="0" t="n">
        <v>492.341</v>
      </c>
      <c r="Q2" s="0" t="n">
        <v>153.927</v>
      </c>
      <c r="R2" s="0" t="n">
        <v>26.678</v>
      </c>
      <c r="S2" s="0" t="n">
        <v>79.873</v>
      </c>
      <c r="T2" s="0" t="n">
        <v>641.788</v>
      </c>
      <c r="U2" s="0" t="n">
        <v>1.585</v>
      </c>
      <c r="AA2" s="0" t="s">
        <v>18</v>
      </c>
      <c r="AB2" s="0" t="s">
        <v>16</v>
      </c>
    </row>
    <row r="3" customFormat="false" ht="15" hidden="false" customHeight="false" outlineLevel="0" collapsed="false">
      <c r="A3" s="0" t="s">
        <v>70</v>
      </c>
      <c r="B3" s="0" t="n">
        <v>541.177</v>
      </c>
      <c r="C3" s="0" t="n">
        <v>364.272</v>
      </c>
      <c r="D3" s="0" t="n">
        <v>176.905</v>
      </c>
      <c r="E3" s="0" t="n">
        <v>32.7</v>
      </c>
      <c r="F3" s="0" t="n">
        <v>169.424</v>
      </c>
      <c r="G3" s="0" t="n">
        <v>31.3</v>
      </c>
      <c r="H3" s="0" t="n">
        <v>189.234</v>
      </c>
      <c r="I3" s="0" t="n">
        <v>136.371</v>
      </c>
      <c r="J3" s="0" t="n">
        <v>25.2</v>
      </c>
      <c r="K3" s="0" t="n">
        <v>0.1905</v>
      </c>
      <c r="L3" s="0" t="n">
        <v>186.384</v>
      </c>
      <c r="M3" s="0" t="n">
        <v>119.737</v>
      </c>
      <c r="N3" s="0" t="n">
        <v>66.647</v>
      </c>
      <c r="O3" s="0" t="n">
        <v>666.728</v>
      </c>
      <c r="P3" s="0" t="n">
        <v>837.753</v>
      </c>
      <c r="Q3" s="0" t="n">
        <v>188.555</v>
      </c>
      <c r="R3" s="0" t="n">
        <v>34.558</v>
      </c>
      <c r="S3" s="0" t="n">
        <v>282.06</v>
      </c>
      <c r="T3" s="0" t="n">
        <v>715.9</v>
      </c>
      <c r="U3" s="0" t="n">
        <v>1.184</v>
      </c>
      <c r="AA3" s="0" t="s">
        <v>18</v>
      </c>
      <c r="AB3" s="0" t="s">
        <v>16</v>
      </c>
    </row>
    <row r="4" customFormat="false" ht="15" hidden="false" customHeight="false" outlineLevel="0" collapsed="false">
      <c r="A4" s="0" t="s">
        <v>71</v>
      </c>
      <c r="B4" s="0" t="n">
        <v>445.555</v>
      </c>
      <c r="C4" s="0" t="n">
        <v>376.231</v>
      </c>
      <c r="D4" s="0" t="n">
        <v>69.324</v>
      </c>
      <c r="E4" s="0" t="n">
        <v>15.6</v>
      </c>
      <c r="F4" s="0" t="n">
        <v>82.135</v>
      </c>
      <c r="G4" s="0" t="n">
        <v>18.4</v>
      </c>
      <c r="H4" s="0" t="n">
        <v>96.682</v>
      </c>
      <c r="I4" s="0" t="n">
        <v>65.57</v>
      </c>
      <c r="J4" s="0" t="n">
        <v>14.7</v>
      </c>
      <c r="K4" s="0" t="n">
        <v>0.0885</v>
      </c>
      <c r="L4" s="0" t="n">
        <v>28.359</v>
      </c>
      <c r="M4" s="0" t="n">
        <v>238.733</v>
      </c>
      <c r="N4" s="0" t="n">
        <v>-210.374</v>
      </c>
      <c r="O4" s="0" t="n">
        <v>716.056</v>
      </c>
      <c r="P4" s="0" t="n">
        <v>935.27</v>
      </c>
      <c r="Q4" s="0" t="n">
        <v>226.628</v>
      </c>
      <c r="R4" s="0" t="n">
        <v>47.282</v>
      </c>
      <c r="S4" s="0" t="n">
        <v>42.445</v>
      </c>
      <c r="T4" s="0" t="n">
        <v>740.9</v>
      </c>
      <c r="U4" s="0" t="n">
        <v>1.782</v>
      </c>
      <c r="AA4" s="0" t="s">
        <v>18</v>
      </c>
      <c r="AB4" s="0" t="s">
        <v>16</v>
      </c>
      <c r="AC4" s="0" t="n">
        <v>1052</v>
      </c>
      <c r="AF4" s="0" t="n">
        <v>284000</v>
      </c>
    </row>
    <row r="5" customFormat="false" ht="15" hidden="false" customHeight="false" outlineLevel="0" collapsed="false">
      <c r="A5" s="0" t="s">
        <v>72</v>
      </c>
      <c r="B5" s="0" t="n">
        <v>456.4</v>
      </c>
      <c r="C5" s="0" t="n">
        <v>414.192</v>
      </c>
      <c r="D5" s="0" t="n">
        <v>42.208</v>
      </c>
      <c r="E5" s="0" t="n">
        <v>9.2</v>
      </c>
      <c r="F5" s="0" t="n">
        <v>-27.047</v>
      </c>
      <c r="G5" s="0" t="n">
        <v>-5.9</v>
      </c>
      <c r="H5" s="0" t="n">
        <v>49.269</v>
      </c>
      <c r="I5" s="0" t="n">
        <v>-67.775</v>
      </c>
      <c r="J5" s="0" t="n">
        <v>-14.8</v>
      </c>
      <c r="K5" s="0" t="n">
        <v>-0.083</v>
      </c>
      <c r="L5" s="0" t="n">
        <v>83.387</v>
      </c>
      <c r="M5" s="0" t="n">
        <v>143.059</v>
      </c>
      <c r="N5" s="0" t="n">
        <v>-59.672</v>
      </c>
      <c r="O5" s="0" t="n">
        <v>625.531</v>
      </c>
      <c r="P5" s="0" t="n">
        <v>1385.328</v>
      </c>
      <c r="Q5" s="0" t="n">
        <v>761.233</v>
      </c>
      <c r="R5" s="0" t="n">
        <v>426.014</v>
      </c>
      <c r="S5" s="0" t="n">
        <v>87.305</v>
      </c>
      <c r="T5" s="0" t="n">
        <v>816.6</v>
      </c>
      <c r="U5" s="0" t="n">
        <v>1.706</v>
      </c>
      <c r="AA5" s="0" t="s">
        <v>18</v>
      </c>
      <c r="AB5" s="0" t="s">
        <v>14</v>
      </c>
      <c r="AF5" s="0" t="n">
        <v>384731</v>
      </c>
    </row>
    <row r="6" customFormat="false" ht="15" hidden="false" customHeight="false" outlineLevel="0" collapsed="false">
      <c r="A6" s="0" t="s">
        <v>73</v>
      </c>
      <c r="B6" s="0" t="n">
        <v>602.985</v>
      </c>
      <c r="C6" s="0" t="n">
        <v>545.58</v>
      </c>
      <c r="D6" s="0" t="n">
        <v>57.405</v>
      </c>
      <c r="E6" s="0" t="n">
        <v>9.5</v>
      </c>
      <c r="F6" s="0" t="n">
        <v>18.241</v>
      </c>
      <c r="G6" s="0" t="n">
        <v>3</v>
      </c>
      <c r="H6" s="0" t="n">
        <v>193.572</v>
      </c>
      <c r="I6" s="0" t="n">
        <v>15.941</v>
      </c>
      <c r="J6" s="0" t="n">
        <v>2.6</v>
      </c>
      <c r="K6" s="0" t="n">
        <v>0.0162</v>
      </c>
      <c r="L6" s="0" t="n">
        <v>49.952</v>
      </c>
      <c r="M6" s="0" t="n">
        <v>90.978</v>
      </c>
      <c r="N6" s="0" t="n">
        <v>-41.026</v>
      </c>
      <c r="O6" s="0" t="n">
        <v>842.717</v>
      </c>
      <c r="P6" s="0" t="n">
        <v>1424.958</v>
      </c>
      <c r="Q6" s="0" t="n">
        <v>609.851</v>
      </c>
      <c r="R6" s="0" t="n">
        <v>336.171</v>
      </c>
      <c r="S6" s="0" t="n">
        <v>88.591</v>
      </c>
      <c r="T6" s="0" t="n">
        <v>981.553</v>
      </c>
      <c r="U6" s="0" t="n">
        <v>1.178</v>
      </c>
      <c r="W6" s="0" t="n">
        <v>247.255</v>
      </c>
      <c r="AA6" s="0" t="s">
        <v>18</v>
      </c>
      <c r="AB6" s="0" t="s">
        <v>14</v>
      </c>
      <c r="AC6" s="0" t="n">
        <v>1074</v>
      </c>
      <c r="AF6" s="0" t="n">
        <v>395136</v>
      </c>
    </row>
    <row r="7" customFormat="false" ht="15" hidden="false" customHeight="false" outlineLevel="0" collapsed="false">
      <c r="A7" s="0" t="s">
        <v>74</v>
      </c>
      <c r="B7" s="0" t="n">
        <v>549.242</v>
      </c>
      <c r="C7" s="0" t="n">
        <v>502.671</v>
      </c>
      <c r="D7" s="0" t="n">
        <v>46.571</v>
      </c>
      <c r="E7" s="0" t="n">
        <v>8.5</v>
      </c>
      <c r="F7" s="0" t="n">
        <v>-310.907</v>
      </c>
      <c r="G7" s="0" t="n">
        <v>-56.6</v>
      </c>
      <c r="H7" s="0" t="n">
        <v>-189.914</v>
      </c>
      <c r="I7" s="0" t="n">
        <v>-319.203</v>
      </c>
      <c r="J7" s="0" t="n">
        <v>-58.1</v>
      </c>
      <c r="K7" s="0" t="n">
        <v>-0.2892</v>
      </c>
      <c r="L7" s="0" t="n">
        <v>50.558</v>
      </c>
      <c r="M7" s="0" t="n">
        <v>56.221</v>
      </c>
      <c r="N7" s="0" t="n">
        <v>-5.663</v>
      </c>
      <c r="O7" s="0" t="n">
        <v>490.057</v>
      </c>
      <c r="P7" s="0" t="n">
        <v>977.231</v>
      </c>
      <c r="Q7" s="0" t="n">
        <v>558.641</v>
      </c>
      <c r="R7" s="0" t="n">
        <v>316.705</v>
      </c>
      <c r="S7" s="0" t="n">
        <v>67.607</v>
      </c>
      <c r="T7" s="0" t="n">
        <v>1103.897</v>
      </c>
      <c r="U7" s="0" t="n">
        <v>1.122</v>
      </c>
      <c r="W7" s="0" t="n">
        <v>129.899</v>
      </c>
      <c r="AA7" s="0" t="s">
        <v>18</v>
      </c>
      <c r="AB7" s="0" t="s">
        <v>14</v>
      </c>
      <c r="AF7" s="0" t="n">
        <v>319300</v>
      </c>
      <c r="AG7" s="0" t="n">
        <v>227.464</v>
      </c>
    </row>
    <row r="8" customFormat="false" ht="15" hidden="false" customHeight="false" outlineLevel="0" collapsed="false">
      <c r="A8" s="0" t="s">
        <v>75</v>
      </c>
      <c r="B8" s="0" t="n">
        <v>651.129</v>
      </c>
      <c r="C8" s="0" t="n">
        <v>559.392</v>
      </c>
      <c r="D8" s="0" t="n">
        <v>91.737</v>
      </c>
      <c r="E8" s="0" t="n">
        <v>14.1</v>
      </c>
      <c r="F8" s="0" t="n">
        <v>6.681</v>
      </c>
      <c r="G8" s="0" t="n">
        <v>1</v>
      </c>
      <c r="H8" s="0" t="n">
        <v>92.575</v>
      </c>
      <c r="I8" s="0" t="n">
        <v>-34.083</v>
      </c>
      <c r="J8" s="0" t="n">
        <v>-5.2</v>
      </c>
      <c r="K8" s="0" t="n">
        <v>-0.0285</v>
      </c>
      <c r="L8" s="0" t="n">
        <v>90.905</v>
      </c>
      <c r="M8" s="0" t="n">
        <v>67.785</v>
      </c>
      <c r="N8" s="0" t="n">
        <v>23.12</v>
      </c>
      <c r="O8" s="0" t="n">
        <v>543.434</v>
      </c>
      <c r="P8" s="0" t="n">
        <v>868.793</v>
      </c>
      <c r="Q8" s="0" t="n">
        <v>397.299</v>
      </c>
      <c r="R8" s="0" t="n">
        <v>125.116</v>
      </c>
      <c r="S8" s="0" t="n">
        <v>80.873</v>
      </c>
      <c r="T8" s="0" t="n">
        <v>1196.857</v>
      </c>
      <c r="U8" s="0" t="n">
        <v>0.457</v>
      </c>
      <c r="W8" s="0" t="n">
        <v>148.166</v>
      </c>
      <c r="AA8" s="0" t="s">
        <v>18</v>
      </c>
      <c r="AB8" s="0" t="s">
        <v>14</v>
      </c>
      <c r="AF8" s="0" t="n">
        <v>353069</v>
      </c>
    </row>
    <row r="9" customFormat="false" ht="15" hidden="false" customHeight="false" outlineLevel="0" collapsed="false">
      <c r="A9" s="0" t="s">
        <v>76</v>
      </c>
      <c r="B9" s="0" t="n">
        <v>631.073</v>
      </c>
      <c r="C9" s="0" t="n">
        <v>517.735</v>
      </c>
      <c r="D9" s="0" t="n">
        <v>113.338</v>
      </c>
      <c r="E9" s="0" t="n">
        <v>18</v>
      </c>
      <c r="F9" s="0" t="n">
        <v>109.907</v>
      </c>
      <c r="G9" s="0" t="n">
        <v>17.4</v>
      </c>
      <c r="H9" s="0" t="n">
        <v>190.951</v>
      </c>
      <c r="I9" s="0" t="n">
        <v>65.577</v>
      </c>
      <c r="J9" s="0" t="n">
        <v>10.4</v>
      </c>
      <c r="K9" s="0" t="n">
        <v>0.0308</v>
      </c>
      <c r="L9" s="0" t="n">
        <v>106.567</v>
      </c>
      <c r="M9" s="0" t="n">
        <v>71.797</v>
      </c>
      <c r="N9" s="0" t="n">
        <v>34.77</v>
      </c>
      <c r="O9" s="0" t="n">
        <v>590.146</v>
      </c>
      <c r="P9" s="0" t="n">
        <v>853.078</v>
      </c>
      <c r="Q9" s="0" t="n">
        <v>310.905</v>
      </c>
      <c r="R9" s="0" t="n">
        <v>74.066</v>
      </c>
      <c r="S9" s="0" t="n">
        <v>59.769</v>
      </c>
      <c r="T9" s="0" t="n">
        <v>2129.007</v>
      </c>
      <c r="U9" s="0" t="n">
        <v>0.605</v>
      </c>
      <c r="W9" s="0" t="n">
        <v>161.211</v>
      </c>
      <c r="AA9" s="0" t="s">
        <v>18</v>
      </c>
      <c r="AB9" s="0" t="s">
        <v>14</v>
      </c>
    </row>
    <row r="10" customFormat="false" ht="15" hidden="false" customHeight="false" outlineLevel="0" collapsed="false">
      <c r="A10" s="0" t="s">
        <v>77</v>
      </c>
      <c r="B10" s="0" t="n">
        <v>800.973</v>
      </c>
      <c r="C10" s="0" t="n">
        <v>581.346</v>
      </c>
      <c r="D10" s="0" t="n">
        <v>219.627</v>
      </c>
      <c r="E10" s="0" t="n">
        <v>27.4</v>
      </c>
      <c r="F10" s="0" t="n">
        <v>28.009</v>
      </c>
      <c r="G10" s="0" t="n">
        <v>3.5</v>
      </c>
      <c r="H10" s="0" t="n">
        <v>157.18</v>
      </c>
      <c r="I10" s="0" t="n">
        <v>-28.298</v>
      </c>
      <c r="J10" s="0" t="n">
        <v>-3.5</v>
      </c>
      <c r="K10" s="0" t="n">
        <v>-0.0133</v>
      </c>
      <c r="L10" s="0" t="n">
        <v>115.006</v>
      </c>
      <c r="M10" s="0" t="n">
        <v>104.818</v>
      </c>
      <c r="N10" s="0" t="n">
        <v>10.188</v>
      </c>
      <c r="O10" s="0" t="n">
        <v>537.766</v>
      </c>
      <c r="P10" s="0" t="n">
        <v>819.556</v>
      </c>
      <c r="Q10" s="0" t="n">
        <v>336.342</v>
      </c>
      <c r="R10" s="0" t="n">
        <v>34.415</v>
      </c>
      <c r="S10" s="0" t="n">
        <v>69.269</v>
      </c>
      <c r="T10" s="0" t="n">
        <v>2129.05</v>
      </c>
      <c r="U10" s="0" t="n">
        <v>1.104</v>
      </c>
      <c r="W10" s="0" t="n">
        <v>319.491</v>
      </c>
      <c r="AA10" s="0" t="s">
        <v>18</v>
      </c>
      <c r="AB10" s="0" t="s">
        <v>14</v>
      </c>
      <c r="AE10" s="0" t="n">
        <v>2383</v>
      </c>
      <c r="AF10" s="0" t="n">
        <v>339869</v>
      </c>
    </row>
    <row r="11" customFormat="false" ht="15" hidden="false" customHeight="false" outlineLevel="0" collapsed="false">
      <c r="A11" s="0" t="s">
        <v>78</v>
      </c>
      <c r="B11" s="0" t="n">
        <v>865.6</v>
      </c>
      <c r="C11" s="0" t="n">
        <v>555.9</v>
      </c>
      <c r="D11" s="0" t="n">
        <v>309.7</v>
      </c>
      <c r="E11" s="0" t="n">
        <v>35.8</v>
      </c>
      <c r="F11" s="0" t="n">
        <v>247.2</v>
      </c>
      <c r="G11" s="0" t="n">
        <v>28.6</v>
      </c>
      <c r="H11" s="0" t="n">
        <v>367.9</v>
      </c>
      <c r="I11" s="0" t="n">
        <v>128.8</v>
      </c>
      <c r="J11" s="0" t="n">
        <v>14.9</v>
      </c>
      <c r="K11" s="0" t="n">
        <v>0.0605</v>
      </c>
      <c r="L11" s="0" t="n">
        <v>226.4</v>
      </c>
      <c r="M11" s="0" t="n">
        <v>130</v>
      </c>
      <c r="N11" s="0" t="n">
        <v>96.4</v>
      </c>
      <c r="O11" s="0" t="n">
        <v>728.8</v>
      </c>
      <c r="P11" s="0" t="n">
        <v>1178.7</v>
      </c>
      <c r="Q11" s="0" t="n">
        <v>495.1</v>
      </c>
      <c r="R11" s="0" t="n">
        <v>194.6</v>
      </c>
      <c r="S11" s="0" t="n">
        <v>130.7</v>
      </c>
      <c r="T11" s="0" t="n">
        <v>2150.3</v>
      </c>
      <c r="U11" s="0" t="n">
        <v>1.6</v>
      </c>
      <c r="AA11" s="0" t="s">
        <v>18</v>
      </c>
      <c r="AB11" s="0" t="s">
        <v>14</v>
      </c>
      <c r="AD11" s="0" t="n">
        <v>0.0599</v>
      </c>
      <c r="AF11" s="0" t="n">
        <v>277236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1.21</v>
      </c>
    </row>
    <row r="3" customFormat="false" ht="15" hidden="false" customHeight="false" outlineLevel="0" collapsed="false">
      <c r="A3" s="0" t="s">
        <v>82</v>
      </c>
      <c r="B3" s="3" t="n">
        <v>2152.8</v>
      </c>
    </row>
    <row r="4" customFormat="false" ht="15" hidden="false" customHeight="false" outlineLevel="0" collapsed="false">
      <c r="A4" s="0" t="s">
        <v>83</v>
      </c>
      <c r="B4" s="3" t="n">
        <v>70.8</v>
      </c>
    </row>
    <row r="5" customFormat="false" ht="15" hidden="false" customHeight="false" outlineLevel="0" collapsed="false">
      <c r="A5" s="0" t="s">
        <v>84</v>
      </c>
      <c r="B5" s="3" t="n">
        <v>0</v>
      </c>
    </row>
    <row r="6" customFormat="false" ht="15" hidden="false" customHeight="false" outlineLevel="0" collapsed="false">
      <c r="A6" s="0" t="s">
        <v>85</v>
      </c>
      <c r="B6" s="3" t="n">
        <v>15</v>
      </c>
    </row>
    <row r="7" customFormat="false" ht="15" hidden="false" customHeight="false" outlineLevel="0" collapsed="false">
      <c r="A7" s="0" t="s">
        <v>86</v>
      </c>
      <c r="B7" s="3" t="n">
        <v>865.6</v>
      </c>
    </row>
    <row r="8" customFormat="false" ht="15" hidden="false" customHeight="false" outlineLevel="0" collapsed="false">
      <c r="A8" s="0" t="s">
        <v>87</v>
      </c>
      <c r="B8" s="3" t="s">
        <v>88</v>
      </c>
    </row>
    <row r="9" customFormat="false" ht="15" hidden="false" customHeight="false" outlineLevel="0" collapsed="false">
      <c r="A9" s="0" t="s">
        <v>89</v>
      </c>
      <c r="B9" s="3" t="s">
        <v>90</v>
      </c>
    </row>
    <row r="10" customFormat="false" ht="15" hidden="false" customHeight="false" outlineLevel="0" collapsed="false">
      <c r="A10" s="0" t="s">
        <v>91</v>
      </c>
      <c r="B10" s="3" t="n">
        <v>1.4249</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16.1</v>
      </c>
      <c r="D13" s="3" t="n">
        <v>-25.2</v>
      </c>
      <c r="E13" s="3" t="n">
        <v>-30.9</v>
      </c>
      <c r="F13" s="3" t="n">
        <v>40</v>
      </c>
      <c r="G13" s="3" t="n">
        <v>35.7</v>
      </c>
      <c r="H13" s="3" t="n">
        <v>1</v>
      </c>
      <c r="I13" s="3" t="n">
        <v>-2</v>
      </c>
      <c r="J13" s="3" t="n">
        <v>-2</v>
      </c>
      <c r="K13" s="3" t="n">
        <v>-2</v>
      </c>
      <c r="L13" s="3" t="n">
        <v>-2</v>
      </c>
    </row>
    <row r="14" customFormat="false" ht="15" hidden="false" customHeight="false" outlineLevel="0" collapsed="false">
      <c r="A14" s="0" t="s">
        <v>104</v>
      </c>
      <c r="C14" s="3" t="n">
        <v>45</v>
      </c>
      <c r="D14" s="3" t="n">
        <v>33</v>
      </c>
      <c r="E14" s="3" t="n">
        <v>20</v>
      </c>
      <c r="F14" s="3" t="n">
        <v>25</v>
      </c>
      <c r="G14" s="3" t="n">
        <v>30</v>
      </c>
      <c r="H14" s="3" t="n">
        <v>30</v>
      </c>
      <c r="I14" s="3" t="n">
        <v>30</v>
      </c>
      <c r="J14" s="3" t="n">
        <v>30</v>
      </c>
      <c r="K14" s="3" t="n">
        <v>30</v>
      </c>
      <c r="L14" s="3" t="n">
        <v>30</v>
      </c>
    </row>
    <row r="15" customFormat="false" ht="15" hidden="false" customHeight="false" outlineLevel="0" collapsed="false">
      <c r="A15" s="0" t="s">
        <v>105</v>
      </c>
      <c r="C15" s="3" t="n">
        <v>0.2</v>
      </c>
      <c r="D15" s="3" t="n">
        <v>0.2</v>
      </c>
      <c r="E15" s="3" t="n">
        <v>0.2</v>
      </c>
      <c r="F15" s="3" t="n">
        <v>0.2</v>
      </c>
      <c r="G15" s="3" t="n">
        <v>0.2</v>
      </c>
      <c r="H15" s="3" t="n">
        <v>0.2</v>
      </c>
      <c r="I15" s="3" t="n">
        <v>0.2</v>
      </c>
      <c r="J15" s="3" t="n">
        <v>0.2</v>
      </c>
      <c r="K15" s="3" t="n">
        <v>0.2</v>
      </c>
      <c r="L15" s="3" t="n">
        <v>0.2</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14</v>
      </c>
      <c r="D17" s="3" t="n">
        <v>15</v>
      </c>
      <c r="E17" s="3" t="n">
        <v>18</v>
      </c>
      <c r="F17" s="3" t="n">
        <v>15</v>
      </c>
      <c r="G17" s="3" t="n">
        <v>13</v>
      </c>
      <c r="H17" s="3" t="n">
        <v>13</v>
      </c>
      <c r="I17" s="3" t="n">
        <v>13</v>
      </c>
      <c r="J17" s="3" t="n">
        <v>13</v>
      </c>
      <c r="K17" s="3" t="n">
        <v>13</v>
      </c>
      <c r="L17" s="3" t="n">
        <v>13</v>
      </c>
    </row>
    <row r="18" customFormat="false" ht="15" hidden="false" customHeight="false" outlineLevel="0" collapsed="false">
      <c r="A18" s="0" t="s">
        <v>108</v>
      </c>
      <c r="C18" s="3" t="n">
        <v>33</v>
      </c>
      <c r="D18" s="3" t="n">
        <v>47</v>
      </c>
      <c r="E18" s="3" t="n">
        <v>55</v>
      </c>
      <c r="F18" s="3" t="n">
        <v>28</v>
      </c>
      <c r="G18" s="3" t="n">
        <v>13</v>
      </c>
      <c r="H18" s="3" t="n">
        <v>13</v>
      </c>
      <c r="I18" s="3" t="n">
        <v>13</v>
      </c>
      <c r="J18" s="3" t="n">
        <v>13</v>
      </c>
      <c r="K18" s="3" t="n">
        <v>13</v>
      </c>
      <c r="L18" s="3" t="n">
        <v>13</v>
      </c>
    </row>
    <row r="19" customFormat="false" ht="15" hidden="false" customHeight="false" outlineLevel="0" collapsed="false">
      <c r="A19" s="0" t="s">
        <v>109</v>
      </c>
      <c r="C19" s="3" t="n">
        <v>48</v>
      </c>
      <c r="D19" s="3" t="n">
        <v>48</v>
      </c>
      <c r="E19" s="3" t="n">
        <v>48</v>
      </c>
      <c r="F19" s="3" t="n">
        <v>48</v>
      </c>
      <c r="G19" s="3" t="n">
        <v>48</v>
      </c>
      <c r="H19" s="3" t="n">
        <v>48</v>
      </c>
      <c r="I19" s="3" t="n">
        <v>48</v>
      </c>
      <c r="J19" s="3" t="n">
        <v>48</v>
      </c>
      <c r="K19" s="3" t="n">
        <v>48</v>
      </c>
      <c r="L19" s="3" t="n">
        <v>48</v>
      </c>
    </row>
    <row r="20" customFormat="false" ht="15" hidden="false" customHeight="false" outlineLevel="0" collapsed="false">
      <c r="A20" s="0" t="s">
        <v>110</v>
      </c>
      <c r="B20" s="3" t="n">
        <v>11</v>
      </c>
    </row>
    <row r="21" customFormat="false" ht="15" hidden="false" customHeight="false" outlineLevel="0" collapsed="false">
      <c r="A21" s="0" t="s">
        <v>111</v>
      </c>
      <c r="B21" s="3" t="n">
        <v>1.5</v>
      </c>
    </row>
    <row r="22" customFormat="false" ht="15" hidden="false" customHeight="false" outlineLevel="0" collapsed="false">
      <c r="A22" s="0" t="s">
        <v>112</v>
      </c>
      <c r="B22" s="3" t="n">
        <v>10</v>
      </c>
    </row>
    <row r="23" customFormat="false" ht="15" hidden="false" customHeight="false" outlineLevel="0" collapsed="false">
      <c r="A23" s="0" t="s">
        <v>113</v>
      </c>
      <c r="B23" s="3" t="n">
        <v>-3</v>
      </c>
    </row>
    <row r="24" customFormat="false" ht="15" hidden="false" customHeight="false" outlineLevel="0" collapsed="false">
      <c r="A24" s="0" t="s">
        <v>114</v>
      </c>
      <c r="B24" s="3" t="n">
        <v>0.3</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22</v>
      </c>
      <c r="D27" s="3" t="n">
        <v>-10.8</v>
      </c>
      <c r="E27" s="3" t="n">
        <v>22.5</v>
      </c>
      <c r="F27" s="3" t="n">
        <v>24.6</v>
      </c>
      <c r="G27" s="3" t="n">
        <v>-4.2</v>
      </c>
      <c r="H27" s="3" t="n">
        <v>-0.2</v>
      </c>
      <c r="I27" s="3" t="n">
        <v>-0.3</v>
      </c>
      <c r="J27" s="3" t="n">
        <v>-2.6</v>
      </c>
      <c r="K27" s="3" t="n">
        <v>-0.4</v>
      </c>
      <c r="L27" s="3" t="n">
        <v>-0.5</v>
      </c>
    </row>
    <row r="28" customFormat="false" ht="15" hidden="false" customHeight="false" outlineLevel="0" collapsed="false">
      <c r="A28" s="0" t="s">
        <v>104</v>
      </c>
      <c r="C28" s="3" t="n">
        <v>48</v>
      </c>
      <c r="D28" s="3" t="n">
        <v>43</v>
      </c>
      <c r="E28" s="3" t="n">
        <v>43</v>
      </c>
      <c r="F28" s="3" t="n">
        <v>43</v>
      </c>
      <c r="G28" s="3" t="n">
        <v>43</v>
      </c>
      <c r="H28" s="3" t="n">
        <v>43</v>
      </c>
      <c r="I28" s="3" t="n">
        <v>43</v>
      </c>
      <c r="J28" s="3" t="n">
        <v>42</v>
      </c>
      <c r="K28" s="3" t="n">
        <v>42</v>
      </c>
      <c r="L28" s="3" t="n">
        <v>42</v>
      </c>
    </row>
    <row r="29" customFormat="false" ht="15" hidden="false" customHeight="false" outlineLevel="0" collapsed="false">
      <c r="A29" s="0" t="s">
        <v>105</v>
      </c>
      <c r="C29" s="3" t="n">
        <v>0.2</v>
      </c>
      <c r="D29" s="3" t="n">
        <v>0.2</v>
      </c>
      <c r="E29" s="3" t="n">
        <v>0.2</v>
      </c>
      <c r="F29" s="3" t="n">
        <v>0.2</v>
      </c>
      <c r="G29" s="3" t="n">
        <v>0.2</v>
      </c>
      <c r="H29" s="3" t="n">
        <v>0.2</v>
      </c>
      <c r="I29" s="3" t="n">
        <v>0.2</v>
      </c>
      <c r="J29" s="3" t="n">
        <v>0.2</v>
      </c>
      <c r="K29" s="3" t="n">
        <v>0.2</v>
      </c>
      <c r="L29" s="3" t="n">
        <v>0.2</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14</v>
      </c>
      <c r="D31" s="3" t="n">
        <v>13.5</v>
      </c>
      <c r="E31" s="3" t="n">
        <v>13</v>
      </c>
      <c r="F31" s="3" t="n">
        <v>12</v>
      </c>
      <c r="G31" s="3" t="n">
        <v>12</v>
      </c>
      <c r="H31" s="3" t="n">
        <v>12</v>
      </c>
      <c r="I31" s="3" t="n">
        <v>12</v>
      </c>
      <c r="J31" s="3" t="n">
        <v>12</v>
      </c>
      <c r="K31" s="3" t="n">
        <v>12</v>
      </c>
      <c r="L31" s="3" t="n">
        <v>12</v>
      </c>
    </row>
    <row r="32" customFormat="false" ht="15" hidden="false" customHeight="false" outlineLevel="0" collapsed="false">
      <c r="A32" s="0" t="s">
        <v>108</v>
      </c>
      <c r="C32" s="3" t="n">
        <v>32</v>
      </c>
      <c r="D32" s="3" t="n">
        <v>44</v>
      </c>
      <c r="E32" s="3" t="n">
        <v>14</v>
      </c>
      <c r="F32" s="3" t="n">
        <v>11</v>
      </c>
      <c r="G32" s="3" t="n">
        <v>12</v>
      </c>
      <c r="H32" s="3" t="n">
        <v>12</v>
      </c>
      <c r="I32" s="3" t="n">
        <v>12</v>
      </c>
      <c r="J32" s="3" t="n">
        <v>12</v>
      </c>
      <c r="K32" s="3" t="n">
        <v>12</v>
      </c>
      <c r="L32" s="3" t="n">
        <v>12</v>
      </c>
    </row>
    <row r="33" customFormat="false" ht="15" hidden="false" customHeight="false" outlineLevel="0" collapsed="false">
      <c r="A33" s="0" t="s">
        <v>109</v>
      </c>
      <c r="C33" s="3" t="n">
        <v>42</v>
      </c>
      <c r="D33" s="3" t="n">
        <v>42</v>
      </c>
      <c r="E33" s="3" t="n">
        <v>42</v>
      </c>
      <c r="F33" s="3" t="n">
        <v>42</v>
      </c>
      <c r="G33" s="3" t="n">
        <v>42</v>
      </c>
      <c r="H33" s="3" t="n">
        <v>42</v>
      </c>
      <c r="I33" s="3" t="n">
        <v>42</v>
      </c>
      <c r="J33" s="3" t="n">
        <v>42</v>
      </c>
      <c r="K33" s="3" t="n">
        <v>42</v>
      </c>
      <c r="L33" s="3" t="n">
        <v>42</v>
      </c>
    </row>
    <row r="34" customFormat="false" ht="15" hidden="false" customHeight="false" outlineLevel="0" collapsed="false">
      <c r="A34" s="0" t="s">
        <v>110</v>
      </c>
      <c r="B34" s="3" t="n">
        <v>11</v>
      </c>
    </row>
    <row r="35" customFormat="false" ht="15" hidden="false" customHeight="false" outlineLevel="0" collapsed="false">
      <c r="A35" s="0" t="s">
        <v>111</v>
      </c>
      <c r="B35" s="3" t="n">
        <v>2</v>
      </c>
    </row>
    <row r="36" customFormat="false" ht="15" hidden="false" customHeight="false" outlineLevel="0" collapsed="false">
      <c r="A36" s="0" t="s">
        <v>112</v>
      </c>
      <c r="B36" s="3" t="n">
        <v>12</v>
      </c>
    </row>
    <row r="37" customFormat="false" ht="15" hidden="false" customHeight="false" outlineLevel="0" collapsed="false">
      <c r="A37" s="0" t="s">
        <v>113</v>
      </c>
      <c r="B37" s="3" t="n">
        <v>-3</v>
      </c>
    </row>
    <row r="38" customFormat="false" ht="15" hidden="false" customHeight="false" outlineLevel="0" collapsed="false">
      <c r="A38" s="0" t="s">
        <v>114</v>
      </c>
      <c r="B38" s="3" t="n">
        <v>0.45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27.4</v>
      </c>
      <c r="D41" s="3" t="n">
        <v>13.1</v>
      </c>
      <c r="E41" s="3" t="n">
        <v>18.4</v>
      </c>
      <c r="F41" s="3" t="n">
        <v>32.1</v>
      </c>
      <c r="G41" s="3" t="n">
        <v>-3.2</v>
      </c>
      <c r="H41" s="3" t="n">
        <v>0.5</v>
      </c>
      <c r="I41" s="3" t="n">
        <v>2.5</v>
      </c>
      <c r="J41" s="3" t="n">
        <v>2.5</v>
      </c>
      <c r="K41" s="3" t="n">
        <v>2.5</v>
      </c>
      <c r="L41" s="3" t="n">
        <v>2.5</v>
      </c>
    </row>
    <row r="42" customFormat="false" ht="15" hidden="false" customHeight="false" outlineLevel="0" collapsed="false">
      <c r="A42" s="0" t="s">
        <v>104</v>
      </c>
      <c r="C42" s="3" t="n">
        <v>52</v>
      </c>
      <c r="D42" s="3" t="n">
        <v>50</v>
      </c>
      <c r="E42" s="3" t="n">
        <v>50</v>
      </c>
      <c r="F42" s="3" t="n">
        <v>50</v>
      </c>
      <c r="G42" s="3" t="n">
        <v>49</v>
      </c>
      <c r="H42" s="3" t="n">
        <v>49</v>
      </c>
      <c r="I42" s="3" t="n">
        <v>49</v>
      </c>
      <c r="J42" s="3" t="n">
        <v>49</v>
      </c>
      <c r="K42" s="3" t="n">
        <v>49</v>
      </c>
      <c r="L42" s="3" t="n">
        <v>49</v>
      </c>
    </row>
    <row r="43" customFormat="false" ht="15" hidden="false" customHeight="false" outlineLevel="0" collapsed="false">
      <c r="A43" s="0" t="s">
        <v>105</v>
      </c>
      <c r="C43" s="3" t="n">
        <v>0.2</v>
      </c>
      <c r="D43" s="3" t="n">
        <v>0.2</v>
      </c>
      <c r="E43" s="3" t="n">
        <v>0.2</v>
      </c>
      <c r="F43" s="3" t="n">
        <v>0.2</v>
      </c>
      <c r="G43" s="3" t="n">
        <v>0.2</v>
      </c>
      <c r="H43" s="3" t="n">
        <v>0.2</v>
      </c>
      <c r="I43" s="3" t="n">
        <v>0.2</v>
      </c>
      <c r="J43" s="3" t="n">
        <v>0.2</v>
      </c>
      <c r="K43" s="3" t="n">
        <v>0.2</v>
      </c>
      <c r="L43" s="3" t="n">
        <v>0.2</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14</v>
      </c>
      <c r="D45" s="3" t="n">
        <v>13</v>
      </c>
      <c r="E45" s="3" t="n">
        <v>12.5</v>
      </c>
      <c r="F45" s="3" t="n">
        <v>12</v>
      </c>
      <c r="G45" s="3" t="n">
        <v>12</v>
      </c>
      <c r="H45" s="3" t="n">
        <v>12</v>
      </c>
      <c r="I45" s="3" t="n">
        <v>12</v>
      </c>
      <c r="J45" s="3" t="n">
        <v>12</v>
      </c>
      <c r="K45" s="3" t="n">
        <v>12</v>
      </c>
      <c r="L45" s="3" t="n">
        <v>12</v>
      </c>
    </row>
    <row r="46" customFormat="false" ht="15" hidden="false" customHeight="false" outlineLevel="0" collapsed="false">
      <c r="A46" s="0" t="s">
        <v>108</v>
      </c>
      <c r="C46" s="3" t="n">
        <v>31</v>
      </c>
      <c r="D46" s="3" t="n">
        <v>35</v>
      </c>
      <c r="E46" s="3" t="n">
        <v>12</v>
      </c>
      <c r="F46" s="3" t="n">
        <v>10</v>
      </c>
      <c r="G46" s="3" t="n">
        <v>11</v>
      </c>
      <c r="H46" s="3" t="n">
        <v>11</v>
      </c>
      <c r="I46" s="3" t="n">
        <v>11</v>
      </c>
      <c r="J46" s="3" t="n">
        <v>11</v>
      </c>
      <c r="K46" s="3" t="n">
        <v>11</v>
      </c>
      <c r="L46" s="3" t="n">
        <v>11</v>
      </c>
    </row>
    <row r="47" customFormat="false" ht="15" hidden="false" customHeight="false" outlineLevel="0" collapsed="false">
      <c r="A47" s="0" t="s">
        <v>109</v>
      </c>
      <c r="C47" s="3" t="n">
        <v>40</v>
      </c>
      <c r="D47" s="3" t="n">
        <v>40</v>
      </c>
      <c r="E47" s="3" t="n">
        <v>40</v>
      </c>
      <c r="F47" s="3" t="n">
        <v>40</v>
      </c>
      <c r="G47" s="3" t="n">
        <v>40</v>
      </c>
      <c r="H47" s="3" t="n">
        <v>40</v>
      </c>
      <c r="I47" s="3" t="n">
        <v>40</v>
      </c>
      <c r="J47" s="3" t="n">
        <v>40</v>
      </c>
      <c r="K47" s="3" t="n">
        <v>40</v>
      </c>
      <c r="L47" s="3" t="n">
        <v>40</v>
      </c>
    </row>
    <row r="48" customFormat="false" ht="15" hidden="false" customHeight="false" outlineLevel="0" collapsed="false">
      <c r="A48" s="0" t="s">
        <v>110</v>
      </c>
      <c r="B48" s="3" t="n">
        <v>11</v>
      </c>
    </row>
    <row r="49" customFormat="false" ht="15" hidden="false" customHeight="false" outlineLevel="0" collapsed="false">
      <c r="A49" s="0" t="s">
        <v>111</v>
      </c>
      <c r="B49" s="3" t="n">
        <v>2.5</v>
      </c>
    </row>
    <row r="50" customFormat="false" ht="15" hidden="false" customHeight="false" outlineLevel="0" collapsed="false">
      <c r="A50" s="0" t="s">
        <v>112</v>
      </c>
      <c r="B50" s="3" t="n">
        <v>14</v>
      </c>
    </row>
    <row r="51" customFormat="false" ht="15" hidden="false" customHeight="false" outlineLevel="0" collapsed="false">
      <c r="A51" s="0" t="s">
        <v>113</v>
      </c>
      <c r="B51" s="3" t="n">
        <v>-3</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16.1</v>
      </c>
      <c r="D5" s="4" t="n">
        <f aca="false">Assumptions!D13</f>
        <v>-25.2</v>
      </c>
      <c r="E5" s="4" t="n">
        <f aca="false">Assumptions!E13</f>
        <v>-30.9</v>
      </c>
      <c r="F5" s="4" t="n">
        <f aca="false">Assumptions!F13</f>
        <v>40</v>
      </c>
      <c r="G5" s="4" t="n">
        <f aca="false">Assumptions!G13</f>
        <v>35.7</v>
      </c>
      <c r="H5" s="4" t="n">
        <f aca="false">Assumptions!H13</f>
        <v>1</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865.6</v>
      </c>
      <c r="C6" s="0" t="n">
        <f aca="false">B6*(1+C5/100)</f>
        <v>1004.9616</v>
      </c>
      <c r="D6" s="0" t="n">
        <f aca="false">C6*(1+D5/100)</f>
        <v>751.7112768</v>
      </c>
      <c r="E6" s="0" t="n">
        <f aca="false">D6*(1+E5/100)</f>
        <v>519.4324922688</v>
      </c>
      <c r="F6" s="0" t="n">
        <f aca="false">E6*(1+F5/100)</f>
        <v>727.20548917632</v>
      </c>
      <c r="G6" s="0" t="n">
        <f aca="false">F6*(1+G5/100)</f>
        <v>986.817848812266</v>
      </c>
      <c r="H6" s="0" t="n">
        <f aca="false">G6*(1+H5/100)</f>
        <v>996.686027300389</v>
      </c>
      <c r="I6" s="0" t="n">
        <f aca="false">H6*(1+I5/100)</f>
        <v>976.752306754381</v>
      </c>
      <c r="J6" s="0" t="n">
        <f aca="false">I6*(1+J5/100)</f>
        <v>957.217260619294</v>
      </c>
      <c r="K6" s="0" t="n">
        <f aca="false">J6*(1+K5/100)</f>
        <v>938.072915406908</v>
      </c>
      <c r="L6" s="0" t="n">
        <f aca="false">K6*(1+L5/100)</f>
        <v>919.31145709877</v>
      </c>
    </row>
    <row r="7" customFormat="false" ht="15" hidden="false" customHeight="false" outlineLevel="0" collapsed="false">
      <c r="A7" s="0" t="s">
        <v>104</v>
      </c>
      <c r="C7" s="4" t="n">
        <f aca="false">Assumptions!C14</f>
        <v>45</v>
      </c>
      <c r="D7" s="4" t="n">
        <f aca="false">Assumptions!D14</f>
        <v>33</v>
      </c>
      <c r="E7" s="4" t="n">
        <f aca="false">Assumptions!E14</f>
        <v>20</v>
      </c>
      <c r="F7" s="4" t="n">
        <f aca="false">Assumptions!F14</f>
        <v>25</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44</v>
      </c>
      <c r="C8" s="0" t="n">
        <f aca="false">C6*C7/100</f>
        <v>452.23272</v>
      </c>
      <c r="D8" s="0" t="n">
        <f aca="false">D6*D7/100</f>
        <v>248.064721344</v>
      </c>
      <c r="E8" s="0" t="n">
        <f aca="false">E6*E7/100</f>
        <v>103.88649845376</v>
      </c>
      <c r="F8" s="0" t="n">
        <f aca="false">F6*F7/100</f>
        <v>181.80137229408</v>
      </c>
      <c r="G8" s="0" t="n">
        <f aca="false">G6*G7/100</f>
        <v>296.04535464368</v>
      </c>
      <c r="H8" s="0" t="n">
        <f aca="false">H6*H7/100</f>
        <v>299.005808190117</v>
      </c>
      <c r="I8" s="0" t="n">
        <f aca="false">I6*I7/100</f>
        <v>293.025692026314</v>
      </c>
      <c r="J8" s="0" t="n">
        <f aca="false">J6*J7/100</f>
        <v>287.165178185788</v>
      </c>
      <c r="K8" s="0" t="n">
        <f aca="false">K6*K7/100</f>
        <v>281.421874622072</v>
      </c>
      <c r="L8" s="0" t="n">
        <f aca="false">L6*L7/100</f>
        <v>275.793437129631</v>
      </c>
    </row>
    <row r="9" customFormat="false" ht="15" hidden="false" customHeight="false" outlineLevel="0" collapsed="false">
      <c r="A9" s="0" t="s">
        <v>105</v>
      </c>
      <c r="C9" s="4" t="n">
        <f aca="false">Assumptions!C15</f>
        <v>0.2</v>
      </c>
      <c r="D9" s="4" t="n">
        <f aca="false">Assumptions!D15</f>
        <v>0.2</v>
      </c>
      <c r="E9" s="4" t="n">
        <f aca="false">Assumptions!E15</f>
        <v>0.2</v>
      </c>
      <c r="F9" s="4" t="n">
        <f aca="false">Assumptions!F15</f>
        <v>0.2</v>
      </c>
      <c r="G9" s="4" t="n">
        <f aca="false">Assumptions!G15</f>
        <v>0.2</v>
      </c>
      <c r="H9" s="4" t="n">
        <f aca="false">Assumptions!H15</f>
        <v>0.2</v>
      </c>
      <c r="I9" s="4" t="n">
        <f aca="false">Assumptions!I15</f>
        <v>0.2</v>
      </c>
      <c r="J9" s="4" t="n">
        <f aca="false">Assumptions!J15</f>
        <v>0.2</v>
      </c>
      <c r="K9" s="4" t="n">
        <f aca="false">Assumptions!K15</f>
        <v>0.2</v>
      </c>
      <c r="L9" s="4" t="n">
        <f aca="false">Assumptions!L15</f>
        <v>0.2</v>
      </c>
    </row>
    <row r="10" customFormat="false" ht="15" hidden="false" customHeight="false" outlineLevel="0" collapsed="false">
      <c r="A10" s="0" t="s">
        <v>120</v>
      </c>
      <c r="C10" s="0" t="n">
        <f aca="false">-C6*C9/100</f>
        <v>-2.0099232</v>
      </c>
      <c r="D10" s="0" t="n">
        <f aca="false">-D6*D9/100</f>
        <v>-1.5034225536</v>
      </c>
      <c r="E10" s="0" t="n">
        <f aca="false">-E6*E9/100</f>
        <v>-1.0388649845376</v>
      </c>
      <c r="F10" s="0" t="n">
        <f aca="false">-F6*F9/100</f>
        <v>-1.45441097835264</v>
      </c>
      <c r="G10" s="0" t="n">
        <f aca="false">-G6*G9/100</f>
        <v>-1.97363569762453</v>
      </c>
      <c r="H10" s="0" t="n">
        <f aca="false">-H6*H9/100</f>
        <v>-1.99337205460078</v>
      </c>
      <c r="I10" s="0" t="n">
        <f aca="false">-I6*I9/100</f>
        <v>-1.95350461350876</v>
      </c>
      <c r="J10" s="0" t="n">
        <f aca="false">-J6*J9/100</f>
        <v>-1.91443452123859</v>
      </c>
      <c r="K10" s="0" t="n">
        <f aca="false">-K6*K9/100</f>
        <v>-1.87614583081382</v>
      </c>
      <c r="L10" s="0" t="n">
        <f aca="false">-L6*L9/100</f>
        <v>-1.83862291419754</v>
      </c>
    </row>
    <row r="11" customFormat="false" ht="15" hidden="false" customHeight="false" outlineLevel="0" collapsed="false">
      <c r="A11" s="0" t="s">
        <v>121</v>
      </c>
      <c r="C11" s="0" t="n">
        <f aca="false">C8+C10+C24</f>
        <v>450.2227968</v>
      </c>
      <c r="D11" s="0" t="n">
        <f aca="false">D8+D10+D24</f>
        <v>246.5612987904</v>
      </c>
      <c r="E11" s="0" t="n">
        <f aca="false">E8+E10+E24</f>
        <v>102.847633469222</v>
      </c>
      <c r="F11" s="0" t="n">
        <f aca="false">F8+F10+F24</f>
        <v>180.346961315727</v>
      </c>
      <c r="G11" s="0" t="n">
        <f aca="false">G8+G10+G24</f>
        <v>294.071718946055</v>
      </c>
      <c r="H11" s="0" t="n">
        <f aca="false">H8+H10+H24</f>
        <v>297.012436135516</v>
      </c>
      <c r="I11" s="0" t="n">
        <f aca="false">I8+I10+I24</f>
        <v>291.072187412806</v>
      </c>
      <c r="J11" s="0" t="n">
        <f aca="false">J8+J10+J24</f>
        <v>285.25074366455</v>
      </c>
      <c r="K11" s="0" t="n">
        <f aca="false">K8+K10+K24</f>
        <v>279.545728791258</v>
      </c>
      <c r="L11" s="0" t="n">
        <f aca="false">L8+L10+L24</f>
        <v>273.954814215433</v>
      </c>
    </row>
    <row r="12" customFormat="false" ht="15" hidden="false" customHeight="false" outlineLevel="0" collapsed="false">
      <c r="A12" s="0" t="s">
        <v>122</v>
      </c>
      <c r="C12" s="4" t="n">
        <f aca="false">-C6*Assumptions!C17/100</f>
        <v>-140.694624</v>
      </c>
      <c r="D12" s="4" t="n">
        <f aca="false">-D6*Assumptions!D17/100</f>
        <v>-112.75669152</v>
      </c>
      <c r="E12" s="4" t="n">
        <f aca="false">-E6*Assumptions!E17/100</f>
        <v>-93.497848608384</v>
      </c>
      <c r="F12" s="4" t="n">
        <f aca="false">-F6*Assumptions!F17/100</f>
        <v>-109.080823376448</v>
      </c>
      <c r="G12" s="4" t="n">
        <f aca="false">-G6*Assumptions!G17/100</f>
        <v>-128.286320345595</v>
      </c>
      <c r="H12" s="4" t="n">
        <f aca="false">-H6*Assumptions!H17/100</f>
        <v>-129.569183549051</v>
      </c>
      <c r="I12" s="4" t="n">
        <f aca="false">-I6*Assumptions!I17/100</f>
        <v>-126.97779987807</v>
      </c>
      <c r="J12" s="4" t="n">
        <f aca="false">-J6*Assumptions!J17/100</f>
        <v>-124.438243880508</v>
      </c>
      <c r="K12" s="4" t="n">
        <f aca="false">-K6*Assumptions!K17/100</f>
        <v>-121.949479002898</v>
      </c>
      <c r="L12" s="4" t="n">
        <f aca="false">-L6*Assumptions!L17/100</f>
        <v>-119.51048942284</v>
      </c>
    </row>
    <row r="13" customFormat="false" ht="15" hidden="false" customHeight="false" outlineLevel="0" collapsed="false">
      <c r="A13" s="0" t="s">
        <v>123</v>
      </c>
      <c r="C13" s="0" t="n">
        <f aca="false">C11+C12</f>
        <v>309.5281728</v>
      </c>
      <c r="D13" s="0" t="n">
        <f aca="false">D11+D12</f>
        <v>133.8046072704</v>
      </c>
      <c r="E13" s="0" t="n">
        <f aca="false">E11+E12</f>
        <v>9.34978486083841</v>
      </c>
      <c r="F13" s="0" t="n">
        <f aca="false">F11+F12</f>
        <v>71.2661379392794</v>
      </c>
      <c r="G13" s="0" t="n">
        <f aca="false">G11+G12</f>
        <v>165.785398600461</v>
      </c>
      <c r="H13" s="0" t="n">
        <f aca="false">H11+H12</f>
        <v>167.443252586465</v>
      </c>
      <c r="I13" s="0" t="n">
        <f aca="false">I11+I12</f>
        <v>164.094387534736</v>
      </c>
      <c r="J13" s="0" t="n">
        <f aca="false">J11+J12</f>
        <v>160.812499784041</v>
      </c>
      <c r="K13" s="0" t="n">
        <f aca="false">K11+K12</f>
        <v>157.59624978836</v>
      </c>
      <c r="L13" s="0" t="n">
        <f aca="false">L11+L12</f>
        <v>154.444324792593</v>
      </c>
    </row>
    <row r="14" customFormat="false" ht="15" hidden="false" customHeight="false" outlineLevel="0" collapsed="false">
      <c r="A14" s="0" t="s">
        <v>109</v>
      </c>
      <c r="C14" s="4" t="n">
        <f aca="false">Assumptions!C19</f>
        <v>48</v>
      </c>
      <c r="D14" s="4" t="n">
        <f aca="false">Assumptions!D19</f>
        <v>48</v>
      </c>
      <c r="E14" s="4" t="n">
        <f aca="false">Assumptions!E19</f>
        <v>48</v>
      </c>
      <c r="F14" s="4" t="n">
        <f aca="false">Assumptions!F19</f>
        <v>48</v>
      </c>
      <c r="G14" s="4" t="n">
        <f aca="false">Assumptions!G19</f>
        <v>48</v>
      </c>
      <c r="H14" s="4" t="n">
        <f aca="false">Assumptions!H19</f>
        <v>48</v>
      </c>
      <c r="I14" s="4" t="n">
        <f aca="false">Assumptions!I19</f>
        <v>48</v>
      </c>
      <c r="J14" s="4" t="n">
        <f aca="false">Assumptions!J19</f>
        <v>48</v>
      </c>
      <c r="K14" s="4" t="n">
        <f aca="false">Assumptions!K19</f>
        <v>48</v>
      </c>
      <c r="L14" s="4" t="n">
        <f aca="false">Assumptions!L19</f>
        <v>48</v>
      </c>
    </row>
    <row r="15" customFormat="false" ht="15" hidden="false" customHeight="false" outlineLevel="0" collapsed="false">
      <c r="A15" s="0" t="s">
        <v>124</v>
      </c>
      <c r="C15" s="0" t="n">
        <f aca="false">C13-MAX(0,C13)*C14/100</f>
        <v>160.954649856</v>
      </c>
      <c r="D15" s="0" t="n">
        <f aca="false">D13-MAX(0,D13)*D14/100</f>
        <v>69.578395780608</v>
      </c>
      <c r="E15" s="0" t="n">
        <f aca="false">E13-MAX(0,E13)*E14/100</f>
        <v>4.86188812763597</v>
      </c>
      <c r="F15" s="0" t="n">
        <f aca="false">F13-MAX(0,F13)*F14/100</f>
        <v>37.0583917284253</v>
      </c>
      <c r="G15" s="0" t="n">
        <f aca="false">G13-MAX(0,G13)*G14/100</f>
        <v>86.2084072722396</v>
      </c>
      <c r="H15" s="0" t="n">
        <f aca="false">H13-MAX(0,H13)*H14/100</f>
        <v>87.070491344962</v>
      </c>
      <c r="I15" s="0" t="n">
        <f aca="false">I13-MAX(0,I13)*I14/100</f>
        <v>85.3290815180628</v>
      </c>
      <c r="J15" s="0" t="n">
        <f aca="false">J13-MAX(0,J13)*J14/100</f>
        <v>83.6224998877015</v>
      </c>
      <c r="K15" s="0" t="n">
        <f aca="false">K13-MAX(0,K13)*K14/100</f>
        <v>81.9500498899474</v>
      </c>
      <c r="L15" s="0" t="n">
        <f aca="false">L13-MAX(0,L13)*L14/100</f>
        <v>80.3110488921485</v>
      </c>
    </row>
    <row r="16" customFormat="false" ht="15" hidden="false" customHeight="false" outlineLevel="0" collapsed="false">
      <c r="A16" s="0" t="s">
        <v>125</v>
      </c>
      <c r="C16" s="0" t="n">
        <f aca="false">-C12</f>
        <v>140.694624</v>
      </c>
      <c r="D16" s="0" t="n">
        <f aca="false">-D12</f>
        <v>112.75669152</v>
      </c>
      <c r="E16" s="0" t="n">
        <f aca="false">-E12</f>
        <v>93.497848608384</v>
      </c>
      <c r="F16" s="0" t="n">
        <f aca="false">-F12</f>
        <v>109.080823376448</v>
      </c>
      <c r="G16" s="0" t="n">
        <f aca="false">-G12</f>
        <v>128.286320345595</v>
      </c>
      <c r="H16" s="0" t="n">
        <f aca="false">-H12</f>
        <v>129.569183549051</v>
      </c>
      <c r="I16" s="0" t="n">
        <f aca="false">-I12</f>
        <v>126.97779987807</v>
      </c>
      <c r="J16" s="0" t="n">
        <f aca="false">-J12</f>
        <v>124.438243880508</v>
      </c>
      <c r="K16" s="0" t="n">
        <f aca="false">-K12</f>
        <v>121.949479002898</v>
      </c>
      <c r="L16" s="0" t="n">
        <f aca="false">-L12</f>
        <v>119.51048942284</v>
      </c>
    </row>
    <row r="17" customFormat="false" ht="15" hidden="false" customHeight="false" outlineLevel="0" collapsed="false">
      <c r="A17" s="0" t="s">
        <v>126</v>
      </c>
      <c r="C17" s="4" t="n">
        <f aca="false">-C6*Assumptions!C18/100</f>
        <v>-331.637328</v>
      </c>
      <c r="D17" s="4" t="n">
        <f aca="false">-D6*Assumptions!D18/100</f>
        <v>-353.304300096</v>
      </c>
      <c r="E17" s="4" t="n">
        <f aca="false">-E6*Assumptions!E18/100</f>
        <v>-285.68787074784</v>
      </c>
      <c r="F17" s="4" t="n">
        <f aca="false">-F6*Assumptions!F18/100</f>
        <v>-203.61753696937</v>
      </c>
      <c r="G17" s="4" t="n">
        <f aca="false">-G6*Assumptions!G18/100</f>
        <v>-128.286320345595</v>
      </c>
      <c r="H17" s="4" t="n">
        <f aca="false">-H6*Assumptions!H18/100</f>
        <v>-129.569183549051</v>
      </c>
      <c r="I17" s="4" t="n">
        <f aca="false">-I6*Assumptions!I18/100</f>
        <v>-126.97779987807</v>
      </c>
      <c r="J17" s="4" t="n">
        <f aca="false">-J6*Assumptions!J18/100</f>
        <v>-124.438243880508</v>
      </c>
      <c r="K17" s="4" t="n">
        <f aca="false">-K6*Assumptions!K18/100</f>
        <v>-121.949479002898</v>
      </c>
      <c r="L17" s="4" t="n">
        <f aca="false">-L6*Assumptions!L18/100</f>
        <v>-119.51048942284</v>
      </c>
    </row>
    <row r="18" customFormat="false" ht="15" hidden="false" customHeight="false" outlineLevel="0" collapsed="false">
      <c r="A18" s="0" t="s">
        <v>127</v>
      </c>
      <c r="C18" s="4" t="n">
        <f aca="false">(C6-B6)*Assumptions!$B$23/100</f>
        <v>-4.180848</v>
      </c>
      <c r="D18" s="4" t="n">
        <f aca="false">(D6-C6)*Assumptions!$B$23/100</f>
        <v>7.597509696</v>
      </c>
      <c r="E18" s="4" t="n">
        <f aca="false">(E6-D6)*Assumptions!$B$23/100</f>
        <v>6.968363535936</v>
      </c>
      <c r="F18" s="4" t="n">
        <f aca="false">(F6-E6)*Assumptions!$B$23/100</f>
        <v>-6.2331899072256</v>
      </c>
      <c r="G18" s="4" t="n">
        <f aca="false">(G6-F6)*Assumptions!$B$23/100</f>
        <v>-7.78837078907839</v>
      </c>
      <c r="H18" s="4" t="n">
        <f aca="false">(H6-G6)*Assumptions!$B$23/100</f>
        <v>-0.29604535464368</v>
      </c>
      <c r="I18" s="4" t="n">
        <f aca="false">(I6-H6)*Assumptions!$B$23/100</f>
        <v>0.598011616380233</v>
      </c>
      <c r="J18" s="4" t="n">
        <f aca="false">(J6-I6)*Assumptions!$B$23/100</f>
        <v>0.58605138405263</v>
      </c>
      <c r="K18" s="4" t="n">
        <f aca="false">(K6-J6)*Assumptions!$B$23/100</f>
        <v>0.574330356371578</v>
      </c>
      <c r="L18" s="4" t="n">
        <f aca="false">(L6-K6)*Assumptions!$B$23/100</f>
        <v>0.562843749244144</v>
      </c>
    </row>
    <row r="19" customFormat="false" ht="15" hidden="false" customHeight="false" outlineLevel="0" collapsed="false">
      <c r="A19" s="0" t="s">
        <v>128</v>
      </c>
      <c r="C19" s="0" t="n">
        <f aca="false">C15+C16+C17+C18</f>
        <v>-34.168902144</v>
      </c>
      <c r="D19" s="0" t="n">
        <f aca="false">D15+D16+D17+D18</f>
        <v>-163.371703099392</v>
      </c>
      <c r="E19" s="0" t="n">
        <f aca="false">E15+E16+E17+E18</f>
        <v>-180.359770475884</v>
      </c>
      <c r="F19" s="0" t="n">
        <f aca="false">F15+F16+F17+F18</f>
        <v>-63.7115117717219</v>
      </c>
      <c r="G19" s="0" t="n">
        <f aca="false">G15+G16+G17+G18</f>
        <v>78.4200364831612</v>
      </c>
      <c r="H19" s="0" t="n">
        <f aca="false">H15+H16+H17+H18</f>
        <v>86.7744459903183</v>
      </c>
      <c r="I19" s="0" t="n">
        <f aca="false">I15+I16+I17+I18</f>
        <v>85.927093134443</v>
      </c>
      <c r="J19" s="0" t="n">
        <f aca="false">J15+J16+J17+J18</f>
        <v>84.2085512717541</v>
      </c>
      <c r="K19" s="0" t="n">
        <f aca="false">K15+K16+K17+K18</f>
        <v>82.524380246319</v>
      </c>
      <c r="L19" s="0" t="n">
        <f aca="false">L15+L16+L17+L18</f>
        <v>80.8738926413927</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-30.7827947243243</v>
      </c>
      <c r="D21" s="0" t="n">
        <f aca="false">D19*D20</f>
        <v>-132.596139192754</v>
      </c>
      <c r="E21" s="0" t="n">
        <f aca="false">E19*E20</f>
        <v>-131.877509705384</v>
      </c>
      <c r="F21" s="0" t="n">
        <f aca="false">F19*F20</f>
        <v>-41.968746213637</v>
      </c>
      <c r="G21" s="0" t="n">
        <f aca="false">G19*G20</f>
        <v>46.5384747973326</v>
      </c>
      <c r="H21" s="0" t="n">
        <f aca="false">H19*H20</f>
        <v>46.3931623554054</v>
      </c>
      <c r="I21" s="0" t="n">
        <f aca="false">I19*I20</f>
        <v>41.3875071316019</v>
      </c>
      <c r="J21" s="0" t="n">
        <f aca="false">J19*J20</f>
        <v>36.5403216116845</v>
      </c>
      <c r="K21" s="0" t="n">
        <f aca="false">K19*K20</f>
        <v>32.2608244859917</v>
      </c>
      <c r="L21" s="0" t="n">
        <f aca="false">L19*L20</f>
        <v>28.4825297263711</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11</v>
      </c>
    </row>
    <row r="28" customFormat="false" ht="15" hidden="false" customHeight="false" outlineLevel="0" collapsed="false">
      <c r="A28" s="0" t="s">
        <v>111</v>
      </c>
      <c r="B28" s="4" t="n">
        <f aca="false">Assumptions!$B$21</f>
        <v>1.5</v>
      </c>
    </row>
    <row r="29" customFormat="false" ht="15" hidden="false" customHeight="false" outlineLevel="0" collapsed="false">
      <c r="A29" s="0" t="s">
        <v>112</v>
      </c>
      <c r="B29" s="4" t="n">
        <f aca="false">Assumptions!$B$22</f>
        <v>10</v>
      </c>
    </row>
    <row r="30" customFormat="false" ht="15" hidden="false" customHeight="false" outlineLevel="0" collapsed="false">
      <c r="A30" s="0" t="s">
        <v>133</v>
      </c>
      <c r="B30" s="0" t="n">
        <f aca="false">SUM(C21:L21)</f>
        <v>-105.622369727712</v>
      </c>
    </row>
    <row r="31" customFormat="false" ht="15" hidden="false" customHeight="false" outlineLevel="0" collapsed="false">
      <c r="A31" s="0" t="s">
        <v>134</v>
      </c>
      <c r="B31" s="0" t="n">
        <f aca="false">L19</f>
        <v>80.8738926413927</v>
      </c>
    </row>
    <row r="32" customFormat="false" ht="15" hidden="false" customHeight="false" outlineLevel="0" collapsed="false">
      <c r="A32" s="0" t="s">
        <v>135</v>
      </c>
      <c r="B32" s="0" t="n">
        <f aca="false">IF(B27&gt;B28,B31*(1+B28/100)/((B27-B28)/100),B31*B29)</f>
        <v>864.073695063301</v>
      </c>
    </row>
    <row r="33" customFormat="false" ht="15" hidden="false" customHeight="false" outlineLevel="0" collapsed="false">
      <c r="A33" s="0" t="s">
        <v>136</v>
      </c>
      <c r="B33" s="0" t="n">
        <f aca="false">B31*B29</f>
        <v>808.738926413927</v>
      </c>
    </row>
    <row r="34" customFormat="false" ht="15" hidden="false" customHeight="false" outlineLevel="0" collapsed="false">
      <c r="A34" s="0" t="s">
        <v>137</v>
      </c>
      <c r="B34" s="0" t="n">
        <f aca="false">MAX(0,MIN(B32,B33))</f>
        <v>808.738926413927</v>
      </c>
    </row>
    <row r="35" customFormat="false" ht="15" hidden="false" customHeight="false" outlineLevel="0" collapsed="false">
      <c r="A35" s="0" t="s">
        <v>138</v>
      </c>
      <c r="B35" s="0" t="n">
        <f aca="false">B34/(1+B27/100)^L4</f>
        <v>284.825297263711</v>
      </c>
    </row>
    <row r="36" customFormat="false" ht="15" hidden="false" customHeight="false" outlineLevel="0" collapsed="false">
      <c r="A36" s="0" t="s">
        <v>139</v>
      </c>
      <c r="B36" s="0" t="n">
        <f aca="false">B30+B35</f>
        <v>179.202927535999</v>
      </c>
    </row>
    <row r="37" customFormat="false" ht="15" hidden="false" customHeight="false" outlineLevel="0" collapsed="false">
      <c r="A37" s="0" t="s">
        <v>140</v>
      </c>
      <c r="B37" s="0" t="n">
        <f aca="false">B36+Assumptions!$B$5-Assumptions!$B$4</f>
        <v>108.402927535999</v>
      </c>
    </row>
    <row r="38" customFormat="false" ht="15" hidden="false" customHeight="false" outlineLevel="0" collapsed="false">
      <c r="A38" s="0" t="s">
        <v>141</v>
      </c>
      <c r="B38" s="0" t="n">
        <f aca="false">B37/Assumptions!$B$3*Assumptions!$B$10</f>
        <v>0.0717499681559108</v>
      </c>
    </row>
    <row r="39" customFormat="false" ht="15" hidden="false" customHeight="false" outlineLevel="0" collapsed="false">
      <c r="A39" s="0" t="s">
        <v>142</v>
      </c>
      <c r="B39" s="4" t="n">
        <f aca="false">B38/Assumptions!$B$2-1</f>
        <v>-0.940702505656272</v>
      </c>
    </row>
    <row r="41" customFormat="false" ht="15" hidden="false" customHeight="false" outlineLevel="0" collapsed="false">
      <c r="A41" s="0" t="s">
        <v>143</v>
      </c>
      <c r="B41" s="0" t="n">
        <f aca="false">SUMPRODUCT(-C10:L10/(1+$B$27/100)^C4:L4)</f>
        <v>10.1382347289433</v>
      </c>
    </row>
    <row r="42" customFormat="false" ht="15" hidden="false" customHeight="false" outlineLevel="0" collapsed="false">
      <c r="A42" s="0" t="s">
        <v>144</v>
      </c>
      <c r="B42" s="0" t="n">
        <f aca="false">IF(B27&gt;B28,-L10*(1+B28/100)/((B27-B28)/100),-L10*20)/(1+B27/100)^L4</f>
        <v>6.91839441568362</v>
      </c>
    </row>
    <row r="43" customFormat="false" ht="15" hidden="false" customHeight="false" outlineLevel="0" collapsed="false">
      <c r="A43" s="0" t="s">
        <v>145</v>
      </c>
      <c r="B43" s="0" t="n">
        <f aca="false">(B37+B41+B42)/Assumptions!$B$3*Assumptions!$B$10</f>
        <v>0.0830394473774729</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608.051859488989</v>
      </c>
    </row>
    <row r="47" customFormat="false" ht="15" hidden="false" customHeight="false" outlineLevel="0" collapsed="false">
      <c r="A47" s="0" t="s">
        <v>147</v>
      </c>
      <c r="B47" s="0" t="n">
        <f aca="false">(SUMPRODUCT(C19:L19/(1+B45/100)^C4:L4)+B46/(1+B45/100)^L4+Assumptions!$B$5-Assumptions!$B$4)/Assumptions!$B$3*Assumptions!$B$10</f>
        <v>-0.0324164166276053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22</v>
      </c>
      <c r="D5" s="4" t="n">
        <f aca="false">Assumptions!D27</f>
        <v>-10.8</v>
      </c>
      <c r="E5" s="4" t="n">
        <f aca="false">Assumptions!E27</f>
        <v>22.5</v>
      </c>
      <c r="F5" s="4" t="n">
        <f aca="false">Assumptions!F27</f>
        <v>24.6</v>
      </c>
      <c r="G5" s="4" t="n">
        <f aca="false">Assumptions!G27</f>
        <v>-4.2</v>
      </c>
      <c r="H5" s="4" t="n">
        <f aca="false">Assumptions!H27</f>
        <v>-0.2</v>
      </c>
      <c r="I5" s="4" t="n">
        <f aca="false">Assumptions!I27</f>
        <v>-0.3</v>
      </c>
      <c r="J5" s="4" t="n">
        <f aca="false">Assumptions!J27</f>
        <v>-2.6</v>
      </c>
      <c r="K5" s="4" t="n">
        <f aca="false">Assumptions!K27</f>
        <v>-0.4</v>
      </c>
      <c r="L5" s="4" t="n">
        <f aca="false">Assumptions!L27</f>
        <v>-0.5</v>
      </c>
    </row>
    <row r="6" customFormat="false" ht="15" hidden="false" customHeight="false" outlineLevel="0" collapsed="false">
      <c r="A6" s="0" t="s">
        <v>38</v>
      </c>
      <c r="B6" s="3" t="n">
        <v>865.6</v>
      </c>
      <c r="C6" s="0" t="n">
        <f aca="false">B6*(1+C5/100)</f>
        <v>1056.032</v>
      </c>
      <c r="D6" s="0" t="n">
        <f aca="false">C6*(1+D5/100)</f>
        <v>941.980544</v>
      </c>
      <c r="E6" s="0" t="n">
        <f aca="false">D6*(1+E5/100)</f>
        <v>1153.9261664</v>
      </c>
      <c r="F6" s="0" t="n">
        <f aca="false">E6*(1+F5/100)</f>
        <v>1437.7920033344</v>
      </c>
      <c r="G6" s="0" t="n">
        <f aca="false">F6*(1+G5/100)</f>
        <v>1377.40473919436</v>
      </c>
      <c r="H6" s="0" t="n">
        <f aca="false">G6*(1+H5/100)</f>
        <v>1374.64992971597</v>
      </c>
      <c r="I6" s="0" t="n">
        <f aca="false">H6*(1+I5/100)</f>
        <v>1370.52597992682</v>
      </c>
      <c r="J6" s="0" t="n">
        <f aca="false">I6*(1+J5/100)</f>
        <v>1334.89230444872</v>
      </c>
      <c r="K6" s="0" t="n">
        <f aca="false">J6*(1+K5/100)</f>
        <v>1329.55273523093</v>
      </c>
      <c r="L6" s="0" t="n">
        <f aca="false">K6*(1+L5/100)</f>
        <v>1322.90497155477</v>
      </c>
    </row>
    <row r="7" customFormat="false" ht="15" hidden="false" customHeight="false" outlineLevel="0" collapsed="false">
      <c r="A7" s="0" t="s">
        <v>104</v>
      </c>
      <c r="C7" s="4" t="n">
        <f aca="false">Assumptions!C28</f>
        <v>48</v>
      </c>
      <c r="D7" s="4" t="n">
        <f aca="false">Assumptions!D28</f>
        <v>43</v>
      </c>
      <c r="E7" s="4" t="n">
        <f aca="false">Assumptions!E28</f>
        <v>43</v>
      </c>
      <c r="F7" s="4" t="n">
        <f aca="false">Assumptions!F28</f>
        <v>43</v>
      </c>
      <c r="G7" s="4" t="n">
        <f aca="false">Assumptions!G28</f>
        <v>43</v>
      </c>
      <c r="H7" s="4" t="n">
        <f aca="false">Assumptions!H28</f>
        <v>43</v>
      </c>
      <c r="I7" s="4" t="n">
        <f aca="false">Assumptions!I28</f>
        <v>43</v>
      </c>
      <c r="J7" s="4" t="n">
        <f aca="false">Assumptions!J28</f>
        <v>42</v>
      </c>
      <c r="K7" s="4" t="n">
        <f aca="false">Assumptions!K28</f>
        <v>42</v>
      </c>
      <c r="L7" s="4" t="n">
        <f aca="false">Assumptions!L28</f>
        <v>42</v>
      </c>
    </row>
    <row r="8" customFormat="false" ht="15" hidden="false" customHeight="false" outlineLevel="0" collapsed="false">
      <c r="A8" s="0" t="s">
        <v>44</v>
      </c>
      <c r="C8" s="0" t="n">
        <f aca="false">C6*C7/100</f>
        <v>506.89536</v>
      </c>
      <c r="D8" s="0" t="n">
        <f aca="false">D6*D7/100</f>
        <v>405.05163392</v>
      </c>
      <c r="E8" s="0" t="n">
        <f aca="false">E6*E7/100</f>
        <v>496.188251552</v>
      </c>
      <c r="F8" s="0" t="n">
        <f aca="false">F6*F7/100</f>
        <v>618.250561433792</v>
      </c>
      <c r="G8" s="0" t="n">
        <f aca="false">G6*G7/100</f>
        <v>592.284037853573</v>
      </c>
      <c r="H8" s="0" t="n">
        <f aca="false">H6*H7/100</f>
        <v>591.099469777866</v>
      </c>
      <c r="I8" s="0" t="n">
        <f aca="false">I6*I7/100</f>
        <v>589.326171368532</v>
      </c>
      <c r="J8" s="0" t="n">
        <f aca="false">J6*J7/100</f>
        <v>560.654767868463</v>
      </c>
      <c r="K8" s="0" t="n">
        <f aca="false">K6*K7/100</f>
        <v>558.412148796989</v>
      </c>
      <c r="L8" s="0" t="n">
        <f aca="false">L6*L7/100</f>
        <v>555.620088053004</v>
      </c>
    </row>
    <row r="9" customFormat="false" ht="15" hidden="false" customHeight="false" outlineLevel="0" collapsed="false">
      <c r="A9" s="0" t="s">
        <v>105</v>
      </c>
      <c r="C9" s="4" t="n">
        <f aca="false">Assumptions!C29</f>
        <v>0.2</v>
      </c>
      <c r="D9" s="4" t="n">
        <f aca="false">Assumptions!D29</f>
        <v>0.2</v>
      </c>
      <c r="E9" s="4" t="n">
        <f aca="false">Assumptions!E29</f>
        <v>0.2</v>
      </c>
      <c r="F9" s="4" t="n">
        <f aca="false">Assumptions!F29</f>
        <v>0.2</v>
      </c>
      <c r="G9" s="4" t="n">
        <f aca="false">Assumptions!G29</f>
        <v>0.2</v>
      </c>
      <c r="H9" s="4" t="n">
        <f aca="false">Assumptions!H29</f>
        <v>0.2</v>
      </c>
      <c r="I9" s="4" t="n">
        <f aca="false">Assumptions!I29</f>
        <v>0.2</v>
      </c>
      <c r="J9" s="4" t="n">
        <f aca="false">Assumptions!J29</f>
        <v>0.2</v>
      </c>
      <c r="K9" s="4" t="n">
        <f aca="false">Assumptions!K29</f>
        <v>0.2</v>
      </c>
      <c r="L9" s="4" t="n">
        <f aca="false">Assumptions!L29</f>
        <v>0.2</v>
      </c>
    </row>
    <row r="10" customFormat="false" ht="15" hidden="false" customHeight="false" outlineLevel="0" collapsed="false">
      <c r="A10" s="0" t="s">
        <v>120</v>
      </c>
      <c r="C10" s="0" t="n">
        <f aca="false">-C6*C9/100</f>
        <v>-2.112064</v>
      </c>
      <c r="D10" s="0" t="n">
        <f aca="false">-D6*D9/100</f>
        <v>-1.883961088</v>
      </c>
      <c r="E10" s="0" t="n">
        <f aca="false">-E6*E9/100</f>
        <v>-2.3078523328</v>
      </c>
      <c r="F10" s="0" t="n">
        <f aca="false">-F6*F9/100</f>
        <v>-2.8755840066688</v>
      </c>
      <c r="G10" s="0" t="n">
        <f aca="false">-G6*G9/100</f>
        <v>-2.75480947838871</v>
      </c>
      <c r="H10" s="0" t="n">
        <f aca="false">-H6*H9/100</f>
        <v>-2.74929985943193</v>
      </c>
      <c r="I10" s="0" t="n">
        <f aca="false">-I6*I9/100</f>
        <v>-2.74105195985364</v>
      </c>
      <c r="J10" s="0" t="n">
        <f aca="false">-J6*J9/100</f>
        <v>-2.66978460889744</v>
      </c>
      <c r="K10" s="0" t="n">
        <f aca="false">-K6*K9/100</f>
        <v>-2.65910547046185</v>
      </c>
      <c r="L10" s="0" t="n">
        <f aca="false">-L6*L9/100</f>
        <v>-2.64580994310954</v>
      </c>
    </row>
    <row r="11" customFormat="false" ht="15" hidden="false" customHeight="false" outlineLevel="0" collapsed="false">
      <c r="A11" s="0" t="s">
        <v>121</v>
      </c>
      <c r="C11" s="0" t="n">
        <f aca="false">C8+C10+C24</f>
        <v>504.783296</v>
      </c>
      <c r="D11" s="0" t="n">
        <f aca="false">D8+D10+D24</f>
        <v>403.167672832</v>
      </c>
      <c r="E11" s="0" t="n">
        <f aca="false">E8+E10+E24</f>
        <v>493.8803992192</v>
      </c>
      <c r="F11" s="0" t="n">
        <f aca="false">F8+F10+F24</f>
        <v>615.374977427123</v>
      </c>
      <c r="G11" s="0" t="n">
        <f aca="false">G8+G10+G24</f>
        <v>589.529228375184</v>
      </c>
      <c r="H11" s="0" t="n">
        <f aca="false">H8+H10+H24</f>
        <v>588.350169918434</v>
      </c>
      <c r="I11" s="0" t="n">
        <f aca="false">I8+I10+I24</f>
        <v>586.585119408678</v>
      </c>
      <c r="J11" s="0" t="n">
        <f aca="false">J8+J10+J24</f>
        <v>557.984983259566</v>
      </c>
      <c r="K11" s="0" t="n">
        <f aca="false">K8+K10+K24</f>
        <v>555.753043326527</v>
      </c>
      <c r="L11" s="0" t="n">
        <f aca="false">L8+L10+L24</f>
        <v>552.974278109895</v>
      </c>
    </row>
    <row r="12" customFormat="false" ht="15" hidden="false" customHeight="false" outlineLevel="0" collapsed="false">
      <c r="A12" s="0" t="s">
        <v>122</v>
      </c>
      <c r="C12" s="4" t="n">
        <f aca="false">-C6*Assumptions!C31/100</f>
        <v>-147.84448</v>
      </c>
      <c r="D12" s="4" t="n">
        <f aca="false">-D6*Assumptions!D31/100</f>
        <v>-127.16737344</v>
      </c>
      <c r="E12" s="4" t="n">
        <f aca="false">-E6*Assumptions!E31/100</f>
        <v>-150.010401632</v>
      </c>
      <c r="F12" s="4" t="n">
        <f aca="false">-F6*Assumptions!F31/100</f>
        <v>-172.535040400128</v>
      </c>
      <c r="G12" s="4" t="n">
        <f aca="false">-G6*Assumptions!G31/100</f>
        <v>-165.288568703323</v>
      </c>
      <c r="H12" s="4" t="n">
        <f aca="false">-H6*Assumptions!H31/100</f>
        <v>-164.957991565916</v>
      </c>
      <c r="I12" s="4" t="n">
        <f aca="false">-I6*Assumptions!I31/100</f>
        <v>-164.463117591218</v>
      </c>
      <c r="J12" s="4" t="n">
        <f aca="false">-J6*Assumptions!J31/100</f>
        <v>-160.187076533847</v>
      </c>
      <c r="K12" s="4" t="n">
        <f aca="false">-K6*Assumptions!K31/100</f>
        <v>-159.546328227711</v>
      </c>
      <c r="L12" s="4" t="n">
        <f aca="false">-L6*Assumptions!L31/100</f>
        <v>-158.748596586573</v>
      </c>
    </row>
    <row r="13" customFormat="false" ht="15" hidden="false" customHeight="false" outlineLevel="0" collapsed="false">
      <c r="A13" s="0" t="s">
        <v>123</v>
      </c>
      <c r="C13" s="0" t="n">
        <f aca="false">C11+C12</f>
        <v>356.938816</v>
      </c>
      <c r="D13" s="0" t="n">
        <f aca="false">D11+D12</f>
        <v>276.000299392</v>
      </c>
      <c r="E13" s="0" t="n">
        <f aca="false">E11+E12</f>
        <v>343.8699975872</v>
      </c>
      <c r="F13" s="0" t="n">
        <f aca="false">F11+F12</f>
        <v>442.839937026995</v>
      </c>
      <c r="G13" s="0" t="n">
        <f aca="false">G11+G12</f>
        <v>424.240659671861</v>
      </c>
      <c r="H13" s="0" t="n">
        <f aca="false">H11+H12</f>
        <v>423.392178352518</v>
      </c>
      <c r="I13" s="0" t="n">
        <f aca="false">I11+I12</f>
        <v>422.12200181746</v>
      </c>
      <c r="J13" s="0" t="n">
        <f aca="false">J11+J12</f>
        <v>397.797906725719</v>
      </c>
      <c r="K13" s="0" t="n">
        <f aca="false">K11+K12</f>
        <v>396.206715098816</v>
      </c>
      <c r="L13" s="0" t="n">
        <f aca="false">L11+L12</f>
        <v>394.225681523322</v>
      </c>
    </row>
    <row r="14" customFormat="false" ht="15" hidden="false" customHeight="false" outlineLevel="0" collapsed="false">
      <c r="A14" s="0" t="s">
        <v>109</v>
      </c>
      <c r="C14" s="4" t="n">
        <f aca="false">Assumptions!C33</f>
        <v>42</v>
      </c>
      <c r="D14" s="4" t="n">
        <f aca="false">Assumptions!D33</f>
        <v>42</v>
      </c>
      <c r="E14" s="4" t="n">
        <f aca="false">Assumptions!E33</f>
        <v>42</v>
      </c>
      <c r="F14" s="4" t="n">
        <f aca="false">Assumptions!F33</f>
        <v>42</v>
      </c>
      <c r="G14" s="4" t="n">
        <f aca="false">Assumptions!G33</f>
        <v>42</v>
      </c>
      <c r="H14" s="4" t="n">
        <f aca="false">Assumptions!H33</f>
        <v>42</v>
      </c>
      <c r="I14" s="4" t="n">
        <f aca="false">Assumptions!I33</f>
        <v>42</v>
      </c>
      <c r="J14" s="4" t="n">
        <f aca="false">Assumptions!J33</f>
        <v>42</v>
      </c>
      <c r="K14" s="4" t="n">
        <f aca="false">Assumptions!K33</f>
        <v>42</v>
      </c>
      <c r="L14" s="4" t="n">
        <f aca="false">Assumptions!L33</f>
        <v>42</v>
      </c>
    </row>
    <row r="15" customFormat="false" ht="15" hidden="false" customHeight="false" outlineLevel="0" collapsed="false">
      <c r="A15" s="0" t="s">
        <v>124</v>
      </c>
      <c r="C15" s="0" t="n">
        <f aca="false">C13-MAX(0,C13)*C14/100</f>
        <v>207.02451328</v>
      </c>
      <c r="D15" s="0" t="n">
        <f aca="false">D13-MAX(0,D13)*D14/100</f>
        <v>160.08017364736</v>
      </c>
      <c r="E15" s="0" t="n">
        <f aca="false">E13-MAX(0,E13)*E14/100</f>
        <v>199.444598600576</v>
      </c>
      <c r="F15" s="0" t="n">
        <f aca="false">F13-MAX(0,F13)*F14/100</f>
        <v>256.847163475657</v>
      </c>
      <c r="G15" s="0" t="n">
        <f aca="false">G13-MAX(0,G13)*G14/100</f>
        <v>246.05958260968</v>
      </c>
      <c r="H15" s="0" t="n">
        <f aca="false">H13-MAX(0,H13)*H14/100</f>
        <v>245.56746344446</v>
      </c>
      <c r="I15" s="0" t="n">
        <f aca="false">I13-MAX(0,I13)*I14/100</f>
        <v>244.830761054127</v>
      </c>
      <c r="J15" s="0" t="n">
        <f aca="false">J13-MAX(0,J13)*J14/100</f>
        <v>230.722785900917</v>
      </c>
      <c r="K15" s="0" t="n">
        <f aca="false">K13-MAX(0,K13)*K14/100</f>
        <v>229.799894757313</v>
      </c>
      <c r="L15" s="0" t="n">
        <f aca="false">L13-MAX(0,L13)*L14/100</f>
        <v>228.650895283527</v>
      </c>
    </row>
    <row r="16" customFormat="false" ht="15" hidden="false" customHeight="false" outlineLevel="0" collapsed="false">
      <c r="A16" s="0" t="s">
        <v>125</v>
      </c>
      <c r="C16" s="0" t="n">
        <f aca="false">-C12</f>
        <v>147.84448</v>
      </c>
      <c r="D16" s="0" t="n">
        <f aca="false">-D12</f>
        <v>127.16737344</v>
      </c>
      <c r="E16" s="0" t="n">
        <f aca="false">-E12</f>
        <v>150.010401632</v>
      </c>
      <c r="F16" s="0" t="n">
        <f aca="false">-F12</f>
        <v>172.535040400128</v>
      </c>
      <c r="G16" s="0" t="n">
        <f aca="false">-G12</f>
        <v>165.288568703323</v>
      </c>
      <c r="H16" s="0" t="n">
        <f aca="false">-H12</f>
        <v>164.957991565916</v>
      </c>
      <c r="I16" s="0" t="n">
        <f aca="false">-I12</f>
        <v>164.463117591218</v>
      </c>
      <c r="J16" s="0" t="n">
        <f aca="false">-J12</f>
        <v>160.187076533847</v>
      </c>
      <c r="K16" s="0" t="n">
        <f aca="false">-K12</f>
        <v>159.546328227711</v>
      </c>
      <c r="L16" s="0" t="n">
        <f aca="false">-L12</f>
        <v>158.748596586573</v>
      </c>
    </row>
    <row r="17" customFormat="false" ht="15" hidden="false" customHeight="false" outlineLevel="0" collapsed="false">
      <c r="A17" s="0" t="s">
        <v>126</v>
      </c>
      <c r="C17" s="4" t="n">
        <f aca="false">-C6*Assumptions!C32/100</f>
        <v>-337.93024</v>
      </c>
      <c r="D17" s="4" t="n">
        <f aca="false">-D6*Assumptions!D32/100</f>
        <v>-414.47143936</v>
      </c>
      <c r="E17" s="4" t="n">
        <f aca="false">-E6*Assumptions!E32/100</f>
        <v>-161.549663296</v>
      </c>
      <c r="F17" s="4" t="n">
        <f aca="false">-F6*Assumptions!F32/100</f>
        <v>-158.157120366784</v>
      </c>
      <c r="G17" s="4" t="n">
        <f aca="false">-G6*Assumptions!G32/100</f>
        <v>-165.288568703323</v>
      </c>
      <c r="H17" s="4" t="n">
        <f aca="false">-H6*Assumptions!H32/100</f>
        <v>-164.957991565916</v>
      </c>
      <c r="I17" s="4" t="n">
        <f aca="false">-I6*Assumptions!I32/100</f>
        <v>-164.463117591218</v>
      </c>
      <c r="J17" s="4" t="n">
        <f aca="false">-J6*Assumptions!J32/100</f>
        <v>-160.187076533847</v>
      </c>
      <c r="K17" s="4" t="n">
        <f aca="false">-K6*Assumptions!K32/100</f>
        <v>-159.546328227711</v>
      </c>
      <c r="L17" s="4" t="n">
        <f aca="false">-L6*Assumptions!L32/100</f>
        <v>-158.748596586573</v>
      </c>
    </row>
    <row r="18" customFormat="false" ht="15" hidden="false" customHeight="false" outlineLevel="0" collapsed="false">
      <c r="A18" s="0" t="s">
        <v>127</v>
      </c>
      <c r="C18" s="4" t="n">
        <f aca="false">(C6-B6)*Assumptions!$B$37/100</f>
        <v>-5.71296</v>
      </c>
      <c r="D18" s="4" t="n">
        <f aca="false">(D6-C6)*Assumptions!$B$37/100</f>
        <v>3.42154368</v>
      </c>
      <c r="E18" s="4" t="n">
        <f aca="false">(E6-D6)*Assumptions!$B$37/100</f>
        <v>-6.358368672</v>
      </c>
      <c r="F18" s="4" t="n">
        <f aca="false">(F6-E6)*Assumptions!$B$37/100</f>
        <v>-8.515975108032</v>
      </c>
      <c r="G18" s="4" t="n">
        <f aca="false">(G6-F6)*Assumptions!$B$37/100</f>
        <v>1.81161792420135</v>
      </c>
      <c r="H18" s="4" t="n">
        <f aca="false">(H6-G6)*Assumptions!$B$37/100</f>
        <v>0.0826442843516634</v>
      </c>
      <c r="I18" s="4" t="n">
        <f aca="false">(I6-H6)*Assumptions!$B$37/100</f>
        <v>0.123718493674437</v>
      </c>
      <c r="J18" s="4" t="n">
        <f aca="false">(J6-I6)*Assumptions!$B$37/100</f>
        <v>1.06901026434292</v>
      </c>
      <c r="K18" s="4" t="n">
        <f aca="false">(K6-J6)*Assumptions!$B$37/100</f>
        <v>0.160187076533846</v>
      </c>
      <c r="L18" s="4" t="n">
        <f aca="false">(L6-K6)*Assumptions!$B$37/100</f>
        <v>0.19943291028464</v>
      </c>
    </row>
    <row r="19" customFormat="false" ht="15" hidden="false" customHeight="false" outlineLevel="0" collapsed="false">
      <c r="A19" s="0" t="s">
        <v>128</v>
      </c>
      <c r="C19" s="0" t="n">
        <f aca="false">C15+C16+C17+C18</f>
        <v>11.22579328</v>
      </c>
      <c r="D19" s="0" t="n">
        <f aca="false">D15+D16+D17+D18</f>
        <v>-123.80234859264</v>
      </c>
      <c r="E19" s="0" t="n">
        <f aca="false">E15+E16+E17+E18</f>
        <v>181.546968264576</v>
      </c>
      <c r="F19" s="0" t="n">
        <f aca="false">F15+F16+F17+F18</f>
        <v>262.709108400969</v>
      </c>
      <c r="G19" s="0" t="n">
        <f aca="false">G15+G16+G17+G18</f>
        <v>247.871200533881</v>
      </c>
      <c r="H19" s="0" t="n">
        <f aca="false">H15+H16+H17+H18</f>
        <v>245.650107728812</v>
      </c>
      <c r="I19" s="0" t="n">
        <f aca="false">I15+I16+I17+I18</f>
        <v>244.954479547801</v>
      </c>
      <c r="J19" s="0" t="n">
        <f aca="false">J15+J16+J17+J18</f>
        <v>231.79179616526</v>
      </c>
      <c r="K19" s="0" t="n">
        <f aca="false">K15+K16+K17+K18</f>
        <v>229.960081833847</v>
      </c>
      <c r="L19" s="0" t="n">
        <f aca="false">L15+L16+L17+L18</f>
        <v>228.850328193811</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10.1133272792792</v>
      </c>
      <c r="D21" s="0" t="n">
        <f aca="false">D19*D20</f>
        <v>-100.480763406087</v>
      </c>
      <c r="E21" s="0" t="n">
        <f aca="false">E19*E20</f>
        <v>132.745578496375</v>
      </c>
      <c r="F21" s="0" t="n">
        <f aca="false">F19*F20</f>
        <v>173.054626893735</v>
      </c>
      <c r="G21" s="0" t="n">
        <f aca="false">G19*G20</f>
        <v>147.099493144301</v>
      </c>
      <c r="H21" s="0" t="n">
        <f aca="false">H19*H20</f>
        <v>131.334578981434</v>
      </c>
      <c r="I21" s="0" t="n">
        <f aca="false">I19*I20</f>
        <v>117.984385359578</v>
      </c>
      <c r="J21" s="0" t="n">
        <f aca="false">J19*J20</f>
        <v>100.580601980616</v>
      </c>
      <c r="K21" s="0" t="n">
        <f aca="false">K19*K20</f>
        <v>89.8970924311418</v>
      </c>
      <c r="L21" s="0" t="n">
        <f aca="false">L19*L20</f>
        <v>80.5975335523032</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11</v>
      </c>
    </row>
    <row r="28" customFormat="false" ht="15" hidden="false" customHeight="false" outlineLevel="0" collapsed="false">
      <c r="A28" s="0" t="s">
        <v>111</v>
      </c>
      <c r="B28" s="4" t="n">
        <f aca="false">Assumptions!$B$35</f>
        <v>2</v>
      </c>
    </row>
    <row r="29" customFormat="false" ht="15" hidden="false" customHeight="false" outlineLevel="0" collapsed="false">
      <c r="A29" s="0" t="s">
        <v>112</v>
      </c>
      <c r="B29" s="4" t="n">
        <f aca="false">Assumptions!$B$36</f>
        <v>12</v>
      </c>
    </row>
    <row r="30" customFormat="false" ht="15" hidden="false" customHeight="false" outlineLevel="0" collapsed="false">
      <c r="A30" s="0" t="s">
        <v>133</v>
      </c>
      <c r="B30" s="0" t="n">
        <f aca="false">SUM(C21:L21)</f>
        <v>882.926454712676</v>
      </c>
    </row>
    <row r="31" customFormat="false" ht="15" hidden="false" customHeight="false" outlineLevel="0" collapsed="false">
      <c r="A31" s="0" t="s">
        <v>134</v>
      </c>
      <c r="B31" s="0" t="n">
        <f aca="false">L19</f>
        <v>228.850328193811</v>
      </c>
    </row>
    <row r="32" customFormat="false" ht="15" hidden="false" customHeight="false" outlineLevel="0" collapsed="false">
      <c r="A32" s="0" t="s">
        <v>135</v>
      </c>
      <c r="B32" s="0" t="n">
        <f aca="false">IF(B27&gt;B28,B31*(1+B28/100)/((B27-B28)/100),B31*B29)</f>
        <v>2593.6370528632</v>
      </c>
    </row>
    <row r="33" customFormat="false" ht="15" hidden="false" customHeight="false" outlineLevel="0" collapsed="false">
      <c r="A33" s="0" t="s">
        <v>136</v>
      </c>
      <c r="B33" s="0" t="n">
        <f aca="false">B31*B29</f>
        <v>2746.20393832574</v>
      </c>
    </row>
    <row r="34" customFormat="false" ht="15" hidden="false" customHeight="false" outlineLevel="0" collapsed="false">
      <c r="A34" s="0" t="s">
        <v>137</v>
      </c>
      <c r="B34" s="0" t="n">
        <f aca="false">MAX(0,MIN(B32,B33))</f>
        <v>2593.6370528632</v>
      </c>
    </row>
    <row r="35" customFormat="false" ht="15" hidden="false" customHeight="false" outlineLevel="0" collapsed="false">
      <c r="A35" s="0" t="s">
        <v>138</v>
      </c>
      <c r="B35" s="0" t="n">
        <f aca="false">B34/(1+B27/100)^L4</f>
        <v>913.438713592769</v>
      </c>
    </row>
    <row r="36" customFormat="false" ht="15" hidden="false" customHeight="false" outlineLevel="0" collapsed="false">
      <c r="A36" s="0" t="s">
        <v>139</v>
      </c>
      <c r="B36" s="0" t="n">
        <f aca="false">B30+B35</f>
        <v>1796.36516830545</v>
      </c>
    </row>
    <row r="37" customFormat="false" ht="15" hidden="false" customHeight="false" outlineLevel="0" collapsed="false">
      <c r="A37" s="0" t="s">
        <v>140</v>
      </c>
      <c r="B37" s="0" t="n">
        <f aca="false">B36+Assumptions!$B$5-Assumptions!$B$4</f>
        <v>1725.56516830545</v>
      </c>
    </row>
    <row r="38" customFormat="false" ht="15" hidden="false" customHeight="false" outlineLevel="0" collapsed="false">
      <c r="A38" s="0" t="s">
        <v>141</v>
      </c>
      <c r="B38" s="0" t="n">
        <f aca="false">B37/Assumptions!$B$3*Assumptions!$B$10</f>
        <v>1.14212086971313</v>
      </c>
    </row>
    <row r="39" customFormat="false" ht="15" hidden="false" customHeight="false" outlineLevel="0" collapsed="false">
      <c r="A39" s="0" t="s">
        <v>142</v>
      </c>
      <c r="B39" s="4" t="n">
        <f aca="false">B38/Assumptions!$B$2-1</f>
        <v>-0.0560984547825363</v>
      </c>
    </row>
    <row r="41" customFormat="false" ht="15" hidden="false" customHeight="false" outlineLevel="0" collapsed="false">
      <c r="A41" s="0" t="s">
        <v>143</v>
      </c>
      <c r="B41" s="0" t="n">
        <f aca="false">SUMPRODUCT(-C10:L10/(1+$B$27/100)^C4:L4)</f>
        <v>14.568341157137</v>
      </c>
    </row>
    <row r="42" customFormat="false" ht="15" hidden="false" customHeight="false" outlineLevel="0" collapsed="false">
      <c r="A42" s="0" t="s">
        <v>144</v>
      </c>
      <c r="B42" s="0" t="n">
        <f aca="false">IF(B27&gt;B28,-L10*(1+B28/100)/((B27-B28)/100),-L10*20)/(1+B27/100)^L4</f>
        <v>10.5605495518371</v>
      </c>
    </row>
    <row r="43" customFormat="false" ht="15" hidden="false" customHeight="false" outlineLevel="0" collapsed="false">
      <c r="A43" s="0" t="s">
        <v>145</v>
      </c>
      <c r="B43" s="0" t="n">
        <f aca="false">(B37+B41+B42)/Assumptions!$B$3*Assumptions!$B$10</f>
        <v>1.15875323517728</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1795.59488275144</v>
      </c>
    </row>
    <row r="47" customFormat="false" ht="15" hidden="false" customHeight="false" outlineLevel="0" collapsed="false">
      <c r="A47" s="0" t="s">
        <v>147</v>
      </c>
      <c r="B47" s="0" t="n">
        <f aca="false">(SUMPRODUCT(C19:L19/(1+B45/100)^C4:L4)+B46/(1+B45/100)^L4+Assumptions!$B$5-Assumptions!$B$4)/Assumptions!$B$3*Assumptions!$B$10</f>
        <v>0.713510791692823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88</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27.4</v>
      </c>
      <c r="D5" s="4" t="n">
        <f aca="false">Assumptions!D41</f>
        <v>13.1</v>
      </c>
      <c r="E5" s="4" t="n">
        <f aca="false">Assumptions!E41</f>
        <v>18.4</v>
      </c>
      <c r="F5" s="4" t="n">
        <f aca="false">Assumptions!F41</f>
        <v>32.1</v>
      </c>
      <c r="G5" s="4" t="n">
        <f aca="false">Assumptions!G41</f>
        <v>-3.2</v>
      </c>
      <c r="H5" s="4" t="n">
        <f aca="false">Assumptions!H41</f>
        <v>0.5</v>
      </c>
      <c r="I5" s="4" t="n">
        <f aca="false">Assumptions!I41</f>
        <v>2.5</v>
      </c>
      <c r="J5" s="4" t="n">
        <f aca="false">Assumptions!J41</f>
        <v>2.5</v>
      </c>
      <c r="K5" s="4" t="n">
        <f aca="false">Assumptions!K41</f>
        <v>2.5</v>
      </c>
      <c r="L5" s="4" t="n">
        <f aca="false">Assumptions!L41</f>
        <v>2.5</v>
      </c>
    </row>
    <row r="6" customFormat="false" ht="15" hidden="false" customHeight="false" outlineLevel="0" collapsed="false">
      <c r="A6" s="0" t="s">
        <v>38</v>
      </c>
      <c r="B6" s="3" t="n">
        <v>865.6</v>
      </c>
      <c r="C6" s="0" t="n">
        <f aca="false">B6*(1+C5/100)</f>
        <v>1102.7744</v>
      </c>
      <c r="D6" s="0" t="n">
        <f aca="false">C6*(1+D5/100)</f>
        <v>1247.2378464</v>
      </c>
      <c r="E6" s="0" t="n">
        <f aca="false">D6*(1+E5/100)</f>
        <v>1476.7296101376</v>
      </c>
      <c r="F6" s="0" t="n">
        <f aca="false">E6*(1+F5/100)</f>
        <v>1950.75981499177</v>
      </c>
      <c r="G6" s="0" t="n">
        <f aca="false">F6*(1+G5/100)</f>
        <v>1888.33550091203</v>
      </c>
      <c r="H6" s="0" t="n">
        <f aca="false">G6*(1+H5/100)</f>
        <v>1897.77717841659</v>
      </c>
      <c r="I6" s="0" t="n">
        <f aca="false">H6*(1+I5/100)</f>
        <v>1945.22160787701</v>
      </c>
      <c r="J6" s="0" t="n">
        <f aca="false">I6*(1+J5/100)</f>
        <v>1993.85214807393</v>
      </c>
      <c r="K6" s="0" t="n">
        <f aca="false">J6*(1+K5/100)</f>
        <v>2043.69845177578</v>
      </c>
      <c r="L6" s="0" t="n">
        <f aca="false">K6*(1+L5/100)</f>
        <v>2094.79091307018</v>
      </c>
    </row>
    <row r="7" customFormat="false" ht="15" hidden="false" customHeight="false" outlineLevel="0" collapsed="false">
      <c r="A7" s="0" t="s">
        <v>104</v>
      </c>
      <c r="C7" s="4" t="n">
        <f aca="false">Assumptions!C42</f>
        <v>52</v>
      </c>
      <c r="D7" s="4" t="n">
        <f aca="false">Assumptions!D42</f>
        <v>50</v>
      </c>
      <c r="E7" s="4" t="n">
        <f aca="false">Assumptions!E42</f>
        <v>50</v>
      </c>
      <c r="F7" s="4" t="n">
        <f aca="false">Assumptions!F42</f>
        <v>50</v>
      </c>
      <c r="G7" s="4" t="n">
        <f aca="false">Assumptions!G42</f>
        <v>49</v>
      </c>
      <c r="H7" s="4" t="n">
        <f aca="false">Assumptions!H42</f>
        <v>49</v>
      </c>
      <c r="I7" s="4" t="n">
        <f aca="false">Assumptions!I42</f>
        <v>49</v>
      </c>
      <c r="J7" s="4" t="n">
        <f aca="false">Assumptions!J42</f>
        <v>49</v>
      </c>
      <c r="K7" s="4" t="n">
        <f aca="false">Assumptions!K42</f>
        <v>49</v>
      </c>
      <c r="L7" s="4" t="n">
        <f aca="false">Assumptions!L42</f>
        <v>49</v>
      </c>
    </row>
    <row r="8" customFormat="false" ht="15" hidden="false" customHeight="false" outlineLevel="0" collapsed="false">
      <c r="A8" s="0" t="s">
        <v>44</v>
      </c>
      <c r="C8" s="0" t="n">
        <f aca="false">C6*C7/100</f>
        <v>573.442688</v>
      </c>
      <c r="D8" s="0" t="n">
        <f aca="false">D6*D7/100</f>
        <v>623.6189232</v>
      </c>
      <c r="E8" s="0" t="n">
        <f aca="false">E6*E7/100</f>
        <v>738.3648050688</v>
      </c>
      <c r="F8" s="0" t="n">
        <f aca="false">F6*F7/100</f>
        <v>975.379907495885</v>
      </c>
      <c r="G8" s="0" t="n">
        <f aca="false">G6*G7/100</f>
        <v>925.284395446896</v>
      </c>
      <c r="H8" s="0" t="n">
        <f aca="false">H6*H7/100</f>
        <v>929.910817424131</v>
      </c>
      <c r="I8" s="0" t="n">
        <f aca="false">I6*I7/100</f>
        <v>953.158587859734</v>
      </c>
      <c r="J8" s="0" t="n">
        <f aca="false">J6*J7/100</f>
        <v>976.987552556227</v>
      </c>
      <c r="K8" s="0" t="n">
        <f aca="false">K6*K7/100</f>
        <v>1001.41224137013</v>
      </c>
      <c r="L8" s="0" t="n">
        <f aca="false">L6*L7/100</f>
        <v>1026.44754740439</v>
      </c>
    </row>
    <row r="9" customFormat="false" ht="15" hidden="false" customHeight="false" outlineLevel="0" collapsed="false">
      <c r="A9" s="0" t="s">
        <v>105</v>
      </c>
      <c r="C9" s="4" t="n">
        <f aca="false">Assumptions!C43</f>
        <v>0.2</v>
      </c>
      <c r="D9" s="4" t="n">
        <f aca="false">Assumptions!D43</f>
        <v>0.2</v>
      </c>
      <c r="E9" s="4" t="n">
        <f aca="false">Assumptions!E43</f>
        <v>0.2</v>
      </c>
      <c r="F9" s="4" t="n">
        <f aca="false">Assumptions!F43</f>
        <v>0.2</v>
      </c>
      <c r="G9" s="4" t="n">
        <f aca="false">Assumptions!G43</f>
        <v>0.2</v>
      </c>
      <c r="H9" s="4" t="n">
        <f aca="false">Assumptions!H43</f>
        <v>0.2</v>
      </c>
      <c r="I9" s="4" t="n">
        <f aca="false">Assumptions!I43</f>
        <v>0.2</v>
      </c>
      <c r="J9" s="4" t="n">
        <f aca="false">Assumptions!J43</f>
        <v>0.2</v>
      </c>
      <c r="K9" s="4" t="n">
        <f aca="false">Assumptions!K43</f>
        <v>0.2</v>
      </c>
      <c r="L9" s="4" t="n">
        <f aca="false">Assumptions!L43</f>
        <v>0.2</v>
      </c>
    </row>
    <row r="10" customFormat="false" ht="15" hidden="false" customHeight="false" outlineLevel="0" collapsed="false">
      <c r="A10" s="0" t="s">
        <v>120</v>
      </c>
      <c r="C10" s="0" t="n">
        <f aca="false">-C6*C9/100</f>
        <v>-2.2055488</v>
      </c>
      <c r="D10" s="0" t="n">
        <f aca="false">-D6*D9/100</f>
        <v>-2.4944756928</v>
      </c>
      <c r="E10" s="0" t="n">
        <f aca="false">-E6*E9/100</f>
        <v>-2.9534592202752</v>
      </c>
      <c r="F10" s="0" t="n">
        <f aca="false">-F6*F9/100</f>
        <v>-3.90151962998354</v>
      </c>
      <c r="G10" s="0" t="n">
        <f aca="false">-G6*G9/100</f>
        <v>-3.77667100182407</v>
      </c>
      <c r="H10" s="0" t="n">
        <f aca="false">-H6*H9/100</f>
        <v>-3.79555435683319</v>
      </c>
      <c r="I10" s="0" t="n">
        <f aca="false">-I6*I9/100</f>
        <v>-3.89044321575402</v>
      </c>
      <c r="J10" s="0" t="n">
        <f aca="false">-J6*J9/100</f>
        <v>-3.98770429614787</v>
      </c>
      <c r="K10" s="0" t="n">
        <f aca="false">-K6*K9/100</f>
        <v>-4.08739690355156</v>
      </c>
      <c r="L10" s="0" t="n">
        <f aca="false">-L6*L9/100</f>
        <v>-4.18958182614035</v>
      </c>
    </row>
    <row r="11" customFormat="false" ht="15" hidden="false" customHeight="false" outlineLevel="0" collapsed="false">
      <c r="A11" s="0" t="s">
        <v>121</v>
      </c>
      <c r="C11" s="0" t="n">
        <f aca="false">C8+C10+C24</f>
        <v>571.2371392</v>
      </c>
      <c r="D11" s="0" t="n">
        <f aca="false">D8+D10+D24</f>
        <v>621.1244475072</v>
      </c>
      <c r="E11" s="0" t="n">
        <f aca="false">E8+E10+E24</f>
        <v>735.411345848525</v>
      </c>
      <c r="F11" s="0" t="n">
        <f aca="false">F8+F10+F24</f>
        <v>971.478387865901</v>
      </c>
      <c r="G11" s="0" t="n">
        <f aca="false">G8+G10+G24</f>
        <v>921.507724445072</v>
      </c>
      <c r="H11" s="0" t="n">
        <f aca="false">H8+H10+H24</f>
        <v>926.115263067297</v>
      </c>
      <c r="I11" s="0" t="n">
        <f aca="false">I8+I10+I24</f>
        <v>949.26814464398</v>
      </c>
      <c r="J11" s="0" t="n">
        <f aca="false">J8+J10+J24</f>
        <v>972.999848260079</v>
      </c>
      <c r="K11" s="0" t="n">
        <f aca="false">K8+K10+K24</f>
        <v>997.324844466581</v>
      </c>
      <c r="L11" s="0" t="n">
        <f aca="false">L8+L10+L24</f>
        <v>1022.25796557825</v>
      </c>
    </row>
    <row r="12" customFormat="false" ht="15" hidden="false" customHeight="false" outlineLevel="0" collapsed="false">
      <c r="A12" s="0" t="s">
        <v>122</v>
      </c>
      <c r="C12" s="4" t="n">
        <f aca="false">-C6*Assumptions!C45/100</f>
        <v>-154.388416</v>
      </c>
      <c r="D12" s="4" t="n">
        <f aca="false">-D6*Assumptions!D45/100</f>
        <v>-162.140920032</v>
      </c>
      <c r="E12" s="4" t="n">
        <f aca="false">-E6*Assumptions!E45/100</f>
        <v>-184.5912012672</v>
      </c>
      <c r="F12" s="4" t="n">
        <f aca="false">-F6*Assumptions!F45/100</f>
        <v>-234.091177799012</v>
      </c>
      <c r="G12" s="4" t="n">
        <f aca="false">-G6*Assumptions!G45/100</f>
        <v>-226.600260109444</v>
      </c>
      <c r="H12" s="4" t="n">
        <f aca="false">-H6*Assumptions!H45/100</f>
        <v>-227.733261409991</v>
      </c>
      <c r="I12" s="4" t="n">
        <f aca="false">-I6*Assumptions!I45/100</f>
        <v>-233.426592945241</v>
      </c>
      <c r="J12" s="4" t="n">
        <f aca="false">-J6*Assumptions!J45/100</f>
        <v>-239.262257768872</v>
      </c>
      <c r="K12" s="4" t="n">
        <f aca="false">-K6*Assumptions!K45/100</f>
        <v>-245.243814213094</v>
      </c>
      <c r="L12" s="4" t="n">
        <f aca="false">-L6*Assumptions!L45/100</f>
        <v>-251.374909568421</v>
      </c>
    </row>
    <row r="13" customFormat="false" ht="15" hidden="false" customHeight="false" outlineLevel="0" collapsed="false">
      <c r="A13" s="0" t="s">
        <v>123</v>
      </c>
      <c r="C13" s="0" t="n">
        <f aca="false">C11+C12</f>
        <v>416.8487232</v>
      </c>
      <c r="D13" s="0" t="n">
        <f aca="false">D11+D12</f>
        <v>458.9835274752</v>
      </c>
      <c r="E13" s="0" t="n">
        <f aca="false">E11+E12</f>
        <v>550.820144581325</v>
      </c>
      <c r="F13" s="0" t="n">
        <f aca="false">F11+F12</f>
        <v>737.387210066889</v>
      </c>
      <c r="G13" s="0" t="n">
        <f aca="false">G11+G12</f>
        <v>694.907464335628</v>
      </c>
      <c r="H13" s="0" t="n">
        <f aca="false">H11+H12</f>
        <v>698.382001657306</v>
      </c>
      <c r="I13" s="0" t="n">
        <f aca="false">I11+I12</f>
        <v>715.841551698739</v>
      </c>
      <c r="J13" s="0" t="n">
        <f aca="false">J11+J12</f>
        <v>733.737590491207</v>
      </c>
      <c r="K13" s="0" t="n">
        <f aca="false">K11+K12</f>
        <v>752.081030253488</v>
      </c>
      <c r="L13" s="0" t="n">
        <f aca="false">L11+L12</f>
        <v>770.883056009825</v>
      </c>
    </row>
    <row r="14" customFormat="false" ht="15" hidden="false" customHeight="false" outlineLevel="0" collapsed="false">
      <c r="A14" s="0" t="s">
        <v>109</v>
      </c>
      <c r="C14" s="4" t="n">
        <f aca="false">Assumptions!C47</f>
        <v>40</v>
      </c>
      <c r="D14" s="4" t="n">
        <f aca="false">Assumptions!D47</f>
        <v>40</v>
      </c>
      <c r="E14" s="4" t="n">
        <f aca="false">Assumptions!E47</f>
        <v>40</v>
      </c>
      <c r="F14" s="4" t="n">
        <f aca="false">Assumptions!F47</f>
        <v>40</v>
      </c>
      <c r="G14" s="4" t="n">
        <f aca="false">Assumptions!G47</f>
        <v>40</v>
      </c>
      <c r="H14" s="4" t="n">
        <f aca="false">Assumptions!H47</f>
        <v>40</v>
      </c>
      <c r="I14" s="4" t="n">
        <f aca="false">Assumptions!I47</f>
        <v>40</v>
      </c>
      <c r="J14" s="4" t="n">
        <f aca="false">Assumptions!J47</f>
        <v>40</v>
      </c>
      <c r="K14" s="4" t="n">
        <f aca="false">Assumptions!K47</f>
        <v>40</v>
      </c>
      <c r="L14" s="4" t="n">
        <f aca="false">Assumptions!L47</f>
        <v>40</v>
      </c>
    </row>
    <row r="15" customFormat="false" ht="15" hidden="false" customHeight="false" outlineLevel="0" collapsed="false">
      <c r="A15" s="0" t="s">
        <v>124</v>
      </c>
      <c r="C15" s="0" t="n">
        <f aca="false">C13-MAX(0,C13)*C14/100</f>
        <v>250.10923392</v>
      </c>
      <c r="D15" s="0" t="n">
        <f aca="false">D13-MAX(0,D13)*D14/100</f>
        <v>275.39011648512</v>
      </c>
      <c r="E15" s="0" t="n">
        <f aca="false">E13-MAX(0,E13)*E14/100</f>
        <v>330.492086748795</v>
      </c>
      <c r="F15" s="0" t="n">
        <f aca="false">F13-MAX(0,F13)*F14/100</f>
        <v>442.432326040133</v>
      </c>
      <c r="G15" s="0" t="n">
        <f aca="false">G13-MAX(0,G13)*G14/100</f>
        <v>416.944478601377</v>
      </c>
      <c r="H15" s="0" t="n">
        <f aca="false">H13-MAX(0,H13)*H14/100</f>
        <v>419.029200994384</v>
      </c>
      <c r="I15" s="0" t="n">
        <f aca="false">I13-MAX(0,I13)*I14/100</f>
        <v>429.504931019243</v>
      </c>
      <c r="J15" s="0" t="n">
        <f aca="false">J13-MAX(0,J13)*J14/100</f>
        <v>440.242554294724</v>
      </c>
      <c r="K15" s="0" t="n">
        <f aca="false">K13-MAX(0,K13)*K14/100</f>
        <v>451.248618152093</v>
      </c>
      <c r="L15" s="0" t="n">
        <f aca="false">L13-MAX(0,L13)*L14/100</f>
        <v>462.529833605895</v>
      </c>
    </row>
    <row r="16" customFormat="false" ht="15" hidden="false" customHeight="false" outlineLevel="0" collapsed="false">
      <c r="A16" s="0" t="s">
        <v>125</v>
      </c>
      <c r="C16" s="0" t="n">
        <f aca="false">-C12</f>
        <v>154.388416</v>
      </c>
      <c r="D16" s="0" t="n">
        <f aca="false">-D12</f>
        <v>162.140920032</v>
      </c>
      <c r="E16" s="0" t="n">
        <f aca="false">-E12</f>
        <v>184.5912012672</v>
      </c>
      <c r="F16" s="0" t="n">
        <f aca="false">-F12</f>
        <v>234.091177799012</v>
      </c>
      <c r="G16" s="0" t="n">
        <f aca="false">-G12</f>
        <v>226.600260109444</v>
      </c>
      <c r="H16" s="0" t="n">
        <f aca="false">-H12</f>
        <v>227.733261409991</v>
      </c>
      <c r="I16" s="0" t="n">
        <f aca="false">-I12</f>
        <v>233.426592945241</v>
      </c>
      <c r="J16" s="0" t="n">
        <f aca="false">-J12</f>
        <v>239.262257768872</v>
      </c>
      <c r="K16" s="0" t="n">
        <f aca="false">-K12</f>
        <v>245.243814213094</v>
      </c>
      <c r="L16" s="0" t="n">
        <f aca="false">-L12</f>
        <v>251.374909568421</v>
      </c>
    </row>
    <row r="17" customFormat="false" ht="15" hidden="false" customHeight="false" outlineLevel="0" collapsed="false">
      <c r="A17" s="0" t="s">
        <v>126</v>
      </c>
      <c r="C17" s="4" t="n">
        <f aca="false">-C6*Assumptions!C46/100</f>
        <v>-341.860064</v>
      </c>
      <c r="D17" s="4" t="n">
        <f aca="false">-D6*Assumptions!D46/100</f>
        <v>-436.53324624</v>
      </c>
      <c r="E17" s="4" t="n">
        <f aca="false">-E6*Assumptions!E46/100</f>
        <v>-177.207553216512</v>
      </c>
      <c r="F17" s="4" t="n">
        <f aca="false">-F6*Assumptions!F46/100</f>
        <v>-195.075981499177</v>
      </c>
      <c r="G17" s="4" t="n">
        <f aca="false">-G6*Assumptions!G46/100</f>
        <v>-207.716905100324</v>
      </c>
      <c r="H17" s="4" t="n">
        <f aca="false">-H6*Assumptions!H46/100</f>
        <v>-208.755489625825</v>
      </c>
      <c r="I17" s="4" t="n">
        <f aca="false">-I6*Assumptions!I46/100</f>
        <v>-213.974376866471</v>
      </c>
      <c r="J17" s="4" t="n">
        <f aca="false">-J6*Assumptions!J46/100</f>
        <v>-219.323736288133</v>
      </c>
      <c r="K17" s="4" t="n">
        <f aca="false">-K6*Assumptions!K46/100</f>
        <v>-224.806829695336</v>
      </c>
      <c r="L17" s="4" t="n">
        <f aca="false">-L6*Assumptions!L46/100</f>
        <v>-230.427000437719</v>
      </c>
    </row>
    <row r="18" customFormat="false" ht="15" hidden="false" customHeight="false" outlineLevel="0" collapsed="false">
      <c r="A18" s="0" t="s">
        <v>127</v>
      </c>
      <c r="C18" s="4" t="n">
        <f aca="false">(C6-B6)*Assumptions!$B$51/100</f>
        <v>-7.115232</v>
      </c>
      <c r="D18" s="4" t="n">
        <f aca="false">(D6-C6)*Assumptions!$B$51/100</f>
        <v>-4.333903392</v>
      </c>
      <c r="E18" s="4" t="n">
        <f aca="false">(E6-D6)*Assumptions!$B$51/100</f>
        <v>-6.884752912128</v>
      </c>
      <c r="F18" s="4" t="n">
        <f aca="false">(F6-E6)*Assumptions!$B$51/100</f>
        <v>-14.2209061456251</v>
      </c>
      <c r="G18" s="4" t="n">
        <f aca="false">(G6-F6)*Assumptions!$B$51/100</f>
        <v>1.8727294223921</v>
      </c>
      <c r="H18" s="4" t="n">
        <f aca="false">(H6-G6)*Assumptions!$B$51/100</f>
        <v>-0.283250325136798</v>
      </c>
      <c r="I18" s="4" t="n">
        <f aca="false">(I6-H6)*Assumptions!$B$51/100</f>
        <v>-1.42333288381244</v>
      </c>
      <c r="J18" s="4" t="n">
        <f aca="false">(J6-I6)*Assumptions!$B$51/100</f>
        <v>-1.45891620590775</v>
      </c>
      <c r="K18" s="4" t="n">
        <f aca="false">(K6-J6)*Assumptions!$B$51/100</f>
        <v>-1.49538911105545</v>
      </c>
      <c r="L18" s="4" t="n">
        <f aca="false">(L6-K6)*Assumptions!$B$51/100</f>
        <v>-1.53277383883184</v>
      </c>
    </row>
    <row r="19" customFormat="false" ht="15" hidden="false" customHeight="false" outlineLevel="0" collapsed="false">
      <c r="A19" s="0" t="s">
        <v>128</v>
      </c>
      <c r="C19" s="0" t="n">
        <f aca="false">C15+C16+C17+C18</f>
        <v>55.5223539200001</v>
      </c>
      <c r="D19" s="0" t="n">
        <f aca="false">D15+D16+D17+D18</f>
        <v>-3.33611311487997</v>
      </c>
      <c r="E19" s="0" t="n">
        <f aca="false">E15+E16+E17+E18</f>
        <v>330.990981887355</v>
      </c>
      <c r="F19" s="0" t="n">
        <f aca="false">F15+F16+F17+F18</f>
        <v>467.226616194344</v>
      </c>
      <c r="G19" s="0" t="n">
        <f aca="false">G15+G16+G17+G18</f>
        <v>437.700563032889</v>
      </c>
      <c r="H19" s="0" t="n">
        <f aca="false">H15+H16+H17+H18</f>
        <v>437.723722453413</v>
      </c>
      <c r="I19" s="0" t="n">
        <f aca="false">I15+I16+I17+I18</f>
        <v>447.533814214201</v>
      </c>
      <c r="J19" s="0" t="n">
        <f aca="false">J15+J16+J17+J18</f>
        <v>458.722159569556</v>
      </c>
      <c r="K19" s="0" t="n">
        <f aca="false">K15+K16+K17+K18</f>
        <v>470.190213558795</v>
      </c>
      <c r="L19" s="0" t="n">
        <f aca="false">L15+L16+L17+L18</f>
        <v>481.944968897765</v>
      </c>
    </row>
    <row r="20" customFormat="false" ht="15" hidden="false" customHeight="false" outlineLevel="0" collapsed="false">
      <c r="A20" s="0" t="s">
        <v>129</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130</v>
      </c>
      <c r="C21" s="0" t="n">
        <f aca="false">C19*C20</f>
        <v>50.0201386666667</v>
      </c>
      <c r="D21" s="0" t="n">
        <f aca="false">D19*D20</f>
        <v>-2.70766424387628</v>
      </c>
      <c r="E21" s="0" t="n">
        <f aca="false">E19*E20</f>
        <v>242.017753244373</v>
      </c>
      <c r="F21" s="0" t="n">
        <f aca="false">F19*F20</f>
        <v>307.776644032172</v>
      </c>
      <c r="G21" s="0" t="n">
        <f aca="false">G19*G20</f>
        <v>259.753980423847</v>
      </c>
      <c r="H21" s="0" t="n">
        <f aca="false">H19*H20</f>
        <v>234.024976948391</v>
      </c>
      <c r="I21" s="0" t="n">
        <f aca="false">I19*I20</f>
        <v>215.558425774312</v>
      </c>
      <c r="J21" s="0" t="n">
        <f aca="false">J19*J20</f>
        <v>199.051699476279</v>
      </c>
      <c r="K21" s="0" t="n">
        <f aca="false">K19*K20</f>
        <v>183.809001768636</v>
      </c>
      <c r="L21" s="0" t="n">
        <f aca="false">L19*L20</f>
        <v>169.733537669236</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11</v>
      </c>
    </row>
    <row r="28" customFormat="false" ht="15" hidden="false" customHeight="false" outlineLevel="0" collapsed="false">
      <c r="A28" s="0" t="s">
        <v>111</v>
      </c>
      <c r="B28" s="4" t="n">
        <f aca="false">Assumptions!$B$49</f>
        <v>2.5</v>
      </c>
    </row>
    <row r="29" customFormat="false" ht="15" hidden="false" customHeight="false" outlineLevel="0" collapsed="false">
      <c r="A29" s="0" t="s">
        <v>112</v>
      </c>
      <c r="B29" s="4" t="n">
        <f aca="false">Assumptions!$B$50</f>
        <v>14</v>
      </c>
    </row>
    <row r="30" customFormat="false" ht="15" hidden="false" customHeight="false" outlineLevel="0" collapsed="false">
      <c r="A30" s="0" t="s">
        <v>133</v>
      </c>
      <c r="B30" s="0" t="n">
        <f aca="false">SUM(C21:L21)</f>
        <v>1859.03849376004</v>
      </c>
    </row>
    <row r="31" customFormat="false" ht="15" hidden="false" customHeight="false" outlineLevel="0" collapsed="false">
      <c r="A31" s="0" t="s">
        <v>134</v>
      </c>
      <c r="B31" s="0" t="n">
        <f aca="false">L19</f>
        <v>481.944968897765</v>
      </c>
    </row>
    <row r="32" customFormat="false" ht="15" hidden="false" customHeight="false" outlineLevel="0" collapsed="false">
      <c r="A32" s="0" t="s">
        <v>135</v>
      </c>
      <c r="B32" s="0" t="n">
        <f aca="false">IF(B27&gt;B28,B31*(1+B28/100)/((B27-B28)/100),B31*B29)</f>
        <v>5811.68933082598</v>
      </c>
    </row>
    <row r="33" customFormat="false" ht="15" hidden="false" customHeight="false" outlineLevel="0" collapsed="false">
      <c r="A33" s="0" t="s">
        <v>136</v>
      </c>
      <c r="B33" s="0" t="n">
        <f aca="false">B31*B29</f>
        <v>6747.2295645687</v>
      </c>
    </row>
    <row r="34" customFormat="false" ht="15" hidden="false" customHeight="false" outlineLevel="0" collapsed="false">
      <c r="A34" s="0" t="s">
        <v>137</v>
      </c>
      <c r="B34" s="0" t="n">
        <f aca="false">MAX(0,MIN(B32,B33))</f>
        <v>5811.68933082598</v>
      </c>
    </row>
    <row r="35" customFormat="false" ht="15" hidden="false" customHeight="false" outlineLevel="0" collapsed="false">
      <c r="A35" s="0" t="s">
        <v>138</v>
      </c>
      <c r="B35" s="0" t="n">
        <f aca="false">B34/(1+B27/100)^L4</f>
        <v>2046.78677777608</v>
      </c>
    </row>
    <row r="36" customFormat="false" ht="15" hidden="false" customHeight="false" outlineLevel="0" collapsed="false">
      <c r="A36" s="0" t="s">
        <v>139</v>
      </c>
      <c r="B36" s="0" t="n">
        <f aca="false">B30+B35</f>
        <v>3905.82527153612</v>
      </c>
    </row>
    <row r="37" customFormat="false" ht="15" hidden="false" customHeight="false" outlineLevel="0" collapsed="false">
      <c r="A37" s="0" t="s">
        <v>140</v>
      </c>
      <c r="B37" s="0" t="n">
        <f aca="false">B36+Assumptions!$B$5-Assumptions!$B$4</f>
        <v>3835.02527153612</v>
      </c>
    </row>
    <row r="38" customFormat="false" ht="15" hidden="false" customHeight="false" outlineLevel="0" collapsed="false">
      <c r="A38" s="0" t="s">
        <v>141</v>
      </c>
      <c r="B38" s="0" t="n">
        <f aca="false">B37/Assumptions!$B$3*Assumptions!$B$10</f>
        <v>2.5383349634949</v>
      </c>
    </row>
    <row r="39" customFormat="false" ht="15" hidden="false" customHeight="false" outlineLevel="0" collapsed="false">
      <c r="A39" s="0" t="s">
        <v>142</v>
      </c>
      <c r="B39" s="4" t="n">
        <f aca="false">B38/Assumptions!$B$2-1</f>
        <v>1.09779749049165</v>
      </c>
    </row>
    <row r="41" customFormat="false" ht="15" hidden="false" customHeight="false" outlineLevel="0" collapsed="false">
      <c r="A41" s="0" t="s">
        <v>143</v>
      </c>
      <c r="B41" s="0" t="n">
        <f aca="false">SUMPRODUCT(-C10:L10/(1+$B$27/100)^C4:L4)</f>
        <v>19.6892835046711</v>
      </c>
    </row>
    <row r="42" customFormat="false" ht="15" hidden="false" customHeight="false" outlineLevel="0" collapsed="false">
      <c r="A42" s="0" t="s">
        <v>144</v>
      </c>
      <c r="B42" s="0" t="n">
        <f aca="false">IF(B27&gt;B28,-L10*(1+B28/100)/((B27-B28)/100),-L10*20)/(1+B27/100)^L4</f>
        <v>17.7928627531209</v>
      </c>
    </row>
    <row r="43" customFormat="false" ht="15" hidden="false" customHeight="false" outlineLevel="0" collapsed="false">
      <c r="A43" s="0" t="s">
        <v>145</v>
      </c>
      <c r="B43" s="0" t="n">
        <f aca="false">(B37+B41+B42)/Assumptions!$B$3*Assumptions!$B$10</f>
        <v>2.56314372891794</v>
      </c>
    </row>
    <row r="45" customFormat="false" ht="15" hidden="false" customHeight="false" outlineLevel="0" collapsed="false">
      <c r="A45" s="0" t="s">
        <v>85</v>
      </c>
      <c r="B45" s="4" t="n">
        <f aca="false">Assumptions!$B$6</f>
        <v>15</v>
      </c>
    </row>
    <row r="46" customFormat="false" ht="15" hidden="false" customHeight="false" outlineLevel="0" collapsed="false">
      <c r="A46" s="0" t="s">
        <v>146</v>
      </c>
      <c r="B46" s="0" t="n">
        <f aca="false">MAX(0,MIN(IF(B45&gt;B28,B31*(1+B28/100)/((B45-B28)/100),B31*B29),B31*B29))</f>
        <v>3951.94874496167</v>
      </c>
    </row>
    <row r="47" customFormat="false" ht="15" hidden="false" customHeight="false" outlineLevel="0" collapsed="false">
      <c r="A47" s="0" t="s">
        <v>147</v>
      </c>
      <c r="B47" s="0" t="n">
        <f aca="false">(SUMPRODUCT(C19:L19/(1+B45/100)^C4:L4)+B46/(1+B45/100)^L4+Assumptions!$B$5-Assumptions!$B$4)/Assumptions!$B$3*Assumptions!$B$10</f>
        <v>1.59806978218049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0.0717499681559108</v>
      </c>
      <c r="C4" s="0" t="n">
        <f aca="false">B4/Assumptions!$B$2-1</f>
        <v>-0.940702505656272</v>
      </c>
      <c r="D4" s="4" t="n">
        <f aca="false">Assumptions!$B$24</f>
        <v>0.3</v>
      </c>
      <c r="E4" s="4" t="n">
        <f aca="false">DCF_Bear!$B$43</f>
        <v>0.0830394473774729</v>
      </c>
      <c r="F4" s="4" t="n">
        <f aca="false">DCF_Bear!$B$47</f>
        <v>-0.0324164166276053</v>
      </c>
    </row>
    <row r="5" customFormat="false" ht="15" hidden="false" customHeight="false" outlineLevel="0" collapsed="false">
      <c r="A5" s="0" t="s">
        <v>156</v>
      </c>
      <c r="B5" s="4" t="n">
        <f aca="false">DCF_Base!$B$38</f>
        <v>1.14212086971313</v>
      </c>
      <c r="C5" s="0" t="n">
        <f aca="false">B5/Assumptions!$B$2-1</f>
        <v>-0.0560984547825363</v>
      </c>
      <c r="D5" s="4" t="n">
        <f aca="false">Assumptions!$B$38</f>
        <v>0.45</v>
      </c>
      <c r="E5" s="4" t="n">
        <f aca="false">DCF_Base!$B$43</f>
        <v>1.15875323517728</v>
      </c>
      <c r="F5" s="4" t="n">
        <f aca="false">DCF_Base!$B$47</f>
        <v>0.713510791692823</v>
      </c>
    </row>
    <row r="6" customFormat="false" ht="15" hidden="false" customHeight="false" outlineLevel="0" collapsed="false">
      <c r="A6" s="0" t="s">
        <v>157</v>
      </c>
      <c r="B6" s="4" t="n">
        <f aca="false">DCF_Bull!$B$38</f>
        <v>2.5383349634949</v>
      </c>
      <c r="C6" s="0" t="n">
        <f aca="false">B6/Assumptions!$B$2-1</f>
        <v>1.09779749049165</v>
      </c>
      <c r="D6" s="4" t="n">
        <f aca="false">Assumptions!$B$52</f>
        <v>0.25</v>
      </c>
      <c r="E6" s="4" t="n">
        <f aca="false">DCF_Bull!$B$43</f>
        <v>2.56314372891794</v>
      </c>
      <c r="F6" s="4" t="n">
        <f aca="false">DCF_Bull!$B$47</f>
        <v>1.59806978218049</v>
      </c>
    </row>
    <row r="8" customFormat="false" ht="15" hidden="false" customHeight="false" outlineLevel="0" collapsed="false">
      <c r="A8" s="0" t="s">
        <v>158</v>
      </c>
      <c r="B8" s="0" t="n">
        <f aca="false">SUMPRODUCT(B4:B6,D4:D6)</f>
        <v>1.17006312269141</v>
      </c>
    </row>
    <row r="9" customFormat="false" ht="15" hidden="false" customHeight="false" outlineLevel="0" collapsed="false">
      <c r="A9" s="0" t="s">
        <v>159</v>
      </c>
      <c r="B9" s="0" t="n">
        <f aca="false">SUMPRODUCT(E4:E6,D4:D6)</f>
        <v>1.1871367222725</v>
      </c>
    </row>
    <row r="10" customFormat="false" ht="15" hidden="false" customHeight="false" outlineLevel="0" collapsed="false">
      <c r="A10" s="0" t="s">
        <v>160</v>
      </c>
      <c r="B10" s="0" t="n">
        <f aca="false">1-Assumptions!$B$2/B8</f>
        <v>-0.0341322417005421</v>
      </c>
    </row>
    <row r="11" customFormat="false" ht="15" hidden="false" customHeight="false" outlineLevel="0" collapsed="false">
      <c r="A11" s="0" t="s">
        <v>161</v>
      </c>
      <c r="B11" s="0" t="n">
        <f aca="false">IF(ABS(B9-B8)&gt;0.01*ABS(B8),(Assumptions!$B$2-B8)/(B9-B8)*100,"n/a")</f>
        <v>233.910120235061</v>
      </c>
    </row>
    <row r="12" customFormat="false" ht="15" hidden="false" customHeight="false" outlineLevel="0" collapsed="false">
      <c r="A12" s="0" t="s">
        <v>162</v>
      </c>
      <c r="B12" s="0" t="n">
        <f aca="false">SUMPRODUCT(F4:F6,D4:D6)</f>
        <v>0.71087237681861</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1.37808422654371</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1.27337156588101</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1.14212086971313</v>
      </c>
      <c r="C17" s="3" t="n">
        <v>11</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1.00236378683016</v>
      </c>
      <c r="C18" s="3" t="n">
        <v>12</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0.713510791692823</v>
      </c>
      <c r="C19" s="3" t="n">
        <v>15</v>
      </c>
    </row>
    <row r="21" customFormat="false" ht="15" hidden="false" customHeight="false" outlineLevel="0" collapsed="false">
      <c r="A21" s="2" t="s">
        <v>170</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1.37808422654371</v>
      </c>
      <c r="C23" s="0" t="n">
        <f aca="false">(SUMPRODUCT(DCF_Base!$C$19:$L$19/(1+$A$23/100)^DCF_Base!$C$4:$L$4)+MAX(0,MIN(IF($A$23&gt;$C$22,DCF_Base!$L$19*(1+$C$22/100)/(($A$23-$C$22)/100),DCF_Base!$L$19*DCF_Base!$B$29),DCF_Base!$L$19*DCF_Base!$B$29))/(1+$A$23/100)^DCF_Base!$L$4+Assumptions!$B$5-Assumptions!$B$4)/Assumptions!$B$3*Assumptions!$B$10</f>
        <v>1.37808422654371</v>
      </c>
      <c r="D23" s="0" t="n">
        <f aca="false">(SUMPRODUCT(DCF_Base!$C$19:$L$19/(1+$A$23/100)^DCF_Base!$C$4:$L$4)+MAX(0,MIN(IF($A$23&gt;$D$22,DCF_Base!$L$19*(1+$D$22/100)/(($A$23-$D$22)/100),DCF_Base!$L$19*DCF_Base!$B$29),DCF_Base!$L$19*DCF_Base!$B$29))/(1+$A$23/100)^DCF_Base!$L$4+Assumptions!$B$5-Assumptions!$B$4)/Assumptions!$B$3*Assumptions!$B$10</f>
        <v>1.37808422654371</v>
      </c>
      <c r="E23" s="0" t="n">
        <f aca="false">(SUMPRODUCT(DCF_Base!$C$19:$L$19/(1+$A$23/100)^DCF_Base!$C$4:$L$4)+MAX(0,MIN(IF($A$23&gt;$E$22,DCF_Base!$L$19*(1+$E$22/100)/(($A$23-$E$22)/100),DCF_Base!$L$19*DCF_Base!$B$29),DCF_Base!$L$19*DCF_Base!$B$29))/(1+$A$23/100)^DCF_Base!$L$4+Assumptions!$B$5-Assumptions!$B$4)/Assumptions!$B$3*Assumptions!$B$10</f>
        <v>1.37808422654371</v>
      </c>
      <c r="F23" s="0" t="n">
        <f aca="false">(SUMPRODUCT(DCF_Base!$C$19:$L$19/(1+$A$23/100)^DCF_Base!$C$4:$L$4)+MAX(0,MIN(IF($A$23&gt;$F$22,DCF_Base!$L$19*(1+$F$22/100)/(($A$23-$F$22)/100),DCF_Base!$L$19*DCF_Base!$B$29),DCF_Base!$L$19*DCF_Base!$B$29))/(1+$A$23/100)^DCF_Base!$L$4+Assumptions!$B$5-Assumptions!$B$4)/Assumptions!$B$3*Assumptions!$B$10</f>
        <v>1.37808422654371</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1.22795012361023</v>
      </c>
      <c r="C24" s="0" t="n">
        <f aca="false">(SUMPRODUCT(DCF_Base!$C$19:$L$19/(1+$A$24/100)^DCF_Base!$C$4:$L$4)+MAX(0,MIN(IF($A$24&gt;$C$22,DCF_Base!$L$19*(1+$C$22/100)/(($A$24-$C$22)/100),DCF_Base!$L$19*DCF_Base!$B$29),DCF_Base!$L$19*DCF_Base!$B$29))/(1+$A$24/100)^DCF_Base!$L$4+Assumptions!$B$5-Assumptions!$B$4)/Assumptions!$B$3*Assumptions!$B$10</f>
        <v>1.26993633075129</v>
      </c>
      <c r="D24" s="0" t="n">
        <f aca="false">(SUMPRODUCT(DCF_Base!$C$19:$L$19/(1+$A$24/100)^DCF_Base!$C$4:$L$4)+MAX(0,MIN(IF($A$24&gt;$D$22,DCF_Base!$L$19*(1+$D$22/100)/(($A$24-$D$22)/100),DCF_Base!$L$19*DCF_Base!$B$29),DCF_Base!$L$19*DCF_Base!$B$29))/(1+$A$24/100)^DCF_Base!$L$4+Assumptions!$B$5-Assumptions!$B$4)/Assumptions!$B$3*Assumptions!$B$10</f>
        <v>1.27337156588101</v>
      </c>
      <c r="E24" s="0" t="n">
        <f aca="false">(SUMPRODUCT(DCF_Base!$C$19:$L$19/(1+$A$24/100)^DCF_Base!$C$4:$L$4)+MAX(0,MIN(IF($A$24&gt;$E$22,DCF_Base!$L$19*(1+$E$22/100)/(($A$24-$E$22)/100),DCF_Base!$L$19*DCF_Base!$B$29),DCF_Base!$L$19*DCF_Base!$B$29))/(1+$A$24/100)^DCF_Base!$L$4+Assumptions!$B$5-Assumptions!$B$4)/Assumptions!$B$3*Assumptions!$B$10</f>
        <v>1.27337156588101</v>
      </c>
      <c r="F24" s="0" t="n">
        <f aca="false">(SUMPRODUCT(DCF_Base!$C$19:$L$19/(1+$A$24/100)^DCF_Base!$C$4:$L$4)+MAX(0,MIN(IF($A$24&gt;$F$22,DCF_Base!$L$19*(1+$F$22/100)/(($A$24-$F$22)/100),DCF_Base!$L$19*DCF_Base!$B$29),DCF_Base!$L$19*DCF_Base!$B$29))/(1+$A$24/100)^DCF_Base!$L$4+Assumptions!$B$5-Assumptions!$B$4)/Assumptions!$B$3*Assumptions!$B$10</f>
        <v>1.27337156588101</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1.07632737990651</v>
      </c>
      <c r="C25" s="0" t="n">
        <f aca="false">(SUMPRODUCT(DCF_Base!$C$19:$L$19/(1+$A$25/100)^DCF_Base!$C$4:$L$4)+MAX(0,MIN(IF($A$25&gt;$C$22,DCF_Base!$L$19*(1+$C$22/100)/(($A$25-$C$22)/100),DCF_Base!$L$19*DCF_Base!$B$29),DCF_Base!$L$19*DCF_Base!$B$29))/(1+$A$25/100)^DCF_Base!$L$4+Assumptions!$B$5-Assumptions!$B$4)/Assumptions!$B$3*Assumptions!$B$10</f>
        <v>1.10749271718333</v>
      </c>
      <c r="D25" s="0" t="n">
        <f aca="false">(SUMPRODUCT(DCF_Base!$C$19:$L$19/(1+$A$25/100)^DCF_Base!$C$4:$L$4)+MAX(0,MIN(IF($A$25&gt;$D$22,DCF_Base!$L$19*(1+$D$22/100)/(($A$25-$D$22)/100),DCF_Base!$L$19*DCF_Base!$B$29),DCF_Base!$L$19*DCF_Base!$B$29))/(1+$A$25/100)^DCF_Base!$L$4+Assumptions!$B$5-Assumptions!$B$4)/Assumptions!$B$3*Assumptions!$B$10</f>
        <v>1.14212086971313</v>
      </c>
      <c r="E25" s="0" t="n">
        <f aca="false">(SUMPRODUCT(DCF_Base!$C$19:$L$19/(1+$A$25/100)^DCF_Base!$C$4:$L$4)+MAX(0,MIN(IF($A$25&gt;$E$22,DCF_Base!$L$19*(1+$E$22/100)/(($A$25-$E$22)/100),DCF_Base!$L$19*DCF_Base!$B$29),DCF_Base!$L$19*DCF_Base!$B$29))/(1+$A$25/100)^DCF_Base!$L$4+Assumptions!$B$5-Assumptions!$B$4)/Assumptions!$B$3*Assumptions!$B$10</f>
        <v>1.17768491825725</v>
      </c>
      <c r="F25" s="0" t="n">
        <f aca="false">(SUMPRODUCT(DCF_Base!$C$19:$L$19/(1+$A$25/100)^DCF_Base!$C$4:$L$4)+MAX(0,MIN(IF($A$25&gt;$F$22,DCF_Base!$L$19*(1+$F$22/100)/(($A$25-$F$22)/100),DCF_Base!$L$19*DCF_Base!$B$29),DCF_Base!$L$19*DCF_Base!$B$29))/(1+$A$25/100)^DCF_Base!$L$4+Assumptions!$B$5-Assumptions!$B$4)/Assumptions!$B$3*Assumptions!$B$10</f>
        <v>1.17768491825725</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0.952707144281882</v>
      </c>
      <c r="C26" s="0" t="n">
        <f aca="false">(SUMPRODUCT(DCF_Base!$C$19:$L$19/(1+$A$26/100)^DCF_Base!$C$4:$L$4)+MAX(0,MIN(IF($A$26&gt;$C$22,DCF_Base!$L$19*(1+$C$22/100)/(($A$26-$C$22)/100),DCF_Base!$L$19*DCF_Base!$B$29),DCF_Base!$L$19*DCF_Base!$B$29))/(1+$A$26/100)^DCF_Base!$L$4+Assumptions!$B$5-Assumptions!$B$4)/Assumptions!$B$3*Assumptions!$B$10</f>
        <v>0.976353164542968</v>
      </c>
      <c r="D26" s="0" t="n">
        <f aca="false">(SUMPRODUCT(DCF_Base!$C$19:$L$19/(1+$A$26/100)^DCF_Base!$C$4:$L$4)+MAX(0,MIN(IF($A$26&gt;$D$22,DCF_Base!$L$19*(1+$D$22/100)/(($A$26-$D$22)/100),DCF_Base!$L$19*DCF_Base!$B$29),DCF_Base!$L$19*DCF_Base!$B$29))/(1+$A$26/100)^DCF_Base!$L$4+Assumptions!$B$5-Assumptions!$B$4)/Assumptions!$B$3*Assumptions!$B$10</f>
        <v>1.00236378683016</v>
      </c>
      <c r="E26" s="0" t="n">
        <f aca="false">(SUMPRODUCT(DCF_Base!$C$19:$L$19/(1+$A$26/100)^DCF_Base!$C$4:$L$4)+MAX(0,MIN(IF($A$26&gt;$E$22,DCF_Base!$L$19*(1+$E$22/100)/(($A$26-$E$22)/100),DCF_Base!$L$19*DCF_Base!$B$29),DCF_Base!$L$19*DCF_Base!$B$29))/(1+$A$26/100)^DCF_Base!$L$4+Assumptions!$B$5-Assumptions!$B$4)/Assumptions!$B$3*Assumptions!$B$10</f>
        <v>1.03111236935812</v>
      </c>
      <c r="F26" s="0" t="n">
        <f aca="false">(SUMPRODUCT(DCF_Base!$C$19:$L$19/(1+$A$26/100)^DCF_Base!$C$4:$L$4)+MAX(0,MIN(IF($A$26&gt;$F$22,DCF_Base!$L$19*(1+$F$22/100)/(($A$26-$F$22)/100),DCF_Base!$L$19*DCF_Base!$B$29),DCF_Base!$L$19*DCF_Base!$B$29))/(1+$A$26/100)^DCF_Base!$L$4+Assumptions!$B$5-Assumptions!$B$4)/Assumptions!$B$3*Assumptions!$B$10</f>
        <v>1.06305523883362</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0.85008899181505</v>
      </c>
      <c r="C27" s="0" t="n">
        <f aca="false">(SUMPRODUCT(DCF_Base!$C$19:$L$19/(1+$A$27/100)^DCF_Base!$C$4:$L$4)+MAX(0,MIN(IF($A$27&gt;$C$22,DCF_Base!$L$19*(1+$C$22/100)/(($A$27-$C$22)/100),DCF_Base!$L$19*DCF_Base!$B$29),DCF_Base!$L$19*DCF_Base!$B$29))/(1+$A$27/100)^DCF_Base!$L$4+Assumptions!$B$5-Assumptions!$B$4)/Assumptions!$B$3*Assumptions!$B$10</f>
        <v>0.868358092440724</v>
      </c>
      <c r="D27" s="0" t="n">
        <f aca="false">(SUMPRODUCT(DCF_Base!$C$19:$L$19/(1+$A$27/100)^DCF_Base!$C$4:$L$4)+MAX(0,MIN(IF($A$27&gt;$D$22,DCF_Base!$L$19*(1+$D$22/100)/(($A$27-$D$22)/100),DCF_Base!$L$19*DCF_Base!$B$29),DCF_Base!$L$19*DCF_Base!$B$29))/(1+$A$27/100)^DCF_Base!$L$4+Assumptions!$B$5-Assumptions!$B$4)/Assumptions!$B$3*Assumptions!$B$10</f>
        <v>0.888288020396005</v>
      </c>
      <c r="E27" s="0" t="n">
        <f aca="false">(SUMPRODUCT(DCF_Base!$C$19:$L$19/(1+$A$27/100)^DCF_Base!$C$4:$L$4)+MAX(0,MIN(IF($A$27&gt;$E$22,DCF_Base!$L$19*(1+$E$22/100)/(($A$27-$E$22)/100),DCF_Base!$L$19*DCF_Base!$B$29),DCF_Base!$L$19*DCF_Base!$B$29))/(1+$A$27/100)^DCF_Base!$L$4+Assumptions!$B$5-Assumptions!$B$4)/Assumptions!$B$3*Assumptions!$B$10</f>
        <v>0.91011603672798</v>
      </c>
      <c r="F27" s="0" t="n">
        <f aca="false">(SUMPRODUCT(DCF_Base!$C$19:$L$19/(1+$A$27/100)^DCF_Base!$C$4:$L$4)+MAX(0,MIN(IF($A$27&gt;$F$22,DCF_Base!$L$19*(1+$F$22/100)/(($A$27-$F$22)/100),DCF_Base!$L$19*DCF_Base!$B$29),DCF_Base!$L$19*DCF_Base!$B$29))/(1+$A$27/100)^DCF_Base!$L$4+Assumptions!$B$5-Assumptions!$B$4)/Assumptions!$B$3*Assumptions!$B$10</f>
        <v>0.934126854693152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2026-09-25T04:39:51Z</dcterms:created>
  <dc:creator>openpyxl</dc:creator>
  <dc:description/>
  <dc:language>en-NZ</dc:language>
  <cp:lastModifiedBy/>
  <dcterms:modified xsi:type="dcterms:W3CDTF">2026-09-25T04:39:51Z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