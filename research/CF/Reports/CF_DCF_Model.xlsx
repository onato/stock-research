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<sst xmlns="http://schemas.openxmlformats.org/spreadsheetml/2006/main" count="390" uniqueCount="175">
  <si>
    <t xml:space="preserve">Ticker</t>
  </si>
  <si>
    <t xml:space="preserve">CF</t>
  </si>
  <si>
    <t xml:space="preserve">Company</t>
  </si>
  <si>
    <t xml:space="preserve">CF Industries Holdings, Inc.</t>
  </si>
  <si>
    <t xml:space="preserve">Valuation date</t>
  </si>
  <si>
    <t xml:space="preserve">2026-09-26</t>
  </si>
  <si>
    <t xml:space="preserve">Current price</t>
  </si>
  <si>
    <t xml:space="preserve">Price as of</t>
  </si>
  <si>
    <t xml:space="preserve">2026-09-25T20:04:04Z regular close (Yahoo chart API regularMarketTime)</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</si>
  <si>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</si>
  <si>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</si>
  <si>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</si>
  <si>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</si>
  <si>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</si>
  <si>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</si>
  <si>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</si>
  <si>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</si>
  <si>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</si>
  <si>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</si>
  <si>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</si>
  <si>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</si>
  <si>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2026-09-26T00:39:52Z</t>
  </si>
  <si>
    <t xml:space="preserve">Drivers file</t>
  </si>
  <si>
    <t xml:space="preserve">CF_Drivers.json</t>
  </si>
  <si>
    <t xml:space="preserve">Convention</t>
  </si>
  <si>
    <t xml:space="preserve">Percents stored as percents; formulas divide by 100. Blue = input, green = link, black = formula.</t>
  </si>
  <si>
    <t xml:space="preserve">Methodology</t>
  </si>
  <si>
    <t xml:space="preserve">summary: CF is valued as a mid-cycle nitrogen producer, not on its current-year earnings. The year-1 flow is allowed to run hot on actual H1-2026 results, then everything reverts to a mid-cycle margin and revenue base set a notch below management's raised targets. Risk is carried in the scenario flows and a bear-heavy weighting, not in the discount rate. The CHS minority interest is charged once through a combined tax+NCI leakage rate, and Blue Point is modelled on CF's 40% share only.
key_risks_to_valuation: Terminal value is set by the 12x cyclical cap in every scenario; a 10x or 14x exit moves the answer more than any growth or WACC assumption; Mid-cycle margin: each 1pp of mature EBITDA margin is roughly $2-3/share; Henry Hub vs TTF gas spread - the core source of CF's advantage - is exposed to US LNG export growth; Blue Point One cost overrun, delay or thin low-carbon premium; CF-share capex of ~$1B/yr in 2027-28 depends on partner funding continuing; 45Q credit and bonus-depreciation policy: the near-term leakage rate assumes both persist; CHS NCI leakage is calibrated on FY2025 (14.9% of EBIT); a different profit mix between CFN and the UK/Blue Point entities shifts it</t>
  </si>
  <si>
    <t xml:space="preserve">Data sources</t>
  </si>
  <si>
    <t xml:space="preserve">price: Yahoo Finance chart API at inputs.price_as_of; 52-week range 75.42-141.96
financials: SEC XBRL companyfacts (CIK 1324404) for FY2007-FY2025 10-Ks and 10-Qs through Q2-2026 (period ended 2026-06-30); Metrics.csv and kpis table in CF.duckdb. Cash (incl. restricted), NCI balance and flows, partner contributions, diluted-share adjustment and cover-page share count pulled from the Q2-2026 10-Q facts.
qualitative: research/CF/Reports/CF_Analysis.json (2026-09-26): Q2-2026 results and guidance of 2026-08-06 - ~9.5Mt gross ammonia, ~$1.3B capex incl. ~$600M Blue Point, mid-cycle EBITDA ~$2.9B, 2030 target ~$3.3B, $0.60 quarterly dividend.</t>
  </si>
  <si>
    <t xml:space="preserve">Scenario narrative: bear</t>
  </si>
  <si>
    <t xml:space="preserve">The two supports that are geopolitical, not structural, unwind together: Russian nitrogen flows normalise (sanctions relief or AD/CVD reviews) and European gas falls back, compressing the global cost curve CF sells into, while US LNG export growth lifts Henry Hub and squeezes CF's own spread from below. Revenue falls to ~$6.2B by FY2028 and margins revert toward the 2017-20 experience at ~37-38%. Blue Point overruns (the Yazoo City slippage is the warning) and its low-carbon premium proves thin, so peak capex runs ~18% of revenue. New CEO and a CFO from outside the industry are learning on the job through the most capital-intensive stretch in a decade.</t>
  </si>
  <si>
    <t xml:space="preserve">Scenario narrative: base</t>
  </si>
  <si>
    <t xml:space="preserve">The 2026-27 tightness (constrained global capacity additions, Russian and European supply disruption) fades into a mid-cycle by FY2028 that is structurally better than 2017-20 because European marginal-producer gas stays well above Henry Hub. CF earns ~45% EBITDA margins on ~$7B of revenue (~$3.1B consolidated EBITDA, a notch under management's $2.9B attributable mid-cycle), Blue Point One starts in 2029 roughly on budget, CF's 40% share adds ~$250M revenue at premium low-carbon pricing, and the Yazoo City restart lands in H1-2027. Capex peaks at ~$1B CF-share in 2027-28 and settles near 9% of revenue; buybacks keep the diluted count flat against modest SBC.</t>
  </si>
  <si>
    <t xml:space="preserve">Scenario narrative: bull</t>
  </si>
  <si>
    <t xml:space="preserve">Nitrogen stays tight longer than 2027: Chinese export restrictions persist, European ammonia capacity keeps closing, and AD/CVD orders keep Russian and Trinidadian UAN out of the US. Low-carbon ammonia premiums (&gt; $20/t today, ~10% of H1-2026 volume) widen as Japanese power and marine-fuel offtake (JERA) materialises, and Blue Point runs full from 2029. Revenue holds ~$7.5-8B through the cycle and margins stay ~48.5%, putting consolidated EBITDA near $3.9-4.3B by 2030 - management's $3.3B attributable 2030 target met and beaten.</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</si>
  <si>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</si>
  <si>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</si>
  <si>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</si>
  <si>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</si>
  <si>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</si>
  <si>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</si>
  <si>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</si>
  <si>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</si>
  <si>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</si>
  <si>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</si>
  <si>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</si>
  <si>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</si>
  <si>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</si>
  <si>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</si>
  <si>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</si>
  <si>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</si>
  <si>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</si>
  <si>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</si>
  <si>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</si>
  <si>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</si>
  <si>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</si>
  <si>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</si>
  <si>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</si>
  <si>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</si>
  <si>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</si>
  <si>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</si>
  <si>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</si>
  <si>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FY2006</t>
  </si>
  <si>
    <t xml:space="preserve">FY2007</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</si>
  <si>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</si>
  <si>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</si>
  <si>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</si>
  <si>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</si>
  <si>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</si>
  <si>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</si>
  <si>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</si>
  <si>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</si>
  <si>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</si>
  <si>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</si>
  <si>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</si>
  <si>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</si>
  <si>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</si>
  <si>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</si>
  <si>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</si>
  <si>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</si>
  <si>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</si>
  <si>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</si>
  <si>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</si>
  <si>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</si>
  <si>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</si>
  <si>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</si>
  <si>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</si>
  <si>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</si>
  <si>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</si>
  <si>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</si>
  <si>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</si>
  <si>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</si>
  <si>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</si>
  <si>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</si>
  <si>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</si>
  <si>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</si>
  <si>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</si>
  <si>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</si>
  <si>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</si>
  <si>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</si>
  <si>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</si>
  <si>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</si>
  <si>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</si>
  <si>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</si>
  <si>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</si>
  <si>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</si>
  <si>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</si>
  <si>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</si>
  <si>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</si>
  <si>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</si>
  <si>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</si>
  <si>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</si>
  <si>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</si>
  <si>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</si>
  <si>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</si>
  <si>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</si>
  <si>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</si>
  <si>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</si>
  <si>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</si>
  <si>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CF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</si>
  <si>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</si>
  <si>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</si>
  <si>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</si>
  <si>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</si>
  <si>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</si>
  <si>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</si>
  <si>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</si>
  <si>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</si>
  <si>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</si>
  <si>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</si>
  <si>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</si>
  <si>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</si>
  <si>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</si>
  <si>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</si>
  <si>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</si>
  <si>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</si>
  <si>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</si>
  <si>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</si>
  <si>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</si>
  <si>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</si>
  <si>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</si>
  <si>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</si>
  <si>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</si>
  <si>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</si>
  <si>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</si>
  <si>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</si>
  <si>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</si>
  <si>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</si>
  <si>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</si>
  <si>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</si>
  <si>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CF owner-FCF component DCF: base case (millions, USD)</t>
  </si>
  <si>
    <t xml:space="preserve">CF owner-FCF component DCF: bull case (millions, USD)</t>
  </si>
  <si>
    <t xml:space="preserve">CF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</si>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</sst>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114.67</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O2" s="0" t="n">
        <v>780.6</v>
      </c>
      <c r="S2" s="0" t="n">
        <v>25.4</v>
      </c>
      <c r="AA2" s="0" t="s">
        <v>17</v>
      </c>
      <c r="AB2" s="0" t="s">
        <v>14</v>
      </c>
    </row>
    <row r="3" customFormat="false" ht="15" hidden="false" customHeight="false" outlineLevel="0" collapsed="false">
      <c r="A3" s="0" t="s">
        <v>64</v>
      </c>
      <c r="B3" s="0" t="n">
        <v>2756.7</v>
      </c>
      <c r="D3" s="0" t="n">
        <v>670</v>
      </c>
      <c r="E3" s="0" t="n">
        <v>24.3044219537853</v>
      </c>
      <c r="F3" s="0" t="n">
        <v>601.6</v>
      </c>
      <c r="G3" s="0" t="n">
        <v>21.8231943991004</v>
      </c>
      <c r="H3" s="0" t="n">
        <v>686.1</v>
      </c>
      <c r="I3" s="0" t="n">
        <v>427.3</v>
      </c>
      <c r="J3" s="0" t="n">
        <v>15.5004171654515</v>
      </c>
      <c r="K3" s="0" t="n">
        <v>6.7</v>
      </c>
      <c r="L3" s="0" t="n">
        <v>690.1</v>
      </c>
      <c r="M3" s="0" t="n">
        <v>105.1</v>
      </c>
      <c r="N3" s="0" t="n">
        <v>585</v>
      </c>
      <c r="O3" s="0" t="n">
        <v>1204.3</v>
      </c>
      <c r="S3" s="0" t="n">
        <v>366.5</v>
      </c>
      <c r="T3" s="0" t="n">
        <v>56.8</v>
      </c>
      <c r="U3" s="0" t="n">
        <v>9.7</v>
      </c>
      <c r="AA3" s="0" t="s">
        <v>17</v>
      </c>
      <c r="AB3" s="0" t="s">
        <v>14</v>
      </c>
    </row>
    <row r="4" customFormat="false" ht="15" hidden="false" customHeight="false" outlineLevel="0" collapsed="false">
      <c r="A4" s="0" t="s">
        <v>65</v>
      </c>
      <c r="B4" s="0" t="n">
        <v>3921.1</v>
      </c>
      <c r="D4" s="0" t="n">
        <v>1222.7</v>
      </c>
      <c r="E4" s="0" t="n">
        <v>31.18257631787</v>
      </c>
      <c r="F4" s="0" t="n">
        <v>1150.2</v>
      </c>
      <c r="G4" s="0" t="n">
        <v>29.3336053658412</v>
      </c>
      <c r="H4" s="0" t="n">
        <v>1251</v>
      </c>
      <c r="I4" s="0" t="n">
        <v>801.5</v>
      </c>
      <c r="J4" s="0" t="n">
        <v>20.4406926627732</v>
      </c>
      <c r="K4" s="0" t="n">
        <v>12.35</v>
      </c>
      <c r="L4" s="0" t="n">
        <v>638.6</v>
      </c>
      <c r="M4" s="0" t="n">
        <v>141.8</v>
      </c>
      <c r="N4" s="0" t="n">
        <v>496.8</v>
      </c>
      <c r="O4" s="0" t="n">
        <v>1350.7</v>
      </c>
      <c r="P4" s="0" t="n">
        <v>2387.6</v>
      </c>
      <c r="S4" s="0" t="n">
        <v>625</v>
      </c>
      <c r="T4" s="0" t="n">
        <v>48.391584</v>
      </c>
      <c r="U4" s="0" t="n">
        <v>8.3</v>
      </c>
      <c r="AA4" s="0" t="s">
        <v>17</v>
      </c>
      <c r="AB4" s="0" t="s">
        <v>14</v>
      </c>
    </row>
    <row r="5" customFormat="false" ht="15" hidden="false" customHeight="false" outlineLevel="0" collapsed="false">
      <c r="A5" s="0" t="s">
        <v>66</v>
      </c>
      <c r="B5" s="0" t="n">
        <v>2608.4</v>
      </c>
      <c r="D5" s="0" t="n">
        <v>839.4</v>
      </c>
      <c r="E5" s="0" t="n">
        <v>32.1806471400092</v>
      </c>
      <c r="F5" s="0" t="n">
        <v>679.8</v>
      </c>
      <c r="G5" s="0" t="n">
        <v>26.0619536880847</v>
      </c>
      <c r="H5" s="0" t="n">
        <v>780.8</v>
      </c>
      <c r="I5" s="0" t="n">
        <v>448.5</v>
      </c>
      <c r="J5" s="0" t="n">
        <v>17.1944487041865</v>
      </c>
      <c r="K5" s="0" t="n">
        <v>7.54</v>
      </c>
      <c r="L5" s="0" t="n">
        <v>681.8</v>
      </c>
      <c r="M5" s="0" t="n">
        <v>235.7</v>
      </c>
      <c r="N5" s="0" t="n">
        <v>446.1</v>
      </c>
      <c r="O5" s="0" t="n">
        <v>1744.9</v>
      </c>
      <c r="P5" s="0" t="n">
        <v>2494.9</v>
      </c>
      <c r="S5" s="0" t="n">
        <v>697.1</v>
      </c>
      <c r="T5" s="0" t="n">
        <v>48.569985</v>
      </c>
      <c r="U5" s="0" t="n">
        <v>6.6</v>
      </c>
      <c r="AA5" s="0" t="s">
        <v>17</v>
      </c>
      <c r="AB5" s="0" t="s">
        <v>14</v>
      </c>
    </row>
    <row r="6" customFormat="false" ht="15" hidden="false" customHeight="false" outlineLevel="0" collapsed="false">
      <c r="A6" s="0" t="s">
        <v>67</v>
      </c>
      <c r="B6" s="0" t="n">
        <v>3965</v>
      </c>
      <c r="D6" s="0" t="n">
        <v>1179.5</v>
      </c>
      <c r="E6" s="0" t="n">
        <v>29.7477931904161</v>
      </c>
      <c r="F6" s="0" t="n">
        <v>895.7</v>
      </c>
      <c r="G6" s="0" t="n">
        <v>22.5901639344262</v>
      </c>
      <c r="H6" s="0" t="n">
        <v>1290.5</v>
      </c>
      <c r="I6" s="0" t="n">
        <v>440.7</v>
      </c>
      <c r="J6" s="0" t="n">
        <v>11.1147540983607</v>
      </c>
      <c r="K6" s="0" t="n">
        <v>5.4</v>
      </c>
      <c r="L6" s="0" t="n">
        <v>1194.4</v>
      </c>
      <c r="M6" s="0" t="n">
        <v>258.1</v>
      </c>
      <c r="N6" s="0" t="n">
        <v>936.3</v>
      </c>
      <c r="O6" s="0" t="n">
        <v>4433.4</v>
      </c>
      <c r="P6" s="0" t="n">
        <v>8754</v>
      </c>
      <c r="R6" s="0" t="n">
        <v>1954.1</v>
      </c>
      <c r="S6" s="0" t="n">
        <v>797.7</v>
      </c>
      <c r="T6" s="0" t="n">
        <v>71.267185</v>
      </c>
      <c r="U6" s="0" t="n">
        <v>8.3</v>
      </c>
      <c r="AA6" s="0" t="s">
        <v>17</v>
      </c>
      <c r="AB6" s="0" t="s">
        <v>14</v>
      </c>
    </row>
    <row r="7" customFormat="false" ht="15" hidden="false" customHeight="false" outlineLevel="0" collapsed="false">
      <c r="A7" s="0" t="s">
        <v>68</v>
      </c>
      <c r="B7" s="0" t="n">
        <v>6097.9</v>
      </c>
      <c r="D7" s="0" t="n">
        <v>2895.6</v>
      </c>
      <c r="E7" s="0" t="n">
        <v>47.4851998228899</v>
      </c>
      <c r="F7" s="0" t="n">
        <v>2790.5</v>
      </c>
      <c r="G7" s="0" t="n">
        <v>45.7616556519458</v>
      </c>
      <c r="H7" s="0" t="n">
        <v>3206.7</v>
      </c>
      <c r="I7" s="0" t="n">
        <v>1761</v>
      </c>
      <c r="J7" s="0" t="n">
        <v>28.8787943390348</v>
      </c>
      <c r="K7" s="0" t="n">
        <v>22.18</v>
      </c>
      <c r="M7" s="0" t="n">
        <v>247.2</v>
      </c>
      <c r="O7" s="0" t="n">
        <v>4932.9</v>
      </c>
      <c r="P7" s="0" t="n">
        <v>8974.5</v>
      </c>
      <c r="R7" s="0" t="n">
        <v>1613</v>
      </c>
      <c r="S7" s="0" t="n">
        <v>1207</v>
      </c>
      <c r="T7" s="0" t="n">
        <v>65.419989</v>
      </c>
      <c r="U7" s="0" t="n">
        <v>10.6</v>
      </c>
      <c r="AA7" s="0" t="s">
        <v>17</v>
      </c>
      <c r="AB7" s="0" t="s">
        <v>14</v>
      </c>
    </row>
    <row r="8" customFormat="false" ht="15" hidden="false" customHeight="false" outlineLevel="0" collapsed="false">
      <c r="A8" s="0" t="s">
        <v>69</v>
      </c>
      <c r="B8" s="0" t="n">
        <v>6104</v>
      </c>
      <c r="D8" s="0" t="n">
        <v>3113.3</v>
      </c>
      <c r="E8" s="0" t="n">
        <v>51.0042595019659</v>
      </c>
      <c r="F8" s="0" t="n">
        <v>2959.4</v>
      </c>
      <c r="G8" s="0" t="n">
        <v>48.4829619921363</v>
      </c>
      <c r="H8" s="0" t="n">
        <v>3379.2</v>
      </c>
      <c r="I8" s="0" t="n">
        <v>1923.4</v>
      </c>
      <c r="J8" s="0" t="n">
        <v>31.5104849279161</v>
      </c>
      <c r="K8" s="0" t="n">
        <v>28.94</v>
      </c>
      <c r="M8" s="0" t="n">
        <v>523.5</v>
      </c>
      <c r="O8" s="0" t="n">
        <v>6282.2</v>
      </c>
      <c r="P8" s="0" t="n">
        <v>10166.9</v>
      </c>
      <c r="R8" s="0" t="n">
        <v>1600</v>
      </c>
      <c r="S8" s="0" t="n">
        <v>2274.9</v>
      </c>
      <c r="T8" s="0" t="n">
        <v>314.75344</v>
      </c>
      <c r="U8" s="0" t="n">
        <v>11.9</v>
      </c>
      <c r="AA8" s="0" t="s">
        <v>17</v>
      </c>
      <c r="AB8" s="0" t="s">
        <v>14</v>
      </c>
    </row>
    <row r="9" customFormat="false" ht="15" hidden="false" customHeight="false" outlineLevel="0" collapsed="false">
      <c r="A9" s="0" t="s">
        <v>70</v>
      </c>
      <c r="B9" s="0" t="n">
        <v>5474.7</v>
      </c>
      <c r="D9" s="0" t="n">
        <v>2520.2</v>
      </c>
      <c r="E9" s="0" t="n">
        <v>46.0335726158511</v>
      </c>
      <c r="F9" s="0" t="n">
        <v>2411.7</v>
      </c>
      <c r="G9" s="0" t="n">
        <v>44.0517288618554</v>
      </c>
      <c r="H9" s="0" t="n">
        <v>2822.3</v>
      </c>
      <c r="I9" s="0" t="n">
        <v>1532.8</v>
      </c>
      <c r="J9" s="0" t="n">
        <v>27.9978811624381</v>
      </c>
      <c r="K9" s="0" t="n">
        <v>4.97</v>
      </c>
      <c r="M9" s="0" t="n">
        <v>823.8</v>
      </c>
      <c r="O9" s="0" t="n">
        <v>5438</v>
      </c>
      <c r="P9" s="0" t="n">
        <v>10678.1</v>
      </c>
      <c r="R9" s="0" t="n">
        <v>3098.1</v>
      </c>
      <c r="S9" s="0" t="n">
        <v>1711</v>
      </c>
      <c r="T9" s="0" t="n">
        <v>279.24097</v>
      </c>
      <c r="U9" s="0" t="n">
        <v>12.6</v>
      </c>
      <c r="AA9" s="0" t="s">
        <v>17</v>
      </c>
      <c r="AB9" s="0" t="s">
        <v>14</v>
      </c>
    </row>
    <row r="10" customFormat="false" ht="15" hidden="false" customHeight="false" outlineLevel="0" collapsed="false">
      <c r="A10" s="0" t="s">
        <v>71</v>
      </c>
      <c r="B10" s="0" t="n">
        <v>4743</v>
      </c>
      <c r="D10" s="0" t="n">
        <v>1778</v>
      </c>
      <c r="E10" s="0" t="n">
        <v>37.4868226860637</v>
      </c>
      <c r="F10" s="0" t="n">
        <v>2366</v>
      </c>
      <c r="G10" s="0" t="n">
        <v>49.8840396373603</v>
      </c>
      <c r="H10" s="0" t="n">
        <v>2759</v>
      </c>
      <c r="I10" s="0" t="n">
        <v>1437</v>
      </c>
      <c r="J10" s="0" t="n">
        <v>30.2972802024035</v>
      </c>
      <c r="K10" s="0" t="n">
        <v>5.43</v>
      </c>
      <c r="L10" s="0" t="n">
        <v>1421</v>
      </c>
      <c r="M10" s="0" t="n">
        <v>1809</v>
      </c>
      <c r="N10" s="0" t="n">
        <v>-388</v>
      </c>
      <c r="O10" s="0" t="n">
        <v>4572</v>
      </c>
      <c r="P10" s="0" t="n">
        <v>11254.2</v>
      </c>
      <c r="R10" s="0" t="n">
        <v>4592.5</v>
      </c>
      <c r="S10" s="0" t="n">
        <v>1997</v>
      </c>
      <c r="T10" s="0" t="n">
        <v>241.67305</v>
      </c>
      <c r="U10" s="0" t="n">
        <v>16.8</v>
      </c>
      <c r="AA10" s="0" t="s">
        <v>17</v>
      </c>
      <c r="AB10" s="0" t="s">
        <v>14</v>
      </c>
    </row>
    <row r="11" customFormat="false" ht="15" hidden="false" customHeight="false" outlineLevel="0" collapsed="false">
      <c r="A11" s="0" t="s">
        <v>72</v>
      </c>
      <c r="B11" s="0" t="n">
        <v>4308</v>
      </c>
      <c r="D11" s="0" t="n">
        <v>1547</v>
      </c>
      <c r="E11" s="0" t="n">
        <v>35.9099350046425</v>
      </c>
      <c r="F11" s="0" t="n">
        <v>1193</v>
      </c>
      <c r="G11" s="0" t="n">
        <v>27.6926648096565</v>
      </c>
      <c r="H11" s="0" t="n">
        <v>1673</v>
      </c>
      <c r="I11" s="0" t="n">
        <v>734</v>
      </c>
      <c r="J11" s="0" t="n">
        <v>17.0380687093779</v>
      </c>
      <c r="K11" s="0" t="n">
        <v>2.97</v>
      </c>
      <c r="L11" s="0" t="n">
        <v>1207</v>
      </c>
      <c r="M11" s="0" t="n">
        <v>2469</v>
      </c>
      <c r="N11" s="0" t="n">
        <v>-1262</v>
      </c>
      <c r="O11" s="0" t="n">
        <v>4387</v>
      </c>
      <c r="P11" s="0" t="n">
        <v>12683</v>
      </c>
      <c r="R11" s="0" t="n">
        <v>5537</v>
      </c>
      <c r="S11" s="0" t="n">
        <v>309</v>
      </c>
      <c r="T11" s="0" t="n">
        <v>233.081556</v>
      </c>
      <c r="U11" s="0" t="n">
        <v>17</v>
      </c>
      <c r="AA11" s="0" t="s">
        <v>17</v>
      </c>
      <c r="AB11" s="0" t="s">
        <v>14</v>
      </c>
    </row>
    <row r="12" customFormat="false" ht="15" hidden="false" customHeight="false" outlineLevel="0" collapsed="false">
      <c r="A12" s="0" t="s">
        <v>73</v>
      </c>
      <c r="B12" s="0" t="n">
        <v>3685</v>
      </c>
      <c r="C12" s="0" t="n">
        <v>2842</v>
      </c>
      <c r="D12" s="0" t="n">
        <v>843</v>
      </c>
      <c r="E12" s="0" t="n">
        <v>22.876526458616</v>
      </c>
      <c r="F12" s="0" t="n">
        <v>138</v>
      </c>
      <c r="G12" s="0" t="n">
        <v>3.7449118046133</v>
      </c>
      <c r="H12" s="0" t="n">
        <v>816</v>
      </c>
      <c r="I12" s="0" t="n">
        <v>-158</v>
      </c>
      <c r="J12" s="0" t="n">
        <v>-4.2876526458616</v>
      </c>
      <c r="K12" s="0" t="n">
        <v>-1.19</v>
      </c>
      <c r="L12" s="0" t="n">
        <v>617</v>
      </c>
      <c r="M12" s="0" t="n">
        <v>2211</v>
      </c>
      <c r="N12" s="0" t="n">
        <v>-1594</v>
      </c>
      <c r="O12" s="0" t="n">
        <v>6492</v>
      </c>
      <c r="P12" s="0" t="n">
        <v>15131</v>
      </c>
      <c r="R12" s="0" t="n">
        <v>5778</v>
      </c>
      <c r="S12" s="0" t="n">
        <v>1169</v>
      </c>
      <c r="T12" s="0" t="n">
        <v>233.114169</v>
      </c>
      <c r="U12" s="0" t="n">
        <v>19</v>
      </c>
      <c r="AA12" s="0" t="s">
        <v>17</v>
      </c>
      <c r="AB12" s="0" t="s">
        <v>14</v>
      </c>
    </row>
    <row r="13" customFormat="false" ht="15" hidden="false" customHeight="false" outlineLevel="0" collapsed="false">
      <c r="A13" s="0" t="s">
        <v>74</v>
      </c>
      <c r="B13" s="0" t="n">
        <v>4130</v>
      </c>
      <c r="C13" s="0" t="n">
        <v>3696</v>
      </c>
      <c r="D13" s="0" t="n">
        <v>434</v>
      </c>
      <c r="E13" s="0" t="n">
        <v>10.5084745762712</v>
      </c>
      <c r="F13" s="0" t="n">
        <v>234</v>
      </c>
      <c r="G13" s="0" t="n">
        <v>5.66585956416465</v>
      </c>
      <c r="H13" s="0" t="n">
        <v>1117</v>
      </c>
      <c r="I13" s="0" t="n">
        <v>450</v>
      </c>
      <c r="J13" s="0" t="n">
        <v>10.8958837772397</v>
      </c>
      <c r="K13" s="0" t="n">
        <v>1.53</v>
      </c>
      <c r="L13" s="0" t="n">
        <v>1631</v>
      </c>
      <c r="M13" s="0" t="n">
        <v>473</v>
      </c>
      <c r="N13" s="0" t="n">
        <v>1158</v>
      </c>
      <c r="O13" s="0" t="n">
        <v>6684</v>
      </c>
      <c r="P13" s="0" t="n">
        <v>13463</v>
      </c>
      <c r="R13" s="0" t="n">
        <v>4692</v>
      </c>
      <c r="S13" s="0" t="n">
        <v>835</v>
      </c>
      <c r="T13" s="0" t="n">
        <v>233.287089</v>
      </c>
      <c r="U13" s="0" t="n">
        <v>17</v>
      </c>
      <c r="AA13" s="0" t="s">
        <v>17</v>
      </c>
      <c r="AB13" s="0" t="s">
        <v>14</v>
      </c>
    </row>
    <row r="14" customFormat="false" ht="15" hidden="false" customHeight="false" outlineLevel="0" collapsed="false">
      <c r="A14" s="0" t="s">
        <v>75</v>
      </c>
      <c r="B14" s="0" t="n">
        <v>4429</v>
      </c>
      <c r="C14" s="0" t="n">
        <v>3512</v>
      </c>
      <c r="D14" s="0" t="n">
        <v>917</v>
      </c>
      <c r="E14" s="0" t="n">
        <v>20.7044479566494</v>
      </c>
      <c r="F14" s="0" t="n">
        <v>766</v>
      </c>
      <c r="G14" s="0" t="n">
        <v>17.2951004741477</v>
      </c>
      <c r="H14" s="0" t="n">
        <v>1654</v>
      </c>
      <c r="I14" s="0" t="n">
        <v>428</v>
      </c>
      <c r="J14" s="0" t="n">
        <v>9.66358094377963</v>
      </c>
      <c r="K14" s="0" t="n">
        <v>1.25</v>
      </c>
      <c r="L14" s="0" t="n">
        <v>1497</v>
      </c>
      <c r="M14" s="0" t="n">
        <v>422</v>
      </c>
      <c r="N14" s="0" t="n">
        <v>1075</v>
      </c>
      <c r="O14" s="0" t="n">
        <v>5731</v>
      </c>
      <c r="P14" s="0" t="n">
        <v>12661</v>
      </c>
      <c r="R14" s="0" t="n">
        <v>4698</v>
      </c>
      <c r="S14" s="0" t="n">
        <v>682</v>
      </c>
      <c r="T14" s="0" t="n">
        <v>222.818495</v>
      </c>
      <c r="U14" s="0" t="n">
        <v>22</v>
      </c>
      <c r="AA14" s="0" t="s">
        <v>17</v>
      </c>
      <c r="AB14" s="0" t="s">
        <v>14</v>
      </c>
    </row>
    <row r="15" customFormat="false" ht="15" hidden="false" customHeight="false" outlineLevel="0" collapsed="false">
      <c r="A15" s="0" t="s">
        <v>76</v>
      </c>
      <c r="B15" s="0" t="n">
        <v>4590</v>
      </c>
      <c r="C15" s="0" t="n">
        <v>3416</v>
      </c>
      <c r="D15" s="0" t="n">
        <v>1174</v>
      </c>
      <c r="E15" s="0" t="n">
        <v>25.5773420479303</v>
      </c>
      <c r="F15" s="0" t="n">
        <v>1003</v>
      </c>
      <c r="G15" s="0" t="n">
        <v>21.8518518518519</v>
      </c>
      <c r="H15" s="0" t="n">
        <v>1878</v>
      </c>
      <c r="I15" s="0" t="n">
        <v>646</v>
      </c>
      <c r="J15" s="0" t="n">
        <v>14.0740740740741</v>
      </c>
      <c r="K15" s="0" t="n">
        <v>2.24</v>
      </c>
      <c r="L15" s="0" t="n">
        <v>1505</v>
      </c>
      <c r="M15" s="0" t="n">
        <v>404</v>
      </c>
      <c r="N15" s="0" t="n">
        <v>1101</v>
      </c>
      <c r="O15" s="0" t="n">
        <v>5637</v>
      </c>
      <c r="P15" s="0" t="n">
        <v>12172</v>
      </c>
      <c r="R15" s="0" t="n">
        <v>3957</v>
      </c>
      <c r="S15" s="0" t="n">
        <v>287</v>
      </c>
      <c r="T15" s="0" t="n">
        <v>216.023826</v>
      </c>
      <c r="U15" s="0" t="n">
        <v>28</v>
      </c>
      <c r="AA15" s="0" t="s">
        <v>17</v>
      </c>
      <c r="AB15" s="0" t="s">
        <v>14</v>
      </c>
    </row>
    <row r="16" customFormat="false" ht="15" hidden="false" customHeight="false" outlineLevel="0" collapsed="false">
      <c r="A16" s="0" t="s">
        <v>77</v>
      </c>
      <c r="B16" s="0" t="n">
        <v>4124</v>
      </c>
      <c r="C16" s="0" t="n">
        <v>3323</v>
      </c>
      <c r="D16" s="0" t="n">
        <v>801</v>
      </c>
      <c r="E16" s="0" t="n">
        <v>19.4228903976722</v>
      </c>
      <c r="F16" s="0" t="n">
        <v>623</v>
      </c>
      <c r="G16" s="0" t="n">
        <v>15.1066925315228</v>
      </c>
      <c r="H16" s="0" t="n">
        <v>1515</v>
      </c>
      <c r="I16" s="0" t="n">
        <v>432</v>
      </c>
      <c r="J16" s="0" t="n">
        <v>10.4752667313288</v>
      </c>
      <c r="K16" s="0" t="n">
        <v>1.48</v>
      </c>
      <c r="L16" s="0" t="n">
        <v>1231</v>
      </c>
      <c r="M16" s="0" t="n">
        <v>309</v>
      </c>
      <c r="N16" s="0" t="n">
        <v>922</v>
      </c>
      <c r="O16" s="0" t="n">
        <v>5603</v>
      </c>
      <c r="P16" s="0" t="n">
        <v>12023</v>
      </c>
      <c r="R16" s="0" t="n">
        <v>4210</v>
      </c>
      <c r="T16" s="0" t="n">
        <v>213.954858</v>
      </c>
      <c r="U16" s="0" t="n">
        <v>26</v>
      </c>
      <c r="AA16" s="0" t="s">
        <v>17</v>
      </c>
      <c r="AB16" s="0" t="s">
        <v>14</v>
      </c>
    </row>
    <row r="17" customFormat="false" ht="15" hidden="false" customHeight="false" outlineLevel="0" collapsed="false">
      <c r="A17" s="0" t="s">
        <v>78</v>
      </c>
      <c r="B17" s="0" t="n">
        <v>6538</v>
      </c>
      <c r="C17" s="0" t="n">
        <v>4151</v>
      </c>
      <c r="D17" s="0" t="n">
        <v>2387</v>
      </c>
      <c r="E17" s="0" t="n">
        <v>36.5096359743041</v>
      </c>
      <c r="F17" s="0" t="n">
        <v>1729</v>
      </c>
      <c r="G17" s="0" t="n">
        <v>26.4453961456103</v>
      </c>
      <c r="H17" s="0" t="n">
        <v>2617</v>
      </c>
      <c r="I17" s="0" t="n">
        <v>1260</v>
      </c>
      <c r="J17" s="0" t="n">
        <v>19.271948608137</v>
      </c>
      <c r="K17" s="0" t="n">
        <v>4.27</v>
      </c>
      <c r="L17" s="0" t="n">
        <v>2873</v>
      </c>
      <c r="M17" s="0" t="n">
        <v>514</v>
      </c>
      <c r="N17" s="0" t="n">
        <v>2359</v>
      </c>
      <c r="O17" s="0" t="n">
        <v>6036</v>
      </c>
      <c r="P17" s="0" t="n">
        <v>12375</v>
      </c>
      <c r="R17" s="0" t="n">
        <v>3465</v>
      </c>
      <c r="T17" s="0" t="n">
        <v>207.575978</v>
      </c>
      <c r="U17" s="0" t="n">
        <v>30</v>
      </c>
      <c r="AA17" s="0" t="s">
        <v>17</v>
      </c>
      <c r="AB17" s="0" t="s">
        <v>14</v>
      </c>
    </row>
    <row r="18" customFormat="false" ht="15" hidden="false" customHeight="false" outlineLevel="0" collapsed="false">
      <c r="A18" s="0" t="s">
        <v>79</v>
      </c>
      <c r="B18" s="0" t="n">
        <v>11186</v>
      </c>
      <c r="C18" s="0" t="n">
        <v>5325</v>
      </c>
      <c r="D18" s="0" t="n">
        <v>5861</v>
      </c>
      <c r="E18" s="0" t="n">
        <v>52.3958519578044</v>
      </c>
      <c r="F18" s="0" t="n">
        <v>5397</v>
      </c>
      <c r="G18" s="0" t="n">
        <v>48.2478097622028</v>
      </c>
      <c r="H18" s="0" t="n">
        <v>6247</v>
      </c>
      <c r="I18" s="0" t="n">
        <v>3937</v>
      </c>
      <c r="J18" s="0" t="n">
        <v>35.1957804398355</v>
      </c>
      <c r="K18" s="0" t="n">
        <v>16.45</v>
      </c>
      <c r="L18" s="0" t="n">
        <v>3855</v>
      </c>
      <c r="M18" s="0" t="n">
        <v>453</v>
      </c>
      <c r="N18" s="0" t="n">
        <v>3402</v>
      </c>
      <c r="O18" s="0" t="n">
        <v>7853</v>
      </c>
      <c r="P18" s="0" t="n">
        <v>13313</v>
      </c>
      <c r="R18" s="0" t="n">
        <v>2965</v>
      </c>
      <c r="T18" s="0" t="n">
        <v>195.604404</v>
      </c>
      <c r="U18" s="0" t="n">
        <v>41</v>
      </c>
      <c r="AA18" s="0" t="s">
        <v>17</v>
      </c>
      <c r="AB18" s="0" t="s">
        <v>14</v>
      </c>
    </row>
    <row r="19" customFormat="false" ht="15" hidden="false" customHeight="false" outlineLevel="0" collapsed="false">
      <c r="A19" s="0" t="s">
        <v>80</v>
      </c>
      <c r="B19" s="0" t="n">
        <v>6631</v>
      </c>
      <c r="C19" s="0" t="n">
        <v>4086</v>
      </c>
      <c r="D19" s="0" t="n">
        <v>2545</v>
      </c>
      <c r="E19" s="0" t="n">
        <v>38.3803347911326</v>
      </c>
      <c r="F19" s="0" t="n">
        <v>2230</v>
      </c>
      <c r="G19" s="0" t="n">
        <v>33.6299200723873</v>
      </c>
      <c r="H19" s="0" t="n">
        <v>3099</v>
      </c>
      <c r="I19" s="0" t="n">
        <v>1838</v>
      </c>
      <c r="J19" s="0" t="n">
        <v>27.7182928668376</v>
      </c>
      <c r="K19" s="0" t="n">
        <v>7.89</v>
      </c>
      <c r="L19" s="0" t="n">
        <v>2757</v>
      </c>
      <c r="M19" s="0" t="n">
        <v>499</v>
      </c>
      <c r="N19" s="0" t="n">
        <v>2258</v>
      </c>
      <c r="O19" s="0" t="n">
        <v>8373</v>
      </c>
      <c r="P19" s="0" t="n">
        <v>14376</v>
      </c>
      <c r="R19" s="0" t="n">
        <v>2968</v>
      </c>
      <c r="T19" s="0" t="n">
        <v>193.8</v>
      </c>
      <c r="U19" s="0" t="n">
        <v>37</v>
      </c>
      <c r="AA19" s="0" t="s">
        <v>17</v>
      </c>
      <c r="AB19" s="0" t="s">
        <v>14</v>
      </c>
    </row>
    <row r="20" customFormat="false" ht="15" hidden="false" customHeight="false" outlineLevel="0" collapsed="false">
      <c r="A20" s="0" t="s">
        <v>81</v>
      </c>
      <c r="B20" s="0" t="n">
        <v>5936</v>
      </c>
      <c r="C20" s="0" t="n">
        <v>3880</v>
      </c>
      <c r="D20" s="0" t="n">
        <v>2056</v>
      </c>
      <c r="E20" s="0" t="n">
        <v>34.6361185983828</v>
      </c>
      <c r="F20" s="0" t="n">
        <v>1746</v>
      </c>
      <c r="G20" s="0" t="n">
        <v>29.4137466307278</v>
      </c>
      <c r="H20" s="0" t="n">
        <v>2671</v>
      </c>
      <c r="I20" s="0" t="n">
        <v>1477</v>
      </c>
      <c r="J20" s="0" t="n">
        <v>24.8820754716981</v>
      </c>
      <c r="K20" s="0" t="n">
        <v>6.75</v>
      </c>
      <c r="L20" s="0" t="n">
        <v>2271</v>
      </c>
      <c r="M20" s="0" t="n">
        <v>518</v>
      </c>
      <c r="N20" s="0" t="n">
        <v>1753</v>
      </c>
      <c r="O20" s="0" t="n">
        <v>7592</v>
      </c>
      <c r="P20" s="0" t="n">
        <v>13466</v>
      </c>
      <c r="R20" s="0" t="n">
        <v>2971</v>
      </c>
      <c r="T20" s="0" t="n">
        <v>180.7</v>
      </c>
      <c r="U20" s="0" t="n">
        <v>36</v>
      </c>
      <c r="AA20" s="0" t="s">
        <v>17</v>
      </c>
      <c r="AB20" s="0" t="s">
        <v>14</v>
      </c>
    </row>
    <row r="21" customFormat="false" ht="15" hidden="false" customHeight="false" outlineLevel="0" collapsed="false">
      <c r="A21" s="0" t="s">
        <v>82</v>
      </c>
      <c r="B21" s="0" t="n">
        <v>7084</v>
      </c>
      <c r="C21" s="0" t="n">
        <v>4360</v>
      </c>
      <c r="D21" s="0" t="n">
        <v>2724</v>
      </c>
      <c r="E21" s="0" t="n">
        <v>38.4528514963298</v>
      </c>
      <c r="F21" s="0" t="n">
        <v>2300</v>
      </c>
      <c r="G21" s="0" t="n">
        <v>32.4675324675325</v>
      </c>
      <c r="H21" s="0" t="n">
        <v>3198</v>
      </c>
      <c r="I21" s="0" t="n">
        <v>1798</v>
      </c>
      <c r="J21" s="0" t="n">
        <v>25.3811405985319</v>
      </c>
      <c r="K21" s="0" t="n">
        <v>8.98</v>
      </c>
      <c r="L21" s="0" t="n">
        <v>2752</v>
      </c>
      <c r="M21" s="0" t="n">
        <v>950</v>
      </c>
      <c r="N21" s="0" t="n">
        <v>1802</v>
      </c>
      <c r="O21" s="0" t="n">
        <v>7775</v>
      </c>
      <c r="P21" s="0" t="n">
        <v>14088</v>
      </c>
      <c r="R21" s="0" t="n">
        <v>3215</v>
      </c>
      <c r="T21" s="0" t="n">
        <v>162.2</v>
      </c>
      <c r="U21" s="0" t="n">
        <v>45</v>
      </c>
      <c r="AA21" s="0" t="s">
        <v>17</v>
      </c>
      <c r="AB21"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83</v>
      </c>
      <c r="B1" s="2" t="s">
        <v>84</v>
      </c>
    </row>
    <row r="2" customFormat="false" ht="15" hidden="false" customHeight="false" outlineLevel="0" collapsed="false">
      <c r="A2" s="0" t="s">
        <v>85</v>
      </c>
      <c r="B2" s="3" t="n">
        <v>114.67</v>
      </c>
    </row>
    <row r="3" customFormat="false" ht="15" hidden="false" customHeight="false" outlineLevel="0" collapsed="false">
      <c r="A3" s="0" t="s">
        <v>86</v>
      </c>
      <c r="B3" s="3" t="n">
        <v>151.64</v>
      </c>
    </row>
    <row r="4" customFormat="false" ht="15" hidden="false" customHeight="false" outlineLevel="0" collapsed="false">
      <c r="A4" s="0" t="s">
        <v>87</v>
      </c>
      <c r="B4" s="3" t="n">
        <v>736</v>
      </c>
    </row>
    <row r="5" customFormat="false" ht="15" hidden="false" customHeight="false" outlineLevel="0" collapsed="false">
      <c r="A5" s="0" t="s">
        <v>88</v>
      </c>
      <c r="B5" s="3" t="n">
        <v>-880</v>
      </c>
    </row>
    <row r="6" customFormat="false" ht="15" hidden="false" customHeight="false" outlineLevel="0" collapsed="false">
      <c r="A6" s="0" t="s">
        <v>89</v>
      </c>
      <c r="B6" s="3" t="n">
        <v>15</v>
      </c>
    </row>
    <row r="7" customFormat="false" ht="15" hidden="false" customHeight="false" outlineLevel="0" collapsed="false">
      <c r="A7" s="0" t="s">
        <v>90</v>
      </c>
      <c r="B7" s="3" t="n">
        <v>7084</v>
      </c>
    </row>
    <row r="8" customFormat="false" ht="15" hidden="false" customHeight="false" outlineLevel="0" collapsed="false">
      <c r="A8" s="0" t="s">
        <v>91</v>
      </c>
      <c r="B8" s="3" t="s">
        <v>82</v>
      </c>
    </row>
    <row r="9" customFormat="false" ht="15" hidden="false" customHeight="false" outlineLevel="0" collapsed="false">
      <c r="A9" s="0" t="s">
        <v>92</v>
      </c>
      <c r="B9" s="3" t="s">
        <v>93</v>
      </c>
    </row>
    <row r="10" customFormat="false" ht="15" hidden="false" customHeight="false" outlineLevel="0" collapsed="false">
      <c r="A10" s="0" t="s">
        <v>94</v>
      </c>
      <c r="B10" s="3" t="n">
        <v>1</v>
      </c>
    </row>
    <row r="12" customFormat="false" ht="15" hidden="false" customHeight="false" outlineLevel="0" collapsed="false">
      <c r="A12" s="2" t="s">
        <v>95</v>
      </c>
      <c r="C12" s="2" t="s">
        <v>96</v>
      </c>
      <c r="D12" s="2" t="s">
        <v>97</v>
      </c>
      <c r="E12" s="2" t="s">
        <v>98</v>
      </c>
      <c r="F12" s="2" t="s">
        <v>99</v>
      </c>
      <c r="G12" s="2" t="s">
        <v>100</v>
      </c>
      <c r="H12" s="2" t="s">
        <v>101</v>
      </c>
      <c r="I12" s="2" t="s">
        <v>102</v>
      </c>
      <c r="J12" s="2" t="s">
        <v>103</v>
      </c>
      <c r="K12" s="2" t="s">
        <v>104</v>
      </c>
      <c r="L12" s="2" t="s">
        <v>105</v>
      </c>
    </row>
    <row r="13" customFormat="false" ht="15" hidden="false" customHeight="false" outlineLevel="0" collapsed="false">
      <c r="A13" s="0" t="s">
        <v>106</v>
      </c>
      <c r="C13" s="3" t="n">
        <v>10</v>
      </c>
      <c r="D13" s="3" t="n">
        <v>-15</v>
      </c>
      <c r="E13" s="3" t="n">
        <v>-8</v>
      </c>
      <c r="F13" s="3" t="n">
        <v>0</v>
      </c>
      <c r="G13" s="3" t="n">
        <v>2</v>
      </c>
      <c r="H13" s="3" t="n">
        <v>2</v>
      </c>
      <c r="I13" s="3" t="n">
        <v>2</v>
      </c>
      <c r="J13" s="3" t="n">
        <v>2</v>
      </c>
      <c r="K13" s="3" t="n">
        <v>2</v>
      </c>
      <c r="L13" s="3" t="n">
        <v>2</v>
      </c>
    </row>
    <row r="14" customFormat="false" ht="15" hidden="false" customHeight="false" outlineLevel="0" collapsed="false">
      <c r="A14" s="0" t="s">
        <v>107</v>
      </c>
      <c r="C14" s="3" t="n">
        <v>48</v>
      </c>
      <c r="D14" s="3" t="n">
        <v>40</v>
      </c>
      <c r="E14" s="3" t="n">
        <v>37</v>
      </c>
      <c r="F14" s="3" t="n">
        <v>37</v>
      </c>
      <c r="G14" s="3" t="n">
        <v>37.5</v>
      </c>
      <c r="H14" s="3" t="n">
        <v>38</v>
      </c>
      <c r="I14" s="3" t="n">
        <v>38</v>
      </c>
      <c r="J14" s="3" t="n">
        <v>38</v>
      </c>
      <c r="K14" s="3" t="n">
        <v>38</v>
      </c>
      <c r="L14" s="3" t="n">
        <v>38</v>
      </c>
    </row>
    <row r="15" customFormat="false" ht="15" hidden="false" customHeight="false" outlineLevel="0" collapsed="false">
      <c r="A15" s="0" t="s">
        <v>108</v>
      </c>
      <c r="C15" s="3" t="n">
        <v>0.8</v>
      </c>
      <c r="D15" s="3" t="n">
        <v>0.8</v>
      </c>
      <c r="E15" s="3" t="n">
        <v>0.8</v>
      </c>
      <c r="F15" s="3" t="n">
        <v>0.8</v>
      </c>
      <c r="G15" s="3" t="n">
        <v>0.8</v>
      </c>
      <c r="H15" s="3" t="n">
        <v>0.8</v>
      </c>
      <c r="I15" s="3" t="n">
        <v>0.8</v>
      </c>
      <c r="J15" s="3" t="n">
        <v>0.8</v>
      </c>
      <c r="K15" s="3" t="n">
        <v>0.8</v>
      </c>
      <c r="L15" s="3" t="n">
        <v>0.8</v>
      </c>
    </row>
    <row r="16" customFormat="false" ht="15" hidden="false" customHeight="false" outlineLevel="0" collapsed="false">
      <c r="A16" s="0" t="s">
        <v>109</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110</v>
      </c>
      <c r="C17" s="3" t="n">
        <v>11.5</v>
      </c>
      <c r="D17" s="3" t="n">
        <v>13.5</v>
      </c>
      <c r="E17" s="3" t="n">
        <v>14.5</v>
      </c>
      <c r="F17" s="3" t="n">
        <v>14.5</v>
      </c>
      <c r="G17" s="3" t="n">
        <v>14</v>
      </c>
      <c r="H17" s="3" t="n">
        <v>13.5</v>
      </c>
      <c r="I17" s="3" t="n">
        <v>13</v>
      </c>
      <c r="J17" s="3" t="n">
        <v>12.5</v>
      </c>
      <c r="K17" s="3" t="n">
        <v>12</v>
      </c>
      <c r="L17" s="3" t="n">
        <v>11.5</v>
      </c>
    </row>
    <row r="18" customFormat="false" ht="15" hidden="false" customHeight="false" outlineLevel="0" collapsed="false">
      <c r="A18" s="0" t="s">
        <v>111</v>
      </c>
      <c r="C18" s="3" t="n">
        <v>12</v>
      </c>
      <c r="D18" s="3" t="n">
        <v>16.5</v>
      </c>
      <c r="E18" s="3" t="n">
        <v>18</v>
      </c>
      <c r="F18" s="3" t="n">
        <v>14</v>
      </c>
      <c r="G18" s="3" t="n">
        <v>10</v>
      </c>
      <c r="H18" s="3" t="n">
        <v>9.5</v>
      </c>
      <c r="I18" s="3" t="n">
        <v>9.5</v>
      </c>
      <c r="J18" s="3" t="n">
        <v>9.5</v>
      </c>
      <c r="K18" s="3" t="n">
        <v>9.5</v>
      </c>
      <c r="L18" s="3" t="n">
        <v>9.5</v>
      </c>
    </row>
    <row r="19" customFormat="false" ht="15" hidden="false" customHeight="false" outlineLevel="0" collapsed="false">
      <c r="A19" s="0" t="s">
        <v>112</v>
      </c>
      <c r="C19" s="3" t="n">
        <v>32</v>
      </c>
      <c r="D19" s="3" t="n">
        <v>32</v>
      </c>
      <c r="E19" s="3" t="n">
        <v>32</v>
      </c>
      <c r="F19" s="3" t="n">
        <v>33</v>
      </c>
      <c r="G19" s="3" t="n">
        <v>33</v>
      </c>
      <c r="H19" s="3" t="n">
        <v>33</v>
      </c>
      <c r="I19" s="3" t="n">
        <v>34</v>
      </c>
      <c r="J19" s="3" t="n">
        <v>34</v>
      </c>
      <c r="K19" s="3" t="n">
        <v>35</v>
      </c>
      <c r="L19" s="3" t="n">
        <v>36</v>
      </c>
    </row>
    <row r="20" customFormat="false" ht="15" hidden="false" customHeight="false" outlineLevel="0" collapsed="false">
      <c r="A20" s="0" t="s">
        <v>113</v>
      </c>
      <c r="B20" s="3" t="n">
        <v>8.5</v>
      </c>
    </row>
    <row r="21" customFormat="false" ht="15" hidden="false" customHeight="false" outlineLevel="0" collapsed="false">
      <c r="A21" s="0" t="s">
        <v>114</v>
      </c>
      <c r="B21" s="3" t="n">
        <v>1.5</v>
      </c>
    </row>
    <row r="22" customFormat="false" ht="15" hidden="false" customHeight="false" outlineLevel="0" collapsed="false">
      <c r="A22" s="0" t="s">
        <v>115</v>
      </c>
      <c r="B22" s="3" t="n">
        <v>12</v>
      </c>
    </row>
    <row r="23" customFormat="false" ht="15" hidden="false" customHeight="false" outlineLevel="0" collapsed="false">
      <c r="A23" s="0" t="s">
        <v>116</v>
      </c>
      <c r="B23" s="3" t="n">
        <v>-10</v>
      </c>
    </row>
    <row r="24" customFormat="false" ht="15" hidden="false" customHeight="false" outlineLevel="0" collapsed="false">
      <c r="A24" s="0" t="s">
        <v>117</v>
      </c>
      <c r="B24" s="3" t="n">
        <v>0.25</v>
      </c>
    </row>
    <row r="26" customFormat="false" ht="15" hidden="false" customHeight="false" outlineLevel="0" collapsed="false">
      <c r="A26" s="2" t="s">
        <v>118</v>
      </c>
      <c r="C26" s="2" t="s">
        <v>96</v>
      </c>
      <c r="D26" s="2" t="s">
        <v>97</v>
      </c>
      <c r="E26" s="2" t="s">
        <v>98</v>
      </c>
      <c r="F26" s="2" t="s">
        <v>99</v>
      </c>
      <c r="G26" s="2" t="s">
        <v>100</v>
      </c>
      <c r="H26" s="2" t="s">
        <v>101</v>
      </c>
      <c r="I26" s="2" t="s">
        <v>102</v>
      </c>
      <c r="J26" s="2" t="s">
        <v>103</v>
      </c>
      <c r="K26" s="2" t="s">
        <v>104</v>
      </c>
      <c r="L26" s="2" t="s">
        <v>105</v>
      </c>
    </row>
    <row r="27" customFormat="false" ht="15" hidden="false" customHeight="false" outlineLevel="0" collapsed="false">
      <c r="A27" s="0" t="s">
        <v>106</v>
      </c>
      <c r="C27" s="3" t="n">
        <v>14.3</v>
      </c>
      <c r="D27" s="3" t="n">
        <v>-10</v>
      </c>
      <c r="E27" s="3" t="n">
        <v>-5</v>
      </c>
      <c r="F27" s="3" t="n">
        <v>3</v>
      </c>
      <c r="G27" s="3" t="n">
        <v>3.5</v>
      </c>
      <c r="H27" s="3" t="n">
        <v>2.5</v>
      </c>
      <c r="I27" s="3" t="n">
        <v>2.5</v>
      </c>
      <c r="J27" s="3" t="n">
        <v>2.5</v>
      </c>
      <c r="K27" s="3" t="n">
        <v>2.5</v>
      </c>
      <c r="L27" s="3" t="n">
        <v>2.5</v>
      </c>
    </row>
    <row r="28" customFormat="false" ht="15" hidden="false" customHeight="false" outlineLevel="0" collapsed="false">
      <c r="A28" s="0" t="s">
        <v>107</v>
      </c>
      <c r="C28" s="3" t="n">
        <v>50.5</v>
      </c>
      <c r="D28" s="3" t="n">
        <v>46.5</v>
      </c>
      <c r="E28" s="3" t="n">
        <v>45</v>
      </c>
      <c r="F28" s="3" t="n">
        <v>45</v>
      </c>
      <c r="G28" s="3" t="n">
        <v>45.5</v>
      </c>
      <c r="H28" s="3" t="n">
        <v>45.5</v>
      </c>
      <c r="I28" s="3" t="n">
        <v>45.5</v>
      </c>
      <c r="J28" s="3" t="n">
        <v>45</v>
      </c>
      <c r="K28" s="3" t="n">
        <v>45</v>
      </c>
      <c r="L28" s="3" t="n">
        <v>45</v>
      </c>
    </row>
    <row r="29" customFormat="false" ht="15" hidden="false" customHeight="false" outlineLevel="0" collapsed="false">
      <c r="A29" s="0" t="s">
        <v>108</v>
      </c>
      <c r="C29" s="3" t="n">
        <v>0.8</v>
      </c>
      <c r="D29" s="3" t="n">
        <v>0.8</v>
      </c>
      <c r="E29" s="3" t="n">
        <v>0.8</v>
      </c>
      <c r="F29" s="3" t="n">
        <v>0.8</v>
      </c>
      <c r="G29" s="3" t="n">
        <v>0.8</v>
      </c>
      <c r="H29" s="3" t="n">
        <v>0.8</v>
      </c>
      <c r="I29" s="3" t="n">
        <v>0.8</v>
      </c>
      <c r="J29" s="3" t="n">
        <v>0.8</v>
      </c>
      <c r="K29" s="3" t="n">
        <v>0.8</v>
      </c>
      <c r="L29" s="3" t="n">
        <v>0.8</v>
      </c>
    </row>
    <row r="30" customFormat="false" ht="15" hidden="false" customHeight="false" outlineLevel="0" collapsed="false">
      <c r="A30" s="0" t="s">
        <v>109</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110</v>
      </c>
      <c r="C31" s="3" t="n">
        <v>11.2</v>
      </c>
      <c r="D31" s="3" t="n">
        <v>12.4</v>
      </c>
      <c r="E31" s="3" t="n">
        <v>13</v>
      </c>
      <c r="F31" s="3" t="n">
        <v>13.2</v>
      </c>
      <c r="G31" s="3" t="n">
        <v>13</v>
      </c>
      <c r="H31" s="3" t="n">
        <v>12.6</v>
      </c>
      <c r="I31" s="3" t="n">
        <v>12</v>
      </c>
      <c r="J31" s="3" t="n">
        <v>11.5</v>
      </c>
      <c r="K31" s="3" t="n">
        <v>11</v>
      </c>
      <c r="L31" s="3" t="n">
        <v>10.5</v>
      </c>
    </row>
    <row r="32" customFormat="false" ht="15" hidden="false" customHeight="false" outlineLevel="0" collapsed="false">
      <c r="A32" s="0" t="s">
        <v>111</v>
      </c>
      <c r="C32" s="3" t="n">
        <v>11.6</v>
      </c>
      <c r="D32" s="3" t="n">
        <v>14</v>
      </c>
      <c r="E32" s="3" t="n">
        <v>15</v>
      </c>
      <c r="F32" s="3" t="n">
        <v>11.2</v>
      </c>
      <c r="G32" s="3" t="n">
        <v>9</v>
      </c>
      <c r="H32" s="3" t="n">
        <v>9</v>
      </c>
      <c r="I32" s="3" t="n">
        <v>9</v>
      </c>
      <c r="J32" s="3" t="n">
        <v>9</v>
      </c>
      <c r="K32" s="3" t="n">
        <v>9</v>
      </c>
      <c r="L32" s="3" t="n">
        <v>9</v>
      </c>
    </row>
    <row r="33" customFormat="false" ht="15" hidden="false" customHeight="false" outlineLevel="0" collapsed="false">
      <c r="A33" s="0" t="s">
        <v>112</v>
      </c>
      <c r="C33" s="3" t="n">
        <v>32</v>
      </c>
      <c r="D33" s="3" t="n">
        <v>32</v>
      </c>
      <c r="E33" s="3" t="n">
        <v>32</v>
      </c>
      <c r="F33" s="3" t="n">
        <v>33</v>
      </c>
      <c r="G33" s="3" t="n">
        <v>33</v>
      </c>
      <c r="H33" s="3" t="n">
        <v>33</v>
      </c>
      <c r="I33" s="3" t="n">
        <v>34</v>
      </c>
      <c r="J33" s="3" t="n">
        <v>34</v>
      </c>
      <c r="K33" s="3" t="n">
        <v>35</v>
      </c>
      <c r="L33" s="3" t="n">
        <v>36</v>
      </c>
    </row>
    <row r="34" customFormat="false" ht="15" hidden="false" customHeight="false" outlineLevel="0" collapsed="false">
      <c r="A34" s="0" t="s">
        <v>113</v>
      </c>
      <c r="B34" s="3" t="n">
        <v>8.5</v>
      </c>
    </row>
    <row r="35" customFormat="false" ht="15" hidden="false" customHeight="false" outlineLevel="0" collapsed="false">
      <c r="A35" s="0" t="s">
        <v>114</v>
      </c>
      <c r="B35" s="3" t="n">
        <v>2</v>
      </c>
    </row>
    <row r="36" customFormat="false" ht="15" hidden="false" customHeight="false" outlineLevel="0" collapsed="false">
      <c r="A36" s="0" t="s">
        <v>115</v>
      </c>
      <c r="B36" s="3" t="n">
        <v>12</v>
      </c>
    </row>
    <row r="37" customFormat="false" ht="15" hidden="false" customHeight="false" outlineLevel="0" collapsed="false">
      <c r="A37" s="0" t="s">
        <v>116</v>
      </c>
      <c r="B37" s="3" t="n">
        <v>-10</v>
      </c>
    </row>
    <row r="38" customFormat="false" ht="15" hidden="false" customHeight="false" outlineLevel="0" collapsed="false">
      <c r="A38" s="0" t="s">
        <v>117</v>
      </c>
      <c r="B38" s="3" t="n">
        <v>0.5</v>
      </c>
    </row>
    <row r="40" customFormat="false" ht="15" hidden="false" customHeight="false" outlineLevel="0" collapsed="false">
      <c r="A40" s="2" t="s">
        <v>119</v>
      </c>
      <c r="C40" s="2" t="s">
        <v>96</v>
      </c>
      <c r="D40" s="2" t="s">
        <v>97</v>
      </c>
      <c r="E40" s="2" t="s">
        <v>98</v>
      </c>
      <c r="F40" s="2" t="s">
        <v>99</v>
      </c>
      <c r="G40" s="2" t="s">
        <v>100</v>
      </c>
      <c r="H40" s="2" t="s">
        <v>101</v>
      </c>
      <c r="I40" s="2" t="s">
        <v>102</v>
      </c>
      <c r="J40" s="2" t="s">
        <v>103</v>
      </c>
      <c r="K40" s="2" t="s">
        <v>104</v>
      </c>
      <c r="L40" s="2" t="s">
        <v>105</v>
      </c>
    </row>
    <row r="41" customFormat="false" ht="15" hidden="false" customHeight="false" outlineLevel="0" collapsed="false">
      <c r="A41" s="0" t="s">
        <v>106</v>
      </c>
      <c r="C41" s="3" t="n">
        <v>16</v>
      </c>
      <c r="D41" s="3" t="n">
        <v>-4</v>
      </c>
      <c r="E41" s="3" t="n">
        <v>-2</v>
      </c>
      <c r="F41" s="3" t="n">
        <v>5</v>
      </c>
      <c r="G41" s="3" t="n">
        <v>5</v>
      </c>
      <c r="H41" s="3" t="n">
        <v>3</v>
      </c>
      <c r="I41" s="3" t="n">
        <v>3</v>
      </c>
      <c r="J41" s="3" t="n">
        <v>3</v>
      </c>
      <c r="K41" s="3" t="n">
        <v>2.5</v>
      </c>
      <c r="L41" s="3" t="n">
        <v>2.5</v>
      </c>
    </row>
    <row r="42" customFormat="false" ht="15" hidden="false" customHeight="false" outlineLevel="0" collapsed="false">
      <c r="A42" s="0" t="s">
        <v>107</v>
      </c>
      <c r="C42" s="3" t="n">
        <v>51.5</v>
      </c>
      <c r="D42" s="3" t="n">
        <v>49</v>
      </c>
      <c r="E42" s="3" t="n">
        <v>48</v>
      </c>
      <c r="F42" s="3" t="n">
        <v>48</v>
      </c>
      <c r="G42" s="3" t="n">
        <v>48.5</v>
      </c>
      <c r="H42" s="3" t="n">
        <v>48.5</v>
      </c>
      <c r="I42" s="3" t="n">
        <v>48.5</v>
      </c>
      <c r="J42" s="3" t="n">
        <v>48.5</v>
      </c>
      <c r="K42" s="3" t="n">
        <v>48.5</v>
      </c>
      <c r="L42" s="3" t="n">
        <v>48.5</v>
      </c>
    </row>
    <row r="43" customFormat="false" ht="15" hidden="false" customHeight="false" outlineLevel="0" collapsed="false">
      <c r="A43" s="0" t="s">
        <v>108</v>
      </c>
      <c r="C43" s="3" t="n">
        <v>0.8</v>
      </c>
      <c r="D43" s="3" t="n">
        <v>0.8</v>
      </c>
      <c r="E43" s="3" t="n">
        <v>0.8</v>
      </c>
      <c r="F43" s="3" t="n">
        <v>0.8</v>
      </c>
      <c r="G43" s="3" t="n">
        <v>0.8</v>
      </c>
      <c r="H43" s="3" t="n">
        <v>0.8</v>
      </c>
      <c r="I43" s="3" t="n">
        <v>0.8</v>
      </c>
      <c r="J43" s="3" t="n">
        <v>0.8</v>
      </c>
      <c r="K43" s="3" t="n">
        <v>0.8</v>
      </c>
      <c r="L43" s="3" t="n">
        <v>0.8</v>
      </c>
    </row>
    <row r="44" customFormat="false" ht="15" hidden="false" customHeight="false" outlineLevel="0" collapsed="false">
      <c r="A44" s="0" t="s">
        <v>109</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110</v>
      </c>
      <c r="C45" s="3" t="n">
        <v>11</v>
      </c>
      <c r="D45" s="3" t="n">
        <v>11.6</v>
      </c>
      <c r="E45" s="3" t="n">
        <v>11.8</v>
      </c>
      <c r="F45" s="3" t="n">
        <v>12</v>
      </c>
      <c r="G45" s="3" t="n">
        <v>11.8</v>
      </c>
      <c r="H45" s="3" t="n">
        <v>11.5</v>
      </c>
      <c r="I45" s="3" t="n">
        <v>11.2</v>
      </c>
      <c r="J45" s="3" t="n">
        <v>11</v>
      </c>
      <c r="K45" s="3" t="n">
        <v>10.7</v>
      </c>
      <c r="L45" s="3" t="n">
        <v>10.5</v>
      </c>
    </row>
    <row r="46" customFormat="false" ht="15" hidden="false" customHeight="false" outlineLevel="0" collapsed="false">
      <c r="A46" s="0" t="s">
        <v>111</v>
      </c>
      <c r="C46" s="3" t="n">
        <v>11.4</v>
      </c>
      <c r="D46" s="3" t="n">
        <v>12.8</v>
      </c>
      <c r="E46" s="3" t="n">
        <v>13.5</v>
      </c>
      <c r="F46" s="3" t="n">
        <v>10.5</v>
      </c>
      <c r="G46" s="3" t="n">
        <v>8.8</v>
      </c>
      <c r="H46" s="3" t="n">
        <v>8.8</v>
      </c>
      <c r="I46" s="3" t="n">
        <v>8.8</v>
      </c>
      <c r="J46" s="3" t="n">
        <v>8.8</v>
      </c>
      <c r="K46" s="3" t="n">
        <v>8.8</v>
      </c>
      <c r="L46" s="3" t="n">
        <v>8.8</v>
      </c>
    </row>
    <row r="47" customFormat="false" ht="15" hidden="false" customHeight="false" outlineLevel="0" collapsed="false">
      <c r="A47" s="0" t="s">
        <v>112</v>
      </c>
      <c r="C47" s="3" t="n">
        <v>32</v>
      </c>
      <c r="D47" s="3" t="n">
        <v>32</v>
      </c>
      <c r="E47" s="3" t="n">
        <v>32</v>
      </c>
      <c r="F47" s="3" t="n">
        <v>33</v>
      </c>
      <c r="G47" s="3" t="n">
        <v>33</v>
      </c>
      <c r="H47" s="3" t="n">
        <v>33</v>
      </c>
      <c r="I47" s="3" t="n">
        <v>34</v>
      </c>
      <c r="J47" s="3" t="n">
        <v>34</v>
      </c>
      <c r="K47" s="3" t="n">
        <v>35</v>
      </c>
      <c r="L47" s="3" t="n">
        <v>36</v>
      </c>
    </row>
    <row r="48" customFormat="false" ht="15" hidden="false" customHeight="false" outlineLevel="0" collapsed="false">
      <c r="A48" s="0" t="s">
        <v>113</v>
      </c>
      <c r="B48" s="3" t="n">
        <v>8.5</v>
      </c>
    </row>
    <row r="49" customFormat="false" ht="15" hidden="false" customHeight="false" outlineLevel="0" collapsed="false">
      <c r="A49" s="0" t="s">
        <v>114</v>
      </c>
      <c r="B49" s="3" t="n">
        <v>2.5</v>
      </c>
    </row>
    <row r="50" customFormat="false" ht="15" hidden="false" customHeight="false" outlineLevel="0" collapsed="false">
      <c r="A50" s="0" t="s">
        <v>115</v>
      </c>
      <c r="B50" s="3" t="n">
        <v>12</v>
      </c>
    </row>
    <row r="51" customFormat="false" ht="15" hidden="false" customHeight="false" outlineLevel="0" collapsed="false">
      <c r="A51" s="0" t="s">
        <v>116</v>
      </c>
      <c r="B51" s="3" t="n">
        <v>-10</v>
      </c>
    </row>
    <row r="52" customFormat="false" ht="15" hidden="false" customHeight="false" outlineLevel="0" collapsed="false">
      <c r="A52" s="0" t="s">
        <v>117</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120</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Assumptions!C13</f>
        <v>10</v>
      </c>
      <c r="D5" s="4" t="n">
        <f aca="false">Assumptions!D13</f>
        <v>-15</v>
      </c>
      <c r="E5" s="4" t="n">
        <f aca="false">Assumptions!E13</f>
        <v>-8</v>
      </c>
      <c r="F5" s="4" t="n">
        <f aca="false">Assumptions!F13</f>
        <v>0</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37</v>
      </c>
      <c r="B6" s="3" t="n">
        <v>7084</v>
      </c>
      <c r="C6" s="0" t="n">
        <f aca="false">B6*(1+C5/100)</f>
        <v>7792.4</v>
      </c>
      <c r="D6" s="0" t="n">
        <f aca="false">C6*(1+D5/100)</f>
        <v>6623.54</v>
      </c>
      <c r="E6" s="0" t="n">
        <f aca="false">D6*(1+E5/100)</f>
        <v>6093.6568</v>
      </c>
      <c r="F6" s="0" t="n">
        <f aca="false">E6*(1+F5/100)</f>
        <v>6093.6568</v>
      </c>
      <c r="G6" s="0" t="n">
        <f aca="false">F6*(1+G5/100)</f>
        <v>6215.529936</v>
      </c>
      <c r="H6" s="0" t="n">
        <f aca="false">G6*(1+H5/100)</f>
        <v>6339.84053472</v>
      </c>
      <c r="I6" s="0" t="n">
        <f aca="false">H6*(1+I5/100)</f>
        <v>6466.6373454144</v>
      </c>
      <c r="J6" s="0" t="n">
        <f aca="false">I6*(1+J5/100)</f>
        <v>6595.97009232269</v>
      </c>
      <c r="K6" s="0" t="n">
        <f aca="false">J6*(1+K5/100)</f>
        <v>6727.88949416914</v>
      </c>
      <c r="L6" s="0" t="n">
        <f aca="false">K6*(1+L5/100)</f>
        <v>6862.44728405253</v>
      </c>
    </row>
    <row r="7" customFormat="false" ht="15" hidden="false" customHeight="false" outlineLevel="0" collapsed="false">
      <c r="A7" s="0" t="s">
        <v>107</v>
      </c>
      <c r="C7" s="4" t="n">
        <f aca="false">Assumptions!C14</f>
        <v>48</v>
      </c>
      <c r="D7" s="4" t="n">
        <f aca="false">Assumptions!D14</f>
        <v>40</v>
      </c>
      <c r="E7" s="4" t="n">
        <f aca="false">Assumptions!E14</f>
        <v>37</v>
      </c>
      <c r="F7" s="4" t="n">
        <f aca="false">Assumptions!F14</f>
        <v>37</v>
      </c>
      <c r="G7" s="4" t="n">
        <f aca="false">Assumptions!G14</f>
        <v>37.5</v>
      </c>
      <c r="H7" s="4" t="n">
        <f aca="false">Assumptions!H14</f>
        <v>38</v>
      </c>
      <c r="I7" s="4" t="n">
        <f aca="false">Assumptions!I14</f>
        <v>38</v>
      </c>
      <c r="J7" s="4" t="n">
        <f aca="false">Assumptions!J14</f>
        <v>38</v>
      </c>
      <c r="K7" s="4" t="n">
        <f aca="false">Assumptions!K14</f>
        <v>38</v>
      </c>
      <c r="L7" s="4" t="n">
        <f aca="false">Assumptions!L14</f>
        <v>38</v>
      </c>
    </row>
    <row r="8" customFormat="false" ht="15" hidden="false" customHeight="false" outlineLevel="0" collapsed="false">
      <c r="A8" s="0" t="s">
        <v>43</v>
      </c>
      <c r="C8" s="0" t="n">
        <f aca="false">C6*C7/100</f>
        <v>3740.352</v>
      </c>
      <c r="D8" s="0" t="n">
        <f aca="false">D6*D7/100</f>
        <v>2649.416</v>
      </c>
      <c r="E8" s="0" t="n">
        <f aca="false">E6*E7/100</f>
        <v>2254.653016</v>
      </c>
      <c r="F8" s="0" t="n">
        <f aca="false">F6*F7/100</f>
        <v>2254.653016</v>
      </c>
      <c r="G8" s="0" t="n">
        <f aca="false">G6*G7/100</f>
        <v>2330.823726</v>
      </c>
      <c r="H8" s="0" t="n">
        <f aca="false">H6*H7/100</f>
        <v>2409.1394031936</v>
      </c>
      <c r="I8" s="0" t="n">
        <f aca="false">I6*I7/100</f>
        <v>2457.32219125747</v>
      </c>
      <c r="J8" s="0" t="n">
        <f aca="false">J6*J7/100</f>
        <v>2506.46863508262</v>
      </c>
      <c r="K8" s="0" t="n">
        <f aca="false">K6*K7/100</f>
        <v>2556.59800778427</v>
      </c>
      <c r="L8" s="0" t="n">
        <f aca="false">L6*L7/100</f>
        <v>2607.72996793996</v>
      </c>
    </row>
    <row r="9" customFormat="false" ht="15" hidden="false" customHeight="false" outlineLevel="0" collapsed="false">
      <c r="A9" s="0" t="s">
        <v>108</v>
      </c>
      <c r="C9" s="4" t="n">
        <f aca="false">Assumptions!C15</f>
        <v>0.8</v>
      </c>
      <c r="D9" s="4" t="n">
        <f aca="false">Assumptions!D15</f>
        <v>0.8</v>
      </c>
      <c r="E9" s="4" t="n">
        <f aca="false">Assumptions!E15</f>
        <v>0.8</v>
      </c>
      <c r="F9" s="4" t="n">
        <f aca="false">Assumptions!F15</f>
        <v>0.8</v>
      </c>
      <c r="G9" s="4" t="n">
        <f aca="false">Assumptions!G15</f>
        <v>0.8</v>
      </c>
      <c r="H9" s="4" t="n">
        <f aca="false">Assumptions!H15</f>
        <v>0.8</v>
      </c>
      <c r="I9" s="4" t="n">
        <f aca="false">Assumptions!I15</f>
        <v>0.8</v>
      </c>
      <c r="J9" s="4" t="n">
        <f aca="false">Assumptions!J15</f>
        <v>0.8</v>
      </c>
      <c r="K9" s="4" t="n">
        <f aca="false">Assumptions!K15</f>
        <v>0.8</v>
      </c>
      <c r="L9" s="4" t="n">
        <f aca="false">Assumptions!L15</f>
        <v>0.8</v>
      </c>
    </row>
    <row r="10" customFormat="false" ht="15" hidden="false" customHeight="false" outlineLevel="0" collapsed="false">
      <c r="A10" s="0" t="s">
        <v>123</v>
      </c>
      <c r="C10" s="0" t="n">
        <f aca="false">-C6*C9/100</f>
        <v>-62.3392</v>
      </c>
      <c r="D10" s="0" t="n">
        <f aca="false">-D6*D9/100</f>
        <v>-52.98832</v>
      </c>
      <c r="E10" s="0" t="n">
        <f aca="false">-E6*E9/100</f>
        <v>-48.7492544</v>
      </c>
      <c r="F10" s="0" t="n">
        <f aca="false">-F6*F9/100</f>
        <v>-48.7492544</v>
      </c>
      <c r="G10" s="0" t="n">
        <f aca="false">-G6*G9/100</f>
        <v>-49.724239488</v>
      </c>
      <c r="H10" s="0" t="n">
        <f aca="false">-H6*H9/100</f>
        <v>-50.71872427776</v>
      </c>
      <c r="I10" s="0" t="n">
        <f aca="false">-I6*I9/100</f>
        <v>-51.7330987633152</v>
      </c>
      <c r="J10" s="0" t="n">
        <f aca="false">-J6*J9/100</f>
        <v>-52.7677607385815</v>
      </c>
      <c r="K10" s="0" t="n">
        <f aca="false">-K6*K9/100</f>
        <v>-53.8231159533531</v>
      </c>
      <c r="L10" s="0" t="n">
        <f aca="false">-L6*L9/100</f>
        <v>-54.8995782724202</v>
      </c>
    </row>
    <row r="11" customFormat="false" ht="15" hidden="false" customHeight="false" outlineLevel="0" collapsed="false">
      <c r="A11" s="0" t="s">
        <v>124</v>
      </c>
      <c r="C11" s="0" t="n">
        <f aca="false">C8+C10+C24</f>
        <v>3678.0128</v>
      </c>
      <c r="D11" s="0" t="n">
        <f aca="false">D8+D10+D24</f>
        <v>2596.42768</v>
      </c>
      <c r="E11" s="0" t="n">
        <f aca="false">E8+E10+E24</f>
        <v>2205.9037616</v>
      </c>
      <c r="F11" s="0" t="n">
        <f aca="false">F8+F10+F24</f>
        <v>2205.9037616</v>
      </c>
      <c r="G11" s="0" t="n">
        <f aca="false">G8+G10+G24</f>
        <v>2281.099486512</v>
      </c>
      <c r="H11" s="0" t="n">
        <f aca="false">H8+H10+H24</f>
        <v>2358.42067891584</v>
      </c>
      <c r="I11" s="0" t="n">
        <f aca="false">I8+I10+I24</f>
        <v>2405.58909249416</v>
      </c>
      <c r="J11" s="0" t="n">
        <f aca="false">J8+J10+J24</f>
        <v>2453.70087434404</v>
      </c>
      <c r="K11" s="0" t="n">
        <f aca="false">K8+K10+K24</f>
        <v>2502.77489183092</v>
      </c>
      <c r="L11" s="0" t="n">
        <f aca="false">L8+L10+L24</f>
        <v>2552.83038966754</v>
      </c>
    </row>
    <row r="12" customFormat="false" ht="15" hidden="false" customHeight="false" outlineLevel="0" collapsed="false">
      <c r="A12" s="0" t="s">
        <v>125</v>
      </c>
      <c r="C12" s="4" t="n">
        <f aca="false">-C6*Assumptions!C17/100</f>
        <v>-896.126</v>
      </c>
      <c r="D12" s="4" t="n">
        <f aca="false">-D6*Assumptions!D17/100</f>
        <v>-894.1779</v>
      </c>
      <c r="E12" s="4" t="n">
        <f aca="false">-E6*Assumptions!E17/100</f>
        <v>-883.580236</v>
      </c>
      <c r="F12" s="4" t="n">
        <f aca="false">-F6*Assumptions!F17/100</f>
        <v>-883.580236</v>
      </c>
      <c r="G12" s="4" t="n">
        <f aca="false">-G6*Assumptions!G17/100</f>
        <v>-870.17419104</v>
      </c>
      <c r="H12" s="4" t="n">
        <f aca="false">-H6*Assumptions!H17/100</f>
        <v>-855.8784721872</v>
      </c>
      <c r="I12" s="4" t="n">
        <f aca="false">-I6*Assumptions!I17/100</f>
        <v>-840.662854903872</v>
      </c>
      <c r="J12" s="4" t="n">
        <f aca="false">-J6*Assumptions!J17/100</f>
        <v>-824.496261540336</v>
      </c>
      <c r="K12" s="4" t="n">
        <f aca="false">-K6*Assumptions!K17/100</f>
        <v>-807.346739300297</v>
      </c>
      <c r="L12" s="4" t="n">
        <f aca="false">-L6*Assumptions!L17/100</f>
        <v>-789.18143766604</v>
      </c>
    </row>
    <row r="13" customFormat="false" ht="15" hidden="false" customHeight="false" outlineLevel="0" collapsed="false">
      <c r="A13" s="0" t="s">
        <v>126</v>
      </c>
      <c r="C13" s="0" t="n">
        <f aca="false">C11+C12</f>
        <v>2781.8868</v>
      </c>
      <c r="D13" s="0" t="n">
        <f aca="false">D11+D12</f>
        <v>1702.24978</v>
      </c>
      <c r="E13" s="0" t="n">
        <f aca="false">E11+E12</f>
        <v>1322.3235256</v>
      </c>
      <c r="F13" s="0" t="n">
        <f aca="false">F11+F12</f>
        <v>1322.3235256</v>
      </c>
      <c r="G13" s="0" t="n">
        <f aca="false">G11+G12</f>
        <v>1410.925295472</v>
      </c>
      <c r="H13" s="0" t="n">
        <f aca="false">H11+H12</f>
        <v>1502.54220672864</v>
      </c>
      <c r="I13" s="0" t="n">
        <f aca="false">I11+I12</f>
        <v>1564.92623759029</v>
      </c>
      <c r="J13" s="0" t="n">
        <f aca="false">J11+J12</f>
        <v>1629.2046128037</v>
      </c>
      <c r="K13" s="0" t="n">
        <f aca="false">K11+K12</f>
        <v>1695.42815253062</v>
      </c>
      <c r="L13" s="0" t="n">
        <f aca="false">L11+L12</f>
        <v>1763.6489520015</v>
      </c>
    </row>
    <row r="14" customFormat="false" ht="15" hidden="false" customHeight="false" outlineLevel="0" collapsed="false">
      <c r="A14" s="0" t="s">
        <v>112</v>
      </c>
      <c r="C14" s="4" t="n">
        <f aca="false">Assumptions!C19</f>
        <v>32</v>
      </c>
      <c r="D14" s="4" t="n">
        <f aca="false">Assumptions!D19</f>
        <v>32</v>
      </c>
      <c r="E14" s="4" t="n">
        <f aca="false">Assumptions!E19</f>
        <v>32</v>
      </c>
      <c r="F14" s="4" t="n">
        <f aca="false">Assumptions!F19</f>
        <v>33</v>
      </c>
      <c r="G14" s="4" t="n">
        <f aca="false">Assumptions!G19</f>
        <v>33</v>
      </c>
      <c r="H14" s="4" t="n">
        <f aca="false">Assumptions!H19</f>
        <v>33</v>
      </c>
      <c r="I14" s="4" t="n">
        <f aca="false">Assumptions!I19</f>
        <v>34</v>
      </c>
      <c r="J14" s="4" t="n">
        <f aca="false">Assumptions!J19</f>
        <v>34</v>
      </c>
      <c r="K14" s="4" t="n">
        <f aca="false">Assumptions!K19</f>
        <v>35</v>
      </c>
      <c r="L14" s="4" t="n">
        <f aca="false">Assumptions!L19</f>
        <v>36</v>
      </c>
    </row>
    <row r="15" customFormat="false" ht="15" hidden="false" customHeight="false" outlineLevel="0" collapsed="false">
      <c r="A15" s="0" t="s">
        <v>127</v>
      </c>
      <c r="C15" s="0" t="n">
        <f aca="false">C13-MAX(0,C13)*C14/100</f>
        <v>1891.683024</v>
      </c>
      <c r="D15" s="0" t="n">
        <f aca="false">D13-MAX(0,D13)*D14/100</f>
        <v>1157.5298504</v>
      </c>
      <c r="E15" s="0" t="n">
        <f aca="false">E13-MAX(0,E13)*E14/100</f>
        <v>899.179997408</v>
      </c>
      <c r="F15" s="0" t="n">
        <f aca="false">F13-MAX(0,F13)*F14/100</f>
        <v>885.956762152</v>
      </c>
      <c r="G15" s="0" t="n">
        <f aca="false">G13-MAX(0,G13)*G14/100</f>
        <v>945.31994796624</v>
      </c>
      <c r="H15" s="0" t="n">
        <f aca="false">H13-MAX(0,H13)*H14/100</f>
        <v>1006.70327850819</v>
      </c>
      <c r="I15" s="0" t="n">
        <f aca="false">I13-MAX(0,I13)*I14/100</f>
        <v>1032.85131680959</v>
      </c>
      <c r="J15" s="0" t="n">
        <f aca="false">J13-MAX(0,J13)*J14/100</f>
        <v>1075.27504445044</v>
      </c>
      <c r="K15" s="0" t="n">
        <f aca="false">K13-MAX(0,K13)*K14/100</f>
        <v>1102.02829914491</v>
      </c>
      <c r="L15" s="0" t="n">
        <f aca="false">L13-MAX(0,L13)*L14/100</f>
        <v>1128.73532928096</v>
      </c>
    </row>
    <row r="16" customFormat="false" ht="15" hidden="false" customHeight="false" outlineLevel="0" collapsed="false">
      <c r="A16" s="0" t="s">
        <v>128</v>
      </c>
      <c r="C16" s="0" t="n">
        <f aca="false">-C12</f>
        <v>896.126</v>
      </c>
      <c r="D16" s="0" t="n">
        <f aca="false">-D12</f>
        <v>894.1779</v>
      </c>
      <c r="E16" s="0" t="n">
        <f aca="false">-E12</f>
        <v>883.580236</v>
      </c>
      <c r="F16" s="0" t="n">
        <f aca="false">-F12</f>
        <v>883.580236</v>
      </c>
      <c r="G16" s="0" t="n">
        <f aca="false">-G12</f>
        <v>870.17419104</v>
      </c>
      <c r="H16" s="0" t="n">
        <f aca="false">-H12</f>
        <v>855.8784721872</v>
      </c>
      <c r="I16" s="0" t="n">
        <f aca="false">-I12</f>
        <v>840.662854903872</v>
      </c>
      <c r="J16" s="0" t="n">
        <f aca="false">-J12</f>
        <v>824.496261540336</v>
      </c>
      <c r="K16" s="0" t="n">
        <f aca="false">-K12</f>
        <v>807.346739300297</v>
      </c>
      <c r="L16" s="0" t="n">
        <f aca="false">-L12</f>
        <v>789.18143766604</v>
      </c>
    </row>
    <row r="17" customFormat="false" ht="15" hidden="false" customHeight="false" outlineLevel="0" collapsed="false">
      <c r="A17" s="0" t="s">
        <v>129</v>
      </c>
      <c r="C17" s="4" t="n">
        <f aca="false">-C6*Assumptions!C18/100</f>
        <v>-935.088</v>
      </c>
      <c r="D17" s="4" t="n">
        <f aca="false">-D6*Assumptions!D18/100</f>
        <v>-1092.8841</v>
      </c>
      <c r="E17" s="4" t="n">
        <f aca="false">-E6*Assumptions!E18/100</f>
        <v>-1096.858224</v>
      </c>
      <c r="F17" s="4" t="n">
        <f aca="false">-F6*Assumptions!F18/100</f>
        <v>-853.111952</v>
      </c>
      <c r="G17" s="4" t="n">
        <f aca="false">-G6*Assumptions!G18/100</f>
        <v>-621.5529936</v>
      </c>
      <c r="H17" s="4" t="n">
        <f aca="false">-H6*Assumptions!H18/100</f>
        <v>-602.2848507984</v>
      </c>
      <c r="I17" s="4" t="n">
        <f aca="false">-I6*Assumptions!I18/100</f>
        <v>-614.330547814368</v>
      </c>
      <c r="J17" s="4" t="n">
        <f aca="false">-J6*Assumptions!J18/100</f>
        <v>-626.617158770655</v>
      </c>
      <c r="K17" s="4" t="n">
        <f aca="false">-K6*Assumptions!K18/100</f>
        <v>-639.149501946069</v>
      </c>
      <c r="L17" s="4" t="n">
        <f aca="false">-L6*Assumptions!L18/100</f>
        <v>-651.93249198499</v>
      </c>
    </row>
    <row r="18" customFormat="false" ht="15" hidden="false" customHeight="false" outlineLevel="0" collapsed="false">
      <c r="A18" s="0" t="s">
        <v>130</v>
      </c>
      <c r="C18" s="4" t="n">
        <f aca="false">(C6-B6)*Assumptions!$B$23/100</f>
        <v>-70.8400000000001</v>
      </c>
      <c r="D18" s="4" t="n">
        <f aca="false">(D6-C6)*Assumptions!$B$23/100</f>
        <v>116.886</v>
      </c>
      <c r="E18" s="4" t="n">
        <f aca="false">(E6-D6)*Assumptions!$B$23/100</f>
        <v>52.9883199999999</v>
      </c>
      <c r="F18" s="4" t="n">
        <f aca="false">(F6-E6)*Assumptions!$B$23/100</f>
        <v>-0</v>
      </c>
      <c r="G18" s="4" t="n">
        <f aca="false">(G6-F6)*Assumptions!$B$23/100</f>
        <v>-12.1873136</v>
      </c>
      <c r="H18" s="4" t="n">
        <f aca="false">(H6-G6)*Assumptions!$B$23/100</f>
        <v>-12.431059872</v>
      </c>
      <c r="I18" s="4" t="n">
        <f aca="false">(I6-H6)*Assumptions!$B$23/100</f>
        <v>-12.67968106944</v>
      </c>
      <c r="J18" s="4" t="n">
        <f aca="false">(J6-I6)*Assumptions!$B$23/100</f>
        <v>-12.9332746908288</v>
      </c>
      <c r="K18" s="4" t="n">
        <f aca="false">(K6-J6)*Assumptions!$B$23/100</f>
        <v>-13.1919401846454</v>
      </c>
      <c r="L18" s="4" t="n">
        <f aca="false">(L6-K6)*Assumptions!$B$23/100</f>
        <v>-13.4557789883383</v>
      </c>
    </row>
    <row r="19" customFormat="false" ht="15" hidden="false" customHeight="false" outlineLevel="0" collapsed="false">
      <c r="A19" s="0" t="s">
        <v>131</v>
      </c>
      <c r="C19" s="0" t="n">
        <f aca="false">C15+C16+C17+C18</f>
        <v>1781.881024</v>
      </c>
      <c r="D19" s="0" t="n">
        <f aca="false">D15+D16+D17+D18</f>
        <v>1075.7096504</v>
      </c>
      <c r="E19" s="0" t="n">
        <f aca="false">E15+E16+E17+E18</f>
        <v>738.890329408</v>
      </c>
      <c r="F19" s="0" t="n">
        <f aca="false">F15+F16+F17+F18</f>
        <v>916.425046152</v>
      </c>
      <c r="G19" s="0" t="n">
        <f aca="false">G15+G16+G17+G18</f>
        <v>1181.75383180624</v>
      </c>
      <c r="H19" s="0" t="n">
        <f aca="false">H15+H16+H17+H18</f>
        <v>1247.86584002499</v>
      </c>
      <c r="I19" s="0" t="n">
        <f aca="false">I15+I16+I17+I18</f>
        <v>1246.50394282965</v>
      </c>
      <c r="J19" s="0" t="n">
        <f aca="false">J15+J16+J17+J18</f>
        <v>1260.2208725293</v>
      </c>
      <c r="K19" s="0" t="n">
        <f aca="false">K15+K16+K17+K18</f>
        <v>1257.03359631449</v>
      </c>
      <c r="L19" s="0" t="n">
        <f aca="false">L15+L16+L17+L18</f>
        <v>1252.52849597367</v>
      </c>
    </row>
    <row r="20" customFormat="false" ht="15" hidden="false" customHeight="false" outlineLevel="0" collapsed="false">
      <c r="A20" s="0" t="s">
        <v>132</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133</v>
      </c>
      <c r="C21" s="0" t="n">
        <f aca="false">C19*C20</f>
        <v>1642.28665806452</v>
      </c>
      <c r="D21" s="0" t="n">
        <f aca="false">D19*D20</f>
        <v>913.7672495912</v>
      </c>
      <c r="E21" s="0" t="n">
        <f aca="false">E19*E20</f>
        <v>578.483222745672</v>
      </c>
      <c r="F21" s="0" t="n">
        <f aca="false">F19*F20</f>
        <v>661.268746762355</v>
      </c>
      <c r="G21" s="0" t="n">
        <f aca="false">G19*G20</f>
        <v>785.919977296313</v>
      </c>
      <c r="H21" s="0" t="n">
        <f aca="false">H19*H20</f>
        <v>764.873240356312</v>
      </c>
      <c r="I21" s="0" t="n">
        <f aca="false">I19*I20</f>
        <v>704.182923646585</v>
      </c>
      <c r="J21" s="0" t="n">
        <f aca="false">J19*J20</f>
        <v>656.158505701024</v>
      </c>
      <c r="K21" s="0" t="n">
        <f aca="false">K19*K20</f>
        <v>603.224874059483</v>
      </c>
      <c r="L21" s="0" t="n">
        <f aca="false">L19*L20</f>
        <v>553.975085687254</v>
      </c>
    </row>
    <row r="23" customFormat="false" ht="15" hidden="false" customHeight="false" outlineLevel="0" collapsed="false">
      <c r="A23" s="0" t="s">
        <v>109</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Assumptions!$B$20</f>
        <v>8.5</v>
      </c>
    </row>
    <row r="28" customFormat="false" ht="15" hidden="false" customHeight="false" outlineLevel="0" collapsed="false">
      <c r="A28" s="0" t="s">
        <v>114</v>
      </c>
      <c r="B28" s="4" t="n">
        <f aca="false">Assumptions!$B$21</f>
        <v>1.5</v>
      </c>
    </row>
    <row r="29" customFormat="false" ht="15" hidden="false" customHeight="false" outlineLevel="0" collapsed="false">
      <c r="A29" s="0" t="s">
        <v>115</v>
      </c>
      <c r="B29" s="4" t="n">
        <f aca="false">Assumptions!$B$22</f>
        <v>12</v>
      </c>
    </row>
    <row r="30" customFormat="false" ht="15" hidden="false" customHeight="false" outlineLevel="0" collapsed="false">
      <c r="A30" s="0" t="s">
        <v>136</v>
      </c>
      <c r="B30" s="0" t="n">
        <f aca="false">SUM(C21:L21)</f>
        <v>7864.14048391071</v>
      </c>
    </row>
    <row r="31" customFormat="false" ht="15" hidden="false" customHeight="false" outlineLevel="0" collapsed="false">
      <c r="A31" s="0" t="s">
        <v>137</v>
      </c>
      <c r="B31" s="0" t="n">
        <f aca="false">L19</f>
        <v>1252.52849597367</v>
      </c>
    </row>
    <row r="32" customFormat="false" ht="15" hidden="false" customHeight="false" outlineLevel="0" collapsed="false">
      <c r="A32" s="0" t="s">
        <v>138</v>
      </c>
      <c r="B32" s="0" t="n">
        <f aca="false">IF(B27&gt;B28,B31*(1+B28/100)/((B27-B28)/100),B31*B29)</f>
        <v>18161.6631916182</v>
      </c>
    </row>
    <row r="33" customFormat="false" ht="15" hidden="false" customHeight="false" outlineLevel="0" collapsed="false">
      <c r="A33" s="0" t="s">
        <v>139</v>
      </c>
      <c r="B33" s="0" t="n">
        <f aca="false">B31*B29</f>
        <v>15030.3419516841</v>
      </c>
    </row>
    <row r="34" customFormat="false" ht="15" hidden="false" customHeight="false" outlineLevel="0" collapsed="false">
      <c r="A34" s="0" t="s">
        <v>140</v>
      </c>
      <c r="B34" s="0" t="n">
        <f aca="false">MAX(0,MIN(B32,B33))</f>
        <v>15030.3419516841</v>
      </c>
    </row>
    <row r="35" customFormat="false" ht="15" hidden="false" customHeight="false" outlineLevel="0" collapsed="false">
      <c r="A35" s="0" t="s">
        <v>141</v>
      </c>
      <c r="B35" s="0" t="n">
        <f aca="false">B34/(1+B27/100)^L4</f>
        <v>6647.70102824705</v>
      </c>
    </row>
    <row r="36" customFormat="false" ht="15" hidden="false" customHeight="false" outlineLevel="0" collapsed="false">
      <c r="A36" s="0" t="s">
        <v>142</v>
      </c>
      <c r="B36" s="0" t="n">
        <f aca="false">B30+B35</f>
        <v>14511.8415121578</v>
      </c>
    </row>
    <row r="37" customFormat="false" ht="15" hidden="false" customHeight="false" outlineLevel="0" collapsed="false">
      <c r="A37" s="0" t="s">
        <v>143</v>
      </c>
      <c r="B37" s="0" t="n">
        <f aca="false">B36+Assumptions!$B$5-Assumptions!$B$4</f>
        <v>12895.8415121578</v>
      </c>
    </row>
    <row r="38" customFormat="false" ht="15" hidden="false" customHeight="false" outlineLevel="0" collapsed="false">
      <c r="A38" s="0" t="s">
        <v>144</v>
      </c>
      <c r="B38" s="0" t="n">
        <f aca="false">B37/Assumptions!$B$3*Assumptions!$B$10</f>
        <v>85.0424789775637</v>
      </c>
    </row>
    <row r="39" customFormat="false" ht="15" hidden="false" customHeight="false" outlineLevel="0" collapsed="false">
      <c r="A39" s="0" t="s">
        <v>145</v>
      </c>
      <c r="B39" s="4" t="n">
        <f aca="false">B38/Assumptions!$B$2-1</f>
        <v>-0.258372032985404</v>
      </c>
    </row>
    <row r="41" customFormat="false" ht="15" hidden="false" customHeight="false" outlineLevel="0" collapsed="false">
      <c r="A41" s="0" t="s">
        <v>146</v>
      </c>
      <c r="B41" s="0" t="n">
        <f aca="false">SUMPRODUCT(-C10:L10/(1+$B$27/100)^C4:L4)</f>
        <v>346.775611502168</v>
      </c>
    </row>
    <row r="42" customFormat="false" ht="15" hidden="false" customHeight="false" outlineLevel="0" collapsed="false">
      <c r="A42" s="0" t="s">
        <v>147</v>
      </c>
      <c r="B42" s="0" t="n">
        <f aca="false">IF(B27&gt;B28,-L10*(1+B28/100)/((B27-B28)/100),-L10*20)/(1+B27/100)^L4</f>
        <v>352.078600042734</v>
      </c>
    </row>
    <row r="43" customFormat="false" ht="15" hidden="false" customHeight="false" outlineLevel="0" collapsed="false">
      <c r="A43" s="0" t="s">
        <v>148</v>
      </c>
      <c r="B43" s="0" t="n">
        <f aca="false">(B37+B41+B42)/Assumptions!$B$3*Assumptions!$B$10</f>
        <v>89.6511192541721</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9417.1586919502</v>
      </c>
    </row>
    <row r="47" customFormat="false" ht="15" hidden="false" customHeight="false" outlineLevel="0" collapsed="false">
      <c r="A47" s="0" t="s">
        <v>150</v>
      </c>
      <c r="B47" s="0" t="n">
        <f aca="false">(SUMPRODUCT(C19:L19/(1+B45/100)^C4:L4)+B46/(1+B45/100)^L4+Assumptions!$B$5-Assumptions!$B$4)/Assumptions!$B$3*Assumptions!$B$10</f>
        <v>44.5724602081604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Assumptions!C27</f>
        <v>14.3</v>
      </c>
      <c r="D5" s="4" t="n">
        <f aca="false">Assumptions!D27</f>
        <v>-10</v>
      </c>
      <c r="E5" s="4" t="n">
        <f aca="false">Assumptions!E27</f>
        <v>-5</v>
      </c>
      <c r="F5" s="4" t="n">
        <f aca="false">Assumptions!F27</f>
        <v>3</v>
      </c>
      <c r="G5" s="4" t="n">
        <f aca="false">Assumptions!G27</f>
        <v>3.5</v>
      </c>
      <c r="H5" s="4" t="n">
        <f aca="false">Assumptions!H27</f>
        <v>2.5</v>
      </c>
      <c r="I5" s="4" t="n">
        <f aca="false">Assumptions!I27</f>
        <v>2.5</v>
      </c>
      <c r="J5" s="4" t="n">
        <f aca="false">Assumptions!J27</f>
        <v>2.5</v>
      </c>
      <c r="K5" s="4" t="n">
        <f aca="false">Assumptions!K27</f>
        <v>2.5</v>
      </c>
      <c r="L5" s="4" t="n">
        <f aca="false">Assumptions!L27</f>
        <v>2.5</v>
      </c>
    </row>
    <row r="6" customFormat="false" ht="15" hidden="false" customHeight="false" outlineLevel="0" collapsed="false">
      <c r="A6" s="0" t="s">
        <v>37</v>
      </c>
      <c r="B6" s="3" t="n">
        <v>7084</v>
      </c>
      <c r="C6" s="0" t="n">
        <f aca="false">B6*(1+C5/100)</f>
        <v>8097.012</v>
      </c>
      <c r="D6" s="0" t="n">
        <f aca="false">C6*(1+D5/100)</f>
        <v>7287.3108</v>
      </c>
      <c r="E6" s="0" t="n">
        <f aca="false">D6*(1+E5/100)</f>
        <v>6922.94526</v>
      </c>
      <c r="F6" s="0" t="n">
        <f aca="false">E6*(1+F5/100)</f>
        <v>7130.6336178</v>
      </c>
      <c r="G6" s="0" t="n">
        <f aca="false">F6*(1+G5/100)</f>
        <v>7380.205794423</v>
      </c>
      <c r="H6" s="0" t="n">
        <f aca="false">G6*(1+H5/100)</f>
        <v>7564.71093928357</v>
      </c>
      <c r="I6" s="0" t="n">
        <f aca="false">H6*(1+I5/100)</f>
        <v>7753.82871276566</v>
      </c>
      <c r="J6" s="0" t="n">
        <f aca="false">I6*(1+J5/100)</f>
        <v>7947.6744305848</v>
      </c>
      <c r="K6" s="0" t="n">
        <f aca="false">J6*(1+K5/100)</f>
        <v>8146.36629134942</v>
      </c>
      <c r="L6" s="0" t="n">
        <f aca="false">K6*(1+L5/100)</f>
        <v>8350.02544863316</v>
      </c>
    </row>
    <row r="7" customFormat="false" ht="15" hidden="false" customHeight="false" outlineLevel="0" collapsed="false">
      <c r="A7" s="0" t="s">
        <v>107</v>
      </c>
      <c r="C7" s="4" t="n">
        <f aca="false">Assumptions!C28</f>
        <v>50.5</v>
      </c>
      <c r="D7" s="4" t="n">
        <f aca="false">Assumptions!D28</f>
        <v>46.5</v>
      </c>
      <c r="E7" s="4" t="n">
        <f aca="false">Assumptions!E28</f>
        <v>45</v>
      </c>
      <c r="F7" s="4" t="n">
        <f aca="false">Assumptions!F28</f>
        <v>45</v>
      </c>
      <c r="G7" s="4" t="n">
        <f aca="false">Assumptions!G28</f>
        <v>45.5</v>
      </c>
      <c r="H7" s="4" t="n">
        <f aca="false">Assumptions!H28</f>
        <v>45.5</v>
      </c>
      <c r="I7" s="4" t="n">
        <f aca="false">Assumptions!I28</f>
        <v>45.5</v>
      </c>
      <c r="J7" s="4" t="n">
        <f aca="false">Assumptions!J28</f>
        <v>45</v>
      </c>
      <c r="K7" s="4" t="n">
        <f aca="false">Assumptions!K28</f>
        <v>45</v>
      </c>
      <c r="L7" s="4" t="n">
        <f aca="false">Assumptions!L28</f>
        <v>45</v>
      </c>
    </row>
    <row r="8" customFormat="false" ht="15" hidden="false" customHeight="false" outlineLevel="0" collapsed="false">
      <c r="A8" s="0" t="s">
        <v>43</v>
      </c>
      <c r="C8" s="0" t="n">
        <f aca="false">C6*C7/100</f>
        <v>4088.99106</v>
      </c>
      <c r="D8" s="0" t="n">
        <f aca="false">D6*D7/100</f>
        <v>3388.599522</v>
      </c>
      <c r="E8" s="0" t="n">
        <f aca="false">E6*E7/100</f>
        <v>3115.325367</v>
      </c>
      <c r="F8" s="0" t="n">
        <f aca="false">F6*F7/100</f>
        <v>3208.78512801</v>
      </c>
      <c r="G8" s="0" t="n">
        <f aca="false">G6*G7/100</f>
        <v>3357.99363646246</v>
      </c>
      <c r="H8" s="0" t="n">
        <f aca="false">H6*H7/100</f>
        <v>3441.94347737403</v>
      </c>
      <c r="I8" s="0" t="n">
        <f aca="false">I6*I7/100</f>
        <v>3527.99206430838</v>
      </c>
      <c r="J8" s="0" t="n">
        <f aca="false">J6*J7/100</f>
        <v>3576.45349376316</v>
      </c>
      <c r="K8" s="0" t="n">
        <f aca="false">K6*K7/100</f>
        <v>3665.86483110724</v>
      </c>
      <c r="L8" s="0" t="n">
        <f aca="false">L6*L7/100</f>
        <v>3757.51145188492</v>
      </c>
    </row>
    <row r="9" customFormat="false" ht="15" hidden="false" customHeight="false" outlineLevel="0" collapsed="false">
      <c r="A9" s="0" t="s">
        <v>108</v>
      </c>
      <c r="C9" s="4" t="n">
        <f aca="false">Assumptions!C29</f>
        <v>0.8</v>
      </c>
      <c r="D9" s="4" t="n">
        <f aca="false">Assumptions!D29</f>
        <v>0.8</v>
      </c>
      <c r="E9" s="4" t="n">
        <f aca="false">Assumptions!E29</f>
        <v>0.8</v>
      </c>
      <c r="F9" s="4" t="n">
        <f aca="false">Assumptions!F29</f>
        <v>0.8</v>
      </c>
      <c r="G9" s="4" t="n">
        <f aca="false">Assumptions!G29</f>
        <v>0.8</v>
      </c>
      <c r="H9" s="4" t="n">
        <f aca="false">Assumptions!H29</f>
        <v>0.8</v>
      </c>
      <c r="I9" s="4" t="n">
        <f aca="false">Assumptions!I29</f>
        <v>0.8</v>
      </c>
      <c r="J9" s="4" t="n">
        <f aca="false">Assumptions!J29</f>
        <v>0.8</v>
      </c>
      <c r="K9" s="4" t="n">
        <f aca="false">Assumptions!K29</f>
        <v>0.8</v>
      </c>
      <c r="L9" s="4" t="n">
        <f aca="false">Assumptions!L29</f>
        <v>0.8</v>
      </c>
    </row>
    <row r="10" customFormat="false" ht="15" hidden="false" customHeight="false" outlineLevel="0" collapsed="false">
      <c r="A10" s="0" t="s">
        <v>123</v>
      </c>
      <c r="C10" s="0" t="n">
        <f aca="false">-C6*C9/100</f>
        <v>-64.776096</v>
      </c>
      <c r="D10" s="0" t="n">
        <f aca="false">-D6*D9/100</f>
        <v>-58.2984864</v>
      </c>
      <c r="E10" s="0" t="n">
        <f aca="false">-E6*E9/100</f>
        <v>-55.38356208</v>
      </c>
      <c r="F10" s="0" t="n">
        <f aca="false">-F6*F9/100</f>
        <v>-57.0450689424</v>
      </c>
      <c r="G10" s="0" t="n">
        <f aca="false">-G6*G9/100</f>
        <v>-59.041646355384</v>
      </c>
      <c r="H10" s="0" t="n">
        <f aca="false">-H6*H9/100</f>
        <v>-60.5176875142686</v>
      </c>
      <c r="I10" s="0" t="n">
        <f aca="false">-I6*I9/100</f>
        <v>-62.0306297021253</v>
      </c>
      <c r="J10" s="0" t="n">
        <f aca="false">-J6*J9/100</f>
        <v>-63.5813954446784</v>
      </c>
      <c r="K10" s="0" t="n">
        <f aca="false">-K6*K9/100</f>
        <v>-65.1709303307954</v>
      </c>
      <c r="L10" s="0" t="n">
        <f aca="false">-L6*L9/100</f>
        <v>-66.8002035890653</v>
      </c>
    </row>
    <row r="11" customFormat="false" ht="15" hidden="false" customHeight="false" outlineLevel="0" collapsed="false">
      <c r="A11" s="0" t="s">
        <v>124</v>
      </c>
      <c r="C11" s="0" t="n">
        <f aca="false">C8+C10+C24</f>
        <v>4024.214964</v>
      </c>
      <c r="D11" s="0" t="n">
        <f aca="false">D8+D10+D24</f>
        <v>3330.3010356</v>
      </c>
      <c r="E11" s="0" t="n">
        <f aca="false">E8+E10+E24</f>
        <v>3059.94180492</v>
      </c>
      <c r="F11" s="0" t="n">
        <f aca="false">F8+F10+F24</f>
        <v>3151.7400590676</v>
      </c>
      <c r="G11" s="0" t="n">
        <f aca="false">G8+G10+G24</f>
        <v>3298.95199010708</v>
      </c>
      <c r="H11" s="0" t="n">
        <f aca="false">H8+H10+H24</f>
        <v>3381.42578985976</v>
      </c>
      <c r="I11" s="0" t="n">
        <f aca="false">I8+I10+I24</f>
        <v>3465.96143460625</v>
      </c>
      <c r="J11" s="0" t="n">
        <f aca="false">J8+J10+J24</f>
        <v>3512.87209831848</v>
      </c>
      <c r="K11" s="0" t="n">
        <f aca="false">K8+K10+K24</f>
        <v>3600.69390077644</v>
      </c>
      <c r="L11" s="0" t="n">
        <f aca="false">L8+L10+L24</f>
        <v>3690.71124829586</v>
      </c>
    </row>
    <row r="12" customFormat="false" ht="15" hidden="false" customHeight="false" outlineLevel="0" collapsed="false">
      <c r="A12" s="0" t="s">
        <v>125</v>
      </c>
      <c r="C12" s="4" t="n">
        <f aca="false">-C6*Assumptions!C31/100</f>
        <v>-906.865344</v>
      </c>
      <c r="D12" s="4" t="n">
        <f aca="false">-D6*Assumptions!D31/100</f>
        <v>-903.6265392</v>
      </c>
      <c r="E12" s="4" t="n">
        <f aca="false">-E6*Assumptions!E31/100</f>
        <v>-899.9828838</v>
      </c>
      <c r="F12" s="4" t="n">
        <f aca="false">-F6*Assumptions!F31/100</f>
        <v>-941.2436375496</v>
      </c>
      <c r="G12" s="4" t="n">
        <f aca="false">-G6*Assumptions!G31/100</f>
        <v>-959.42675327499</v>
      </c>
      <c r="H12" s="4" t="n">
        <f aca="false">-H6*Assumptions!H31/100</f>
        <v>-953.15357834973</v>
      </c>
      <c r="I12" s="4" t="n">
        <f aca="false">-I6*Assumptions!I31/100</f>
        <v>-930.459445531879</v>
      </c>
      <c r="J12" s="4" t="n">
        <f aca="false">-J6*Assumptions!J31/100</f>
        <v>-913.982559517252</v>
      </c>
      <c r="K12" s="4" t="n">
        <f aca="false">-K6*Assumptions!K31/100</f>
        <v>-896.100292048436</v>
      </c>
      <c r="L12" s="4" t="n">
        <f aca="false">-L6*Assumptions!L31/100</f>
        <v>-876.752672106481</v>
      </c>
    </row>
    <row r="13" customFormat="false" ht="15" hidden="false" customHeight="false" outlineLevel="0" collapsed="false">
      <c r="A13" s="0" t="s">
        <v>126</v>
      </c>
      <c r="C13" s="0" t="n">
        <f aca="false">C11+C12</f>
        <v>3117.34962</v>
      </c>
      <c r="D13" s="0" t="n">
        <f aca="false">D11+D12</f>
        <v>2426.6744964</v>
      </c>
      <c r="E13" s="0" t="n">
        <f aca="false">E11+E12</f>
        <v>2159.95892112</v>
      </c>
      <c r="F13" s="0" t="n">
        <f aca="false">F11+F12</f>
        <v>2210.496421518</v>
      </c>
      <c r="G13" s="0" t="n">
        <f aca="false">G11+G12</f>
        <v>2339.52523683209</v>
      </c>
      <c r="H13" s="0" t="n">
        <f aca="false">H11+H12</f>
        <v>2428.27221151003</v>
      </c>
      <c r="I13" s="0" t="n">
        <f aca="false">I11+I12</f>
        <v>2535.50198907437</v>
      </c>
      <c r="J13" s="0" t="n">
        <f aca="false">J11+J12</f>
        <v>2598.88953880123</v>
      </c>
      <c r="K13" s="0" t="n">
        <f aca="false">K11+K12</f>
        <v>2704.59360872801</v>
      </c>
      <c r="L13" s="0" t="n">
        <f aca="false">L11+L12</f>
        <v>2813.95857618937</v>
      </c>
    </row>
    <row r="14" customFormat="false" ht="15" hidden="false" customHeight="false" outlineLevel="0" collapsed="false">
      <c r="A14" s="0" t="s">
        <v>112</v>
      </c>
      <c r="C14" s="4" t="n">
        <f aca="false">Assumptions!C33</f>
        <v>32</v>
      </c>
      <c r="D14" s="4" t="n">
        <f aca="false">Assumptions!D33</f>
        <v>32</v>
      </c>
      <c r="E14" s="4" t="n">
        <f aca="false">Assumptions!E33</f>
        <v>32</v>
      </c>
      <c r="F14" s="4" t="n">
        <f aca="false">Assumptions!F33</f>
        <v>33</v>
      </c>
      <c r="G14" s="4" t="n">
        <f aca="false">Assumptions!G33</f>
        <v>33</v>
      </c>
      <c r="H14" s="4" t="n">
        <f aca="false">Assumptions!H33</f>
        <v>33</v>
      </c>
      <c r="I14" s="4" t="n">
        <f aca="false">Assumptions!I33</f>
        <v>34</v>
      </c>
      <c r="J14" s="4" t="n">
        <f aca="false">Assumptions!J33</f>
        <v>34</v>
      </c>
      <c r="K14" s="4" t="n">
        <f aca="false">Assumptions!K33</f>
        <v>35</v>
      </c>
      <c r="L14" s="4" t="n">
        <f aca="false">Assumptions!L33</f>
        <v>36</v>
      </c>
    </row>
    <row r="15" customFormat="false" ht="15" hidden="false" customHeight="false" outlineLevel="0" collapsed="false">
      <c r="A15" s="0" t="s">
        <v>127</v>
      </c>
      <c r="C15" s="0" t="n">
        <f aca="false">C13-MAX(0,C13)*C14/100</f>
        <v>2119.7977416</v>
      </c>
      <c r="D15" s="0" t="n">
        <f aca="false">D13-MAX(0,D13)*D14/100</f>
        <v>1650.138657552</v>
      </c>
      <c r="E15" s="0" t="n">
        <f aca="false">E13-MAX(0,E13)*E14/100</f>
        <v>1468.7720663616</v>
      </c>
      <c r="F15" s="0" t="n">
        <f aca="false">F13-MAX(0,F13)*F14/100</f>
        <v>1481.03260241706</v>
      </c>
      <c r="G15" s="0" t="n">
        <f aca="false">G13-MAX(0,G13)*G14/100</f>
        <v>1567.4819086775</v>
      </c>
      <c r="H15" s="0" t="n">
        <f aca="false">H13-MAX(0,H13)*H14/100</f>
        <v>1626.94238171172</v>
      </c>
      <c r="I15" s="0" t="n">
        <f aca="false">I13-MAX(0,I13)*I14/100</f>
        <v>1673.43131278909</v>
      </c>
      <c r="J15" s="0" t="n">
        <f aca="false">J13-MAX(0,J13)*J14/100</f>
        <v>1715.26709560881</v>
      </c>
      <c r="K15" s="0" t="n">
        <f aca="false">K13-MAX(0,K13)*K14/100</f>
        <v>1757.98584567321</v>
      </c>
      <c r="L15" s="0" t="n">
        <f aca="false">L13-MAX(0,L13)*L14/100</f>
        <v>1800.9334887612</v>
      </c>
    </row>
    <row r="16" customFormat="false" ht="15" hidden="false" customHeight="false" outlineLevel="0" collapsed="false">
      <c r="A16" s="0" t="s">
        <v>128</v>
      </c>
      <c r="C16" s="0" t="n">
        <f aca="false">-C12</f>
        <v>906.865344</v>
      </c>
      <c r="D16" s="0" t="n">
        <f aca="false">-D12</f>
        <v>903.6265392</v>
      </c>
      <c r="E16" s="0" t="n">
        <f aca="false">-E12</f>
        <v>899.9828838</v>
      </c>
      <c r="F16" s="0" t="n">
        <f aca="false">-F12</f>
        <v>941.2436375496</v>
      </c>
      <c r="G16" s="0" t="n">
        <f aca="false">-G12</f>
        <v>959.42675327499</v>
      </c>
      <c r="H16" s="0" t="n">
        <f aca="false">-H12</f>
        <v>953.15357834973</v>
      </c>
      <c r="I16" s="0" t="n">
        <f aca="false">-I12</f>
        <v>930.459445531879</v>
      </c>
      <c r="J16" s="0" t="n">
        <f aca="false">-J12</f>
        <v>913.982559517252</v>
      </c>
      <c r="K16" s="0" t="n">
        <f aca="false">-K12</f>
        <v>896.100292048436</v>
      </c>
      <c r="L16" s="0" t="n">
        <f aca="false">-L12</f>
        <v>876.752672106481</v>
      </c>
    </row>
    <row r="17" customFormat="false" ht="15" hidden="false" customHeight="false" outlineLevel="0" collapsed="false">
      <c r="A17" s="0" t="s">
        <v>129</v>
      </c>
      <c r="C17" s="4" t="n">
        <f aca="false">-C6*Assumptions!C32/100</f>
        <v>-939.253392</v>
      </c>
      <c r="D17" s="4" t="n">
        <f aca="false">-D6*Assumptions!D32/100</f>
        <v>-1020.223512</v>
      </c>
      <c r="E17" s="4" t="n">
        <f aca="false">-E6*Assumptions!E32/100</f>
        <v>-1038.441789</v>
      </c>
      <c r="F17" s="4" t="n">
        <f aca="false">-F6*Assumptions!F32/100</f>
        <v>-798.6309651936</v>
      </c>
      <c r="G17" s="4" t="n">
        <f aca="false">-G6*Assumptions!G32/100</f>
        <v>-664.21852149807</v>
      </c>
      <c r="H17" s="4" t="n">
        <f aca="false">-H6*Assumptions!H32/100</f>
        <v>-680.823984535522</v>
      </c>
      <c r="I17" s="4" t="n">
        <f aca="false">-I6*Assumptions!I32/100</f>
        <v>-697.84458414891</v>
      </c>
      <c r="J17" s="4" t="n">
        <f aca="false">-J6*Assumptions!J32/100</f>
        <v>-715.290698752632</v>
      </c>
      <c r="K17" s="4" t="n">
        <f aca="false">-K6*Assumptions!K32/100</f>
        <v>-733.172966221448</v>
      </c>
      <c r="L17" s="4" t="n">
        <f aca="false">-L6*Assumptions!L32/100</f>
        <v>-751.502290376984</v>
      </c>
    </row>
    <row r="18" customFormat="false" ht="15" hidden="false" customHeight="false" outlineLevel="0" collapsed="false">
      <c r="A18" s="0" t="s">
        <v>130</v>
      </c>
      <c r="C18" s="4" t="n">
        <f aca="false">(C6-B6)*Assumptions!$B$37/100</f>
        <v>-101.3012</v>
      </c>
      <c r="D18" s="4" t="n">
        <f aca="false">(D6-C6)*Assumptions!$B$37/100</f>
        <v>80.97012</v>
      </c>
      <c r="E18" s="4" t="n">
        <f aca="false">(E6-D6)*Assumptions!$B$37/100</f>
        <v>36.4365540000001</v>
      </c>
      <c r="F18" s="4" t="n">
        <f aca="false">(F6-E6)*Assumptions!$B$37/100</f>
        <v>-20.76883578</v>
      </c>
      <c r="G18" s="4" t="n">
        <f aca="false">(G6-F6)*Assumptions!$B$37/100</f>
        <v>-24.9572176622999</v>
      </c>
      <c r="H18" s="4" t="n">
        <f aca="false">(H6-G6)*Assumptions!$B$37/100</f>
        <v>-18.4505144860575</v>
      </c>
      <c r="I18" s="4" t="n">
        <f aca="false">(I6-H6)*Assumptions!$B$37/100</f>
        <v>-18.9117773482089</v>
      </c>
      <c r="J18" s="4" t="n">
        <f aca="false">(J6-I6)*Assumptions!$B$37/100</f>
        <v>-19.3845717819141</v>
      </c>
      <c r="K18" s="4" t="n">
        <f aca="false">(K6-J6)*Assumptions!$B$37/100</f>
        <v>-19.8691860764619</v>
      </c>
      <c r="L18" s="4" t="n">
        <f aca="false">(L6-K6)*Assumptions!$B$37/100</f>
        <v>-20.3659157283734</v>
      </c>
    </row>
    <row r="19" customFormat="false" ht="15" hidden="false" customHeight="false" outlineLevel="0" collapsed="false">
      <c r="A19" s="0" t="s">
        <v>131</v>
      </c>
      <c r="C19" s="0" t="n">
        <f aca="false">C15+C16+C17+C18</f>
        <v>1986.1084936</v>
      </c>
      <c r="D19" s="0" t="n">
        <f aca="false">D15+D16+D17+D18</f>
        <v>1614.511804752</v>
      </c>
      <c r="E19" s="0" t="n">
        <f aca="false">E15+E16+E17+E18</f>
        <v>1366.7497151616</v>
      </c>
      <c r="F19" s="0" t="n">
        <f aca="false">F15+F16+F17+F18</f>
        <v>1602.87643899306</v>
      </c>
      <c r="G19" s="0" t="n">
        <f aca="false">G15+G16+G17+G18</f>
        <v>1837.73292279212</v>
      </c>
      <c r="H19" s="0" t="n">
        <f aca="false">H15+H16+H17+H18</f>
        <v>1880.82146103987</v>
      </c>
      <c r="I19" s="0" t="n">
        <f aca="false">I15+I16+I17+I18</f>
        <v>1887.13439682385</v>
      </c>
      <c r="J19" s="0" t="n">
        <f aca="false">J15+J16+J17+J18</f>
        <v>1894.57438459152</v>
      </c>
      <c r="K19" s="0" t="n">
        <f aca="false">K15+K16+K17+K18</f>
        <v>1901.04398542373</v>
      </c>
      <c r="L19" s="0" t="n">
        <f aca="false">L15+L16+L17+L18</f>
        <v>1905.81795476232</v>
      </c>
    </row>
    <row r="20" customFormat="false" ht="15" hidden="false" customHeight="false" outlineLevel="0" collapsed="false">
      <c r="A20" s="0" t="s">
        <v>132</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133</v>
      </c>
      <c r="C21" s="0" t="n">
        <f aca="false">C19*C20</f>
        <v>1830.51474064516</v>
      </c>
      <c r="D21" s="0" t="n">
        <f aca="false">D19*D20</f>
        <v>1371.4555881433</v>
      </c>
      <c r="E21" s="0" t="n">
        <f aca="false">E19*E20</f>
        <v>1070.03942052791</v>
      </c>
      <c r="F21" s="0" t="n">
        <f aca="false">F19*F20</f>
        <v>1156.59441923638</v>
      </c>
      <c r="G21" s="0" t="n">
        <f aca="false">G19*G20</f>
        <v>1222.17586952938</v>
      </c>
      <c r="H21" s="0" t="n">
        <f aca="false">H19*H20</f>
        <v>1152.84028081773</v>
      </c>
      <c r="I21" s="0" t="n">
        <f aca="false">I19*I20</f>
        <v>1066.09194821541</v>
      </c>
      <c r="J21" s="0" t="n">
        <f aca="false">J19*J20</f>
        <v>986.446998483679</v>
      </c>
      <c r="K21" s="0" t="n">
        <f aca="false">K19*K20</f>
        <v>912.272370484734</v>
      </c>
      <c r="L21" s="0" t="n">
        <f aca="false">L19*L20</f>
        <v>842.915485106821</v>
      </c>
    </row>
    <row r="23" customFormat="false" ht="15" hidden="false" customHeight="false" outlineLevel="0" collapsed="false">
      <c r="A23" s="0" t="s">
        <v>109</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Assumptions!$B$34</f>
        <v>8.5</v>
      </c>
    </row>
    <row r="28" customFormat="false" ht="15" hidden="false" customHeight="false" outlineLevel="0" collapsed="false">
      <c r="A28" s="0" t="s">
        <v>114</v>
      </c>
      <c r="B28" s="4" t="n">
        <f aca="false">Assumptions!$B$35</f>
        <v>2</v>
      </c>
    </row>
    <row r="29" customFormat="false" ht="15" hidden="false" customHeight="false" outlineLevel="0" collapsed="false">
      <c r="A29" s="0" t="s">
        <v>115</v>
      </c>
      <c r="B29" s="4" t="n">
        <f aca="false">Assumptions!$B$36</f>
        <v>12</v>
      </c>
    </row>
    <row r="30" customFormat="false" ht="15" hidden="false" customHeight="false" outlineLevel="0" collapsed="false">
      <c r="A30" s="0" t="s">
        <v>136</v>
      </c>
      <c r="B30" s="0" t="n">
        <f aca="false">SUM(C21:L21)</f>
        <v>11611.3471211905</v>
      </c>
    </row>
    <row r="31" customFormat="false" ht="15" hidden="false" customHeight="false" outlineLevel="0" collapsed="false">
      <c r="A31" s="0" t="s">
        <v>137</v>
      </c>
      <c r="B31" s="0" t="n">
        <f aca="false">L19</f>
        <v>1905.81795476232</v>
      </c>
    </row>
    <row r="32" customFormat="false" ht="15" hidden="false" customHeight="false" outlineLevel="0" collapsed="false">
      <c r="A32" s="0" t="s">
        <v>138</v>
      </c>
      <c r="B32" s="0" t="n">
        <f aca="false">IF(B27&gt;B28,B31*(1+B28/100)/((B27-B28)/100),B31*B29)</f>
        <v>29906.6817516549</v>
      </c>
    </row>
    <row r="33" customFormat="false" ht="15" hidden="false" customHeight="false" outlineLevel="0" collapsed="false">
      <c r="A33" s="0" t="s">
        <v>139</v>
      </c>
      <c r="B33" s="0" t="n">
        <f aca="false">B31*B29</f>
        <v>22869.8154571479</v>
      </c>
    </row>
    <row r="34" customFormat="false" ht="15" hidden="false" customHeight="false" outlineLevel="0" collapsed="false">
      <c r="A34" s="0" t="s">
        <v>140</v>
      </c>
      <c r="B34" s="0" t="n">
        <f aca="false">MAX(0,MIN(B32,B33))</f>
        <v>22869.8154571479</v>
      </c>
    </row>
    <row r="35" customFormat="false" ht="15" hidden="false" customHeight="false" outlineLevel="0" collapsed="false">
      <c r="A35" s="0" t="s">
        <v>141</v>
      </c>
      <c r="B35" s="0" t="n">
        <f aca="false">B34/(1+B27/100)^L4</f>
        <v>10114.9858212819</v>
      </c>
    </row>
    <row r="36" customFormat="false" ht="15" hidden="false" customHeight="false" outlineLevel="0" collapsed="false">
      <c r="A36" s="0" t="s">
        <v>142</v>
      </c>
      <c r="B36" s="0" t="n">
        <f aca="false">B30+B35</f>
        <v>21726.3329424724</v>
      </c>
    </row>
    <row r="37" customFormat="false" ht="15" hidden="false" customHeight="false" outlineLevel="0" collapsed="false">
      <c r="A37" s="0" t="s">
        <v>143</v>
      </c>
      <c r="B37" s="0" t="n">
        <f aca="false">B36+Assumptions!$B$5-Assumptions!$B$4</f>
        <v>20110.3329424724</v>
      </c>
    </row>
    <row r="38" customFormat="false" ht="15" hidden="false" customHeight="false" outlineLevel="0" collapsed="false">
      <c r="A38" s="0" t="s">
        <v>144</v>
      </c>
      <c r="B38" s="0" t="n">
        <f aca="false">B37/Assumptions!$B$3*Assumptions!$B$10</f>
        <v>132.618919430707</v>
      </c>
    </row>
    <row r="39" customFormat="false" ht="15" hidden="false" customHeight="false" outlineLevel="0" collapsed="false">
      <c r="A39" s="0" t="s">
        <v>145</v>
      </c>
      <c r="B39" s="4" t="n">
        <f aca="false">B38/Assumptions!$B$2-1</f>
        <v>0.156526723909538</v>
      </c>
    </row>
    <row r="41" customFormat="false" ht="15" hidden="false" customHeight="false" outlineLevel="0" collapsed="false">
      <c r="A41" s="0" t="s">
        <v>146</v>
      </c>
      <c r="B41" s="0" t="n">
        <f aca="false">SUMPRODUCT(-C10:L10/(1+$B$27/100)^C4:L4)</f>
        <v>399.071906646765</v>
      </c>
    </row>
    <row r="42" customFormat="false" ht="15" hidden="false" customHeight="false" outlineLevel="0" collapsed="false">
      <c r="A42" s="0" t="s">
        <v>147</v>
      </c>
      <c r="B42" s="0" t="n">
        <f aca="false">IF(B27&gt;B28,-L10*(1+B28/100)/((B27-B28)/100),-L10*20)/(1+B27/100)^L4</f>
        <v>463.625398220271</v>
      </c>
    </row>
    <row r="43" customFormat="false" ht="15" hidden="false" customHeight="false" outlineLevel="0" collapsed="false">
      <c r="A43" s="0" t="s">
        <v>148</v>
      </c>
      <c r="B43" s="0" t="n">
        <f aca="false">(B37+B41+B42)/Assumptions!$B$3*Assumptions!$B$10</f>
        <v>138.308033812578</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14953.3408758275</v>
      </c>
    </row>
    <row r="47" customFormat="false" ht="15" hidden="false" customHeight="false" outlineLevel="0" collapsed="false">
      <c r="A47" s="0" t="s">
        <v>150</v>
      </c>
      <c r="B47" s="0" t="n">
        <f aca="false">(SUMPRODUCT(C19:L19/(1+B45/100)^C4:L4)+B46/(1+B45/100)^L4+Assumptions!$B$5-Assumptions!$B$4)/Assumptions!$B$3*Assumptions!$B$10</f>
        <v>71.9485476251675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Assumptions!C41</f>
        <v>16</v>
      </c>
      <c r="D5" s="4" t="n">
        <f aca="false">Assumptions!D41</f>
        <v>-4</v>
      </c>
      <c r="E5" s="4" t="n">
        <f aca="false">Assumptions!E41</f>
        <v>-2</v>
      </c>
      <c r="F5" s="4" t="n">
        <f aca="false">Assumptions!F41</f>
        <v>5</v>
      </c>
      <c r="G5" s="4" t="n">
        <f aca="false">Assumptions!G41</f>
        <v>5</v>
      </c>
      <c r="H5" s="4" t="n">
        <f aca="false">Assumptions!H41</f>
        <v>3</v>
      </c>
      <c r="I5" s="4" t="n">
        <f aca="false">Assumptions!I41</f>
        <v>3</v>
      </c>
      <c r="J5" s="4" t="n">
        <f aca="false">Assumptions!J41</f>
        <v>3</v>
      </c>
      <c r="K5" s="4" t="n">
        <f aca="false">Assumptions!K41</f>
        <v>2.5</v>
      </c>
      <c r="L5" s="4" t="n">
        <f aca="false">Assumptions!L41</f>
        <v>2.5</v>
      </c>
    </row>
    <row r="6" customFormat="false" ht="15" hidden="false" customHeight="false" outlineLevel="0" collapsed="false">
      <c r="A6" s="0" t="s">
        <v>37</v>
      </c>
      <c r="B6" s="3" t="n">
        <v>7084</v>
      </c>
      <c r="C6" s="0" t="n">
        <f aca="false">B6*(1+C5/100)</f>
        <v>8217.44</v>
      </c>
      <c r="D6" s="0" t="n">
        <f aca="false">C6*(1+D5/100)</f>
        <v>7888.7424</v>
      </c>
      <c r="E6" s="0" t="n">
        <f aca="false">D6*(1+E5/100)</f>
        <v>7730.967552</v>
      </c>
      <c r="F6" s="0" t="n">
        <f aca="false">E6*(1+F5/100)</f>
        <v>8117.5159296</v>
      </c>
      <c r="G6" s="0" t="n">
        <f aca="false">F6*(1+G5/100)</f>
        <v>8523.39172608</v>
      </c>
      <c r="H6" s="0" t="n">
        <f aca="false">G6*(1+H5/100)</f>
        <v>8779.0934778624</v>
      </c>
      <c r="I6" s="0" t="n">
        <f aca="false">H6*(1+I5/100)</f>
        <v>9042.46628219827</v>
      </c>
      <c r="J6" s="0" t="n">
        <f aca="false">I6*(1+J5/100)</f>
        <v>9313.74027066422</v>
      </c>
      <c r="K6" s="0" t="n">
        <f aca="false">J6*(1+K5/100)</f>
        <v>9546.58377743082</v>
      </c>
      <c r="L6" s="0" t="n">
        <f aca="false">K6*(1+L5/100)</f>
        <v>9785.24837186659</v>
      </c>
    </row>
    <row r="7" customFormat="false" ht="15" hidden="false" customHeight="false" outlineLevel="0" collapsed="false">
      <c r="A7" s="0" t="s">
        <v>107</v>
      </c>
      <c r="C7" s="4" t="n">
        <f aca="false">Assumptions!C42</f>
        <v>51.5</v>
      </c>
      <c r="D7" s="4" t="n">
        <f aca="false">Assumptions!D42</f>
        <v>49</v>
      </c>
      <c r="E7" s="4" t="n">
        <f aca="false">Assumptions!E42</f>
        <v>48</v>
      </c>
      <c r="F7" s="4" t="n">
        <f aca="false">Assumptions!F42</f>
        <v>48</v>
      </c>
      <c r="G7" s="4" t="n">
        <f aca="false">Assumptions!G42</f>
        <v>48.5</v>
      </c>
      <c r="H7" s="4" t="n">
        <f aca="false">Assumptions!H42</f>
        <v>48.5</v>
      </c>
      <c r="I7" s="4" t="n">
        <f aca="false">Assumptions!I42</f>
        <v>48.5</v>
      </c>
      <c r="J7" s="4" t="n">
        <f aca="false">Assumptions!J42</f>
        <v>48.5</v>
      </c>
      <c r="K7" s="4" t="n">
        <f aca="false">Assumptions!K42</f>
        <v>48.5</v>
      </c>
      <c r="L7" s="4" t="n">
        <f aca="false">Assumptions!L42</f>
        <v>48.5</v>
      </c>
    </row>
    <row r="8" customFormat="false" ht="15" hidden="false" customHeight="false" outlineLevel="0" collapsed="false">
      <c r="A8" s="0" t="s">
        <v>43</v>
      </c>
      <c r="C8" s="0" t="n">
        <f aca="false">C6*C7/100</f>
        <v>4231.9816</v>
      </c>
      <c r="D8" s="0" t="n">
        <f aca="false">D6*D7/100</f>
        <v>3865.483776</v>
      </c>
      <c r="E8" s="0" t="n">
        <f aca="false">E6*E7/100</f>
        <v>3710.86442496</v>
      </c>
      <c r="F8" s="0" t="n">
        <f aca="false">F6*F7/100</f>
        <v>3896.407646208</v>
      </c>
      <c r="G8" s="0" t="n">
        <f aca="false">G6*G7/100</f>
        <v>4133.8449871488</v>
      </c>
      <c r="H8" s="0" t="n">
        <f aca="false">H6*H7/100</f>
        <v>4257.86033676326</v>
      </c>
      <c r="I8" s="0" t="n">
        <f aca="false">I6*I7/100</f>
        <v>4385.59614686616</v>
      </c>
      <c r="J8" s="0" t="n">
        <f aca="false">J6*J7/100</f>
        <v>4517.16403127215</v>
      </c>
      <c r="K8" s="0" t="n">
        <f aca="false">K6*K7/100</f>
        <v>4630.09313205395</v>
      </c>
      <c r="L8" s="0" t="n">
        <f aca="false">L6*L7/100</f>
        <v>4745.8454603553</v>
      </c>
    </row>
    <row r="9" customFormat="false" ht="15" hidden="false" customHeight="false" outlineLevel="0" collapsed="false">
      <c r="A9" s="0" t="s">
        <v>108</v>
      </c>
      <c r="C9" s="4" t="n">
        <f aca="false">Assumptions!C43</f>
        <v>0.8</v>
      </c>
      <c r="D9" s="4" t="n">
        <f aca="false">Assumptions!D43</f>
        <v>0.8</v>
      </c>
      <c r="E9" s="4" t="n">
        <f aca="false">Assumptions!E43</f>
        <v>0.8</v>
      </c>
      <c r="F9" s="4" t="n">
        <f aca="false">Assumptions!F43</f>
        <v>0.8</v>
      </c>
      <c r="G9" s="4" t="n">
        <f aca="false">Assumptions!G43</f>
        <v>0.8</v>
      </c>
      <c r="H9" s="4" t="n">
        <f aca="false">Assumptions!H43</f>
        <v>0.8</v>
      </c>
      <c r="I9" s="4" t="n">
        <f aca="false">Assumptions!I43</f>
        <v>0.8</v>
      </c>
      <c r="J9" s="4" t="n">
        <f aca="false">Assumptions!J43</f>
        <v>0.8</v>
      </c>
      <c r="K9" s="4" t="n">
        <f aca="false">Assumptions!K43</f>
        <v>0.8</v>
      </c>
      <c r="L9" s="4" t="n">
        <f aca="false">Assumptions!L43</f>
        <v>0.8</v>
      </c>
    </row>
    <row r="10" customFormat="false" ht="15" hidden="false" customHeight="false" outlineLevel="0" collapsed="false">
      <c r="A10" s="0" t="s">
        <v>123</v>
      </c>
      <c r="C10" s="0" t="n">
        <f aca="false">-C6*C9/100</f>
        <v>-65.73952</v>
      </c>
      <c r="D10" s="0" t="n">
        <f aca="false">-D6*D9/100</f>
        <v>-63.1099392</v>
      </c>
      <c r="E10" s="0" t="n">
        <f aca="false">-E6*E9/100</f>
        <v>-61.847740416</v>
      </c>
      <c r="F10" s="0" t="n">
        <f aca="false">-F6*F9/100</f>
        <v>-64.9401274368</v>
      </c>
      <c r="G10" s="0" t="n">
        <f aca="false">-G6*G9/100</f>
        <v>-68.18713380864</v>
      </c>
      <c r="H10" s="0" t="n">
        <f aca="false">-H6*H9/100</f>
        <v>-70.2327478228992</v>
      </c>
      <c r="I10" s="0" t="n">
        <f aca="false">-I6*I9/100</f>
        <v>-72.3397302575862</v>
      </c>
      <c r="J10" s="0" t="n">
        <f aca="false">-J6*J9/100</f>
        <v>-74.5099221653138</v>
      </c>
      <c r="K10" s="0" t="n">
        <f aca="false">-K6*K9/100</f>
        <v>-76.3726702194466</v>
      </c>
      <c r="L10" s="0" t="n">
        <f aca="false">-L6*L9/100</f>
        <v>-78.2819869749328</v>
      </c>
    </row>
    <row r="11" customFormat="false" ht="15" hidden="false" customHeight="false" outlineLevel="0" collapsed="false">
      <c r="A11" s="0" t="s">
        <v>124</v>
      </c>
      <c r="C11" s="0" t="n">
        <f aca="false">C8+C10+C24</f>
        <v>4166.24208</v>
      </c>
      <c r="D11" s="0" t="n">
        <f aca="false">D8+D10+D24</f>
        <v>3802.3738368</v>
      </c>
      <c r="E11" s="0" t="n">
        <f aca="false">E8+E10+E24</f>
        <v>3649.016684544</v>
      </c>
      <c r="F11" s="0" t="n">
        <f aca="false">F8+F10+F24</f>
        <v>3831.4675187712</v>
      </c>
      <c r="G11" s="0" t="n">
        <f aca="false">G8+G10+G24</f>
        <v>4065.65785334016</v>
      </c>
      <c r="H11" s="0" t="n">
        <f aca="false">H8+H10+H24</f>
        <v>4187.62758894037</v>
      </c>
      <c r="I11" s="0" t="n">
        <f aca="false">I8+I10+I24</f>
        <v>4313.25641660858</v>
      </c>
      <c r="J11" s="0" t="n">
        <f aca="false">J8+J10+J24</f>
        <v>4442.65410910683</v>
      </c>
      <c r="K11" s="0" t="n">
        <f aca="false">K8+K10+K24</f>
        <v>4553.7204618345</v>
      </c>
      <c r="L11" s="0" t="n">
        <f aca="false">L8+L10+L24</f>
        <v>4667.56347338037</v>
      </c>
    </row>
    <row r="12" customFormat="false" ht="15" hidden="false" customHeight="false" outlineLevel="0" collapsed="false">
      <c r="A12" s="0" t="s">
        <v>125</v>
      </c>
      <c r="C12" s="4" t="n">
        <f aca="false">-C6*Assumptions!C45/100</f>
        <v>-903.9184</v>
      </c>
      <c r="D12" s="4" t="n">
        <f aca="false">-D6*Assumptions!D45/100</f>
        <v>-915.0941184</v>
      </c>
      <c r="E12" s="4" t="n">
        <f aca="false">-E6*Assumptions!E45/100</f>
        <v>-912.254171136</v>
      </c>
      <c r="F12" s="4" t="n">
        <f aca="false">-F6*Assumptions!F45/100</f>
        <v>-974.101911552</v>
      </c>
      <c r="G12" s="4" t="n">
        <f aca="false">-G6*Assumptions!G45/100</f>
        <v>-1005.76022367744</v>
      </c>
      <c r="H12" s="4" t="n">
        <f aca="false">-H6*Assumptions!H45/100</f>
        <v>-1009.59574995418</v>
      </c>
      <c r="I12" s="4" t="n">
        <f aca="false">-I6*Assumptions!I45/100</f>
        <v>-1012.75622360621</v>
      </c>
      <c r="J12" s="4" t="n">
        <f aca="false">-J6*Assumptions!J45/100</f>
        <v>-1024.51142977306</v>
      </c>
      <c r="K12" s="4" t="n">
        <f aca="false">-K6*Assumptions!K45/100</f>
        <v>-1021.4844641851</v>
      </c>
      <c r="L12" s="4" t="n">
        <f aca="false">-L6*Assumptions!L45/100</f>
        <v>-1027.45107904599</v>
      </c>
    </row>
    <row r="13" customFormat="false" ht="15" hidden="false" customHeight="false" outlineLevel="0" collapsed="false">
      <c r="A13" s="0" t="s">
        <v>126</v>
      </c>
      <c r="C13" s="0" t="n">
        <f aca="false">C11+C12</f>
        <v>3262.32368</v>
      </c>
      <c r="D13" s="0" t="n">
        <f aca="false">D11+D12</f>
        <v>2887.2797184</v>
      </c>
      <c r="E13" s="0" t="n">
        <f aca="false">E11+E12</f>
        <v>2736.762513408</v>
      </c>
      <c r="F13" s="0" t="n">
        <f aca="false">F11+F12</f>
        <v>2857.3656072192</v>
      </c>
      <c r="G13" s="0" t="n">
        <f aca="false">G11+G12</f>
        <v>3059.89762966272</v>
      </c>
      <c r="H13" s="0" t="n">
        <f aca="false">H11+H12</f>
        <v>3178.03183898619</v>
      </c>
      <c r="I13" s="0" t="n">
        <f aca="false">I11+I12</f>
        <v>3300.50019300237</v>
      </c>
      <c r="J13" s="0" t="n">
        <f aca="false">J11+J12</f>
        <v>3418.14267933377</v>
      </c>
      <c r="K13" s="0" t="n">
        <f aca="false">K11+K12</f>
        <v>3532.23599764941</v>
      </c>
      <c r="L13" s="0" t="n">
        <f aca="false">L11+L12</f>
        <v>3640.11239433437</v>
      </c>
    </row>
    <row r="14" customFormat="false" ht="15" hidden="false" customHeight="false" outlineLevel="0" collapsed="false">
      <c r="A14" s="0" t="s">
        <v>112</v>
      </c>
      <c r="C14" s="4" t="n">
        <f aca="false">Assumptions!C47</f>
        <v>32</v>
      </c>
      <c r="D14" s="4" t="n">
        <f aca="false">Assumptions!D47</f>
        <v>32</v>
      </c>
      <c r="E14" s="4" t="n">
        <f aca="false">Assumptions!E47</f>
        <v>32</v>
      </c>
      <c r="F14" s="4" t="n">
        <f aca="false">Assumptions!F47</f>
        <v>33</v>
      </c>
      <c r="G14" s="4" t="n">
        <f aca="false">Assumptions!G47</f>
        <v>33</v>
      </c>
      <c r="H14" s="4" t="n">
        <f aca="false">Assumptions!H47</f>
        <v>33</v>
      </c>
      <c r="I14" s="4" t="n">
        <f aca="false">Assumptions!I47</f>
        <v>34</v>
      </c>
      <c r="J14" s="4" t="n">
        <f aca="false">Assumptions!J47</f>
        <v>34</v>
      </c>
      <c r="K14" s="4" t="n">
        <f aca="false">Assumptions!K47</f>
        <v>35</v>
      </c>
      <c r="L14" s="4" t="n">
        <f aca="false">Assumptions!L47</f>
        <v>36</v>
      </c>
    </row>
    <row r="15" customFormat="false" ht="15" hidden="false" customHeight="false" outlineLevel="0" collapsed="false">
      <c r="A15" s="0" t="s">
        <v>127</v>
      </c>
      <c r="C15" s="0" t="n">
        <f aca="false">C13-MAX(0,C13)*C14/100</f>
        <v>2218.3801024</v>
      </c>
      <c r="D15" s="0" t="n">
        <f aca="false">D13-MAX(0,D13)*D14/100</f>
        <v>1963.350208512</v>
      </c>
      <c r="E15" s="0" t="n">
        <f aca="false">E13-MAX(0,E13)*E14/100</f>
        <v>1860.99850911744</v>
      </c>
      <c r="F15" s="0" t="n">
        <f aca="false">F13-MAX(0,F13)*F14/100</f>
        <v>1914.43495683686</v>
      </c>
      <c r="G15" s="0" t="n">
        <f aca="false">G13-MAX(0,G13)*G14/100</f>
        <v>2050.13141187402</v>
      </c>
      <c r="H15" s="0" t="n">
        <f aca="false">H13-MAX(0,H13)*H14/100</f>
        <v>2129.28133212075</v>
      </c>
      <c r="I15" s="0" t="n">
        <f aca="false">I13-MAX(0,I13)*I14/100</f>
        <v>2178.33012738156</v>
      </c>
      <c r="J15" s="0" t="n">
        <f aca="false">J13-MAX(0,J13)*J14/100</f>
        <v>2255.97416836029</v>
      </c>
      <c r="K15" s="0" t="n">
        <f aca="false">K13-MAX(0,K13)*K14/100</f>
        <v>2295.95339847211</v>
      </c>
      <c r="L15" s="0" t="n">
        <f aca="false">L13-MAX(0,L13)*L14/100</f>
        <v>2329.671932374</v>
      </c>
    </row>
    <row r="16" customFormat="false" ht="15" hidden="false" customHeight="false" outlineLevel="0" collapsed="false">
      <c r="A16" s="0" t="s">
        <v>128</v>
      </c>
      <c r="C16" s="0" t="n">
        <f aca="false">-C12</f>
        <v>903.9184</v>
      </c>
      <c r="D16" s="0" t="n">
        <f aca="false">-D12</f>
        <v>915.0941184</v>
      </c>
      <c r="E16" s="0" t="n">
        <f aca="false">-E12</f>
        <v>912.254171136</v>
      </c>
      <c r="F16" s="0" t="n">
        <f aca="false">-F12</f>
        <v>974.101911552</v>
      </c>
      <c r="G16" s="0" t="n">
        <f aca="false">-G12</f>
        <v>1005.76022367744</v>
      </c>
      <c r="H16" s="0" t="n">
        <f aca="false">-H12</f>
        <v>1009.59574995418</v>
      </c>
      <c r="I16" s="0" t="n">
        <f aca="false">-I12</f>
        <v>1012.75622360621</v>
      </c>
      <c r="J16" s="0" t="n">
        <f aca="false">-J12</f>
        <v>1024.51142977306</v>
      </c>
      <c r="K16" s="0" t="n">
        <f aca="false">-K12</f>
        <v>1021.4844641851</v>
      </c>
      <c r="L16" s="0" t="n">
        <f aca="false">-L12</f>
        <v>1027.45107904599</v>
      </c>
    </row>
    <row r="17" customFormat="false" ht="15" hidden="false" customHeight="false" outlineLevel="0" collapsed="false">
      <c r="A17" s="0" t="s">
        <v>129</v>
      </c>
      <c r="C17" s="4" t="n">
        <f aca="false">-C6*Assumptions!C46/100</f>
        <v>-936.78816</v>
      </c>
      <c r="D17" s="4" t="n">
        <f aca="false">-D6*Assumptions!D46/100</f>
        <v>-1009.7590272</v>
      </c>
      <c r="E17" s="4" t="n">
        <f aca="false">-E6*Assumptions!E46/100</f>
        <v>-1043.68061952</v>
      </c>
      <c r="F17" s="4" t="n">
        <f aca="false">-F6*Assumptions!F46/100</f>
        <v>-852.339172608</v>
      </c>
      <c r="G17" s="4" t="n">
        <f aca="false">-G6*Assumptions!G46/100</f>
        <v>-750.05847189504</v>
      </c>
      <c r="H17" s="4" t="n">
        <f aca="false">-H6*Assumptions!H46/100</f>
        <v>-772.560226051891</v>
      </c>
      <c r="I17" s="4" t="n">
        <f aca="false">-I6*Assumptions!I46/100</f>
        <v>-795.737032833448</v>
      </c>
      <c r="J17" s="4" t="n">
        <f aca="false">-J6*Assumptions!J46/100</f>
        <v>-819.609143818451</v>
      </c>
      <c r="K17" s="4" t="n">
        <f aca="false">-K6*Assumptions!K46/100</f>
        <v>-840.099372413913</v>
      </c>
      <c r="L17" s="4" t="n">
        <f aca="false">-L6*Assumptions!L46/100</f>
        <v>-861.10185672426</v>
      </c>
    </row>
    <row r="18" customFormat="false" ht="15" hidden="false" customHeight="false" outlineLevel="0" collapsed="false">
      <c r="A18" s="0" t="s">
        <v>130</v>
      </c>
      <c r="C18" s="4" t="n">
        <f aca="false">(C6-B6)*Assumptions!$B$51/100</f>
        <v>-113.344</v>
      </c>
      <c r="D18" s="4" t="n">
        <f aca="false">(D6-C6)*Assumptions!$B$51/100</f>
        <v>32.86976</v>
      </c>
      <c r="E18" s="4" t="n">
        <f aca="false">(E6-D6)*Assumptions!$B$51/100</f>
        <v>15.7774848</v>
      </c>
      <c r="F18" s="4" t="n">
        <f aca="false">(F6-E6)*Assumptions!$B$51/100</f>
        <v>-38.65483776</v>
      </c>
      <c r="G18" s="4" t="n">
        <f aca="false">(G6-F6)*Assumptions!$B$51/100</f>
        <v>-40.5875796480001</v>
      </c>
      <c r="H18" s="4" t="n">
        <f aca="false">(H6-G6)*Assumptions!$B$51/100</f>
        <v>-25.5701751782401</v>
      </c>
      <c r="I18" s="4" t="n">
        <f aca="false">(I6-H6)*Assumptions!$B$51/100</f>
        <v>-26.3372804335871</v>
      </c>
      <c r="J18" s="4" t="n">
        <f aca="false">(J6-I6)*Assumptions!$B$51/100</f>
        <v>-27.1273988465948</v>
      </c>
      <c r="K18" s="4" t="n">
        <f aca="false">(K6-J6)*Assumptions!$B$51/100</f>
        <v>-23.2843506766605</v>
      </c>
      <c r="L18" s="4" t="n">
        <f aca="false">(L6-K6)*Assumptions!$B$51/100</f>
        <v>-23.866459443577</v>
      </c>
    </row>
    <row r="19" customFormat="false" ht="15" hidden="false" customHeight="false" outlineLevel="0" collapsed="false">
      <c r="A19" s="0" t="s">
        <v>131</v>
      </c>
      <c r="C19" s="0" t="n">
        <f aca="false">C15+C16+C17+C18</f>
        <v>2072.1663424</v>
      </c>
      <c r="D19" s="0" t="n">
        <f aca="false">D15+D16+D17+D18</f>
        <v>1901.555059712</v>
      </c>
      <c r="E19" s="0" t="n">
        <f aca="false">E15+E16+E17+E18</f>
        <v>1745.34954553344</v>
      </c>
      <c r="F19" s="0" t="n">
        <f aca="false">F15+F16+F17+F18</f>
        <v>1997.54285802086</v>
      </c>
      <c r="G19" s="0" t="n">
        <f aca="false">G15+G16+G17+G18</f>
        <v>2265.24558400842</v>
      </c>
      <c r="H19" s="0" t="n">
        <f aca="false">H15+H16+H17+H18</f>
        <v>2340.74668084479</v>
      </c>
      <c r="I19" s="0" t="n">
        <f aca="false">I15+I16+I17+I18</f>
        <v>2369.01203772074</v>
      </c>
      <c r="J19" s="0" t="n">
        <f aca="false">J15+J16+J17+J18</f>
        <v>2433.74905546831</v>
      </c>
      <c r="K19" s="0" t="n">
        <f aca="false">K15+K16+K17+K18</f>
        <v>2454.05413956664</v>
      </c>
      <c r="L19" s="0" t="n">
        <f aca="false">L15+L16+L17+L18</f>
        <v>2472.15469525215</v>
      </c>
    </row>
    <row r="20" customFormat="false" ht="15" hidden="false" customHeight="false" outlineLevel="0" collapsed="false">
      <c r="A20" s="0" t="s">
        <v>132</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133</v>
      </c>
      <c r="C21" s="0" t="n">
        <f aca="false">C19*C20</f>
        <v>1909.83073032258</v>
      </c>
      <c r="D21" s="0" t="n">
        <f aca="false">D19*D20</f>
        <v>1615.28599860859</v>
      </c>
      <c r="E21" s="0" t="n">
        <f aca="false">E19*E20</f>
        <v>1366.44829379052</v>
      </c>
      <c r="F21" s="0" t="n">
        <f aca="false">F19*F20</f>
        <v>1441.37555807097</v>
      </c>
      <c r="G21" s="0" t="n">
        <f aca="false">G19*G20</f>
        <v>1506.49120826914</v>
      </c>
      <c r="H21" s="0" t="n">
        <f aca="false">H19*H20</f>
        <v>1434.74918633496</v>
      </c>
      <c r="I21" s="0" t="n">
        <f aca="false">I19*I20</f>
        <v>1338.31732540626</v>
      </c>
      <c r="J21" s="0" t="n">
        <f aca="false">J19*J20</f>
        <v>1267.17877659199</v>
      </c>
      <c r="K21" s="0" t="n">
        <f aca="false">K19*K20</f>
        <v>1177.65070370075</v>
      </c>
      <c r="L21" s="0" t="n">
        <f aca="false">L19*L20</f>
        <v>1093.39796542501</v>
      </c>
    </row>
    <row r="23" customFormat="false" ht="15" hidden="false" customHeight="false" outlineLevel="0" collapsed="false">
      <c r="A23" s="0" t="s">
        <v>109</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Assumptions!$B$48</f>
        <v>8.5</v>
      </c>
    </row>
    <row r="28" customFormat="false" ht="15" hidden="false" customHeight="false" outlineLevel="0" collapsed="false">
      <c r="A28" s="0" t="s">
        <v>114</v>
      </c>
      <c r="B28" s="4" t="n">
        <f aca="false">Assumptions!$B$49</f>
        <v>2.5</v>
      </c>
    </row>
    <row r="29" customFormat="false" ht="15" hidden="false" customHeight="false" outlineLevel="0" collapsed="false">
      <c r="A29" s="0" t="s">
        <v>115</v>
      </c>
      <c r="B29" s="4" t="n">
        <f aca="false">Assumptions!$B$50</f>
        <v>12</v>
      </c>
    </row>
    <row r="30" customFormat="false" ht="15" hidden="false" customHeight="false" outlineLevel="0" collapsed="false">
      <c r="A30" s="0" t="s">
        <v>136</v>
      </c>
      <c r="B30" s="0" t="n">
        <f aca="false">SUM(C21:L21)</f>
        <v>14150.7257465208</v>
      </c>
    </row>
    <row r="31" customFormat="false" ht="15" hidden="false" customHeight="false" outlineLevel="0" collapsed="false">
      <c r="A31" s="0" t="s">
        <v>137</v>
      </c>
      <c r="B31" s="0" t="n">
        <f aca="false">L19</f>
        <v>2472.15469525215</v>
      </c>
    </row>
    <row r="32" customFormat="false" ht="15" hidden="false" customHeight="false" outlineLevel="0" collapsed="false">
      <c r="A32" s="0" t="s">
        <v>138</v>
      </c>
      <c r="B32" s="0" t="n">
        <f aca="false">IF(B27&gt;B28,B31*(1+B28/100)/((B27-B28)/100),B31*B29)</f>
        <v>42232.6427105576</v>
      </c>
    </row>
    <row r="33" customFormat="false" ht="15" hidden="false" customHeight="false" outlineLevel="0" collapsed="false">
      <c r="A33" s="0" t="s">
        <v>139</v>
      </c>
      <c r="B33" s="0" t="n">
        <f aca="false">B31*B29</f>
        <v>29665.8563430258</v>
      </c>
    </row>
    <row r="34" customFormat="false" ht="15" hidden="false" customHeight="false" outlineLevel="0" collapsed="false">
      <c r="A34" s="0" t="s">
        <v>140</v>
      </c>
      <c r="B34" s="0" t="n">
        <f aca="false">MAX(0,MIN(B32,B33))</f>
        <v>29665.8563430258</v>
      </c>
    </row>
    <row r="35" customFormat="false" ht="15" hidden="false" customHeight="false" outlineLevel="0" collapsed="false">
      <c r="A35" s="0" t="s">
        <v>141</v>
      </c>
      <c r="B35" s="0" t="n">
        <f aca="false">B34/(1+B27/100)^L4</f>
        <v>13120.7755851001</v>
      </c>
    </row>
    <row r="36" customFormat="false" ht="15" hidden="false" customHeight="false" outlineLevel="0" collapsed="false">
      <c r="A36" s="0" t="s">
        <v>142</v>
      </c>
      <c r="B36" s="0" t="n">
        <f aca="false">B30+B35</f>
        <v>27271.5013316209</v>
      </c>
    </row>
    <row r="37" customFormat="false" ht="15" hidden="false" customHeight="false" outlineLevel="0" collapsed="false">
      <c r="A37" s="0" t="s">
        <v>143</v>
      </c>
      <c r="B37" s="0" t="n">
        <f aca="false">B36+Assumptions!$B$5-Assumptions!$B$4</f>
        <v>25655.5013316209</v>
      </c>
    </row>
    <row r="38" customFormat="false" ht="15" hidden="false" customHeight="false" outlineLevel="0" collapsed="false">
      <c r="A38" s="0" t="s">
        <v>144</v>
      </c>
      <c r="B38" s="0" t="n">
        <f aca="false">B37/Assumptions!$B$3*Assumptions!$B$10</f>
        <v>169.1868987841</v>
      </c>
    </row>
    <row r="39" customFormat="false" ht="15" hidden="false" customHeight="false" outlineLevel="0" collapsed="false">
      <c r="A39" s="0" t="s">
        <v>145</v>
      </c>
      <c r="B39" s="4" t="n">
        <f aca="false">B38/Assumptions!$B$2-1</f>
        <v>0.475424250319173</v>
      </c>
    </row>
    <row r="41" customFormat="false" ht="15" hidden="false" customHeight="false" outlineLevel="0" collapsed="false">
      <c r="A41" s="0" t="s">
        <v>146</v>
      </c>
      <c r="B41" s="0" t="n">
        <f aca="false">SUMPRODUCT(-C10:L10/(1+$B$27/100)^C4:L4)</f>
        <v>448.809406058227</v>
      </c>
    </row>
    <row r="42" customFormat="false" ht="15" hidden="false" customHeight="false" outlineLevel="0" collapsed="false">
      <c r="A42" s="0" t="s">
        <v>147</v>
      </c>
      <c r="B42" s="0" t="n">
        <f aca="false">IF(B27&gt;B28,-L10*(1+B28/100)/((B27-B28)/100),-L10*20)/(1+B27/100)^L4</f>
        <v>591.475927109983</v>
      </c>
    </row>
    <row r="43" customFormat="false" ht="15" hidden="false" customHeight="false" outlineLevel="0" collapsed="false">
      <c r="A43" s="0" t="s">
        <v>148</v>
      </c>
      <c r="B43" s="0" t="n">
        <f aca="false">(B37+B41+B42)/Assumptions!$B$3*Assumptions!$B$10</f>
        <v>176.047129153186</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20271.6685010677</v>
      </c>
    </row>
    <row r="47" customFormat="false" ht="15" hidden="false" customHeight="false" outlineLevel="0" collapsed="false">
      <c r="A47" s="0" t="s">
        <v>150</v>
      </c>
      <c r="B47" s="0" t="n">
        <f aca="false">(SUMPRODUCT(C19:L19/(1+B45/100)^C4:L4)+B46/(1+B45/100)^L4+Assumptions!$B$5-Assumptions!$B$4)/Assumptions!$B$3*Assumptions!$B$10</f>
        <v>92.7020806490638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153</v>
      </c>
    </row>
    <row r="3" customFormat="false" ht="15" hidden="false" customHeight="false" outlineLevel="0" collapsed="false">
      <c r="A3" s="2" t="s">
        <v>154</v>
      </c>
      <c r="B3" s="2" t="s">
        <v>155</v>
      </c>
      <c r="C3" s="2" t="s">
        <v>145</v>
      </c>
      <c r="D3" s="2" t="s">
        <v>156</v>
      </c>
      <c r="E3" s="2" t="s">
        <v>148</v>
      </c>
      <c r="F3" s="2" t="s">
        <v>157</v>
      </c>
    </row>
    <row r="4" customFormat="false" ht="15" hidden="false" customHeight="false" outlineLevel="0" collapsed="false">
      <c r="A4" s="0" t="s">
        <v>158</v>
      </c>
      <c r="B4" s="4" t="n">
        <f aca="false">DCF_Bear!$B$38</f>
        <v>85.0424789775637</v>
      </c>
      <c r="C4" s="0" t="n">
        <f aca="false">B4/Assumptions!$B$2-1</f>
        <v>-0.258372032985404</v>
      </c>
      <c r="D4" s="4" t="n">
        <f aca="false">Assumptions!$B$24</f>
        <v>0.25</v>
      </c>
      <c r="E4" s="4" t="n">
        <f aca="false">DCF_Bear!$B$43</f>
        <v>89.6511192541721</v>
      </c>
      <c r="F4" s="4" t="n">
        <f aca="false">DCF_Bear!$B$47</f>
        <v>44.5724602081604</v>
      </c>
    </row>
    <row r="5" customFormat="false" ht="15" hidden="false" customHeight="false" outlineLevel="0" collapsed="false">
      <c r="A5" s="0" t="s">
        <v>159</v>
      </c>
      <c r="B5" s="4" t="n">
        <f aca="false">DCF_Base!$B$38</f>
        <v>132.618919430707</v>
      </c>
      <c r="C5" s="0" t="n">
        <f aca="false">B5/Assumptions!$B$2-1</f>
        <v>0.156526723909538</v>
      </c>
      <c r="D5" s="4" t="n">
        <f aca="false">Assumptions!$B$38</f>
        <v>0.5</v>
      </c>
      <c r="E5" s="4" t="n">
        <f aca="false">DCF_Base!$B$43</f>
        <v>138.308033812578</v>
      </c>
      <c r="F5" s="4" t="n">
        <f aca="false">DCF_Base!$B$47</f>
        <v>71.9485476251675</v>
      </c>
    </row>
    <row r="6" customFormat="false" ht="15" hidden="false" customHeight="false" outlineLevel="0" collapsed="false">
      <c r="A6" s="0" t="s">
        <v>160</v>
      </c>
      <c r="B6" s="4" t="n">
        <f aca="false">DCF_Bull!$B$38</f>
        <v>169.1868987841</v>
      </c>
      <c r="C6" s="0" t="n">
        <f aca="false">B6/Assumptions!$B$2-1</f>
        <v>0.475424250319173</v>
      </c>
      <c r="D6" s="4" t="n">
        <f aca="false">Assumptions!$B$52</f>
        <v>0.25</v>
      </c>
      <c r="E6" s="4" t="n">
        <f aca="false">DCF_Bull!$B$43</f>
        <v>176.047129153186</v>
      </c>
      <c r="F6" s="4" t="n">
        <f aca="false">DCF_Bull!$B$47</f>
        <v>92.7020806490638</v>
      </c>
    </row>
    <row r="8" customFormat="false" ht="15" hidden="false" customHeight="false" outlineLevel="0" collapsed="false">
      <c r="A8" s="0" t="s">
        <v>161</v>
      </c>
      <c r="B8" s="0" t="n">
        <f aca="false">SUMPRODUCT(B4:B6,D4:D6)</f>
        <v>129.866804155769</v>
      </c>
    </row>
    <row r="9" customFormat="false" ht="15" hidden="false" customHeight="false" outlineLevel="0" collapsed="false">
      <c r="A9" s="0" t="s">
        <v>162</v>
      </c>
      <c r="B9" s="0" t="n">
        <f aca="false">SUMPRODUCT(E4:E6,D4:D6)</f>
        <v>135.578579008129</v>
      </c>
    </row>
    <row r="10" customFormat="false" ht="15" hidden="false" customHeight="false" outlineLevel="0" collapsed="false">
      <c r="A10" s="0" t="s">
        <v>163</v>
      </c>
      <c r="B10" s="0" t="n">
        <f aca="false">1-Assumptions!$B$2/B8</f>
        <v>0.117018388606385</v>
      </c>
    </row>
    <row r="11" customFormat="false" ht="15" hidden="false" customHeight="false" outlineLevel="0" collapsed="false">
      <c r="A11" s="0" t="s">
        <v>164</v>
      </c>
      <c r="B11" s="0" t="n">
        <f aca="false">IF(ABS(B9-B8)&gt;0.01*ABS(B8),(Assumptions!$B$2-B8)/(B9-B8)*100,"n/a")</f>
        <v>-266.06098014335</v>
      </c>
    </row>
    <row r="12" customFormat="false" ht="15" hidden="false" customHeight="false" outlineLevel="0" collapsed="false">
      <c r="A12" s="0" t="s">
        <v>165</v>
      </c>
      <c r="B12" s="0" t="n">
        <f aca="false">SUMPRODUCT(F4:F6,D4:D6)</f>
        <v>70.2929090268898</v>
      </c>
    </row>
    <row r="14" customFormat="false" ht="15" hidden="false" customHeight="false" outlineLevel="0" collapsed="false">
      <c r="A14" s="2" t="s">
        <v>166</v>
      </c>
      <c r="C14" s="0" t="s">
        <v>167</v>
      </c>
    </row>
    <row r="15" customFormat="false" ht="15" hidden="false" customHeight="false" outlineLevel="0" collapsed="false">
      <c r="A15" s="0" t="s">
        <v>168</v>
      </c>
      <c r="B15" s="0" t="n">
        <f aca="false">(SUMPRODUCT(DCF_Base!$C$19:$L$19/(1+$C$15/100)^DCF_Base!$C$4:$L$4)+MAX(0,MIN(IF($C$15&gt;DCF_Base!$B$28,DCF_Base!$L$19*(1+DCF_Base!$B$28/100)/(($C$15-DCF_Base!$B$28)/100),DCF_Base!$L$19*DCF_Base!$B$29),DCF_Base!$L$19*DCF_Base!$B$29))/(1+$C$15/100)^DCF_Base!$L$4+Assumptions!$B$5-Assumptions!$B$4)/Assumptions!$B$3*Assumptions!$B$10</f>
        <v>132.618919430707</v>
      </c>
      <c r="C15" s="3" t="n">
        <v>8.5</v>
      </c>
    </row>
    <row r="16" customFormat="false" ht="15" hidden="false" customHeight="false" outlineLevel="0" collapsed="false">
      <c r="A16" s="0" t="s">
        <v>169</v>
      </c>
      <c r="B16" s="0" t="n">
        <f aca="false">(SUMPRODUCT(DCF_Base!$C$19:$L$19/(1+$C$16/100)^DCF_Base!$C$4:$L$4)+MAX(0,MIN(IF($C$16&gt;DCF_Base!$B$28,DCF_Base!$L$19*(1+DCF_Base!$B$28/100)/(($C$16-DCF_Base!$B$28)/100),DCF_Base!$L$19*DCF_Base!$B$29),DCF_Base!$L$19*DCF_Base!$B$29))/(1+$C$16/100)^DCF_Base!$L$4+Assumptions!$B$5-Assumptions!$B$4)/Assumptions!$B$3*Assumptions!$B$10</f>
        <v>127.906432277623</v>
      </c>
      <c r="C16" s="3" t="n">
        <v>9</v>
      </c>
    </row>
    <row r="17" customFormat="false" ht="15" hidden="false" customHeight="false" outlineLevel="0" collapsed="false">
      <c r="A17" s="0" t="s">
        <v>170</v>
      </c>
      <c r="B17" s="0" t="n">
        <f aca="false">(SUMPRODUCT(DCF_Base!$C$19:$L$19/(1+$C$17/100)^DCF_Base!$C$4:$L$4)+MAX(0,MIN(IF($C$17&gt;DCF_Base!$B$28,DCF_Base!$L$19*(1+DCF_Base!$B$28/100)/(($C$17-DCF_Base!$B$28)/100),DCF_Base!$L$19*DCF_Base!$B$29),DCF_Base!$L$19*DCF_Base!$B$29))/(1+$C$17/100)^DCF_Base!$L$4+Assumptions!$B$5-Assumptions!$B$4)/Assumptions!$B$3*Assumptions!$B$10</f>
        <v>119.089995095317</v>
      </c>
      <c r="C17" s="3" t="n">
        <v>10</v>
      </c>
    </row>
    <row r="18" customFormat="false" ht="15" hidden="false" customHeight="false" outlineLevel="0" collapsed="false">
      <c r="A18" s="0" t="s">
        <v>171</v>
      </c>
      <c r="B18" s="0" t="n">
        <f aca="false">(SUMPRODUCT(DCF_Base!$C$19:$L$19/(1+$C$18/100)^DCF_Base!$C$4:$L$4)+MAX(0,MIN(IF($C$18&gt;DCF_Base!$B$28,DCF_Base!$L$19*(1+DCF_Base!$B$28/100)/(($C$18-DCF_Base!$B$28)/100),DCF_Base!$L$19*DCF_Base!$B$29),DCF_Base!$L$19*DCF_Base!$B$29))/(1+$C$18/100)^DCF_Base!$L$4+Assumptions!$B$5-Assumptions!$B$4)/Assumptions!$B$3*Assumptions!$B$10</f>
        <v>108.06780844095</v>
      </c>
      <c r="C18" s="3" t="n">
        <v>11</v>
      </c>
    </row>
    <row r="19" customFormat="false" ht="15" hidden="false" customHeight="false" outlineLevel="0" collapsed="false">
      <c r="A19" s="0" t="s">
        <v>172</v>
      </c>
      <c r="B19" s="0" t="n">
        <f aca="false">(SUMPRODUCT(DCF_Base!$C$19:$L$19/(1+$C$19/100)^DCF_Base!$C$4:$L$4)+MAX(0,MIN(IF($C$19&gt;DCF_Base!$B$28,DCF_Base!$L$19*(1+DCF_Base!$B$28/100)/(($C$19-DCF_Base!$B$28)/100),DCF_Base!$L$19*DCF_Base!$B$29),DCF_Base!$L$19*DCF_Base!$B$29))/(1+$C$19/100)^DCF_Base!$L$4+Assumptions!$B$5-Assumptions!$B$4)/Assumptions!$B$3*Assumptions!$B$10</f>
        <v>96.3365265729389</v>
      </c>
      <c r="C19" s="3" t="n">
        <v>12</v>
      </c>
    </row>
    <row r="20" customFormat="false" ht="15" hidden="false" customHeight="false" outlineLevel="0" collapsed="false">
      <c r="A20" s="0" t="s">
        <v>173</v>
      </c>
      <c r="B20" s="0" t="n">
        <f aca="false">(SUMPRODUCT(DCF_Base!$C$19:$L$19/(1+$C$20/100)^DCF_Base!$C$4:$L$4)+MAX(0,MIN(IF($C$20&gt;DCF_Base!$B$28,DCF_Base!$L$19*(1+DCF_Base!$B$28/100)/(($C$20-DCF_Base!$B$28)/100),DCF_Base!$L$19*DCF_Base!$B$29),DCF_Base!$L$19*DCF_Base!$B$29))/(1+$C$20/100)^DCF_Base!$L$4+Assumptions!$B$5-Assumptions!$B$4)/Assumptions!$B$3*Assumptions!$B$10</f>
        <v>71.9485476251675</v>
      </c>
      <c r="C20" s="3" t="n">
        <v>15</v>
      </c>
    </row>
    <row r="22" customFormat="false" ht="15" hidden="false" customHeight="false" outlineLevel="0" collapsed="false">
      <c r="A22" s="2" t="s">
        <v>174</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6.5</v>
      </c>
      <c r="B24" s="0" t="n">
        <f aca="false">(SUMPRODUCT(DCF_Base!$C$19:$L$19/(1+$A$24/100)^DCF_Base!$C$4:$L$4)+MAX(0,MIN(IF($A$24&gt;$B$23,DCF_Base!$L$19*(1+$B$23/100)/(($A$24-$B$23)/100),DCF_Base!$L$19*DCF_Base!$B$29),DCF_Base!$L$19*DCF_Base!$B$29))/(1+$A$24/100)^DCF_Base!$L$4+Assumptions!$B$5-Assumptions!$B$4)/Assumptions!$B$3*Assumptions!$B$10</f>
        <v>153.761570255194</v>
      </c>
      <c r="C24" s="0" t="n">
        <f aca="false">(SUMPRODUCT(DCF_Base!$C$19:$L$19/(1+$A$24/100)^DCF_Base!$C$4:$L$4)+MAX(0,MIN(IF($A$24&gt;$C$23,DCF_Base!$L$19*(1+$C$23/100)/(($A$24-$C$23)/100),DCF_Base!$L$19*DCF_Base!$B$29),DCF_Base!$L$19*DCF_Base!$B$29))/(1+$A$24/100)^DCF_Base!$L$4+Assumptions!$B$5-Assumptions!$B$4)/Assumptions!$B$3*Assumptions!$B$10</f>
        <v>153.761570255194</v>
      </c>
      <c r="D24" s="0" t="n">
        <f aca="false">(SUMPRODUCT(DCF_Base!$C$19:$L$19/(1+$A$24/100)^DCF_Base!$C$4:$L$4)+MAX(0,MIN(IF($A$24&gt;$D$23,DCF_Base!$L$19*(1+$D$23/100)/(($A$24-$D$23)/100),DCF_Base!$L$19*DCF_Base!$B$29),DCF_Base!$L$19*DCF_Base!$B$29))/(1+$A$24/100)^DCF_Base!$L$4+Assumptions!$B$5-Assumptions!$B$4)/Assumptions!$B$3*Assumptions!$B$10</f>
        <v>153.761570255194</v>
      </c>
      <c r="E24" s="0" t="n">
        <f aca="false">(SUMPRODUCT(DCF_Base!$C$19:$L$19/(1+$A$24/100)^DCF_Base!$C$4:$L$4)+MAX(0,MIN(IF($A$24&gt;$E$23,DCF_Base!$L$19*(1+$E$23/100)/(($A$24-$E$23)/100),DCF_Base!$L$19*DCF_Base!$B$29),DCF_Base!$L$19*DCF_Base!$B$29))/(1+$A$24/100)^DCF_Base!$L$4+Assumptions!$B$5-Assumptions!$B$4)/Assumptions!$B$3*Assumptions!$B$10</f>
        <v>153.761570255194</v>
      </c>
      <c r="F24" s="0" t="n">
        <f aca="false">(SUMPRODUCT(DCF_Base!$C$19:$L$19/(1+$A$24/100)^DCF_Base!$C$4:$L$4)+MAX(0,MIN(IF($A$24&gt;$F$23,DCF_Base!$L$19*(1+$F$23/100)/(($A$24-$F$23)/100),DCF_Base!$L$19*DCF_Base!$B$29),DCF_Base!$L$19*DCF_Base!$B$29))/(1+$A$24/100)^DCF_Base!$L$4+Assumptions!$B$5-Assumptions!$B$4)/Assumptions!$B$3*Assumptions!$B$10</f>
        <v>153.761570255194</v>
      </c>
    </row>
    <row r="25" customFormat="false" ht="15" hidden="false" customHeight="false" outlineLevel="0" collapsed="false">
      <c r="A25" s="3" t="n">
        <v>7.5</v>
      </c>
      <c r="B25" s="0" t="n">
        <f aca="false">(SUMPRODUCT(DCF_Base!$C$19:$L$19/(1+$A$25/100)^DCF_Base!$C$4:$L$4)+MAX(0,MIN(IF($A$25&gt;$B$23,DCF_Base!$L$19*(1+$B$23/100)/(($A$25-$B$23)/100),DCF_Base!$L$19*DCF_Base!$B$29),DCF_Base!$L$19*DCF_Base!$B$29))/(1+$A$25/100)^DCF_Base!$L$4+Assumptions!$B$5-Assumptions!$B$4)/Assumptions!$B$3*Assumptions!$B$10</f>
        <v>142.707380240465</v>
      </c>
      <c r="C25" s="0" t="n">
        <f aca="false">(SUMPRODUCT(DCF_Base!$C$19:$L$19/(1+$A$25/100)^DCF_Base!$C$4:$L$4)+MAX(0,MIN(IF($A$25&gt;$C$23,DCF_Base!$L$19*(1+$C$23/100)/(($A$25-$C$23)/100),DCF_Base!$L$19*DCF_Base!$B$29),DCF_Base!$L$19*DCF_Base!$B$29))/(1+$A$25/100)^DCF_Base!$L$4+Assumptions!$B$5-Assumptions!$B$4)/Assumptions!$B$3*Assumptions!$B$10</f>
        <v>142.707380240465</v>
      </c>
      <c r="D25" s="0" t="n">
        <f aca="false">(SUMPRODUCT(DCF_Base!$C$19:$L$19/(1+$A$25/100)^DCF_Base!$C$4:$L$4)+MAX(0,MIN(IF($A$25&gt;$D$23,DCF_Base!$L$19*(1+$D$23/100)/(($A$25-$D$23)/100),DCF_Base!$L$19*DCF_Base!$B$29),DCF_Base!$L$19*DCF_Base!$B$29))/(1+$A$25/100)^DCF_Base!$L$4+Assumptions!$B$5-Assumptions!$B$4)/Assumptions!$B$3*Assumptions!$B$10</f>
        <v>142.707380240465</v>
      </c>
      <c r="E25" s="0" t="n">
        <f aca="false">(SUMPRODUCT(DCF_Base!$C$19:$L$19/(1+$A$25/100)^DCF_Base!$C$4:$L$4)+MAX(0,MIN(IF($A$25&gt;$E$23,DCF_Base!$L$19*(1+$E$23/100)/(($A$25-$E$23)/100),DCF_Base!$L$19*DCF_Base!$B$29),DCF_Base!$L$19*DCF_Base!$B$29))/(1+$A$25/100)^DCF_Base!$L$4+Assumptions!$B$5-Assumptions!$B$4)/Assumptions!$B$3*Assumptions!$B$10</f>
        <v>142.707380240465</v>
      </c>
      <c r="F25" s="0" t="n">
        <f aca="false">(SUMPRODUCT(DCF_Base!$C$19:$L$19/(1+$A$25/100)^DCF_Base!$C$4:$L$4)+MAX(0,MIN(IF($A$25&gt;$F$23,DCF_Base!$L$19*(1+$F$23/100)/(($A$25-$F$23)/100),DCF_Base!$L$19*DCF_Base!$B$29),DCF_Base!$L$19*DCF_Base!$B$29))/(1+$A$25/100)^DCF_Base!$L$4+Assumptions!$B$5-Assumptions!$B$4)/Assumptions!$B$3*Assumptions!$B$10</f>
        <v>142.707380240465</v>
      </c>
    </row>
    <row r="26" customFormat="false" ht="15" hidden="false" customHeight="false" outlineLevel="0" collapsed="false">
      <c r="A26" s="3" t="n">
        <v>8.5</v>
      </c>
      <c r="B26" s="0" t="n">
        <f aca="false">(SUMPRODUCT(DCF_Base!$C$19:$L$19/(1+$A$26/100)^DCF_Base!$C$4:$L$4)+MAX(0,MIN(IF($A$26&gt;$B$23,DCF_Base!$L$19*(1+$B$23/100)/(($A$26-$B$23)/100),DCF_Base!$L$19*DCF_Base!$B$29),DCF_Base!$L$19*DCF_Base!$B$29))/(1+$A$26/100)^DCF_Base!$L$4+Assumptions!$B$5-Assumptions!$B$4)/Assumptions!$B$3*Assumptions!$B$10</f>
        <v>132.618919430707</v>
      </c>
      <c r="C26" s="0" t="n">
        <f aca="false">(SUMPRODUCT(DCF_Base!$C$19:$L$19/(1+$A$26/100)^DCF_Base!$C$4:$L$4)+MAX(0,MIN(IF($A$26&gt;$C$23,DCF_Base!$L$19*(1+$C$23/100)/(($A$26-$C$23)/100),DCF_Base!$L$19*DCF_Base!$B$29),DCF_Base!$L$19*DCF_Base!$B$29))/(1+$A$26/100)^DCF_Base!$L$4+Assumptions!$B$5-Assumptions!$B$4)/Assumptions!$B$3*Assumptions!$B$10</f>
        <v>132.618919430707</v>
      </c>
      <c r="D26" s="0" t="n">
        <f aca="false">(SUMPRODUCT(DCF_Base!$C$19:$L$19/(1+$A$26/100)^DCF_Base!$C$4:$L$4)+MAX(0,MIN(IF($A$26&gt;$D$23,DCF_Base!$L$19*(1+$D$23/100)/(($A$26-$D$23)/100),DCF_Base!$L$19*DCF_Base!$B$29),DCF_Base!$L$19*DCF_Base!$B$29))/(1+$A$26/100)^DCF_Base!$L$4+Assumptions!$B$5-Assumptions!$B$4)/Assumptions!$B$3*Assumptions!$B$10</f>
        <v>132.618919430707</v>
      </c>
      <c r="E26" s="0" t="n">
        <f aca="false">(SUMPRODUCT(DCF_Base!$C$19:$L$19/(1+$A$26/100)^DCF_Base!$C$4:$L$4)+MAX(0,MIN(IF($A$26&gt;$E$23,DCF_Base!$L$19*(1+$E$23/100)/(($A$26-$E$23)/100),DCF_Base!$L$19*DCF_Base!$B$29),DCF_Base!$L$19*DCF_Base!$B$29))/(1+$A$26/100)^DCF_Base!$L$4+Assumptions!$B$5-Assumptions!$B$4)/Assumptions!$B$3*Assumptions!$B$10</f>
        <v>132.618919430707</v>
      </c>
      <c r="F26" s="0" t="n">
        <f aca="false">(SUMPRODUCT(DCF_Base!$C$19:$L$19/(1+$A$26/100)^DCF_Base!$C$4:$L$4)+MAX(0,MIN(IF($A$26&gt;$F$23,DCF_Base!$L$19*(1+$F$23/100)/(($A$26-$F$23)/100),DCF_Base!$L$19*DCF_Base!$B$29),DCF_Base!$L$19*DCF_Base!$B$29))/(1+$A$26/100)^DCF_Base!$L$4+Assumptions!$B$5-Assumptions!$B$4)/Assumptions!$B$3*Assumptions!$B$10</f>
        <v>132.618919430707</v>
      </c>
    </row>
    <row r="27" customFormat="false" ht="15" hidden="false" customHeight="false" outlineLevel="0" collapsed="false">
      <c r="A27" s="3" t="n">
        <v>9.5</v>
      </c>
      <c r="B27" s="0" t="n">
        <f aca="false">(SUMPRODUCT(DCF_Base!$C$19:$L$19/(1+$A$27/100)^DCF_Base!$C$4:$L$4)+MAX(0,MIN(IF($A$27&gt;$B$23,DCF_Base!$L$19*(1+$B$23/100)/(($A$27-$B$23)/100),DCF_Base!$L$19*DCF_Base!$B$29),DCF_Base!$L$19*DCF_Base!$B$29))/(1+$A$27/100)^DCF_Base!$L$4+Assumptions!$B$5-Assumptions!$B$4)/Assumptions!$B$3*Assumptions!$B$10</f>
        <v>122.803613935366</v>
      </c>
      <c r="C27" s="0" t="n">
        <f aca="false">(SUMPRODUCT(DCF_Base!$C$19:$L$19/(1+$A$27/100)^DCF_Base!$C$4:$L$4)+MAX(0,MIN(IF($A$27&gt;$C$23,DCF_Base!$L$19*(1+$C$23/100)/(($A$27-$C$23)/100),DCF_Base!$L$19*DCF_Base!$B$29),DCF_Base!$L$19*DCF_Base!$B$29))/(1+$A$27/100)^DCF_Base!$L$4+Assumptions!$B$5-Assumptions!$B$4)/Assumptions!$B$3*Assumptions!$B$10</f>
        <v>123.400247279113</v>
      </c>
      <c r="D27" s="0" t="n">
        <f aca="false">(SUMPRODUCT(DCF_Base!$C$19:$L$19/(1+$A$27/100)^DCF_Base!$C$4:$L$4)+MAX(0,MIN(IF($A$27&gt;$D$23,DCF_Base!$L$19*(1+$D$23/100)/(($A$27-$D$23)/100),DCF_Base!$L$19*DCF_Base!$B$29),DCF_Base!$L$19*DCF_Base!$B$29))/(1+$A$27/100)^DCF_Base!$L$4+Assumptions!$B$5-Assumptions!$B$4)/Assumptions!$B$3*Assumptions!$B$10</f>
        <v>123.400247279113</v>
      </c>
      <c r="E27" s="0" t="n">
        <f aca="false">(SUMPRODUCT(DCF_Base!$C$19:$L$19/(1+$A$27/100)^DCF_Base!$C$4:$L$4)+MAX(0,MIN(IF($A$27&gt;$E$23,DCF_Base!$L$19*(1+$E$23/100)/(($A$27-$E$23)/100),DCF_Base!$L$19*DCF_Base!$B$29),DCF_Base!$L$19*DCF_Base!$B$29))/(1+$A$27/100)^DCF_Base!$L$4+Assumptions!$B$5-Assumptions!$B$4)/Assumptions!$B$3*Assumptions!$B$10</f>
        <v>123.400247279113</v>
      </c>
      <c r="F27" s="0" t="n">
        <f aca="false">(SUMPRODUCT(DCF_Base!$C$19:$L$19/(1+$A$27/100)^DCF_Base!$C$4:$L$4)+MAX(0,MIN(IF($A$27&gt;$F$23,DCF_Base!$L$19*(1+$F$23/100)/(($A$27-$F$23)/100),DCF_Base!$L$19*DCF_Base!$B$29),DCF_Base!$L$19*DCF_Base!$B$29))/(1+$A$27/100)^DCF_Base!$L$4+Assumptions!$B$5-Assumptions!$B$4)/Assumptions!$B$3*Assumptions!$B$10</f>
        <v>123.400247279113</v>
      </c>
    </row>
    <row r="28" customFormat="false" ht="15" hidden="false" customHeight="false" outlineLevel="0" collapsed="false">
      <c r="A28" s="3" t="n">
        <v>10.5</v>
      </c>
      <c r="B28" s="0" t="n">
        <f aca="false">(SUMPRODUCT(DCF_Base!$C$19:$L$19/(1+$A$28/100)^DCF_Base!$C$4:$L$4)+MAX(0,MIN(IF($A$28&gt;$B$23,DCF_Base!$L$19*(1+$B$23/100)/(($A$28-$B$23)/100),DCF_Base!$L$19*DCF_Base!$B$29),DCF_Base!$L$19*DCF_Base!$B$29))/(1+$A$28/100)^DCF_Base!$L$4+Assumptions!$B$5-Assumptions!$B$4)/Assumptions!$B$3*Assumptions!$B$10</f>
        <v>108.629160628483</v>
      </c>
      <c r="C28" s="0" t="n">
        <f aca="false">(SUMPRODUCT(DCF_Base!$C$19:$L$19/(1+$A$28/100)^DCF_Base!$C$4:$L$4)+MAX(0,MIN(IF($A$28&gt;$C$23,DCF_Base!$L$19*(1+$C$23/100)/(($A$28-$C$23)/100),DCF_Base!$L$19*DCF_Base!$B$29),DCF_Base!$L$19*DCF_Base!$B$29))/(1+$A$28/100)^DCF_Base!$L$4+Assumptions!$B$5-Assumptions!$B$4)/Assumptions!$B$3*Assumptions!$B$10</f>
        <v>111.621501233162</v>
      </c>
      <c r="D28" s="0" t="n">
        <f aca="false">(SUMPRODUCT(DCF_Base!$C$19:$L$19/(1+$A$28/100)^DCF_Base!$C$4:$L$4)+MAX(0,MIN(IF($A$28&gt;$D$23,DCF_Base!$L$19*(1+$D$23/100)/(($A$28-$D$23)/100),DCF_Base!$L$19*DCF_Base!$B$29),DCF_Base!$L$19*DCF_Base!$B$29))/(1+$A$28/100)^DCF_Base!$L$4+Assumptions!$B$5-Assumptions!$B$4)/Assumptions!$B$3*Assumptions!$B$10</f>
        <v>114.96588190898</v>
      </c>
      <c r="E28" s="0" t="n">
        <f aca="false">(SUMPRODUCT(DCF_Base!$C$19:$L$19/(1+$A$28/100)^DCF_Base!$C$4:$L$4)+MAX(0,MIN(IF($A$28&gt;$E$23,DCF_Base!$L$19*(1+$E$23/100)/(($A$28-$E$23)/100),DCF_Base!$L$19*DCF_Base!$B$29),DCF_Base!$L$19*DCF_Base!$B$29))/(1+$A$28/100)^DCF_Base!$L$4+Assumptions!$B$5-Assumptions!$B$4)/Assumptions!$B$3*Assumptions!$B$10</f>
        <v>114.96588190898</v>
      </c>
      <c r="F28" s="0" t="n">
        <f aca="false">(SUMPRODUCT(DCF_Base!$C$19:$L$19/(1+$A$28/100)^DCF_Base!$C$4:$L$4)+MAX(0,MIN(IF($A$28&gt;$F$23,DCF_Base!$L$19*(1+$F$23/100)/(($A$28-$F$23)/100),DCF_Base!$L$19*DCF_Base!$B$29),DCF_Base!$L$19*DCF_Base!$B$29))/(1+$A$28/100)^DCF_Base!$L$4+Assumptions!$B$5-Assumptions!$B$4)/Assumptions!$B$3*Assumptions!$B$10</f>
        <v>114.96588190898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2026-09-26T00:39:52Z</dcterms:created>
  <dc:creator>openpyxl</dc:creator>
  <dc:description/>
  <dc:language>en-NZ</dc:language>
  <cp:lastModifiedBy/>
  <dcterms:modified xsi:type="dcterms:W3CDTF">2026-09-26T00:39:52Z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