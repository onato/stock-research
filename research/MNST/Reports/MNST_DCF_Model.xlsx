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<sst xmlns="http://schemas.openxmlformats.org/spreadsheetml/2006/main" count="386" uniqueCount="174">
  <si>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</si>
  <si>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MNST</t>
  </si>
  <si>
    <t xml:space="preserve">Company</t>
  </si>
  <si>
    <t xml:space="preserve">Monster Beverage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</si>
  <si>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</si>
  <si>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</si>
  <si>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</si>
  <si>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</si>
  <si>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</si>
  <si>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</si>
  <si>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</si>
  <si>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</si>
  <si>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</si>
  <si>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</si>
  <si>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</si>
  <si>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</si>
  <si>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</si>
  <si>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</si>
  <si>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</si>
  <si>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</si>
  <si>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</si>
  <si>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2026-10-02T01:06:57Z</t>
  </si>
  <si>
    <t xml:space="preserve">Drivers file</t>
  </si>
  <si>
    <t xml:space="preserve">MNST_Drivers.json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</si>
  <si>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</si>
  <si>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</si>
  <si>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</si>
  <si>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(SBC and interest income stripped, share count flat) discounted at a 9% USD cost of equity over a 10-year path in which growth decelerates from 20%+ to 3.5%; terminal value bounded by min(Gordon, 20x FCF). Net cash of $4.2B is added at the end, which is why the interest it earns is removed from the flows. The market price sits well above the house value: at $42 the stock discounts either a far longer runway of high-teens growth or a cost of capital nearer 7%; the required-return table says which.
key_risks_to_valuation: Share basis: every count in the filings and the CSV is pre-split; the model uses 2x. If a later refresh reads a post-split filing (Q3 2026 10-Q onward, ~1.96B basic), do not double again.; Terminal value is the bulk of the base-case value; each 1pp of WACC is worth roughly $4-5/share.; Growth path: the TTM 23% is flattered by the FY2025 Strategic Brands transfer and pricing; the model fades to 14% in year 1 -- if growth holds above 20% for two more years the base case is too low.; Margin: 32% assumes pricing covers the unmitigated 40% of aluminum tariff cost; a commodity spike without pricing is a 200-300bp hit (bear).; Working-capital capture at -6% of the revenue increase is a judgment from two clean years; H1 seasonality makes the half-year reads unreliable.</t>
  </si>
  <si>
    <t xml:space="preserve">Data sources</t>
  </si>
  <si>
    <t xml:space="preserve">price: Yahoo Finance chart API at inputs.price_as_of; 52-week range 32.94-50.17 (split-adjusted); Yahoo split event 2:1 on 2026-08-11
financials: research/MNST/Reports/MNST_Metrics.csv (SEC XBRL, millions USD, FY2007-Q2 2026) plus SEC companyfacts API (CIK 865752) for ShortTermInvestments, LongTermInvestments, OtherNonoperatingIncomeExpense, WeightedAverageNumberOfDilutedSharesOutstanding, IncomeTaxesPaidNet, PaymentsRelatedToTaxWithholdingForShareBasedCompensation, dei:EntityCommonStockSharesOutstanding
qualitative: research/MNST/Reports/MNST_Analysis.json (2026-10-02); Q2 2026 earnings release commentary on tariffs, pricing and the 2026-12-01 investor meeting</t>
  </si>
  <si>
    <t xml:space="preserve">Scenario narrative: bear</t>
  </si>
  <si>
    <t xml:space="preserve">Celsius/Alani keep taking US share, international growth fades after the pricing and Strategic Brands anniversaries, only ~60% of the tariff cost is recovered, and regulatory/litigation pressure on caffeine content adds cost; growth settles at 3% by year 4 with margins 350bp lower; terminal growth 2%, 15x cap.</t>
  </si>
  <si>
    <t xml:space="preserve">Scenario narrative: base</t>
  </si>
  <si>
    <t xml:space="preserve">Monster keeps the #2 global position; international expansion (46% of sales, +35% YoY) sustains double-digit growth for ~3 years before the category matures; adj EBITDA margin holds at ~32% with pricing offsetting tariff-driven aluminum costs; capex 2% of revenue for co-packing capacity; terminal growth 3% at 9% WACC, Gordon-bound below the 20x cap.</t>
  </si>
  <si>
    <t xml:space="preserve">Scenario narrative: bull</t>
  </si>
  <si>
    <t xml:space="preserve">International compounds at 25%+ for longer, pricing power proves durable and aluminum costs normalise, lifting margins back to the 35% of 2018-21; growth stays double-digit for five years; terminal growth 3.5%.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</si>
  <si>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</si>
  <si>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</si>
  <si>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</si>
  <si>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</si>
  <si>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</si>
  <si>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</si>
  <si>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</si>
  <si>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</si>
  <si>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</si>
  <si>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</si>
  <si>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</si>
  <si>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</si>
  <si>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</si>
  <si>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</si>
  <si>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</si>
  <si>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</si>
  <si>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</si>
  <si>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</si>
  <si>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</si>
  <si>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</si>
  <si>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</si>
  <si>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</si>
  <si>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</si>
  <si>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</si>
  <si>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</si>
  <si>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</si>
  <si>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</si>
  <si>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</si>
  <si>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</si>
  <si>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</si>
  <si>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</si>
  <si>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</si>
  <si>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</si>
  <si>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</si>
  <si>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</si>
  <si>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</si>
  <si>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</si>
  <si>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</si>
  <si>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</si>
  <si>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</si>
  <si>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</si>
  <si>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</si>
  <si>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</si>
  <si>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</si>
  <si>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</si>
  <si>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</si>
  <si>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</si>
  <si>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</si>
  <si>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</si>
  <si>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</si>
  <si>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</si>
  <si>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</si>
  <si>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</si>
  <si>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</si>
  <si>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</si>
  <si>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 (Dec FY)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</si>
  <si>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</si>
  <si>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</si>
  <si>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</si>
  <si>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</si>
  <si>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</si>
  <si>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</si>
  <si>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</si>
  <si>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</si>
  <si>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</si>
  <si>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</si>
  <si>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</si>
  <si>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</si>
  <si>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</si>
  <si>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</si>
  <si>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</si>
  <si>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</si>
  <si>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</si>
  <si>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</si>
  <si>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</si>
  <si>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</si>
  <si>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</si>
  <si>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</si>
  <si>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</si>
  <si>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</si>
  <si>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</si>
  <si>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</si>
  <si>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</si>
  <si>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</si>
  <si>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MNST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</si>
  <si>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</si>
  <si>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</si>
  <si>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</si>
  <si>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</si>
  <si>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</si>
  <si>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</si>
  <si>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</si>
  <si>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</si>
  <si>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</si>
  <si>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</si>
  <si>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</si>
  <si>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</si>
  <si>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</si>
  <si>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</si>
  <si>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</si>
  <si>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</si>
  <si>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</si>
  <si>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</si>
  <si>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</si>
  <si>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</si>
  <si>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</si>
  <si>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</si>
  <si>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</si>
  <si>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</si>
  <si>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</si>
  <si>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</si>
  <si>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</si>
  <si>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</si>
  <si>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</si>
  <si>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</si>
  <si>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MNST owner-FCF component DCF: base case (millions, USD)</t>
  </si>
  <si>
    <t xml:space="preserve">MNST owner-FCF component DCF: bull case (millions, USD)</t>
  </si>
  <si>
    <t xml:space="preserve">MNST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</si>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</sst>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42.14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422.167</v>
      </c>
      <c r="S2" s="0" t="n">
        <v>12.44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538.794</v>
      </c>
      <c r="F3" s="0" t="n">
        <v>163.591</v>
      </c>
      <c r="H3" s="0" t="n">
        <v>167.008</v>
      </c>
      <c r="I3" s="0" t="n">
        <v>108.032</v>
      </c>
      <c r="K3" s="0" t="n">
        <v>1.17</v>
      </c>
      <c r="L3" s="0" t="n">
        <v>199.496</v>
      </c>
      <c r="M3" s="0" t="n">
        <v>6.718</v>
      </c>
      <c r="N3" s="0" t="n">
        <v>192.778</v>
      </c>
      <c r="O3" s="0" t="n">
        <v>436.316</v>
      </c>
      <c r="S3" s="0" t="n">
        <v>256.801</v>
      </c>
      <c r="T3" s="0" t="n">
        <v>97.53</v>
      </c>
      <c r="U3" s="0" t="n">
        <v>13.899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612.316</v>
      </c>
      <c r="F4" s="0" t="n">
        <v>337.309</v>
      </c>
      <c r="H4" s="0" t="n">
        <v>343.148</v>
      </c>
      <c r="I4" s="0" t="n">
        <v>208.716</v>
      </c>
      <c r="K4" s="0" t="n">
        <v>2.32</v>
      </c>
      <c r="L4" s="0" t="n">
        <v>156.192</v>
      </c>
      <c r="M4" s="0" t="n">
        <v>23.554</v>
      </c>
      <c r="N4" s="0" t="n">
        <v>132.638</v>
      </c>
      <c r="O4" s="0" t="n">
        <v>584.953</v>
      </c>
      <c r="P4" s="0" t="n">
        <v>800.07</v>
      </c>
      <c r="S4" s="0" t="n">
        <v>328.349</v>
      </c>
      <c r="T4" s="0" t="n">
        <v>189.286</v>
      </c>
      <c r="U4" s="0" t="n">
        <v>14.04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680.24</v>
      </c>
      <c r="F5" s="0" t="n">
        <v>347.814</v>
      </c>
      <c r="H5" s="0" t="n">
        <v>359.542</v>
      </c>
      <c r="I5" s="0" t="n">
        <v>212.029</v>
      </c>
      <c r="K5" s="0" t="n">
        <v>2.4</v>
      </c>
      <c r="L5" s="0" t="n">
        <v>229.044</v>
      </c>
      <c r="M5" s="0" t="n">
        <v>12.545</v>
      </c>
      <c r="N5" s="0" t="n">
        <v>216.499</v>
      </c>
      <c r="O5" s="0" t="n">
        <v>828.398</v>
      </c>
      <c r="P5" s="0" t="n">
        <v>1146.95</v>
      </c>
      <c r="S5" s="0" t="n">
        <v>354.842</v>
      </c>
      <c r="T5" s="0" t="n">
        <v>186.042</v>
      </c>
      <c r="U5" s="0" t="n">
        <v>16.9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894.309</v>
      </c>
      <c r="F6" s="0" t="n">
        <v>456.423</v>
      </c>
      <c r="H6" s="0" t="n">
        <v>473.455</v>
      </c>
      <c r="M6" s="0" t="n">
        <v>25.552</v>
      </c>
      <c r="O6" s="0" t="n">
        <v>979.158</v>
      </c>
      <c r="P6" s="0" t="n">
        <v>1362.399</v>
      </c>
      <c r="S6" s="0" t="n">
        <v>359.331</v>
      </c>
      <c r="T6" s="0" t="n">
        <v>186.674</v>
      </c>
      <c r="U6" s="0" t="n">
        <v>19.424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1065.656</v>
      </c>
      <c r="F7" s="0" t="n">
        <v>550.623</v>
      </c>
      <c r="H7" s="0" t="n">
        <v>571.185</v>
      </c>
      <c r="M7" s="0" t="n">
        <v>42.935</v>
      </c>
      <c r="O7" s="0" t="n">
        <v>644.397</v>
      </c>
      <c r="P7" s="0" t="n">
        <v>1043.325</v>
      </c>
      <c r="S7" s="0" t="n">
        <v>222.514</v>
      </c>
      <c r="T7" s="0" t="n">
        <v>183.083</v>
      </c>
      <c r="U7" s="0" t="n">
        <v>28.413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1172.931</v>
      </c>
      <c r="F8" s="0" t="n">
        <v>572.916</v>
      </c>
      <c r="H8" s="0" t="n">
        <v>595.678</v>
      </c>
      <c r="M8" s="0" t="n">
        <v>40.762</v>
      </c>
      <c r="O8" s="0" t="n">
        <v>992.279</v>
      </c>
      <c r="P8" s="0" t="n">
        <v>1420.509</v>
      </c>
      <c r="S8" s="0" t="n">
        <v>211.349</v>
      </c>
      <c r="T8" s="0" t="n">
        <v>173.387</v>
      </c>
      <c r="U8" s="0" t="n">
        <v>28.8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1339.81</v>
      </c>
      <c r="F9" s="0" t="n">
        <v>747.505</v>
      </c>
      <c r="H9" s="0" t="n">
        <v>773.156</v>
      </c>
      <c r="M9" s="0" t="n">
        <v>27.952</v>
      </c>
      <c r="O9" s="0" t="n">
        <v>1515.15</v>
      </c>
      <c r="P9" s="0" t="n">
        <v>1938.875</v>
      </c>
      <c r="S9" s="0" t="n">
        <v>370.323</v>
      </c>
      <c r="T9" s="0" t="n">
        <v>522.855</v>
      </c>
      <c r="U9" s="0" t="n">
        <v>28.6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1632.301</v>
      </c>
      <c r="F10" s="0" t="n">
        <v>893.653</v>
      </c>
      <c r="H10" s="0" t="n">
        <v>924.513</v>
      </c>
      <c r="I10" s="0" t="n">
        <v>546.733</v>
      </c>
      <c r="L10" s="0" t="n">
        <v>522.723</v>
      </c>
      <c r="M10" s="0" t="n">
        <v>35.605</v>
      </c>
      <c r="N10" s="0" t="n">
        <v>487.118</v>
      </c>
      <c r="O10" s="0" t="n">
        <v>4809.41</v>
      </c>
      <c r="P10" s="0" t="n">
        <v>5571.277</v>
      </c>
      <c r="S10" s="0" t="n">
        <v>2175.417</v>
      </c>
      <c r="T10" s="0" t="n">
        <v>608.7</v>
      </c>
      <c r="U10" s="0" t="n">
        <v>32.719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3049.393</v>
      </c>
      <c r="D11" s="0" t="n">
        <v>1942</v>
      </c>
      <c r="E11" s="0" t="n">
        <v>63.6848054678423</v>
      </c>
      <c r="F11" s="0" t="n">
        <v>1085.338</v>
      </c>
      <c r="G11" s="0" t="n">
        <v>35.5919358377225</v>
      </c>
      <c r="H11" s="0" t="n">
        <v>1126.183</v>
      </c>
      <c r="I11" s="0" t="n">
        <v>712.685</v>
      </c>
      <c r="J11" s="0" t="n">
        <v>23.3713725977596</v>
      </c>
      <c r="L11" s="0" t="n">
        <v>701.355</v>
      </c>
      <c r="M11" s="0" t="n">
        <v>99.819</v>
      </c>
      <c r="N11" s="0" t="n">
        <v>601.536</v>
      </c>
      <c r="O11" s="0" t="n">
        <v>3329.709</v>
      </c>
      <c r="P11" s="0" t="n">
        <v>4153.471</v>
      </c>
      <c r="S11" s="0" t="n">
        <v>377.582</v>
      </c>
      <c r="T11" s="0" t="n">
        <v>599.819</v>
      </c>
      <c r="U11" s="0" t="n">
        <v>45.848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3369.045</v>
      </c>
      <c r="C12" s="0" t="n">
        <v>1231.355</v>
      </c>
      <c r="D12" s="0" t="n">
        <v>2137.69</v>
      </c>
      <c r="E12" s="0" t="n">
        <v>63.450918583753</v>
      </c>
      <c r="F12" s="0" t="n">
        <v>1198.787</v>
      </c>
      <c r="G12" s="0" t="n">
        <v>35.5823979792493</v>
      </c>
      <c r="H12" s="0" t="n">
        <v>1247.674</v>
      </c>
      <c r="I12" s="0" t="n">
        <v>820.678</v>
      </c>
      <c r="J12" s="0" t="n">
        <v>24.359365933076</v>
      </c>
      <c r="L12" s="0" t="n">
        <v>987.731</v>
      </c>
      <c r="M12" s="0" t="n">
        <v>83.435</v>
      </c>
      <c r="N12" s="0" t="n">
        <v>904.296</v>
      </c>
      <c r="O12" s="0" t="n">
        <v>3895.212</v>
      </c>
      <c r="P12" s="0" t="n">
        <v>4791.012</v>
      </c>
      <c r="S12" s="0" t="n">
        <v>528.622</v>
      </c>
      <c r="T12" s="0" t="n">
        <v>577.141</v>
      </c>
      <c r="U12" s="0" t="n">
        <v>52.3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3807.183</v>
      </c>
      <c r="C13" s="0" t="n">
        <v>1511.808</v>
      </c>
      <c r="D13" s="0" t="n">
        <v>2295.375</v>
      </c>
      <c r="E13" s="0" t="n">
        <v>60.2906400874347</v>
      </c>
      <c r="F13" s="0" t="n">
        <v>1283.619</v>
      </c>
      <c r="G13" s="0" t="n">
        <v>33.7157157930155</v>
      </c>
      <c r="H13" s="0" t="n">
        <v>1340.598</v>
      </c>
      <c r="I13" s="0" t="n">
        <v>993.004</v>
      </c>
      <c r="J13" s="0" t="n">
        <v>26.0823816454318</v>
      </c>
      <c r="L13" s="0" t="n">
        <v>1161.881</v>
      </c>
      <c r="M13" s="0" t="n">
        <v>61.941</v>
      </c>
      <c r="N13" s="0" t="n">
        <v>1099.94</v>
      </c>
      <c r="O13" s="0" t="n">
        <v>3610.901</v>
      </c>
      <c r="P13" s="0" t="n">
        <v>4526.891</v>
      </c>
      <c r="S13" s="0" t="n">
        <v>637.513</v>
      </c>
      <c r="T13" s="0" t="n">
        <v>564.254</v>
      </c>
      <c r="U13" s="0" t="n">
        <v>57.111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4200.819</v>
      </c>
      <c r="C14" s="0" t="n">
        <v>1682.234</v>
      </c>
      <c r="D14" s="0" t="n">
        <v>2518.585</v>
      </c>
      <c r="E14" s="0" t="n">
        <v>59.9546183732267</v>
      </c>
      <c r="F14" s="0" t="n">
        <v>1402.939</v>
      </c>
      <c r="G14" s="0" t="n">
        <v>33.3967971483656</v>
      </c>
      <c r="H14" s="0" t="n">
        <v>1463.666</v>
      </c>
      <c r="I14" s="0" t="n">
        <v>1107.835</v>
      </c>
      <c r="J14" s="0" t="n">
        <v>26.3718812926717</v>
      </c>
      <c r="L14" s="0" t="n">
        <v>1113.762</v>
      </c>
      <c r="M14" s="0" t="n">
        <v>101.661</v>
      </c>
      <c r="N14" s="0" t="n">
        <v>1012.101</v>
      </c>
      <c r="O14" s="0" t="n">
        <v>4171.281</v>
      </c>
      <c r="P14" s="0" t="n">
        <v>5150.352</v>
      </c>
      <c r="S14" s="0" t="n">
        <v>797.957</v>
      </c>
      <c r="T14" s="0" t="n">
        <v>546.608</v>
      </c>
      <c r="U14" s="0" t="n">
        <v>63.4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4598.638</v>
      </c>
      <c r="C15" s="0" t="n">
        <v>1874.758</v>
      </c>
      <c r="D15" s="0" t="n">
        <v>2723.88</v>
      </c>
      <c r="E15" s="0" t="n">
        <v>59.232320526208</v>
      </c>
      <c r="F15" s="0" t="n">
        <v>1633.153</v>
      </c>
      <c r="G15" s="0" t="n">
        <v>35.5138412721332</v>
      </c>
      <c r="H15" s="0" t="n">
        <v>1690.183</v>
      </c>
      <c r="I15" s="0" t="n">
        <v>1409.594</v>
      </c>
      <c r="J15" s="0" t="n">
        <v>30.6524236089033</v>
      </c>
      <c r="L15" s="0" t="n">
        <v>1364.163</v>
      </c>
      <c r="M15" s="0" t="n">
        <v>48.722</v>
      </c>
      <c r="N15" s="0" t="n">
        <v>1315.441</v>
      </c>
      <c r="O15" s="0" t="n">
        <v>5160.86</v>
      </c>
      <c r="P15" s="0" t="n">
        <v>6202.716</v>
      </c>
      <c r="S15" s="0" t="n">
        <v>1180.413</v>
      </c>
      <c r="T15" s="0" t="n">
        <v>534.807</v>
      </c>
      <c r="U15" s="0" t="n">
        <v>70.3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5541.352</v>
      </c>
      <c r="C16" s="0" t="n">
        <v>2432.839</v>
      </c>
      <c r="D16" s="0" t="n">
        <v>3108.513</v>
      </c>
      <c r="E16" s="0" t="n">
        <v>56.0966529467899</v>
      </c>
      <c r="F16" s="0" t="n">
        <v>1797.467</v>
      </c>
      <c r="G16" s="0" t="n">
        <v>32.4373365922251</v>
      </c>
      <c r="H16" s="0" t="n">
        <v>1847.622</v>
      </c>
      <c r="I16" s="0" t="n">
        <v>1377.475</v>
      </c>
      <c r="J16" s="0" t="n">
        <v>24.858103221019</v>
      </c>
      <c r="L16" s="0" t="n">
        <v>1155.741</v>
      </c>
      <c r="M16" s="0" t="n">
        <v>43.868</v>
      </c>
      <c r="N16" s="0" t="n">
        <v>1111.873</v>
      </c>
      <c r="O16" s="0" t="n">
        <v>6566.951</v>
      </c>
      <c r="P16" s="0" t="n">
        <v>7804.784</v>
      </c>
      <c r="S16" s="0" t="n">
        <v>1326.462</v>
      </c>
      <c r="T16" s="0" t="n">
        <v>1071.278</v>
      </c>
      <c r="U16" s="0" t="n">
        <v>70.5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6311.05</v>
      </c>
      <c r="C17" s="0" t="n">
        <v>3136.483</v>
      </c>
      <c r="D17" s="0" t="n">
        <v>3174.567</v>
      </c>
      <c r="E17" s="0" t="n">
        <v>50.3017247526164</v>
      </c>
      <c r="F17" s="0" t="n">
        <v>1584.721</v>
      </c>
      <c r="G17" s="0" t="n">
        <v>25.1102589901839</v>
      </c>
      <c r="H17" s="0" t="n">
        <v>1645.962</v>
      </c>
      <c r="I17" s="0" t="n">
        <v>1191.624</v>
      </c>
      <c r="J17" s="0" t="n">
        <v>18.8815490290839</v>
      </c>
      <c r="L17" s="0" t="n">
        <v>887.699</v>
      </c>
      <c r="M17" s="0" t="n">
        <v>188.726</v>
      </c>
      <c r="N17" s="0" t="n">
        <v>698.973</v>
      </c>
      <c r="O17" s="0" t="n">
        <v>7025.041</v>
      </c>
      <c r="P17" s="0" t="n">
        <v>8293.105</v>
      </c>
      <c r="S17" s="0" t="n">
        <v>1307.141</v>
      </c>
      <c r="T17" s="0" t="n">
        <v>1066.442</v>
      </c>
      <c r="U17" s="0" t="n">
        <v>64.109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7140.027</v>
      </c>
      <c r="C18" s="0" t="n">
        <v>3345.821</v>
      </c>
      <c r="D18" s="0" t="n">
        <v>3794.206</v>
      </c>
      <c r="E18" s="0" t="n">
        <v>53.1399391066729</v>
      </c>
      <c r="F18" s="0" t="n">
        <v>1953.355</v>
      </c>
      <c r="G18" s="0" t="n">
        <v>27.3578097113638</v>
      </c>
      <c r="H18" s="0" t="n">
        <v>2022.253</v>
      </c>
      <c r="I18" s="0" t="n">
        <v>1630.988</v>
      </c>
      <c r="J18" s="0" t="n">
        <v>22.8428828070258</v>
      </c>
      <c r="L18" s="0" t="n">
        <v>1717.753</v>
      </c>
      <c r="M18" s="0" t="n">
        <v>221.428</v>
      </c>
      <c r="N18" s="0" t="n">
        <v>1496.325</v>
      </c>
      <c r="O18" s="0" t="n">
        <v>8228.744</v>
      </c>
      <c r="P18" s="0" t="n">
        <v>9686.522</v>
      </c>
      <c r="R18" s="0" t="n">
        <v>0</v>
      </c>
      <c r="S18" s="0" t="n">
        <v>2297.675</v>
      </c>
      <c r="T18" s="0" t="n">
        <v>1057.981</v>
      </c>
      <c r="U18" s="0" t="n">
        <v>68.836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7492.709</v>
      </c>
      <c r="C19" s="0" t="n">
        <v>3443.831</v>
      </c>
      <c r="D19" s="0" t="n">
        <v>4048.878</v>
      </c>
      <c r="E19" s="0" t="n">
        <v>54.037571724726</v>
      </c>
      <c r="F19" s="0" t="n">
        <v>1930.294</v>
      </c>
      <c r="G19" s="0" t="n">
        <v>25.7622977216919</v>
      </c>
      <c r="H19" s="0" t="n">
        <v>2010.728</v>
      </c>
      <c r="I19" s="0" t="n">
        <v>1509.048</v>
      </c>
      <c r="J19" s="0" t="n">
        <v>20.1402189782094</v>
      </c>
      <c r="L19" s="0" t="n">
        <v>1928.533</v>
      </c>
      <c r="M19" s="0" t="n">
        <v>264.074</v>
      </c>
      <c r="N19" s="0" t="n">
        <v>1664.459</v>
      </c>
      <c r="O19" s="0" t="n">
        <v>5957.718</v>
      </c>
      <c r="P19" s="0" t="n">
        <v>7719.089</v>
      </c>
      <c r="R19" s="0" t="n">
        <v>373.951</v>
      </c>
      <c r="S19" s="0" t="n">
        <v>1533.287</v>
      </c>
      <c r="T19" s="0" t="n">
        <v>1013.107</v>
      </c>
      <c r="U19" s="0" t="n">
        <v>91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8294.343</v>
      </c>
      <c r="C20" s="0" t="n">
        <v>3662.148</v>
      </c>
      <c r="D20" s="0" t="n">
        <v>4632.195</v>
      </c>
      <c r="E20" s="0" t="n">
        <v>55.8476421821475</v>
      </c>
      <c r="F20" s="0" t="n">
        <v>2419.354</v>
      </c>
      <c r="G20" s="0" t="n">
        <v>29.1687237916252</v>
      </c>
      <c r="H20" s="0" t="n">
        <v>2533.795</v>
      </c>
      <c r="I20" s="0" t="n">
        <v>1905.432</v>
      </c>
      <c r="J20" s="0" t="n">
        <v>22.9726694447047</v>
      </c>
      <c r="L20" s="0" t="n">
        <v>2098.177</v>
      </c>
      <c r="M20" s="0" t="n">
        <v>132.275</v>
      </c>
      <c r="N20" s="0" t="n">
        <v>1965.902</v>
      </c>
      <c r="O20" s="0" t="n">
        <v>8254.108</v>
      </c>
      <c r="P20" s="0" t="n">
        <v>9988.945</v>
      </c>
      <c r="S20" s="0" t="n">
        <v>2088.117</v>
      </c>
      <c r="T20" s="0" t="n">
        <v>984.451</v>
      </c>
      <c r="U20" s="0" t="n">
        <v>125.687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42.14</v>
      </c>
    </row>
    <row r="3" customFormat="false" ht="15" hidden="false" customHeight="false" outlineLevel="0" collapsed="false">
      <c r="A3" s="0" t="s">
        <v>85</v>
      </c>
      <c r="B3" s="3" t="n">
        <v>1978.6</v>
      </c>
    </row>
    <row r="4" customFormat="false" ht="15" hidden="false" customHeight="false" outlineLevel="0" collapsed="false">
      <c r="A4" s="0" t="s">
        <v>86</v>
      </c>
      <c r="B4" s="3" t="n">
        <v>-4200.5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9218.96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9</v>
      </c>
      <c r="D13" s="3" t="n">
        <v>6</v>
      </c>
      <c r="E13" s="3" t="n">
        <v>4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31</v>
      </c>
      <c r="D14" s="3" t="n">
        <v>30</v>
      </c>
      <c r="E14" s="3" t="n">
        <v>29</v>
      </c>
      <c r="F14" s="3" t="n">
        <v>28.5</v>
      </c>
      <c r="G14" s="3" t="n">
        <v>28.5</v>
      </c>
      <c r="H14" s="3" t="n">
        <v>28.5</v>
      </c>
      <c r="I14" s="3" t="n">
        <v>28.5</v>
      </c>
      <c r="J14" s="3" t="n">
        <v>28.5</v>
      </c>
      <c r="K14" s="3" t="n">
        <v>28.5</v>
      </c>
      <c r="L14" s="3" t="n">
        <v>28.5</v>
      </c>
    </row>
    <row r="15" customFormat="false" ht="15" hidden="false" customHeight="false" outlineLevel="0" collapsed="false">
      <c r="A15" s="0" t="s">
        <v>108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1.35</v>
      </c>
      <c r="D17" s="3" t="n">
        <v>1.4</v>
      </c>
      <c r="E17" s="3" t="n">
        <v>1.45</v>
      </c>
      <c r="F17" s="3" t="n">
        <v>1.5</v>
      </c>
      <c r="G17" s="3" t="n">
        <v>1.55</v>
      </c>
      <c r="H17" s="3" t="n">
        <v>1.6</v>
      </c>
      <c r="I17" s="3" t="n">
        <v>1.6</v>
      </c>
      <c r="J17" s="3" t="n">
        <v>1.65</v>
      </c>
      <c r="K17" s="3" t="n">
        <v>1.7</v>
      </c>
      <c r="L17" s="3" t="n">
        <v>1.7</v>
      </c>
    </row>
    <row r="18" customFormat="false" ht="15" hidden="false" customHeight="false" outlineLevel="0" collapsed="false">
      <c r="A18" s="0" t="s">
        <v>111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112</v>
      </c>
      <c r="C19" s="3" t="n">
        <v>22.5</v>
      </c>
      <c r="D19" s="3" t="n">
        <v>22.5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-6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14</v>
      </c>
      <c r="D27" s="3" t="n">
        <v>11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32</v>
      </c>
      <c r="D28" s="3" t="n">
        <v>32.2</v>
      </c>
      <c r="E28" s="3" t="n">
        <v>32.4</v>
      </c>
      <c r="F28" s="3" t="n">
        <v>32.5</v>
      </c>
      <c r="G28" s="3" t="n">
        <v>32.6</v>
      </c>
      <c r="H28" s="3" t="n">
        <v>32.7</v>
      </c>
      <c r="I28" s="3" t="n">
        <v>32.8</v>
      </c>
      <c r="J28" s="3" t="n">
        <v>32.9</v>
      </c>
      <c r="K28" s="3" t="n">
        <v>33</v>
      </c>
      <c r="L28" s="3" t="n">
        <v>33</v>
      </c>
    </row>
    <row r="29" customFormat="false" ht="15" hidden="false" customHeight="false" outlineLevel="0" collapsed="false">
      <c r="A29" s="0" t="s">
        <v>108</v>
      </c>
      <c r="C29" s="3" t="n">
        <v>1.5</v>
      </c>
      <c r="D29" s="3" t="n">
        <v>1.5</v>
      </c>
      <c r="E29" s="3" t="n">
        <v>1.5</v>
      </c>
      <c r="F29" s="3" t="n">
        <v>1.45</v>
      </c>
      <c r="G29" s="3" t="n">
        <v>1.45</v>
      </c>
      <c r="H29" s="3" t="n">
        <v>1.4</v>
      </c>
      <c r="I29" s="3" t="n">
        <v>1.4</v>
      </c>
      <c r="J29" s="3" t="n">
        <v>1.35</v>
      </c>
      <c r="K29" s="3" t="n">
        <v>1.3</v>
      </c>
      <c r="L29" s="3" t="n">
        <v>1.3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1.35</v>
      </c>
      <c r="D31" s="3" t="n">
        <v>1.4</v>
      </c>
      <c r="E31" s="3" t="n">
        <v>1.45</v>
      </c>
      <c r="F31" s="3" t="n">
        <v>1.5</v>
      </c>
      <c r="G31" s="3" t="n">
        <v>1.55</v>
      </c>
      <c r="H31" s="3" t="n">
        <v>1.6</v>
      </c>
      <c r="I31" s="3" t="n">
        <v>1.6</v>
      </c>
      <c r="J31" s="3" t="n">
        <v>1.65</v>
      </c>
      <c r="K31" s="3" t="n">
        <v>1.7</v>
      </c>
      <c r="L31" s="3" t="n">
        <v>1.7</v>
      </c>
    </row>
    <row r="32" customFormat="false" ht="15" hidden="false" customHeight="false" outlineLevel="0" collapsed="false">
      <c r="A32" s="0" t="s">
        <v>111</v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112</v>
      </c>
      <c r="C33" s="3" t="n">
        <v>22.5</v>
      </c>
      <c r="D33" s="3" t="n">
        <v>22.5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-6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18</v>
      </c>
      <c r="D41" s="3" t="n">
        <v>15</v>
      </c>
      <c r="E41" s="3" t="n">
        <v>13</v>
      </c>
      <c r="F41" s="3" t="n">
        <v>11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32.5</v>
      </c>
      <c r="D42" s="3" t="n">
        <v>33</v>
      </c>
      <c r="E42" s="3" t="n">
        <v>33.5</v>
      </c>
      <c r="F42" s="3" t="n">
        <v>34</v>
      </c>
      <c r="G42" s="3" t="n">
        <v>34.5</v>
      </c>
      <c r="H42" s="3" t="n">
        <v>35</v>
      </c>
      <c r="I42" s="3" t="n">
        <v>35</v>
      </c>
      <c r="J42" s="3" t="n">
        <v>35</v>
      </c>
      <c r="K42" s="3" t="n">
        <v>35</v>
      </c>
      <c r="L42" s="3" t="n">
        <v>35</v>
      </c>
    </row>
    <row r="43" customFormat="false" ht="15" hidden="false" customHeight="false" outlineLevel="0" collapsed="false">
      <c r="A43" s="0" t="s">
        <v>108</v>
      </c>
      <c r="C43" s="3" t="n">
        <v>1.5</v>
      </c>
      <c r="D43" s="3" t="n">
        <v>1.5</v>
      </c>
      <c r="E43" s="3" t="n">
        <v>1.5</v>
      </c>
      <c r="F43" s="3" t="n">
        <v>1.45</v>
      </c>
      <c r="G43" s="3" t="n">
        <v>1.45</v>
      </c>
      <c r="H43" s="3" t="n">
        <v>1.4</v>
      </c>
      <c r="I43" s="3" t="n">
        <v>1.4</v>
      </c>
      <c r="J43" s="3" t="n">
        <v>1.35</v>
      </c>
      <c r="K43" s="3" t="n">
        <v>1.3</v>
      </c>
      <c r="L43" s="3" t="n">
        <v>1.3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1.35</v>
      </c>
      <c r="D45" s="3" t="n">
        <v>1.4</v>
      </c>
      <c r="E45" s="3" t="n">
        <v>1.45</v>
      </c>
      <c r="F45" s="3" t="n">
        <v>1.5</v>
      </c>
      <c r="G45" s="3" t="n">
        <v>1.55</v>
      </c>
      <c r="H45" s="3" t="n">
        <v>1.6</v>
      </c>
      <c r="I45" s="3" t="n">
        <v>1.6</v>
      </c>
      <c r="J45" s="3" t="n">
        <v>1.65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111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112</v>
      </c>
      <c r="C47" s="3" t="n">
        <v>22.5</v>
      </c>
      <c r="D47" s="3" t="n">
        <v>22.5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-6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9</v>
      </c>
      <c r="D5" s="4" t="n">
        <f aca="false">Assumptions!D13</f>
        <v>6</v>
      </c>
      <c r="E5" s="4" t="n">
        <f aca="false">Assumptions!E13</f>
        <v>4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9218.96</v>
      </c>
      <c r="C6" s="0" t="n">
        <f aca="false">B6*(1+C5/100)</f>
        <v>10048.6664</v>
      </c>
      <c r="D6" s="0" t="n">
        <f aca="false">C6*(1+D5/100)</f>
        <v>10651.586384</v>
      </c>
      <c r="E6" s="0" t="n">
        <f aca="false">D6*(1+E5/100)</f>
        <v>11077.64983936</v>
      </c>
      <c r="F6" s="0" t="n">
        <f aca="false">E6*(1+F5/100)</f>
        <v>11409.9793345408</v>
      </c>
      <c r="G6" s="0" t="n">
        <f aca="false">F6*(1+G5/100)</f>
        <v>11752.278714577</v>
      </c>
      <c r="H6" s="0" t="n">
        <f aca="false">G6*(1+H5/100)</f>
        <v>12104.8470760143</v>
      </c>
      <c r="I6" s="0" t="n">
        <f aca="false">H6*(1+I5/100)</f>
        <v>12467.9924882948</v>
      </c>
      <c r="J6" s="0" t="n">
        <f aca="false">I6*(1+J5/100)</f>
        <v>12842.0322629436</v>
      </c>
      <c r="K6" s="0" t="n">
        <f aca="false">J6*(1+K5/100)</f>
        <v>13227.2932308319</v>
      </c>
      <c r="L6" s="0" t="n">
        <f aca="false">K6*(1+L5/100)</f>
        <v>13624.1120277569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31</v>
      </c>
      <c r="D7" s="4" t="n">
        <f aca="false">Assumptions!D14</f>
        <v>30</v>
      </c>
      <c r="E7" s="4" t="n">
        <f aca="false">Assumptions!E14</f>
        <v>29</v>
      </c>
      <c r="F7" s="4" t="n">
        <f aca="false">Assumptions!F14</f>
        <v>28.5</v>
      </c>
      <c r="G7" s="4" t="n">
        <f aca="false">Assumptions!G14</f>
        <v>28.5</v>
      </c>
      <c r="H7" s="4" t="n">
        <f aca="false">Assumptions!H14</f>
        <v>28.5</v>
      </c>
      <c r="I7" s="4" t="n">
        <f aca="false">Assumptions!I14</f>
        <v>28.5</v>
      </c>
      <c r="J7" s="4" t="n">
        <f aca="false">Assumptions!J14</f>
        <v>28.5</v>
      </c>
      <c r="K7" s="4" t="n">
        <f aca="false">Assumptions!K14</f>
        <v>28.5</v>
      </c>
      <c r="L7" s="4" t="n">
        <f aca="false">Assumptions!L14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3115.086584</v>
      </c>
      <c r="D8" s="0" t="n">
        <f aca="false">D6*D7/100</f>
        <v>3195.4759152</v>
      </c>
      <c r="E8" s="0" t="n">
        <f aca="false">E6*E7/100</f>
        <v>3212.5184534144</v>
      </c>
      <c r="F8" s="0" t="n">
        <f aca="false">F6*F7/100</f>
        <v>3251.84411034413</v>
      </c>
      <c r="G8" s="0" t="n">
        <f aca="false">G6*G7/100</f>
        <v>3349.39943365445</v>
      </c>
      <c r="H8" s="0" t="n">
        <f aca="false">H6*H7/100</f>
        <v>3449.88141666409</v>
      </c>
      <c r="I8" s="0" t="n">
        <f aca="false">I6*I7/100</f>
        <v>3553.37785916401</v>
      </c>
      <c r="J8" s="0" t="n">
        <f aca="false">J6*J7/100</f>
        <v>3659.97919493893</v>
      </c>
      <c r="K8" s="0" t="n">
        <f aca="false">K6*K7/100</f>
        <v>3769.7785707871</v>
      </c>
      <c r="L8" s="0" t="n">
        <f aca="false">L6*L7/100</f>
        <v>3882.87192791071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-150.729996</v>
      </c>
      <c r="D10" s="0" t="n">
        <f aca="false">-D6*D9/100</f>
        <v>-159.77379576</v>
      </c>
      <c r="E10" s="0" t="n">
        <f aca="false">-E6*E9/100</f>
        <v>-166.1647475904</v>
      </c>
      <c r="F10" s="0" t="n">
        <f aca="false">-F6*F9/100</f>
        <v>-171.149690018112</v>
      </c>
      <c r="G10" s="0" t="n">
        <f aca="false">-G6*G9/100</f>
        <v>-176.284180718655</v>
      </c>
      <c r="H10" s="0" t="n">
        <f aca="false">-H6*H9/100</f>
        <v>-181.572706140215</v>
      </c>
      <c r="I10" s="0" t="n">
        <f aca="false">-I6*I9/100</f>
        <v>-187.019887324422</v>
      </c>
      <c r="J10" s="0" t="n">
        <f aca="false">-J6*J9/100</f>
        <v>-192.630483944154</v>
      </c>
      <c r="K10" s="0" t="n">
        <f aca="false">-K6*K9/100</f>
        <v>-198.409398462479</v>
      </c>
      <c r="L10" s="0" t="n">
        <f aca="false">-L6*L9/100</f>
        <v>-204.361680416353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2964.356588</v>
      </c>
      <c r="D11" s="0" t="n">
        <f aca="false">D8+D10+D24</f>
        <v>3035.70211944</v>
      </c>
      <c r="E11" s="0" t="n">
        <f aca="false">E8+E10+E24</f>
        <v>3046.353705824</v>
      </c>
      <c r="F11" s="0" t="n">
        <f aca="false">F8+F10+F24</f>
        <v>3080.69442032602</v>
      </c>
      <c r="G11" s="0" t="n">
        <f aca="false">G8+G10+G24</f>
        <v>3173.1152529358</v>
      </c>
      <c r="H11" s="0" t="n">
        <f aca="false">H8+H10+H24</f>
        <v>3268.30871052387</v>
      </c>
      <c r="I11" s="0" t="n">
        <f aca="false">I8+I10+I24</f>
        <v>3366.35797183959</v>
      </c>
      <c r="J11" s="0" t="n">
        <f aca="false">J8+J10+J24</f>
        <v>3467.34871099477</v>
      </c>
      <c r="K11" s="0" t="n">
        <f aca="false">K8+K10+K24</f>
        <v>3571.36917232462</v>
      </c>
      <c r="L11" s="0" t="n">
        <f aca="false">L8+L10+L24</f>
        <v>3678.51024749436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-135.6569964</v>
      </c>
      <c r="D12" s="4" t="n">
        <f aca="false">-D6*Assumptions!D17/100</f>
        <v>-149.122209376</v>
      </c>
      <c r="E12" s="4" t="n">
        <f aca="false">-E6*Assumptions!E17/100</f>
        <v>-160.62592267072</v>
      </c>
      <c r="F12" s="4" t="n">
        <f aca="false">-F6*Assumptions!F17/100</f>
        <v>-171.149690018112</v>
      </c>
      <c r="G12" s="4" t="n">
        <f aca="false">-G6*Assumptions!G17/100</f>
        <v>-182.160320075944</v>
      </c>
      <c r="H12" s="4" t="n">
        <f aca="false">-H6*Assumptions!H17/100</f>
        <v>-193.677553216229</v>
      </c>
      <c r="I12" s="4" t="n">
        <f aca="false">-I6*Assumptions!I17/100</f>
        <v>-199.487879812716</v>
      </c>
      <c r="J12" s="4" t="n">
        <f aca="false">-J6*Assumptions!J17/100</f>
        <v>-211.89353233857</v>
      </c>
      <c r="K12" s="4" t="n">
        <f aca="false">-K6*Assumptions!K17/100</f>
        <v>-224.863984924143</v>
      </c>
      <c r="L12" s="4" t="n">
        <f aca="false">-L6*Assumptions!L17/100</f>
        <v>-231.609904471867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2828.6995916</v>
      </c>
      <c r="D13" s="0" t="n">
        <f aca="false">D11+D12</f>
        <v>2886.579910064</v>
      </c>
      <c r="E13" s="0" t="n">
        <f aca="false">E11+E12</f>
        <v>2885.72778315328</v>
      </c>
      <c r="F13" s="0" t="n">
        <f aca="false">F11+F12</f>
        <v>2909.54473030791</v>
      </c>
      <c r="G13" s="0" t="n">
        <f aca="false">G11+G12</f>
        <v>2990.95493285985</v>
      </c>
      <c r="H13" s="0" t="n">
        <f aca="false">H11+H12</f>
        <v>3074.63115730764</v>
      </c>
      <c r="I13" s="0" t="n">
        <f aca="false">I11+I12</f>
        <v>3166.87009202687</v>
      </c>
      <c r="J13" s="0" t="n">
        <f aca="false">J11+J12</f>
        <v>3255.45517865621</v>
      </c>
      <c r="K13" s="0" t="n">
        <f aca="false">K11+K12</f>
        <v>3346.50518740048</v>
      </c>
      <c r="L13" s="0" t="n">
        <f aca="false">L11+L12</f>
        <v>3446.90034302249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2192.24218349</v>
      </c>
      <c r="D15" s="0" t="n">
        <f aca="false">D13-MAX(0,D13)*D14/100</f>
        <v>2237.0994302996</v>
      </c>
      <c r="E15" s="0" t="n">
        <f aca="false">E13-MAX(0,E13)*E14/100</f>
        <v>2222.01039302803</v>
      </c>
      <c r="F15" s="0" t="n">
        <f aca="false">F13-MAX(0,F13)*F14/100</f>
        <v>2240.34944233709</v>
      </c>
      <c r="G15" s="0" t="n">
        <f aca="false">G13-MAX(0,G13)*G14/100</f>
        <v>2303.03529830209</v>
      </c>
      <c r="H15" s="0" t="n">
        <f aca="false">H13-MAX(0,H13)*H14/100</f>
        <v>2367.46599112688</v>
      </c>
      <c r="I15" s="0" t="n">
        <f aca="false">I13-MAX(0,I13)*I14/100</f>
        <v>2438.48997086069</v>
      </c>
      <c r="J15" s="0" t="n">
        <f aca="false">J13-MAX(0,J13)*J14/100</f>
        <v>2506.70048756528</v>
      </c>
      <c r="K15" s="0" t="n">
        <f aca="false">K13-MAX(0,K13)*K14/100</f>
        <v>2576.80899429837</v>
      </c>
      <c r="L15" s="0" t="n">
        <f aca="false">L13-MAX(0,L13)*L14/100</f>
        <v>2654.11326412732</v>
      </c>
    </row>
    <row r="16" customFormat="false" ht="15" hidden="false" customHeight="false" outlineLevel="0" collapsed="false">
      <c r="A16" s="0" t="s">
        <v>128</v>
      </c>
      <c r="C16" s="0" t="n">
        <f aca="false">-C12</f>
        <v>135.6569964</v>
      </c>
      <c r="D16" s="0" t="n">
        <f aca="false">-D12</f>
        <v>149.122209376</v>
      </c>
      <c r="E16" s="0" t="n">
        <f aca="false">-E12</f>
        <v>160.62592267072</v>
      </c>
      <c r="F16" s="0" t="n">
        <f aca="false">-F12</f>
        <v>171.149690018112</v>
      </c>
      <c r="G16" s="0" t="n">
        <f aca="false">-G12</f>
        <v>182.160320075944</v>
      </c>
      <c r="H16" s="0" t="n">
        <f aca="false">-H12</f>
        <v>193.677553216229</v>
      </c>
      <c r="I16" s="0" t="n">
        <f aca="false">-I12</f>
        <v>199.487879812716</v>
      </c>
      <c r="J16" s="0" t="n">
        <f aca="false">-J12</f>
        <v>211.89353233857</v>
      </c>
      <c r="K16" s="0" t="n">
        <f aca="false">-K12</f>
        <v>224.863984924143</v>
      </c>
      <c r="L16" s="0" t="n">
        <f aca="false">-L12</f>
        <v>231.609904471867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-200.973328</v>
      </c>
      <c r="D17" s="4" t="n">
        <f aca="false">-D6*Assumptions!D18/100</f>
        <v>-213.03172768</v>
      </c>
      <c r="E17" s="4" t="n">
        <f aca="false">-E6*Assumptions!E18/100</f>
        <v>-221.5529967872</v>
      </c>
      <c r="F17" s="4" t="n">
        <f aca="false">-F6*Assumptions!F18/100</f>
        <v>-228.199586690816</v>
      </c>
      <c r="G17" s="4" t="n">
        <f aca="false">-G6*Assumptions!G18/100</f>
        <v>-235.045574291541</v>
      </c>
      <c r="H17" s="4" t="n">
        <f aca="false">-H6*Assumptions!H18/100</f>
        <v>-242.096941520287</v>
      </c>
      <c r="I17" s="4" t="n">
        <f aca="false">-I6*Assumptions!I18/100</f>
        <v>-249.359849765895</v>
      </c>
      <c r="J17" s="4" t="n">
        <f aca="false">-J6*Assumptions!J18/100</f>
        <v>-256.840645258872</v>
      </c>
      <c r="K17" s="4" t="n">
        <f aca="false">-K6*Assumptions!K18/100</f>
        <v>-264.545864616638</v>
      </c>
      <c r="L17" s="4" t="n">
        <f aca="false">-L6*Assumptions!L18/100</f>
        <v>-272.482240555138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-49.7823840000001</v>
      </c>
      <c r="D18" s="4" t="n">
        <f aca="false">(D6-C6)*Assumptions!$B$23/100</f>
        <v>-36.17519904</v>
      </c>
      <c r="E18" s="4" t="n">
        <f aca="false">(E6-D6)*Assumptions!$B$23/100</f>
        <v>-25.5638073216001</v>
      </c>
      <c r="F18" s="4" t="n">
        <f aca="false">(F6-E6)*Assumptions!$B$23/100</f>
        <v>-19.939769710848</v>
      </c>
      <c r="G18" s="4" t="n">
        <f aca="false">(G6-F6)*Assumptions!$B$23/100</f>
        <v>-20.5379628021734</v>
      </c>
      <c r="H18" s="4" t="n">
        <f aca="false">(H6-G6)*Assumptions!$B$23/100</f>
        <v>-21.1541016862387</v>
      </c>
      <c r="I18" s="4" t="n">
        <f aca="false">(I6-H6)*Assumptions!$B$23/100</f>
        <v>-21.7887247368258</v>
      </c>
      <c r="J18" s="4" t="n">
        <f aca="false">(J6-I6)*Assumptions!$B$23/100</f>
        <v>-22.4423864789306</v>
      </c>
      <c r="K18" s="4" t="n">
        <f aca="false">(K6-J6)*Assumptions!$B$23/100</f>
        <v>-23.1156580732985</v>
      </c>
      <c r="L18" s="4" t="n">
        <f aca="false">(L6-K6)*Assumptions!$B$23/100</f>
        <v>-23.8091278154975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2077.14346789</v>
      </c>
      <c r="D19" s="0" t="n">
        <f aca="false">D15+D16+D17+D18</f>
        <v>2137.0147129556</v>
      </c>
      <c r="E19" s="0" t="n">
        <f aca="false">E15+E16+E17+E18</f>
        <v>2135.51951158995</v>
      </c>
      <c r="F19" s="0" t="n">
        <f aca="false">F15+F16+F17+F18</f>
        <v>2163.35977595353</v>
      </c>
      <c r="G19" s="0" t="n">
        <f aca="false">G15+G16+G17+G18</f>
        <v>2229.61208128432</v>
      </c>
      <c r="H19" s="0" t="n">
        <f aca="false">H15+H16+H17+H18</f>
        <v>2297.89250113659</v>
      </c>
      <c r="I19" s="0" t="n">
        <f aca="false">I15+I16+I17+I18</f>
        <v>2366.82927617069</v>
      </c>
      <c r="J19" s="0" t="n">
        <f aca="false">J15+J16+J17+J18</f>
        <v>2439.31098816605</v>
      </c>
      <c r="K19" s="0" t="n">
        <f aca="false">K15+K16+K17+K18</f>
        <v>2514.01145653257</v>
      </c>
      <c r="L19" s="0" t="n">
        <f aca="false">L15+L16+L17+L18</f>
        <v>2589.43180022855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1905.63620907339</v>
      </c>
      <c r="D21" s="0" t="n">
        <f aca="false">D19*D20</f>
        <v>1798.68252921101</v>
      </c>
      <c r="E21" s="0" t="n">
        <f aca="false">E19*E20</f>
        <v>1649.01288819783</v>
      </c>
      <c r="F21" s="0" t="n">
        <f aca="false">F19*F20</f>
        <v>1532.57860588984</v>
      </c>
      <c r="G21" s="0" t="n">
        <f aca="false">G19*G20</f>
        <v>1449.09487089666</v>
      </c>
      <c r="H21" s="0" t="n">
        <f aca="false">H19*H20</f>
        <v>1370.15821910851</v>
      </c>
      <c r="I21" s="0" t="n">
        <f aca="false">I19*I20</f>
        <v>1294.73666576309</v>
      </c>
      <c r="J21" s="0" t="n">
        <f aca="false">J19*J20</f>
        <v>1224.2079305958</v>
      </c>
      <c r="K21" s="0" t="n">
        <f aca="false">K19*K20</f>
        <v>1157.52071260983</v>
      </c>
      <c r="L21" s="0" t="n">
        <f aca="false">L19*L20</f>
        <v>1093.8039761359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14475.4326074818</v>
      </c>
    </row>
    <row r="31" customFormat="false" ht="15" hidden="false" customHeight="false" outlineLevel="0" collapsed="false">
      <c r="A31" s="0" t="s">
        <v>137</v>
      </c>
      <c r="B31" s="0" t="n">
        <f aca="false">L19</f>
        <v>2589.43180022855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37731.720517616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38841.4770034282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37731.720517616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15938.2865094088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30413.7191168906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34614.2191168906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17.494298552962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-0.584852905719933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1121.81653800778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1257.87248528136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18.6970120995551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20317.0802787163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10.3252675955317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14</v>
      </c>
      <c r="D5" s="4" t="n">
        <f aca="false">Assumptions!D27</f>
        <v>11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9218.96</v>
      </c>
      <c r="C6" s="0" t="n">
        <f aca="false">B6*(1+C5/100)</f>
        <v>10509.6144</v>
      </c>
      <c r="D6" s="0" t="n">
        <f aca="false">C6*(1+D5/100)</f>
        <v>11665.671984</v>
      </c>
      <c r="E6" s="0" t="n">
        <f aca="false">D6*(1+E5/100)</f>
        <v>12715.58246256</v>
      </c>
      <c r="F6" s="0" t="n">
        <f aca="false">E6*(1+F5/100)</f>
        <v>13732.8290595648</v>
      </c>
      <c r="G6" s="0" t="n">
        <f aca="false">F6*(1+G5/100)</f>
        <v>14694.1270937343</v>
      </c>
      <c r="H6" s="0" t="n">
        <f aca="false">G6*(1+H5/100)</f>
        <v>15575.7747193584</v>
      </c>
      <c r="I6" s="0" t="n">
        <f aca="false">H6*(1+I5/100)</f>
        <v>16354.5634553263</v>
      </c>
      <c r="J6" s="0" t="n">
        <f aca="false">I6*(1+J5/100)</f>
        <v>17090.518810816</v>
      </c>
      <c r="K6" s="0" t="n">
        <f aca="false">J6*(1+K5/100)</f>
        <v>17774.1395632487</v>
      </c>
      <c r="L6" s="0" t="n">
        <f aca="false">K6*(1+L5/100)</f>
        <v>18396.2344479624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32</v>
      </c>
      <c r="D7" s="4" t="n">
        <f aca="false">Assumptions!D28</f>
        <v>32.2</v>
      </c>
      <c r="E7" s="4" t="n">
        <f aca="false">Assumptions!E28</f>
        <v>32.4</v>
      </c>
      <c r="F7" s="4" t="n">
        <f aca="false">Assumptions!F28</f>
        <v>32.5</v>
      </c>
      <c r="G7" s="4" t="n">
        <f aca="false">Assumptions!G28</f>
        <v>32.6</v>
      </c>
      <c r="H7" s="4" t="n">
        <f aca="false">Assumptions!H28</f>
        <v>32.7</v>
      </c>
      <c r="I7" s="4" t="n">
        <f aca="false">Assumptions!I28</f>
        <v>32.8</v>
      </c>
      <c r="J7" s="4" t="n">
        <f aca="false">Assumptions!J28</f>
        <v>32.9</v>
      </c>
      <c r="K7" s="4" t="n">
        <f aca="false">Assumptions!K28</f>
        <v>33</v>
      </c>
      <c r="L7" s="4" t="n">
        <f aca="false">Assumptions!L28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3363.076608</v>
      </c>
      <c r="D8" s="0" t="n">
        <f aca="false">D6*D7/100</f>
        <v>3756.346378848</v>
      </c>
      <c r="E8" s="0" t="n">
        <f aca="false">E6*E7/100</f>
        <v>4119.84871786944</v>
      </c>
      <c r="F8" s="0" t="n">
        <f aca="false">F6*F7/100</f>
        <v>4463.16944435856</v>
      </c>
      <c r="G8" s="0" t="n">
        <f aca="false">G6*G7/100</f>
        <v>4790.2854325574</v>
      </c>
      <c r="H8" s="0" t="n">
        <f aca="false">H6*H7/100</f>
        <v>5093.2783332302</v>
      </c>
      <c r="I8" s="0" t="n">
        <f aca="false">I6*I7/100</f>
        <v>5364.29681334703</v>
      </c>
      <c r="J8" s="0" t="n">
        <f aca="false">J6*J7/100</f>
        <v>5622.78068875847</v>
      </c>
      <c r="K8" s="0" t="n">
        <f aca="false">K6*K7/100</f>
        <v>5865.46605587205</v>
      </c>
      <c r="L8" s="0" t="n">
        <f aca="false">L6*L7/100</f>
        <v>6070.75736782758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1.45</v>
      </c>
      <c r="G9" s="4" t="n">
        <f aca="false">Assumptions!G29</f>
        <v>1.45</v>
      </c>
      <c r="H9" s="4" t="n">
        <f aca="false">Assumptions!H29</f>
        <v>1.4</v>
      </c>
      <c r="I9" s="4" t="n">
        <f aca="false">Assumptions!I29</f>
        <v>1.4</v>
      </c>
      <c r="J9" s="4" t="n">
        <f aca="false">Assumptions!J29</f>
        <v>1.35</v>
      </c>
      <c r="K9" s="4" t="n">
        <f aca="false">Assumptions!K29</f>
        <v>1.3</v>
      </c>
      <c r="L9" s="4" t="n">
        <f aca="false">Assumptions!L29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-157.644216</v>
      </c>
      <c r="D10" s="0" t="n">
        <f aca="false">-D6*D9/100</f>
        <v>-174.98507976</v>
      </c>
      <c r="E10" s="0" t="n">
        <f aca="false">-E6*E9/100</f>
        <v>-190.7337369384</v>
      </c>
      <c r="F10" s="0" t="n">
        <f aca="false">-F6*F9/100</f>
        <v>-199.12602136369</v>
      </c>
      <c r="G10" s="0" t="n">
        <f aca="false">-G6*G9/100</f>
        <v>-213.064842859148</v>
      </c>
      <c r="H10" s="0" t="n">
        <f aca="false">-H6*H9/100</f>
        <v>-218.060846071018</v>
      </c>
      <c r="I10" s="0" t="n">
        <f aca="false">-I6*I9/100</f>
        <v>-228.963888374569</v>
      </c>
      <c r="J10" s="0" t="n">
        <f aca="false">-J6*J9/100</f>
        <v>-230.722003946016</v>
      </c>
      <c r="K10" s="0" t="n">
        <f aca="false">-K6*K9/100</f>
        <v>-231.063814322232</v>
      </c>
      <c r="L10" s="0" t="n">
        <f aca="false">-L6*L9/100</f>
        <v>-239.151047823511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3205.432392</v>
      </c>
      <c r="D11" s="0" t="n">
        <f aca="false">D8+D10+D24</f>
        <v>3581.361299088</v>
      </c>
      <c r="E11" s="0" t="n">
        <f aca="false">E8+E10+E24</f>
        <v>3929.11498093104</v>
      </c>
      <c r="F11" s="0" t="n">
        <f aca="false">F8+F10+F24</f>
        <v>4264.04342299487</v>
      </c>
      <c r="G11" s="0" t="n">
        <f aca="false">G8+G10+G24</f>
        <v>4577.22058969825</v>
      </c>
      <c r="H11" s="0" t="n">
        <f aca="false">H8+H10+H24</f>
        <v>4875.21748715918</v>
      </c>
      <c r="I11" s="0" t="n">
        <f aca="false">I8+I10+I24</f>
        <v>5135.33292497247</v>
      </c>
      <c r="J11" s="0" t="n">
        <f aca="false">J8+J10+J24</f>
        <v>5392.05868481245</v>
      </c>
      <c r="K11" s="0" t="n">
        <f aca="false">K8+K10+K24</f>
        <v>5634.40224154982</v>
      </c>
      <c r="L11" s="0" t="n">
        <f aca="false">L8+L10+L24</f>
        <v>5831.60632000407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-141.8797944</v>
      </c>
      <c r="D12" s="4" t="n">
        <f aca="false">-D6*Assumptions!D31/100</f>
        <v>-163.319407776</v>
      </c>
      <c r="E12" s="4" t="n">
        <f aca="false">-E6*Assumptions!E31/100</f>
        <v>-184.37594570712</v>
      </c>
      <c r="F12" s="4" t="n">
        <f aca="false">-F6*Assumptions!F31/100</f>
        <v>-205.992435893472</v>
      </c>
      <c r="G12" s="4" t="n">
        <f aca="false">-G6*Assumptions!G31/100</f>
        <v>-227.758969952882</v>
      </c>
      <c r="H12" s="4" t="n">
        <f aca="false">-H6*Assumptions!H31/100</f>
        <v>-249.212395509734</v>
      </c>
      <c r="I12" s="4" t="n">
        <f aca="false">-I6*Assumptions!I31/100</f>
        <v>-261.673015285221</v>
      </c>
      <c r="J12" s="4" t="n">
        <f aca="false">-J6*Assumptions!J31/100</f>
        <v>-281.993560378464</v>
      </c>
      <c r="K12" s="4" t="n">
        <f aca="false">-K6*Assumptions!K31/100</f>
        <v>-302.160372575227</v>
      </c>
      <c r="L12" s="4" t="n">
        <f aca="false">-L6*Assumptions!L31/100</f>
        <v>-312.73598561536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3063.5525976</v>
      </c>
      <c r="D13" s="0" t="n">
        <f aca="false">D11+D12</f>
        <v>3418.041891312</v>
      </c>
      <c r="E13" s="0" t="n">
        <f aca="false">E11+E12</f>
        <v>3744.73903522392</v>
      </c>
      <c r="F13" s="0" t="n">
        <f aca="false">F11+F12</f>
        <v>4058.0509871014</v>
      </c>
      <c r="G13" s="0" t="n">
        <f aca="false">G11+G12</f>
        <v>4349.46161974537</v>
      </c>
      <c r="H13" s="0" t="n">
        <f aca="false">H11+H12</f>
        <v>4626.00509164945</v>
      </c>
      <c r="I13" s="0" t="n">
        <f aca="false">I11+I12</f>
        <v>4873.65990968724</v>
      </c>
      <c r="J13" s="0" t="n">
        <f aca="false">J11+J12</f>
        <v>5110.06512443399</v>
      </c>
      <c r="K13" s="0" t="n">
        <f aca="false">K11+K12</f>
        <v>5332.24186897459</v>
      </c>
      <c r="L13" s="0" t="n">
        <f aca="false">L11+L12</f>
        <v>5518.87033438871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2374.25326314</v>
      </c>
      <c r="D15" s="0" t="n">
        <f aca="false">D13-MAX(0,D13)*D14/100</f>
        <v>2648.9824657668</v>
      </c>
      <c r="E15" s="0" t="n">
        <f aca="false">E13-MAX(0,E13)*E14/100</f>
        <v>2883.44905712242</v>
      </c>
      <c r="F15" s="0" t="n">
        <f aca="false">F13-MAX(0,F13)*F14/100</f>
        <v>3124.69926006808</v>
      </c>
      <c r="G15" s="0" t="n">
        <f aca="false">G13-MAX(0,G13)*G14/100</f>
        <v>3349.08544720393</v>
      </c>
      <c r="H15" s="0" t="n">
        <f aca="false">H13-MAX(0,H13)*H14/100</f>
        <v>3562.02392057007</v>
      </c>
      <c r="I15" s="0" t="n">
        <f aca="false">I13-MAX(0,I13)*I14/100</f>
        <v>3752.71813045918</v>
      </c>
      <c r="J15" s="0" t="n">
        <f aca="false">J13-MAX(0,J13)*J14/100</f>
        <v>3934.75014581417</v>
      </c>
      <c r="K15" s="0" t="n">
        <f aca="false">K13-MAX(0,K13)*K14/100</f>
        <v>4105.82623911044</v>
      </c>
      <c r="L15" s="0" t="n">
        <f aca="false">L13-MAX(0,L13)*L14/100</f>
        <v>4249.5301574793</v>
      </c>
    </row>
    <row r="16" customFormat="false" ht="15" hidden="false" customHeight="false" outlineLevel="0" collapsed="false">
      <c r="A16" s="0" t="s">
        <v>128</v>
      </c>
      <c r="C16" s="0" t="n">
        <f aca="false">-C12</f>
        <v>141.8797944</v>
      </c>
      <c r="D16" s="0" t="n">
        <f aca="false">-D12</f>
        <v>163.319407776</v>
      </c>
      <c r="E16" s="0" t="n">
        <f aca="false">-E12</f>
        <v>184.37594570712</v>
      </c>
      <c r="F16" s="0" t="n">
        <f aca="false">-F12</f>
        <v>205.992435893472</v>
      </c>
      <c r="G16" s="0" t="n">
        <f aca="false">-G12</f>
        <v>227.758969952882</v>
      </c>
      <c r="H16" s="0" t="n">
        <f aca="false">-H12</f>
        <v>249.212395509734</v>
      </c>
      <c r="I16" s="0" t="n">
        <f aca="false">-I12</f>
        <v>261.673015285221</v>
      </c>
      <c r="J16" s="0" t="n">
        <f aca="false">-J12</f>
        <v>281.993560378464</v>
      </c>
      <c r="K16" s="0" t="n">
        <f aca="false">-K12</f>
        <v>302.160372575227</v>
      </c>
      <c r="L16" s="0" t="n">
        <f aca="false">-L12</f>
        <v>312.73598561536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-210.192288</v>
      </c>
      <c r="D17" s="4" t="n">
        <f aca="false">-D6*Assumptions!D32/100</f>
        <v>-233.31343968</v>
      </c>
      <c r="E17" s="4" t="n">
        <f aca="false">-E6*Assumptions!E32/100</f>
        <v>-254.3116492512</v>
      </c>
      <c r="F17" s="4" t="n">
        <f aca="false">-F6*Assumptions!F32/100</f>
        <v>-274.656581191296</v>
      </c>
      <c r="G17" s="4" t="n">
        <f aca="false">-G6*Assumptions!G32/100</f>
        <v>-293.882541874687</v>
      </c>
      <c r="H17" s="4" t="n">
        <f aca="false">-H6*Assumptions!H32/100</f>
        <v>-311.515494387168</v>
      </c>
      <c r="I17" s="4" t="n">
        <f aca="false">-I6*Assumptions!I32/100</f>
        <v>-327.091269106527</v>
      </c>
      <c r="J17" s="4" t="n">
        <f aca="false">-J6*Assumptions!J32/100</f>
        <v>-341.81037621632</v>
      </c>
      <c r="K17" s="4" t="n">
        <f aca="false">-K6*Assumptions!K32/100</f>
        <v>-355.482791264973</v>
      </c>
      <c r="L17" s="4" t="n">
        <f aca="false">-L6*Assumptions!L32/100</f>
        <v>-367.924688959247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-77.4392640000001</v>
      </c>
      <c r="D18" s="4" t="n">
        <f aca="false">(D6-C6)*Assumptions!$B$37/100</f>
        <v>-69.3634550400001</v>
      </c>
      <c r="E18" s="4" t="n">
        <f aca="false">(E6-D6)*Assumptions!$B$37/100</f>
        <v>-62.9946287136001</v>
      </c>
      <c r="F18" s="4" t="n">
        <f aca="false">(F6-E6)*Assumptions!$B$37/100</f>
        <v>-61.0347958202881</v>
      </c>
      <c r="G18" s="4" t="n">
        <f aca="false">(G6-F6)*Assumptions!$B$37/100</f>
        <v>-57.6778820501722</v>
      </c>
      <c r="H18" s="4" t="n">
        <f aca="false">(H6-G6)*Assumptions!$B$37/100</f>
        <v>-52.8988575374437</v>
      </c>
      <c r="I18" s="4" t="n">
        <f aca="false">(I6-H6)*Assumptions!$B$37/100</f>
        <v>-46.7273241580752</v>
      </c>
      <c r="J18" s="4" t="n">
        <f aca="false">(J6-I6)*Assumptions!$B$37/100</f>
        <v>-44.157321329381</v>
      </c>
      <c r="K18" s="4" t="n">
        <f aca="false">(K6-J6)*Assumptions!$B$37/100</f>
        <v>-41.0172451459585</v>
      </c>
      <c r="L18" s="4" t="n">
        <f aca="false">(L6-K6)*Assumptions!$B$37/100</f>
        <v>-37.325693082822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2228.50150554</v>
      </c>
      <c r="D19" s="0" t="n">
        <f aca="false">D15+D16+D17+D18</f>
        <v>2509.6249788228</v>
      </c>
      <c r="E19" s="0" t="n">
        <f aca="false">E15+E16+E17+E18</f>
        <v>2750.51872486474</v>
      </c>
      <c r="F19" s="0" t="n">
        <f aca="false">F15+F16+F17+F18</f>
        <v>2995.00031894997</v>
      </c>
      <c r="G19" s="0" t="n">
        <f aca="false">G15+G16+G17+G18</f>
        <v>3225.28399323195</v>
      </c>
      <c r="H19" s="0" t="n">
        <f aca="false">H15+H16+H17+H18</f>
        <v>3446.8219641552</v>
      </c>
      <c r="I19" s="0" t="n">
        <f aca="false">I15+I16+I17+I18</f>
        <v>3640.5725524798</v>
      </c>
      <c r="J19" s="0" t="n">
        <f aca="false">J15+J16+J17+J18</f>
        <v>3830.77600864693</v>
      </c>
      <c r="K19" s="0" t="n">
        <f aca="false">K15+K16+K17+K18</f>
        <v>4011.48657527473</v>
      </c>
      <c r="L19" s="0" t="n">
        <f aca="false">L15+L16+L17+L18</f>
        <v>4157.01576105259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2044.49679407339</v>
      </c>
      <c r="D21" s="0" t="n">
        <f aca="false">D19*D20</f>
        <v>2112.30113527717</v>
      </c>
      <c r="E21" s="0" t="n">
        <f aca="false">E19*E20</f>
        <v>2123.90512093918</v>
      </c>
      <c r="F21" s="0" t="n">
        <f aca="false">F19*F20</f>
        <v>2121.73373309246</v>
      </c>
      <c r="G21" s="0" t="n">
        <f aca="false">G19*G20</f>
        <v>2096.21329692711</v>
      </c>
      <c r="H21" s="0" t="n">
        <f aca="false">H19*H20</f>
        <v>2055.22731879539</v>
      </c>
      <c r="I21" s="0" t="n">
        <f aca="false">I19*I20</f>
        <v>1991.51785704309</v>
      </c>
      <c r="J21" s="0" t="n">
        <f aca="false">J19*J20</f>
        <v>1922.53730371933</v>
      </c>
      <c r="K21" s="0" t="n">
        <f aca="false">K19*K20</f>
        <v>1846.9998564132</v>
      </c>
      <c r="L21" s="0" t="n">
        <f aca="false">L19*L20</f>
        <v>1755.96838190432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20070.9007981846</v>
      </c>
    </row>
    <row r="31" customFormat="false" ht="15" hidden="false" customHeight="false" outlineLevel="0" collapsed="false">
      <c r="A31" s="0" t="s">
        <v>137</v>
      </c>
      <c r="B31" s="0" t="n">
        <f aca="false">L19</f>
        <v>4157.01576105259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71362.1038980695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83140.3152210519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71362.1038980695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30144.1238893575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50215.0246875422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54415.5246875422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27.5020341087345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-0.347365113698753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1297.20745036546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1734.17644489185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29.0341193686442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35681.0519490348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14.2824007698898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18</v>
      </c>
      <c r="D5" s="4" t="n">
        <f aca="false">Assumptions!D41</f>
        <v>15</v>
      </c>
      <c r="E5" s="4" t="n">
        <f aca="false">Assumptions!E41</f>
        <v>13</v>
      </c>
      <c r="F5" s="4" t="n">
        <f aca="false">Assumptions!F41</f>
        <v>11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9218.96</v>
      </c>
      <c r="C6" s="0" t="n">
        <f aca="false">B6*(1+C5/100)</f>
        <v>10878.3728</v>
      </c>
      <c r="D6" s="0" t="n">
        <f aca="false">C6*(1+D5/100)</f>
        <v>12510.12872</v>
      </c>
      <c r="E6" s="0" t="n">
        <f aca="false">D6*(1+E5/100)</f>
        <v>14136.4454536</v>
      </c>
      <c r="F6" s="0" t="n">
        <f aca="false">E6*(1+F5/100)</f>
        <v>15691.454453496</v>
      </c>
      <c r="G6" s="0" t="n">
        <f aca="false">F6*(1+G5/100)</f>
        <v>17103.6853543106</v>
      </c>
      <c r="H6" s="0" t="n">
        <f aca="false">G6*(1+H5/100)</f>
        <v>18471.9801826555</v>
      </c>
      <c r="I6" s="0" t="n">
        <f aca="false">H6*(1+I5/100)</f>
        <v>19765.0187954414</v>
      </c>
      <c r="J6" s="0" t="n">
        <f aca="false">I6*(1+J5/100)</f>
        <v>20950.9199231679</v>
      </c>
      <c r="K6" s="0" t="n">
        <f aca="false">J6*(1+K5/100)</f>
        <v>21998.4659193263</v>
      </c>
      <c r="L6" s="0" t="n">
        <f aca="false">K6*(1+L5/100)</f>
        <v>22878.4045560993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32.5</v>
      </c>
      <c r="D7" s="4" t="n">
        <f aca="false">Assumptions!D42</f>
        <v>33</v>
      </c>
      <c r="E7" s="4" t="n">
        <f aca="false">Assumptions!E42</f>
        <v>33.5</v>
      </c>
      <c r="F7" s="4" t="n">
        <f aca="false">Assumptions!F42</f>
        <v>34</v>
      </c>
      <c r="G7" s="4" t="n">
        <f aca="false">Assumptions!G42</f>
        <v>34.5</v>
      </c>
      <c r="H7" s="4" t="n">
        <f aca="false">Assumptions!H42</f>
        <v>35</v>
      </c>
      <c r="I7" s="4" t="n">
        <f aca="false">Assumptions!I42</f>
        <v>35</v>
      </c>
      <c r="J7" s="4" t="n">
        <f aca="false">Assumptions!J42</f>
        <v>35</v>
      </c>
      <c r="K7" s="4" t="n">
        <f aca="false">Assumptions!K42</f>
        <v>35</v>
      </c>
      <c r="L7" s="4" t="n">
        <f aca="false">Assumptions!L42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3535.47116</v>
      </c>
      <c r="D8" s="0" t="n">
        <f aca="false">D6*D7/100</f>
        <v>4128.3424776</v>
      </c>
      <c r="E8" s="0" t="n">
        <f aca="false">E6*E7/100</f>
        <v>4735.709226956</v>
      </c>
      <c r="F8" s="0" t="n">
        <f aca="false">F6*F7/100</f>
        <v>5335.09451418864</v>
      </c>
      <c r="G8" s="0" t="n">
        <f aca="false">G6*G7/100</f>
        <v>5900.77144723717</v>
      </c>
      <c r="H8" s="0" t="n">
        <f aca="false">H6*H7/100</f>
        <v>6465.19306392942</v>
      </c>
      <c r="I8" s="0" t="n">
        <f aca="false">I6*I7/100</f>
        <v>6917.75657840448</v>
      </c>
      <c r="J8" s="0" t="n">
        <f aca="false">J6*J7/100</f>
        <v>7332.82197310875</v>
      </c>
      <c r="K8" s="0" t="n">
        <f aca="false">K6*K7/100</f>
        <v>7699.46307176419</v>
      </c>
      <c r="L8" s="0" t="n">
        <f aca="false">L6*L7/100</f>
        <v>8007.44159463476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1.5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1.45</v>
      </c>
      <c r="G9" s="4" t="n">
        <f aca="false">Assumptions!G43</f>
        <v>1.45</v>
      </c>
      <c r="H9" s="4" t="n">
        <f aca="false">Assumptions!H43</f>
        <v>1.4</v>
      </c>
      <c r="I9" s="4" t="n">
        <f aca="false">Assumptions!I43</f>
        <v>1.4</v>
      </c>
      <c r="J9" s="4" t="n">
        <f aca="false">Assumptions!J43</f>
        <v>1.35</v>
      </c>
      <c r="K9" s="4" t="n">
        <f aca="false">Assumptions!K43</f>
        <v>1.3</v>
      </c>
      <c r="L9" s="4" t="n">
        <f aca="false">Assumptions!L43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-163.175592</v>
      </c>
      <c r="D10" s="0" t="n">
        <f aca="false">-D6*D9/100</f>
        <v>-187.6519308</v>
      </c>
      <c r="E10" s="0" t="n">
        <f aca="false">-E6*E9/100</f>
        <v>-212.046681804</v>
      </c>
      <c r="F10" s="0" t="n">
        <f aca="false">-F6*F9/100</f>
        <v>-227.526089575692</v>
      </c>
      <c r="G10" s="0" t="n">
        <f aca="false">-G6*G9/100</f>
        <v>-248.003437637504</v>
      </c>
      <c r="H10" s="0" t="n">
        <f aca="false">-H6*H9/100</f>
        <v>-258.607722557177</v>
      </c>
      <c r="I10" s="0" t="n">
        <f aca="false">-I6*I9/100</f>
        <v>-276.710263136179</v>
      </c>
      <c r="J10" s="0" t="n">
        <f aca="false">-J6*J9/100</f>
        <v>-282.837418962766</v>
      </c>
      <c r="K10" s="0" t="n">
        <f aca="false">-K6*K9/100</f>
        <v>-285.980056951241</v>
      </c>
      <c r="L10" s="0" t="n">
        <f aca="false">-L6*L9/100</f>
        <v>-297.419259229291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3372.295568</v>
      </c>
      <c r="D11" s="0" t="n">
        <f aca="false">D8+D10+D24</f>
        <v>3940.6905468</v>
      </c>
      <c r="E11" s="0" t="n">
        <f aca="false">E8+E10+E24</f>
        <v>4523.662545152</v>
      </c>
      <c r="F11" s="0" t="n">
        <f aca="false">F8+F10+F24</f>
        <v>5107.56842461295</v>
      </c>
      <c r="G11" s="0" t="n">
        <f aca="false">G8+G10+G24</f>
        <v>5652.76800959967</v>
      </c>
      <c r="H11" s="0" t="n">
        <f aca="false">H8+H10+H24</f>
        <v>6206.58534137225</v>
      </c>
      <c r="I11" s="0" t="n">
        <f aca="false">I8+I10+I24</f>
        <v>6641.0463152683</v>
      </c>
      <c r="J11" s="0" t="n">
        <f aca="false">J8+J10+J24</f>
        <v>7049.98455414599</v>
      </c>
      <c r="K11" s="0" t="n">
        <f aca="false">K8+K10+K24</f>
        <v>7413.48301481295</v>
      </c>
      <c r="L11" s="0" t="n">
        <f aca="false">L8+L10+L24</f>
        <v>7710.02233540547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-146.8580328</v>
      </c>
      <c r="D12" s="4" t="n">
        <f aca="false">-D6*Assumptions!D45/100</f>
        <v>-175.14180208</v>
      </c>
      <c r="E12" s="4" t="n">
        <f aca="false">-E6*Assumptions!E45/100</f>
        <v>-204.9784590772</v>
      </c>
      <c r="F12" s="4" t="n">
        <f aca="false">-F6*Assumptions!F45/100</f>
        <v>-235.37181680244</v>
      </c>
      <c r="G12" s="4" t="n">
        <f aca="false">-G6*Assumptions!G45/100</f>
        <v>-265.107122991815</v>
      </c>
      <c r="H12" s="4" t="n">
        <f aca="false">-H6*Assumptions!H45/100</f>
        <v>-295.551682922488</v>
      </c>
      <c r="I12" s="4" t="n">
        <f aca="false">-I6*Assumptions!I45/100</f>
        <v>-316.240300727062</v>
      </c>
      <c r="J12" s="4" t="n">
        <f aca="false">-J6*Assumptions!J45/100</f>
        <v>-345.69017873227</v>
      </c>
      <c r="K12" s="4" t="n">
        <f aca="false">-K6*Assumptions!K45/100</f>
        <v>-373.973920628546</v>
      </c>
      <c r="L12" s="4" t="n">
        <f aca="false">-L6*Assumptions!L45/100</f>
        <v>-388.932877453688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3225.4375352</v>
      </c>
      <c r="D13" s="0" t="n">
        <f aca="false">D11+D12</f>
        <v>3765.54874472</v>
      </c>
      <c r="E13" s="0" t="n">
        <f aca="false">E11+E12</f>
        <v>4318.6840860748</v>
      </c>
      <c r="F13" s="0" t="n">
        <f aca="false">F11+F12</f>
        <v>4872.19660781051</v>
      </c>
      <c r="G13" s="0" t="n">
        <f aca="false">G11+G12</f>
        <v>5387.66088660785</v>
      </c>
      <c r="H13" s="0" t="n">
        <f aca="false">H11+H12</f>
        <v>5911.03365844976</v>
      </c>
      <c r="I13" s="0" t="n">
        <f aca="false">I11+I12</f>
        <v>6324.80601454124</v>
      </c>
      <c r="J13" s="0" t="n">
        <f aca="false">J11+J12</f>
        <v>6704.29437541372</v>
      </c>
      <c r="K13" s="0" t="n">
        <f aca="false">K11+K12</f>
        <v>7039.5090941844</v>
      </c>
      <c r="L13" s="0" t="n">
        <f aca="false">L11+L12</f>
        <v>7321.08945795178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2499.71408978</v>
      </c>
      <c r="D15" s="0" t="n">
        <f aca="false">D13-MAX(0,D13)*D14/100</f>
        <v>2918.300277158</v>
      </c>
      <c r="E15" s="0" t="n">
        <f aca="false">E13-MAX(0,E13)*E14/100</f>
        <v>3325.3867462776</v>
      </c>
      <c r="F15" s="0" t="n">
        <f aca="false">F13-MAX(0,F13)*F14/100</f>
        <v>3751.59138801409</v>
      </c>
      <c r="G15" s="0" t="n">
        <f aca="false">G13-MAX(0,G13)*G14/100</f>
        <v>4148.49888268805</v>
      </c>
      <c r="H15" s="0" t="n">
        <f aca="false">H13-MAX(0,H13)*H14/100</f>
        <v>4551.49591700631</v>
      </c>
      <c r="I15" s="0" t="n">
        <f aca="false">I13-MAX(0,I13)*I14/100</f>
        <v>4870.10063119676</v>
      </c>
      <c r="J15" s="0" t="n">
        <f aca="false">J13-MAX(0,J13)*J14/100</f>
        <v>5162.30666906856</v>
      </c>
      <c r="K15" s="0" t="n">
        <f aca="false">K13-MAX(0,K13)*K14/100</f>
        <v>5420.42200252199</v>
      </c>
      <c r="L15" s="0" t="n">
        <f aca="false">L13-MAX(0,L13)*L14/100</f>
        <v>5637.23888262287</v>
      </c>
    </row>
    <row r="16" customFormat="false" ht="15" hidden="false" customHeight="false" outlineLevel="0" collapsed="false">
      <c r="A16" s="0" t="s">
        <v>128</v>
      </c>
      <c r="C16" s="0" t="n">
        <f aca="false">-C12</f>
        <v>146.8580328</v>
      </c>
      <c r="D16" s="0" t="n">
        <f aca="false">-D12</f>
        <v>175.14180208</v>
      </c>
      <c r="E16" s="0" t="n">
        <f aca="false">-E12</f>
        <v>204.9784590772</v>
      </c>
      <c r="F16" s="0" t="n">
        <f aca="false">-F12</f>
        <v>235.37181680244</v>
      </c>
      <c r="G16" s="0" t="n">
        <f aca="false">-G12</f>
        <v>265.107122991815</v>
      </c>
      <c r="H16" s="0" t="n">
        <f aca="false">-H12</f>
        <v>295.551682922488</v>
      </c>
      <c r="I16" s="0" t="n">
        <f aca="false">-I12</f>
        <v>316.240300727062</v>
      </c>
      <c r="J16" s="0" t="n">
        <f aca="false">-J12</f>
        <v>345.69017873227</v>
      </c>
      <c r="K16" s="0" t="n">
        <f aca="false">-K12</f>
        <v>373.973920628546</v>
      </c>
      <c r="L16" s="0" t="n">
        <f aca="false">-L12</f>
        <v>388.932877453688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-217.567456</v>
      </c>
      <c r="D17" s="4" t="n">
        <f aca="false">-D6*Assumptions!D46/100</f>
        <v>-250.2025744</v>
      </c>
      <c r="E17" s="4" t="n">
        <f aca="false">-E6*Assumptions!E46/100</f>
        <v>-282.728909072</v>
      </c>
      <c r="F17" s="4" t="n">
        <f aca="false">-F6*Assumptions!F46/100</f>
        <v>-313.82908906992</v>
      </c>
      <c r="G17" s="4" t="n">
        <f aca="false">-G6*Assumptions!G46/100</f>
        <v>-342.073707086213</v>
      </c>
      <c r="H17" s="4" t="n">
        <f aca="false">-H6*Assumptions!H46/100</f>
        <v>-369.43960365311</v>
      </c>
      <c r="I17" s="4" t="n">
        <f aca="false">-I6*Assumptions!I46/100</f>
        <v>-395.300375908828</v>
      </c>
      <c r="J17" s="4" t="n">
        <f aca="false">-J6*Assumptions!J46/100</f>
        <v>-419.018398463357</v>
      </c>
      <c r="K17" s="4" t="n">
        <f aca="false">-K6*Assumptions!K46/100</f>
        <v>-439.969318386525</v>
      </c>
      <c r="L17" s="4" t="n">
        <f aca="false">-L6*Assumptions!L46/100</f>
        <v>-457.568091121986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-99.564768</v>
      </c>
      <c r="D18" s="4" t="n">
        <f aca="false">(D6-C6)*Assumptions!$B$51/100</f>
        <v>-97.9053552</v>
      </c>
      <c r="E18" s="4" t="n">
        <f aca="false">(E6-D6)*Assumptions!$B$51/100</f>
        <v>-97.5790040159999</v>
      </c>
      <c r="F18" s="4" t="n">
        <f aca="false">(F6-E6)*Assumptions!$B$51/100</f>
        <v>-93.3005399937601</v>
      </c>
      <c r="G18" s="4" t="n">
        <f aca="false">(G6-F6)*Assumptions!$B$51/100</f>
        <v>-84.7338540488785</v>
      </c>
      <c r="H18" s="4" t="n">
        <f aca="false">(H6-G6)*Assumptions!$B$51/100</f>
        <v>-82.0976897006912</v>
      </c>
      <c r="I18" s="4" t="n">
        <f aca="false">(I6-H6)*Assumptions!$B$51/100</f>
        <v>-77.5823167671532</v>
      </c>
      <c r="J18" s="4" t="n">
        <f aca="false">(J6-I6)*Assumptions!$B$51/100</f>
        <v>-71.154067663589</v>
      </c>
      <c r="K18" s="4" t="n">
        <f aca="false">(K6-J6)*Assumptions!$B$51/100</f>
        <v>-62.8527597695037</v>
      </c>
      <c r="L18" s="4" t="n">
        <f aca="false">(L6-K6)*Assumptions!$B$51/100</f>
        <v>-52.7963182063831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2329.43989858</v>
      </c>
      <c r="D19" s="0" t="n">
        <f aca="false">D15+D16+D17+D18</f>
        <v>2745.334149638</v>
      </c>
      <c r="E19" s="0" t="n">
        <f aca="false">E15+E16+E17+E18</f>
        <v>3150.0572922668</v>
      </c>
      <c r="F19" s="0" t="n">
        <f aca="false">F15+F16+F17+F18</f>
        <v>3579.83357575285</v>
      </c>
      <c r="G19" s="0" t="n">
        <f aca="false">G15+G16+G17+G18</f>
        <v>3986.79844454477</v>
      </c>
      <c r="H19" s="0" t="n">
        <f aca="false">H15+H16+H17+H18</f>
        <v>4395.510306575</v>
      </c>
      <c r="I19" s="0" t="n">
        <f aca="false">I15+I16+I17+I18</f>
        <v>4713.45823924784</v>
      </c>
      <c r="J19" s="0" t="n">
        <f aca="false">J15+J16+J17+J18</f>
        <v>5017.82438167389</v>
      </c>
      <c r="K19" s="0" t="n">
        <f aca="false">K15+K16+K17+K18</f>
        <v>5291.57384499451</v>
      </c>
      <c r="L19" s="0" t="n">
        <f aca="false">L15+L16+L17+L18</f>
        <v>5515.80735074819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2137.10082438532</v>
      </c>
      <c r="D21" s="0" t="n">
        <f aca="false">D19*D20</f>
        <v>2310.69282858177</v>
      </c>
      <c r="E21" s="0" t="n">
        <f aca="false">E19*E20</f>
        <v>2432.42220233431</v>
      </c>
      <c r="F21" s="0" t="n">
        <f aca="false">F19*F20</f>
        <v>2536.04435648099</v>
      </c>
      <c r="G21" s="0" t="n">
        <f aca="false">G19*G20</f>
        <v>2591.14543995507</v>
      </c>
      <c r="H21" s="0" t="n">
        <f aca="false">H19*H20</f>
        <v>2620.89918077152</v>
      </c>
      <c r="I21" s="0" t="n">
        <f aca="false">I19*I20</f>
        <v>2578.42306850745</v>
      </c>
      <c r="J21" s="0" t="n">
        <f aca="false">J19*J20</f>
        <v>2518.27685448198</v>
      </c>
      <c r="K21" s="0" t="n">
        <f aca="false">K19*K20</f>
        <v>2436.38759559736</v>
      </c>
      <c r="L21" s="0" t="n">
        <f aca="false">L19*L20</f>
        <v>2329.93663371071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24491.3289848065</v>
      </c>
    </row>
    <row r="31" customFormat="false" ht="15" hidden="false" customHeight="false" outlineLevel="0" collapsed="false">
      <c r="A31" s="0" t="s">
        <v>137</v>
      </c>
      <c r="B31" s="0" t="n">
        <f aca="false">L19</f>
        <v>5515.80735074819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103797.465600443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110316.147014964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103797.465600443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43845.1711980107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68336.5001828172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72537.0001828172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36.6607703339822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-0.130024434409535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1498.57679495271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2364.18669276492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38.6130413780122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49642.2661567337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17.615047515914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17.494298552962</v>
      </c>
      <c r="C4" s="0" t="n">
        <f aca="false">B4/Assumptions!$B$2-1</f>
        <v>-0.584852905719933</v>
      </c>
      <c r="D4" s="4" t="n">
        <f aca="false">Assumptions!$B$24</f>
        <v>0.2</v>
      </c>
      <c r="E4" s="4" t="n">
        <f aca="false">DCF_Bear!$B$43</f>
        <v>18.6970120995551</v>
      </c>
      <c r="F4" s="4" t="n">
        <f aca="false">DCF_Bear!$B$47</f>
        <v>10.3252675955317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27.5020341087345</v>
      </c>
      <c r="C5" s="0" t="n">
        <f aca="false">B5/Assumptions!$B$2-1</f>
        <v>-0.347365113698753</v>
      </c>
      <c r="D5" s="4" t="n">
        <f aca="false">Assumptions!$B$38</f>
        <v>0.5</v>
      </c>
      <c r="E5" s="4" t="n">
        <f aca="false">DCF_Base!$B$43</f>
        <v>29.0341193686442</v>
      </c>
      <c r="F5" s="4" t="n">
        <f aca="false">DCF_Base!$B$47</f>
        <v>14.2824007698898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36.6607703339822</v>
      </c>
      <c r="C6" s="0" t="n">
        <f aca="false">B6/Assumptions!$B$2-1</f>
        <v>-0.130024434409535</v>
      </c>
      <c r="D6" s="4" t="n">
        <f aca="false">Assumptions!$B$52</f>
        <v>0.3</v>
      </c>
      <c r="E6" s="4" t="n">
        <f aca="false">DCF_Bull!$B$43</f>
        <v>38.6130413780122</v>
      </c>
      <c r="F6" s="4" t="n">
        <f aca="false">DCF_Bull!$B$47</f>
        <v>17.615047515914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28.2481078651543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29.8403745176368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-0.491781332794403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872.460156920784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14.4907681588255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27.5020341087345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23.705080564682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20.864967847405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18.6623021592743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14.2824007698898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34.7002459866459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34.7002459866459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34.7002459866459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34.7002459866459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34.7002459866459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29.3274160970313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30.9198665600276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32.2469086125245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32.2469086125245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32.2469086125245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25.1988116086073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26.2618373778968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27.5020341087345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28.96772115427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30.0165614253872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22.1139659203093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22.8564860876833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23.705080564682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24.6842280381422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25.826566757179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19.7242339135765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20.2610498824369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20.864967847405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21.549408207702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22.3316257623272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2026-10-02T01:06:57Z</dcterms:created>
  <dc:creator>openpyxl</dc:creator>
  <dc:description/>
  <dc:language>en-NZ</dc:language>
  <cp:lastModifiedBy/>
  <dcterms:modified xsi:type="dcterms:W3CDTF">2026-10-02T01:06:57Z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