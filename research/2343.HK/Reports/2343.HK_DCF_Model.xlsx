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<sst xmlns="http://schemas.openxmlformats.org/spreadsheetml/2006/main" count="359" uniqueCount="169">
  <si>
    <t xml:space="preserve">Ticker</t>
  </si>
  <si>
    <t xml:space="preserve">2343.HK</t>
  </si>
  <si>
    <t xml:space="preserve">Company</t>
  </si>
  <si>
    <t xml:space="preserve">Pacific Basin Shipping Limited</t>
  </si>
  <si>
    <t xml:space="preserve">Valuation date</t>
  </si>
  <si>
    <t xml:space="preserve">2026-10-18</t>
  </si>
  <si>
    <t xml:space="preserve">Current price</t>
  </si>
  <si>
    <t xml:space="preserve">Price as of</t>
  </si>
  <si>
    <t xml:space="preserve">2026-10-16T08:08:14Z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</si>
  <si>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</si>
  <si>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</si>
  <si>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</si>
  <si>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</si>
  <si>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</si>
  <si>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</si>
  <si>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</si>
  <si>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</si>
  <si>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</si>
  <si>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</si>
  <si>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</si>
  <si>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</si>
  <si>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</si>
  <si>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2026-10-18T02:21:56Z</t>
  </si>
  <si>
    <t xml:space="preserve">Drivers file</t>
  </si>
  <si>
    <t xml:space="preserve">2343.HK_Drivers.json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</si>
  <si>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</si>
  <si>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</si>
  <si>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</si>
  <si>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Mid-cycle owner-FCF DCF for a dry bulk owner-operator. The latest year is never the base: margins revert to a through-cycle 15% after FY2026, capex is net of vessel sales and includes the committed newbuild programme, and a 12x terminal cap reflects cyclicality. The broker NAV is the cross-check: when the DCF sits below NAV the market is pricing ships at replacement cost rather than on their earnings power.
key_risks_to_valuation: Freight rates (BHSI/BSI) are the dominant driver; a 1pp change in through-cycle EBITDA margin moves value by roughly 10%.; Geopolitical route inefficiencies (Red Sea, Panama) flatter 2026 tonne-miles and could unwind quickly.; Decarbonisation regulation (IMO net-zero framework, EU ETS) could force earlier fleet renewal at higher newbuild prices.; Share count is the filing's diluted weighted average; the CSV share column is back-calculated and approximate.; Fleet market values are broker estimates and move with the cycle; NAV memo is not a floor.</t>
  </si>
  <si>
    <t xml:space="preserve">Data sources</t>
  </si>
  <si>
    <t xml:space="preserve">price: Yahoo Finance chart API at inputs.price_as_of; 52-week range 2.23-4.45 HKD. FX from Yahoo USDHKD=X.
financials: Pacific Basin annual reports FY2018-FY2025 and interim reports H1 2024-H1 2026 (US$'000), via 2343.HK_Metrics.csv and kpis; diluted shares, net cash, fleet market value and capital commitments from the 2026 interim report.
qualitative: 2026 interim report outlook and business highlights; Clarksons Research supply/demand forecasts as quoted by the company.</t>
  </si>
  <si>
    <t xml:space="preserve">Scenario narrative: bear</t>
  </si>
  <si>
    <t xml:space="preserve">Route inefficiencies unwind, newbuild deliveries outrun demand, and China steel/construction plus tariff-hit trade flows weaken minor-bulk volumes; rates revert to the FY2019/FY2024-25 pattern. Margins sit at 12% while fleet renewal still costs 6.5% of revenue as dual-fuel regulation lifts newbuild prices.</t>
  </si>
  <si>
    <t xml:space="preserve">Scenario narrative: base</t>
  </si>
  <si>
    <t xml:space="preserve">FY2026 lands near the H1 run-rate (revenue +9%, EBITDA margin 17%) on geopolitical tonne-mile inefficiency and firmer minor-bulk rates, then fades as supply growth outpaces demand in 2026-27 per Clarksons; EBITDA margin settles at a 15% through-cycle level from FY2028, net capex 6.5% of revenue while the 10-vessel orderbook delivers to mid-2029 then 6.0%. Value sits below the broker NAV (~HK$3.66), i.e. the market is paying roughly replacement value for the fleet.</t>
  </si>
  <si>
    <t xml:space="preserve">Scenario narrative: bull</t>
  </si>
  <si>
    <t xml:space="preserve">Supply discipline wins: an ageing geared fleet, decarbonisation-driven scrapping and limited newbuild yard slots keep Handysize/Supramax supply growth below minor-bulk demand. PB's premium over the BHSI/BSI indices (US$1,950-2,370/day in H1 2026) and sub-US$6,800/day cash break-even translate into an 18% through-cycle margin, and the newbuild programme is delivered into firm rates.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</si>
  <si>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</si>
  <si>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</si>
  <si>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</si>
  <si>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</si>
  <si>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</si>
  <si>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</si>
  <si>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</si>
  <si>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</si>
  <si>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</si>
  <si>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</si>
  <si>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</si>
  <si>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</si>
  <si>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</si>
  <si>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</si>
  <si>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</si>
  <si>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</si>
  <si>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</si>
  <si>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</si>
  <si>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</si>
  <si>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</si>
  <si>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</si>
  <si>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</si>
  <si>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</si>
  <si>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</si>
  <si>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</si>
  <si>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</si>
  <si>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</si>
  <si>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</t>
  </si>
  <si>
    <t xml:space="preserve">CashGeneratedFromOperations</t>
  </si>
  <si>
    <t xml:space="preserve">LeasePrincipalPaid</t>
  </si>
  <si>
    <t xml:space="preserve">ShareAwardSchemePurchases</t>
  </si>
  <si>
    <t xml:space="preserve">UnderlyingProfitAfterTax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</si>
  <si>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</si>
  <si>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</si>
  <si>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</si>
  <si>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</si>
  <si>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</si>
  <si>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</si>
  <si>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</si>
  <si>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</si>
  <si>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</si>
  <si>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</si>
  <si>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</si>
  <si>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</si>
  <si>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</si>
  <si>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</si>
  <si>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</si>
  <si>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</si>
  <si>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</si>
  <si>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</si>
  <si>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</si>
  <si>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</si>
  <si>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</si>
  <si>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</si>
  <si>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</si>
  <si>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</si>
  <si>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</si>
  <si>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</si>
  <si>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</si>
  <si>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</si>
  <si>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</si>
  <si>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</si>
  <si>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</si>
  <si>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</si>
  <si>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</si>
  <si>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</si>
  <si>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</si>
  <si>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</si>
  <si>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</si>
  <si>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</si>
  <si>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</si>
  <si>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</si>
  <si>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</si>
  <si>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</si>
  <si>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</si>
  <si>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</si>
  <si>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</si>
  <si>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2343.HK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</si>
  <si>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</si>
  <si>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</si>
  <si>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</si>
  <si>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</si>
  <si>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</si>
  <si>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</si>
  <si>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</si>
  <si>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</si>
  <si>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</si>
  <si>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</si>
  <si>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</si>
  <si>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</si>
  <si>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</si>
  <si>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</si>
  <si>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</si>
  <si>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</si>
  <si>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</si>
  <si>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</si>
  <si>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</si>
  <si>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</si>
  <si>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</si>
  <si>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</si>
  <si>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</si>
  <si>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</si>
  <si>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</si>
  <si>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</si>
  <si>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</si>
  <si>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</si>
  <si>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</si>
  <si>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</si>
  <si>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2343.HK owner-FCF component DCF: base case (millions, USD)</t>
  </si>
  <si>
    <t xml:space="preserve">2343.HK owner-FCF component DCF: bull case (millions, USD)</t>
  </si>
  <si>
    <t xml:space="preserve">2343.HK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</si>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</sst>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3.76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</row>
    <row r="2" customFormat="false" ht="15" hidden="false" customHeight="false" outlineLevel="0" collapsed="false">
      <c r="A2" s="0" t="s">
        <v>69</v>
      </c>
      <c r="B2" s="0" t="n">
        <v>1591.564</v>
      </c>
      <c r="C2" s="0" t="n">
        <v>1507.705</v>
      </c>
      <c r="D2" s="0" t="n">
        <v>83.859</v>
      </c>
      <c r="E2" s="0" t="n">
        <v>5.3</v>
      </c>
      <c r="F2" s="0" t="n">
        <v>105.899</v>
      </c>
      <c r="G2" s="0" t="n">
        <v>6.7</v>
      </c>
      <c r="H2" s="0" t="n">
        <v>215.8</v>
      </c>
      <c r="I2" s="0" t="n">
        <v>72.284</v>
      </c>
      <c r="J2" s="0" t="n">
        <v>4.5</v>
      </c>
      <c r="K2" s="0" t="n">
        <v>0.0161</v>
      </c>
      <c r="L2" s="0" t="n">
        <v>189.555</v>
      </c>
      <c r="M2" s="0" t="n">
        <v>127.924</v>
      </c>
      <c r="N2" s="0" t="n">
        <v>61.631</v>
      </c>
      <c r="O2" s="0" t="n">
        <v>1231.209</v>
      </c>
      <c r="P2" s="0" t="n">
        <v>2366.206</v>
      </c>
      <c r="Q2" s="0" t="n">
        <v>1134.997</v>
      </c>
      <c r="R2" s="0" t="n">
        <v>961.093</v>
      </c>
      <c r="S2" s="0" t="n">
        <v>341.744</v>
      </c>
      <c r="T2" s="0" t="n">
        <v>4407.6</v>
      </c>
      <c r="U2" s="0" t="n">
        <v>5.265</v>
      </c>
      <c r="AA2" s="0" t="s">
        <v>18</v>
      </c>
      <c r="AB2" s="0" t="s">
        <v>14</v>
      </c>
      <c r="AD2" s="0" t="n">
        <v>190.174</v>
      </c>
      <c r="AF2" s="0" t="n">
        <v>0.11</v>
      </c>
    </row>
    <row r="3" customFormat="false" ht="15" hidden="false" customHeight="false" outlineLevel="0" collapsed="false">
      <c r="A3" s="0" t="s">
        <v>70</v>
      </c>
      <c r="B3" s="0" t="n">
        <v>1585.9</v>
      </c>
      <c r="C3" s="0" t="n">
        <v>1513.427</v>
      </c>
      <c r="D3" s="0" t="n">
        <v>72.473</v>
      </c>
      <c r="E3" s="0" t="n">
        <v>4.6</v>
      </c>
      <c r="F3" s="0" t="n">
        <v>63.202</v>
      </c>
      <c r="G3" s="0" t="n">
        <v>4</v>
      </c>
      <c r="H3" s="0" t="n">
        <v>230.7</v>
      </c>
      <c r="I3" s="0" t="n">
        <v>25.124</v>
      </c>
      <c r="J3" s="0" t="n">
        <v>1.6</v>
      </c>
      <c r="K3" s="0" t="n">
        <v>0.0054</v>
      </c>
      <c r="L3" s="0" t="n">
        <v>217.027</v>
      </c>
      <c r="M3" s="0" t="n">
        <v>183.984</v>
      </c>
      <c r="N3" s="0" t="n">
        <v>33.043</v>
      </c>
      <c r="O3" s="0" t="n">
        <v>1275.932</v>
      </c>
      <c r="P3" s="0" t="n">
        <v>2394.235</v>
      </c>
      <c r="Q3" s="0" t="n">
        <v>1118.303</v>
      </c>
      <c r="R3" s="0" t="n">
        <v>863.151</v>
      </c>
      <c r="S3" s="0" t="n">
        <v>200.193</v>
      </c>
      <c r="T3" s="0" t="n">
        <v>4568</v>
      </c>
      <c r="U3" s="0" t="n">
        <v>5.838</v>
      </c>
      <c r="AA3" s="0" t="s">
        <v>18</v>
      </c>
      <c r="AB3" s="0" t="s">
        <v>14</v>
      </c>
      <c r="AD3" s="0" t="n">
        <v>217.514</v>
      </c>
      <c r="AE3" s="0" t="n">
        <v>44.717</v>
      </c>
      <c r="AF3" s="0" t="n">
        <v>1.279</v>
      </c>
    </row>
    <row r="4" customFormat="false" ht="15" hidden="false" customHeight="false" outlineLevel="0" collapsed="false">
      <c r="A4" s="0" t="s">
        <v>71</v>
      </c>
      <c r="B4" s="0" t="n">
        <v>1470.932</v>
      </c>
      <c r="C4" s="0" t="n">
        <v>1434.059</v>
      </c>
      <c r="D4" s="0" t="n">
        <v>36.873</v>
      </c>
      <c r="E4" s="0" t="n">
        <v>2.5</v>
      </c>
      <c r="F4" s="0" t="n">
        <v>-169.516</v>
      </c>
      <c r="G4" s="0" t="n">
        <v>-11.5</v>
      </c>
      <c r="H4" s="0" t="n">
        <v>184.7</v>
      </c>
      <c r="I4" s="0" t="n">
        <v>-208.228</v>
      </c>
      <c r="J4" s="0" t="n">
        <v>-14.2</v>
      </c>
      <c r="K4" s="0" t="n">
        <v>-0.0445</v>
      </c>
      <c r="L4" s="0" t="n">
        <v>219.613</v>
      </c>
      <c r="M4" s="0" t="n">
        <v>102.031</v>
      </c>
      <c r="N4" s="0" t="n">
        <v>117.582</v>
      </c>
      <c r="O4" s="0" t="n">
        <v>1064.509</v>
      </c>
      <c r="P4" s="0" t="n">
        <v>2189.527</v>
      </c>
      <c r="Q4" s="0" t="n">
        <v>1125.018</v>
      </c>
      <c r="R4" s="0" t="n">
        <v>863.885</v>
      </c>
      <c r="S4" s="0" t="n">
        <v>234.773</v>
      </c>
      <c r="T4" s="0" t="n">
        <v>4679.3</v>
      </c>
      <c r="U4" s="0" t="n">
        <v>5.581</v>
      </c>
      <c r="AA4" s="0" t="s">
        <v>18</v>
      </c>
      <c r="AB4" s="0" t="s">
        <v>14</v>
      </c>
      <c r="AD4" s="0" t="n">
        <v>221.985</v>
      </c>
      <c r="AE4" s="0" t="n">
        <v>41.549</v>
      </c>
      <c r="AF4" s="0" t="n">
        <v>0.93</v>
      </c>
    </row>
    <row r="5" customFormat="false" ht="15" hidden="false" customHeight="false" outlineLevel="0" collapsed="false">
      <c r="A5" s="0" t="s">
        <v>72</v>
      </c>
      <c r="B5" s="0" t="n">
        <v>2972.514</v>
      </c>
      <c r="C5" s="0" t="n">
        <v>2233.171</v>
      </c>
      <c r="D5" s="0" t="n">
        <v>739.343</v>
      </c>
      <c r="E5" s="0" t="n">
        <v>24.9</v>
      </c>
      <c r="F5" s="0" t="n">
        <v>878.06</v>
      </c>
      <c r="G5" s="0" t="n">
        <v>29.5</v>
      </c>
      <c r="H5" s="0" t="n">
        <v>889.9</v>
      </c>
      <c r="I5" s="0" t="n">
        <v>844.81</v>
      </c>
      <c r="J5" s="0" t="n">
        <v>28.4</v>
      </c>
      <c r="K5" s="0" t="n">
        <v>0.1573</v>
      </c>
      <c r="L5" s="0" t="n">
        <v>850.422</v>
      </c>
      <c r="M5" s="0" t="n">
        <v>224.483</v>
      </c>
      <c r="N5" s="0" t="n">
        <v>625.939</v>
      </c>
      <c r="O5" s="0" t="n">
        <v>1831.226</v>
      </c>
      <c r="P5" s="0" t="n">
        <v>2745.432</v>
      </c>
      <c r="Q5" s="0" t="n">
        <v>914.206</v>
      </c>
      <c r="R5" s="0" t="n">
        <v>588.156</v>
      </c>
      <c r="S5" s="0" t="n">
        <v>459.67</v>
      </c>
      <c r="T5" s="0" t="n">
        <v>4719.6</v>
      </c>
      <c r="U5" s="0" t="n">
        <v>6.161</v>
      </c>
      <c r="AA5" s="0" t="s">
        <v>18</v>
      </c>
      <c r="AB5" s="0" t="s">
        <v>14</v>
      </c>
      <c r="AD5" s="0" t="n">
        <v>851.468</v>
      </c>
      <c r="AE5" s="0" t="n">
        <v>36.381</v>
      </c>
      <c r="AF5" s="0" t="n">
        <v>2.847</v>
      </c>
      <c r="AG5" s="0" t="n">
        <v>698.3</v>
      </c>
    </row>
    <row r="6" customFormat="false" ht="15" hidden="false" customHeight="false" outlineLevel="0" collapsed="false">
      <c r="A6" s="0" t="s">
        <v>73</v>
      </c>
      <c r="B6" s="0" t="n">
        <v>3281.626</v>
      </c>
      <c r="C6" s="0" t="n">
        <v>2549.548</v>
      </c>
      <c r="D6" s="0" t="n">
        <v>732.078</v>
      </c>
      <c r="E6" s="0" t="n">
        <v>22.3</v>
      </c>
      <c r="F6" s="0" t="n">
        <v>717.931</v>
      </c>
      <c r="G6" s="0" t="n">
        <v>21.9</v>
      </c>
      <c r="H6" s="0" t="n">
        <v>935.1</v>
      </c>
      <c r="I6" s="0" t="n">
        <v>701.856</v>
      </c>
      <c r="J6" s="0" t="n">
        <v>21.4</v>
      </c>
      <c r="K6" s="0" t="n">
        <v>0.1319</v>
      </c>
      <c r="L6" s="0" t="n">
        <v>935.317</v>
      </c>
      <c r="M6" s="0" t="n">
        <v>84.718</v>
      </c>
      <c r="N6" s="0" t="n">
        <v>850.599</v>
      </c>
      <c r="O6" s="0" t="n">
        <v>1907.355</v>
      </c>
      <c r="P6" s="0" t="n">
        <v>2648.685</v>
      </c>
      <c r="Q6" s="0" t="n">
        <v>741.33</v>
      </c>
      <c r="R6" s="0" t="n">
        <v>378.608</v>
      </c>
      <c r="S6" s="0" t="n">
        <v>443.825</v>
      </c>
      <c r="T6" s="0" t="n">
        <v>5038.4</v>
      </c>
      <c r="U6" s="0" t="n">
        <v>6.857</v>
      </c>
      <c r="AA6" s="0" t="s">
        <v>18</v>
      </c>
      <c r="AB6" s="0" t="s">
        <v>14</v>
      </c>
      <c r="AD6" s="0" t="n">
        <v>937.25</v>
      </c>
      <c r="AE6" s="0" t="n">
        <v>58.218</v>
      </c>
      <c r="AF6" s="0" t="n">
        <v>1.709</v>
      </c>
      <c r="AG6" s="0" t="n">
        <v>714.7</v>
      </c>
    </row>
    <row r="7" customFormat="false" ht="15" hidden="false" customHeight="false" outlineLevel="0" collapsed="false">
      <c r="A7" s="0" t="s">
        <v>74</v>
      </c>
      <c r="B7" s="0" t="n">
        <v>2296.622</v>
      </c>
      <c r="C7" s="0" t="n">
        <v>2165.671</v>
      </c>
      <c r="D7" s="0" t="n">
        <v>130.951</v>
      </c>
      <c r="E7" s="0" t="n">
        <v>5.7</v>
      </c>
      <c r="F7" s="0" t="n">
        <v>117.563</v>
      </c>
      <c r="G7" s="0" t="n">
        <v>5.1</v>
      </c>
      <c r="H7" s="0" t="n">
        <v>347.2</v>
      </c>
      <c r="I7" s="0" t="n">
        <v>109.379</v>
      </c>
      <c r="J7" s="0" t="n">
        <v>4.8</v>
      </c>
      <c r="K7" s="0" t="n">
        <v>0.0205</v>
      </c>
      <c r="L7" s="0" t="n">
        <v>353.4</v>
      </c>
      <c r="M7" s="0" t="n">
        <v>252.072</v>
      </c>
      <c r="N7" s="0" t="n">
        <v>101.328</v>
      </c>
      <c r="O7" s="0" t="n">
        <v>1797.929</v>
      </c>
      <c r="P7" s="0" t="n">
        <v>2432.462</v>
      </c>
      <c r="Q7" s="0" t="n">
        <v>634.533</v>
      </c>
      <c r="R7" s="0" t="n">
        <v>300.4</v>
      </c>
      <c r="S7" s="0" t="n">
        <v>261.399</v>
      </c>
      <c r="T7" s="0" t="n">
        <v>5208.5</v>
      </c>
      <c r="U7" s="0" t="n">
        <v>5.918</v>
      </c>
      <c r="AA7" s="0" t="s">
        <v>18</v>
      </c>
      <c r="AB7" s="0" t="s">
        <v>14</v>
      </c>
      <c r="AC7" s="0" t="n">
        <v>132.2</v>
      </c>
      <c r="AD7" s="0" t="n">
        <v>354.062</v>
      </c>
      <c r="AE7" s="0" t="n">
        <v>64.287</v>
      </c>
      <c r="AF7" s="0" t="n">
        <v>4.822</v>
      </c>
      <c r="AG7" s="0" t="n">
        <v>119.2</v>
      </c>
    </row>
    <row r="8" customFormat="false" ht="15" hidden="false" customHeight="false" outlineLevel="0" collapsed="false">
      <c r="A8" s="0" t="s">
        <v>75</v>
      </c>
      <c r="B8" s="0" t="n">
        <v>2581.552</v>
      </c>
      <c r="C8" s="0" t="n">
        <v>2446.312</v>
      </c>
      <c r="D8" s="0" t="n">
        <v>135.24</v>
      </c>
      <c r="E8" s="0" t="n">
        <v>5.2</v>
      </c>
      <c r="F8" s="0" t="n">
        <v>142.191</v>
      </c>
      <c r="G8" s="0" t="n">
        <v>5.5</v>
      </c>
      <c r="H8" s="0" t="n">
        <v>333.4</v>
      </c>
      <c r="I8" s="0" t="n">
        <v>131.697</v>
      </c>
      <c r="J8" s="0" t="n">
        <v>5.1</v>
      </c>
      <c r="K8" s="0" t="n">
        <v>0.0247</v>
      </c>
      <c r="L8" s="0" t="n">
        <v>309.335</v>
      </c>
      <c r="M8" s="0" t="n">
        <v>128.405</v>
      </c>
      <c r="N8" s="0" t="n">
        <v>180.93</v>
      </c>
      <c r="O8" s="0" t="n">
        <v>1826.644</v>
      </c>
      <c r="P8" s="0" t="n">
        <v>2414.035</v>
      </c>
      <c r="Q8" s="0" t="n">
        <v>587.391</v>
      </c>
      <c r="R8" s="0" t="n">
        <v>262.318</v>
      </c>
      <c r="S8" s="0" t="n">
        <v>282.037</v>
      </c>
      <c r="T8" s="0" t="n">
        <v>5184.9</v>
      </c>
      <c r="U8" s="0" t="n">
        <v>5.614</v>
      </c>
      <c r="AA8" s="0" t="s">
        <v>18</v>
      </c>
      <c r="AB8" s="0" t="s">
        <v>14</v>
      </c>
      <c r="AC8" s="0" t="n">
        <v>132.7</v>
      </c>
      <c r="AD8" s="0" t="n">
        <v>309.163</v>
      </c>
      <c r="AE8" s="0" t="n">
        <v>46.78</v>
      </c>
      <c r="AF8" s="0" t="n">
        <v>5.532</v>
      </c>
      <c r="AG8" s="0" t="n">
        <v>114.1</v>
      </c>
    </row>
    <row r="9" customFormat="false" ht="15" hidden="false" customHeight="false" outlineLevel="0" collapsed="false">
      <c r="A9" s="0" t="s">
        <v>76</v>
      </c>
      <c r="B9" s="0" t="n">
        <v>2081.039</v>
      </c>
      <c r="C9" s="0" t="n">
        <v>2005.2</v>
      </c>
      <c r="D9" s="0" t="n">
        <v>75.839</v>
      </c>
      <c r="E9" s="0" t="n">
        <v>3.6</v>
      </c>
      <c r="F9" s="0" t="n">
        <v>69.253</v>
      </c>
      <c r="G9" s="0" t="n">
        <v>3.3</v>
      </c>
      <c r="H9" s="0" t="n">
        <v>263.1</v>
      </c>
      <c r="I9" s="0" t="n">
        <v>58.172</v>
      </c>
      <c r="J9" s="0" t="n">
        <v>2.8</v>
      </c>
      <c r="K9" s="0" t="n">
        <v>0.0113</v>
      </c>
      <c r="L9" s="0" t="n">
        <v>270.906</v>
      </c>
      <c r="M9" s="0" t="n">
        <v>116.416</v>
      </c>
      <c r="N9" s="0" t="n">
        <v>154.49</v>
      </c>
      <c r="O9" s="0" t="n">
        <v>1824.982</v>
      </c>
      <c r="P9" s="0" t="n">
        <v>2278.427</v>
      </c>
      <c r="Q9" s="0" t="n">
        <v>453.445</v>
      </c>
      <c r="R9" s="0" t="n">
        <v>136.521</v>
      </c>
      <c r="S9" s="0" t="n">
        <v>270.559</v>
      </c>
      <c r="T9" s="0" t="n">
        <v>5102.8</v>
      </c>
      <c r="U9" s="0" t="n">
        <v>4.289</v>
      </c>
      <c r="AA9" s="0" t="s">
        <v>18</v>
      </c>
      <c r="AB9" s="0" t="s">
        <v>14</v>
      </c>
      <c r="AC9" s="0" t="n">
        <v>72.3</v>
      </c>
      <c r="AD9" s="0" t="n">
        <v>271.543</v>
      </c>
      <c r="AE9" s="0" t="n">
        <v>37.222</v>
      </c>
      <c r="AF9" s="0" t="n">
        <v>6.899</v>
      </c>
      <c r="AG9" s="0" t="n">
        <v>59.2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3.76</v>
      </c>
    </row>
    <row r="3" customFormat="false" ht="15" hidden="false" customHeight="false" outlineLevel="0" collapsed="false">
      <c r="A3" s="0" t="s">
        <v>80</v>
      </c>
      <c r="B3" s="3" t="n">
        <v>5140.565</v>
      </c>
    </row>
    <row r="4" customFormat="false" ht="15" hidden="false" customHeight="false" outlineLevel="0" collapsed="false">
      <c r="A4" s="0" t="s">
        <v>81</v>
      </c>
      <c r="B4" s="3" t="n">
        <v>-157.221</v>
      </c>
    </row>
    <row r="5" customFormat="false" ht="15" hidden="false" customHeight="false" outlineLevel="0" collapsed="false">
      <c r="A5" s="0" t="s">
        <v>82</v>
      </c>
      <c r="B5" s="3" t="n">
        <v>0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2081.039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7.8479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8</v>
      </c>
      <c r="D13" s="3" t="n">
        <v>-10</v>
      </c>
      <c r="E13" s="3" t="n">
        <v>-3</v>
      </c>
      <c r="F13" s="3" t="n">
        <v>1.5</v>
      </c>
      <c r="G13" s="3" t="n">
        <v>1.5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101</v>
      </c>
      <c r="C14" s="3" t="n">
        <v>16.5</v>
      </c>
      <c r="D14" s="3" t="n">
        <v>12</v>
      </c>
      <c r="E14" s="3" t="n">
        <v>11.5</v>
      </c>
      <c r="F14" s="3" t="n">
        <v>12</v>
      </c>
      <c r="G14" s="3" t="n">
        <v>12</v>
      </c>
      <c r="H14" s="3" t="n">
        <v>12</v>
      </c>
      <c r="I14" s="3" t="n">
        <v>12</v>
      </c>
      <c r="J14" s="3" t="n">
        <v>12</v>
      </c>
      <c r="K14" s="3" t="n">
        <v>12</v>
      </c>
      <c r="L14" s="3" t="n">
        <v>12</v>
      </c>
    </row>
    <row r="15" customFormat="false" ht="15" hidden="false" customHeight="false" outlineLevel="0" collapsed="false">
      <c r="A15" s="0" t="s">
        <v>102</v>
      </c>
      <c r="C15" s="3" t="n">
        <v>0.25</v>
      </c>
      <c r="D15" s="3" t="n">
        <v>0.25</v>
      </c>
      <c r="E15" s="3" t="n">
        <v>0.25</v>
      </c>
      <c r="F15" s="3" t="n">
        <v>0.25</v>
      </c>
      <c r="G15" s="3" t="n">
        <v>0.25</v>
      </c>
      <c r="H15" s="3" t="n">
        <v>0.25</v>
      </c>
      <c r="I15" s="3" t="n">
        <v>0.25</v>
      </c>
      <c r="J15" s="3" t="n">
        <v>0.25</v>
      </c>
      <c r="K15" s="3" t="n">
        <v>0.25</v>
      </c>
      <c r="L15" s="3" t="n">
        <v>0.25</v>
      </c>
    </row>
    <row r="16" customFormat="false" ht="15" hidden="false" customHeight="false" outlineLevel="0" collapsed="false">
      <c r="A16" s="0" t="s">
        <v>103</v>
      </c>
      <c r="C16" s="3" t="n">
        <v>2</v>
      </c>
      <c r="D16" s="3" t="n">
        <v>2</v>
      </c>
      <c r="E16" s="3" t="n">
        <v>2</v>
      </c>
      <c r="F16" s="3" t="n">
        <v>2</v>
      </c>
      <c r="G16" s="3" t="n">
        <v>2</v>
      </c>
      <c r="H16" s="3" t="n">
        <v>2</v>
      </c>
      <c r="I16" s="3" t="n">
        <v>2</v>
      </c>
      <c r="J16" s="3" t="n">
        <v>2</v>
      </c>
      <c r="K16" s="3" t="n">
        <v>2</v>
      </c>
      <c r="L16" s="3" t="n">
        <v>2</v>
      </c>
    </row>
    <row r="17" customFormat="false" ht="15" hidden="false" customHeight="false" outlineLevel="0" collapsed="false">
      <c r="A17" s="0" t="s">
        <v>104</v>
      </c>
      <c r="C17" s="3" t="n">
        <v>7.3</v>
      </c>
      <c r="D17" s="3" t="n">
        <v>7.3</v>
      </c>
      <c r="E17" s="3" t="n">
        <v>7.3</v>
      </c>
      <c r="F17" s="3" t="n">
        <v>7.3</v>
      </c>
      <c r="G17" s="3" t="n">
        <v>7.3</v>
      </c>
      <c r="H17" s="3" t="n">
        <v>7.3</v>
      </c>
      <c r="I17" s="3" t="n">
        <v>7.3</v>
      </c>
      <c r="J17" s="3" t="n">
        <v>7.3</v>
      </c>
      <c r="K17" s="3" t="n">
        <v>7.3</v>
      </c>
      <c r="L17" s="3" t="n">
        <v>7.3</v>
      </c>
    </row>
    <row r="18" customFormat="false" ht="15" hidden="false" customHeight="false" outlineLevel="0" collapsed="false">
      <c r="A18" s="0" t="s">
        <v>105</v>
      </c>
      <c r="C18" s="3" t="n">
        <v>6.5</v>
      </c>
      <c r="D18" s="3" t="n">
        <v>6.5</v>
      </c>
      <c r="E18" s="3" t="n">
        <v>6.5</v>
      </c>
      <c r="F18" s="3" t="n">
        <v>6.5</v>
      </c>
      <c r="G18" s="3" t="n">
        <v>6.5</v>
      </c>
      <c r="H18" s="3" t="n">
        <v>6.5</v>
      </c>
      <c r="I18" s="3" t="n">
        <v>6.5</v>
      </c>
      <c r="J18" s="3" t="n">
        <v>6.5</v>
      </c>
      <c r="K18" s="3" t="n">
        <v>6.5</v>
      </c>
      <c r="L18" s="3" t="n">
        <v>6.5</v>
      </c>
    </row>
    <row r="19" customFormat="false" ht="15" hidden="false" customHeight="false" outlineLevel="0" collapsed="false">
      <c r="A19" s="0" t="s">
        <v>106</v>
      </c>
      <c r="C19" s="3" t="n">
        <v>1</v>
      </c>
      <c r="D19" s="3" t="n">
        <v>1</v>
      </c>
      <c r="E19" s="3" t="n">
        <v>1</v>
      </c>
      <c r="F19" s="3" t="n">
        <v>1</v>
      </c>
      <c r="G19" s="3" t="n">
        <v>1</v>
      </c>
      <c r="H19" s="3" t="n">
        <v>1</v>
      </c>
      <c r="I19" s="3" t="n">
        <v>1</v>
      </c>
      <c r="J19" s="3" t="n">
        <v>1</v>
      </c>
      <c r="K19" s="3" t="n">
        <v>1</v>
      </c>
      <c r="L19" s="3" t="n">
        <v>1</v>
      </c>
    </row>
    <row r="20" customFormat="false" ht="15" hidden="false" customHeight="false" outlineLevel="0" collapsed="false">
      <c r="A20" s="0" t="s">
        <v>107</v>
      </c>
      <c r="B20" s="3" t="n">
        <v>9.5</v>
      </c>
    </row>
    <row r="21" customFormat="false" ht="15" hidden="false" customHeight="false" outlineLevel="0" collapsed="false">
      <c r="A21" s="0" t="s">
        <v>108</v>
      </c>
      <c r="B21" s="3" t="n">
        <v>1.5</v>
      </c>
    </row>
    <row r="22" customFormat="false" ht="15" hidden="false" customHeight="false" outlineLevel="0" collapsed="false">
      <c r="A22" s="0" t="s">
        <v>109</v>
      </c>
      <c r="B22" s="3" t="n">
        <v>12</v>
      </c>
    </row>
    <row r="23" customFormat="false" ht="15" hidden="false" customHeight="false" outlineLevel="0" collapsed="false">
      <c r="A23" s="0" t="s">
        <v>110</v>
      </c>
      <c r="B23" s="3" t="n">
        <v>-5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9</v>
      </c>
      <c r="D27" s="3" t="n">
        <v>-3</v>
      </c>
      <c r="E27" s="3" t="n">
        <v>0</v>
      </c>
      <c r="F27" s="3" t="n">
        <v>2.5</v>
      </c>
      <c r="G27" s="3" t="n">
        <v>2.5</v>
      </c>
      <c r="H27" s="3" t="n">
        <v>2.5</v>
      </c>
      <c r="I27" s="3" t="n">
        <v>2.5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101</v>
      </c>
      <c r="C28" s="3" t="n">
        <v>17</v>
      </c>
      <c r="D28" s="3" t="n">
        <v>15.5</v>
      </c>
      <c r="E28" s="3" t="n">
        <v>15</v>
      </c>
      <c r="F28" s="3" t="n">
        <v>15</v>
      </c>
      <c r="G28" s="3" t="n">
        <v>15</v>
      </c>
      <c r="H28" s="3" t="n">
        <v>15</v>
      </c>
      <c r="I28" s="3" t="n">
        <v>15</v>
      </c>
      <c r="J28" s="3" t="n">
        <v>15</v>
      </c>
      <c r="K28" s="3" t="n">
        <v>15</v>
      </c>
      <c r="L28" s="3" t="n">
        <v>15</v>
      </c>
    </row>
    <row r="29" customFormat="false" ht="15" hidden="false" customHeight="false" outlineLevel="0" collapsed="false">
      <c r="A29" s="0" t="s">
        <v>102</v>
      </c>
      <c r="C29" s="3" t="n">
        <v>0.25</v>
      </c>
      <c r="D29" s="3" t="n">
        <v>0.25</v>
      </c>
      <c r="E29" s="3" t="n">
        <v>0.25</v>
      </c>
      <c r="F29" s="3" t="n">
        <v>0.25</v>
      </c>
      <c r="G29" s="3" t="n">
        <v>0.25</v>
      </c>
      <c r="H29" s="3" t="n">
        <v>0.25</v>
      </c>
      <c r="I29" s="3" t="n">
        <v>0.25</v>
      </c>
      <c r="J29" s="3" t="n">
        <v>0.25</v>
      </c>
      <c r="K29" s="3" t="n">
        <v>0.25</v>
      </c>
      <c r="L29" s="3" t="n">
        <v>0.25</v>
      </c>
    </row>
    <row r="30" customFormat="false" ht="15" hidden="false" customHeight="false" outlineLevel="0" collapsed="false">
      <c r="A30" s="0" t="s">
        <v>103</v>
      </c>
      <c r="C30" s="3" t="n">
        <v>2</v>
      </c>
      <c r="D30" s="3" t="n">
        <v>2</v>
      </c>
      <c r="E30" s="3" t="n">
        <v>2</v>
      </c>
      <c r="F30" s="3" t="n">
        <v>2</v>
      </c>
      <c r="G30" s="3" t="n">
        <v>2</v>
      </c>
      <c r="H30" s="3" t="n">
        <v>2</v>
      </c>
      <c r="I30" s="3" t="n">
        <v>2</v>
      </c>
      <c r="J30" s="3" t="n">
        <v>2</v>
      </c>
      <c r="K30" s="3" t="n">
        <v>2</v>
      </c>
      <c r="L30" s="3" t="n">
        <v>2</v>
      </c>
    </row>
    <row r="31" customFormat="false" ht="15" hidden="false" customHeight="false" outlineLevel="0" collapsed="false">
      <c r="A31" s="0" t="s">
        <v>104</v>
      </c>
      <c r="C31" s="3" t="n">
        <v>7.3</v>
      </c>
      <c r="D31" s="3" t="n">
        <v>7.3</v>
      </c>
      <c r="E31" s="3" t="n">
        <v>7.3</v>
      </c>
      <c r="F31" s="3" t="n">
        <v>7.3</v>
      </c>
      <c r="G31" s="3" t="n">
        <v>7.3</v>
      </c>
      <c r="H31" s="3" t="n">
        <v>7.3</v>
      </c>
      <c r="I31" s="3" t="n">
        <v>7.3</v>
      </c>
      <c r="J31" s="3" t="n">
        <v>7.3</v>
      </c>
      <c r="K31" s="3" t="n">
        <v>7.3</v>
      </c>
      <c r="L31" s="3" t="n">
        <v>7.3</v>
      </c>
    </row>
    <row r="32" customFormat="false" ht="15" hidden="false" customHeight="false" outlineLevel="0" collapsed="false">
      <c r="A32" s="0" t="s">
        <v>105</v>
      </c>
      <c r="C32" s="3" t="n">
        <v>6.5</v>
      </c>
      <c r="D32" s="3" t="n">
        <v>6.5</v>
      </c>
      <c r="E32" s="3" t="n">
        <v>6.5</v>
      </c>
      <c r="F32" s="3" t="n">
        <v>6</v>
      </c>
      <c r="G32" s="3" t="n">
        <v>6</v>
      </c>
      <c r="H32" s="3" t="n">
        <v>6</v>
      </c>
      <c r="I32" s="3" t="n">
        <v>6</v>
      </c>
      <c r="J32" s="3" t="n">
        <v>6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106</v>
      </c>
      <c r="C33" s="3" t="n">
        <v>1</v>
      </c>
      <c r="D33" s="3" t="n">
        <v>1</v>
      </c>
      <c r="E33" s="3" t="n">
        <v>1</v>
      </c>
      <c r="F33" s="3" t="n">
        <v>1</v>
      </c>
      <c r="G33" s="3" t="n">
        <v>1</v>
      </c>
      <c r="H33" s="3" t="n">
        <v>1</v>
      </c>
      <c r="I33" s="3" t="n">
        <v>1</v>
      </c>
      <c r="J33" s="3" t="n">
        <v>1</v>
      </c>
      <c r="K33" s="3" t="n">
        <v>1</v>
      </c>
      <c r="L33" s="3" t="n">
        <v>1</v>
      </c>
    </row>
    <row r="34" customFormat="false" ht="15" hidden="false" customHeight="false" outlineLevel="0" collapsed="false">
      <c r="A34" s="0" t="s">
        <v>107</v>
      </c>
      <c r="B34" s="3" t="n">
        <v>9.5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12</v>
      </c>
    </row>
    <row r="37" customFormat="false" ht="15" hidden="false" customHeight="false" outlineLevel="0" collapsed="false">
      <c r="A37" s="0" t="s">
        <v>110</v>
      </c>
      <c r="B37" s="3" t="n">
        <v>-5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10</v>
      </c>
      <c r="D41" s="3" t="n">
        <v>5</v>
      </c>
      <c r="E41" s="3" t="n">
        <v>3</v>
      </c>
      <c r="F41" s="3" t="n">
        <v>3</v>
      </c>
      <c r="G41" s="3" t="n">
        <v>3</v>
      </c>
      <c r="H41" s="3" t="n">
        <v>3</v>
      </c>
      <c r="I41" s="3" t="n">
        <v>3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101</v>
      </c>
      <c r="C42" s="3" t="n">
        <v>17.5</v>
      </c>
      <c r="D42" s="3" t="n">
        <v>18.5</v>
      </c>
      <c r="E42" s="3" t="n">
        <v>18</v>
      </c>
      <c r="F42" s="3" t="n">
        <v>18</v>
      </c>
      <c r="G42" s="3" t="n">
        <v>18</v>
      </c>
      <c r="H42" s="3" t="n">
        <v>18</v>
      </c>
      <c r="I42" s="3" t="n">
        <v>18</v>
      </c>
      <c r="J42" s="3" t="n">
        <v>18</v>
      </c>
      <c r="K42" s="3" t="n">
        <v>18</v>
      </c>
      <c r="L42" s="3" t="n">
        <v>18</v>
      </c>
    </row>
    <row r="43" customFormat="false" ht="15" hidden="false" customHeight="false" outlineLevel="0" collapsed="false">
      <c r="A43" s="0" t="s">
        <v>102</v>
      </c>
      <c r="C43" s="3" t="n">
        <v>0.25</v>
      </c>
      <c r="D43" s="3" t="n">
        <v>0.25</v>
      </c>
      <c r="E43" s="3" t="n">
        <v>0.25</v>
      </c>
      <c r="F43" s="3" t="n">
        <v>0.25</v>
      </c>
      <c r="G43" s="3" t="n">
        <v>0.25</v>
      </c>
      <c r="H43" s="3" t="n">
        <v>0.25</v>
      </c>
      <c r="I43" s="3" t="n">
        <v>0.25</v>
      </c>
      <c r="J43" s="3" t="n">
        <v>0.25</v>
      </c>
      <c r="K43" s="3" t="n">
        <v>0.25</v>
      </c>
      <c r="L43" s="3" t="n">
        <v>0.25</v>
      </c>
    </row>
    <row r="44" customFormat="false" ht="15" hidden="false" customHeight="false" outlineLevel="0" collapsed="false">
      <c r="A44" s="0" t="s">
        <v>103</v>
      </c>
      <c r="C44" s="3" t="n">
        <v>2</v>
      </c>
      <c r="D44" s="3" t="n">
        <v>2</v>
      </c>
      <c r="E44" s="3" t="n">
        <v>2</v>
      </c>
      <c r="F44" s="3" t="n">
        <v>2</v>
      </c>
      <c r="G44" s="3" t="n">
        <v>2</v>
      </c>
      <c r="H44" s="3" t="n">
        <v>2</v>
      </c>
      <c r="I44" s="3" t="n">
        <v>2</v>
      </c>
      <c r="J44" s="3" t="n">
        <v>2</v>
      </c>
      <c r="K44" s="3" t="n">
        <v>2</v>
      </c>
      <c r="L44" s="3" t="n">
        <v>2</v>
      </c>
    </row>
    <row r="45" customFormat="false" ht="15" hidden="false" customHeight="false" outlineLevel="0" collapsed="false">
      <c r="A45" s="0" t="s">
        <v>104</v>
      </c>
      <c r="C45" s="3" t="n">
        <v>7.3</v>
      </c>
      <c r="D45" s="3" t="n">
        <v>7.3</v>
      </c>
      <c r="E45" s="3" t="n">
        <v>7.3</v>
      </c>
      <c r="F45" s="3" t="n">
        <v>7.3</v>
      </c>
      <c r="G45" s="3" t="n">
        <v>7.3</v>
      </c>
      <c r="H45" s="3" t="n">
        <v>7.3</v>
      </c>
      <c r="I45" s="3" t="n">
        <v>7.3</v>
      </c>
      <c r="J45" s="3" t="n">
        <v>7.3</v>
      </c>
      <c r="K45" s="3" t="n">
        <v>7.3</v>
      </c>
      <c r="L45" s="3" t="n">
        <v>7.3</v>
      </c>
    </row>
    <row r="46" customFormat="false" ht="15" hidden="false" customHeight="false" outlineLevel="0" collapsed="false">
      <c r="A46" s="0" t="s">
        <v>105</v>
      </c>
      <c r="C46" s="3" t="n">
        <v>6.5</v>
      </c>
      <c r="D46" s="3" t="n">
        <v>6.5</v>
      </c>
      <c r="E46" s="3" t="n">
        <v>6</v>
      </c>
      <c r="F46" s="3" t="n">
        <v>5.5</v>
      </c>
      <c r="G46" s="3" t="n">
        <v>5.5</v>
      </c>
      <c r="H46" s="3" t="n">
        <v>5.5</v>
      </c>
      <c r="I46" s="3" t="n">
        <v>5.5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106</v>
      </c>
      <c r="C47" s="3" t="n">
        <v>1</v>
      </c>
      <c r="D47" s="3" t="n">
        <v>1</v>
      </c>
      <c r="E47" s="3" t="n">
        <v>1</v>
      </c>
      <c r="F47" s="3" t="n">
        <v>1</v>
      </c>
      <c r="G47" s="3" t="n">
        <v>1</v>
      </c>
      <c r="H47" s="3" t="n">
        <v>1</v>
      </c>
      <c r="I47" s="3" t="n">
        <v>1</v>
      </c>
      <c r="J47" s="3" t="n">
        <v>1</v>
      </c>
      <c r="K47" s="3" t="n">
        <v>1</v>
      </c>
      <c r="L47" s="3" t="n">
        <v>1</v>
      </c>
    </row>
    <row r="48" customFormat="false" ht="15" hidden="false" customHeight="false" outlineLevel="0" collapsed="false">
      <c r="A48" s="0" t="s">
        <v>107</v>
      </c>
      <c r="B48" s="3" t="n">
        <v>9.5</v>
      </c>
    </row>
    <row r="49" customFormat="false" ht="15" hidden="false" customHeight="false" outlineLevel="0" collapsed="false">
      <c r="A49" s="0" t="s">
        <v>108</v>
      </c>
      <c r="B49" s="3" t="n">
        <v>2</v>
      </c>
    </row>
    <row r="50" customFormat="false" ht="15" hidden="false" customHeight="false" outlineLevel="0" collapsed="false">
      <c r="A50" s="0" t="s">
        <v>109</v>
      </c>
      <c r="B50" s="3" t="n">
        <v>12</v>
      </c>
    </row>
    <row r="51" customFormat="false" ht="15" hidden="false" customHeight="false" outlineLevel="0" collapsed="false">
      <c r="A51" s="0" t="s">
        <v>110</v>
      </c>
      <c r="B51" s="3" t="n">
        <v>-5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8</v>
      </c>
      <c r="D5" s="4" t="n">
        <f aca="false">Assumptions!D13</f>
        <v>-10</v>
      </c>
      <c r="E5" s="4" t="n">
        <f aca="false">Assumptions!E13</f>
        <v>-3</v>
      </c>
      <c r="F5" s="4" t="n">
        <f aca="false">Assumptions!F13</f>
        <v>1.5</v>
      </c>
      <c r="G5" s="4" t="n">
        <f aca="false">Assumptions!G13</f>
        <v>1.5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2081.039</v>
      </c>
      <c r="C6" s="0" t="n">
        <f aca="false">B6*(1+C5/100)</f>
        <v>2247.52212</v>
      </c>
      <c r="D6" s="0" t="n">
        <f aca="false">C6*(1+D5/100)</f>
        <v>2022.769908</v>
      </c>
      <c r="E6" s="0" t="n">
        <f aca="false">D6*(1+E5/100)</f>
        <v>1962.08681076</v>
      </c>
      <c r="F6" s="0" t="n">
        <f aca="false">E6*(1+F5/100)</f>
        <v>1991.5181129214</v>
      </c>
      <c r="G6" s="0" t="n">
        <f aca="false">F6*(1+G5/100)</f>
        <v>2021.39088461522</v>
      </c>
      <c r="H6" s="0" t="n">
        <f aca="false">G6*(1+H5/100)</f>
        <v>2051.71174788445</v>
      </c>
      <c r="I6" s="0" t="n">
        <f aca="false">H6*(1+I5/100)</f>
        <v>2082.48742410272</v>
      </c>
      <c r="J6" s="0" t="n">
        <f aca="false">I6*(1+J5/100)</f>
        <v>2113.72473546426</v>
      </c>
      <c r="K6" s="0" t="n">
        <f aca="false">J6*(1+K5/100)</f>
        <v>2145.43060649622</v>
      </c>
      <c r="L6" s="0" t="n">
        <f aca="false">K6*(1+L5/100)</f>
        <v>2177.61206559366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16.5</v>
      </c>
      <c r="D7" s="4" t="n">
        <f aca="false">Assumptions!D14</f>
        <v>12</v>
      </c>
      <c r="E7" s="4" t="n">
        <f aca="false">Assumptions!E14</f>
        <v>11.5</v>
      </c>
      <c r="F7" s="4" t="n">
        <f aca="false">Assumptions!F14</f>
        <v>12</v>
      </c>
      <c r="G7" s="4" t="n">
        <f aca="false">Assumptions!G14</f>
        <v>12</v>
      </c>
      <c r="H7" s="4" t="n">
        <f aca="false">Assumptions!H14</f>
        <v>12</v>
      </c>
      <c r="I7" s="4" t="n">
        <f aca="false">Assumptions!I14</f>
        <v>12</v>
      </c>
      <c r="J7" s="4" t="n">
        <f aca="false">Assumptions!J14</f>
        <v>12</v>
      </c>
      <c r="K7" s="4" t="n">
        <f aca="false">Assumptions!K14</f>
        <v>12</v>
      </c>
      <c r="L7" s="4" t="n">
        <f aca="false">Assumptions!L14</f>
        <v>12</v>
      </c>
    </row>
    <row r="8" customFormat="false" ht="15" hidden="false" customHeight="false" outlineLevel="0" collapsed="false">
      <c r="A8" s="0" t="s">
        <v>44</v>
      </c>
      <c r="C8" s="0" t="n">
        <f aca="false">C6*C7/100</f>
        <v>370.8411498</v>
      </c>
      <c r="D8" s="0" t="n">
        <f aca="false">D6*D7/100</f>
        <v>242.73238896</v>
      </c>
      <c r="E8" s="0" t="n">
        <f aca="false">E6*E7/100</f>
        <v>225.6399832374</v>
      </c>
      <c r="F8" s="0" t="n">
        <f aca="false">F6*F7/100</f>
        <v>238.982173550568</v>
      </c>
      <c r="G8" s="0" t="n">
        <f aca="false">G6*G7/100</f>
        <v>242.566906153827</v>
      </c>
      <c r="H8" s="0" t="n">
        <f aca="false">H6*H7/100</f>
        <v>246.205409746134</v>
      </c>
      <c r="I8" s="0" t="n">
        <f aca="false">I6*I7/100</f>
        <v>249.898490892326</v>
      </c>
      <c r="J8" s="0" t="n">
        <f aca="false">J6*J7/100</f>
        <v>253.646968255711</v>
      </c>
      <c r="K8" s="0" t="n">
        <f aca="false">K6*K7/100</f>
        <v>257.451672779546</v>
      </c>
      <c r="L8" s="0" t="n">
        <f aca="false">L6*L7/100</f>
        <v>261.31344787124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0.25</v>
      </c>
      <c r="D9" s="4" t="n">
        <f aca="false">Assumptions!D15</f>
        <v>0.25</v>
      </c>
      <c r="E9" s="4" t="n">
        <f aca="false">Assumptions!E15</f>
        <v>0.25</v>
      </c>
      <c r="F9" s="4" t="n">
        <f aca="false">Assumptions!F15</f>
        <v>0.25</v>
      </c>
      <c r="G9" s="4" t="n">
        <f aca="false">Assumptions!G15</f>
        <v>0.25</v>
      </c>
      <c r="H9" s="4" t="n">
        <f aca="false">Assumptions!H15</f>
        <v>0.25</v>
      </c>
      <c r="I9" s="4" t="n">
        <f aca="false">Assumptions!I15</f>
        <v>0.25</v>
      </c>
      <c r="J9" s="4" t="n">
        <f aca="false">Assumptions!J15</f>
        <v>0.25</v>
      </c>
      <c r="K9" s="4" t="n">
        <f aca="false">Assumptions!K15</f>
        <v>0.25</v>
      </c>
      <c r="L9" s="4" t="n">
        <f aca="false">Assumptions!L15</f>
        <v>0.25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-5.6188053</v>
      </c>
      <c r="D10" s="0" t="n">
        <f aca="false">-D6*D9/100</f>
        <v>-5.05692477</v>
      </c>
      <c r="E10" s="0" t="n">
        <f aca="false">-E6*E9/100</f>
        <v>-4.9052170269</v>
      </c>
      <c r="F10" s="0" t="n">
        <f aca="false">-F6*F9/100</f>
        <v>-4.9787952823035</v>
      </c>
      <c r="G10" s="0" t="n">
        <f aca="false">-G6*G9/100</f>
        <v>-5.05347721153805</v>
      </c>
      <c r="H10" s="0" t="n">
        <f aca="false">-H6*H9/100</f>
        <v>-5.12927936971112</v>
      </c>
      <c r="I10" s="0" t="n">
        <f aca="false">-I6*I9/100</f>
        <v>-5.20621856025679</v>
      </c>
      <c r="J10" s="0" t="n">
        <f aca="false">-J6*J9/100</f>
        <v>-5.28431183866064</v>
      </c>
      <c r="K10" s="0" t="n">
        <f aca="false">-K6*K9/100</f>
        <v>-5.36357651624055</v>
      </c>
      <c r="L10" s="0" t="n">
        <f aca="false">-L6*L9/100</f>
        <v>-5.44403016398416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320.2719021</v>
      </c>
      <c r="D11" s="0" t="n">
        <f aca="false">D8+D10+D24</f>
        <v>197.22006603</v>
      </c>
      <c r="E11" s="0" t="n">
        <f aca="false">E8+E10+E24</f>
        <v>181.4930299953</v>
      </c>
      <c r="F11" s="0" t="n">
        <f aca="false">F8+F10+F24</f>
        <v>194.173016009837</v>
      </c>
      <c r="G11" s="0" t="n">
        <f aca="false">G8+G10+G24</f>
        <v>197.085611249984</v>
      </c>
      <c r="H11" s="0" t="n">
        <f aca="false">H8+H10+H24</f>
        <v>200.041895418734</v>
      </c>
      <c r="I11" s="0" t="n">
        <f aca="false">I8+I10+I24</f>
        <v>203.042523850015</v>
      </c>
      <c r="J11" s="0" t="n">
        <f aca="false">J8+J10+J24</f>
        <v>206.088161707765</v>
      </c>
      <c r="K11" s="0" t="n">
        <f aca="false">K8+K10+K24</f>
        <v>209.179484133381</v>
      </c>
      <c r="L11" s="0" t="n">
        <f aca="false">L8+L10+L24</f>
        <v>212.317176395382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-164.06911476</v>
      </c>
      <c r="D12" s="4" t="n">
        <f aca="false">-D6*Assumptions!D17/100</f>
        <v>-147.662203284</v>
      </c>
      <c r="E12" s="4" t="n">
        <f aca="false">-E6*Assumptions!E17/100</f>
        <v>-143.23233718548</v>
      </c>
      <c r="F12" s="4" t="n">
        <f aca="false">-F6*Assumptions!F17/100</f>
        <v>-145.380822243262</v>
      </c>
      <c r="G12" s="4" t="n">
        <f aca="false">-G6*Assumptions!G17/100</f>
        <v>-147.561534576911</v>
      </c>
      <c r="H12" s="4" t="n">
        <f aca="false">-H6*Assumptions!H17/100</f>
        <v>-149.774957595565</v>
      </c>
      <c r="I12" s="4" t="n">
        <f aca="false">-I6*Assumptions!I17/100</f>
        <v>-152.021581959498</v>
      </c>
      <c r="J12" s="4" t="n">
        <f aca="false">-J6*Assumptions!J17/100</f>
        <v>-154.301905688891</v>
      </c>
      <c r="K12" s="4" t="n">
        <f aca="false">-K6*Assumptions!K17/100</f>
        <v>-156.616434274224</v>
      </c>
      <c r="L12" s="4" t="n">
        <f aca="false">-L6*Assumptions!L17/100</f>
        <v>-158.965680788337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156.20278734</v>
      </c>
      <c r="D13" s="0" t="n">
        <f aca="false">D11+D12</f>
        <v>49.557862746</v>
      </c>
      <c r="E13" s="0" t="n">
        <f aca="false">E11+E12</f>
        <v>38.26069280982</v>
      </c>
      <c r="F13" s="0" t="n">
        <f aca="false">F11+F12</f>
        <v>48.7921937665743</v>
      </c>
      <c r="G13" s="0" t="n">
        <f aca="false">G11+G12</f>
        <v>49.5240766730729</v>
      </c>
      <c r="H13" s="0" t="n">
        <f aca="false">H11+H12</f>
        <v>50.266937823169</v>
      </c>
      <c r="I13" s="0" t="n">
        <f aca="false">I11+I12</f>
        <v>51.0209418905166</v>
      </c>
      <c r="J13" s="0" t="n">
        <f aca="false">J11+J12</f>
        <v>51.7862560188742</v>
      </c>
      <c r="K13" s="0" t="n">
        <f aca="false">K11+K12</f>
        <v>52.5630498591574</v>
      </c>
      <c r="L13" s="0" t="n">
        <f aca="false">L11+L12</f>
        <v>53.3514956070448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1</v>
      </c>
      <c r="D14" s="4" t="n">
        <f aca="false">Assumptions!D19</f>
        <v>1</v>
      </c>
      <c r="E14" s="4" t="n">
        <f aca="false">Assumptions!E19</f>
        <v>1</v>
      </c>
      <c r="F14" s="4" t="n">
        <f aca="false">Assumptions!F19</f>
        <v>1</v>
      </c>
      <c r="G14" s="4" t="n">
        <f aca="false">Assumptions!G19</f>
        <v>1</v>
      </c>
      <c r="H14" s="4" t="n">
        <f aca="false">Assumptions!H19</f>
        <v>1</v>
      </c>
      <c r="I14" s="4" t="n">
        <f aca="false">Assumptions!I19</f>
        <v>1</v>
      </c>
      <c r="J14" s="4" t="n">
        <f aca="false">Assumptions!J19</f>
        <v>1</v>
      </c>
      <c r="K14" s="4" t="n">
        <f aca="false">Assumptions!K19</f>
        <v>1</v>
      </c>
      <c r="L14" s="4" t="n">
        <f aca="false">Assumptions!L19</f>
        <v>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154.6407594666</v>
      </c>
      <c r="D15" s="0" t="n">
        <f aca="false">D13-MAX(0,D13)*D14/100</f>
        <v>49.06228411854</v>
      </c>
      <c r="E15" s="0" t="n">
        <f aca="false">E13-MAX(0,E13)*E14/100</f>
        <v>37.8780858817218</v>
      </c>
      <c r="F15" s="0" t="n">
        <f aca="false">F13-MAX(0,F13)*F14/100</f>
        <v>48.3042718289086</v>
      </c>
      <c r="G15" s="0" t="n">
        <f aca="false">G13-MAX(0,G13)*G14/100</f>
        <v>49.0288359063422</v>
      </c>
      <c r="H15" s="0" t="n">
        <f aca="false">H13-MAX(0,H13)*H14/100</f>
        <v>49.7642684449373</v>
      </c>
      <c r="I15" s="0" t="n">
        <f aca="false">I13-MAX(0,I13)*I14/100</f>
        <v>50.5107324716114</v>
      </c>
      <c r="J15" s="0" t="n">
        <f aca="false">J13-MAX(0,J13)*J14/100</f>
        <v>51.2683934586855</v>
      </c>
      <c r="K15" s="0" t="n">
        <f aca="false">K13-MAX(0,K13)*K14/100</f>
        <v>52.0374193605658</v>
      </c>
      <c r="L15" s="0" t="n">
        <f aca="false">L13-MAX(0,L13)*L14/100</f>
        <v>52.8179806509743</v>
      </c>
    </row>
    <row r="16" customFormat="false" ht="15" hidden="false" customHeight="false" outlineLevel="0" collapsed="false">
      <c r="A16" s="0" t="s">
        <v>122</v>
      </c>
      <c r="C16" s="0" t="n">
        <f aca="false">-C12</f>
        <v>164.06911476</v>
      </c>
      <c r="D16" s="0" t="n">
        <f aca="false">-D12</f>
        <v>147.662203284</v>
      </c>
      <c r="E16" s="0" t="n">
        <f aca="false">-E12</f>
        <v>143.23233718548</v>
      </c>
      <c r="F16" s="0" t="n">
        <f aca="false">-F12</f>
        <v>145.380822243262</v>
      </c>
      <c r="G16" s="0" t="n">
        <f aca="false">-G12</f>
        <v>147.561534576911</v>
      </c>
      <c r="H16" s="0" t="n">
        <f aca="false">-H12</f>
        <v>149.774957595565</v>
      </c>
      <c r="I16" s="0" t="n">
        <f aca="false">-I12</f>
        <v>152.021581959498</v>
      </c>
      <c r="J16" s="0" t="n">
        <f aca="false">-J12</f>
        <v>154.301905688891</v>
      </c>
      <c r="K16" s="0" t="n">
        <f aca="false">-K12</f>
        <v>156.616434274224</v>
      </c>
      <c r="L16" s="0" t="n">
        <f aca="false">-L12</f>
        <v>158.965680788337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-146.0889378</v>
      </c>
      <c r="D17" s="4" t="n">
        <f aca="false">-D6*Assumptions!D18/100</f>
        <v>-131.48004402</v>
      </c>
      <c r="E17" s="4" t="n">
        <f aca="false">-E6*Assumptions!E18/100</f>
        <v>-127.5356426994</v>
      </c>
      <c r="F17" s="4" t="n">
        <f aca="false">-F6*Assumptions!F18/100</f>
        <v>-129.448677339891</v>
      </c>
      <c r="G17" s="4" t="n">
        <f aca="false">-G6*Assumptions!G18/100</f>
        <v>-131.390407499989</v>
      </c>
      <c r="H17" s="4" t="n">
        <f aca="false">-H6*Assumptions!H18/100</f>
        <v>-133.361263612489</v>
      </c>
      <c r="I17" s="4" t="n">
        <f aca="false">-I6*Assumptions!I18/100</f>
        <v>-135.361682566677</v>
      </c>
      <c r="J17" s="4" t="n">
        <f aca="false">-J6*Assumptions!J18/100</f>
        <v>-137.392107805177</v>
      </c>
      <c r="K17" s="4" t="n">
        <f aca="false">-K6*Assumptions!K18/100</f>
        <v>-139.452989422254</v>
      </c>
      <c r="L17" s="4" t="n">
        <f aca="false">-L6*Assumptions!L18/100</f>
        <v>-141.544784263588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-8.32415600000002</v>
      </c>
      <c r="D18" s="4" t="n">
        <f aca="false">(D6-C6)*Assumptions!$B$23/100</f>
        <v>11.2376106</v>
      </c>
      <c r="E18" s="4" t="n">
        <f aca="false">(E6-D6)*Assumptions!$B$23/100</f>
        <v>3.034154862</v>
      </c>
      <c r="F18" s="4" t="n">
        <f aca="false">(F6-E6)*Assumptions!$B$23/100</f>
        <v>-1.47156510806999</v>
      </c>
      <c r="G18" s="4" t="n">
        <f aca="false">(G6-F6)*Assumptions!$B$23/100</f>
        <v>-1.49363858469104</v>
      </c>
      <c r="H18" s="4" t="n">
        <f aca="false">(H6-G6)*Assumptions!$B$23/100</f>
        <v>-1.51604316346142</v>
      </c>
      <c r="I18" s="4" t="n">
        <f aca="false">(I6-H6)*Assumptions!$B$23/100</f>
        <v>-1.53878381091333</v>
      </c>
      <c r="J18" s="4" t="n">
        <f aca="false">(J6-I6)*Assumptions!$B$23/100</f>
        <v>-1.56186556807702</v>
      </c>
      <c r="K18" s="4" t="n">
        <f aca="false">(K6-J6)*Assumptions!$B$23/100</f>
        <v>-1.58529355159819</v>
      </c>
      <c r="L18" s="4" t="n">
        <f aca="false">(L6-K6)*Assumptions!$B$23/100</f>
        <v>-1.60907295487216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164.2967804266</v>
      </c>
      <c r="D19" s="0" t="n">
        <f aca="false">D15+D16+D17+D18</f>
        <v>76.48205398254</v>
      </c>
      <c r="E19" s="0" t="n">
        <f aca="false">E15+E16+E17+E18</f>
        <v>56.6089352298018</v>
      </c>
      <c r="F19" s="0" t="n">
        <f aca="false">F15+F16+F17+F18</f>
        <v>62.7648516242098</v>
      </c>
      <c r="G19" s="0" t="n">
        <f aca="false">G15+G16+G17+G18</f>
        <v>63.7063243985729</v>
      </c>
      <c r="H19" s="0" t="n">
        <f aca="false">H15+H16+H17+H18</f>
        <v>64.6619192645515</v>
      </c>
      <c r="I19" s="0" t="n">
        <f aca="false">I15+I16+I17+I18</f>
        <v>65.6318480535198</v>
      </c>
      <c r="J19" s="0" t="n">
        <f aca="false">J15+J16+J17+J18</f>
        <v>66.6163257743225</v>
      </c>
      <c r="K19" s="0" t="n">
        <f aca="false">K15+K16+K17+K18</f>
        <v>67.6155706609374</v>
      </c>
      <c r="L19" s="0" t="n">
        <f aca="false">L15+L16+L17+L18</f>
        <v>68.6298042208515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150.042721850776</v>
      </c>
      <c r="D21" s="0" t="n">
        <f aca="false">D19*D20</f>
        <v>63.7868718188028</v>
      </c>
      <c r="E21" s="0" t="n">
        <f aca="false">E19*E20</f>
        <v>43.1164135394268</v>
      </c>
      <c r="F21" s="0" t="n">
        <f aca="false">F19*F20</f>
        <v>43.6576173241151</v>
      </c>
      <c r="G21" s="0" t="n">
        <f aca="false">G19*G20</f>
        <v>40.4680197113944</v>
      </c>
      <c r="H21" s="0" t="n">
        <f aca="false">H19*H20</f>
        <v>37.5114520612468</v>
      </c>
      <c r="I21" s="0" t="n">
        <f aca="false">I19*I20</f>
        <v>34.7708893535758</v>
      </c>
      <c r="J21" s="0" t="n">
        <f aca="false">J19*J20</f>
        <v>32.2305504053693</v>
      </c>
      <c r="K21" s="0" t="n">
        <f aca="false">K19*K20</f>
        <v>29.8758069967579</v>
      </c>
      <c r="L21" s="0" t="n">
        <f aca="false">L19*L20</f>
        <v>27.6930996362642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2</v>
      </c>
      <c r="D23" s="4" t="n">
        <f aca="false">Assumptions!D16</f>
        <v>2</v>
      </c>
      <c r="E23" s="4" t="n">
        <f aca="false">Assumptions!E16</f>
        <v>2</v>
      </c>
      <c r="F23" s="4" t="n">
        <f aca="false">Assumptions!F16</f>
        <v>2</v>
      </c>
      <c r="G23" s="4" t="n">
        <f aca="false">Assumptions!G16</f>
        <v>2</v>
      </c>
      <c r="H23" s="4" t="n">
        <f aca="false">Assumptions!H16</f>
        <v>2</v>
      </c>
      <c r="I23" s="4" t="n">
        <f aca="false">Assumptions!I16</f>
        <v>2</v>
      </c>
      <c r="J23" s="4" t="n">
        <f aca="false">Assumptions!J16</f>
        <v>2</v>
      </c>
      <c r="K23" s="4" t="n">
        <f aca="false">Assumptions!K16</f>
        <v>2</v>
      </c>
      <c r="L23" s="4" t="n">
        <f aca="false">Assumptions!L16</f>
        <v>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-44.9504424</v>
      </c>
      <c r="D24" s="0" t="n">
        <f aca="false">-D6*D23/100</f>
        <v>-40.45539816</v>
      </c>
      <c r="E24" s="0" t="n">
        <f aca="false">-E6*E23/100</f>
        <v>-39.2417362152</v>
      </c>
      <c r="F24" s="0" t="n">
        <f aca="false">-F6*F23/100</f>
        <v>-39.830362258428</v>
      </c>
      <c r="G24" s="0" t="n">
        <f aca="false">-G6*G23/100</f>
        <v>-40.4278176923044</v>
      </c>
      <c r="H24" s="0" t="n">
        <f aca="false">-H6*H23/100</f>
        <v>-41.034234957689</v>
      </c>
      <c r="I24" s="0" t="n">
        <f aca="false">-I6*I23/100</f>
        <v>-41.6497484820543</v>
      </c>
      <c r="J24" s="0" t="n">
        <f aca="false">-J6*J23/100</f>
        <v>-42.2744947092851</v>
      </c>
      <c r="K24" s="0" t="n">
        <f aca="false">-K6*K23/100</f>
        <v>-42.9086121299244</v>
      </c>
      <c r="L24" s="0" t="n">
        <f aca="false">-L6*L23/100</f>
        <v>-43.5522413118733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503.153442697729</v>
      </c>
    </row>
    <row r="31" customFormat="false" ht="15" hidden="false" customHeight="false" outlineLevel="0" collapsed="false">
      <c r="A31" s="0" t="s">
        <v>131</v>
      </c>
      <c r="B31" s="0" t="n">
        <f aca="false">L19</f>
        <v>68.6298042208515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870.740641052053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823.557650650218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823.557650650218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332.31719563517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835.4706383329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992.6916383329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1.51550358928887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-0.596940534763597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32.615237783299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27.8711819408519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1.60784584609395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515.994453956772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1.06993912821768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9</v>
      </c>
      <c r="D5" s="4" t="n">
        <f aca="false">Assumptions!D27</f>
        <v>-3</v>
      </c>
      <c r="E5" s="4" t="n">
        <f aca="false">Assumptions!E27</f>
        <v>0</v>
      </c>
      <c r="F5" s="4" t="n">
        <f aca="false">Assumptions!F27</f>
        <v>2.5</v>
      </c>
      <c r="G5" s="4" t="n">
        <f aca="false">Assumptions!G27</f>
        <v>2.5</v>
      </c>
      <c r="H5" s="4" t="n">
        <f aca="false">Assumptions!H27</f>
        <v>2.5</v>
      </c>
      <c r="I5" s="4" t="n">
        <f aca="false">Assumptions!I27</f>
        <v>2.5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2081.039</v>
      </c>
      <c r="C6" s="0" t="n">
        <f aca="false">B6*(1+C5/100)</f>
        <v>2268.33251</v>
      </c>
      <c r="D6" s="0" t="n">
        <f aca="false">C6*(1+D5/100)</f>
        <v>2200.2825347</v>
      </c>
      <c r="E6" s="0" t="n">
        <f aca="false">D6*(1+E5/100)</f>
        <v>2200.2825347</v>
      </c>
      <c r="F6" s="0" t="n">
        <f aca="false">E6*(1+F5/100)</f>
        <v>2255.2895980675</v>
      </c>
      <c r="G6" s="0" t="n">
        <f aca="false">F6*(1+G5/100)</f>
        <v>2311.67183801919</v>
      </c>
      <c r="H6" s="0" t="n">
        <f aca="false">G6*(1+H5/100)</f>
        <v>2369.46363396967</v>
      </c>
      <c r="I6" s="0" t="n">
        <f aca="false">H6*(1+I5/100)</f>
        <v>2428.70022481891</v>
      </c>
      <c r="J6" s="0" t="n">
        <f aca="false">I6*(1+J5/100)</f>
        <v>2477.27422931529</v>
      </c>
      <c r="K6" s="0" t="n">
        <f aca="false">J6*(1+K5/100)</f>
        <v>2526.81971390159</v>
      </c>
      <c r="L6" s="0" t="n">
        <f aca="false">K6*(1+L5/100)</f>
        <v>2577.35610817962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17</v>
      </c>
      <c r="D7" s="4" t="n">
        <f aca="false">Assumptions!D28</f>
        <v>15.5</v>
      </c>
      <c r="E7" s="4" t="n">
        <f aca="false">Assumptions!E28</f>
        <v>15</v>
      </c>
      <c r="F7" s="4" t="n">
        <f aca="false">Assumptions!F28</f>
        <v>15</v>
      </c>
      <c r="G7" s="4" t="n">
        <f aca="false">Assumptions!G28</f>
        <v>15</v>
      </c>
      <c r="H7" s="4" t="n">
        <f aca="false">Assumptions!H28</f>
        <v>15</v>
      </c>
      <c r="I7" s="4" t="n">
        <f aca="false">Assumptions!I28</f>
        <v>15</v>
      </c>
      <c r="J7" s="4" t="n">
        <f aca="false">Assumptions!J28</f>
        <v>15</v>
      </c>
      <c r="K7" s="4" t="n">
        <f aca="false">Assumptions!K28</f>
        <v>15</v>
      </c>
      <c r="L7" s="4" t="n">
        <f aca="false">Assumptions!L28</f>
        <v>15</v>
      </c>
    </row>
    <row r="8" customFormat="false" ht="15" hidden="false" customHeight="false" outlineLevel="0" collapsed="false">
      <c r="A8" s="0" t="s">
        <v>44</v>
      </c>
      <c r="C8" s="0" t="n">
        <f aca="false">C6*C7/100</f>
        <v>385.6165267</v>
      </c>
      <c r="D8" s="0" t="n">
        <f aca="false">D6*D7/100</f>
        <v>341.0437928785</v>
      </c>
      <c r="E8" s="0" t="n">
        <f aca="false">E6*E7/100</f>
        <v>330.042380205</v>
      </c>
      <c r="F8" s="0" t="n">
        <f aca="false">F6*F7/100</f>
        <v>338.293439710125</v>
      </c>
      <c r="G8" s="0" t="n">
        <f aca="false">G6*G7/100</f>
        <v>346.750775702878</v>
      </c>
      <c r="H8" s="0" t="n">
        <f aca="false">H6*H7/100</f>
        <v>355.41954509545</v>
      </c>
      <c r="I8" s="0" t="n">
        <f aca="false">I6*I7/100</f>
        <v>364.305033722836</v>
      </c>
      <c r="J8" s="0" t="n">
        <f aca="false">J6*J7/100</f>
        <v>371.591134397293</v>
      </c>
      <c r="K8" s="0" t="n">
        <f aca="false">K6*K7/100</f>
        <v>379.022957085239</v>
      </c>
      <c r="L8" s="0" t="n">
        <f aca="false">L6*L7/100</f>
        <v>386.603416226944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0.25</v>
      </c>
      <c r="D9" s="4" t="n">
        <f aca="false">Assumptions!D29</f>
        <v>0.25</v>
      </c>
      <c r="E9" s="4" t="n">
        <f aca="false">Assumptions!E29</f>
        <v>0.25</v>
      </c>
      <c r="F9" s="4" t="n">
        <f aca="false">Assumptions!F29</f>
        <v>0.25</v>
      </c>
      <c r="G9" s="4" t="n">
        <f aca="false">Assumptions!G29</f>
        <v>0.25</v>
      </c>
      <c r="H9" s="4" t="n">
        <f aca="false">Assumptions!H29</f>
        <v>0.25</v>
      </c>
      <c r="I9" s="4" t="n">
        <f aca="false">Assumptions!I29</f>
        <v>0.25</v>
      </c>
      <c r="J9" s="4" t="n">
        <f aca="false">Assumptions!J29</f>
        <v>0.25</v>
      </c>
      <c r="K9" s="4" t="n">
        <f aca="false">Assumptions!K29</f>
        <v>0.25</v>
      </c>
      <c r="L9" s="4" t="n">
        <f aca="false">Assumptions!L29</f>
        <v>0.25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-5.670831275</v>
      </c>
      <c r="D10" s="0" t="n">
        <f aca="false">-D6*D9/100</f>
        <v>-5.50070633675</v>
      </c>
      <c r="E10" s="0" t="n">
        <f aca="false">-E6*E9/100</f>
        <v>-5.50070633675</v>
      </c>
      <c r="F10" s="0" t="n">
        <f aca="false">-F6*F9/100</f>
        <v>-5.63822399516875</v>
      </c>
      <c r="G10" s="0" t="n">
        <f aca="false">-G6*G9/100</f>
        <v>-5.77917959504797</v>
      </c>
      <c r="H10" s="0" t="n">
        <f aca="false">-H6*H9/100</f>
        <v>-5.92365908492417</v>
      </c>
      <c r="I10" s="0" t="n">
        <f aca="false">-I6*I9/100</f>
        <v>-6.07175056204727</v>
      </c>
      <c r="J10" s="0" t="n">
        <f aca="false">-J6*J9/100</f>
        <v>-6.19318557328822</v>
      </c>
      <c r="K10" s="0" t="n">
        <f aca="false">-K6*K9/100</f>
        <v>-6.31704928475398</v>
      </c>
      <c r="L10" s="0" t="n">
        <f aca="false">-L6*L9/100</f>
        <v>-6.44339027044906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334.579045225</v>
      </c>
      <c r="D11" s="0" t="n">
        <f aca="false">D8+D10+D24</f>
        <v>291.53743584775</v>
      </c>
      <c r="E11" s="0" t="n">
        <f aca="false">E8+E10+E24</f>
        <v>280.53602317425</v>
      </c>
      <c r="F11" s="0" t="n">
        <f aca="false">F8+F10+F24</f>
        <v>287.549423753606</v>
      </c>
      <c r="G11" s="0" t="n">
        <f aca="false">G8+G10+G24</f>
        <v>294.738159347446</v>
      </c>
      <c r="H11" s="0" t="n">
        <f aca="false">H8+H10+H24</f>
        <v>302.106613331133</v>
      </c>
      <c r="I11" s="0" t="n">
        <f aca="false">I8+I10+I24</f>
        <v>309.659278664411</v>
      </c>
      <c r="J11" s="0" t="n">
        <f aca="false">J8+J10+J24</f>
        <v>315.852464237699</v>
      </c>
      <c r="K11" s="0" t="n">
        <f aca="false">K8+K10+K24</f>
        <v>322.169513522453</v>
      </c>
      <c r="L11" s="0" t="n">
        <f aca="false">L8+L10+L24</f>
        <v>328.612903792902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-165.58827323</v>
      </c>
      <c r="D12" s="4" t="n">
        <f aca="false">-D6*Assumptions!D31/100</f>
        <v>-160.6206250331</v>
      </c>
      <c r="E12" s="4" t="n">
        <f aca="false">-E6*Assumptions!E31/100</f>
        <v>-160.6206250331</v>
      </c>
      <c r="F12" s="4" t="n">
        <f aca="false">-F6*Assumptions!F31/100</f>
        <v>-164.636140658928</v>
      </c>
      <c r="G12" s="4" t="n">
        <f aca="false">-G6*Assumptions!G31/100</f>
        <v>-168.752044175401</v>
      </c>
      <c r="H12" s="4" t="n">
        <f aca="false">-H6*Assumptions!H31/100</f>
        <v>-172.970845279786</v>
      </c>
      <c r="I12" s="4" t="n">
        <f aca="false">-I6*Assumptions!I31/100</f>
        <v>-177.29511641178</v>
      </c>
      <c r="J12" s="4" t="n">
        <f aca="false">-J6*Assumptions!J31/100</f>
        <v>-180.841018740016</v>
      </c>
      <c r="K12" s="4" t="n">
        <f aca="false">-K6*Assumptions!K31/100</f>
        <v>-184.457839114816</v>
      </c>
      <c r="L12" s="4" t="n">
        <f aca="false">-L6*Assumptions!L31/100</f>
        <v>-188.146995897113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168.990771995</v>
      </c>
      <c r="D13" s="0" t="n">
        <f aca="false">D11+D12</f>
        <v>130.91681081465</v>
      </c>
      <c r="E13" s="0" t="n">
        <f aca="false">E11+E12</f>
        <v>119.91539814115</v>
      </c>
      <c r="F13" s="0" t="n">
        <f aca="false">F11+F12</f>
        <v>122.913283094679</v>
      </c>
      <c r="G13" s="0" t="n">
        <f aca="false">G11+G12</f>
        <v>125.986115172046</v>
      </c>
      <c r="H13" s="0" t="n">
        <f aca="false">H11+H12</f>
        <v>129.135768051347</v>
      </c>
      <c r="I13" s="0" t="n">
        <f aca="false">I11+I12</f>
        <v>132.364162252631</v>
      </c>
      <c r="J13" s="0" t="n">
        <f aca="false">J11+J12</f>
        <v>135.011445497683</v>
      </c>
      <c r="K13" s="0" t="n">
        <f aca="false">K11+K12</f>
        <v>137.711674407637</v>
      </c>
      <c r="L13" s="0" t="n">
        <f aca="false">L11+L12</f>
        <v>140.46590789579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1</v>
      </c>
      <c r="D14" s="4" t="n">
        <f aca="false">Assumptions!D33</f>
        <v>1</v>
      </c>
      <c r="E14" s="4" t="n">
        <f aca="false">Assumptions!E33</f>
        <v>1</v>
      </c>
      <c r="F14" s="4" t="n">
        <f aca="false">Assumptions!F33</f>
        <v>1</v>
      </c>
      <c r="G14" s="4" t="n">
        <f aca="false">Assumptions!G33</f>
        <v>1</v>
      </c>
      <c r="H14" s="4" t="n">
        <f aca="false">Assumptions!H33</f>
        <v>1</v>
      </c>
      <c r="I14" s="4" t="n">
        <f aca="false">Assumptions!I33</f>
        <v>1</v>
      </c>
      <c r="J14" s="4" t="n">
        <f aca="false">Assumptions!J33</f>
        <v>1</v>
      </c>
      <c r="K14" s="4" t="n">
        <f aca="false">Assumptions!K33</f>
        <v>1</v>
      </c>
      <c r="L14" s="4" t="n">
        <f aca="false">Assumptions!L33</f>
        <v>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167.30086427505</v>
      </c>
      <c r="D15" s="0" t="n">
        <f aca="false">D13-MAX(0,D13)*D14/100</f>
        <v>129.607642706504</v>
      </c>
      <c r="E15" s="0" t="n">
        <f aca="false">E13-MAX(0,E13)*E14/100</f>
        <v>118.716244159739</v>
      </c>
      <c r="F15" s="0" t="n">
        <f aca="false">F13-MAX(0,F13)*F14/100</f>
        <v>121.684150263732</v>
      </c>
      <c r="G15" s="0" t="n">
        <f aca="false">G13-MAX(0,G13)*G14/100</f>
        <v>124.726254020325</v>
      </c>
      <c r="H15" s="0" t="n">
        <f aca="false">H13-MAX(0,H13)*H14/100</f>
        <v>127.844410370833</v>
      </c>
      <c r="I15" s="0" t="n">
        <f aca="false">I13-MAX(0,I13)*I14/100</f>
        <v>131.040520630104</v>
      </c>
      <c r="J15" s="0" t="n">
        <f aca="false">J13-MAX(0,J13)*J14/100</f>
        <v>133.661331042706</v>
      </c>
      <c r="K15" s="0" t="n">
        <f aca="false">K13-MAX(0,K13)*K14/100</f>
        <v>136.33455766356</v>
      </c>
      <c r="L15" s="0" t="n">
        <f aca="false">L13-MAX(0,L13)*L14/100</f>
        <v>139.061248816832</v>
      </c>
    </row>
    <row r="16" customFormat="false" ht="15" hidden="false" customHeight="false" outlineLevel="0" collapsed="false">
      <c r="A16" s="0" t="s">
        <v>122</v>
      </c>
      <c r="C16" s="0" t="n">
        <f aca="false">-C12</f>
        <v>165.58827323</v>
      </c>
      <c r="D16" s="0" t="n">
        <f aca="false">-D12</f>
        <v>160.6206250331</v>
      </c>
      <c r="E16" s="0" t="n">
        <f aca="false">-E12</f>
        <v>160.6206250331</v>
      </c>
      <c r="F16" s="0" t="n">
        <f aca="false">-F12</f>
        <v>164.636140658928</v>
      </c>
      <c r="G16" s="0" t="n">
        <f aca="false">-G12</f>
        <v>168.752044175401</v>
      </c>
      <c r="H16" s="0" t="n">
        <f aca="false">-H12</f>
        <v>172.970845279786</v>
      </c>
      <c r="I16" s="0" t="n">
        <f aca="false">-I12</f>
        <v>177.29511641178</v>
      </c>
      <c r="J16" s="0" t="n">
        <f aca="false">-J12</f>
        <v>180.841018740016</v>
      </c>
      <c r="K16" s="0" t="n">
        <f aca="false">-K12</f>
        <v>184.457839114816</v>
      </c>
      <c r="L16" s="0" t="n">
        <f aca="false">-L12</f>
        <v>188.146995897113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-147.44161315</v>
      </c>
      <c r="D17" s="4" t="n">
        <f aca="false">-D6*Assumptions!D32/100</f>
        <v>-143.0183647555</v>
      </c>
      <c r="E17" s="4" t="n">
        <f aca="false">-E6*Assumptions!E32/100</f>
        <v>-143.0183647555</v>
      </c>
      <c r="F17" s="4" t="n">
        <f aca="false">-F6*Assumptions!F32/100</f>
        <v>-135.31737588405</v>
      </c>
      <c r="G17" s="4" t="n">
        <f aca="false">-G6*Assumptions!G32/100</f>
        <v>-138.700310281151</v>
      </c>
      <c r="H17" s="4" t="n">
        <f aca="false">-H6*Assumptions!H32/100</f>
        <v>-142.16781803818</v>
      </c>
      <c r="I17" s="4" t="n">
        <f aca="false">-I6*Assumptions!I32/100</f>
        <v>-145.722013489135</v>
      </c>
      <c r="J17" s="4" t="n">
        <f aca="false">-J6*Assumptions!J32/100</f>
        <v>-148.636453758917</v>
      </c>
      <c r="K17" s="4" t="n">
        <f aca="false">-K6*Assumptions!K32/100</f>
        <v>-151.609182834096</v>
      </c>
      <c r="L17" s="4" t="n">
        <f aca="false">-L6*Assumptions!L32/100</f>
        <v>-154.641366490777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-9.3646755</v>
      </c>
      <c r="D18" s="4" t="n">
        <f aca="false">(D6-C6)*Assumptions!$B$37/100</f>
        <v>3.402498765</v>
      </c>
      <c r="E18" s="4" t="n">
        <f aca="false">(E6-D6)*Assumptions!$B$37/100</f>
        <v>-0</v>
      </c>
      <c r="F18" s="4" t="n">
        <f aca="false">(F6-E6)*Assumptions!$B$37/100</f>
        <v>-2.750353168375</v>
      </c>
      <c r="G18" s="4" t="n">
        <f aca="false">(G6-F6)*Assumptions!$B$37/100</f>
        <v>-2.81911199758436</v>
      </c>
      <c r="H18" s="4" t="n">
        <f aca="false">(H6-G6)*Assumptions!$B$37/100</f>
        <v>-2.88958979752397</v>
      </c>
      <c r="I18" s="4" t="n">
        <f aca="false">(I6-H6)*Assumptions!$B$37/100</f>
        <v>-2.96182954246208</v>
      </c>
      <c r="J18" s="4" t="n">
        <f aca="false">(J6-I6)*Assumptions!$B$37/100</f>
        <v>-2.42870022481891</v>
      </c>
      <c r="K18" s="4" t="n">
        <f aca="false">(K6-J6)*Assumptions!$B$37/100</f>
        <v>-2.4772742293153</v>
      </c>
      <c r="L18" s="4" t="n">
        <f aca="false">(L6-K6)*Assumptions!$B$37/100</f>
        <v>-2.52681971390159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176.08284885505</v>
      </c>
      <c r="D19" s="0" t="n">
        <f aca="false">D15+D16+D17+D18</f>
        <v>150.612401749104</v>
      </c>
      <c r="E19" s="0" t="n">
        <f aca="false">E15+E16+E17+E18</f>
        <v>136.318504437339</v>
      </c>
      <c r="F19" s="0" t="n">
        <f aca="false">F15+F16+F17+F18</f>
        <v>148.252561870235</v>
      </c>
      <c r="G19" s="0" t="n">
        <f aca="false">G15+G16+G17+G18</f>
        <v>151.95887591699</v>
      </c>
      <c r="H19" s="0" t="n">
        <f aca="false">H15+H16+H17+H18</f>
        <v>155.757847814915</v>
      </c>
      <c r="I19" s="0" t="n">
        <f aca="false">I15+I16+I17+I18</f>
        <v>159.651794010288</v>
      </c>
      <c r="J19" s="0" t="n">
        <f aca="false">J15+J16+J17+J18</f>
        <v>163.437195798986</v>
      </c>
      <c r="K19" s="0" t="n">
        <f aca="false">K15+K16+K17+K18</f>
        <v>166.705939714966</v>
      </c>
      <c r="L19" s="0" t="n">
        <f aca="false">L15+L16+L17+L18</f>
        <v>170.040058509265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160.806254662146</v>
      </c>
      <c r="D21" s="0" t="n">
        <f aca="false">D19*D20</f>
        <v>125.612394861745</v>
      </c>
      <c r="E21" s="0" t="n">
        <f aca="false">E19*E20</f>
        <v>103.827513916959</v>
      </c>
      <c r="F21" s="0" t="n">
        <f aca="false">F19*F20</f>
        <v>103.120670980028</v>
      </c>
      <c r="G21" s="0" t="n">
        <f aca="false">G19*G20</f>
        <v>96.5284819676058</v>
      </c>
      <c r="H21" s="0" t="n">
        <f aca="false">H19*H20</f>
        <v>90.3577114308639</v>
      </c>
      <c r="I21" s="0" t="n">
        <f aca="false">I19*I20</f>
        <v>84.5814193759229</v>
      </c>
      <c r="J21" s="0" t="n">
        <f aca="false">J19*J20</f>
        <v>79.0747720784968</v>
      </c>
      <c r="K21" s="0" t="n">
        <f aca="false">K19*K20</f>
        <v>73.6586917991476</v>
      </c>
      <c r="L21" s="0" t="n">
        <f aca="false">L19*L20</f>
        <v>68.6135759224937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2</v>
      </c>
      <c r="D23" s="4" t="n">
        <f aca="false">Assumptions!D30</f>
        <v>2</v>
      </c>
      <c r="E23" s="4" t="n">
        <f aca="false">Assumptions!E30</f>
        <v>2</v>
      </c>
      <c r="F23" s="4" t="n">
        <f aca="false">Assumptions!F30</f>
        <v>2</v>
      </c>
      <c r="G23" s="4" t="n">
        <f aca="false">Assumptions!G30</f>
        <v>2</v>
      </c>
      <c r="H23" s="4" t="n">
        <f aca="false">Assumptions!H30</f>
        <v>2</v>
      </c>
      <c r="I23" s="4" t="n">
        <f aca="false">Assumptions!I30</f>
        <v>2</v>
      </c>
      <c r="J23" s="4" t="n">
        <f aca="false">Assumptions!J30</f>
        <v>2</v>
      </c>
      <c r="K23" s="4" t="n">
        <f aca="false">Assumptions!K30</f>
        <v>2</v>
      </c>
      <c r="L23" s="4" t="n">
        <f aca="false">Assumptions!L30</f>
        <v>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-45.3666502</v>
      </c>
      <c r="D24" s="0" t="n">
        <f aca="false">-D6*D23/100</f>
        <v>-44.005650694</v>
      </c>
      <c r="E24" s="0" t="n">
        <f aca="false">-E6*E23/100</f>
        <v>-44.005650694</v>
      </c>
      <c r="F24" s="0" t="n">
        <f aca="false">-F6*F23/100</f>
        <v>-45.10579196135</v>
      </c>
      <c r="G24" s="0" t="n">
        <f aca="false">-G6*G23/100</f>
        <v>-46.2334367603837</v>
      </c>
      <c r="H24" s="0" t="n">
        <f aca="false">-H6*H23/100</f>
        <v>-47.3892726793933</v>
      </c>
      <c r="I24" s="0" t="n">
        <f aca="false">-I6*I23/100</f>
        <v>-48.5740044963782</v>
      </c>
      <c r="J24" s="0" t="n">
        <f aca="false">-J6*J23/100</f>
        <v>-49.5454845863057</v>
      </c>
      <c r="K24" s="0" t="n">
        <f aca="false">-K6*K23/100</f>
        <v>-50.5363942780319</v>
      </c>
      <c r="L24" s="0" t="n">
        <f aca="false">-L6*L23/100</f>
        <v>-51.5471221635925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986.181486995408</v>
      </c>
    </row>
    <row r="31" customFormat="false" ht="15" hidden="false" customHeight="false" outlineLevel="0" collapsed="false">
      <c r="A31" s="0" t="s">
        <v>131</v>
      </c>
      <c r="B31" s="0" t="n">
        <f aca="false">L19</f>
        <v>170.040058509265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2312.54479572601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2040.48070211118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2040.48070211118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823.362911069924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1809.54439806533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1966.76539806533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3.00258398979041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-0.201440428247232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36.5897543253384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35.3599916336214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3.11242685945771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1334.1604590727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1.94520426062344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10</v>
      </c>
      <c r="D5" s="4" t="n">
        <f aca="false">Assumptions!D41</f>
        <v>5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3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2081.039</v>
      </c>
      <c r="C6" s="0" t="n">
        <f aca="false">B6*(1+C5/100)</f>
        <v>2289.1429</v>
      </c>
      <c r="D6" s="0" t="n">
        <f aca="false">C6*(1+D5/100)</f>
        <v>2403.600045</v>
      </c>
      <c r="E6" s="0" t="n">
        <f aca="false">D6*(1+E5/100)</f>
        <v>2475.70804635</v>
      </c>
      <c r="F6" s="0" t="n">
        <f aca="false">E6*(1+F5/100)</f>
        <v>2549.9792877405</v>
      </c>
      <c r="G6" s="0" t="n">
        <f aca="false">F6*(1+G5/100)</f>
        <v>2626.47866637272</v>
      </c>
      <c r="H6" s="0" t="n">
        <f aca="false">G6*(1+H5/100)</f>
        <v>2705.2730263639</v>
      </c>
      <c r="I6" s="0" t="n">
        <f aca="false">H6*(1+I5/100)</f>
        <v>2786.43121715481</v>
      </c>
      <c r="J6" s="0" t="n">
        <f aca="false">I6*(1+J5/100)</f>
        <v>2856.09199758368</v>
      </c>
      <c r="K6" s="0" t="n">
        <f aca="false">J6*(1+K5/100)</f>
        <v>2927.49429752328</v>
      </c>
      <c r="L6" s="0" t="n">
        <f aca="false">K6*(1+L5/100)</f>
        <v>3000.68165496136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17.5</v>
      </c>
      <c r="D7" s="4" t="n">
        <f aca="false">Assumptions!D42</f>
        <v>18.5</v>
      </c>
      <c r="E7" s="4" t="n">
        <f aca="false">Assumptions!E42</f>
        <v>18</v>
      </c>
      <c r="F7" s="4" t="n">
        <f aca="false">Assumptions!F42</f>
        <v>18</v>
      </c>
      <c r="G7" s="4" t="n">
        <f aca="false">Assumptions!G42</f>
        <v>18</v>
      </c>
      <c r="H7" s="4" t="n">
        <f aca="false">Assumptions!H42</f>
        <v>18</v>
      </c>
      <c r="I7" s="4" t="n">
        <f aca="false">Assumptions!I42</f>
        <v>18</v>
      </c>
      <c r="J7" s="4" t="n">
        <f aca="false">Assumptions!J42</f>
        <v>18</v>
      </c>
      <c r="K7" s="4" t="n">
        <f aca="false">Assumptions!K42</f>
        <v>18</v>
      </c>
      <c r="L7" s="4" t="n">
        <f aca="false">Assumptions!L42</f>
        <v>18</v>
      </c>
    </row>
    <row r="8" customFormat="false" ht="15" hidden="false" customHeight="false" outlineLevel="0" collapsed="false">
      <c r="A8" s="0" t="s">
        <v>44</v>
      </c>
      <c r="C8" s="0" t="n">
        <f aca="false">C6*C7/100</f>
        <v>400.6000075</v>
      </c>
      <c r="D8" s="0" t="n">
        <f aca="false">D6*D7/100</f>
        <v>444.666008325</v>
      </c>
      <c r="E8" s="0" t="n">
        <f aca="false">E6*E7/100</f>
        <v>445.627448343</v>
      </c>
      <c r="F8" s="0" t="n">
        <f aca="false">F6*F7/100</f>
        <v>458.99627179329</v>
      </c>
      <c r="G8" s="0" t="n">
        <f aca="false">G6*G7/100</f>
        <v>472.766159947089</v>
      </c>
      <c r="H8" s="0" t="n">
        <f aca="false">H6*H7/100</f>
        <v>486.949144745502</v>
      </c>
      <c r="I8" s="0" t="n">
        <f aca="false">I6*I7/100</f>
        <v>501.557619087867</v>
      </c>
      <c r="J8" s="0" t="n">
        <f aca="false">J6*J7/100</f>
        <v>514.096559565063</v>
      </c>
      <c r="K8" s="0" t="n">
        <f aca="false">K6*K7/100</f>
        <v>526.94897355419</v>
      </c>
      <c r="L8" s="0" t="n">
        <f aca="false">L6*L7/100</f>
        <v>540.122697893045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0.25</v>
      </c>
      <c r="D9" s="4" t="n">
        <f aca="false">Assumptions!D43</f>
        <v>0.25</v>
      </c>
      <c r="E9" s="4" t="n">
        <f aca="false">Assumptions!E43</f>
        <v>0.25</v>
      </c>
      <c r="F9" s="4" t="n">
        <f aca="false">Assumptions!F43</f>
        <v>0.25</v>
      </c>
      <c r="G9" s="4" t="n">
        <f aca="false">Assumptions!G43</f>
        <v>0.25</v>
      </c>
      <c r="H9" s="4" t="n">
        <f aca="false">Assumptions!H43</f>
        <v>0.25</v>
      </c>
      <c r="I9" s="4" t="n">
        <f aca="false">Assumptions!I43</f>
        <v>0.25</v>
      </c>
      <c r="J9" s="4" t="n">
        <f aca="false">Assumptions!J43</f>
        <v>0.25</v>
      </c>
      <c r="K9" s="4" t="n">
        <f aca="false">Assumptions!K43</f>
        <v>0.25</v>
      </c>
      <c r="L9" s="4" t="n">
        <f aca="false">Assumptions!L43</f>
        <v>0.25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-5.72285725</v>
      </c>
      <c r="D10" s="0" t="n">
        <f aca="false">-D6*D9/100</f>
        <v>-6.0090001125</v>
      </c>
      <c r="E10" s="0" t="n">
        <f aca="false">-E6*E9/100</f>
        <v>-6.189270115875</v>
      </c>
      <c r="F10" s="0" t="n">
        <f aca="false">-F6*F9/100</f>
        <v>-6.37494821935125</v>
      </c>
      <c r="G10" s="0" t="n">
        <f aca="false">-G6*G9/100</f>
        <v>-6.56619666593179</v>
      </c>
      <c r="H10" s="0" t="n">
        <f aca="false">-H6*H9/100</f>
        <v>-6.76318256590974</v>
      </c>
      <c r="I10" s="0" t="n">
        <f aca="false">-I6*I9/100</f>
        <v>-6.96607804288704</v>
      </c>
      <c r="J10" s="0" t="n">
        <f aca="false">-J6*J9/100</f>
        <v>-7.14022999395921</v>
      </c>
      <c r="K10" s="0" t="n">
        <f aca="false">-K6*K9/100</f>
        <v>-7.31873574380819</v>
      </c>
      <c r="L10" s="0" t="n">
        <f aca="false">-L6*L9/100</f>
        <v>-7.5017041374034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349.09429225</v>
      </c>
      <c r="D11" s="0" t="n">
        <f aca="false">D8+D10+D24</f>
        <v>390.5850073125</v>
      </c>
      <c r="E11" s="0" t="n">
        <f aca="false">E8+E10+E24</f>
        <v>389.924017300125</v>
      </c>
      <c r="F11" s="0" t="n">
        <f aca="false">F8+F10+F24</f>
        <v>401.621737819129</v>
      </c>
      <c r="G11" s="0" t="n">
        <f aca="false">G8+G10+G24</f>
        <v>413.670389953703</v>
      </c>
      <c r="H11" s="0" t="n">
        <f aca="false">H8+H10+H24</f>
        <v>426.080501652314</v>
      </c>
      <c r="I11" s="0" t="n">
        <f aca="false">I8+I10+I24</f>
        <v>438.862916701883</v>
      </c>
      <c r="J11" s="0" t="n">
        <f aca="false">J8+J10+J24</f>
        <v>449.83448961943</v>
      </c>
      <c r="K11" s="0" t="n">
        <f aca="false">K8+K10+K24</f>
        <v>461.080351859916</v>
      </c>
      <c r="L11" s="0" t="n">
        <f aca="false">L8+L10+L24</f>
        <v>472.607360656414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-167.1074317</v>
      </c>
      <c r="D12" s="4" t="n">
        <f aca="false">-D6*Assumptions!D45/100</f>
        <v>-175.462803285</v>
      </c>
      <c r="E12" s="4" t="n">
        <f aca="false">-E6*Assumptions!E45/100</f>
        <v>-180.72668738355</v>
      </c>
      <c r="F12" s="4" t="n">
        <f aca="false">-F6*Assumptions!F45/100</f>
        <v>-186.148488005057</v>
      </c>
      <c r="G12" s="4" t="n">
        <f aca="false">-G6*Assumptions!G45/100</f>
        <v>-191.732942645208</v>
      </c>
      <c r="H12" s="4" t="n">
        <f aca="false">-H6*Assumptions!H45/100</f>
        <v>-197.484930924565</v>
      </c>
      <c r="I12" s="4" t="n">
        <f aca="false">-I6*Assumptions!I45/100</f>
        <v>-203.409478852301</v>
      </c>
      <c r="J12" s="4" t="n">
        <f aca="false">-J6*Assumptions!J45/100</f>
        <v>-208.494715823609</v>
      </c>
      <c r="K12" s="4" t="n">
        <f aca="false">-K6*Assumptions!K45/100</f>
        <v>-213.707083719199</v>
      </c>
      <c r="L12" s="4" t="n">
        <f aca="false">-L6*Assumptions!L45/100</f>
        <v>-219.049760812179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181.98686055</v>
      </c>
      <c r="D13" s="0" t="n">
        <f aca="false">D11+D12</f>
        <v>215.1222040275</v>
      </c>
      <c r="E13" s="0" t="n">
        <f aca="false">E11+E12</f>
        <v>209.197329916575</v>
      </c>
      <c r="F13" s="0" t="n">
        <f aca="false">F11+F12</f>
        <v>215.473249814072</v>
      </c>
      <c r="G13" s="0" t="n">
        <f aca="false">G11+G12</f>
        <v>221.937447308495</v>
      </c>
      <c r="H13" s="0" t="n">
        <f aca="false">H11+H12</f>
        <v>228.595570727749</v>
      </c>
      <c r="I13" s="0" t="n">
        <f aca="false">I11+I12</f>
        <v>235.453437849582</v>
      </c>
      <c r="J13" s="0" t="n">
        <f aca="false">J11+J12</f>
        <v>241.339773795821</v>
      </c>
      <c r="K13" s="0" t="n">
        <f aca="false">K11+K12</f>
        <v>247.373268140717</v>
      </c>
      <c r="L13" s="0" t="n">
        <f aca="false">L11+L12</f>
        <v>253.557599844235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1</v>
      </c>
      <c r="D14" s="4" t="n">
        <f aca="false">Assumptions!D47</f>
        <v>1</v>
      </c>
      <c r="E14" s="4" t="n">
        <f aca="false">Assumptions!E47</f>
        <v>1</v>
      </c>
      <c r="F14" s="4" t="n">
        <f aca="false">Assumptions!F47</f>
        <v>1</v>
      </c>
      <c r="G14" s="4" t="n">
        <f aca="false">Assumptions!G47</f>
        <v>1</v>
      </c>
      <c r="H14" s="4" t="n">
        <f aca="false">Assumptions!H47</f>
        <v>1</v>
      </c>
      <c r="I14" s="4" t="n">
        <f aca="false">Assumptions!I47</f>
        <v>1</v>
      </c>
      <c r="J14" s="4" t="n">
        <f aca="false">Assumptions!J47</f>
        <v>1</v>
      </c>
      <c r="K14" s="4" t="n">
        <f aca="false">Assumptions!K47</f>
        <v>1</v>
      </c>
      <c r="L14" s="4" t="n">
        <f aca="false">Assumptions!L47</f>
        <v>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180.1669919445</v>
      </c>
      <c r="D15" s="0" t="n">
        <f aca="false">D13-MAX(0,D13)*D14/100</f>
        <v>212.970981987225</v>
      </c>
      <c r="E15" s="0" t="n">
        <f aca="false">E13-MAX(0,E13)*E14/100</f>
        <v>207.105356617409</v>
      </c>
      <c r="F15" s="0" t="n">
        <f aca="false">F13-MAX(0,F13)*F14/100</f>
        <v>213.318517315932</v>
      </c>
      <c r="G15" s="0" t="n">
        <f aca="false">G13-MAX(0,G13)*G14/100</f>
        <v>219.71807283541</v>
      </c>
      <c r="H15" s="0" t="n">
        <f aca="false">H13-MAX(0,H13)*H14/100</f>
        <v>226.309615020472</v>
      </c>
      <c r="I15" s="0" t="n">
        <f aca="false">I13-MAX(0,I13)*I14/100</f>
        <v>233.098903471086</v>
      </c>
      <c r="J15" s="0" t="n">
        <f aca="false">J13-MAX(0,J13)*J14/100</f>
        <v>238.926376057863</v>
      </c>
      <c r="K15" s="0" t="n">
        <f aca="false">K13-MAX(0,K13)*K14/100</f>
        <v>244.89953545931</v>
      </c>
      <c r="L15" s="0" t="n">
        <f aca="false">L13-MAX(0,L13)*L14/100</f>
        <v>251.022023845792</v>
      </c>
    </row>
    <row r="16" customFormat="false" ht="15" hidden="false" customHeight="false" outlineLevel="0" collapsed="false">
      <c r="A16" s="0" t="s">
        <v>122</v>
      </c>
      <c r="C16" s="0" t="n">
        <f aca="false">-C12</f>
        <v>167.1074317</v>
      </c>
      <c r="D16" s="0" t="n">
        <f aca="false">-D12</f>
        <v>175.462803285</v>
      </c>
      <c r="E16" s="0" t="n">
        <f aca="false">-E12</f>
        <v>180.72668738355</v>
      </c>
      <c r="F16" s="0" t="n">
        <f aca="false">-F12</f>
        <v>186.148488005057</v>
      </c>
      <c r="G16" s="0" t="n">
        <f aca="false">-G12</f>
        <v>191.732942645208</v>
      </c>
      <c r="H16" s="0" t="n">
        <f aca="false">-H12</f>
        <v>197.484930924565</v>
      </c>
      <c r="I16" s="0" t="n">
        <f aca="false">-I12</f>
        <v>203.409478852301</v>
      </c>
      <c r="J16" s="0" t="n">
        <f aca="false">-J12</f>
        <v>208.494715823609</v>
      </c>
      <c r="K16" s="0" t="n">
        <f aca="false">-K12</f>
        <v>213.707083719199</v>
      </c>
      <c r="L16" s="0" t="n">
        <f aca="false">-L12</f>
        <v>219.049760812179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-148.7942885</v>
      </c>
      <c r="D17" s="4" t="n">
        <f aca="false">-D6*Assumptions!D46/100</f>
        <v>-156.234002925</v>
      </c>
      <c r="E17" s="4" t="n">
        <f aca="false">-E6*Assumptions!E46/100</f>
        <v>-148.542482781</v>
      </c>
      <c r="F17" s="4" t="n">
        <f aca="false">-F6*Assumptions!F46/100</f>
        <v>-140.248860825728</v>
      </c>
      <c r="G17" s="4" t="n">
        <f aca="false">-G6*Assumptions!G46/100</f>
        <v>-144.456326650499</v>
      </c>
      <c r="H17" s="4" t="n">
        <f aca="false">-H6*Assumptions!H46/100</f>
        <v>-148.790016450014</v>
      </c>
      <c r="I17" s="4" t="n">
        <f aca="false">-I6*Assumptions!I46/100</f>
        <v>-153.253716943515</v>
      </c>
      <c r="J17" s="4" t="n">
        <f aca="false">-J6*Assumptions!J46/100</f>
        <v>-157.085059867103</v>
      </c>
      <c r="K17" s="4" t="n">
        <f aca="false">-K6*Assumptions!K46/100</f>
        <v>-161.01218636378</v>
      </c>
      <c r="L17" s="4" t="n">
        <f aca="false">-L6*Assumptions!L46/100</f>
        <v>-165.037491022875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-10.405195</v>
      </c>
      <c r="D18" s="4" t="n">
        <f aca="false">(D6-C6)*Assumptions!$B$51/100</f>
        <v>-5.72285725000002</v>
      </c>
      <c r="E18" s="4" t="n">
        <f aca="false">(E6-D6)*Assumptions!$B$51/100</f>
        <v>-3.6054000675</v>
      </c>
      <c r="F18" s="4" t="n">
        <f aca="false">(F6-E6)*Assumptions!$B$51/100</f>
        <v>-3.71356206952501</v>
      </c>
      <c r="G18" s="4" t="n">
        <f aca="false">(G6-F6)*Assumptions!$B$51/100</f>
        <v>-3.82496893161076</v>
      </c>
      <c r="H18" s="4" t="n">
        <f aca="false">(H6-G6)*Assumptions!$B$51/100</f>
        <v>-3.93971799955907</v>
      </c>
      <c r="I18" s="4" t="n">
        <f aca="false">(I6-H6)*Assumptions!$B$51/100</f>
        <v>-4.05790953954586</v>
      </c>
      <c r="J18" s="4" t="n">
        <f aca="false">(J6-I6)*Assumptions!$B$51/100</f>
        <v>-3.48303902144351</v>
      </c>
      <c r="K18" s="4" t="n">
        <f aca="false">(K6-J6)*Assumptions!$B$51/100</f>
        <v>-3.5701149969796</v>
      </c>
      <c r="L18" s="4" t="n">
        <f aca="false">(L6-K6)*Assumptions!$B$51/100</f>
        <v>-3.65936787190408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188.0749401445</v>
      </c>
      <c r="D19" s="0" t="n">
        <f aca="false">D15+D16+D17+D18</f>
        <v>226.476925097225</v>
      </c>
      <c r="E19" s="0" t="n">
        <f aca="false">E15+E16+E17+E18</f>
        <v>235.684161152459</v>
      </c>
      <c r="F19" s="0" t="n">
        <f aca="false">F15+F16+F17+F18</f>
        <v>255.504582425736</v>
      </c>
      <c r="G19" s="0" t="n">
        <f aca="false">G15+G16+G17+G18</f>
        <v>263.169719898508</v>
      </c>
      <c r="H19" s="0" t="n">
        <f aca="false">H15+H16+H17+H18</f>
        <v>271.064811495463</v>
      </c>
      <c r="I19" s="0" t="n">
        <f aca="false">I15+I16+I17+I18</f>
        <v>279.196755840327</v>
      </c>
      <c r="J19" s="0" t="n">
        <f aca="false">J15+J16+J17+J18</f>
        <v>286.852992992926</v>
      </c>
      <c r="K19" s="0" t="n">
        <f aca="false">K15+K16+K17+K18</f>
        <v>294.024317817749</v>
      </c>
      <c r="L19" s="0" t="n">
        <f aca="false">L15+L16+L17+L18</f>
        <v>301.374925763193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171.757936205023</v>
      </c>
      <c r="D21" s="0" t="n">
        <f aca="false">D19*D20</f>
        <v>188.884239358833</v>
      </c>
      <c r="E21" s="0" t="n">
        <f aca="false">E19*E20</f>
        <v>179.509749047402</v>
      </c>
      <c r="F21" s="0" t="n">
        <f aca="false">F19*F20</f>
        <v>177.722419402613</v>
      </c>
      <c r="G21" s="0" t="n">
        <f aca="false">G19*G20</f>
        <v>167.172686744011</v>
      </c>
      <c r="H21" s="0" t="n">
        <f aca="false">H19*H20</f>
        <v>157.24919392359</v>
      </c>
      <c r="I21" s="0" t="n">
        <f aca="false">I19*I20</f>
        <v>147.91476688703</v>
      </c>
      <c r="J21" s="0" t="n">
        <f aca="false">J19*J20</f>
        <v>138.786247096703</v>
      </c>
      <c r="K21" s="0" t="n">
        <f aca="false">K19*K20</f>
        <v>129.914066917005</v>
      </c>
      <c r="L21" s="0" t="n">
        <f aca="false">L19*L20</f>
        <v>121.609058072995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2</v>
      </c>
      <c r="D23" s="4" t="n">
        <f aca="false">Assumptions!D44</f>
        <v>2</v>
      </c>
      <c r="E23" s="4" t="n">
        <f aca="false">Assumptions!E44</f>
        <v>2</v>
      </c>
      <c r="F23" s="4" t="n">
        <f aca="false">Assumptions!F44</f>
        <v>2</v>
      </c>
      <c r="G23" s="4" t="n">
        <f aca="false">Assumptions!G44</f>
        <v>2</v>
      </c>
      <c r="H23" s="4" t="n">
        <f aca="false">Assumptions!H44</f>
        <v>2</v>
      </c>
      <c r="I23" s="4" t="n">
        <f aca="false">Assumptions!I44</f>
        <v>2</v>
      </c>
      <c r="J23" s="4" t="n">
        <f aca="false">Assumptions!J44</f>
        <v>2</v>
      </c>
      <c r="K23" s="4" t="n">
        <f aca="false">Assumptions!K44</f>
        <v>2</v>
      </c>
      <c r="L23" s="4" t="n">
        <f aca="false">Assumptions!L44</f>
        <v>2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-45.782858</v>
      </c>
      <c r="D24" s="0" t="n">
        <f aca="false">-D6*D23/100</f>
        <v>-48.0720009</v>
      </c>
      <c r="E24" s="0" t="n">
        <f aca="false">-E6*E23/100</f>
        <v>-49.514160927</v>
      </c>
      <c r="F24" s="0" t="n">
        <f aca="false">-F6*F23/100</f>
        <v>-50.99958575481</v>
      </c>
      <c r="G24" s="0" t="n">
        <f aca="false">-G6*G23/100</f>
        <v>-52.5295733274543</v>
      </c>
      <c r="H24" s="0" t="n">
        <f aca="false">-H6*H23/100</f>
        <v>-54.105460527278</v>
      </c>
      <c r="I24" s="0" t="n">
        <f aca="false">-I6*I23/100</f>
        <v>-55.7286243430963</v>
      </c>
      <c r="J24" s="0" t="n">
        <f aca="false">-J6*J23/100</f>
        <v>-57.1218399516737</v>
      </c>
      <c r="K24" s="0" t="n">
        <f aca="false">-K6*K23/100</f>
        <v>-58.5498859504655</v>
      </c>
      <c r="L24" s="0" t="n">
        <f aca="false">-L6*L23/100</f>
        <v>-60.0136330992272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12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1580.5203636552</v>
      </c>
    </row>
    <row r="31" customFormat="false" ht="15" hidden="false" customHeight="false" outlineLevel="0" collapsed="false">
      <c r="A31" s="0" t="s">
        <v>131</v>
      </c>
      <c r="B31" s="0" t="n">
        <f aca="false">L19</f>
        <v>301.374925763193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4098.69899037942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3616.49910915831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3616.49910915831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1459.30869687594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3039.82906053115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3197.05006053115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4.88081157811299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0.298088185668347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40.8866826366105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41.1677990006339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5.00608095345226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2364.6340329112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3.02646153878659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1.51550358928887</v>
      </c>
      <c r="C4" s="0" t="n">
        <f aca="false">B4/Assumptions!$B$2-1</f>
        <v>-0.596940534763597</v>
      </c>
      <c r="D4" s="4" t="n">
        <f aca="false">Assumptions!$B$24</f>
        <v>0.25</v>
      </c>
      <c r="E4" s="4" t="n">
        <f aca="false">DCF_Bear!$B$43</f>
        <v>1.60784584609395</v>
      </c>
      <c r="F4" s="4" t="n">
        <f aca="false">DCF_Bear!$B$47</f>
        <v>1.06993912821768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3.00258398979041</v>
      </c>
      <c r="C5" s="0" t="n">
        <f aca="false">B5/Assumptions!$B$2-1</f>
        <v>-0.201440428247232</v>
      </c>
      <c r="D5" s="4" t="n">
        <f aca="false">Assumptions!$B$38</f>
        <v>0.5</v>
      </c>
      <c r="E5" s="4" t="n">
        <f aca="false">DCF_Base!$B$43</f>
        <v>3.11242685945771</v>
      </c>
      <c r="F5" s="4" t="n">
        <f aca="false">DCF_Base!$B$47</f>
        <v>1.94520426062344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4.88081157811299</v>
      </c>
      <c r="C6" s="0" t="n">
        <f aca="false">B6/Assumptions!$B$2-1</f>
        <v>0.298088185668347</v>
      </c>
      <c r="D6" s="4" t="n">
        <f aca="false">Assumptions!$B$52</f>
        <v>0.25</v>
      </c>
      <c r="E6" s="4" t="n">
        <f aca="false">DCF_Bull!$B$43</f>
        <v>5.00608095345226</v>
      </c>
      <c r="F6" s="4" t="n">
        <f aca="false">DCF_Bull!$B$47</f>
        <v>3.02646153878659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3.10037078674567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3.20969512961541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-0.212758169466149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603.369017310517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1.99670229706279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3.09502998833932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3.00258398979041</v>
      </c>
      <c r="C16" s="3" t="n">
        <v>9.5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2.91415771469376</v>
      </c>
      <c r="C17" s="3" t="n">
        <v>10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2.68762111563166</v>
      </c>
      <c r="C18" s="3" t="n">
        <v>11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2.4463424277939</v>
      </c>
      <c r="C19" s="3" t="n">
        <v>12</v>
      </c>
    </row>
    <row r="20" customFormat="false" ht="15" hidden="false" customHeight="false" outlineLevel="0" collapsed="false">
      <c r="A20" s="0" t="s">
        <v>167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1.94520426062344</v>
      </c>
      <c r="C20" s="3" t="n">
        <v>15</v>
      </c>
    </row>
    <row r="22" customFormat="false" ht="15" hidden="false" customHeight="false" outlineLevel="0" collapsed="false">
      <c r="A22" s="2" t="s">
        <v>168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3.3986795648947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3.3986795648947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3.3986795648947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3.3986795648947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3.3986795648947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3.19170865627874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3.19170865627874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3.19170865627874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3.19170865627874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3.19170865627874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2.99026049931389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3.00258398979041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3.00258398979041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3.00258398979041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3.00258398979041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2.69866476371628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2.76047170315528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2.82955004723415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2.82955004723416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2.82955004723416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2.46292958189261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2.50933842582776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2.56063241122976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2.6176257283431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2.67104098967354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2026-10-18T02:21:56Z</dcterms:created>
  <dc:creator>openpyxl</dc:creator>
  <dc:description/>
  <dc:language>en-NZ</dc:language>
  <cp:lastModifiedBy/>
  <dcterms:modified xsi:type="dcterms:W3CDTF">2026-10-18T02:21:56Z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