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&quot;x&quot;"/>
    <numFmt numFmtId="166" formatCode="0.000"/>
    <numFmt numFmtId="167" formatCode="0.0000"/>
  </numFmts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000FF"/>
    </font>
    <font>
      <color rgb="0000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2" fontId="3" fillId="0" borderId="0" pivotButton="0" quotePrefix="0" xfId="0"/>
    <xf numFmtId="0" fontId="4" fillId="0" borderId="0" pivotButton="0" quotePrefix="0" xfId="0"/>
    <xf numFmtId="9" fontId="3" fillId="0" borderId="0" pivotButton="0" quotePrefix="0" xfId="0"/>
    <xf numFmtId="164" fontId="3" fillId="2" borderId="0" pivotButton="0" quotePrefix="0" xfId="0"/>
    <xf numFmtId="10" fontId="3" fillId="2" borderId="0" pivotButton="0" quotePrefix="0" xfId="0"/>
    <xf numFmtId="9" fontId="3" fillId="2" borderId="0" pivotButton="0" quotePrefix="0" xfId="0"/>
    <xf numFmtId="165" fontId="3" fillId="2" borderId="0" pivotButton="0" quotePrefix="0" xfId="0"/>
    <xf numFmtId="9" fontId="4" fillId="0" borderId="0" pivotButton="0" quotePrefix="0" xfId="0"/>
    <xf numFmtId="0" fontId="5" fillId="0" borderId="0" pivotButton="0" quotePrefix="0" xfId="0"/>
    <xf numFmtId="166" fontId="0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166" fontId="5" fillId="0" borderId="0" pivotButton="0" quotePrefix="0" xfId="0"/>
    <xf numFmtId="166" fontId="1" fillId="3" borderId="0" pivotButton="0" quotePrefix="0" xfId="0"/>
    <xf numFmtId="167" fontId="5" fillId="0" borderId="0" pivotButton="0" quotePrefix="0" xfId="0"/>
    <xf numFmtId="164" fontId="0" fillId="0" borderId="0" pivotButton="0" quotePrefix="0" xfId="0"/>
    <xf numFmtId="166" fontId="4" fillId="0" borderId="0" pivotButton="0" quotePrefix="0" xfId="0"/>
    <xf numFmtId="10" fontId="5" fillId="0" borderId="0" pivotButton="0" quotePrefix="0" xfId="0"/>
    <xf numFmtId="165" fontId="4" fillId="0" borderId="0" pivotButton="0" quotePrefix="0" xfId="0"/>
    <xf numFmtId="2" fontId="4" fillId="3" borderId="0" pivotButton="0" quotePrefix="0" xfId="0"/>
    <xf numFmtId="164" fontId="4" fillId="0" borderId="0" pivotButton="0" quotePrefix="0" xfId="0"/>
    <xf numFmtId="2" fontId="4" fillId="0" borderId="0" pivotButton="0" quotePrefix="0" xfId="0"/>
    <xf numFmtId="2" fontId="5" fillId="0" borderId="0" pivotButton="0" quotePrefix="0" xfId="0"/>
    <xf numFmtId="9" fontId="5" fillId="0" borderId="0" pivotButton="0" quotePrefix="0" xfId="0"/>
    <xf numFmtId="2" fontId="1" fillId="3" borderId="0" pivotButton="0" quotePrefix="0" xfId="0"/>
    <xf numFmtId="2" fontId="0" fillId="0" borderId="0" pivotButton="0" quotePrefix="0" xfId="0"/>
    <xf numFmtId="164" fontId="5" fillId="0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SPN.NZ - South Port New Zealand - owner-FCF DCF model</t>
        </is>
      </c>
      <c r="B1" s="2" t="inlineStr"/>
    </row>
    <row r="2">
      <c r="A2" s="3" t="inlineStr">
        <is>
          <t>Version</t>
        </is>
      </c>
      <c r="B2" s="2" t="inlineStr">
        <is>
          <t>v1.0, 2026-09-03. Fresh build; supersedes nothing (first DCF for this ticker).</t>
        </is>
      </c>
    </row>
    <row r="3">
      <c r="A3" s="3" t="inlineStr">
        <is>
          <t>Built by</t>
        </is>
      </c>
      <c r="B3" s="2" t="inlineStr">
        <is>
          <t>dcf-analyst agent (Claude, Fable 5.1) on 2026-09-03 at the request of the research-stock orchestrator for Stephen Williams.</t>
        </is>
      </c>
    </row>
    <row r="4">
      <c r="A4" s="3" t="inlineStr">
        <is>
          <t>Data vintage - price</t>
        </is>
      </c>
      <c r="B4" s="2" t="inlineStr">
        <is>
          <t>NZ$8.92 NZX regular close 2026-09-02T21:59:47Z (Yahoo). 52w 7.55-9.28. Figures go stale: refresh price after each close and all anchors after the next print.</t>
        </is>
      </c>
    </row>
    <row r="5">
      <c r="A5" s="3" t="inlineStr">
        <is>
          <t>Data vintage - balance sheet</t>
        </is>
      </c>
      <c r="B5" s="2" t="inlineStr">
        <is>
          <t>30 June 2026 (FY2026 annual result, released 21-Aug-2026): cash 12.556, loans and borrowings 31.008 (28.008 non-current + 3.000 current; the Metrics.csv 28.008 omits the current tranche), net debt 18.452, IFRS-16 leases 0.205 (immaterial, excluded).</t>
        </is>
      </c>
    </row>
    <row r="6">
      <c r="A6" s="3" t="inlineStr">
        <is>
          <t>Data vintage - shares</t>
        </is>
      </c>
      <c r="B6" s="2" t="inlineStr">
        <is>
          <t>26,234,900 ordinary shares, unchanged FY2014-FY2026; ~36k unvested share rights immaterial. Held FLAT (SBC is expensed in the flows).</t>
        </is>
      </c>
    </row>
    <row r="7">
      <c r="A7" s="3" t="inlineStr">
        <is>
          <t>Data vintage - guidance</t>
        </is>
      </c>
      <c r="B7" s="2" t="inlineStr">
        <is>
          <t>FY2027 (21-Aug-2026 result): trade volumes 'broadly in line with FY26'; downside risk from absence of wind-farm project cargo and higher people/infrastructure spend; no numeric guidance; update due at the Oct-2026 ASM; Port Planning Exercise Stages 1-2 due late Sept 2026.</t>
        </is>
      </c>
    </row>
    <row r="8">
      <c r="A8" s="3" t="inlineStr">
        <is>
          <t>Method - model</t>
        </is>
      </c>
      <c r="B8" s="2" t="inlineStr">
        <is>
          <t>Owner-FCF DCF (dcf-methods routing: operating company, non-US/cyclical). 10-year component build: revenue x EBITDA margin - SBC - D&amp;A -&gt; 28% tax, + D&amp;A - capex + WC capture on revenue change. Same model as SPN.NZ_DCF.json.</t>
        </is>
      </c>
    </row>
    <row r="9">
      <c r="A9" s="3" t="inlineStr">
        <is>
          <t>Method - owner FCF</t>
        </is>
      </c>
      <c r="B9" s="2" t="inlineStr">
        <is>
          <t>Reported FCF (OCF - all capex) less SBC less interest income (not stripped: net-debt company). FY2026 owner FCF 14.011 = 14.159 - 0.148.</t>
        </is>
      </c>
    </row>
    <row r="10">
      <c r="A10" s="3" t="inlineStr">
        <is>
          <t>Method - mid-cycle</t>
        </is>
      </c>
      <c r="B10" s="2" t="inlineStr">
        <is>
          <t>FY2026 is a declared record year; the base year is NOT carried forward. Year-1 FCF is rebuilt from mid-cycle drivers (40% EBITDA margin, 13% capex/revenue = 10y median, +1% revenue).</t>
        </is>
      </c>
    </row>
    <row r="11">
      <c r="A11" s="3" t="inlineStr">
        <is>
          <t>Method - terminal value</t>
        </is>
      </c>
      <c r="B11" s="2" t="inlineStr">
        <is>
          <t>TV = MAX(0, MIN(Gordon growth, exit EV/EBITDA cap x terminal EBITDA)). Caps are the stock's own 10-year min/avg/max EV/EBITDA (8.12/9.92/11.41x). Gordon binds in every scenario.</t>
        </is>
      </c>
    </row>
    <row r="12">
      <c r="A12" s="3" t="inlineStr">
        <is>
          <t>Method - discount rate</t>
        </is>
      </c>
      <c r="B12" s="2" t="inlineStr">
        <is>
          <t>10.0% NZD WACC in all scenarios: CoE 10.9% (Rf 4.5% + 0.80 x 5.5% ERP + 1.5% illiquidity/66%-council float + 0.5% single-asset/region), Kd 3.9% after tax, 88/12 E/D. Tiwai concentration is charged once, in the bear flows and 25% bear weight, not in the rate.</t>
        </is>
      </c>
    </row>
    <row r="13">
      <c r="A13" s="3" t="inlineStr">
        <is>
          <t>Method - entry price</t>
        </is>
      </c>
      <c r="B13" s="2" t="inlineStr">
        <is>
          <t>15% hurdle IRR with the terminal value rebuilt at 15% (min(Gordon@15%, cap)), per the 2026-09-01 correction; never the WACC-built TV.</t>
        </is>
      </c>
    </row>
    <row r="14">
      <c r="A14" s="3" t="inlineStr">
        <is>
          <t>Method - leases / NCI / FX</t>
        </is>
      </c>
      <c r="B14" s="2" t="inlineStr">
        <is>
          <t>No IFRS-16 adjustment (leases 0.2m), no minority interests, NZD reporting and NZD quote - no FX layer.</t>
        </is>
      </c>
    </row>
    <row r="15">
      <c r="A15" s="3" t="inlineStr">
        <is>
          <t>Scenario drivers</t>
        </is>
      </c>
      <c r="B15" s="2" t="inlineStr">
        <is>
          <t>Agent judgment set 2026-09-03 from the FY26 result, presentation and the qualitative Analysis JSON. Weights 25/50/25 (bear raised for Tiwai curtailment risk, capex-cycle uncertainty and leadership change; bull cut because it needs three independent things to go right).</t>
        </is>
      </c>
    </row>
    <row r="16">
      <c r="A16" s="3" t="inlineStr">
        <is>
          <t>Refresh after next print</t>
        </is>
      </c>
      <c r="B16" s="2" t="inlineStr">
        <is>
          <t>Price + timestamp; FY2027 H1 (Feb-2027) volumes, Tiwai tonnage, margin; Port Planning capex programme (late Sept 2026) -&gt; capex % and growth path; net debt; any change to the dividend.</t>
        </is>
      </c>
    </row>
    <row r="17">
      <c r="A17" s="3" t="inlineStr">
        <is>
          <t>Cell colours</t>
        </is>
      </c>
      <c r="B17" s="2" t="inlineStr">
        <is>
          <t>BLUE = hardcoded input; YELLOW fill = key driver lever (rows 5, 7, 9, 14 of each DCF tab, plus Assumptions scenario block); BLACK = formula; GREEN = cross-sheet link. Never paste a value over a formula.</t>
        </is>
      </c>
    </row>
    <row r="18">
      <c r="A18" s="3" t="inlineStr">
        <is>
          <t>Verification</t>
        </is>
      </c>
      <c r="B18" s="2" t="inlineStr">
        <is>
          <t>Recalculated headless in LibreOffice with zero formula errors; scenario values per share and the weighted value agree with SPN.NZ_DCF.json to the cent.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Actuals - reported history (NZ$ millions, FY ends 30 June). Source: SPN annual reports FY2017-FY2026 via Metrics.csv; June closes from Yahoo.</t>
        </is>
      </c>
    </row>
    <row r="3">
      <c r="A3" s="3" t="inlineStr">
        <is>
          <t>Line</t>
        </is>
      </c>
      <c r="B3" s="3" t="inlineStr">
        <is>
          <t>FY2017</t>
        </is>
      </c>
      <c r="C3" s="3" t="inlineStr">
        <is>
          <t>FY2018</t>
        </is>
      </c>
      <c r="D3" s="3" t="inlineStr">
        <is>
          <t>FY2019</t>
        </is>
      </c>
      <c r="E3" s="3" t="inlineStr">
        <is>
          <t>FY2020</t>
        </is>
      </c>
      <c r="F3" s="3" t="inlineStr">
        <is>
          <t>FY2021</t>
        </is>
      </c>
      <c r="G3" s="3" t="inlineStr">
        <is>
          <t>FY2022</t>
        </is>
      </c>
      <c r="H3" s="3" t="inlineStr">
        <is>
          <t>FY2023</t>
        </is>
      </c>
      <c r="I3" s="3" t="inlineStr">
        <is>
          <t>FY2024</t>
        </is>
      </c>
      <c r="J3" s="3" t="inlineStr">
        <is>
          <t>FY2025</t>
        </is>
      </c>
      <c r="K3" s="3" t="inlineStr">
        <is>
          <t>FY2026</t>
        </is>
      </c>
    </row>
    <row r="4">
      <c r="A4" t="inlineStr">
        <is>
          <t>Revenue</t>
        </is>
      </c>
      <c r="B4" s="4" t="n">
        <v>36.868</v>
      </c>
      <c r="C4" s="4" t="n">
        <v>40.705</v>
      </c>
      <c r="D4" s="4" t="n">
        <v>43.95</v>
      </c>
      <c r="E4" s="4" t="n">
        <v>44.573</v>
      </c>
      <c r="F4" s="4" t="n">
        <v>47.291</v>
      </c>
      <c r="G4" s="4" t="n">
        <v>48.584</v>
      </c>
      <c r="H4" s="4" t="n">
        <v>53.589</v>
      </c>
      <c r="I4" s="4" t="n">
        <v>56.128</v>
      </c>
      <c r="J4" s="4" t="n">
        <v>63.282</v>
      </c>
      <c r="K4" s="4" t="n">
        <v>71.852</v>
      </c>
    </row>
    <row r="5">
      <c r="A5" t="inlineStr">
        <is>
          <t>EBITDA</t>
        </is>
      </c>
      <c r="B5" s="4" t="n">
        <v>15.55</v>
      </c>
      <c r="C5" s="4" t="n">
        <v>17.158</v>
      </c>
      <c r="D5" s="4" t="n">
        <v>17.99</v>
      </c>
      <c r="E5" s="4" t="n">
        <v>17.714</v>
      </c>
      <c r="F5" s="4" t="n">
        <v>18.85</v>
      </c>
      <c r="G5" s="4" t="n">
        <v>21.152</v>
      </c>
      <c r="H5" s="4" t="n">
        <v>22.768</v>
      </c>
      <c r="I5" s="4" t="n">
        <v>21.305</v>
      </c>
      <c r="J5" s="4" t="n">
        <v>25.832</v>
      </c>
      <c r="K5" s="4" t="n">
        <v>29.887</v>
      </c>
    </row>
    <row r="6">
      <c r="A6" t="inlineStr">
        <is>
          <t>NPAT (reported)</t>
        </is>
      </c>
      <c r="B6" s="4" t="n">
        <v>8.448</v>
      </c>
      <c r="C6" s="4" t="n">
        <v>9.657999999999999</v>
      </c>
      <c r="D6" s="4" t="n">
        <v>9.787000000000001</v>
      </c>
      <c r="E6" s="4" t="n">
        <v>9.43</v>
      </c>
      <c r="F6" s="4" t="n">
        <v>10.714</v>
      </c>
      <c r="G6" s="4" t="n">
        <v>12.829</v>
      </c>
      <c r="H6" s="4" t="n">
        <v>11.712</v>
      </c>
      <c r="I6" s="4" t="n">
        <v>7.376</v>
      </c>
      <c r="J6" s="4" t="n">
        <v>13.318</v>
      </c>
      <c r="K6" s="4" t="n">
        <v>16.11</v>
      </c>
    </row>
    <row r="7">
      <c r="A7" t="inlineStr">
        <is>
          <t>Operating cash flow</t>
        </is>
      </c>
      <c r="B7" s="4" t="n">
        <v>12.068</v>
      </c>
      <c r="C7" s="4" t="n">
        <v>12.342</v>
      </c>
      <c r="D7" s="4" t="n">
        <v>13.554</v>
      </c>
      <c r="E7" s="4" t="n">
        <v>12.605</v>
      </c>
      <c r="F7" s="4" t="n">
        <v>15.827</v>
      </c>
      <c r="G7" s="4" t="n">
        <v>13.695</v>
      </c>
      <c r="H7" s="4" t="n">
        <v>16.448</v>
      </c>
      <c r="I7" s="4" t="n">
        <v>12.786</v>
      </c>
      <c r="J7" s="4" t="n">
        <v>23.672</v>
      </c>
      <c r="K7" s="4" t="n">
        <v>23.598</v>
      </c>
    </row>
    <row r="8">
      <c r="A8" t="inlineStr">
        <is>
          <t>Capex (all, purchase of PPE)</t>
        </is>
      </c>
      <c r="B8" s="4" t="n">
        <v>2.503</v>
      </c>
      <c r="C8" s="4" t="n">
        <v>4.385</v>
      </c>
      <c r="D8" s="4" t="n">
        <v>5.976</v>
      </c>
      <c r="E8" s="4" t="n">
        <v>5.498</v>
      </c>
      <c r="F8" s="4" t="n">
        <v>10.184</v>
      </c>
      <c r="G8" s="4" t="n">
        <v>24.406</v>
      </c>
      <c r="H8" s="4" t="n">
        <v>15.023</v>
      </c>
      <c r="I8" s="4" t="n">
        <v>9.045</v>
      </c>
      <c r="J8" s="4" t="n">
        <v>8.042999999999999</v>
      </c>
      <c r="K8" s="4" t="n">
        <v>9.439</v>
      </c>
    </row>
    <row r="9">
      <c r="A9" t="inlineStr">
        <is>
          <t>Free cash flow (OCF - capex)</t>
        </is>
      </c>
      <c r="B9" s="4" t="n">
        <v>9.565</v>
      </c>
      <c r="C9" s="4" t="n">
        <v>7.957</v>
      </c>
      <c r="D9" s="4" t="n">
        <v>7.578</v>
      </c>
      <c r="E9" s="4" t="n">
        <v>7.107</v>
      </c>
      <c r="F9" s="4" t="n">
        <v>5.643</v>
      </c>
      <c r="G9" s="4" t="n">
        <v>-10.711</v>
      </c>
      <c r="H9" s="4" t="n">
        <v>1.425</v>
      </c>
      <c r="I9" s="4" t="n">
        <v>3.741</v>
      </c>
      <c r="J9" s="4" t="n">
        <v>15.629</v>
      </c>
      <c r="K9" s="4" t="n">
        <v>14.159</v>
      </c>
    </row>
    <row r="10">
      <c r="A10" t="inlineStr">
        <is>
          <t>Shareholders equity</t>
        </is>
      </c>
      <c r="B10" s="4" t="n">
        <v>37.223</v>
      </c>
      <c r="C10" s="4" t="n">
        <v>40.06</v>
      </c>
      <c r="D10" s="4" t="n">
        <v>43.026</v>
      </c>
      <c r="E10" s="4" t="n">
        <v>45.635</v>
      </c>
      <c r="F10" s="4" t="n">
        <v>49.528</v>
      </c>
      <c r="G10" s="4" t="n">
        <v>55.274</v>
      </c>
      <c r="H10" s="4" t="n">
        <v>59.903</v>
      </c>
      <c r="I10" s="4" t="n">
        <v>60.232</v>
      </c>
      <c r="J10" s="4" t="n">
        <v>66.57299999999999</v>
      </c>
      <c r="K10" s="4" t="n">
        <v>75.223</v>
      </c>
    </row>
    <row r="11">
      <c r="A11" t="inlineStr">
        <is>
          <t>Cash</t>
        </is>
      </c>
      <c r="B11" s="4" t="n">
        <v>1.675</v>
      </c>
      <c r="C11" s="4" t="n">
        <v>0.991</v>
      </c>
      <c r="D11" s="4" t="n">
        <v>1.426</v>
      </c>
      <c r="E11" s="4" t="n">
        <v>1.229</v>
      </c>
      <c r="F11" s="4" t="n">
        <v>1.627</v>
      </c>
      <c r="G11" s="4" t="n">
        <v>1.303</v>
      </c>
      <c r="H11" s="4" t="n">
        <v>1.035</v>
      </c>
      <c r="I11" s="4" t="n">
        <v>2.31</v>
      </c>
      <c r="J11" s="4" t="n">
        <v>6.075</v>
      </c>
      <c r="K11" s="4" t="n">
        <v>12.556</v>
      </c>
    </row>
    <row r="12">
      <c r="A12" t="inlineStr">
        <is>
          <t>Total debt (incl. current)</t>
        </is>
      </c>
      <c r="B12" s="4" t="n">
        <v>9.6</v>
      </c>
      <c r="C12" s="4" t="n">
        <v>7.2</v>
      </c>
      <c r="D12" s="4" t="n">
        <v>7</v>
      </c>
      <c r="E12" s="4" t="n">
        <v>6.5</v>
      </c>
      <c r="F12" s="4" t="n">
        <v>9</v>
      </c>
      <c r="G12" s="4" t="n">
        <v>25.5</v>
      </c>
      <c r="H12" s="4" t="n">
        <v>25</v>
      </c>
      <c r="I12" s="4" t="n">
        <v>35.75</v>
      </c>
      <c r="J12" s="4" t="n">
        <v>31.008</v>
      </c>
      <c r="K12" s="4" t="n">
        <v>31.008</v>
      </c>
    </row>
    <row r="13">
      <c r="A13" t="inlineStr">
        <is>
          <t>Diluted EPS (NZ$)</t>
        </is>
      </c>
      <c r="B13" s="4" t="n">
        <v>0.322</v>
      </c>
      <c r="C13" s="4" t="n">
        <v>0.368</v>
      </c>
      <c r="D13" s="4" t="n">
        <v>0.373</v>
      </c>
      <c r="E13" s="4" t="n">
        <v>0.359</v>
      </c>
      <c r="F13" s="4" t="n">
        <v>0.408</v>
      </c>
      <c r="G13" s="4" t="n">
        <v>0.489</v>
      </c>
      <c r="H13" s="4" t="n">
        <v>0.446</v>
      </c>
      <c r="I13" s="4" t="n">
        <v>0.281</v>
      </c>
      <c r="J13" s="4" t="n">
        <v>0.506</v>
      </c>
      <c r="K13" s="4" t="n">
        <v>0.611</v>
      </c>
    </row>
    <row r="14">
      <c r="A14" t="inlineStr">
        <is>
          <t>Depreciation &amp; amortisation</t>
        </is>
      </c>
      <c r="B14" s="4" t="n">
        <v>3.291</v>
      </c>
      <c r="C14" s="4" t="n">
        <v>3.361</v>
      </c>
      <c r="D14" s="4" t="n">
        <v>3.61</v>
      </c>
      <c r="E14" s="4" t="n">
        <v>3.843</v>
      </c>
      <c r="F14" s="4" t="n">
        <v>4.144</v>
      </c>
      <c r="G14" s="4" t="n">
        <v>4.36</v>
      </c>
      <c r="H14" s="4" t="n">
        <v>4.802</v>
      </c>
      <c r="I14" s="4" t="n">
        <v>4.915</v>
      </c>
      <c r="J14" s="4" t="n">
        <v>5.212</v>
      </c>
      <c r="K14" s="4" t="n">
        <v>5.406</v>
      </c>
    </row>
    <row r="15">
      <c r="A15" t="inlineStr">
        <is>
          <t>Dividend per share (NZ$)</t>
        </is>
      </c>
      <c r="B15" s="4" t="n">
        <v>0.26</v>
      </c>
      <c r="C15" s="4" t="n">
        <v>0.26</v>
      </c>
      <c r="D15" s="4" t="n">
        <v>0.26</v>
      </c>
      <c r="E15" s="4" t="n">
        <v>0.26</v>
      </c>
      <c r="F15" s="4" t="n">
        <v>0.26</v>
      </c>
      <c r="G15" s="4" t="n">
        <v>0.27</v>
      </c>
      <c r="H15" s="4" t="n">
        <v>0.27</v>
      </c>
      <c r="I15" s="4" t="n">
        <v>0.27</v>
      </c>
      <c r="J15" s="4" t="n">
        <v>0.28</v>
      </c>
      <c r="K15" s="4" t="n">
        <v>0.29</v>
      </c>
    </row>
    <row r="16">
      <c r="A16" t="inlineStr">
        <is>
          <t>June close (Yahoo, NZ$)</t>
        </is>
      </c>
      <c r="B16" s="4" t="n">
        <v>5.74</v>
      </c>
      <c r="C16" s="4" t="n">
        <v>6.9</v>
      </c>
      <c r="D16" s="4" t="n">
        <v>7.02</v>
      </c>
      <c r="E16" s="4" t="n">
        <v>6.25</v>
      </c>
      <c r="F16" s="4" t="n">
        <v>7.92</v>
      </c>
      <c r="G16" s="4" t="n">
        <v>8.02</v>
      </c>
      <c r="H16" s="4" t="n">
        <v>7.43</v>
      </c>
      <c r="I16" s="4" t="n">
        <v>6.01</v>
      </c>
      <c r="J16" s="4" t="n">
        <v>7.67</v>
      </c>
      <c r="K16" s="4" t="n">
        <v>8.5</v>
      </c>
    </row>
    <row r="18">
      <c r="A18" s="3" t="inlineStr">
        <is>
          <t>Balance sheet snapshot 30-Jun-2026</t>
        </is>
      </c>
    </row>
    <row r="19">
      <c r="A19" t="inlineStr">
        <is>
          <t>Cash</t>
        </is>
      </c>
      <c r="B19" s="4" t="n">
        <v>12.556</v>
      </c>
    </row>
    <row r="20">
      <c r="A20" t="inlineStr">
        <is>
          <t>Loans and borrowings non-current</t>
        </is>
      </c>
      <c r="B20" s="4" t="n">
        <v>28.008</v>
      </c>
    </row>
    <row r="21">
      <c r="A21" t="inlineStr">
        <is>
          <t>Loans and borrowings current</t>
        </is>
      </c>
      <c r="B21" s="4" t="n">
        <v>3</v>
      </c>
    </row>
    <row r="22">
      <c r="A22" t="inlineStr">
        <is>
          <t>Total debt</t>
        </is>
      </c>
      <c r="B22" s="4" t="n">
        <v>31.008</v>
      </c>
    </row>
    <row r="23">
      <c r="A23" t="inlineStr">
        <is>
          <t>Net debt</t>
        </is>
      </c>
      <c r="B23" s="4" t="n">
        <v>18.452</v>
      </c>
    </row>
    <row r="24">
      <c r="A24" t="inlineStr">
        <is>
          <t>Lease liabilities (excluded, immaterial)</t>
        </is>
      </c>
      <c r="B24" s="4" t="n">
        <v>0.205</v>
      </c>
    </row>
    <row r="25">
      <c r="A25" t="inlineStr">
        <is>
          <t>Shares outstanding (m), flat since FY2014</t>
        </is>
      </c>
      <c r="B25" s="4" t="n">
        <v>26.2349</v>
      </c>
    </row>
    <row r="26">
      <c r="A26" t="inlineStr">
        <is>
          <t>Buybacks FY2024-26</t>
        </is>
      </c>
      <c r="B26" s="4" t="n">
        <v>0</v>
      </c>
    </row>
    <row r="27">
      <c r="A27" t="inlineStr">
        <is>
          <t>SBC FY2026 (equity-settled accrual)</t>
        </is>
      </c>
      <c r="B27" s="4" t="n">
        <v>0.148</v>
      </c>
    </row>
    <row r="29">
      <c r="A29" s="3" t="inlineStr">
        <is>
          <t>FY2027 guidance (21-Aug-2026)</t>
        </is>
      </c>
    </row>
    <row r="30">
      <c r="A30" s="5" t="inlineStr">
        <is>
          <t>Volumes broadly in line with FY26; downside from loss of wind-farm project cargo and higher people/infrastructure spend; no numeric guidance; Port Planning Exercise Stages 1-2 due late Sept 2026; tug + mobile harbour crane replacement flagged.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6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Assumptions - globals and scenario drivers (NZ$ millions unless stated)</t>
        </is>
      </c>
    </row>
    <row r="4">
      <c r="A4" t="inlineStr">
        <is>
          <t>Current price (NZ$)</t>
        </is>
      </c>
      <c r="B4" s="6" t="n">
        <v>8.92</v>
      </c>
      <c r="F4" t="inlineStr">
        <is>
          <t>Yahoo NZX close 2026-09-02T21:59:47Z</t>
        </is>
      </c>
    </row>
    <row r="5">
      <c r="A5" t="inlineStr">
        <is>
          <t>Price timestamp</t>
        </is>
      </c>
      <c r="B5" s="4" t="inlineStr">
        <is>
          <t>2026-09-02T21:59:47Z</t>
        </is>
      </c>
      <c r="F5" t="inlineStr">
        <is>
          <t>regular close, not after-hours</t>
        </is>
      </c>
    </row>
    <row r="6">
      <c r="A6" t="inlineStr">
        <is>
          <t>Diluted shares (m)</t>
        </is>
      </c>
      <c r="B6" s="4" t="n">
        <v>26.2349</v>
      </c>
      <c r="F6" t="inlineStr">
        <is>
          <t>flat since FY2014; SBC expensed so count held flat</t>
        </is>
      </c>
    </row>
    <row r="7">
      <c r="A7" t="inlineStr">
        <is>
          <t>Cash</t>
        </is>
      </c>
      <c r="B7" s="4" t="n">
        <v>12.556</v>
      </c>
      <c r="F7" t="inlineStr">
        <is>
          <t>30-Jun-2026</t>
        </is>
      </c>
    </row>
    <row r="8">
      <c r="A8" t="inlineStr">
        <is>
          <t>Total debt</t>
        </is>
      </c>
      <c r="B8" s="4" t="n">
        <v>31.008</v>
      </c>
      <c r="F8" t="inlineStr">
        <is>
          <t>28.008 non-current + 3.000 current, 30-Jun-2026</t>
        </is>
      </c>
    </row>
    <row r="9">
      <c r="A9" t="inlineStr">
        <is>
          <t>Net debt</t>
        </is>
      </c>
      <c r="B9" s="7">
        <f>B8-B7</f>
        <v/>
      </c>
      <c r="F9" t="inlineStr">
        <is>
          <t>positive = net debt; deducted from EV</t>
        </is>
      </c>
    </row>
    <row r="10">
      <c r="A10" t="inlineStr">
        <is>
          <t>Balance sheet date</t>
        </is>
      </c>
      <c r="B10" s="4" t="inlineStr">
        <is>
          <t>2026-06-30</t>
        </is>
      </c>
      <c r="F10" t="inlineStr"/>
    </row>
    <row r="11">
      <c r="A11" t="inlineStr">
        <is>
          <t>FY2026 revenue (FY0 base)</t>
        </is>
      </c>
      <c r="B11" s="4" t="n">
        <v>71.852</v>
      </c>
      <c r="F11" t="inlineStr">
        <is>
          <t>Statement of comprehensive income FY2026</t>
        </is>
      </c>
    </row>
    <row r="12">
      <c r="A12" t="inlineStr">
        <is>
          <t>Hurdle rate for entry price</t>
        </is>
      </c>
      <c r="B12" s="8" t="n">
        <v>0.15</v>
      </c>
      <c r="F12" t="inlineStr">
        <is>
          <t>15% IRR; TV rebuilt at this rate</t>
        </is>
      </c>
    </row>
    <row r="13">
      <c r="A13" t="inlineStr">
        <is>
          <t>Cash tax rate</t>
        </is>
      </c>
      <c r="B13" s="8" t="n">
        <v>0.28</v>
      </c>
      <c r="F13" t="inlineStr">
        <is>
          <t>NZ statutory; no losses or credits</t>
        </is>
      </c>
    </row>
    <row r="15">
      <c r="A15" s="3" t="inlineStr">
        <is>
          <t>Scenario block</t>
        </is>
      </c>
      <c r="C15" s="3" t="inlineStr">
        <is>
          <t>Bear</t>
        </is>
      </c>
      <c r="D15" s="3" t="inlineStr">
        <is>
          <t>Base</t>
        </is>
      </c>
      <c r="E15" s="3" t="inlineStr">
        <is>
          <t>Bull</t>
        </is>
      </c>
    </row>
    <row r="16">
      <c r="A16" t="inlineStr">
        <is>
          <t>WACC</t>
        </is>
      </c>
      <c r="C16" s="9" t="n">
        <v>0.1</v>
      </c>
      <c r="D16" s="9" t="n">
        <v>0.1</v>
      </c>
      <c r="E16" s="9" t="n">
        <v>0.1</v>
      </c>
      <c r="F16" t="inlineStr">
        <is>
          <t>identical across scenarios: risk is charged in the flows, not the rate</t>
        </is>
      </c>
    </row>
    <row r="17">
      <c r="A17" t="inlineStr">
        <is>
          <t>Terminal growth</t>
        </is>
      </c>
      <c r="C17" s="10" t="n">
        <v>0.015</v>
      </c>
      <c r="D17" s="10" t="n">
        <v>0.0225</v>
      </c>
      <c r="E17" s="10" t="n">
        <v>0.025</v>
      </c>
      <c r="F17" t="inlineStr">
        <is>
          <t>at or below long-run NZ nominal GDP</t>
        </is>
      </c>
    </row>
    <row r="18">
      <c r="A18" t="inlineStr">
        <is>
          <t>Probability weight</t>
        </is>
      </c>
      <c r="C18" s="11" t="n">
        <v>0.25</v>
      </c>
      <c r="D18" s="11" t="n">
        <v>0.5</v>
      </c>
      <c r="E18" s="11" t="n">
        <v>0.25</v>
      </c>
      <c r="F18" t="inlineStr">
        <is>
          <t>must sum to 100%</t>
        </is>
      </c>
    </row>
    <row r="19">
      <c r="A19" t="inlineStr">
        <is>
          <t>D&amp;A % of revenue</t>
        </is>
      </c>
      <c r="C19" s="9" t="n">
        <v>0.078</v>
      </c>
      <c r="D19" s="9" t="n">
        <v>0.078</v>
      </c>
      <c r="E19" s="9" t="n">
        <v>0.078</v>
      </c>
      <c r="F19" t="inlineStr">
        <is>
          <t>FY2026 actual 7.5%; rising as the asset base grows</t>
        </is>
      </c>
    </row>
    <row r="20">
      <c r="A20" t="inlineStr">
        <is>
          <t>Capex % of revenue</t>
        </is>
      </c>
      <c r="C20" s="9" t="n">
        <v>0.14</v>
      </c>
      <c r="D20" s="9" t="n">
        <v>0.13</v>
      </c>
      <c r="E20" s="9" t="n">
        <v>0.115</v>
      </c>
      <c r="F20" t="inlineStr">
        <is>
          <t>10y median 13.4%; bear = new capex cycle, bull = post-deepening</t>
        </is>
      </c>
    </row>
    <row r="21">
      <c r="A21" t="inlineStr">
        <is>
          <t>WC capture % of revenue change</t>
        </is>
      </c>
      <c r="C21" s="9" t="n">
        <v>-0.05</v>
      </c>
      <c r="D21" s="9" t="n">
        <v>-0.05</v>
      </c>
      <c r="E21" s="9" t="n">
        <v>-0.05</v>
      </c>
      <c r="F21" t="inlineStr">
        <is>
          <t>growth absorbs ~5% of incremental revenue as receivables</t>
        </is>
      </c>
    </row>
    <row r="22">
      <c r="A22" t="inlineStr">
        <is>
          <t>Exit EV/EBITDA cap (10y min/avg/max)</t>
        </is>
      </c>
      <c r="C22" s="12" t="n">
        <v>8.119999999999999</v>
      </c>
      <c r="D22" s="12" t="n">
        <v>9.92</v>
      </c>
      <c r="E22" s="12" t="n">
        <v>11.41</v>
      </c>
      <c r="F22" t="inlineStr">
        <is>
          <t>Step 8c.5(4): stock's own 10-year EV/EBITDA range</t>
        </is>
      </c>
    </row>
    <row r="23">
      <c r="A23" t="inlineStr">
        <is>
          <t>Weight check (must be 100%)</t>
        </is>
      </c>
      <c r="C23" s="13">
        <f>SUM(C18:E18)</f>
        <v/>
      </c>
    </row>
    <row r="25">
      <c r="A25" s="3" t="inlineStr">
        <is>
          <t>Scenario narratives</t>
        </is>
      </c>
    </row>
    <row r="26" ht="110" customHeight="1">
      <c r="A26" s="3" t="inlineStr">
        <is>
          <t>Bear</t>
        </is>
      </c>
      <c r="B26" s="2" t="inlineStr">
        <is>
          <t>A repeat Meridian demand-response call on NZAS (up to 185MW available under the 2024 agreements) in a dry FY27/28 cuts Tiwai tonnage by a third for a season, China log demand stays weak, and dairy payout cuts trim farm-input imports: FY27 revenue -6%, EBITDA margin 37% (below the FY2024 trough of 38%). The Port Planning Exercise then launches a transformation capex cycle (14% of revenue) whose volume payoff is slow, under a new CEO and Chair. Recovery to 2-2.5% growth from FY29; margin never exceeds 38.5%; terminal growth 1.5%. Not a solvency case - net debt/EBITDA stays under 2x and the dividend is cut, not suspended.</t>
        </is>
      </c>
    </row>
    <row r="27" ht="110" customHeight="1">
      <c r="A27" s="3" t="inlineStr">
        <is>
          <t>Base</t>
        </is>
      </c>
      <c r="B27" s="2" t="inlineStr">
        <is>
          <t>FY2027 revenue +1%: volumes guided 'broadly in line with FY26' with the 16k-tonne wind-farm project cargo gone and log volumes normalising after the FY26 wind-throw surge, offset by tariff inflation and a full year of the MSC Eagle service and the Bluff Freight Centre. EBITDA margin eases to 40.0% (management: 'invest more in our people and infrastructure') then settles at 40.5%, the 10-year mean. Growth 4-4.5% in FY28-30 as the Southland wind pipeline (1,851MW consented/in development) delivers lumpy project cargo, Edendale dairy warehousing ramps and Tiwai runs at full three-potline output, fading to 2.5% by FY36. Capex 13% of revenue funds a moderate Port-Planning capex programme (tug, crane, landside). Tiwai stays open to 2044 with no curtailment beyond a normal dry-year nuisance.</t>
        </is>
      </c>
    </row>
    <row r="28" ht="110" customHeight="1">
      <c r="A28" s="3" t="inlineStr">
        <is>
          <t>Bull</t>
        </is>
      </c>
      <c r="B28" s="2" t="inlineStr">
        <is>
          <t>Tiwai runs uninterrupted, the wind-farm pipeline converts into 5-8 years of recurring project cargo, container volumes keep compounding on the new MSC services, and Ballance coastal fertiliser shifts to Bluff after the Mt Maunganui closure. Revenue +6% FY28-29, fading to 3%. Operating leverage on a fixed-cost port takes EBITDA margin to 43.5% (the FY2022 peak). Channel deepening is complete so capex runs at 11.5% of revenue (landside productivity, not marine works). Terminal growth 2.5%. Requires three independent things to go right - Tiwai, project cargo AND margin - hence only 25% weight.</t>
        </is>
      </c>
    </row>
  </sheetData>
  <mergeCells count="3">
    <mergeCell ref="B26:L26"/>
    <mergeCell ref="B28:L28"/>
    <mergeCell ref="B27:L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DCF_Bear - owner-FCF component build (NZ$ millions). Drivers in yellow (rows 5, 7, 9, 14); everything else is formula.</t>
        </is>
      </c>
    </row>
    <row r="3">
      <c r="B3" s="3" t="inlineStr">
        <is>
          <t>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  <c r="F3" s="3" t="inlineStr">
        <is>
          <t>FY2030E</t>
        </is>
      </c>
      <c r="G3" s="3" t="inlineStr">
        <is>
          <t>FY2031E</t>
        </is>
      </c>
      <c r="H3" s="3" t="inlineStr">
        <is>
          <t>FY2032E</t>
        </is>
      </c>
      <c r="I3" s="3" t="inlineStr">
        <is>
          <t>FY2033E</t>
        </is>
      </c>
      <c r="J3" s="3" t="inlineStr">
        <is>
          <t>FY2034E</t>
        </is>
      </c>
      <c r="K3" s="3" t="inlineStr">
        <is>
          <t>FY2035E</t>
        </is>
      </c>
      <c r="L3" s="3" t="inlineStr">
        <is>
          <t>FY2036E</t>
        </is>
      </c>
    </row>
    <row r="4"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9" t="n">
        <v>-0.06</v>
      </c>
      <c r="D5" s="9" t="n">
        <v>0.01</v>
      </c>
      <c r="E5" s="9" t="n">
        <v>0.025</v>
      </c>
      <c r="F5" s="9" t="n">
        <v>0.025</v>
      </c>
      <c r="G5" s="9" t="n">
        <v>0.025</v>
      </c>
      <c r="H5" s="9" t="n">
        <v>0.02</v>
      </c>
      <c r="I5" s="9" t="n">
        <v>0.02</v>
      </c>
      <c r="J5" s="9" t="n">
        <v>0.02</v>
      </c>
      <c r="K5" s="9" t="n">
        <v>0.02</v>
      </c>
      <c r="L5" s="9" t="n">
        <v>0.02</v>
      </c>
    </row>
    <row r="6">
      <c r="A6" t="inlineStr">
        <is>
          <t>Revenue</t>
        </is>
      </c>
      <c r="B6" s="14">
        <f>Assumptions!B11</f>
        <v/>
      </c>
      <c r="C6" s="15">
        <f>B6*(1+C5)</f>
        <v/>
      </c>
      <c r="D6" s="15">
        <f>C6*(1+D5)</f>
        <v/>
      </c>
      <c r="E6" s="15">
        <f>D6*(1+E5)</f>
        <v/>
      </c>
      <c r="F6" s="15">
        <f>E6*(1+F5)</f>
        <v/>
      </c>
      <c r="G6" s="15">
        <f>F6*(1+G5)</f>
        <v/>
      </c>
      <c r="H6" s="15">
        <f>G6*(1+H5)</f>
        <v/>
      </c>
      <c r="I6" s="15">
        <f>H6*(1+I5)</f>
        <v/>
      </c>
      <c r="J6" s="15">
        <f>I6*(1+J5)</f>
        <v/>
      </c>
      <c r="K6" s="15">
        <f>J6*(1+K5)</f>
        <v/>
      </c>
      <c r="L6" s="15">
        <f>K6*(1+L5)</f>
        <v/>
      </c>
    </row>
    <row r="7">
      <c r="A7" t="inlineStr">
        <is>
          <t>Adj. EBITDA margin</t>
        </is>
      </c>
      <c r="B7" s="16" t="n">
        <v>0.4159522351500306</v>
      </c>
      <c r="C7" s="9" t="n">
        <v>0.37</v>
      </c>
      <c r="D7" s="9" t="n">
        <v>0.375</v>
      </c>
      <c r="E7" s="9" t="n">
        <v>0.38</v>
      </c>
      <c r="F7" s="9" t="n">
        <v>0.385</v>
      </c>
      <c r="G7" s="9" t="n">
        <v>0.385</v>
      </c>
      <c r="H7" s="9" t="n">
        <v>0.385</v>
      </c>
      <c r="I7" s="9" t="n">
        <v>0.385</v>
      </c>
      <c r="J7" s="9" t="n">
        <v>0.385</v>
      </c>
      <c r="K7" s="9" t="n">
        <v>0.385</v>
      </c>
      <c r="L7" s="9" t="n">
        <v>0.385</v>
      </c>
    </row>
    <row r="8">
      <c r="A8" t="inlineStr">
        <is>
          <t>Adjusted EBITDA</t>
        </is>
      </c>
      <c r="B8" s="4" t="n">
        <v>29.887</v>
      </c>
      <c r="C8" s="15">
        <f>C6*C7</f>
        <v/>
      </c>
      <c r="D8" s="15">
        <f>D6*D7</f>
        <v/>
      </c>
      <c r="E8" s="15">
        <f>E6*E7</f>
        <v/>
      </c>
      <c r="F8" s="15">
        <f>F6*F7</f>
        <v/>
      </c>
      <c r="G8" s="15">
        <f>G6*G7</f>
        <v/>
      </c>
      <c r="H8" s="15">
        <f>H6*H7</f>
        <v/>
      </c>
      <c r="I8" s="15">
        <f>I6*I7</f>
        <v/>
      </c>
      <c r="J8" s="15">
        <f>J6*J7</f>
        <v/>
      </c>
      <c r="K8" s="15">
        <f>K6*K7</f>
        <v/>
      </c>
      <c r="L8" s="15">
        <f>L6*L7</f>
        <v/>
      </c>
    </row>
    <row r="9">
      <c r="A9" t="inlineStr">
        <is>
          <t>SBC % of revenue</t>
        </is>
      </c>
      <c r="B9" s="17" t="n">
        <v>0.002059789567444191</v>
      </c>
      <c r="C9" s="10" t="n">
        <v>0.002</v>
      </c>
      <c r="D9" s="10" t="n">
        <v>0.002</v>
      </c>
      <c r="E9" s="10" t="n">
        <v>0.002</v>
      </c>
      <c r="F9" s="10" t="n">
        <v>0.002</v>
      </c>
      <c r="G9" s="10" t="n">
        <v>0.002</v>
      </c>
      <c r="H9" s="10" t="n">
        <v>0.002</v>
      </c>
      <c r="I9" s="10" t="n">
        <v>0.002</v>
      </c>
      <c r="J9" s="10" t="n">
        <v>0.002</v>
      </c>
      <c r="K9" s="10" t="n">
        <v>0.002</v>
      </c>
      <c r="L9" s="10" t="n">
        <v>0.002</v>
      </c>
    </row>
    <row r="10">
      <c r="A10" t="inlineStr">
        <is>
          <t>SBC (negative)</t>
        </is>
      </c>
      <c r="B10" s="4" t="n">
        <v>-0.148</v>
      </c>
      <c r="C10" s="15">
        <f>-C6*C9</f>
        <v/>
      </c>
      <c r="D10" s="15">
        <f>-D6*D9</f>
        <v/>
      </c>
      <c r="E10" s="15">
        <f>-E6*E9</f>
        <v/>
      </c>
      <c r="F10" s="15">
        <f>-F6*F9</f>
        <v/>
      </c>
      <c r="G10" s="15">
        <f>-G6*G9</f>
        <v/>
      </c>
      <c r="H10" s="15">
        <f>-H6*H9</f>
        <v/>
      </c>
      <c r="I10" s="15">
        <f>-I6*I9</f>
        <v/>
      </c>
      <c r="J10" s="15">
        <f>-J6*J9</f>
        <v/>
      </c>
      <c r="K10" s="15">
        <f>-K6*K9</f>
        <v/>
      </c>
      <c r="L10" s="15">
        <f>-L6*L9</f>
        <v/>
      </c>
    </row>
    <row r="11">
      <c r="A11" t="inlineStr">
        <is>
          <t>Owner EBITDA (EBITDA + SBC)</t>
        </is>
      </c>
      <c r="B11">
        <f>B8+B10</f>
        <v/>
      </c>
      <c r="C11" s="15">
        <f>C8+C10</f>
        <v/>
      </c>
      <c r="D11" s="15">
        <f>D8+D10</f>
        <v/>
      </c>
      <c r="E11" s="15">
        <f>E8+E10</f>
        <v/>
      </c>
      <c r="F11" s="15">
        <f>F8+F10</f>
        <v/>
      </c>
      <c r="G11" s="15">
        <f>G8+G10</f>
        <v/>
      </c>
      <c r="H11" s="15">
        <f>H8+H10</f>
        <v/>
      </c>
      <c r="I11" s="15">
        <f>I8+I10</f>
        <v/>
      </c>
      <c r="J11" s="15">
        <f>J8+J10</f>
        <v/>
      </c>
      <c r="K11" s="15">
        <f>K8+K10</f>
        <v/>
      </c>
      <c r="L11" s="15">
        <f>L8+L10</f>
        <v/>
      </c>
    </row>
    <row r="12">
      <c r="A12" t="inlineStr">
        <is>
          <t>D&amp;A (negative)</t>
        </is>
      </c>
      <c r="B12" s="4" t="n">
        <v>-5.406</v>
      </c>
      <c r="C12" s="18">
        <f>-C6*Assumptions!$C$19</f>
        <v/>
      </c>
      <c r="D12" s="18">
        <f>-D6*Assumptions!$C$19</f>
        <v/>
      </c>
      <c r="E12" s="18">
        <f>-E6*Assumptions!$C$19</f>
        <v/>
      </c>
      <c r="F12" s="18">
        <f>-F6*Assumptions!$C$19</f>
        <v/>
      </c>
      <c r="G12" s="18">
        <f>-G6*Assumptions!$C$19</f>
        <v/>
      </c>
      <c r="H12" s="18">
        <f>-H6*Assumptions!$C$19</f>
        <v/>
      </c>
      <c r="I12" s="18">
        <f>-I6*Assumptions!$C$19</f>
        <v/>
      </c>
      <c r="J12" s="18">
        <f>-J6*Assumptions!$C$19</f>
        <v/>
      </c>
      <c r="K12" s="18">
        <f>-K6*Assumptions!$C$19</f>
        <v/>
      </c>
      <c r="L12" s="18">
        <f>-L6*Assumptions!$C$19</f>
        <v/>
      </c>
    </row>
    <row r="13">
      <c r="A13" t="inlineStr">
        <is>
          <t>EBIT, SBC expensed</t>
        </is>
      </c>
      <c r="B13">
        <f>B11+B12</f>
        <v/>
      </c>
      <c r="C13" s="15">
        <f>C11+C12</f>
        <v/>
      </c>
      <c r="D13" s="15">
        <f>D11+D12</f>
        <v/>
      </c>
      <c r="E13" s="15">
        <f>E11+E12</f>
        <v/>
      </c>
      <c r="F13" s="15">
        <f>F11+F12</f>
        <v/>
      </c>
      <c r="G13" s="15">
        <f>G11+G12</f>
        <v/>
      </c>
      <c r="H13" s="15">
        <f>H11+H12</f>
        <v/>
      </c>
      <c r="I13" s="15">
        <f>I11+I12</f>
        <v/>
      </c>
      <c r="J13" s="15">
        <f>J11+J12</f>
        <v/>
      </c>
      <c r="K13" s="15">
        <f>K11+K12</f>
        <v/>
      </c>
      <c r="L13" s="15">
        <f>L11+L12</f>
        <v/>
      </c>
    </row>
    <row r="14">
      <c r="A14" t="inlineStr">
        <is>
          <t>Cash tax rate</t>
        </is>
      </c>
      <c r="C14" s="11" t="n">
        <v>0.28</v>
      </c>
      <c r="D14" s="11" t="n">
        <v>0.28</v>
      </c>
      <c r="E14" s="11" t="n">
        <v>0.28</v>
      </c>
      <c r="F14" s="11" t="n">
        <v>0.28</v>
      </c>
      <c r="G14" s="11" t="n">
        <v>0.28</v>
      </c>
      <c r="H14" s="11" t="n">
        <v>0.28</v>
      </c>
      <c r="I14" s="11" t="n">
        <v>0.28</v>
      </c>
      <c r="J14" s="11" t="n">
        <v>0.28</v>
      </c>
      <c r="K14" s="11" t="n">
        <v>0.28</v>
      </c>
      <c r="L14" s="11" t="n">
        <v>0.28</v>
      </c>
    </row>
    <row r="15">
      <c r="A15" t="inlineStr">
        <is>
          <t>NOPAT</t>
        </is>
      </c>
      <c r="C15" s="15">
        <f>C13-MAX(0,C13)*C14</f>
        <v/>
      </c>
      <c r="D15" s="15">
        <f>D13-MAX(0,D13)*D14</f>
        <v/>
      </c>
      <c r="E15" s="15">
        <f>E13-MAX(0,E13)*E14</f>
        <v/>
      </c>
      <c r="F15" s="15">
        <f>F13-MAX(0,F13)*F14</f>
        <v/>
      </c>
      <c r="G15" s="15">
        <f>G13-MAX(0,G13)*G14</f>
        <v/>
      </c>
      <c r="H15" s="15">
        <f>H13-MAX(0,H13)*H14</f>
        <v/>
      </c>
      <c r="I15" s="15">
        <f>I13-MAX(0,I13)*I14</f>
        <v/>
      </c>
      <c r="J15" s="15">
        <f>J13-MAX(0,J13)*J14</f>
        <v/>
      </c>
      <c r="K15" s="15">
        <f>K13-MAX(0,K13)*K14</f>
        <v/>
      </c>
      <c r="L15" s="15">
        <f>L13-MAX(0,L13)*L14</f>
        <v/>
      </c>
    </row>
    <row r="16">
      <c r="A16" t="inlineStr">
        <is>
          <t>add back D&amp;A</t>
        </is>
      </c>
      <c r="C16" s="15">
        <f>-C12</f>
        <v/>
      </c>
      <c r="D16" s="15">
        <f>-D12</f>
        <v/>
      </c>
      <c r="E16" s="15">
        <f>-E12</f>
        <v/>
      </c>
      <c r="F16" s="15">
        <f>-F12</f>
        <v/>
      </c>
      <c r="G16" s="15">
        <f>-G12</f>
        <v/>
      </c>
      <c r="H16" s="15">
        <f>-H12</f>
        <v/>
      </c>
      <c r="I16" s="15">
        <f>-I12</f>
        <v/>
      </c>
      <c r="J16" s="15">
        <f>-J12</f>
        <v/>
      </c>
      <c r="K16" s="15">
        <f>-K12</f>
        <v/>
      </c>
      <c r="L16" s="15">
        <f>-L12</f>
        <v/>
      </c>
    </row>
    <row r="17">
      <c r="A17" t="inlineStr">
        <is>
          <t>less capex</t>
        </is>
      </c>
      <c r="B17" s="4" t="n">
        <v>-9.439</v>
      </c>
      <c r="C17" s="18">
        <f>-C6*Assumptions!$C$20</f>
        <v/>
      </c>
      <c r="D17" s="18">
        <f>-D6*Assumptions!$C$20</f>
        <v/>
      </c>
      <c r="E17" s="18">
        <f>-E6*Assumptions!$C$20</f>
        <v/>
      </c>
      <c r="F17" s="18">
        <f>-F6*Assumptions!$C$20</f>
        <v/>
      </c>
      <c r="G17" s="18">
        <f>-G6*Assumptions!$C$20</f>
        <v/>
      </c>
      <c r="H17" s="18">
        <f>-H6*Assumptions!$C$20</f>
        <v/>
      </c>
      <c r="I17" s="18">
        <f>-I6*Assumptions!$C$20</f>
        <v/>
      </c>
      <c r="J17" s="18">
        <f>-J6*Assumptions!$C$20</f>
        <v/>
      </c>
      <c r="K17" s="18">
        <f>-K6*Assumptions!$C$20</f>
        <v/>
      </c>
      <c r="L17" s="18">
        <f>-L6*Assumptions!$C$20</f>
        <v/>
      </c>
    </row>
    <row r="18">
      <c r="A18" t="inlineStr">
        <is>
          <t>add working capital (on revenue change)</t>
        </is>
      </c>
      <c r="C18" s="18">
        <f>Assumptions!$C$21*(C6-B6)</f>
        <v/>
      </c>
      <c r="D18" s="18">
        <f>Assumptions!$C$21*(D6-C6)</f>
        <v/>
      </c>
      <c r="E18" s="18">
        <f>Assumptions!$C$21*(E6-D6)</f>
        <v/>
      </c>
      <c r="F18" s="18">
        <f>Assumptions!$C$21*(F6-E6)</f>
        <v/>
      </c>
      <c r="G18" s="18">
        <f>Assumptions!$C$21*(G6-F6)</f>
        <v/>
      </c>
      <c r="H18" s="18">
        <f>Assumptions!$C$21*(H6-G6)</f>
        <v/>
      </c>
      <c r="I18" s="18">
        <f>Assumptions!$C$21*(I6-H6)</f>
        <v/>
      </c>
      <c r="J18" s="18">
        <f>Assumptions!$C$21*(J6-I6)</f>
        <v/>
      </c>
      <c r="K18" s="18">
        <f>Assumptions!$C$21*(K6-J6)</f>
        <v/>
      </c>
      <c r="L18" s="18">
        <f>Assumptions!$C$21*(L6-K6)</f>
        <v/>
      </c>
    </row>
    <row r="19">
      <c r="A19" s="3" t="inlineStr">
        <is>
          <t>Unlevered owner FCF</t>
        </is>
      </c>
      <c r="B19" s="4" t="n">
        <v>14.011</v>
      </c>
      <c r="C19" s="19">
        <f>C15+C16+C17+C18</f>
        <v/>
      </c>
      <c r="D19" s="19">
        <f>D15+D16+D17+D18</f>
        <v/>
      </c>
      <c r="E19" s="19">
        <f>E15+E16+E17+E18</f>
        <v/>
      </c>
      <c r="F19" s="19">
        <f>F15+F16+F17+F18</f>
        <v/>
      </c>
      <c r="G19" s="19">
        <f>G15+G16+G17+G18</f>
        <v/>
      </c>
      <c r="H19" s="19">
        <f>H15+H16+H17+H18</f>
        <v/>
      </c>
      <c r="I19" s="19">
        <f>I15+I16+I17+I18</f>
        <v/>
      </c>
      <c r="J19" s="19">
        <f>J15+J16+J17+J18</f>
        <v/>
      </c>
      <c r="K19" s="19">
        <f>K15+K16+K17+K18</f>
        <v/>
      </c>
      <c r="L19" s="19">
        <f>L15+L16+L17+L18</f>
        <v/>
      </c>
    </row>
    <row r="20">
      <c r="A20" t="inlineStr">
        <is>
          <t>Discount factor</t>
        </is>
      </c>
      <c r="C20" s="20">
        <f>1/(1+Assumptions!$C$16)^C4</f>
        <v/>
      </c>
      <c r="D20" s="20">
        <f>1/(1+Assumptions!$C$16)^D4</f>
        <v/>
      </c>
      <c r="E20" s="20">
        <f>1/(1+Assumptions!$C$16)^E4</f>
        <v/>
      </c>
      <c r="F20" s="20">
        <f>1/(1+Assumptions!$C$16)^F4</f>
        <v/>
      </c>
      <c r="G20" s="20">
        <f>1/(1+Assumptions!$C$16)^G4</f>
        <v/>
      </c>
      <c r="H20" s="20">
        <f>1/(1+Assumptions!$C$16)^H4</f>
        <v/>
      </c>
      <c r="I20" s="20">
        <f>1/(1+Assumptions!$C$16)^I4</f>
        <v/>
      </c>
      <c r="J20" s="20">
        <f>1/(1+Assumptions!$C$16)^J4</f>
        <v/>
      </c>
      <c r="K20" s="20">
        <f>1/(1+Assumptions!$C$16)^K4</f>
        <v/>
      </c>
      <c r="L20" s="20">
        <f>1/(1+Assumptions!$C$16)^L4</f>
        <v/>
      </c>
    </row>
    <row r="21">
      <c r="A21" t="inlineStr">
        <is>
          <t>PV of FCF</t>
        </is>
      </c>
      <c r="C21" s="15">
        <f>C19*C20</f>
        <v/>
      </c>
      <c r="D21" s="15">
        <f>D19*D20</f>
        <v/>
      </c>
      <c r="E21" s="15">
        <f>E19*E20</f>
        <v/>
      </c>
      <c r="F21" s="15">
        <f>F19*F20</f>
        <v/>
      </c>
      <c r="G21" s="15">
        <f>G19*G20</f>
        <v/>
      </c>
      <c r="H21" s="15">
        <f>H19*H20</f>
        <v/>
      </c>
      <c r="I21" s="15">
        <f>I19*I20</f>
        <v/>
      </c>
      <c r="J21" s="15">
        <f>J19*J20</f>
        <v/>
      </c>
      <c r="K21" s="15">
        <f>K19*K20</f>
        <v/>
      </c>
      <c r="L21" s="15">
        <f>L19*L20</f>
        <v/>
      </c>
    </row>
    <row r="23">
      <c r="A23" t="inlineStr">
        <is>
          <t>Memo: FCF before SBC (company-style)</t>
        </is>
      </c>
      <c r="C23" s="15">
        <f>C19-C10</f>
        <v/>
      </c>
      <c r="D23" s="15">
        <f>D19-D10</f>
        <v/>
      </c>
      <c r="E23" s="15">
        <f>E19-E10</f>
        <v/>
      </c>
      <c r="F23" s="15">
        <f>F19-F10</f>
        <v/>
      </c>
      <c r="G23" s="15">
        <f>G19-G10</f>
        <v/>
      </c>
      <c r="H23" s="15">
        <f>H19-H10</f>
        <v/>
      </c>
      <c r="I23" s="15">
        <f>I19-I10</f>
        <v/>
      </c>
      <c r="J23" s="15">
        <f>J19-J10</f>
        <v/>
      </c>
      <c r="K23" s="15">
        <f>K19-K10</f>
        <v/>
      </c>
      <c r="L23" s="15">
        <f>L19-L10</f>
        <v/>
      </c>
    </row>
    <row r="24">
      <c r="A24" t="inlineStr">
        <is>
          <t>Memo: owner-FCF margin</t>
        </is>
      </c>
      <c r="B24" s="21">
        <f>B19/B6</f>
        <v/>
      </c>
      <c r="C24" s="21">
        <f>C19/C6</f>
        <v/>
      </c>
      <c r="D24" s="21">
        <f>D19/D6</f>
        <v/>
      </c>
      <c r="E24" s="21">
        <f>E19/E6</f>
        <v/>
      </c>
      <c r="F24" s="21">
        <f>F19/F6</f>
        <v/>
      </c>
      <c r="G24" s="21">
        <f>G19/G6</f>
        <v/>
      </c>
      <c r="H24" s="21">
        <f>H19/H6</f>
        <v/>
      </c>
      <c r="I24" s="21">
        <f>I19/I6</f>
        <v/>
      </c>
      <c r="J24" s="21">
        <f>J19/J6</f>
        <v/>
      </c>
      <c r="K24" s="21">
        <f>K19/K6</f>
        <v/>
      </c>
      <c r="L24" s="21">
        <f>L19/L6</f>
        <v/>
      </c>
    </row>
    <row r="25">
      <c r="A25" t="inlineStr">
        <is>
          <t>FY0 column: actuals (blue); row 19 FY0 is reported owner FCF 14.011 (OCF 23.598 - capex 9.439 - SBC 0.148), not a component build.</t>
        </is>
      </c>
    </row>
    <row r="26">
      <c r="A26" t="inlineStr">
        <is>
          <t>Sum of PV of FCF</t>
        </is>
      </c>
      <c r="B26" s="22">
        <f>SUM(C21:L21)</f>
        <v/>
      </c>
    </row>
    <row r="27">
      <c r="A27" t="inlineStr">
        <is>
          <t>Terminal growth</t>
        </is>
      </c>
      <c r="B27" s="23">
        <f>Assumptions!C17</f>
        <v/>
      </c>
    </row>
    <row r="28">
      <c r="A28" t="inlineStr">
        <is>
          <t>Terminal-year FCF x (1+g)</t>
        </is>
      </c>
      <c r="B28" s="22">
        <f>L19*(1+B27)</f>
        <v/>
      </c>
    </row>
    <row r="29">
      <c r="A29" t="inlineStr">
        <is>
          <t>Gordon terminal value</t>
        </is>
      </c>
      <c r="B29" s="22">
        <f>B28/(Assumptions!C16-B27)</f>
        <v/>
      </c>
    </row>
    <row r="30">
      <c r="A30" t="inlineStr">
        <is>
          <t>Exit-multiple cap TV (cap x terminal EBITDA)</t>
        </is>
      </c>
      <c r="B30" s="22">
        <f>Assumptions!C22*L8</f>
        <v/>
      </c>
    </row>
    <row r="31">
      <c r="A31" t="inlineStr">
        <is>
          <t>Terminal value used = MAX(0,MIN(Gordon, cap))</t>
        </is>
      </c>
      <c r="B31" s="22">
        <f>MAX(0,MIN(B29,B30))</f>
        <v/>
      </c>
    </row>
    <row r="32">
      <c r="A32" t="inlineStr">
        <is>
          <t>Implied exit multiple (TV / FCF_10)</t>
        </is>
      </c>
      <c r="B32" s="24">
        <f>B31/L19</f>
        <v/>
      </c>
    </row>
    <row r="33">
      <c r="A33" t="inlineStr">
        <is>
          <t>PV of terminal value</t>
        </is>
      </c>
      <c r="B33" s="22">
        <f>B31*L20</f>
        <v/>
      </c>
    </row>
    <row r="34">
      <c r="A34" t="inlineStr">
        <is>
          <t>Enterprise value</t>
        </is>
      </c>
      <c r="B34" s="22">
        <f>B26+B33</f>
        <v/>
      </c>
    </row>
    <row r="35">
      <c r="A35" t="inlineStr">
        <is>
          <t>less net debt</t>
        </is>
      </c>
      <c r="B35" s="18">
        <f>Assumptions!B9</f>
        <v/>
      </c>
    </row>
    <row r="36">
      <c r="A36" t="inlineStr">
        <is>
          <t>Equity value</t>
        </is>
      </c>
      <c r="B36" s="22">
        <f>B34-B35</f>
        <v/>
      </c>
    </row>
    <row r="37">
      <c r="A37" t="inlineStr">
        <is>
          <t>Diluted shares (m)</t>
        </is>
      </c>
      <c r="B37" s="20">
        <f>Assumptions!B6</f>
        <v/>
      </c>
    </row>
    <row r="38">
      <c r="A38" s="3" t="inlineStr">
        <is>
          <t>VALUE PER SHARE (NZ$)</t>
        </is>
      </c>
      <c r="B38" s="25">
        <f>B36/B37</f>
        <v/>
      </c>
    </row>
    <row r="39">
      <c r="A39" t="inlineStr">
        <is>
          <t>Upside vs current price</t>
        </is>
      </c>
      <c r="B39" s="26">
        <f>B38/Assumptions!B4-1</f>
        <v/>
      </c>
    </row>
    <row r="40">
      <c r="A40" t="inlineStr">
        <is>
          <t>Memo: implied EV/EBITDA at exit (TV / EBITDA_10)</t>
        </is>
      </c>
      <c r="B40" s="24">
        <f>B31/L8</f>
        <v/>
      </c>
    </row>
    <row r="41">
      <c r="A41" t="inlineStr">
        <is>
          <t>Street memo: PV of explicit-period SBC</t>
        </is>
      </c>
      <c r="B41" s="22">
        <f>SUMPRODUCT(-C10:L10/(1+Assumptions!C16)^C4:L4)</f>
        <v/>
      </c>
    </row>
    <row r="42">
      <c r="A42" t="inlineStr">
        <is>
          <t>Street memo: PV of terminal SBC</t>
        </is>
      </c>
      <c r="B42" s="22">
        <f>(-L10*(1+B27)/(Assumptions!C16-B27))*L20</f>
        <v/>
      </c>
    </row>
    <row r="43">
      <c r="A43" t="inlineStr">
        <is>
          <t>Street value per share (SBC as non-cash)</t>
        </is>
      </c>
      <c r="B43" s="27">
        <f>(B36+B41+B42)/B37</f>
        <v/>
      </c>
    </row>
    <row r="44">
      <c r="A44" t="inlineStr">
        <is>
          <t>Memo: market-multiple reference value (TV at 10y avg EV/EBITDA, not the house value)</t>
        </is>
      </c>
      <c r="B44" s="27">
        <f>(B26+Assumptions!$D$22*L8*L20-B35)/B37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DCF_Base - owner-FCF component build (NZ$ millions). Drivers in yellow (rows 5, 7, 9, 14); everything else is formula.</t>
        </is>
      </c>
    </row>
    <row r="3">
      <c r="B3" s="3" t="inlineStr">
        <is>
          <t>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  <c r="F3" s="3" t="inlineStr">
        <is>
          <t>FY2030E</t>
        </is>
      </c>
      <c r="G3" s="3" t="inlineStr">
        <is>
          <t>FY2031E</t>
        </is>
      </c>
      <c r="H3" s="3" t="inlineStr">
        <is>
          <t>FY2032E</t>
        </is>
      </c>
      <c r="I3" s="3" t="inlineStr">
        <is>
          <t>FY2033E</t>
        </is>
      </c>
      <c r="J3" s="3" t="inlineStr">
        <is>
          <t>FY2034E</t>
        </is>
      </c>
      <c r="K3" s="3" t="inlineStr">
        <is>
          <t>FY2035E</t>
        </is>
      </c>
      <c r="L3" s="3" t="inlineStr">
        <is>
          <t>FY2036E</t>
        </is>
      </c>
    </row>
    <row r="4"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9" t="n">
        <v>0.01</v>
      </c>
      <c r="D5" s="9" t="n">
        <v>0.045</v>
      </c>
      <c r="E5" s="9" t="n">
        <v>0.045</v>
      </c>
      <c r="F5" s="9" t="n">
        <v>0.04</v>
      </c>
      <c r="G5" s="9" t="n">
        <v>0.04</v>
      </c>
      <c r="H5" s="9" t="n">
        <v>0.035</v>
      </c>
      <c r="I5" s="9" t="n">
        <v>0.03</v>
      </c>
      <c r="J5" s="9" t="n">
        <v>0.03</v>
      </c>
      <c r="K5" s="9" t="n">
        <v>0.025</v>
      </c>
      <c r="L5" s="9" t="n">
        <v>0.025</v>
      </c>
    </row>
    <row r="6">
      <c r="A6" t="inlineStr">
        <is>
          <t>Revenue</t>
        </is>
      </c>
      <c r="B6" s="14">
        <f>Assumptions!B11</f>
        <v/>
      </c>
      <c r="C6" s="15">
        <f>B6*(1+C5)</f>
        <v/>
      </c>
      <c r="D6" s="15">
        <f>C6*(1+D5)</f>
        <v/>
      </c>
      <c r="E6" s="15">
        <f>D6*(1+E5)</f>
        <v/>
      </c>
      <c r="F6" s="15">
        <f>E6*(1+F5)</f>
        <v/>
      </c>
      <c r="G6" s="15">
        <f>F6*(1+G5)</f>
        <v/>
      </c>
      <c r="H6" s="15">
        <f>G6*(1+H5)</f>
        <v/>
      </c>
      <c r="I6" s="15">
        <f>H6*(1+I5)</f>
        <v/>
      </c>
      <c r="J6" s="15">
        <f>I6*(1+J5)</f>
        <v/>
      </c>
      <c r="K6" s="15">
        <f>J6*(1+K5)</f>
        <v/>
      </c>
      <c r="L6" s="15">
        <f>K6*(1+L5)</f>
        <v/>
      </c>
    </row>
    <row r="7">
      <c r="A7" t="inlineStr">
        <is>
          <t>Adj. EBITDA margin</t>
        </is>
      </c>
      <c r="B7" s="16" t="n">
        <v>0.4159522351500306</v>
      </c>
      <c r="C7" s="9" t="n">
        <v>0.4</v>
      </c>
      <c r="D7" s="9" t="n">
        <v>0.405</v>
      </c>
      <c r="E7" s="9" t="n">
        <v>0.405</v>
      </c>
      <c r="F7" s="9" t="n">
        <v>0.405</v>
      </c>
      <c r="G7" s="9" t="n">
        <v>0.405</v>
      </c>
      <c r="H7" s="9" t="n">
        <v>0.405</v>
      </c>
      <c r="I7" s="9" t="n">
        <v>0.405</v>
      </c>
      <c r="J7" s="9" t="n">
        <v>0.405</v>
      </c>
      <c r="K7" s="9" t="n">
        <v>0.405</v>
      </c>
      <c r="L7" s="9" t="n">
        <v>0.405</v>
      </c>
    </row>
    <row r="8">
      <c r="A8" t="inlineStr">
        <is>
          <t>Adjusted EBITDA</t>
        </is>
      </c>
      <c r="B8" s="4" t="n">
        <v>29.887</v>
      </c>
      <c r="C8" s="15">
        <f>C6*C7</f>
        <v/>
      </c>
      <c r="D8" s="15">
        <f>D6*D7</f>
        <v/>
      </c>
      <c r="E8" s="15">
        <f>E6*E7</f>
        <v/>
      </c>
      <c r="F8" s="15">
        <f>F6*F7</f>
        <v/>
      </c>
      <c r="G8" s="15">
        <f>G6*G7</f>
        <v/>
      </c>
      <c r="H8" s="15">
        <f>H6*H7</f>
        <v/>
      </c>
      <c r="I8" s="15">
        <f>I6*I7</f>
        <v/>
      </c>
      <c r="J8" s="15">
        <f>J6*J7</f>
        <v/>
      </c>
      <c r="K8" s="15">
        <f>K6*K7</f>
        <v/>
      </c>
      <c r="L8" s="15">
        <f>L6*L7</f>
        <v/>
      </c>
    </row>
    <row r="9">
      <c r="A9" t="inlineStr">
        <is>
          <t>SBC % of revenue</t>
        </is>
      </c>
      <c r="B9" s="17" t="n">
        <v>0.002059789567444191</v>
      </c>
      <c r="C9" s="10" t="n">
        <v>0.002</v>
      </c>
      <c r="D9" s="10" t="n">
        <v>0.002</v>
      </c>
      <c r="E9" s="10" t="n">
        <v>0.002</v>
      </c>
      <c r="F9" s="10" t="n">
        <v>0.002</v>
      </c>
      <c r="G9" s="10" t="n">
        <v>0.002</v>
      </c>
      <c r="H9" s="10" t="n">
        <v>0.002</v>
      </c>
      <c r="I9" s="10" t="n">
        <v>0.002</v>
      </c>
      <c r="J9" s="10" t="n">
        <v>0.002</v>
      </c>
      <c r="K9" s="10" t="n">
        <v>0.002</v>
      </c>
      <c r="L9" s="10" t="n">
        <v>0.002</v>
      </c>
    </row>
    <row r="10">
      <c r="A10" t="inlineStr">
        <is>
          <t>SBC (negative)</t>
        </is>
      </c>
      <c r="B10" s="4" t="n">
        <v>-0.148</v>
      </c>
      <c r="C10" s="15">
        <f>-C6*C9</f>
        <v/>
      </c>
      <c r="D10" s="15">
        <f>-D6*D9</f>
        <v/>
      </c>
      <c r="E10" s="15">
        <f>-E6*E9</f>
        <v/>
      </c>
      <c r="F10" s="15">
        <f>-F6*F9</f>
        <v/>
      </c>
      <c r="G10" s="15">
        <f>-G6*G9</f>
        <v/>
      </c>
      <c r="H10" s="15">
        <f>-H6*H9</f>
        <v/>
      </c>
      <c r="I10" s="15">
        <f>-I6*I9</f>
        <v/>
      </c>
      <c r="J10" s="15">
        <f>-J6*J9</f>
        <v/>
      </c>
      <c r="K10" s="15">
        <f>-K6*K9</f>
        <v/>
      </c>
      <c r="L10" s="15">
        <f>-L6*L9</f>
        <v/>
      </c>
    </row>
    <row r="11">
      <c r="A11" t="inlineStr">
        <is>
          <t>Owner EBITDA (EBITDA + SBC)</t>
        </is>
      </c>
      <c r="B11">
        <f>B8+B10</f>
        <v/>
      </c>
      <c r="C11" s="15">
        <f>C8+C10</f>
        <v/>
      </c>
      <c r="D11" s="15">
        <f>D8+D10</f>
        <v/>
      </c>
      <c r="E11" s="15">
        <f>E8+E10</f>
        <v/>
      </c>
      <c r="F11" s="15">
        <f>F8+F10</f>
        <v/>
      </c>
      <c r="G11" s="15">
        <f>G8+G10</f>
        <v/>
      </c>
      <c r="H11" s="15">
        <f>H8+H10</f>
        <v/>
      </c>
      <c r="I11" s="15">
        <f>I8+I10</f>
        <v/>
      </c>
      <c r="J11" s="15">
        <f>J8+J10</f>
        <v/>
      </c>
      <c r="K11" s="15">
        <f>K8+K10</f>
        <v/>
      </c>
      <c r="L11" s="15">
        <f>L8+L10</f>
        <v/>
      </c>
    </row>
    <row r="12">
      <c r="A12" t="inlineStr">
        <is>
          <t>D&amp;A (negative)</t>
        </is>
      </c>
      <c r="B12" s="4" t="n">
        <v>-5.406</v>
      </c>
      <c r="C12" s="18">
        <f>-C6*Assumptions!$D$19</f>
        <v/>
      </c>
      <c r="D12" s="18">
        <f>-D6*Assumptions!$D$19</f>
        <v/>
      </c>
      <c r="E12" s="18">
        <f>-E6*Assumptions!$D$19</f>
        <v/>
      </c>
      <c r="F12" s="18">
        <f>-F6*Assumptions!$D$19</f>
        <v/>
      </c>
      <c r="G12" s="18">
        <f>-G6*Assumptions!$D$19</f>
        <v/>
      </c>
      <c r="H12" s="18">
        <f>-H6*Assumptions!$D$19</f>
        <v/>
      </c>
      <c r="I12" s="18">
        <f>-I6*Assumptions!$D$19</f>
        <v/>
      </c>
      <c r="J12" s="18">
        <f>-J6*Assumptions!$D$19</f>
        <v/>
      </c>
      <c r="K12" s="18">
        <f>-K6*Assumptions!$D$19</f>
        <v/>
      </c>
      <c r="L12" s="18">
        <f>-L6*Assumptions!$D$19</f>
        <v/>
      </c>
    </row>
    <row r="13">
      <c r="A13" t="inlineStr">
        <is>
          <t>EBIT, SBC expensed</t>
        </is>
      </c>
      <c r="B13">
        <f>B11+B12</f>
        <v/>
      </c>
      <c r="C13" s="15">
        <f>C11+C12</f>
        <v/>
      </c>
      <c r="D13" s="15">
        <f>D11+D12</f>
        <v/>
      </c>
      <c r="E13" s="15">
        <f>E11+E12</f>
        <v/>
      </c>
      <c r="F13" s="15">
        <f>F11+F12</f>
        <v/>
      </c>
      <c r="G13" s="15">
        <f>G11+G12</f>
        <v/>
      </c>
      <c r="H13" s="15">
        <f>H11+H12</f>
        <v/>
      </c>
      <c r="I13" s="15">
        <f>I11+I12</f>
        <v/>
      </c>
      <c r="J13" s="15">
        <f>J11+J12</f>
        <v/>
      </c>
      <c r="K13" s="15">
        <f>K11+K12</f>
        <v/>
      </c>
      <c r="L13" s="15">
        <f>L11+L12</f>
        <v/>
      </c>
    </row>
    <row r="14">
      <c r="A14" t="inlineStr">
        <is>
          <t>Cash tax rate</t>
        </is>
      </c>
      <c r="C14" s="11" t="n">
        <v>0.28</v>
      </c>
      <c r="D14" s="11" t="n">
        <v>0.28</v>
      </c>
      <c r="E14" s="11" t="n">
        <v>0.28</v>
      </c>
      <c r="F14" s="11" t="n">
        <v>0.28</v>
      </c>
      <c r="G14" s="11" t="n">
        <v>0.28</v>
      </c>
      <c r="H14" s="11" t="n">
        <v>0.28</v>
      </c>
      <c r="I14" s="11" t="n">
        <v>0.28</v>
      </c>
      <c r="J14" s="11" t="n">
        <v>0.28</v>
      </c>
      <c r="K14" s="11" t="n">
        <v>0.28</v>
      </c>
      <c r="L14" s="11" t="n">
        <v>0.28</v>
      </c>
    </row>
    <row r="15">
      <c r="A15" t="inlineStr">
        <is>
          <t>NOPAT</t>
        </is>
      </c>
      <c r="C15" s="15">
        <f>C13-MAX(0,C13)*C14</f>
        <v/>
      </c>
      <c r="D15" s="15">
        <f>D13-MAX(0,D13)*D14</f>
        <v/>
      </c>
      <c r="E15" s="15">
        <f>E13-MAX(0,E13)*E14</f>
        <v/>
      </c>
      <c r="F15" s="15">
        <f>F13-MAX(0,F13)*F14</f>
        <v/>
      </c>
      <c r="G15" s="15">
        <f>G13-MAX(0,G13)*G14</f>
        <v/>
      </c>
      <c r="H15" s="15">
        <f>H13-MAX(0,H13)*H14</f>
        <v/>
      </c>
      <c r="I15" s="15">
        <f>I13-MAX(0,I13)*I14</f>
        <v/>
      </c>
      <c r="J15" s="15">
        <f>J13-MAX(0,J13)*J14</f>
        <v/>
      </c>
      <c r="K15" s="15">
        <f>K13-MAX(0,K13)*K14</f>
        <v/>
      </c>
      <c r="L15" s="15">
        <f>L13-MAX(0,L13)*L14</f>
        <v/>
      </c>
    </row>
    <row r="16">
      <c r="A16" t="inlineStr">
        <is>
          <t>add back D&amp;A</t>
        </is>
      </c>
      <c r="C16" s="15">
        <f>-C12</f>
        <v/>
      </c>
      <c r="D16" s="15">
        <f>-D12</f>
        <v/>
      </c>
      <c r="E16" s="15">
        <f>-E12</f>
        <v/>
      </c>
      <c r="F16" s="15">
        <f>-F12</f>
        <v/>
      </c>
      <c r="G16" s="15">
        <f>-G12</f>
        <v/>
      </c>
      <c r="H16" s="15">
        <f>-H12</f>
        <v/>
      </c>
      <c r="I16" s="15">
        <f>-I12</f>
        <v/>
      </c>
      <c r="J16" s="15">
        <f>-J12</f>
        <v/>
      </c>
      <c r="K16" s="15">
        <f>-K12</f>
        <v/>
      </c>
      <c r="L16" s="15">
        <f>-L12</f>
        <v/>
      </c>
    </row>
    <row r="17">
      <c r="A17" t="inlineStr">
        <is>
          <t>less capex</t>
        </is>
      </c>
      <c r="B17" s="4" t="n">
        <v>-9.439</v>
      </c>
      <c r="C17" s="18">
        <f>-C6*Assumptions!$D$20</f>
        <v/>
      </c>
      <c r="D17" s="18">
        <f>-D6*Assumptions!$D$20</f>
        <v/>
      </c>
      <c r="E17" s="18">
        <f>-E6*Assumptions!$D$20</f>
        <v/>
      </c>
      <c r="F17" s="18">
        <f>-F6*Assumptions!$D$20</f>
        <v/>
      </c>
      <c r="G17" s="18">
        <f>-G6*Assumptions!$D$20</f>
        <v/>
      </c>
      <c r="H17" s="18">
        <f>-H6*Assumptions!$D$20</f>
        <v/>
      </c>
      <c r="I17" s="18">
        <f>-I6*Assumptions!$D$20</f>
        <v/>
      </c>
      <c r="J17" s="18">
        <f>-J6*Assumptions!$D$20</f>
        <v/>
      </c>
      <c r="K17" s="18">
        <f>-K6*Assumptions!$D$20</f>
        <v/>
      </c>
      <c r="L17" s="18">
        <f>-L6*Assumptions!$D$20</f>
        <v/>
      </c>
    </row>
    <row r="18">
      <c r="A18" t="inlineStr">
        <is>
          <t>add working capital (on revenue change)</t>
        </is>
      </c>
      <c r="C18" s="18">
        <f>Assumptions!$D$21*(C6-B6)</f>
        <v/>
      </c>
      <c r="D18" s="18">
        <f>Assumptions!$D$21*(D6-C6)</f>
        <v/>
      </c>
      <c r="E18" s="18">
        <f>Assumptions!$D$21*(E6-D6)</f>
        <v/>
      </c>
      <c r="F18" s="18">
        <f>Assumptions!$D$21*(F6-E6)</f>
        <v/>
      </c>
      <c r="G18" s="18">
        <f>Assumptions!$D$21*(G6-F6)</f>
        <v/>
      </c>
      <c r="H18" s="18">
        <f>Assumptions!$D$21*(H6-G6)</f>
        <v/>
      </c>
      <c r="I18" s="18">
        <f>Assumptions!$D$21*(I6-H6)</f>
        <v/>
      </c>
      <c r="J18" s="18">
        <f>Assumptions!$D$21*(J6-I6)</f>
        <v/>
      </c>
      <c r="K18" s="18">
        <f>Assumptions!$D$21*(K6-J6)</f>
        <v/>
      </c>
      <c r="L18" s="18">
        <f>Assumptions!$D$21*(L6-K6)</f>
        <v/>
      </c>
    </row>
    <row r="19">
      <c r="A19" s="3" t="inlineStr">
        <is>
          <t>Unlevered owner FCF</t>
        </is>
      </c>
      <c r="B19" s="4" t="n">
        <v>14.011</v>
      </c>
      <c r="C19" s="19">
        <f>C15+C16+C17+C18</f>
        <v/>
      </c>
      <c r="D19" s="19">
        <f>D15+D16+D17+D18</f>
        <v/>
      </c>
      <c r="E19" s="19">
        <f>E15+E16+E17+E18</f>
        <v/>
      </c>
      <c r="F19" s="19">
        <f>F15+F16+F17+F18</f>
        <v/>
      </c>
      <c r="G19" s="19">
        <f>G15+G16+G17+G18</f>
        <v/>
      </c>
      <c r="H19" s="19">
        <f>H15+H16+H17+H18</f>
        <v/>
      </c>
      <c r="I19" s="19">
        <f>I15+I16+I17+I18</f>
        <v/>
      </c>
      <c r="J19" s="19">
        <f>J15+J16+J17+J18</f>
        <v/>
      </c>
      <c r="K19" s="19">
        <f>K15+K16+K17+K18</f>
        <v/>
      </c>
      <c r="L19" s="19">
        <f>L15+L16+L17+L18</f>
        <v/>
      </c>
    </row>
    <row r="20">
      <c r="A20" t="inlineStr">
        <is>
          <t>Discount factor</t>
        </is>
      </c>
      <c r="C20" s="20">
        <f>1/(1+Assumptions!$D$16)^C4</f>
        <v/>
      </c>
      <c r="D20" s="20">
        <f>1/(1+Assumptions!$D$16)^D4</f>
        <v/>
      </c>
      <c r="E20" s="20">
        <f>1/(1+Assumptions!$D$16)^E4</f>
        <v/>
      </c>
      <c r="F20" s="20">
        <f>1/(1+Assumptions!$D$16)^F4</f>
        <v/>
      </c>
      <c r="G20" s="20">
        <f>1/(1+Assumptions!$D$16)^G4</f>
        <v/>
      </c>
      <c r="H20" s="20">
        <f>1/(1+Assumptions!$D$16)^H4</f>
        <v/>
      </c>
      <c r="I20" s="20">
        <f>1/(1+Assumptions!$D$16)^I4</f>
        <v/>
      </c>
      <c r="J20" s="20">
        <f>1/(1+Assumptions!$D$16)^J4</f>
        <v/>
      </c>
      <c r="K20" s="20">
        <f>1/(1+Assumptions!$D$16)^K4</f>
        <v/>
      </c>
      <c r="L20" s="20">
        <f>1/(1+Assumptions!$D$16)^L4</f>
        <v/>
      </c>
    </row>
    <row r="21">
      <c r="A21" t="inlineStr">
        <is>
          <t>PV of FCF</t>
        </is>
      </c>
      <c r="C21" s="15">
        <f>C19*C20</f>
        <v/>
      </c>
      <c r="D21" s="15">
        <f>D19*D20</f>
        <v/>
      </c>
      <c r="E21" s="15">
        <f>E19*E20</f>
        <v/>
      </c>
      <c r="F21" s="15">
        <f>F19*F20</f>
        <v/>
      </c>
      <c r="G21" s="15">
        <f>G19*G20</f>
        <v/>
      </c>
      <c r="H21" s="15">
        <f>H19*H20</f>
        <v/>
      </c>
      <c r="I21" s="15">
        <f>I19*I20</f>
        <v/>
      </c>
      <c r="J21" s="15">
        <f>J19*J20</f>
        <v/>
      </c>
      <c r="K21" s="15">
        <f>K19*K20</f>
        <v/>
      </c>
      <c r="L21" s="15">
        <f>L19*L20</f>
        <v/>
      </c>
    </row>
    <row r="23">
      <c r="A23" t="inlineStr">
        <is>
          <t>Memo: FCF before SBC (company-style)</t>
        </is>
      </c>
      <c r="C23" s="15">
        <f>C19-C10</f>
        <v/>
      </c>
      <c r="D23" s="15">
        <f>D19-D10</f>
        <v/>
      </c>
      <c r="E23" s="15">
        <f>E19-E10</f>
        <v/>
      </c>
      <c r="F23" s="15">
        <f>F19-F10</f>
        <v/>
      </c>
      <c r="G23" s="15">
        <f>G19-G10</f>
        <v/>
      </c>
      <c r="H23" s="15">
        <f>H19-H10</f>
        <v/>
      </c>
      <c r="I23" s="15">
        <f>I19-I10</f>
        <v/>
      </c>
      <c r="J23" s="15">
        <f>J19-J10</f>
        <v/>
      </c>
      <c r="K23" s="15">
        <f>K19-K10</f>
        <v/>
      </c>
      <c r="L23" s="15">
        <f>L19-L10</f>
        <v/>
      </c>
    </row>
    <row r="24">
      <c r="A24" t="inlineStr">
        <is>
          <t>Memo: owner-FCF margin</t>
        </is>
      </c>
      <c r="B24" s="21">
        <f>B19/B6</f>
        <v/>
      </c>
      <c r="C24" s="21">
        <f>C19/C6</f>
        <v/>
      </c>
      <c r="D24" s="21">
        <f>D19/D6</f>
        <v/>
      </c>
      <c r="E24" s="21">
        <f>E19/E6</f>
        <v/>
      </c>
      <c r="F24" s="21">
        <f>F19/F6</f>
        <v/>
      </c>
      <c r="G24" s="21">
        <f>G19/G6</f>
        <v/>
      </c>
      <c r="H24" s="21">
        <f>H19/H6</f>
        <v/>
      </c>
      <c r="I24" s="21">
        <f>I19/I6</f>
        <v/>
      </c>
      <c r="J24" s="21">
        <f>J19/J6</f>
        <v/>
      </c>
      <c r="K24" s="21">
        <f>K19/K6</f>
        <v/>
      </c>
      <c r="L24" s="21">
        <f>L19/L6</f>
        <v/>
      </c>
    </row>
    <row r="25">
      <c r="A25" t="inlineStr">
        <is>
          <t>FY0 column: actuals (blue); row 19 FY0 is reported owner FCF 14.011 (OCF 23.598 - capex 9.439 - SBC 0.148), not a component build.</t>
        </is>
      </c>
    </row>
    <row r="26">
      <c r="A26" t="inlineStr">
        <is>
          <t>Sum of PV of FCF</t>
        </is>
      </c>
      <c r="B26" s="22">
        <f>SUM(C21:L21)</f>
        <v/>
      </c>
    </row>
    <row r="27">
      <c r="A27" t="inlineStr">
        <is>
          <t>Terminal growth</t>
        </is>
      </c>
      <c r="B27" s="23">
        <f>Assumptions!D17</f>
        <v/>
      </c>
    </row>
    <row r="28">
      <c r="A28" t="inlineStr">
        <is>
          <t>Terminal-year FCF x (1+g)</t>
        </is>
      </c>
      <c r="B28" s="22">
        <f>L19*(1+B27)</f>
        <v/>
      </c>
    </row>
    <row r="29">
      <c r="A29" t="inlineStr">
        <is>
          <t>Gordon terminal value</t>
        </is>
      </c>
      <c r="B29" s="22">
        <f>B28/(Assumptions!D16-B27)</f>
        <v/>
      </c>
    </row>
    <row r="30">
      <c r="A30" t="inlineStr">
        <is>
          <t>Exit-multiple cap TV (cap x terminal EBITDA)</t>
        </is>
      </c>
      <c r="B30" s="22">
        <f>Assumptions!D22*L8</f>
        <v/>
      </c>
    </row>
    <row r="31">
      <c r="A31" t="inlineStr">
        <is>
          <t>Terminal value used = MAX(0,MIN(Gordon, cap))</t>
        </is>
      </c>
      <c r="B31" s="22">
        <f>MAX(0,MIN(B29,B30))</f>
        <v/>
      </c>
    </row>
    <row r="32">
      <c r="A32" t="inlineStr">
        <is>
          <t>Implied exit multiple (TV / FCF_10)</t>
        </is>
      </c>
      <c r="B32" s="24">
        <f>B31/L19</f>
        <v/>
      </c>
    </row>
    <row r="33">
      <c r="A33" t="inlineStr">
        <is>
          <t>PV of terminal value</t>
        </is>
      </c>
      <c r="B33" s="22">
        <f>B31*L20</f>
        <v/>
      </c>
    </row>
    <row r="34">
      <c r="A34" t="inlineStr">
        <is>
          <t>Enterprise value</t>
        </is>
      </c>
      <c r="B34" s="22">
        <f>B26+B33</f>
        <v/>
      </c>
    </row>
    <row r="35">
      <c r="A35" t="inlineStr">
        <is>
          <t>less net debt</t>
        </is>
      </c>
      <c r="B35" s="18">
        <f>Assumptions!B9</f>
        <v/>
      </c>
    </row>
    <row r="36">
      <c r="A36" t="inlineStr">
        <is>
          <t>Equity value</t>
        </is>
      </c>
      <c r="B36" s="22">
        <f>B34-B35</f>
        <v/>
      </c>
    </row>
    <row r="37">
      <c r="A37" t="inlineStr">
        <is>
          <t>Diluted shares (m)</t>
        </is>
      </c>
      <c r="B37" s="20">
        <f>Assumptions!B6</f>
        <v/>
      </c>
    </row>
    <row r="38">
      <c r="A38" s="3" t="inlineStr">
        <is>
          <t>VALUE PER SHARE (NZ$)</t>
        </is>
      </c>
      <c r="B38" s="25">
        <f>B36/B37</f>
        <v/>
      </c>
    </row>
    <row r="39">
      <c r="A39" t="inlineStr">
        <is>
          <t>Upside vs current price</t>
        </is>
      </c>
      <c r="B39" s="26">
        <f>B38/Assumptions!B4-1</f>
        <v/>
      </c>
    </row>
    <row r="40">
      <c r="A40" t="inlineStr">
        <is>
          <t>Memo: implied EV/EBITDA at exit (TV / EBITDA_10)</t>
        </is>
      </c>
      <c r="B40" s="24">
        <f>B31/L8</f>
        <v/>
      </c>
    </row>
    <row r="41">
      <c r="A41" t="inlineStr">
        <is>
          <t>Street memo: PV of explicit-period SBC</t>
        </is>
      </c>
      <c r="B41" s="22">
        <f>SUMPRODUCT(-C10:L10/(1+Assumptions!D16)^C4:L4)</f>
        <v/>
      </c>
    </row>
    <row r="42">
      <c r="A42" t="inlineStr">
        <is>
          <t>Street memo: PV of terminal SBC</t>
        </is>
      </c>
      <c r="B42" s="22">
        <f>(-L10*(1+B27)/(Assumptions!D16-B27))*L20</f>
        <v/>
      </c>
    </row>
    <row r="43">
      <c r="A43" t="inlineStr">
        <is>
          <t>Street value per share (SBC as non-cash)</t>
        </is>
      </c>
      <c r="B43" s="27">
        <f>(B36+B41+B42)/B37</f>
        <v/>
      </c>
    </row>
    <row r="44">
      <c r="A44" t="inlineStr">
        <is>
          <t>Memo: market-multiple reference value (TV at 10y avg EV/EBITDA, not the house value)</t>
        </is>
      </c>
      <c r="B44" s="27">
        <f>(B26+Assumptions!$D$22*L8*L20-B35)/B37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DCF_Bull - owner-FCF component build (NZ$ millions). Drivers in yellow (rows 5, 7, 9, 14); everything else is formula.</t>
        </is>
      </c>
    </row>
    <row r="3">
      <c r="B3" s="3" t="inlineStr">
        <is>
          <t>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  <c r="F3" s="3" t="inlineStr">
        <is>
          <t>FY2030E</t>
        </is>
      </c>
      <c r="G3" s="3" t="inlineStr">
        <is>
          <t>FY2031E</t>
        </is>
      </c>
      <c r="H3" s="3" t="inlineStr">
        <is>
          <t>FY2032E</t>
        </is>
      </c>
      <c r="I3" s="3" t="inlineStr">
        <is>
          <t>FY2033E</t>
        </is>
      </c>
      <c r="J3" s="3" t="inlineStr">
        <is>
          <t>FY2034E</t>
        </is>
      </c>
      <c r="K3" s="3" t="inlineStr">
        <is>
          <t>FY2035E</t>
        </is>
      </c>
      <c r="L3" s="3" t="inlineStr">
        <is>
          <t>FY2036E</t>
        </is>
      </c>
    </row>
    <row r="4"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9" t="n">
        <v>0.03</v>
      </c>
      <c r="D5" s="9" t="n">
        <v>0.06</v>
      </c>
      <c r="E5" s="9" t="n">
        <v>0.06</v>
      </c>
      <c r="F5" s="9" t="n">
        <v>0.05</v>
      </c>
      <c r="G5" s="9" t="n">
        <v>0.05</v>
      </c>
      <c r="H5" s="9" t="n">
        <v>0.04</v>
      </c>
      <c r="I5" s="9" t="n">
        <v>0.04</v>
      </c>
      <c r="J5" s="9" t="n">
        <v>0.035</v>
      </c>
      <c r="K5" s="9" t="n">
        <v>0.03</v>
      </c>
      <c r="L5" s="9" t="n">
        <v>0.03</v>
      </c>
    </row>
    <row r="6">
      <c r="A6" t="inlineStr">
        <is>
          <t>Revenue</t>
        </is>
      </c>
      <c r="B6" s="14">
        <f>Assumptions!B11</f>
        <v/>
      </c>
      <c r="C6" s="15">
        <f>B6*(1+C5)</f>
        <v/>
      </c>
      <c r="D6" s="15">
        <f>C6*(1+D5)</f>
        <v/>
      </c>
      <c r="E6" s="15">
        <f>D6*(1+E5)</f>
        <v/>
      </c>
      <c r="F6" s="15">
        <f>E6*(1+F5)</f>
        <v/>
      </c>
      <c r="G6" s="15">
        <f>F6*(1+G5)</f>
        <v/>
      </c>
      <c r="H6" s="15">
        <f>G6*(1+H5)</f>
        <v/>
      </c>
      <c r="I6" s="15">
        <f>H6*(1+I5)</f>
        <v/>
      </c>
      <c r="J6" s="15">
        <f>I6*(1+J5)</f>
        <v/>
      </c>
      <c r="K6" s="15">
        <f>J6*(1+K5)</f>
        <v/>
      </c>
      <c r="L6" s="15">
        <f>K6*(1+L5)</f>
        <v/>
      </c>
    </row>
    <row r="7">
      <c r="A7" t="inlineStr">
        <is>
          <t>Adj. EBITDA margin</t>
        </is>
      </c>
      <c r="B7" s="16" t="n">
        <v>0.4159522351500306</v>
      </c>
      <c r="C7" s="9" t="n">
        <v>0.415</v>
      </c>
      <c r="D7" s="9" t="n">
        <v>0.42</v>
      </c>
      <c r="E7" s="9" t="n">
        <v>0.425</v>
      </c>
      <c r="F7" s="9" t="n">
        <v>0.43</v>
      </c>
      <c r="G7" s="9" t="n">
        <v>0.435</v>
      </c>
      <c r="H7" s="9" t="n">
        <v>0.435</v>
      </c>
      <c r="I7" s="9" t="n">
        <v>0.435</v>
      </c>
      <c r="J7" s="9" t="n">
        <v>0.435</v>
      </c>
      <c r="K7" s="9" t="n">
        <v>0.435</v>
      </c>
      <c r="L7" s="9" t="n">
        <v>0.435</v>
      </c>
    </row>
    <row r="8">
      <c r="A8" t="inlineStr">
        <is>
          <t>Adjusted EBITDA</t>
        </is>
      </c>
      <c r="B8" s="4" t="n">
        <v>29.887</v>
      </c>
      <c r="C8" s="15">
        <f>C6*C7</f>
        <v/>
      </c>
      <c r="D8" s="15">
        <f>D6*D7</f>
        <v/>
      </c>
      <c r="E8" s="15">
        <f>E6*E7</f>
        <v/>
      </c>
      <c r="F8" s="15">
        <f>F6*F7</f>
        <v/>
      </c>
      <c r="G8" s="15">
        <f>G6*G7</f>
        <v/>
      </c>
      <c r="H8" s="15">
        <f>H6*H7</f>
        <v/>
      </c>
      <c r="I8" s="15">
        <f>I6*I7</f>
        <v/>
      </c>
      <c r="J8" s="15">
        <f>J6*J7</f>
        <v/>
      </c>
      <c r="K8" s="15">
        <f>K6*K7</f>
        <v/>
      </c>
      <c r="L8" s="15">
        <f>L6*L7</f>
        <v/>
      </c>
    </row>
    <row r="9">
      <c r="A9" t="inlineStr">
        <is>
          <t>SBC % of revenue</t>
        </is>
      </c>
      <c r="B9" s="17" t="n">
        <v>0.002059789567444191</v>
      </c>
      <c r="C9" s="10" t="n">
        <v>0.002</v>
      </c>
      <c r="D9" s="10" t="n">
        <v>0.002</v>
      </c>
      <c r="E9" s="10" t="n">
        <v>0.002</v>
      </c>
      <c r="F9" s="10" t="n">
        <v>0.002</v>
      </c>
      <c r="G9" s="10" t="n">
        <v>0.002</v>
      </c>
      <c r="H9" s="10" t="n">
        <v>0.002</v>
      </c>
      <c r="I9" s="10" t="n">
        <v>0.002</v>
      </c>
      <c r="J9" s="10" t="n">
        <v>0.002</v>
      </c>
      <c r="K9" s="10" t="n">
        <v>0.002</v>
      </c>
      <c r="L9" s="10" t="n">
        <v>0.002</v>
      </c>
    </row>
    <row r="10">
      <c r="A10" t="inlineStr">
        <is>
          <t>SBC (negative)</t>
        </is>
      </c>
      <c r="B10" s="4" t="n">
        <v>-0.148</v>
      </c>
      <c r="C10" s="15">
        <f>-C6*C9</f>
        <v/>
      </c>
      <c r="D10" s="15">
        <f>-D6*D9</f>
        <v/>
      </c>
      <c r="E10" s="15">
        <f>-E6*E9</f>
        <v/>
      </c>
      <c r="F10" s="15">
        <f>-F6*F9</f>
        <v/>
      </c>
      <c r="G10" s="15">
        <f>-G6*G9</f>
        <v/>
      </c>
      <c r="H10" s="15">
        <f>-H6*H9</f>
        <v/>
      </c>
      <c r="I10" s="15">
        <f>-I6*I9</f>
        <v/>
      </c>
      <c r="J10" s="15">
        <f>-J6*J9</f>
        <v/>
      </c>
      <c r="K10" s="15">
        <f>-K6*K9</f>
        <v/>
      </c>
      <c r="L10" s="15">
        <f>-L6*L9</f>
        <v/>
      </c>
    </row>
    <row r="11">
      <c r="A11" t="inlineStr">
        <is>
          <t>Owner EBITDA (EBITDA + SBC)</t>
        </is>
      </c>
      <c r="B11">
        <f>B8+B10</f>
        <v/>
      </c>
      <c r="C11" s="15">
        <f>C8+C10</f>
        <v/>
      </c>
      <c r="D11" s="15">
        <f>D8+D10</f>
        <v/>
      </c>
      <c r="E11" s="15">
        <f>E8+E10</f>
        <v/>
      </c>
      <c r="F11" s="15">
        <f>F8+F10</f>
        <v/>
      </c>
      <c r="G11" s="15">
        <f>G8+G10</f>
        <v/>
      </c>
      <c r="H11" s="15">
        <f>H8+H10</f>
        <v/>
      </c>
      <c r="I11" s="15">
        <f>I8+I10</f>
        <v/>
      </c>
      <c r="J11" s="15">
        <f>J8+J10</f>
        <v/>
      </c>
      <c r="K11" s="15">
        <f>K8+K10</f>
        <v/>
      </c>
      <c r="L11" s="15">
        <f>L8+L10</f>
        <v/>
      </c>
    </row>
    <row r="12">
      <c r="A12" t="inlineStr">
        <is>
          <t>D&amp;A (negative)</t>
        </is>
      </c>
      <c r="B12" s="4" t="n">
        <v>-5.406</v>
      </c>
      <c r="C12" s="18">
        <f>-C6*Assumptions!$E$19</f>
        <v/>
      </c>
      <c r="D12" s="18">
        <f>-D6*Assumptions!$E$19</f>
        <v/>
      </c>
      <c r="E12" s="18">
        <f>-E6*Assumptions!$E$19</f>
        <v/>
      </c>
      <c r="F12" s="18">
        <f>-F6*Assumptions!$E$19</f>
        <v/>
      </c>
      <c r="G12" s="18">
        <f>-G6*Assumptions!$E$19</f>
        <v/>
      </c>
      <c r="H12" s="18">
        <f>-H6*Assumptions!$E$19</f>
        <v/>
      </c>
      <c r="I12" s="18">
        <f>-I6*Assumptions!$E$19</f>
        <v/>
      </c>
      <c r="J12" s="18">
        <f>-J6*Assumptions!$E$19</f>
        <v/>
      </c>
      <c r="K12" s="18">
        <f>-K6*Assumptions!$E$19</f>
        <v/>
      </c>
      <c r="L12" s="18">
        <f>-L6*Assumptions!$E$19</f>
        <v/>
      </c>
    </row>
    <row r="13">
      <c r="A13" t="inlineStr">
        <is>
          <t>EBIT, SBC expensed</t>
        </is>
      </c>
      <c r="B13">
        <f>B11+B12</f>
        <v/>
      </c>
      <c r="C13" s="15">
        <f>C11+C12</f>
        <v/>
      </c>
      <c r="D13" s="15">
        <f>D11+D12</f>
        <v/>
      </c>
      <c r="E13" s="15">
        <f>E11+E12</f>
        <v/>
      </c>
      <c r="F13" s="15">
        <f>F11+F12</f>
        <v/>
      </c>
      <c r="G13" s="15">
        <f>G11+G12</f>
        <v/>
      </c>
      <c r="H13" s="15">
        <f>H11+H12</f>
        <v/>
      </c>
      <c r="I13" s="15">
        <f>I11+I12</f>
        <v/>
      </c>
      <c r="J13" s="15">
        <f>J11+J12</f>
        <v/>
      </c>
      <c r="K13" s="15">
        <f>K11+K12</f>
        <v/>
      </c>
      <c r="L13" s="15">
        <f>L11+L12</f>
        <v/>
      </c>
    </row>
    <row r="14">
      <c r="A14" t="inlineStr">
        <is>
          <t>Cash tax rate</t>
        </is>
      </c>
      <c r="C14" s="11" t="n">
        <v>0.28</v>
      </c>
      <c r="D14" s="11" t="n">
        <v>0.28</v>
      </c>
      <c r="E14" s="11" t="n">
        <v>0.28</v>
      </c>
      <c r="F14" s="11" t="n">
        <v>0.28</v>
      </c>
      <c r="G14" s="11" t="n">
        <v>0.28</v>
      </c>
      <c r="H14" s="11" t="n">
        <v>0.28</v>
      </c>
      <c r="I14" s="11" t="n">
        <v>0.28</v>
      </c>
      <c r="J14" s="11" t="n">
        <v>0.28</v>
      </c>
      <c r="K14" s="11" t="n">
        <v>0.28</v>
      </c>
      <c r="L14" s="11" t="n">
        <v>0.28</v>
      </c>
    </row>
    <row r="15">
      <c r="A15" t="inlineStr">
        <is>
          <t>NOPAT</t>
        </is>
      </c>
      <c r="C15" s="15">
        <f>C13-MAX(0,C13)*C14</f>
        <v/>
      </c>
      <c r="D15" s="15">
        <f>D13-MAX(0,D13)*D14</f>
        <v/>
      </c>
      <c r="E15" s="15">
        <f>E13-MAX(0,E13)*E14</f>
        <v/>
      </c>
      <c r="F15" s="15">
        <f>F13-MAX(0,F13)*F14</f>
        <v/>
      </c>
      <c r="G15" s="15">
        <f>G13-MAX(0,G13)*G14</f>
        <v/>
      </c>
      <c r="H15" s="15">
        <f>H13-MAX(0,H13)*H14</f>
        <v/>
      </c>
      <c r="I15" s="15">
        <f>I13-MAX(0,I13)*I14</f>
        <v/>
      </c>
      <c r="J15" s="15">
        <f>J13-MAX(0,J13)*J14</f>
        <v/>
      </c>
      <c r="K15" s="15">
        <f>K13-MAX(0,K13)*K14</f>
        <v/>
      </c>
      <c r="L15" s="15">
        <f>L13-MAX(0,L13)*L14</f>
        <v/>
      </c>
    </row>
    <row r="16">
      <c r="A16" t="inlineStr">
        <is>
          <t>add back D&amp;A</t>
        </is>
      </c>
      <c r="C16" s="15">
        <f>-C12</f>
        <v/>
      </c>
      <c r="D16" s="15">
        <f>-D12</f>
        <v/>
      </c>
      <c r="E16" s="15">
        <f>-E12</f>
        <v/>
      </c>
      <c r="F16" s="15">
        <f>-F12</f>
        <v/>
      </c>
      <c r="G16" s="15">
        <f>-G12</f>
        <v/>
      </c>
      <c r="H16" s="15">
        <f>-H12</f>
        <v/>
      </c>
      <c r="I16" s="15">
        <f>-I12</f>
        <v/>
      </c>
      <c r="J16" s="15">
        <f>-J12</f>
        <v/>
      </c>
      <c r="K16" s="15">
        <f>-K12</f>
        <v/>
      </c>
      <c r="L16" s="15">
        <f>-L12</f>
        <v/>
      </c>
    </row>
    <row r="17">
      <c r="A17" t="inlineStr">
        <is>
          <t>less capex</t>
        </is>
      </c>
      <c r="B17" s="4" t="n">
        <v>-9.439</v>
      </c>
      <c r="C17" s="18">
        <f>-C6*Assumptions!$E$20</f>
        <v/>
      </c>
      <c r="D17" s="18">
        <f>-D6*Assumptions!$E$20</f>
        <v/>
      </c>
      <c r="E17" s="18">
        <f>-E6*Assumptions!$E$20</f>
        <v/>
      </c>
      <c r="F17" s="18">
        <f>-F6*Assumptions!$E$20</f>
        <v/>
      </c>
      <c r="G17" s="18">
        <f>-G6*Assumptions!$E$20</f>
        <v/>
      </c>
      <c r="H17" s="18">
        <f>-H6*Assumptions!$E$20</f>
        <v/>
      </c>
      <c r="I17" s="18">
        <f>-I6*Assumptions!$E$20</f>
        <v/>
      </c>
      <c r="J17" s="18">
        <f>-J6*Assumptions!$E$20</f>
        <v/>
      </c>
      <c r="K17" s="18">
        <f>-K6*Assumptions!$E$20</f>
        <v/>
      </c>
      <c r="L17" s="18">
        <f>-L6*Assumptions!$E$20</f>
        <v/>
      </c>
    </row>
    <row r="18">
      <c r="A18" t="inlineStr">
        <is>
          <t>add working capital (on revenue change)</t>
        </is>
      </c>
      <c r="C18" s="18">
        <f>Assumptions!$E$21*(C6-B6)</f>
        <v/>
      </c>
      <c r="D18" s="18">
        <f>Assumptions!$E$21*(D6-C6)</f>
        <v/>
      </c>
      <c r="E18" s="18">
        <f>Assumptions!$E$21*(E6-D6)</f>
        <v/>
      </c>
      <c r="F18" s="18">
        <f>Assumptions!$E$21*(F6-E6)</f>
        <v/>
      </c>
      <c r="G18" s="18">
        <f>Assumptions!$E$21*(G6-F6)</f>
        <v/>
      </c>
      <c r="H18" s="18">
        <f>Assumptions!$E$21*(H6-G6)</f>
        <v/>
      </c>
      <c r="I18" s="18">
        <f>Assumptions!$E$21*(I6-H6)</f>
        <v/>
      </c>
      <c r="J18" s="18">
        <f>Assumptions!$E$21*(J6-I6)</f>
        <v/>
      </c>
      <c r="K18" s="18">
        <f>Assumptions!$E$21*(K6-J6)</f>
        <v/>
      </c>
      <c r="L18" s="18">
        <f>Assumptions!$E$21*(L6-K6)</f>
        <v/>
      </c>
    </row>
    <row r="19">
      <c r="A19" s="3" t="inlineStr">
        <is>
          <t>Unlevered owner FCF</t>
        </is>
      </c>
      <c r="B19" s="4" t="n">
        <v>14.011</v>
      </c>
      <c r="C19" s="19">
        <f>C15+C16+C17+C18</f>
        <v/>
      </c>
      <c r="D19" s="19">
        <f>D15+D16+D17+D18</f>
        <v/>
      </c>
      <c r="E19" s="19">
        <f>E15+E16+E17+E18</f>
        <v/>
      </c>
      <c r="F19" s="19">
        <f>F15+F16+F17+F18</f>
        <v/>
      </c>
      <c r="G19" s="19">
        <f>G15+G16+G17+G18</f>
        <v/>
      </c>
      <c r="H19" s="19">
        <f>H15+H16+H17+H18</f>
        <v/>
      </c>
      <c r="I19" s="19">
        <f>I15+I16+I17+I18</f>
        <v/>
      </c>
      <c r="J19" s="19">
        <f>J15+J16+J17+J18</f>
        <v/>
      </c>
      <c r="K19" s="19">
        <f>K15+K16+K17+K18</f>
        <v/>
      </c>
      <c r="L19" s="19">
        <f>L15+L16+L17+L18</f>
        <v/>
      </c>
    </row>
    <row r="20">
      <c r="A20" t="inlineStr">
        <is>
          <t>Discount factor</t>
        </is>
      </c>
      <c r="C20" s="20">
        <f>1/(1+Assumptions!$E$16)^C4</f>
        <v/>
      </c>
      <c r="D20" s="20">
        <f>1/(1+Assumptions!$E$16)^D4</f>
        <v/>
      </c>
      <c r="E20" s="20">
        <f>1/(1+Assumptions!$E$16)^E4</f>
        <v/>
      </c>
      <c r="F20" s="20">
        <f>1/(1+Assumptions!$E$16)^F4</f>
        <v/>
      </c>
      <c r="G20" s="20">
        <f>1/(1+Assumptions!$E$16)^G4</f>
        <v/>
      </c>
      <c r="H20" s="20">
        <f>1/(1+Assumptions!$E$16)^H4</f>
        <v/>
      </c>
      <c r="I20" s="20">
        <f>1/(1+Assumptions!$E$16)^I4</f>
        <v/>
      </c>
      <c r="J20" s="20">
        <f>1/(1+Assumptions!$E$16)^J4</f>
        <v/>
      </c>
      <c r="K20" s="20">
        <f>1/(1+Assumptions!$E$16)^K4</f>
        <v/>
      </c>
      <c r="L20" s="20">
        <f>1/(1+Assumptions!$E$16)^L4</f>
        <v/>
      </c>
    </row>
    <row r="21">
      <c r="A21" t="inlineStr">
        <is>
          <t>PV of FCF</t>
        </is>
      </c>
      <c r="C21" s="15">
        <f>C19*C20</f>
        <v/>
      </c>
      <c r="D21" s="15">
        <f>D19*D20</f>
        <v/>
      </c>
      <c r="E21" s="15">
        <f>E19*E20</f>
        <v/>
      </c>
      <c r="F21" s="15">
        <f>F19*F20</f>
        <v/>
      </c>
      <c r="G21" s="15">
        <f>G19*G20</f>
        <v/>
      </c>
      <c r="H21" s="15">
        <f>H19*H20</f>
        <v/>
      </c>
      <c r="I21" s="15">
        <f>I19*I20</f>
        <v/>
      </c>
      <c r="J21" s="15">
        <f>J19*J20</f>
        <v/>
      </c>
      <c r="K21" s="15">
        <f>K19*K20</f>
        <v/>
      </c>
      <c r="L21" s="15">
        <f>L19*L20</f>
        <v/>
      </c>
    </row>
    <row r="23">
      <c r="A23" t="inlineStr">
        <is>
          <t>Memo: FCF before SBC (company-style)</t>
        </is>
      </c>
      <c r="C23" s="15">
        <f>C19-C10</f>
        <v/>
      </c>
      <c r="D23" s="15">
        <f>D19-D10</f>
        <v/>
      </c>
      <c r="E23" s="15">
        <f>E19-E10</f>
        <v/>
      </c>
      <c r="F23" s="15">
        <f>F19-F10</f>
        <v/>
      </c>
      <c r="G23" s="15">
        <f>G19-G10</f>
        <v/>
      </c>
      <c r="H23" s="15">
        <f>H19-H10</f>
        <v/>
      </c>
      <c r="I23" s="15">
        <f>I19-I10</f>
        <v/>
      </c>
      <c r="J23" s="15">
        <f>J19-J10</f>
        <v/>
      </c>
      <c r="K23" s="15">
        <f>K19-K10</f>
        <v/>
      </c>
      <c r="L23" s="15">
        <f>L19-L10</f>
        <v/>
      </c>
    </row>
    <row r="24">
      <c r="A24" t="inlineStr">
        <is>
          <t>Memo: owner-FCF margin</t>
        </is>
      </c>
      <c r="B24" s="21">
        <f>B19/B6</f>
        <v/>
      </c>
      <c r="C24" s="21">
        <f>C19/C6</f>
        <v/>
      </c>
      <c r="D24" s="21">
        <f>D19/D6</f>
        <v/>
      </c>
      <c r="E24" s="21">
        <f>E19/E6</f>
        <v/>
      </c>
      <c r="F24" s="21">
        <f>F19/F6</f>
        <v/>
      </c>
      <c r="G24" s="21">
        <f>G19/G6</f>
        <v/>
      </c>
      <c r="H24" s="21">
        <f>H19/H6</f>
        <v/>
      </c>
      <c r="I24" s="21">
        <f>I19/I6</f>
        <v/>
      </c>
      <c r="J24" s="21">
        <f>J19/J6</f>
        <v/>
      </c>
      <c r="K24" s="21">
        <f>K19/K6</f>
        <v/>
      </c>
      <c r="L24" s="21">
        <f>L19/L6</f>
        <v/>
      </c>
    </row>
    <row r="25">
      <c r="A25" t="inlineStr">
        <is>
          <t>FY0 column: actuals (blue); row 19 FY0 is reported owner FCF 14.011 (OCF 23.598 - capex 9.439 - SBC 0.148), not a component build.</t>
        </is>
      </c>
    </row>
    <row r="26">
      <c r="A26" t="inlineStr">
        <is>
          <t>Sum of PV of FCF</t>
        </is>
      </c>
      <c r="B26" s="22">
        <f>SUM(C21:L21)</f>
        <v/>
      </c>
    </row>
    <row r="27">
      <c r="A27" t="inlineStr">
        <is>
          <t>Terminal growth</t>
        </is>
      </c>
      <c r="B27" s="23">
        <f>Assumptions!E17</f>
        <v/>
      </c>
    </row>
    <row r="28">
      <c r="A28" t="inlineStr">
        <is>
          <t>Terminal-year FCF x (1+g)</t>
        </is>
      </c>
      <c r="B28" s="22">
        <f>L19*(1+B27)</f>
        <v/>
      </c>
    </row>
    <row r="29">
      <c r="A29" t="inlineStr">
        <is>
          <t>Gordon terminal value</t>
        </is>
      </c>
      <c r="B29" s="22">
        <f>B28/(Assumptions!E16-B27)</f>
        <v/>
      </c>
    </row>
    <row r="30">
      <c r="A30" t="inlineStr">
        <is>
          <t>Exit-multiple cap TV (cap x terminal EBITDA)</t>
        </is>
      </c>
      <c r="B30" s="22">
        <f>Assumptions!E22*L8</f>
        <v/>
      </c>
    </row>
    <row r="31">
      <c r="A31" t="inlineStr">
        <is>
          <t>Terminal value used = MAX(0,MIN(Gordon, cap))</t>
        </is>
      </c>
      <c r="B31" s="22">
        <f>MAX(0,MIN(B29,B30))</f>
        <v/>
      </c>
    </row>
    <row r="32">
      <c r="A32" t="inlineStr">
        <is>
          <t>Implied exit multiple (TV / FCF_10)</t>
        </is>
      </c>
      <c r="B32" s="24">
        <f>B31/L19</f>
        <v/>
      </c>
    </row>
    <row r="33">
      <c r="A33" t="inlineStr">
        <is>
          <t>PV of terminal value</t>
        </is>
      </c>
      <c r="B33" s="22">
        <f>B31*L20</f>
        <v/>
      </c>
    </row>
    <row r="34">
      <c r="A34" t="inlineStr">
        <is>
          <t>Enterprise value</t>
        </is>
      </c>
      <c r="B34" s="22">
        <f>B26+B33</f>
        <v/>
      </c>
    </row>
    <row r="35">
      <c r="A35" t="inlineStr">
        <is>
          <t>less net debt</t>
        </is>
      </c>
      <c r="B35" s="18">
        <f>Assumptions!B9</f>
        <v/>
      </c>
    </row>
    <row r="36">
      <c r="A36" t="inlineStr">
        <is>
          <t>Equity value</t>
        </is>
      </c>
      <c r="B36" s="22">
        <f>B34-B35</f>
        <v/>
      </c>
    </row>
    <row r="37">
      <c r="A37" t="inlineStr">
        <is>
          <t>Diluted shares (m)</t>
        </is>
      </c>
      <c r="B37" s="20">
        <f>Assumptions!B6</f>
        <v/>
      </c>
    </row>
    <row r="38">
      <c r="A38" s="3" t="inlineStr">
        <is>
          <t>VALUE PER SHARE (NZ$)</t>
        </is>
      </c>
      <c r="B38" s="25">
        <f>B36/B37</f>
        <v/>
      </c>
    </row>
    <row r="39">
      <c r="A39" t="inlineStr">
        <is>
          <t>Upside vs current price</t>
        </is>
      </c>
      <c r="B39" s="26">
        <f>B38/Assumptions!B4-1</f>
        <v/>
      </c>
    </row>
    <row r="40">
      <c r="A40" t="inlineStr">
        <is>
          <t>Memo: implied EV/EBITDA at exit (TV / EBITDA_10)</t>
        </is>
      </c>
      <c r="B40" s="24">
        <f>B31/L8</f>
        <v/>
      </c>
    </row>
    <row r="41">
      <c r="A41" t="inlineStr">
        <is>
          <t>Street memo: PV of explicit-period SBC</t>
        </is>
      </c>
      <c r="B41" s="22">
        <f>SUMPRODUCT(-C10:L10/(1+Assumptions!E16)^C4:L4)</f>
        <v/>
      </c>
    </row>
    <row r="42">
      <c r="A42" t="inlineStr">
        <is>
          <t>Street memo: PV of terminal SBC</t>
        </is>
      </c>
      <c r="B42" s="22">
        <f>(-L10*(1+B27)/(Assumptions!E16-B27))*L20</f>
        <v/>
      </c>
    </row>
    <row r="43">
      <c r="A43" t="inlineStr">
        <is>
          <t>Street value per share (SBC as non-cash)</t>
        </is>
      </c>
      <c r="B43" s="27">
        <f>(B36+B41+B42)/B37</f>
        <v/>
      </c>
    </row>
    <row r="44">
      <c r="A44" t="inlineStr">
        <is>
          <t>Memo: market-multiple reference value (TV at 10y avg EV/EBITDA, not the house value)</t>
        </is>
      </c>
      <c r="B44" s="27">
        <f>(B26+Assumptions!$D$22*L8*L20-B35)/B37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FCF_Quality - reported FCF reconciled to owner FCF, FY2017-FY2026 (NZ$ millions)</t>
        </is>
      </c>
    </row>
    <row r="3">
      <c r="A3" s="3" t="inlineStr">
        <is>
          <t>Line</t>
        </is>
      </c>
      <c r="B3" s="3" t="inlineStr">
        <is>
          <t>FY2017</t>
        </is>
      </c>
      <c r="C3" s="3" t="inlineStr">
        <is>
          <t>FY2018</t>
        </is>
      </c>
      <c r="D3" s="3" t="inlineStr">
        <is>
          <t>FY2019</t>
        </is>
      </c>
      <c r="E3" s="3" t="inlineStr">
        <is>
          <t>FY2020</t>
        </is>
      </c>
      <c r="F3" s="3" t="inlineStr">
        <is>
          <t>FY2021</t>
        </is>
      </c>
      <c r="G3" s="3" t="inlineStr">
        <is>
          <t>FY2022</t>
        </is>
      </c>
      <c r="H3" s="3" t="inlineStr">
        <is>
          <t>FY2023</t>
        </is>
      </c>
      <c r="I3" s="3" t="inlineStr">
        <is>
          <t>FY2024</t>
        </is>
      </c>
      <c r="J3" s="3" t="inlineStr">
        <is>
          <t>FY2025</t>
        </is>
      </c>
      <c r="K3" s="3" t="inlineStr">
        <is>
          <t>FY2026</t>
        </is>
      </c>
    </row>
    <row r="4">
      <c r="A4" t="inlineStr">
        <is>
          <t>Free cash flow (company definition: OCF - all capex)</t>
        </is>
      </c>
      <c r="B4" s="14">
        <f>Actuals!B9</f>
        <v/>
      </c>
      <c r="C4" s="14">
        <f>Actuals!C9</f>
        <v/>
      </c>
      <c r="D4" s="14">
        <f>Actuals!D9</f>
        <v/>
      </c>
      <c r="E4" s="14">
        <f>Actuals!E9</f>
        <v/>
      </c>
      <c r="F4" s="14">
        <f>Actuals!F9</f>
        <v/>
      </c>
      <c r="G4" s="14">
        <f>Actuals!G9</f>
        <v/>
      </c>
      <c r="H4" s="14">
        <f>Actuals!H9</f>
        <v/>
      </c>
      <c r="I4" s="14">
        <f>Actuals!I9</f>
        <v/>
      </c>
      <c r="J4" s="14">
        <f>Actuals!J9</f>
        <v/>
      </c>
      <c r="K4" s="14">
        <f>Actuals!K9</f>
        <v/>
      </c>
    </row>
    <row r="5">
      <c r="A5" t="inlineStr">
        <is>
          <t>less: SBC incl. equity-award taxes (nil taxes)</t>
        </is>
      </c>
      <c r="B5" s="4" t="n">
        <v>-0</v>
      </c>
      <c r="C5" s="4" t="n">
        <v>-0</v>
      </c>
      <c r="D5" s="4" t="n">
        <v>-0</v>
      </c>
      <c r="E5" s="4" t="n">
        <v>-0</v>
      </c>
      <c r="F5" s="4" t="n">
        <v>-0</v>
      </c>
      <c r="G5" s="4" t="n">
        <v>-0</v>
      </c>
      <c r="H5" s="4" t="n">
        <v>-0</v>
      </c>
      <c r="I5" s="4" t="n">
        <v>-0.036</v>
      </c>
      <c r="J5" s="4" t="n">
        <v>-0.106</v>
      </c>
      <c r="K5" s="4" t="n">
        <v>-0.148</v>
      </c>
    </row>
    <row r="6">
      <c r="A6" t="inlineStr">
        <is>
          <t>less: interest income (not stripped: net-debt company)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inlineStr">
        <is>
          <t>Owner FCF (reported FCF less SBC less interest income)</t>
        </is>
      </c>
      <c r="B7" s="3">
        <f>B4+B5+B6</f>
        <v/>
      </c>
      <c r="C7" s="3">
        <f>C4+C5+C6</f>
        <v/>
      </c>
      <c r="D7" s="3">
        <f>D4+D5+D6</f>
        <v/>
      </c>
      <c r="E7" s="3">
        <f>E4+E5+E6</f>
        <v/>
      </c>
      <c r="F7" s="3">
        <f>F4+F5+F6</f>
        <v/>
      </c>
      <c r="G7" s="3">
        <f>G4+G5+G6</f>
        <v/>
      </c>
      <c r="H7" s="3">
        <f>H4+H5+H6</f>
        <v/>
      </c>
      <c r="I7" s="3">
        <f>I4+I5+I6</f>
        <v/>
      </c>
      <c r="J7" s="3">
        <f>J4+J5+J6</f>
        <v/>
      </c>
      <c r="K7" s="3">
        <f>K4+K5+K6</f>
        <v/>
      </c>
    </row>
    <row r="8">
      <c r="A8" t="inlineStr">
        <is>
          <t>Reported FCF margin</t>
        </is>
      </c>
      <c r="B8" s="21">
        <f>B4/Actuals!B4</f>
        <v/>
      </c>
      <c r="C8" s="21">
        <f>C4/Actuals!C4</f>
        <v/>
      </c>
      <c r="D8" s="21">
        <f>D4/Actuals!D4</f>
        <v/>
      </c>
      <c r="E8" s="21">
        <f>E4/Actuals!E4</f>
        <v/>
      </c>
      <c r="F8" s="21">
        <f>F4/Actuals!F4</f>
        <v/>
      </c>
      <c r="G8" s="21">
        <f>G4/Actuals!G4</f>
        <v/>
      </c>
      <c r="H8" s="21">
        <f>H4/Actuals!H4</f>
        <v/>
      </c>
      <c r="I8" s="21">
        <f>I4/Actuals!I4</f>
        <v/>
      </c>
      <c r="J8" s="21">
        <f>J4/Actuals!J4</f>
        <v/>
      </c>
      <c r="K8" s="21">
        <f>K4/Actuals!K4</f>
        <v/>
      </c>
    </row>
    <row r="9">
      <c r="A9" t="inlineStr">
        <is>
          <t>Owner FCF margin</t>
        </is>
      </c>
      <c r="B9" s="21">
        <f>B7/Actuals!B4</f>
        <v/>
      </c>
      <c r="C9" s="21">
        <f>C7/Actuals!C4</f>
        <v/>
      </c>
      <c r="D9" s="21">
        <f>D7/Actuals!D4</f>
        <v/>
      </c>
      <c r="E9" s="21">
        <f>E7/Actuals!E4</f>
        <v/>
      </c>
      <c r="F9" s="21">
        <f>F7/Actuals!F4</f>
        <v/>
      </c>
      <c r="G9" s="21">
        <f>G7/Actuals!G4</f>
        <v/>
      </c>
      <c r="H9" s="21">
        <f>H7/Actuals!H4</f>
        <v/>
      </c>
      <c r="I9" s="21">
        <f>I7/Actuals!I4</f>
        <v/>
      </c>
      <c r="J9" s="21">
        <f>J7/Actuals!J4</f>
        <v/>
      </c>
      <c r="K9" s="21">
        <f>K7/Actuals!K4</f>
        <v/>
      </c>
    </row>
    <row r="10">
      <c r="A10" t="inlineStr">
        <is>
          <t>Memo: capex % of revenue (lumpy: 6.8% FY17 -&gt; 50% FY22 channel deepening)</t>
        </is>
      </c>
      <c r="B10" s="21">
        <f>-Actuals!B8/Actuals!B4</f>
        <v/>
      </c>
      <c r="C10" s="21">
        <f>-Actuals!C8/Actuals!C4</f>
        <v/>
      </c>
      <c r="D10" s="21">
        <f>-Actuals!D8/Actuals!D4</f>
        <v/>
      </c>
      <c r="E10" s="21">
        <f>-Actuals!E8/Actuals!E4</f>
        <v/>
      </c>
      <c r="F10" s="21">
        <f>-Actuals!F8/Actuals!F4</f>
        <v/>
      </c>
      <c r="G10" s="21">
        <f>-Actuals!G8/Actuals!G4</f>
        <v/>
      </c>
      <c r="H10" s="21">
        <f>-Actuals!H8/Actuals!H4</f>
        <v/>
      </c>
      <c r="I10" s="21">
        <f>-Actuals!I8/Actuals!I4</f>
        <v/>
      </c>
      <c r="J10" s="21">
        <f>-Actuals!J8/Actuals!J4</f>
        <v/>
      </c>
      <c r="K10" s="21">
        <f>-Actuals!K8/Actuals!K4</f>
        <v/>
      </c>
    </row>
    <row r="11">
      <c r="A11" t="inlineStr">
        <is>
          <t>Memo: normalised-capex FCF (OCF - 13.37% of revenue, the 10y median capex ratio)</t>
        </is>
      </c>
      <c r="B11" s="15">
        <f>Actuals!B7-0.1337*Actuals!B4</f>
        <v/>
      </c>
      <c r="C11" s="15">
        <f>Actuals!C7-0.1337*Actuals!C4</f>
        <v/>
      </c>
      <c r="D11" s="15">
        <f>Actuals!D7-0.1337*Actuals!D4</f>
        <v/>
      </c>
      <c r="E11" s="15">
        <f>Actuals!E7-0.1337*Actuals!E4</f>
        <v/>
      </c>
      <c r="F11" s="15">
        <f>Actuals!F7-0.1337*Actuals!F4</f>
        <v/>
      </c>
      <c r="G11" s="15">
        <f>Actuals!G7-0.1337*Actuals!G4</f>
        <v/>
      </c>
      <c r="H11" s="15">
        <f>Actuals!H7-0.1337*Actuals!H4</f>
        <v/>
      </c>
      <c r="I11" s="15">
        <f>Actuals!I7-0.1337*Actuals!I4</f>
        <v/>
      </c>
      <c r="J11" s="15">
        <f>Actuals!J7-0.1337*Actuals!J4</f>
        <v/>
      </c>
      <c r="K11" s="15">
        <f>Actuals!K7-0.1337*Actuals!K4</f>
        <v/>
      </c>
    </row>
    <row r="12">
      <c r="A12" t="inlineStr">
        <is>
          <t>Memo: normalised-capex FCF margin (8y median 17.4%; FY2026 19.5%)</t>
        </is>
      </c>
      <c r="B12" s="21">
        <f>B11/Actuals!B4</f>
        <v/>
      </c>
      <c r="C12" s="21">
        <f>C11/Actuals!C4</f>
        <v/>
      </c>
      <c r="D12" s="21">
        <f>D11/Actuals!D4</f>
        <v/>
      </c>
      <c r="E12" s="21">
        <f>E11/Actuals!E4</f>
        <v/>
      </c>
      <c r="F12" s="21">
        <f>F11/Actuals!F4</f>
        <v/>
      </c>
      <c r="G12" s="21">
        <f>G11/Actuals!G4</f>
        <v/>
      </c>
      <c r="H12" s="21">
        <f>H11/Actuals!H4</f>
        <v/>
      </c>
      <c r="I12" s="21">
        <f>I11/Actuals!I4</f>
        <v/>
      </c>
      <c r="J12" s="21">
        <f>J11/Actuals!J4</f>
        <v/>
      </c>
      <c r="K12" s="21">
        <f>K11/Actuals!K4</f>
        <v/>
      </c>
    </row>
    <row r="13">
      <c r="A13" t="inlineStr">
        <is>
          <t>Memo: cash income tax paid</t>
        </is>
      </c>
      <c r="B13" s="4" t="n">
        <v>3.185</v>
      </c>
      <c r="C13" s="4" t="n">
        <v>3.564</v>
      </c>
      <c r="D13" s="4" t="n">
        <v>4.123</v>
      </c>
      <c r="E13" s="4" t="n">
        <v>4.752</v>
      </c>
      <c r="F13" s="4" t="n">
        <v>3.934</v>
      </c>
      <c r="G13" s="4" t="n">
        <v>4.377</v>
      </c>
      <c r="H13" s="4" t="n">
        <v>5.205</v>
      </c>
      <c r="I13" s="4" t="n">
        <v>4.954</v>
      </c>
      <c r="J13" s="4" t="n">
        <v>3.183</v>
      </c>
      <c r="K13" s="4" t="n">
        <v>5.358</v>
      </c>
    </row>
    <row r="14">
      <c r="A14" t="inlineStr">
        <is>
          <t>Memo: cash tax rate on (NPAT + tax paid) - FY2025 low on timing, FY2024 has 2.3m one-off deferred tax expense (non-cash)</t>
        </is>
      </c>
      <c r="B14" s="21">
        <f>B13/(Actuals!B6+B13)</f>
        <v/>
      </c>
      <c r="C14" s="21">
        <f>C13/(Actuals!C6+C13)</f>
        <v/>
      </c>
      <c r="D14" s="21">
        <f>D13/(Actuals!D6+D13)</f>
        <v/>
      </c>
      <c r="E14" s="21">
        <f>E13/(Actuals!E6+E13)</f>
        <v/>
      </c>
      <c r="F14" s="21">
        <f>F13/(Actuals!F6+F13)</f>
        <v/>
      </c>
      <c r="G14" s="21">
        <f>G13/(Actuals!G6+G13)</f>
        <v/>
      </c>
      <c r="H14" s="21">
        <f>H13/(Actuals!H6+H13)</f>
        <v/>
      </c>
      <c r="I14" s="21">
        <f>I13/(Actuals!I6+I13)</f>
        <v/>
      </c>
      <c r="J14" s="21">
        <f>J13/(Actuals!J6+J13)</f>
        <v/>
      </c>
      <c r="K14" s="21">
        <f>K13/(Actuals!K6+K13)</f>
        <v/>
      </c>
    </row>
    <row r="16" ht="45" customHeight="1">
      <c r="A16" s="5" t="inlineStr">
        <is>
          <t>Reading: the raw FCF series is dominated by growth capex timing; on a normalised-capex basis FY2026 is 1.12x the 8-year median margin, and the DCF year-1 margin (17.8%) sits at that median rather than at the FY2026 record.</t>
        </is>
      </c>
    </row>
  </sheetData>
  <mergeCells count="1">
    <mergeCell ref="A16:L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Valuation summary, hurdle entry prices, required-return table, sensitivity</t>
        </is>
      </c>
    </row>
    <row r="3">
      <c r="A3" s="3" t="inlineStr">
        <is>
          <t>Scenario</t>
        </is>
      </c>
      <c r="B3" s="3" t="inlineStr">
        <is>
          <t>Value per share</t>
        </is>
      </c>
      <c r="C3" s="3" t="inlineStr">
        <is>
          <t>Upside vs price</t>
        </is>
      </c>
      <c r="D3" s="3" t="inlineStr">
        <is>
          <t>Probability</t>
        </is>
      </c>
      <c r="E3" s="3" t="inlineStr">
        <is>
          <t>Street value per share</t>
        </is>
      </c>
      <c r="F3" s="3" t="inlineStr">
        <is>
          <t>Entry price @15% hurdle</t>
        </is>
      </c>
    </row>
    <row r="4">
      <c r="A4" s="3" t="inlineStr">
        <is>
          <t>Bear</t>
        </is>
      </c>
      <c r="B4" s="28">
        <f>DCF_Bear!$B$38</f>
        <v/>
      </c>
      <c r="C4" s="21">
        <f>B4/Assumptions!$B$4-1</f>
        <v/>
      </c>
      <c r="D4" s="29">
        <f>Assumptions!C18</f>
        <v/>
      </c>
      <c r="E4" s="28">
        <f>DCF_Bear!$B$43</f>
        <v/>
      </c>
      <c r="F4" s="27">
        <f>(SUMPRODUCT(DCF_Bear!$C$19:$L$19/(1+Assumptions!$B$12)^DCF_Bear!$C$4:$L$4)+MAX(0,MIN(DCF_Bear!$L$19*(1+Assumptions!$C$17)/(Assumptions!$B$12-Assumptions!$C$17),Assumptions!$C$22*DCF_Bear!$L$8))/(1+Assumptions!$B$12)^10-Assumptions!$B$9)/Assumptions!$B$6</f>
        <v/>
      </c>
    </row>
    <row r="5">
      <c r="A5" s="3" t="inlineStr">
        <is>
          <t>Base</t>
        </is>
      </c>
      <c r="B5" s="28">
        <f>DCF_Base!$B$38</f>
        <v/>
      </c>
      <c r="C5" s="21">
        <f>B5/Assumptions!$B$4-1</f>
        <v/>
      </c>
      <c r="D5" s="29">
        <f>Assumptions!D18</f>
        <v/>
      </c>
      <c r="E5" s="28">
        <f>DCF_Base!$B$43</f>
        <v/>
      </c>
      <c r="F5" s="27">
        <f>(SUMPRODUCT(DCF_Base!$C$19:$L$19/(1+Assumptions!$B$12)^DCF_Base!$C$4:$L$4)+MAX(0,MIN(DCF_Base!$L$19*(1+Assumptions!$D$17)/(Assumptions!$B$12-Assumptions!$D$17),Assumptions!$D$22*DCF_Base!$L$8))/(1+Assumptions!$B$12)^10-Assumptions!$B$9)/Assumptions!$B$6</f>
        <v/>
      </c>
    </row>
    <row r="6">
      <c r="A6" s="3" t="inlineStr">
        <is>
          <t>Bull</t>
        </is>
      </c>
      <c r="B6" s="28">
        <f>DCF_Bull!$B$38</f>
        <v/>
      </c>
      <c r="C6" s="21">
        <f>B6/Assumptions!$B$4-1</f>
        <v/>
      </c>
      <c r="D6" s="29">
        <f>Assumptions!E18</f>
        <v/>
      </c>
      <c r="E6" s="28">
        <f>DCF_Bull!$B$43</f>
        <v/>
      </c>
      <c r="F6" s="27">
        <f>(SUMPRODUCT(DCF_Bull!$C$19:$L$19/(1+Assumptions!$B$12)^DCF_Bull!$C$4:$L$4)+MAX(0,MIN(DCF_Bull!$L$19*(1+Assumptions!$E$17)/(Assumptions!$B$12-Assumptions!$E$17),Assumptions!$E$22*DCF_Bull!$L$8))/(1+Assumptions!$B$12)^10-Assumptions!$B$9)/Assumptions!$B$6</f>
        <v/>
      </c>
    </row>
    <row r="8">
      <c r="A8" s="3" t="inlineStr">
        <is>
          <t>Probability-weighted value per share</t>
        </is>
      </c>
      <c r="B8" s="30">
        <f>SUMPRODUCT(B4:B6,D4:D6)</f>
        <v/>
      </c>
    </row>
    <row r="9">
      <c r="A9" t="inlineStr">
        <is>
          <t>Margin of safety vs price</t>
        </is>
      </c>
      <c r="B9" s="21">
        <f>1-Assumptions!B4/B8</f>
        <v/>
      </c>
    </row>
    <row r="10">
      <c r="A10" t="inlineStr">
        <is>
          <t>Street weighted value per share</t>
        </is>
      </c>
      <c r="B10" s="31">
        <f>SUMPRODUCT(E4:E6,D4:D6)</f>
        <v/>
      </c>
    </row>
    <row r="11">
      <c r="A11" t="inlineStr">
        <is>
          <t>Band position (price - house)/(street - house)</t>
        </is>
      </c>
      <c r="B11" t="inlineStr">
        <is>
          <t>n/a - SBC is 0.2% of revenue so house and street coincide</t>
        </is>
      </c>
    </row>
    <row r="12">
      <c r="A12" s="3" t="inlineStr">
        <is>
          <t>Probability-weighted entry price (buy-below at 15% IRR)</t>
        </is>
      </c>
      <c r="B12" s="30">
        <f>SUMPRODUCT(F4:F6,D4:D6)</f>
        <v/>
      </c>
    </row>
    <row r="13">
      <c r="A13" t="inlineStr">
        <is>
          <t>Current price</t>
        </is>
      </c>
      <c r="B13" s="28">
        <f>Assumptions!B4</f>
        <v/>
      </c>
    </row>
    <row r="15">
      <c r="A15" s="3" t="inlineStr">
        <is>
          <t>Required-return table (base case; TV rebuilt at each rate)</t>
        </is>
      </c>
    </row>
    <row r="16">
      <c r="A16" s="3" t="inlineStr">
        <is>
          <t>Required return</t>
        </is>
      </c>
      <c r="B16" s="3" t="inlineStr">
        <is>
          <t>Value per share</t>
        </is>
      </c>
    </row>
    <row r="17">
      <c r="A17" s="8" t="n">
        <v>0.08</v>
      </c>
      <c r="B17" s="31">
        <f>(SUMPRODUCT(DCF_Base!$C$19:$L$19/(1+$A$17)^DCF_Base!$C$4:$L$4)+MAX(0,MIN(DCF_Base!$L$19*(1+Assumptions!$D$17)/($A$17-Assumptions!$D$17),Assumptions!$D$22*DCF_Base!$L$8))/(1+$A$17)^10-Assumptions!$B$9)/Assumptions!$B$6</f>
        <v/>
      </c>
    </row>
    <row r="18">
      <c r="A18" s="8" t="n">
        <v>0.09</v>
      </c>
      <c r="B18" s="31">
        <f>(SUMPRODUCT(DCF_Base!$C$19:$L$19/(1+$A$18)^DCF_Base!$C$4:$L$4)+MAX(0,MIN(DCF_Base!$L$19*(1+Assumptions!$D$17)/($A$18-Assumptions!$D$17),Assumptions!$D$22*DCF_Base!$L$8))/(1+$A$18)^10-Assumptions!$B$9)/Assumptions!$B$6</f>
        <v/>
      </c>
    </row>
    <row r="19">
      <c r="A19" s="8" t="n">
        <v>0.1</v>
      </c>
      <c r="B19" s="31">
        <f>(SUMPRODUCT(DCF_Base!$C$19:$L$19/(1+$A$19)^DCF_Base!$C$4:$L$4)+MAX(0,MIN(DCF_Base!$L$19*(1+Assumptions!$D$17)/($A$19-Assumptions!$D$17),Assumptions!$D$22*DCF_Base!$L$8))/(1+$A$19)^10-Assumptions!$B$9)/Assumptions!$B$6</f>
        <v/>
      </c>
    </row>
    <row r="20">
      <c r="A20" s="8" t="n">
        <v>0.11</v>
      </c>
      <c r="B20" s="31">
        <f>(SUMPRODUCT(DCF_Base!$C$19:$L$19/(1+$A$20)^DCF_Base!$C$4:$L$4)+MAX(0,MIN(DCF_Base!$L$19*(1+Assumptions!$D$17)/($A$20-Assumptions!$D$17),Assumptions!$D$22*DCF_Base!$L$8))/(1+$A$20)^10-Assumptions!$B$9)/Assumptions!$B$6</f>
        <v/>
      </c>
    </row>
    <row r="21">
      <c r="A21" s="8" t="n">
        <v>0.12</v>
      </c>
      <c r="B21" s="31">
        <f>(SUMPRODUCT(DCF_Base!$C$19:$L$19/(1+$A$21)^DCF_Base!$C$4:$L$4)+MAX(0,MIN(DCF_Base!$L$19*(1+Assumptions!$D$17)/($A$21-Assumptions!$D$17),Assumptions!$D$22*DCF_Base!$L$8))/(1+$A$21)^10-Assumptions!$B$9)/Assumptions!$B$6</f>
        <v/>
      </c>
    </row>
    <row r="22">
      <c r="A22" s="8" t="n">
        <v>0.15</v>
      </c>
      <c r="B22" s="31">
        <f>(SUMPRODUCT(DCF_Base!$C$19:$L$19/(1+$A$22)^DCF_Base!$C$4:$L$4)+MAX(0,MIN(DCF_Base!$L$19*(1+Assumptions!$D$17)/($A$22-Assumptions!$D$17),Assumptions!$D$22*DCF_Base!$L$8))/(1+$A$22)^10-Assumptions!$B$9)/Assumptions!$B$6</f>
        <v/>
      </c>
    </row>
    <row r="23">
      <c r="A23" s="32">
        <f>Assumptions!D16</f>
        <v/>
      </c>
      <c r="B23" s="31">
        <f>(SUMPRODUCT(DCF_Base!$C$19:$L$19/(1+$A$23)^DCF_Base!$C$4:$L$4)+MAX(0,MIN(DCF_Base!$L$19*(1+Assumptions!$D$17)/($A$23-Assumptions!$D$17),Assumptions!$D$22*DCF_Base!$L$8))/(1+$A$23)^10-Assumptions!$B$9)/Assumptions!$B$6</f>
        <v/>
      </c>
      <c r="C23" t="inlineStr">
        <is>
          <t>ties to DCF_Base!B38</t>
        </is>
      </c>
    </row>
    <row r="25">
      <c r="A25" s="3" t="inlineStr">
        <is>
          <t>Sensitivity: base value per share, WACC (rows) x terminal growth (columns)</t>
        </is>
      </c>
    </row>
    <row r="26">
      <c r="B26" s="17" t="n">
        <v>0.0125</v>
      </c>
      <c r="C26" s="17" t="n">
        <v>0.0175</v>
      </c>
      <c r="D26" s="17" t="n">
        <v>0.0225</v>
      </c>
      <c r="E26" s="17" t="n">
        <v>0.0275</v>
      </c>
      <c r="F26" s="17" t="n">
        <v>0.0325</v>
      </c>
    </row>
    <row r="27">
      <c r="A27" s="8" t="n">
        <v>0.08</v>
      </c>
      <c r="B27" s="31">
        <f>IF($A$27&gt;B$26,(SUMPRODUCT(DCF_Base!$C$19:$L$19/(1+$A$27)^DCF_Base!$C$4:$L$4)+MAX(0,MIN(DCF_Base!$L$19*(1+B$26)/($A$27-B$26),Assumptions!$D$22*DCF_Base!$L$8))/(1+$A$27)^10-Assumptions!$B$9)/Assumptions!$B$6,"n/a")</f>
        <v/>
      </c>
      <c r="C27" s="31">
        <f>IF($A$27&gt;C$26,(SUMPRODUCT(DCF_Base!$C$19:$L$19/(1+$A$27)^DCF_Base!$C$4:$L$4)+MAX(0,MIN(DCF_Base!$L$19*(1+C$26)/($A$27-C$26),Assumptions!$D$22*DCF_Base!$L$8))/(1+$A$27)^10-Assumptions!$B$9)/Assumptions!$B$6,"n/a")</f>
        <v/>
      </c>
      <c r="D27" s="31">
        <f>IF($A$27&gt;D$26,(SUMPRODUCT(DCF_Base!$C$19:$L$19/(1+$A$27)^DCF_Base!$C$4:$L$4)+MAX(0,MIN(DCF_Base!$L$19*(1+D$26)/($A$27-D$26),Assumptions!$D$22*DCF_Base!$L$8))/(1+$A$27)^10-Assumptions!$B$9)/Assumptions!$B$6,"n/a")</f>
        <v/>
      </c>
      <c r="E27" s="31">
        <f>IF($A$27&gt;E$26,(SUMPRODUCT(DCF_Base!$C$19:$L$19/(1+$A$27)^DCF_Base!$C$4:$L$4)+MAX(0,MIN(DCF_Base!$L$19*(1+E$26)/($A$27-E$26),Assumptions!$D$22*DCF_Base!$L$8))/(1+$A$27)^10-Assumptions!$B$9)/Assumptions!$B$6,"n/a")</f>
        <v/>
      </c>
      <c r="F27" s="31">
        <f>IF($A$27&gt;F$26,(SUMPRODUCT(DCF_Base!$C$19:$L$19/(1+$A$27)^DCF_Base!$C$4:$L$4)+MAX(0,MIN(DCF_Base!$L$19*(1+F$26)/($A$27-F$26),Assumptions!$D$22*DCF_Base!$L$8))/(1+$A$27)^10-Assumptions!$B$9)/Assumptions!$B$6,"n/a")</f>
        <v/>
      </c>
    </row>
    <row r="28">
      <c r="A28" s="8" t="n">
        <v>0.09</v>
      </c>
      <c r="B28" s="31">
        <f>IF($A$28&gt;B$26,(SUMPRODUCT(DCF_Base!$C$19:$L$19/(1+$A$28)^DCF_Base!$C$4:$L$4)+MAX(0,MIN(DCF_Base!$L$19*(1+B$26)/($A$28-B$26),Assumptions!$D$22*DCF_Base!$L$8))/(1+$A$28)^10-Assumptions!$B$9)/Assumptions!$B$6,"n/a")</f>
        <v/>
      </c>
      <c r="C28" s="31">
        <f>IF($A$28&gt;C$26,(SUMPRODUCT(DCF_Base!$C$19:$L$19/(1+$A$28)^DCF_Base!$C$4:$L$4)+MAX(0,MIN(DCF_Base!$L$19*(1+C$26)/($A$28-C$26),Assumptions!$D$22*DCF_Base!$L$8))/(1+$A$28)^10-Assumptions!$B$9)/Assumptions!$B$6,"n/a")</f>
        <v/>
      </c>
      <c r="D28" s="31">
        <f>IF($A$28&gt;D$26,(SUMPRODUCT(DCF_Base!$C$19:$L$19/(1+$A$28)^DCF_Base!$C$4:$L$4)+MAX(0,MIN(DCF_Base!$L$19*(1+D$26)/($A$28-D$26),Assumptions!$D$22*DCF_Base!$L$8))/(1+$A$28)^10-Assumptions!$B$9)/Assumptions!$B$6,"n/a")</f>
        <v/>
      </c>
      <c r="E28" s="31">
        <f>IF($A$28&gt;E$26,(SUMPRODUCT(DCF_Base!$C$19:$L$19/(1+$A$28)^DCF_Base!$C$4:$L$4)+MAX(0,MIN(DCF_Base!$L$19*(1+E$26)/($A$28-E$26),Assumptions!$D$22*DCF_Base!$L$8))/(1+$A$28)^10-Assumptions!$B$9)/Assumptions!$B$6,"n/a")</f>
        <v/>
      </c>
      <c r="F28" s="31">
        <f>IF($A$28&gt;F$26,(SUMPRODUCT(DCF_Base!$C$19:$L$19/(1+$A$28)^DCF_Base!$C$4:$L$4)+MAX(0,MIN(DCF_Base!$L$19*(1+F$26)/($A$28-F$26),Assumptions!$D$22*DCF_Base!$L$8))/(1+$A$28)^10-Assumptions!$B$9)/Assumptions!$B$6,"n/a")</f>
        <v/>
      </c>
    </row>
    <row r="29">
      <c r="A29" s="8" t="n">
        <v>0.1</v>
      </c>
      <c r="B29" s="31">
        <f>IF($A$29&gt;B$26,(SUMPRODUCT(DCF_Base!$C$19:$L$19/(1+$A$29)^DCF_Base!$C$4:$L$4)+MAX(0,MIN(DCF_Base!$L$19*(1+B$26)/($A$29-B$26),Assumptions!$D$22*DCF_Base!$L$8))/(1+$A$29)^10-Assumptions!$B$9)/Assumptions!$B$6,"n/a")</f>
        <v/>
      </c>
      <c r="C29" s="31">
        <f>IF($A$29&gt;C$26,(SUMPRODUCT(DCF_Base!$C$19:$L$19/(1+$A$29)^DCF_Base!$C$4:$L$4)+MAX(0,MIN(DCF_Base!$L$19*(1+C$26)/($A$29-C$26),Assumptions!$D$22*DCF_Base!$L$8))/(1+$A$29)^10-Assumptions!$B$9)/Assumptions!$B$6,"n/a")</f>
        <v/>
      </c>
      <c r="D29" s="33">
        <f>IF($A$29&gt;D$26,(SUMPRODUCT(DCF_Base!$C$19:$L$19/(1+$A$29)^DCF_Base!$C$4:$L$4)+MAX(0,MIN(DCF_Base!$L$19*(1+D$26)/($A$29-D$26),Assumptions!$D$22*DCF_Base!$L$8))/(1+$A$29)^10-Assumptions!$B$9)/Assumptions!$B$6,"n/a")</f>
        <v/>
      </c>
      <c r="E29" s="31">
        <f>IF($A$29&gt;E$26,(SUMPRODUCT(DCF_Base!$C$19:$L$19/(1+$A$29)^DCF_Base!$C$4:$L$4)+MAX(0,MIN(DCF_Base!$L$19*(1+E$26)/($A$29-E$26),Assumptions!$D$22*DCF_Base!$L$8))/(1+$A$29)^10-Assumptions!$B$9)/Assumptions!$B$6,"n/a")</f>
        <v/>
      </c>
      <c r="F29" s="31">
        <f>IF($A$29&gt;F$26,(SUMPRODUCT(DCF_Base!$C$19:$L$19/(1+$A$29)^DCF_Base!$C$4:$L$4)+MAX(0,MIN(DCF_Base!$L$19*(1+F$26)/($A$29-F$26),Assumptions!$D$22*DCF_Base!$L$8))/(1+$A$29)^10-Assumptions!$B$9)/Assumptions!$B$6,"n/a")</f>
        <v/>
      </c>
    </row>
    <row r="30">
      <c r="A30" s="8" t="n">
        <v>0.11</v>
      </c>
      <c r="B30" s="31">
        <f>IF($A$30&gt;B$26,(SUMPRODUCT(DCF_Base!$C$19:$L$19/(1+$A$30)^DCF_Base!$C$4:$L$4)+MAX(0,MIN(DCF_Base!$L$19*(1+B$26)/($A$30-B$26),Assumptions!$D$22*DCF_Base!$L$8))/(1+$A$30)^10-Assumptions!$B$9)/Assumptions!$B$6,"n/a")</f>
        <v/>
      </c>
      <c r="C30" s="31">
        <f>IF($A$30&gt;C$26,(SUMPRODUCT(DCF_Base!$C$19:$L$19/(1+$A$30)^DCF_Base!$C$4:$L$4)+MAX(0,MIN(DCF_Base!$L$19*(1+C$26)/($A$30-C$26),Assumptions!$D$22*DCF_Base!$L$8))/(1+$A$30)^10-Assumptions!$B$9)/Assumptions!$B$6,"n/a")</f>
        <v/>
      </c>
      <c r="D30" s="31">
        <f>IF($A$30&gt;D$26,(SUMPRODUCT(DCF_Base!$C$19:$L$19/(1+$A$30)^DCF_Base!$C$4:$L$4)+MAX(0,MIN(DCF_Base!$L$19*(1+D$26)/($A$30-D$26),Assumptions!$D$22*DCF_Base!$L$8))/(1+$A$30)^10-Assumptions!$B$9)/Assumptions!$B$6,"n/a")</f>
        <v/>
      </c>
      <c r="E30" s="31">
        <f>IF($A$30&gt;E$26,(SUMPRODUCT(DCF_Base!$C$19:$L$19/(1+$A$30)^DCF_Base!$C$4:$L$4)+MAX(0,MIN(DCF_Base!$L$19*(1+E$26)/($A$30-E$26),Assumptions!$D$22*DCF_Base!$L$8))/(1+$A$30)^10-Assumptions!$B$9)/Assumptions!$B$6,"n/a")</f>
        <v/>
      </c>
      <c r="F30" s="31">
        <f>IF($A$30&gt;F$26,(SUMPRODUCT(DCF_Base!$C$19:$L$19/(1+$A$30)^DCF_Base!$C$4:$L$4)+MAX(0,MIN(DCF_Base!$L$19*(1+F$26)/($A$30-F$26),Assumptions!$D$22*DCF_Base!$L$8))/(1+$A$30)^10-Assumptions!$B$9)/Assumptions!$B$6,"n/a")</f>
        <v/>
      </c>
    </row>
    <row r="31">
      <c r="A31" s="8" t="n">
        <v>0.12</v>
      </c>
      <c r="B31" s="31">
        <f>IF($A$31&gt;B$26,(SUMPRODUCT(DCF_Base!$C$19:$L$19/(1+$A$31)^DCF_Base!$C$4:$L$4)+MAX(0,MIN(DCF_Base!$L$19*(1+B$26)/($A$31-B$26),Assumptions!$D$22*DCF_Base!$L$8))/(1+$A$31)^10-Assumptions!$B$9)/Assumptions!$B$6,"n/a")</f>
        <v/>
      </c>
      <c r="C31" s="31">
        <f>IF($A$31&gt;C$26,(SUMPRODUCT(DCF_Base!$C$19:$L$19/(1+$A$31)^DCF_Base!$C$4:$L$4)+MAX(0,MIN(DCF_Base!$L$19*(1+C$26)/($A$31-C$26),Assumptions!$D$22*DCF_Base!$L$8))/(1+$A$31)^10-Assumptions!$B$9)/Assumptions!$B$6,"n/a")</f>
        <v/>
      </c>
      <c r="D31" s="31">
        <f>IF($A$31&gt;D$26,(SUMPRODUCT(DCF_Base!$C$19:$L$19/(1+$A$31)^DCF_Base!$C$4:$L$4)+MAX(0,MIN(DCF_Base!$L$19*(1+D$26)/($A$31-D$26),Assumptions!$D$22*DCF_Base!$L$8))/(1+$A$31)^10-Assumptions!$B$9)/Assumptions!$B$6,"n/a")</f>
        <v/>
      </c>
      <c r="E31" s="31">
        <f>IF($A$31&gt;E$26,(SUMPRODUCT(DCF_Base!$C$19:$L$19/(1+$A$31)^DCF_Base!$C$4:$L$4)+MAX(0,MIN(DCF_Base!$L$19*(1+E$26)/($A$31-E$26),Assumptions!$D$22*DCF_Base!$L$8))/(1+$A$31)^10-Assumptions!$B$9)/Assumptions!$B$6,"n/a")</f>
        <v/>
      </c>
      <c r="F31" s="31">
        <f>IF($A$31&gt;F$26,(SUMPRODUCT(DCF_Base!$C$19:$L$19/(1+$A$31)^DCF_Base!$C$4:$L$4)+MAX(0,MIN(DCF_Base!$L$19*(1+F$26)/($A$31-F$26),Assumptions!$D$22*DCF_Base!$L$8))/(1+$A$31)^10-Assumptions!$B$9)/Assumptions!$B$6,"n/a")</f>
        <v/>
      </c>
    </row>
    <row r="33">
      <c r="A33" s="3" t="inlineStr">
        <is>
          <t>Sanity check (Step 8c) memo</t>
        </is>
      </c>
    </row>
    <row r="34">
      <c r="A34" t="inlineStr">
        <is>
          <t>Implied at base IV: P/E 10.4x, P/B 2.2x, EV/EBITDA 6.19x</t>
        </is>
      </c>
    </row>
    <row r="35">
      <c r="A35" t="inlineStr">
        <is>
          <t>10y history (ex-outlier FY2024 for P/E): P/E avg 17.2x max 19.4x; P/B max 4.52x; EV/EBITDA min 8.12x avg 9.92x max 11.41x</t>
        </is>
      </c>
    </row>
    <row r="36">
      <c r="A36" t="inlineStr">
        <is>
          <t>Passed: no trip. Implied multiples sit below every level the market has paid in ten years; the price is the outlier, not the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2026-09-03T04:38:30Z</dcterms:created>
  <dcterms:modified xsi:type="dcterms:W3CDTF">2026-09-03T04:38:30Z</dcterms:modified>
</cp:coreProperties>
</file>