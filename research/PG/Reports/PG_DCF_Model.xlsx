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<sst xmlns="http://schemas.openxmlformats.org/spreadsheetml/2006/main" count="393" uniqueCount="176">
  <si>
    <t xml:space="preserve">Ticker</t>
  </si>
  <si>
    <t xml:space="preserve">PG</t>
  </si>
  <si>
    <t xml:space="preserve">Company</t>
  </si>
  <si>
    <t xml:space="preserve">The Procter &amp; Gamble Company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</si>
  <si>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</si>
  <si>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</si>
  <si>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</si>
  <si>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</si>
  <si>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</si>
  <si>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</si>
  <si>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</si>
  <si>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</si>
  <si>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</si>
  <si>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</si>
  <si>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</si>
  <si>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</si>
  <si>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</si>
  <si>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</si>
  <si>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</si>
  <si>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</si>
  <si>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</si>
  <si>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2026-10-02T07:01:59Z</t>
  </si>
  <si>
    <t xml:space="preserve">Drivers file</t>
  </si>
  <si>
    <t xml:space="preserve">PG_Drivers.json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</si>
  <si>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</si>
  <si>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</si>
  <si>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</si>
  <si>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(SBC fully expensed, share count flat) on a mature, non-cyclical staples compounder. The value is almost entirely the terminal value of a 2.5-3% grower at a 20x FCF cap; the single biggest input is the discount rate, and PG trades at ~25x owner FCF today versus the model's 20x cap. Scenario weights are tilted toward the bear because the current data (1% organic growth, cost headwinds) describe it better than the bull.
key_risks_to_valuation: Terminal-value dominated: ~70%+ of EV sits in the terminal, and the valuation moves ~10% per 50bps of WACC.; The 20x FCF cap binds in every scenario; the market currently pays ~25x, so the model embeds a de-rating relative to today's multiple.; Margin path assumes the FY2026-27 restructuring charges ($1.5-2.0B pre-tax) are finite and do not recur; PG has run restructuring programs almost continuously since 2012.; Diluted share count includes the convertible ESOP preferred; dividends on that preferred (~$250M/yr) are treated as common distributions, not debt service.; Tariff and commodity costs: a further $1B swing is ~1.1% of revenue, i.e. roughly one scenario-step of margin.</t>
  </si>
  <si>
    <t xml:space="preserve">Data sources</t>
  </si>
  <si>
    <t xml:space="preserve">price: Yahoo Finance chart API regular close at inputs.price_as_of; 52-week range 137.62-167.25.
financials: SEC XBRL companyfacts (CIK 80424): FY2026 10-K (year ended 30-Jun-2026) for revenue, operating income, D&amp;A, SBC, capex, OCF, cash, debt, NCI, cash taxes, buybacks; PG_Metrics.csv (105 periods) for history.
qualitative: PG_Analysis.json (2026-10-02): FY2027 guidance (sales +1-3%, core EPS flat to +3%, ~$1B after-tax cost headwind), Portfolio &amp; Productivity restructuring, CEO transition, bull/bear points.</t>
  </si>
  <si>
    <t xml:space="preserve">Scenario narrative: bear</t>
  </si>
  <si>
    <t xml:space="preserve">Premium-pricing model under trade-down pressure: growth capped at ~2%, China a persistent drag, cost headwinds absorbed in margin, restructuring savings reinvested in price; the stock de-rates toward a 2%-grower multiple.</t>
  </si>
  <si>
    <t xml:space="preserve">Scenario narrative: base</t>
  </si>
  <si>
    <t xml:space="preserve">Steady-state staples compounder: 2-3% revenue growth, margin recovers to slightly above the FY2025 pre-restructuring level as the Portfolio &amp; Productivity program completes in FY2027, capex normalises to 4.5%, and ~$15-17B/yr of owner FCF is returned through a 68-year dividend record and buybacks. Axes watched: organic volume vs price/mix split, gross margin vs the ~$1B FY27 cost headwind, restructuring savings reaching the P&amp;L.</t>
  </si>
  <si>
    <t xml:space="preserve">Scenario narrative: bull</t>
  </si>
  <si>
    <t xml:space="preserve">Volume re-acceleration plus restructuring delivery: 4% organic growth through FY2031 with the pre-SBC EBITDA margin stepping to 30% as tariffs/commodities ease and overhead comes out; Health Care and premium Beauty mix lift continue.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</si>
  <si>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</si>
  <si>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</si>
  <si>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</si>
  <si>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</si>
  <si>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</si>
  <si>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</si>
  <si>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</si>
  <si>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</si>
  <si>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</si>
  <si>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</si>
  <si>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</si>
  <si>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</si>
  <si>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</si>
  <si>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</si>
  <si>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</si>
  <si>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</si>
  <si>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</si>
  <si>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</si>
  <si>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</si>
  <si>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</si>
  <si>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</si>
  <si>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</si>
  <si>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</si>
  <si>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</si>
  <si>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</si>
  <si>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</si>
  <si>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</si>
  <si>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</si>
  <si>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</si>
  <si>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</si>
  <si>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</si>
  <si>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</si>
  <si>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</si>
  <si>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</si>
  <si>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</si>
  <si>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</si>
  <si>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</si>
  <si>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</si>
  <si>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</si>
  <si>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</si>
  <si>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</si>
  <si>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</si>
  <si>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</si>
  <si>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</si>
  <si>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</si>
  <si>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</si>
  <si>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</si>
  <si>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</si>
  <si>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</si>
  <si>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</si>
  <si>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</si>
  <si>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</si>
  <si>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</si>
  <si>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</si>
  <si>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</si>
  <si>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</si>
  <si>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</si>
  <si>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</si>
  <si>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</si>
  <si>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</si>
  <si>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</si>
  <si>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</si>
  <si>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</si>
  <si>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</si>
  <si>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</si>
  <si>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</si>
  <si>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</si>
  <si>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</si>
  <si>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</si>
  <si>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</si>
  <si>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</si>
  <si>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</si>
  <si>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</si>
  <si>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</si>
  <si>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</si>
  <si>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</si>
  <si>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</si>
  <si>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</si>
  <si>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</si>
  <si>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</si>
  <si>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</si>
  <si>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</si>
  <si>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</si>
  <si>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</si>
  <si>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</si>
  <si>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</si>
  <si>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</si>
  <si>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</si>
  <si>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</si>
  <si>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</si>
  <si>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</si>
  <si>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</si>
  <si>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</si>
  <si>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</si>
  <si>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</si>
  <si>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</si>
  <si>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</si>
  <si>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</si>
  <si>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</si>
  <si>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</si>
  <si>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</si>
  <si>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</si>
  <si>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</si>
  <si>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</si>
  <si>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</si>
  <si>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</si>
  <si>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</si>
  <si>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</si>
  <si>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</si>
  <si>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</si>
  <si>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</si>
  <si>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</si>
  <si>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</si>
  <si>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</si>
  <si>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</si>
  <si>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</si>
  <si>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PG owner-FCF component DCF: base case (millions, USD)</t>
  </si>
  <si>
    <t xml:space="preserve">PG owner-FCF component DCF: bull case (millions, USD)</t>
  </si>
  <si>
    <t xml:space="preserve">PG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</si>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</sst>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143.95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63171</v>
      </c>
      <c r="S2" s="0" t="n">
        <v>6693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72441</v>
      </c>
      <c r="F3" s="0" t="n">
        <v>14485</v>
      </c>
      <c r="G3" s="0" t="n">
        <v>19.9955826120567</v>
      </c>
      <c r="H3" s="0" t="n">
        <v>17615</v>
      </c>
      <c r="I3" s="0" t="n">
        <v>10340</v>
      </c>
      <c r="J3" s="0" t="n">
        <v>14.2736847917616</v>
      </c>
      <c r="K3" s="0" t="n">
        <v>3.22</v>
      </c>
      <c r="L3" s="0" t="n">
        <v>13410</v>
      </c>
      <c r="M3" s="0" t="n">
        <v>2945</v>
      </c>
      <c r="N3" s="0" t="n">
        <v>10465</v>
      </c>
      <c r="O3" s="0" t="n">
        <v>67012</v>
      </c>
      <c r="S3" s="0" t="n">
        <v>5354</v>
      </c>
      <c r="U3" s="0" t="n">
        <v>668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79257</v>
      </c>
      <c r="F4" s="0" t="n">
        <v>15979</v>
      </c>
      <c r="G4" s="0" t="n">
        <v>20.1609952433224</v>
      </c>
      <c r="H4" s="0" t="n">
        <v>19145</v>
      </c>
      <c r="I4" s="0" t="n">
        <v>12075</v>
      </c>
      <c r="J4" s="0" t="n">
        <v>15.2352473598547</v>
      </c>
      <c r="K4" s="0" t="n">
        <v>3.86</v>
      </c>
      <c r="L4" s="0" t="n">
        <v>15008</v>
      </c>
      <c r="M4" s="0" t="n">
        <v>3046</v>
      </c>
      <c r="N4" s="0" t="n">
        <v>11962</v>
      </c>
      <c r="O4" s="0" t="n">
        <v>69784</v>
      </c>
      <c r="P4" s="0" t="n">
        <v>143992</v>
      </c>
      <c r="Q4" s="0" t="n">
        <v>74208</v>
      </c>
      <c r="R4" s="0" t="n">
        <v>36665</v>
      </c>
      <c r="S4" s="0" t="n">
        <v>3313</v>
      </c>
      <c r="T4" s="0" t="n">
        <v>3316.8</v>
      </c>
      <c r="U4" s="0" t="n">
        <v>555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76694</v>
      </c>
      <c r="F5" s="0" t="n">
        <v>15374</v>
      </c>
      <c r="G5" s="0" t="n">
        <v>20.045896680314</v>
      </c>
      <c r="H5" s="0" t="n">
        <v>18456</v>
      </c>
      <c r="I5" s="0" t="n">
        <v>13436</v>
      </c>
      <c r="J5" s="0" t="n">
        <v>17.5189714971184</v>
      </c>
      <c r="K5" s="0" t="n">
        <v>4.49</v>
      </c>
      <c r="L5" s="0" t="n">
        <v>14919</v>
      </c>
      <c r="M5" s="0" t="n">
        <v>3238</v>
      </c>
      <c r="N5" s="0" t="n">
        <v>11681</v>
      </c>
      <c r="O5" s="0" t="n">
        <v>63382</v>
      </c>
      <c r="P5" s="0" t="n">
        <v>134833</v>
      </c>
      <c r="Q5" s="0" t="n">
        <v>71451</v>
      </c>
      <c r="R5" s="0" t="n">
        <v>36972</v>
      </c>
      <c r="S5" s="0" t="n">
        <v>4781</v>
      </c>
      <c r="T5" s="0" t="n">
        <v>3154.1</v>
      </c>
      <c r="U5" s="0" t="n">
        <v>516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77567</v>
      </c>
      <c r="F6" s="0" t="n">
        <v>15732</v>
      </c>
      <c r="G6" s="0" t="n">
        <v>20.281820877435</v>
      </c>
      <c r="H6" s="0" t="n">
        <v>18840</v>
      </c>
      <c r="I6" s="0" t="n">
        <v>12846</v>
      </c>
      <c r="J6" s="0" t="n">
        <v>16.5611664754341</v>
      </c>
      <c r="K6" s="0" t="n">
        <v>4.32</v>
      </c>
      <c r="L6" s="0" t="n">
        <v>16131</v>
      </c>
      <c r="M6" s="0" t="n">
        <v>3067</v>
      </c>
      <c r="N6" s="0" t="n">
        <v>13064</v>
      </c>
      <c r="O6" s="0" t="n">
        <v>61439</v>
      </c>
      <c r="P6" s="0" t="n">
        <v>128172</v>
      </c>
      <c r="Q6" s="0" t="n">
        <v>66733</v>
      </c>
      <c r="R6" s="0" t="n">
        <v>29832</v>
      </c>
      <c r="S6" s="0" t="n">
        <v>2879</v>
      </c>
      <c r="T6" s="0" t="n">
        <v>3099.3</v>
      </c>
      <c r="U6" s="0" t="n">
        <v>453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81104</v>
      </c>
      <c r="F7" s="0" t="n">
        <v>15495</v>
      </c>
      <c r="G7" s="0" t="n">
        <v>19.1050996251726</v>
      </c>
      <c r="H7" s="0" t="n">
        <v>18333</v>
      </c>
      <c r="I7" s="0" t="n">
        <v>11927</v>
      </c>
      <c r="J7" s="0" t="n">
        <v>14.705809824423</v>
      </c>
      <c r="K7" s="0" t="n">
        <v>4.12</v>
      </c>
      <c r="L7" s="0" t="n">
        <v>13330</v>
      </c>
      <c r="M7" s="0" t="n">
        <v>3306</v>
      </c>
      <c r="N7" s="0" t="n">
        <v>10024</v>
      </c>
      <c r="O7" s="0" t="n">
        <v>68001</v>
      </c>
      <c r="P7" s="0" t="n">
        <v>138354</v>
      </c>
      <c r="Q7" s="0" t="n">
        <v>70353</v>
      </c>
      <c r="R7" s="0" t="n">
        <v>36407</v>
      </c>
      <c r="S7" s="0" t="n">
        <v>2768</v>
      </c>
      <c r="T7" s="0" t="n">
        <v>3001.9</v>
      </c>
      <c r="U7" s="0" t="n">
        <v>414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82006</v>
      </c>
      <c r="F8" s="0" t="n">
        <v>13035</v>
      </c>
      <c r="G8" s="0" t="n">
        <v>15.8951784015804</v>
      </c>
      <c r="H8" s="0" t="n">
        <v>16239</v>
      </c>
      <c r="I8" s="0" t="n">
        <v>10904</v>
      </c>
      <c r="J8" s="0" t="n">
        <v>13.2965880545326</v>
      </c>
      <c r="K8" s="0" t="n">
        <v>3.82</v>
      </c>
      <c r="L8" s="0" t="n">
        <v>13284</v>
      </c>
      <c r="M8" s="0" t="n">
        <v>3964</v>
      </c>
      <c r="N8" s="0" t="n">
        <v>9320</v>
      </c>
      <c r="O8" s="0" t="n">
        <v>64035</v>
      </c>
      <c r="P8" s="0" t="n">
        <v>132244</v>
      </c>
      <c r="Q8" s="0" t="n">
        <v>68209</v>
      </c>
      <c r="R8" s="0" t="n">
        <v>29778</v>
      </c>
      <c r="S8" s="0" t="n">
        <v>4436</v>
      </c>
      <c r="T8" s="0" t="n">
        <v>2941.2</v>
      </c>
      <c r="U8" s="0" t="n">
        <v>377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80116</v>
      </c>
      <c r="F9" s="0" t="n">
        <v>13817</v>
      </c>
      <c r="G9" s="0" t="n">
        <v>17.2462429477258</v>
      </c>
      <c r="H9" s="0" t="n">
        <v>16799</v>
      </c>
      <c r="I9" s="0" t="n">
        <v>11402</v>
      </c>
      <c r="J9" s="0" t="n">
        <v>14.2318637974936</v>
      </c>
      <c r="K9" s="0" t="n">
        <v>4.04</v>
      </c>
      <c r="L9" s="0" t="n">
        <v>14873</v>
      </c>
      <c r="M9" s="0" t="n">
        <v>4008</v>
      </c>
      <c r="N9" s="0" t="n">
        <v>10865</v>
      </c>
      <c r="O9" s="0" t="n">
        <v>68709</v>
      </c>
      <c r="P9" s="0" t="n">
        <v>139263</v>
      </c>
      <c r="Q9" s="0" t="n">
        <v>70554</v>
      </c>
      <c r="R9" s="0" t="n">
        <v>31543</v>
      </c>
      <c r="S9" s="0" t="n">
        <v>5930</v>
      </c>
      <c r="T9" s="0" t="n">
        <v>2930.6</v>
      </c>
      <c r="U9" s="0" t="n">
        <v>346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74401</v>
      </c>
      <c r="F10" s="0" t="n">
        <v>13910</v>
      </c>
      <c r="G10" s="0" t="n">
        <v>18.6959852690152</v>
      </c>
      <c r="H10" s="0" t="n">
        <v>17051</v>
      </c>
      <c r="I10" s="0" t="n">
        <v>11785</v>
      </c>
      <c r="J10" s="0" t="n">
        <v>15.839840862354</v>
      </c>
      <c r="K10" s="0" t="n">
        <v>4.19</v>
      </c>
      <c r="L10" s="0" t="n">
        <v>13958</v>
      </c>
      <c r="M10" s="0" t="n">
        <v>3848</v>
      </c>
      <c r="N10" s="0" t="n">
        <v>10110</v>
      </c>
      <c r="O10" s="0" t="n">
        <v>69976</v>
      </c>
      <c r="P10" s="0" t="n">
        <v>144266</v>
      </c>
      <c r="Q10" s="0" t="n">
        <v>74290</v>
      </c>
      <c r="R10" s="0" t="n">
        <v>42035</v>
      </c>
      <c r="S10" s="0" t="n">
        <v>8548</v>
      </c>
      <c r="T10" s="0" t="n">
        <v>2904.7</v>
      </c>
      <c r="U10" s="0" t="n">
        <v>360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70749</v>
      </c>
      <c r="F11" s="0" t="n">
        <v>11049</v>
      </c>
      <c r="G11" s="0" t="n">
        <v>15.617181868295</v>
      </c>
      <c r="H11" s="0" t="n">
        <v>14183</v>
      </c>
      <c r="I11" s="0" t="n">
        <v>7144</v>
      </c>
      <c r="J11" s="0" t="n">
        <v>10.0976692250067</v>
      </c>
      <c r="K11" s="0" t="n">
        <v>2.5</v>
      </c>
      <c r="L11" s="0" t="n">
        <v>14608</v>
      </c>
      <c r="M11" s="0" t="n">
        <v>3736</v>
      </c>
      <c r="N11" s="0" t="n">
        <v>10872</v>
      </c>
      <c r="O11" s="0" t="n">
        <v>63050</v>
      </c>
      <c r="P11" s="0" t="n">
        <v>129495</v>
      </c>
      <c r="Q11" s="0" t="n">
        <v>66445</v>
      </c>
      <c r="R11" s="0" t="n">
        <v>30345</v>
      </c>
      <c r="S11" s="0" t="n">
        <v>6836</v>
      </c>
      <c r="T11" s="0" t="n">
        <v>2883.6</v>
      </c>
      <c r="U11" s="0" t="n">
        <v>337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65299</v>
      </c>
      <c r="F12" s="0" t="n">
        <v>13441</v>
      </c>
      <c r="G12" s="0" t="n">
        <v>20.5837761680883</v>
      </c>
      <c r="H12" s="0" t="n">
        <v>16519</v>
      </c>
      <c r="I12" s="0" t="n">
        <v>10604</v>
      </c>
      <c r="J12" s="0" t="n">
        <v>16.2391460818696</v>
      </c>
      <c r="K12" s="0" t="n">
        <v>3.8</v>
      </c>
      <c r="L12" s="0" t="n">
        <v>15435</v>
      </c>
      <c r="M12" s="0" t="n">
        <v>3314</v>
      </c>
      <c r="N12" s="0" t="n">
        <v>12121</v>
      </c>
      <c r="O12" s="0" t="n">
        <v>57983</v>
      </c>
      <c r="P12" s="0" t="n">
        <v>127136</v>
      </c>
      <c r="Q12" s="0" t="n">
        <v>69153</v>
      </c>
      <c r="R12" s="0" t="n">
        <v>30598</v>
      </c>
      <c r="S12" s="0" t="n">
        <v>8098</v>
      </c>
      <c r="T12" s="0" t="n">
        <v>2844.4</v>
      </c>
      <c r="U12" s="0" t="n">
        <v>335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65058</v>
      </c>
      <c r="C13" s="0" t="n">
        <v>32638</v>
      </c>
      <c r="F13" s="0" t="n">
        <v>13766</v>
      </c>
      <c r="G13" s="0" t="n">
        <v>21.1595806818531</v>
      </c>
      <c r="H13" s="0" t="n">
        <v>16586</v>
      </c>
      <c r="I13" s="0" t="n">
        <v>15411</v>
      </c>
      <c r="J13" s="0" t="n">
        <v>23.6880937010053</v>
      </c>
      <c r="K13" s="0" t="n">
        <v>5.8</v>
      </c>
      <c r="L13" s="0" t="n">
        <v>12753</v>
      </c>
      <c r="M13" s="0" t="n">
        <v>3384</v>
      </c>
      <c r="N13" s="0" t="n">
        <v>9369</v>
      </c>
      <c r="O13" s="0" t="n">
        <v>55778</v>
      </c>
      <c r="P13" s="0" t="n">
        <v>120406</v>
      </c>
      <c r="Q13" s="0" t="n">
        <v>64628</v>
      </c>
      <c r="R13" s="0" t="n">
        <v>31592</v>
      </c>
      <c r="S13" s="0" t="n">
        <v>5569</v>
      </c>
      <c r="T13" s="0" t="n">
        <v>2740.4</v>
      </c>
      <c r="U13" s="0" t="n">
        <v>351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66832</v>
      </c>
      <c r="C14" s="0" t="n">
        <v>34432</v>
      </c>
      <c r="F14" s="0" t="n">
        <v>13363</v>
      </c>
      <c r="G14" s="0" t="n">
        <v>19.9949126167106</v>
      </c>
      <c r="H14" s="0" t="n">
        <v>16197</v>
      </c>
      <c r="I14" s="0" t="n">
        <v>9861</v>
      </c>
      <c r="J14" s="0" t="n">
        <v>14.7549078285851</v>
      </c>
      <c r="K14" s="0" t="n">
        <v>3.75</v>
      </c>
      <c r="L14" s="0" t="n">
        <v>14867</v>
      </c>
      <c r="M14" s="0" t="n">
        <v>3717</v>
      </c>
      <c r="N14" s="0" t="n">
        <v>11150</v>
      </c>
      <c r="O14" s="0" t="n">
        <v>52883</v>
      </c>
      <c r="P14" s="0" t="n">
        <v>118310</v>
      </c>
      <c r="Q14" s="0" t="n">
        <v>65427</v>
      </c>
      <c r="R14" s="0" t="n">
        <v>31286</v>
      </c>
      <c r="S14" s="0" t="n">
        <v>2569</v>
      </c>
      <c r="T14" s="0" t="n">
        <v>2656.7</v>
      </c>
      <c r="U14" s="0" t="n">
        <v>395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67684</v>
      </c>
      <c r="C15" s="0" t="n">
        <v>34768</v>
      </c>
      <c r="F15" s="0" t="n">
        <v>5487</v>
      </c>
      <c r="G15" s="0" t="n">
        <v>8.10679037881922</v>
      </c>
      <c r="H15" s="0" t="n">
        <v>8311</v>
      </c>
      <c r="I15" s="0" t="n">
        <v>3966</v>
      </c>
      <c r="J15" s="0" t="n">
        <v>5.85958276697595</v>
      </c>
      <c r="K15" s="0" t="n">
        <v>1.45</v>
      </c>
      <c r="L15" s="0" t="n">
        <v>15242</v>
      </c>
      <c r="M15" s="0" t="n">
        <v>3347</v>
      </c>
      <c r="N15" s="0" t="n">
        <v>11895</v>
      </c>
      <c r="O15" s="0" t="n">
        <v>47579</v>
      </c>
      <c r="P15" s="0" t="n">
        <v>115095</v>
      </c>
      <c r="Q15" s="0" t="n">
        <v>67516</v>
      </c>
      <c r="R15" s="0" t="n">
        <v>30092</v>
      </c>
      <c r="S15" s="0" t="n">
        <v>4239</v>
      </c>
      <c r="T15" s="0" t="n">
        <v>2539.5</v>
      </c>
      <c r="U15" s="0" t="n">
        <v>515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70950</v>
      </c>
      <c r="C16" s="0" t="n">
        <v>35250</v>
      </c>
      <c r="F16" s="0" t="n">
        <v>15706</v>
      </c>
      <c r="G16" s="0" t="n">
        <v>22.1367159971811</v>
      </c>
      <c r="H16" s="0" t="n">
        <v>18719</v>
      </c>
      <c r="I16" s="0" t="n">
        <v>13103</v>
      </c>
      <c r="J16" s="0" t="n">
        <v>18.4679351656096</v>
      </c>
      <c r="K16" s="0" t="n">
        <v>5.13</v>
      </c>
      <c r="L16" s="0" t="n">
        <v>17403</v>
      </c>
      <c r="M16" s="0" t="n">
        <v>3073</v>
      </c>
      <c r="N16" s="0" t="n">
        <v>14330</v>
      </c>
      <c r="O16" s="0" t="n">
        <v>46878</v>
      </c>
      <c r="P16" s="0" t="n">
        <v>120700</v>
      </c>
      <c r="Q16" s="0" t="n">
        <v>73822</v>
      </c>
      <c r="R16" s="0" t="n">
        <v>34720</v>
      </c>
      <c r="T16" s="0" t="n">
        <v>2625.8</v>
      </c>
      <c r="U16" s="0" t="n">
        <v>558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76118</v>
      </c>
      <c r="C17" s="0" t="n">
        <v>37108</v>
      </c>
      <c r="F17" s="0" t="n">
        <v>17986</v>
      </c>
      <c r="G17" s="0" t="n">
        <v>23.629102183452</v>
      </c>
      <c r="H17" s="0" t="n">
        <v>20721</v>
      </c>
      <c r="I17" s="0" t="n">
        <v>14352</v>
      </c>
      <c r="J17" s="0" t="n">
        <v>18.8549357576395</v>
      </c>
      <c r="K17" s="0" t="n">
        <v>5.69</v>
      </c>
      <c r="L17" s="0" t="n">
        <v>18371</v>
      </c>
      <c r="M17" s="0" t="n">
        <v>2787</v>
      </c>
      <c r="N17" s="0" t="n">
        <v>15584</v>
      </c>
      <c r="O17" s="0" t="n">
        <v>46654</v>
      </c>
      <c r="P17" s="0" t="n">
        <v>119307</v>
      </c>
      <c r="Q17" s="0" t="n">
        <v>72653</v>
      </c>
      <c r="R17" s="0" t="n">
        <v>31988</v>
      </c>
      <c r="T17" s="0" t="n">
        <v>2601</v>
      </c>
      <c r="U17" s="0" t="n">
        <v>540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80187</v>
      </c>
      <c r="C18" s="0" t="n">
        <v>42157</v>
      </c>
      <c r="F18" s="0" t="n">
        <v>17813</v>
      </c>
      <c r="G18" s="0" t="n">
        <v>22.2143240176088</v>
      </c>
      <c r="H18" s="0" t="n">
        <v>20620</v>
      </c>
      <c r="I18" s="0" t="n">
        <v>14793</v>
      </c>
      <c r="J18" s="0" t="n">
        <v>18.4481275019642</v>
      </c>
      <c r="K18" s="0" t="n">
        <v>6</v>
      </c>
      <c r="L18" s="0" t="n">
        <v>16723</v>
      </c>
      <c r="M18" s="0" t="n">
        <v>3156</v>
      </c>
      <c r="N18" s="0" t="n">
        <v>13567</v>
      </c>
      <c r="O18" s="0" t="n">
        <v>46854</v>
      </c>
      <c r="P18" s="0" t="n">
        <v>117208</v>
      </c>
      <c r="Q18" s="0" t="n">
        <v>70354</v>
      </c>
      <c r="R18" s="0" t="n">
        <v>31493</v>
      </c>
      <c r="T18" s="0" t="n">
        <v>2539.1</v>
      </c>
      <c r="U18" s="0" t="n">
        <v>528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82006</v>
      </c>
      <c r="C19" s="0" t="n">
        <v>42760</v>
      </c>
      <c r="F19" s="0" t="n">
        <v>18134</v>
      </c>
      <c r="G19" s="0" t="n">
        <v>22.1130161207717</v>
      </c>
      <c r="H19" s="0" t="n">
        <v>20848</v>
      </c>
      <c r="I19" s="0" t="n">
        <v>14738</v>
      </c>
      <c r="J19" s="0" t="n">
        <v>17.9718557178743</v>
      </c>
      <c r="K19" s="0" t="n">
        <v>6.07</v>
      </c>
      <c r="L19" s="0" t="n">
        <v>16848</v>
      </c>
      <c r="M19" s="0" t="n">
        <v>3062</v>
      </c>
      <c r="N19" s="0" t="n">
        <v>13786</v>
      </c>
      <c r="O19" s="0" t="n">
        <v>47065</v>
      </c>
      <c r="P19" s="0" t="n">
        <v>120829</v>
      </c>
      <c r="Q19" s="0" t="n">
        <v>73764</v>
      </c>
      <c r="R19" s="0" t="n">
        <v>34607</v>
      </c>
      <c r="T19" s="0" t="n">
        <v>2483.9</v>
      </c>
      <c r="U19" s="0" t="n">
        <v>545</v>
      </c>
      <c r="V19" s="0" t="n">
        <v>3.6806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84039</v>
      </c>
      <c r="C20" s="0" t="n">
        <v>40848</v>
      </c>
      <c r="F20" s="0" t="n">
        <v>18545</v>
      </c>
      <c r="G20" s="0" t="n">
        <v>22.0671354966147</v>
      </c>
      <c r="H20" s="0" t="n">
        <v>21441</v>
      </c>
      <c r="I20" s="0" t="n">
        <v>14974</v>
      </c>
      <c r="J20" s="0" t="n">
        <v>17.8179178714644</v>
      </c>
      <c r="K20" s="0" t="n">
        <v>6.18</v>
      </c>
      <c r="L20" s="0" t="n">
        <v>19846</v>
      </c>
      <c r="M20" s="0" t="n">
        <v>3322</v>
      </c>
      <c r="N20" s="0" t="n">
        <v>16524</v>
      </c>
      <c r="O20" s="0" t="n">
        <v>50559</v>
      </c>
      <c r="P20" s="0" t="n">
        <v>122370</v>
      </c>
      <c r="Q20" s="0" t="n">
        <v>71811</v>
      </c>
      <c r="R20" s="0" t="n">
        <v>32460</v>
      </c>
      <c r="T20" s="0" t="n">
        <v>2471.9</v>
      </c>
      <c r="U20" s="0" t="n">
        <v>562</v>
      </c>
      <c r="V20" s="0" t="n">
        <v>3.8286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84284</v>
      </c>
      <c r="C21" s="0" t="n">
        <v>41164</v>
      </c>
      <c r="F21" s="0" t="n">
        <v>20451</v>
      </c>
      <c r="G21" s="0" t="n">
        <v>24.2643918181387</v>
      </c>
      <c r="H21" s="0" t="n">
        <v>23298</v>
      </c>
      <c r="I21" s="0" t="n">
        <v>16065</v>
      </c>
      <c r="J21" s="0" t="n">
        <v>19.0605571638745</v>
      </c>
      <c r="K21" s="0" t="n">
        <v>6.67</v>
      </c>
      <c r="L21" s="0" t="n">
        <v>17817</v>
      </c>
      <c r="M21" s="0" t="n">
        <v>3773</v>
      </c>
      <c r="N21" s="0" t="n">
        <v>14044</v>
      </c>
      <c r="O21" s="0" t="n">
        <v>52284</v>
      </c>
      <c r="P21" s="0" t="n">
        <v>125231</v>
      </c>
      <c r="Q21" s="0" t="n">
        <v>72946</v>
      </c>
      <c r="R21" s="0" t="n">
        <v>34508</v>
      </c>
      <c r="T21" s="0" t="n">
        <v>2454.4</v>
      </c>
      <c r="U21" s="0" t="n">
        <v>476</v>
      </c>
      <c r="V21" s="0" t="n">
        <v>4.0763</v>
      </c>
      <c r="AA21" s="0" t="s">
        <v>17</v>
      </c>
      <c r="AB21" s="0" t="s">
        <v>14</v>
      </c>
    </row>
    <row r="22" customFormat="false" ht="15" hidden="false" customHeight="false" outlineLevel="0" collapsed="false">
      <c r="A22" s="0" t="s">
        <v>83</v>
      </c>
      <c r="B22" s="0" t="n">
        <v>87032</v>
      </c>
      <c r="C22" s="0" t="n">
        <v>43362</v>
      </c>
      <c r="F22" s="0" t="n">
        <v>19748</v>
      </c>
      <c r="G22" s="0" t="n">
        <v>22.6905046419708</v>
      </c>
      <c r="H22" s="0" t="n">
        <v>22908</v>
      </c>
      <c r="I22" s="0" t="n">
        <v>16144</v>
      </c>
      <c r="J22" s="0" t="n">
        <v>18.5494990348378</v>
      </c>
      <c r="K22" s="0" t="n">
        <v>6.75</v>
      </c>
      <c r="L22" s="0" t="n">
        <v>19556</v>
      </c>
      <c r="M22" s="0" t="n">
        <v>4409</v>
      </c>
      <c r="N22" s="0" t="n">
        <v>15147</v>
      </c>
      <c r="O22" s="0" t="n">
        <v>54311</v>
      </c>
      <c r="P22" s="0" t="n">
        <v>126521</v>
      </c>
      <c r="Q22" s="0" t="n">
        <v>72210</v>
      </c>
      <c r="R22" s="0" t="n">
        <v>34138</v>
      </c>
      <c r="T22" s="0" t="n">
        <v>2422.5</v>
      </c>
      <c r="U22" s="0" t="n">
        <v>524</v>
      </c>
      <c r="V22" s="0" t="n">
        <v>4.2589</v>
      </c>
      <c r="AA22" s="0" t="s">
        <v>17</v>
      </c>
      <c r="AB2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143.95</v>
      </c>
    </row>
    <row r="3" customFormat="false" ht="15" hidden="false" customHeight="false" outlineLevel="0" collapsed="false">
      <c r="A3" s="0" t="s">
        <v>87</v>
      </c>
      <c r="B3" s="3" t="n">
        <v>2413.2</v>
      </c>
    </row>
    <row r="4" customFormat="false" ht="15" hidden="false" customHeight="false" outlineLevel="0" collapsed="false">
      <c r="A4" s="0" t="s">
        <v>88</v>
      </c>
      <c r="B4" s="3" t="n">
        <v>24196</v>
      </c>
    </row>
    <row r="5" customFormat="false" ht="15" hidden="false" customHeight="false" outlineLevel="0" collapsed="false">
      <c r="A5" s="0" t="s">
        <v>89</v>
      </c>
      <c r="B5" s="3" t="n">
        <v>-230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87032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0.5</v>
      </c>
      <c r="D13" s="3" t="n">
        <v>1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26.3</v>
      </c>
      <c r="D14" s="3" t="n">
        <v>26.2</v>
      </c>
      <c r="E14" s="3" t="n">
        <v>26</v>
      </c>
      <c r="F14" s="3" t="n">
        <v>26</v>
      </c>
      <c r="G14" s="3" t="n">
        <v>26</v>
      </c>
      <c r="H14" s="3" t="n">
        <v>26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109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3.6</v>
      </c>
      <c r="D17" s="3" t="n">
        <v>3.6</v>
      </c>
      <c r="E17" s="3" t="n">
        <v>3.6</v>
      </c>
      <c r="F17" s="3" t="n">
        <v>3.6</v>
      </c>
      <c r="G17" s="3" t="n">
        <v>3.6</v>
      </c>
      <c r="H17" s="3" t="n">
        <v>3.6</v>
      </c>
      <c r="I17" s="3" t="n">
        <v>3.6</v>
      </c>
      <c r="J17" s="3" t="n">
        <v>3.6</v>
      </c>
      <c r="K17" s="3" t="n">
        <v>3.6</v>
      </c>
      <c r="L17" s="3" t="n">
        <v>3.6</v>
      </c>
    </row>
    <row r="18" customFormat="false" ht="15" hidden="false" customHeight="false" outlineLevel="0" collapsed="false">
      <c r="A18" s="0" t="s">
        <v>112</v>
      </c>
      <c r="C18" s="3" t="n">
        <v>5</v>
      </c>
      <c r="D18" s="3" t="n">
        <v>5</v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113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114</v>
      </c>
      <c r="B20" s="3" t="n">
        <v>7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18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2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27.2</v>
      </c>
      <c r="D28" s="3" t="n">
        <v>27.8</v>
      </c>
      <c r="E28" s="3" t="n">
        <v>28.2</v>
      </c>
      <c r="F28" s="3" t="n">
        <v>28.5</v>
      </c>
      <c r="G28" s="3" t="n">
        <v>28.5</v>
      </c>
      <c r="H28" s="3" t="n">
        <v>28.5</v>
      </c>
      <c r="I28" s="3" t="n">
        <v>28.5</v>
      </c>
      <c r="J28" s="3" t="n">
        <v>28.5</v>
      </c>
      <c r="K28" s="3" t="n">
        <v>28.5</v>
      </c>
      <c r="L28" s="3" t="n">
        <v>28.5</v>
      </c>
    </row>
    <row r="29" customFormat="false" ht="15" hidden="false" customHeight="false" outlineLevel="0" collapsed="false">
      <c r="A29" s="0" t="s">
        <v>109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3.6</v>
      </c>
      <c r="D31" s="3" t="n">
        <v>3.6</v>
      </c>
      <c r="E31" s="3" t="n">
        <v>3.6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112</v>
      </c>
      <c r="C32" s="3" t="n">
        <v>4.9</v>
      </c>
      <c r="D32" s="3" t="n">
        <v>4.8</v>
      </c>
      <c r="E32" s="3" t="n">
        <v>4.7</v>
      </c>
      <c r="F32" s="3" t="n">
        <v>4.6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113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114</v>
      </c>
      <c r="B34" s="3" t="n">
        <v>7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3</v>
      </c>
      <c r="D41" s="3" t="n">
        <v>4</v>
      </c>
      <c r="E41" s="3" t="n">
        <v>4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27.6</v>
      </c>
      <c r="D42" s="3" t="n">
        <v>28.5</v>
      </c>
      <c r="E42" s="3" t="n">
        <v>29.2</v>
      </c>
      <c r="F42" s="3" t="n">
        <v>29.7</v>
      </c>
      <c r="G42" s="3" t="n">
        <v>30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109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3.6</v>
      </c>
      <c r="D45" s="3" t="n">
        <v>3.6</v>
      </c>
      <c r="E45" s="3" t="n">
        <v>3.5</v>
      </c>
      <c r="F45" s="3" t="n">
        <v>3.5</v>
      </c>
      <c r="G45" s="3" t="n">
        <v>3.5</v>
      </c>
      <c r="H45" s="3" t="n">
        <v>3.5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112</v>
      </c>
      <c r="C46" s="3" t="n">
        <v>4.8</v>
      </c>
      <c r="D46" s="3" t="n">
        <v>4.6</v>
      </c>
      <c r="E46" s="3" t="n">
        <v>4.5</v>
      </c>
      <c r="F46" s="3" t="n">
        <v>4.4</v>
      </c>
      <c r="G46" s="3" t="n">
        <v>4.3</v>
      </c>
      <c r="H46" s="3" t="n">
        <v>4.3</v>
      </c>
      <c r="I46" s="3" t="n">
        <v>4.3</v>
      </c>
      <c r="J46" s="3" t="n">
        <v>4.3</v>
      </c>
      <c r="K46" s="3" t="n">
        <v>4.3</v>
      </c>
      <c r="L46" s="3" t="n">
        <v>4.3</v>
      </c>
    </row>
    <row r="47" customFormat="false" ht="15" hidden="false" customHeight="false" outlineLevel="0" collapsed="false">
      <c r="A47" s="0" t="s">
        <v>113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114</v>
      </c>
      <c r="B48" s="3" t="n">
        <v>7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87032</v>
      </c>
      <c r="C6" s="0" t="n">
        <f aca="false">B6*(1+C5/100)</f>
        <v>87467.16</v>
      </c>
      <c r="D6" s="0" t="n">
        <f aca="false">C6*(1+D5/100)</f>
        <v>88341.8316</v>
      </c>
      <c r="E6" s="0" t="n">
        <f aca="false">D6*(1+E5/100)</f>
        <v>89666.959074</v>
      </c>
      <c r="F6" s="0" t="n">
        <f aca="false">E6*(1+F5/100)</f>
        <v>91460.29825548</v>
      </c>
      <c r="G6" s="0" t="n">
        <f aca="false">F6*(1+G5/100)</f>
        <v>93289.5042205896</v>
      </c>
      <c r="H6" s="0" t="n">
        <f aca="false">G6*(1+H5/100)</f>
        <v>95155.2943050014</v>
      </c>
      <c r="I6" s="0" t="n">
        <f aca="false">H6*(1+I5/100)</f>
        <v>97058.4001911014</v>
      </c>
      <c r="J6" s="0" t="n">
        <f aca="false">I6*(1+J5/100)</f>
        <v>98999.5681949235</v>
      </c>
      <c r="K6" s="0" t="n">
        <f aca="false">J6*(1+K5/100)</f>
        <v>100979.559558822</v>
      </c>
      <c r="L6" s="0" t="n">
        <f aca="false">K6*(1+L5/100)</f>
        <v>102999.150749998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26.3</v>
      </c>
      <c r="D7" s="4" t="n">
        <f aca="false">Assumptions!D14</f>
        <v>26.2</v>
      </c>
      <c r="E7" s="4" t="n">
        <f aca="false">Assumptions!E14</f>
        <v>26</v>
      </c>
      <c r="F7" s="4" t="n">
        <f aca="false">Assumptions!F14</f>
        <v>26</v>
      </c>
      <c r="G7" s="4" t="n">
        <f aca="false">Assumptions!G14</f>
        <v>26</v>
      </c>
      <c r="H7" s="4" t="n">
        <f aca="false">Assumptions!H14</f>
        <v>26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23003.86308</v>
      </c>
      <c r="D8" s="0" t="n">
        <f aca="false">D6*D7/100</f>
        <v>23145.5598792</v>
      </c>
      <c r="E8" s="0" t="n">
        <f aca="false">E6*E7/100</f>
        <v>23313.40935924</v>
      </c>
      <c r="F8" s="0" t="n">
        <f aca="false">F6*F7/100</f>
        <v>23779.6775464248</v>
      </c>
      <c r="G8" s="0" t="n">
        <f aca="false">G6*G7/100</f>
        <v>24255.2710973533</v>
      </c>
      <c r="H8" s="0" t="n">
        <f aca="false">H6*H7/100</f>
        <v>24740.3765193004</v>
      </c>
      <c r="I8" s="0" t="n">
        <f aca="false">I6*I7/100</f>
        <v>25235.1840496864</v>
      </c>
      <c r="J8" s="0" t="n">
        <f aca="false">J6*J7/100</f>
        <v>25739.8877306801</v>
      </c>
      <c r="K8" s="0" t="n">
        <f aca="false">K6*K7/100</f>
        <v>26254.6854852937</v>
      </c>
      <c r="L8" s="0" t="n">
        <f aca="false">L6*L7/100</f>
        <v>26779.7791949996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-524.80296</v>
      </c>
      <c r="D10" s="0" t="n">
        <f aca="false">-D6*D9/100</f>
        <v>-530.0509896</v>
      </c>
      <c r="E10" s="0" t="n">
        <f aca="false">-E6*E9/100</f>
        <v>-538.001754444</v>
      </c>
      <c r="F10" s="0" t="n">
        <f aca="false">-F6*F9/100</f>
        <v>-548.76178953288</v>
      </c>
      <c r="G10" s="0" t="n">
        <f aca="false">-G6*G9/100</f>
        <v>-559.737025323538</v>
      </c>
      <c r="H10" s="0" t="n">
        <f aca="false">-H6*H9/100</f>
        <v>-570.931765830008</v>
      </c>
      <c r="I10" s="0" t="n">
        <f aca="false">-I6*I9/100</f>
        <v>-582.350401146609</v>
      </c>
      <c r="J10" s="0" t="n">
        <f aca="false">-J6*J9/100</f>
        <v>-593.997409169541</v>
      </c>
      <c r="K10" s="0" t="n">
        <f aca="false">-K6*K9/100</f>
        <v>-605.877357352932</v>
      </c>
      <c r="L10" s="0" t="n">
        <f aca="false">-L6*L9/100</f>
        <v>-617.99490449999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22479.06012</v>
      </c>
      <c r="D11" s="0" t="n">
        <f aca="false">D8+D10+D24</f>
        <v>22615.5088896</v>
      </c>
      <c r="E11" s="0" t="n">
        <f aca="false">E8+E10+E24</f>
        <v>22775.407604796</v>
      </c>
      <c r="F11" s="0" t="n">
        <f aca="false">F8+F10+F24</f>
        <v>23230.9157568919</v>
      </c>
      <c r="G11" s="0" t="n">
        <f aca="false">G8+G10+G24</f>
        <v>23695.5340720298</v>
      </c>
      <c r="H11" s="0" t="n">
        <f aca="false">H8+H10+H24</f>
        <v>24169.4447534704</v>
      </c>
      <c r="I11" s="0" t="n">
        <f aca="false">I8+I10+I24</f>
        <v>24652.8336485398</v>
      </c>
      <c r="J11" s="0" t="n">
        <f aca="false">J8+J10+J24</f>
        <v>25145.8903215106</v>
      </c>
      <c r="K11" s="0" t="n">
        <f aca="false">K8+K10+K24</f>
        <v>25648.8081279408</v>
      </c>
      <c r="L11" s="0" t="n">
        <f aca="false">L8+L10+L24</f>
        <v>26161.7842904996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-3148.81776</v>
      </c>
      <c r="D12" s="4" t="n">
        <f aca="false">-D6*Assumptions!D17/100</f>
        <v>-3180.3059376</v>
      </c>
      <c r="E12" s="4" t="n">
        <f aca="false">-E6*Assumptions!E17/100</f>
        <v>-3228.010526664</v>
      </c>
      <c r="F12" s="4" t="n">
        <f aca="false">-F6*Assumptions!F17/100</f>
        <v>-3292.57073719728</v>
      </c>
      <c r="G12" s="4" t="n">
        <f aca="false">-G6*Assumptions!G17/100</f>
        <v>-3358.42215194123</v>
      </c>
      <c r="H12" s="4" t="n">
        <f aca="false">-H6*Assumptions!H17/100</f>
        <v>-3425.59059498005</v>
      </c>
      <c r="I12" s="4" t="n">
        <f aca="false">-I6*Assumptions!I17/100</f>
        <v>-3494.10240687965</v>
      </c>
      <c r="J12" s="4" t="n">
        <f aca="false">-J6*Assumptions!J17/100</f>
        <v>-3563.98445501724</v>
      </c>
      <c r="K12" s="4" t="n">
        <f aca="false">-K6*Assumptions!K17/100</f>
        <v>-3635.26414411759</v>
      </c>
      <c r="L12" s="4" t="n">
        <f aca="false">-L6*Assumptions!L17/100</f>
        <v>-3707.96942699994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19330.24236</v>
      </c>
      <c r="D13" s="0" t="n">
        <f aca="false">D11+D12</f>
        <v>19435.202952</v>
      </c>
      <c r="E13" s="0" t="n">
        <f aca="false">E11+E12</f>
        <v>19547.397078132</v>
      </c>
      <c r="F13" s="0" t="n">
        <f aca="false">F11+F12</f>
        <v>19938.3450196946</v>
      </c>
      <c r="G13" s="0" t="n">
        <f aca="false">G11+G12</f>
        <v>20337.1119200885</v>
      </c>
      <c r="H13" s="0" t="n">
        <f aca="false">H11+H12</f>
        <v>20743.8541584903</v>
      </c>
      <c r="I13" s="0" t="n">
        <f aca="false">I11+I12</f>
        <v>21158.7312416601</v>
      </c>
      <c r="J13" s="0" t="n">
        <f aca="false">J11+J12</f>
        <v>21581.9058664933</v>
      </c>
      <c r="K13" s="0" t="n">
        <f aca="false">K11+K12</f>
        <v>22013.5439838232</v>
      </c>
      <c r="L13" s="0" t="n">
        <f aca="false">L11+L12</f>
        <v>22453.8148634996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14980.937829</v>
      </c>
      <c r="D15" s="0" t="n">
        <f aca="false">D13-MAX(0,D13)*D14/100</f>
        <v>15062.2822878</v>
      </c>
      <c r="E15" s="0" t="n">
        <f aca="false">E13-MAX(0,E13)*E14/100</f>
        <v>15149.2327355523</v>
      </c>
      <c r="F15" s="0" t="n">
        <f aca="false">F13-MAX(0,F13)*F14/100</f>
        <v>15452.2173902633</v>
      </c>
      <c r="G15" s="0" t="n">
        <f aca="false">G13-MAX(0,G13)*G14/100</f>
        <v>15761.2617380686</v>
      </c>
      <c r="H15" s="0" t="n">
        <f aca="false">H13-MAX(0,H13)*H14/100</f>
        <v>16076.48697283</v>
      </c>
      <c r="I15" s="0" t="n">
        <f aca="false">I13-MAX(0,I13)*I14/100</f>
        <v>16398.0167122866</v>
      </c>
      <c r="J15" s="0" t="n">
        <f aca="false">J13-MAX(0,J13)*J14/100</f>
        <v>16725.9770465323</v>
      </c>
      <c r="K15" s="0" t="n">
        <f aca="false">K13-MAX(0,K13)*K14/100</f>
        <v>17060.496587463</v>
      </c>
      <c r="L15" s="0" t="n">
        <f aca="false">L13-MAX(0,L13)*L14/100</f>
        <v>17401.7065192122</v>
      </c>
    </row>
    <row r="16" customFormat="false" ht="15" hidden="false" customHeight="false" outlineLevel="0" collapsed="false">
      <c r="A16" s="0" t="s">
        <v>129</v>
      </c>
      <c r="C16" s="0" t="n">
        <f aca="false">-C12</f>
        <v>3148.81776</v>
      </c>
      <c r="D16" s="0" t="n">
        <f aca="false">-D12</f>
        <v>3180.3059376</v>
      </c>
      <c r="E16" s="0" t="n">
        <f aca="false">-E12</f>
        <v>3228.010526664</v>
      </c>
      <c r="F16" s="0" t="n">
        <f aca="false">-F12</f>
        <v>3292.57073719728</v>
      </c>
      <c r="G16" s="0" t="n">
        <f aca="false">-G12</f>
        <v>3358.42215194123</v>
      </c>
      <c r="H16" s="0" t="n">
        <f aca="false">-H12</f>
        <v>3425.59059498005</v>
      </c>
      <c r="I16" s="0" t="n">
        <f aca="false">-I12</f>
        <v>3494.10240687965</v>
      </c>
      <c r="J16" s="0" t="n">
        <f aca="false">-J12</f>
        <v>3563.98445501724</v>
      </c>
      <c r="K16" s="0" t="n">
        <f aca="false">-K12</f>
        <v>3635.26414411759</v>
      </c>
      <c r="L16" s="0" t="n">
        <f aca="false">-L12</f>
        <v>3707.96942699994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-4373.358</v>
      </c>
      <c r="D17" s="4" t="n">
        <f aca="false">-D6*Assumptions!D18/100</f>
        <v>-4417.09158</v>
      </c>
      <c r="E17" s="4" t="n">
        <f aca="false">-E6*Assumptions!E18/100</f>
        <v>-4483.3479537</v>
      </c>
      <c r="F17" s="4" t="n">
        <f aca="false">-F6*Assumptions!F18/100</f>
        <v>-4573.014912774</v>
      </c>
      <c r="G17" s="4" t="n">
        <f aca="false">-G6*Assumptions!G18/100</f>
        <v>-4664.47521102948</v>
      </c>
      <c r="H17" s="4" t="n">
        <f aca="false">-H6*Assumptions!H18/100</f>
        <v>-4757.76471525007</v>
      </c>
      <c r="I17" s="4" t="n">
        <f aca="false">-I6*Assumptions!I18/100</f>
        <v>-4852.92000955507</v>
      </c>
      <c r="J17" s="4" t="n">
        <f aca="false">-J6*Assumptions!J18/100</f>
        <v>-4949.97840974617</v>
      </c>
      <c r="K17" s="4" t="n">
        <f aca="false">-K6*Assumptions!K18/100</f>
        <v>-5048.9779779411</v>
      </c>
      <c r="L17" s="4" t="n">
        <f aca="false">-L6*Assumptions!L18/100</f>
        <v>-5149.95753749992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13756.397589</v>
      </c>
      <c r="D19" s="0" t="n">
        <f aca="false">D15+D16+D17+D18</f>
        <v>13825.4966454</v>
      </c>
      <c r="E19" s="0" t="n">
        <f aca="false">E15+E16+E17+E18</f>
        <v>13893.8953085163</v>
      </c>
      <c r="F19" s="0" t="n">
        <f aca="false">F15+F16+F17+F18</f>
        <v>14171.7732146866</v>
      </c>
      <c r="G19" s="0" t="n">
        <f aca="false">G15+G16+G17+G18</f>
        <v>14455.2086789804</v>
      </c>
      <c r="H19" s="0" t="n">
        <f aca="false">H15+H16+H17+H18</f>
        <v>14744.31285256</v>
      </c>
      <c r="I19" s="0" t="n">
        <f aca="false">I15+I16+I17+I18</f>
        <v>15039.1991096112</v>
      </c>
      <c r="J19" s="0" t="n">
        <f aca="false">J15+J16+J17+J18</f>
        <v>15339.9830918034</v>
      </c>
      <c r="K19" s="0" t="n">
        <f aca="false">K15+K16+K17+K18</f>
        <v>15646.7827536395</v>
      </c>
      <c r="L19" s="0" t="n">
        <f aca="false">L15+L16+L17+L18</f>
        <v>15959.7184087122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12856.4463448598</v>
      </c>
      <c r="D21" s="0" t="n">
        <f aca="false">D19*D20</f>
        <v>12075.7242077037</v>
      </c>
      <c r="E21" s="0" t="n">
        <f aca="false">E19*E20</f>
        <v>11341.5572420856</v>
      </c>
      <c r="F21" s="0" t="n">
        <f aca="false">F19*F20</f>
        <v>10811.5779317078</v>
      </c>
      <c r="G21" s="0" t="n">
        <f aca="false">G19*G20</f>
        <v>10306.3640096654</v>
      </c>
      <c r="H21" s="0" t="n">
        <f aca="false">H19*H20</f>
        <v>9824.75821482119</v>
      </c>
      <c r="I21" s="0" t="n">
        <f aca="false">I19*I20</f>
        <v>9365.65736366132</v>
      </c>
      <c r="J21" s="0" t="n">
        <f aca="false">J19*J20</f>
        <v>8928.00982330332</v>
      </c>
      <c r="K21" s="0" t="n">
        <f aca="false">K19*K20</f>
        <v>8510.81310258821</v>
      </c>
      <c r="L21" s="0" t="n">
        <f aca="false">L19*L20</f>
        <v>8113.11155573829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102134.019796135</v>
      </c>
    </row>
    <row r="31" customFormat="false" ht="15" hidden="false" customHeight="false" outlineLevel="0" collapsed="false">
      <c r="A31" s="0" t="s">
        <v>138</v>
      </c>
      <c r="B31" s="0" t="n">
        <f aca="false">L19</f>
        <v>15959.7184087122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325578.25553773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287274.93135682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287274.93135682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146036.008003289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248170.027799424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223744.027799424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92.7167362006564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-0.355910134069772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3942.8601287506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6408.80835380682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97.0063385885883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125222.40597605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32.6553316026403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2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87032</v>
      </c>
      <c r="C6" s="0" t="n">
        <f aca="false">B6*(1+C5/100)</f>
        <v>88772.64</v>
      </c>
      <c r="D6" s="0" t="n">
        <f aca="false">C6*(1+D5/100)</f>
        <v>91435.8192</v>
      </c>
      <c r="E6" s="0" t="n">
        <f aca="false">D6*(1+E5/100)</f>
        <v>94178.893776</v>
      </c>
      <c r="F6" s="0" t="n">
        <f aca="false">E6*(1+F5/100)</f>
        <v>97004.26058928</v>
      </c>
      <c r="G6" s="0" t="n">
        <f aca="false">F6*(1+G5/100)</f>
        <v>99914.3884069584</v>
      </c>
      <c r="H6" s="0" t="n">
        <f aca="false">G6*(1+H5/100)</f>
        <v>102911.820059167</v>
      </c>
      <c r="I6" s="0" t="n">
        <f aca="false">H6*(1+I5/100)</f>
        <v>105999.174660942</v>
      </c>
      <c r="J6" s="0" t="n">
        <f aca="false">I6*(1+J5/100)</f>
        <v>108914.151964118</v>
      </c>
      <c r="K6" s="0" t="n">
        <f aca="false">J6*(1+K5/100)</f>
        <v>111637.005763221</v>
      </c>
      <c r="L6" s="0" t="n">
        <f aca="false">K6*(1+L5/100)</f>
        <v>114427.930907302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27.2</v>
      </c>
      <c r="D7" s="4" t="n">
        <f aca="false">Assumptions!D28</f>
        <v>27.8</v>
      </c>
      <c r="E7" s="4" t="n">
        <f aca="false">Assumptions!E28</f>
        <v>28.2</v>
      </c>
      <c r="F7" s="4" t="n">
        <f aca="false">Assumptions!F28</f>
        <v>28.5</v>
      </c>
      <c r="G7" s="4" t="n">
        <f aca="false">Assumptions!G28</f>
        <v>28.5</v>
      </c>
      <c r="H7" s="4" t="n">
        <f aca="false">Assumptions!H28</f>
        <v>28.5</v>
      </c>
      <c r="I7" s="4" t="n">
        <f aca="false">Assumptions!I28</f>
        <v>28.5</v>
      </c>
      <c r="J7" s="4" t="n">
        <f aca="false">Assumptions!J28</f>
        <v>28.5</v>
      </c>
      <c r="K7" s="4" t="n">
        <f aca="false">Assumptions!K28</f>
        <v>28.5</v>
      </c>
      <c r="L7" s="4" t="n">
        <f aca="false">Assumptions!L28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24146.15808</v>
      </c>
      <c r="D8" s="0" t="n">
        <f aca="false">D6*D7/100</f>
        <v>25419.1577376</v>
      </c>
      <c r="E8" s="0" t="n">
        <f aca="false">E6*E7/100</f>
        <v>26558.448044832</v>
      </c>
      <c r="F8" s="0" t="n">
        <f aca="false">F6*F7/100</f>
        <v>27646.2142679448</v>
      </c>
      <c r="G8" s="0" t="n">
        <f aca="false">G6*G7/100</f>
        <v>28475.6006959831</v>
      </c>
      <c r="H8" s="0" t="n">
        <f aca="false">H6*H7/100</f>
        <v>29329.8687168626</v>
      </c>
      <c r="I8" s="0" t="n">
        <f aca="false">I6*I7/100</f>
        <v>30209.7647783685</v>
      </c>
      <c r="J8" s="0" t="n">
        <f aca="false">J6*J7/100</f>
        <v>31040.5333097737</v>
      </c>
      <c r="K8" s="0" t="n">
        <f aca="false">K6*K7/100</f>
        <v>31816.546642518</v>
      </c>
      <c r="L8" s="0" t="n">
        <f aca="false">L6*L7/100</f>
        <v>32611.9603085809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-532.63584</v>
      </c>
      <c r="D10" s="0" t="n">
        <f aca="false">-D6*D9/100</f>
        <v>-548.6149152</v>
      </c>
      <c r="E10" s="0" t="n">
        <f aca="false">-E6*E9/100</f>
        <v>-565.073362656</v>
      </c>
      <c r="F10" s="0" t="n">
        <f aca="false">-F6*F9/100</f>
        <v>-582.02556353568</v>
      </c>
      <c r="G10" s="0" t="n">
        <f aca="false">-G6*G9/100</f>
        <v>-599.48633044175</v>
      </c>
      <c r="H10" s="0" t="n">
        <f aca="false">-H6*H9/100</f>
        <v>-617.470920355003</v>
      </c>
      <c r="I10" s="0" t="n">
        <f aca="false">-I6*I9/100</f>
        <v>-635.995047965653</v>
      </c>
      <c r="J10" s="0" t="n">
        <f aca="false">-J6*J9/100</f>
        <v>-653.484911784709</v>
      </c>
      <c r="K10" s="0" t="n">
        <f aca="false">-K6*K9/100</f>
        <v>-669.822034579326</v>
      </c>
      <c r="L10" s="0" t="n">
        <f aca="false">-L6*L9/100</f>
        <v>-686.567585443809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23613.52224</v>
      </c>
      <c r="D11" s="0" t="n">
        <f aca="false">D8+D10+D24</f>
        <v>24870.5428224</v>
      </c>
      <c r="E11" s="0" t="n">
        <f aca="false">E8+E10+E24</f>
        <v>25993.374682176</v>
      </c>
      <c r="F11" s="0" t="n">
        <f aca="false">F8+F10+F24</f>
        <v>27064.1887044091</v>
      </c>
      <c r="G11" s="0" t="n">
        <f aca="false">G8+G10+G24</f>
        <v>27876.1143655414</v>
      </c>
      <c r="H11" s="0" t="n">
        <f aca="false">H8+H10+H24</f>
        <v>28712.3977965076</v>
      </c>
      <c r="I11" s="0" t="n">
        <f aca="false">I8+I10+I24</f>
        <v>29573.7697304029</v>
      </c>
      <c r="J11" s="0" t="n">
        <f aca="false">J8+J10+J24</f>
        <v>30387.048397989</v>
      </c>
      <c r="K11" s="0" t="n">
        <f aca="false">K8+K10+K24</f>
        <v>31146.7246079387</v>
      </c>
      <c r="L11" s="0" t="n">
        <f aca="false">L8+L10+L24</f>
        <v>31925.3927231371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-3195.81504</v>
      </c>
      <c r="D12" s="4" t="n">
        <f aca="false">-D6*Assumptions!D31/100</f>
        <v>-3291.6894912</v>
      </c>
      <c r="E12" s="4" t="n">
        <f aca="false">-E6*Assumptions!E31/100</f>
        <v>-3390.440175936</v>
      </c>
      <c r="F12" s="4" t="n">
        <f aca="false">-F6*Assumptions!F31/100</f>
        <v>-3395.1491206248</v>
      </c>
      <c r="G12" s="4" t="n">
        <f aca="false">-G6*Assumptions!G31/100</f>
        <v>-3497.00359424354</v>
      </c>
      <c r="H12" s="4" t="n">
        <f aca="false">-H6*Assumptions!H31/100</f>
        <v>-3601.91370207085</v>
      </c>
      <c r="I12" s="4" t="n">
        <f aca="false">-I6*Assumptions!I31/100</f>
        <v>-3709.97111313298</v>
      </c>
      <c r="J12" s="4" t="n">
        <f aca="false">-J6*Assumptions!J31/100</f>
        <v>-3811.99531874413</v>
      </c>
      <c r="K12" s="4" t="n">
        <f aca="false">-K6*Assumptions!K31/100</f>
        <v>-3907.29520171274</v>
      </c>
      <c r="L12" s="4" t="n">
        <f aca="false">-L6*Assumptions!L31/100</f>
        <v>-4004.97758175555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20417.7072</v>
      </c>
      <c r="D13" s="0" t="n">
        <f aca="false">D11+D12</f>
        <v>21578.8533312</v>
      </c>
      <c r="E13" s="0" t="n">
        <f aca="false">E11+E12</f>
        <v>22602.93450624</v>
      </c>
      <c r="F13" s="0" t="n">
        <f aca="false">F11+F12</f>
        <v>23669.0395837843</v>
      </c>
      <c r="G13" s="0" t="n">
        <f aca="false">G11+G12</f>
        <v>24379.1107712979</v>
      </c>
      <c r="H13" s="0" t="n">
        <f aca="false">H11+H12</f>
        <v>25110.4840944368</v>
      </c>
      <c r="I13" s="0" t="n">
        <f aca="false">I11+I12</f>
        <v>25863.7986172699</v>
      </c>
      <c r="J13" s="0" t="n">
        <f aca="false">J11+J12</f>
        <v>26575.0530792448</v>
      </c>
      <c r="K13" s="0" t="n">
        <f aca="false">K11+K12</f>
        <v>27239.4294062259</v>
      </c>
      <c r="L13" s="0" t="n">
        <f aca="false">L11+L12</f>
        <v>27920.4151413816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15823.72308</v>
      </c>
      <c r="D15" s="0" t="n">
        <f aca="false">D13-MAX(0,D13)*D14/100</f>
        <v>16723.61133168</v>
      </c>
      <c r="E15" s="0" t="n">
        <f aca="false">E13-MAX(0,E13)*E14/100</f>
        <v>17517.274242336</v>
      </c>
      <c r="F15" s="0" t="n">
        <f aca="false">F13-MAX(0,F13)*F14/100</f>
        <v>18343.5056774328</v>
      </c>
      <c r="G15" s="0" t="n">
        <f aca="false">G13-MAX(0,G13)*G14/100</f>
        <v>18893.8108477558</v>
      </c>
      <c r="H15" s="0" t="n">
        <f aca="false">H13-MAX(0,H13)*H14/100</f>
        <v>19460.6251731885</v>
      </c>
      <c r="I15" s="0" t="n">
        <f aca="false">I13-MAX(0,I13)*I14/100</f>
        <v>20044.4439283842</v>
      </c>
      <c r="J15" s="0" t="n">
        <f aca="false">J13-MAX(0,J13)*J14/100</f>
        <v>20595.6661364147</v>
      </c>
      <c r="K15" s="0" t="n">
        <f aca="false">K13-MAX(0,K13)*K14/100</f>
        <v>21110.5577898251</v>
      </c>
      <c r="L15" s="0" t="n">
        <f aca="false">L13-MAX(0,L13)*L14/100</f>
        <v>21638.3217345707</v>
      </c>
    </row>
    <row r="16" customFormat="false" ht="15" hidden="false" customHeight="false" outlineLevel="0" collapsed="false">
      <c r="A16" s="0" t="s">
        <v>129</v>
      </c>
      <c r="C16" s="0" t="n">
        <f aca="false">-C12</f>
        <v>3195.81504</v>
      </c>
      <c r="D16" s="0" t="n">
        <f aca="false">-D12</f>
        <v>3291.6894912</v>
      </c>
      <c r="E16" s="0" t="n">
        <f aca="false">-E12</f>
        <v>3390.440175936</v>
      </c>
      <c r="F16" s="0" t="n">
        <f aca="false">-F12</f>
        <v>3395.1491206248</v>
      </c>
      <c r="G16" s="0" t="n">
        <f aca="false">-G12</f>
        <v>3497.00359424354</v>
      </c>
      <c r="H16" s="0" t="n">
        <f aca="false">-H12</f>
        <v>3601.91370207085</v>
      </c>
      <c r="I16" s="0" t="n">
        <f aca="false">-I12</f>
        <v>3709.97111313298</v>
      </c>
      <c r="J16" s="0" t="n">
        <f aca="false">-J12</f>
        <v>3811.99531874413</v>
      </c>
      <c r="K16" s="0" t="n">
        <f aca="false">-K12</f>
        <v>3907.29520171274</v>
      </c>
      <c r="L16" s="0" t="n">
        <f aca="false">-L12</f>
        <v>4004.97758175555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-4349.85936</v>
      </c>
      <c r="D17" s="4" t="n">
        <f aca="false">-D6*Assumptions!D32/100</f>
        <v>-4388.9193216</v>
      </c>
      <c r="E17" s="4" t="n">
        <f aca="false">-E6*Assumptions!E32/100</f>
        <v>-4426.408007472</v>
      </c>
      <c r="F17" s="4" t="n">
        <f aca="false">-F6*Assumptions!F32/100</f>
        <v>-4462.19598710688</v>
      </c>
      <c r="G17" s="4" t="n">
        <f aca="false">-G6*Assumptions!G32/100</f>
        <v>-4496.14747831313</v>
      </c>
      <c r="H17" s="4" t="n">
        <f aca="false">-H6*Assumptions!H32/100</f>
        <v>-4631.03190266252</v>
      </c>
      <c r="I17" s="4" t="n">
        <f aca="false">-I6*Assumptions!I32/100</f>
        <v>-4769.9628597424</v>
      </c>
      <c r="J17" s="4" t="n">
        <f aca="false">-J6*Assumptions!J32/100</f>
        <v>-4901.13683838532</v>
      </c>
      <c r="K17" s="4" t="n">
        <f aca="false">-K6*Assumptions!K32/100</f>
        <v>-5023.66525934495</v>
      </c>
      <c r="L17" s="4" t="n">
        <f aca="false">-L6*Assumptions!L32/100</f>
        <v>-5149.25689082857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87.032</v>
      </c>
      <c r="D18" s="4" t="n">
        <f aca="false">(D6-C6)*Assumptions!$B$37/100</f>
        <v>133.15896</v>
      </c>
      <c r="E18" s="4" t="n">
        <f aca="false">(E6-D6)*Assumptions!$B$37/100</f>
        <v>137.1537288</v>
      </c>
      <c r="F18" s="4" t="n">
        <f aca="false">(F6-E6)*Assumptions!$B$37/100</f>
        <v>141.268340664</v>
      </c>
      <c r="G18" s="4" t="n">
        <f aca="false">(G6-F6)*Assumptions!$B$37/100</f>
        <v>145.50639088392</v>
      </c>
      <c r="H18" s="4" t="n">
        <f aca="false">(H6-G6)*Assumptions!$B$37/100</f>
        <v>149.871582610438</v>
      </c>
      <c r="I18" s="4" t="n">
        <f aca="false">(I6-H6)*Assumptions!$B$37/100</f>
        <v>154.367730088751</v>
      </c>
      <c r="J18" s="4" t="n">
        <f aca="false">(J6-I6)*Assumptions!$B$37/100</f>
        <v>145.748865158796</v>
      </c>
      <c r="K18" s="4" t="n">
        <f aca="false">(K6-J6)*Assumptions!$B$37/100</f>
        <v>136.142689955147</v>
      </c>
      <c r="L18" s="4" t="n">
        <f aca="false">(L6-K6)*Assumptions!$B$37/100</f>
        <v>139.546257204025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14756.71076</v>
      </c>
      <c r="D19" s="0" t="n">
        <f aca="false">D15+D16+D17+D18</f>
        <v>15759.54046128</v>
      </c>
      <c r="E19" s="0" t="n">
        <f aca="false">E15+E16+E17+E18</f>
        <v>16618.4601396</v>
      </c>
      <c r="F19" s="0" t="n">
        <f aca="false">F15+F16+F17+F18</f>
        <v>17417.7271516148</v>
      </c>
      <c r="G19" s="0" t="n">
        <f aca="false">G15+G16+G17+G18</f>
        <v>18040.1733545702</v>
      </c>
      <c r="H19" s="0" t="n">
        <f aca="false">H15+H16+H17+H18</f>
        <v>18581.3785552073</v>
      </c>
      <c r="I19" s="0" t="n">
        <f aca="false">I15+I16+I17+I18</f>
        <v>19138.8199118635</v>
      </c>
      <c r="J19" s="0" t="n">
        <f aca="false">J15+J16+J17+J18</f>
        <v>19652.2734819324</v>
      </c>
      <c r="K19" s="0" t="n">
        <f aca="false">K15+K16+K17+K18</f>
        <v>20130.330422148</v>
      </c>
      <c r="L19" s="0" t="n">
        <f aca="false">L15+L16+L17+L18</f>
        <v>20633.5886827017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13791.3184672897</v>
      </c>
      <c r="D21" s="0" t="n">
        <f aca="false">D19*D20</f>
        <v>13764.9929786706</v>
      </c>
      <c r="E21" s="0" t="n">
        <f aca="false">E19*E20</f>
        <v>13565.6137291507</v>
      </c>
      <c r="F21" s="0" t="n">
        <f aca="false">F19*F20</f>
        <v>13287.9006487171</v>
      </c>
      <c r="G21" s="0" t="n">
        <f aca="false">G19*G20</f>
        <v>12862.3942772981</v>
      </c>
      <c r="H21" s="0" t="n">
        <f aca="false">H19*H20</f>
        <v>12381.5571080533</v>
      </c>
      <c r="I21" s="0" t="n">
        <f aca="false">I19*I20</f>
        <v>11918.6951600887</v>
      </c>
      <c r="J21" s="0" t="n">
        <f aca="false">J19*J20</f>
        <v>11437.8020918867</v>
      </c>
      <c r="K21" s="0" t="n">
        <f aca="false">K19*K20</f>
        <v>10949.5659659745</v>
      </c>
      <c r="L21" s="0" t="n">
        <f aca="false">L19*L20</f>
        <v>10489.0702010503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124448.91062818</v>
      </c>
    </row>
    <row r="31" customFormat="false" ht="15" hidden="false" customHeight="false" outlineLevel="0" collapsed="false">
      <c r="A31" s="0" t="s">
        <v>138</v>
      </c>
      <c r="B31" s="0" t="n">
        <f aca="false">L19</f>
        <v>20633.5886827017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469987.297772651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412671.773654035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412671.773654035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209781.404021007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334230.314649187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309804.314649187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128.379046348909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-0.108169181320536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4210.89200756906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7949.81221587951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133.418290598639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169195.427198154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43.2930655613123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3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87032</v>
      </c>
      <c r="C6" s="0" t="n">
        <f aca="false">B6*(1+C5/100)</f>
        <v>89642.96</v>
      </c>
      <c r="D6" s="0" t="n">
        <f aca="false">C6*(1+D5/100)</f>
        <v>93228.6784</v>
      </c>
      <c r="E6" s="0" t="n">
        <f aca="false">D6*(1+E5/100)</f>
        <v>96957.825536</v>
      </c>
      <c r="F6" s="0" t="n">
        <f aca="false">E6*(1+F5/100)</f>
        <v>100836.13855744</v>
      </c>
      <c r="G6" s="0" t="n">
        <f aca="false">F6*(1+G5/100)</f>
        <v>104869.584099738</v>
      </c>
      <c r="H6" s="0" t="n">
        <f aca="false">G6*(1+H5/100)</f>
        <v>108540.019543228</v>
      </c>
      <c r="I6" s="0" t="n">
        <f aca="false">H6*(1+I5/100)</f>
        <v>112338.920227241</v>
      </c>
      <c r="J6" s="0" t="n">
        <f aca="false">I6*(1+J5/100)</f>
        <v>115709.087834059</v>
      </c>
      <c r="K6" s="0" t="n">
        <f aca="false">J6*(1+K5/100)</f>
        <v>119180.36046908</v>
      </c>
      <c r="L6" s="0" t="n">
        <f aca="false">K6*(1+L5/100)</f>
        <v>122755.771283153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27.6</v>
      </c>
      <c r="D7" s="4" t="n">
        <f aca="false">Assumptions!D42</f>
        <v>28.5</v>
      </c>
      <c r="E7" s="4" t="n">
        <f aca="false">Assumptions!E42</f>
        <v>29.2</v>
      </c>
      <c r="F7" s="4" t="n">
        <f aca="false">Assumptions!F42</f>
        <v>29.7</v>
      </c>
      <c r="G7" s="4" t="n">
        <f aca="false">Assumptions!G42</f>
        <v>30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24741.45696</v>
      </c>
      <c r="D8" s="0" t="n">
        <f aca="false">D6*D7/100</f>
        <v>26570.173344</v>
      </c>
      <c r="E8" s="0" t="n">
        <f aca="false">E6*E7/100</f>
        <v>28311.685056512</v>
      </c>
      <c r="F8" s="0" t="n">
        <f aca="false">F6*F7/100</f>
        <v>29948.3331515597</v>
      </c>
      <c r="G8" s="0" t="n">
        <f aca="false">G6*G7/100</f>
        <v>31460.8752299213</v>
      </c>
      <c r="H8" s="0" t="n">
        <f aca="false">H6*H7/100</f>
        <v>32562.0058629685</v>
      </c>
      <c r="I8" s="0" t="n">
        <f aca="false">I6*I7/100</f>
        <v>33701.6760681724</v>
      </c>
      <c r="J8" s="0" t="n">
        <f aca="false">J6*J7/100</f>
        <v>34712.7263502176</v>
      </c>
      <c r="K8" s="0" t="n">
        <f aca="false">K6*K7/100</f>
        <v>35754.1081407241</v>
      </c>
      <c r="L8" s="0" t="n">
        <f aca="false">L6*L7/100</f>
        <v>36826.7313849458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-537.85776</v>
      </c>
      <c r="D10" s="0" t="n">
        <f aca="false">-D6*D9/100</f>
        <v>-559.3720704</v>
      </c>
      <c r="E10" s="0" t="n">
        <f aca="false">-E6*E9/100</f>
        <v>-581.746953216</v>
      </c>
      <c r="F10" s="0" t="n">
        <f aca="false">-F6*F9/100</f>
        <v>-605.01683134464</v>
      </c>
      <c r="G10" s="0" t="n">
        <f aca="false">-G6*G9/100</f>
        <v>-629.217504598426</v>
      </c>
      <c r="H10" s="0" t="n">
        <f aca="false">-H6*H9/100</f>
        <v>-651.24011725937</v>
      </c>
      <c r="I10" s="0" t="n">
        <f aca="false">-I6*I9/100</f>
        <v>-674.033521363448</v>
      </c>
      <c r="J10" s="0" t="n">
        <f aca="false">-J6*J9/100</f>
        <v>-694.254527004352</v>
      </c>
      <c r="K10" s="0" t="n">
        <f aca="false">-K6*K9/100</f>
        <v>-715.082162814482</v>
      </c>
      <c r="L10" s="0" t="n">
        <f aca="false">-L6*L9/100</f>
        <v>-736.534627698917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24203.5992</v>
      </c>
      <c r="D11" s="0" t="n">
        <f aca="false">D8+D10+D24</f>
        <v>26010.8012736</v>
      </c>
      <c r="E11" s="0" t="n">
        <f aca="false">E8+E10+E24</f>
        <v>27729.938103296</v>
      </c>
      <c r="F11" s="0" t="n">
        <f aca="false">F8+F10+F24</f>
        <v>29343.316320215</v>
      </c>
      <c r="G11" s="0" t="n">
        <f aca="false">G8+G10+G24</f>
        <v>30831.6577253229</v>
      </c>
      <c r="H11" s="0" t="n">
        <f aca="false">H8+H10+H24</f>
        <v>31910.7657457092</v>
      </c>
      <c r="I11" s="0" t="n">
        <f aca="false">I8+I10+I24</f>
        <v>33027.642546809</v>
      </c>
      <c r="J11" s="0" t="n">
        <f aca="false">J8+J10+J24</f>
        <v>34018.4718232132</v>
      </c>
      <c r="K11" s="0" t="n">
        <f aca="false">K8+K10+K24</f>
        <v>35039.0259779096</v>
      </c>
      <c r="L11" s="0" t="n">
        <f aca="false">L8+L10+L24</f>
        <v>36090.1967572469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-3227.14656</v>
      </c>
      <c r="D12" s="4" t="n">
        <f aca="false">-D6*Assumptions!D45/100</f>
        <v>-3356.2324224</v>
      </c>
      <c r="E12" s="4" t="n">
        <f aca="false">-E6*Assumptions!E45/100</f>
        <v>-3393.52389376</v>
      </c>
      <c r="F12" s="4" t="n">
        <f aca="false">-F6*Assumptions!F45/100</f>
        <v>-3529.2648495104</v>
      </c>
      <c r="G12" s="4" t="n">
        <f aca="false">-G6*Assumptions!G45/100</f>
        <v>-3670.43544349082</v>
      </c>
      <c r="H12" s="4" t="n">
        <f aca="false">-H6*Assumptions!H45/100</f>
        <v>-3798.90068401299</v>
      </c>
      <c r="I12" s="4" t="n">
        <f aca="false">-I6*Assumptions!I45/100</f>
        <v>-3931.86220795345</v>
      </c>
      <c r="J12" s="4" t="n">
        <f aca="false">-J6*Assumptions!J45/100</f>
        <v>-4049.81807419205</v>
      </c>
      <c r="K12" s="4" t="n">
        <f aca="false">-K6*Assumptions!K45/100</f>
        <v>-4171.31261641781</v>
      </c>
      <c r="L12" s="4" t="n">
        <f aca="false">-L6*Assumptions!L45/100</f>
        <v>-4296.45199491035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20976.45264</v>
      </c>
      <c r="D13" s="0" t="n">
        <f aca="false">D11+D12</f>
        <v>22654.5688512</v>
      </c>
      <c r="E13" s="0" t="n">
        <f aca="false">E11+E12</f>
        <v>24336.414209536</v>
      </c>
      <c r="F13" s="0" t="n">
        <f aca="false">F11+F12</f>
        <v>25814.0514707046</v>
      </c>
      <c r="G13" s="0" t="n">
        <f aca="false">G11+G12</f>
        <v>27161.222281832</v>
      </c>
      <c r="H13" s="0" t="n">
        <f aca="false">H11+H12</f>
        <v>28111.8650616962</v>
      </c>
      <c r="I13" s="0" t="n">
        <f aca="false">I11+I12</f>
        <v>29095.7803388555</v>
      </c>
      <c r="J13" s="0" t="n">
        <f aca="false">J11+J12</f>
        <v>29968.6537490212</v>
      </c>
      <c r="K13" s="0" t="n">
        <f aca="false">K11+K12</f>
        <v>30867.7133614918</v>
      </c>
      <c r="L13" s="0" t="n">
        <f aca="false">L11+L12</f>
        <v>31793.7447623366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16256.750796</v>
      </c>
      <c r="D15" s="0" t="n">
        <f aca="false">D13-MAX(0,D13)*D14/100</f>
        <v>17557.29085968</v>
      </c>
      <c r="E15" s="0" t="n">
        <f aca="false">E13-MAX(0,E13)*E14/100</f>
        <v>18860.7210123904</v>
      </c>
      <c r="F15" s="0" t="n">
        <f aca="false">F13-MAX(0,F13)*F14/100</f>
        <v>20005.8898897961</v>
      </c>
      <c r="G15" s="0" t="n">
        <f aca="false">G13-MAX(0,G13)*G14/100</f>
        <v>21049.9472684198</v>
      </c>
      <c r="H15" s="0" t="n">
        <f aca="false">H13-MAX(0,H13)*H14/100</f>
        <v>21786.6954228145</v>
      </c>
      <c r="I15" s="0" t="n">
        <f aca="false">I13-MAX(0,I13)*I14/100</f>
        <v>22549.229762613</v>
      </c>
      <c r="J15" s="0" t="n">
        <f aca="false">J13-MAX(0,J13)*J14/100</f>
        <v>23225.7066554914</v>
      </c>
      <c r="K15" s="0" t="n">
        <f aca="false">K13-MAX(0,K13)*K14/100</f>
        <v>23922.4778551562</v>
      </c>
      <c r="L15" s="0" t="n">
        <f aca="false">L13-MAX(0,L13)*L14/100</f>
        <v>24640.1521908108</v>
      </c>
    </row>
    <row r="16" customFormat="false" ht="15" hidden="false" customHeight="false" outlineLevel="0" collapsed="false">
      <c r="A16" s="0" t="s">
        <v>129</v>
      </c>
      <c r="C16" s="0" t="n">
        <f aca="false">-C12</f>
        <v>3227.14656</v>
      </c>
      <c r="D16" s="0" t="n">
        <f aca="false">-D12</f>
        <v>3356.2324224</v>
      </c>
      <c r="E16" s="0" t="n">
        <f aca="false">-E12</f>
        <v>3393.52389376</v>
      </c>
      <c r="F16" s="0" t="n">
        <f aca="false">-F12</f>
        <v>3529.2648495104</v>
      </c>
      <c r="G16" s="0" t="n">
        <f aca="false">-G12</f>
        <v>3670.43544349082</v>
      </c>
      <c r="H16" s="0" t="n">
        <f aca="false">-H12</f>
        <v>3798.90068401299</v>
      </c>
      <c r="I16" s="0" t="n">
        <f aca="false">-I12</f>
        <v>3931.86220795345</v>
      </c>
      <c r="J16" s="0" t="n">
        <f aca="false">-J12</f>
        <v>4049.81807419205</v>
      </c>
      <c r="K16" s="0" t="n">
        <f aca="false">-K12</f>
        <v>4171.31261641781</v>
      </c>
      <c r="L16" s="0" t="n">
        <f aca="false">-L12</f>
        <v>4296.45199491035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-4302.86208</v>
      </c>
      <c r="D17" s="4" t="n">
        <f aca="false">-D6*Assumptions!D46/100</f>
        <v>-4288.5192064</v>
      </c>
      <c r="E17" s="4" t="n">
        <f aca="false">-E6*Assumptions!E46/100</f>
        <v>-4363.10214912</v>
      </c>
      <c r="F17" s="4" t="n">
        <f aca="false">-F6*Assumptions!F46/100</f>
        <v>-4436.79009652736</v>
      </c>
      <c r="G17" s="4" t="n">
        <f aca="false">-G6*Assumptions!G46/100</f>
        <v>-4509.39211628872</v>
      </c>
      <c r="H17" s="4" t="n">
        <f aca="false">-H6*Assumptions!H46/100</f>
        <v>-4667.22084035882</v>
      </c>
      <c r="I17" s="4" t="n">
        <f aca="false">-I6*Assumptions!I46/100</f>
        <v>-4830.57356977138</v>
      </c>
      <c r="J17" s="4" t="n">
        <f aca="false">-J6*Assumptions!J46/100</f>
        <v>-4975.49077686452</v>
      </c>
      <c r="K17" s="4" t="n">
        <f aca="false">-K6*Assumptions!K46/100</f>
        <v>-5124.75550017046</v>
      </c>
      <c r="L17" s="4" t="n">
        <f aca="false">-L6*Assumptions!L46/100</f>
        <v>-5278.49816517557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130.548</v>
      </c>
      <c r="D18" s="4" t="n">
        <f aca="false">(D6-C6)*Assumptions!$B$51/100</f>
        <v>179.28592</v>
      </c>
      <c r="E18" s="4" t="n">
        <f aca="false">(E6-D6)*Assumptions!$B$51/100</f>
        <v>186.4573568</v>
      </c>
      <c r="F18" s="4" t="n">
        <f aca="false">(F6-E6)*Assumptions!$B$51/100</f>
        <v>193.915651072</v>
      </c>
      <c r="G18" s="4" t="n">
        <f aca="false">(G6-F6)*Assumptions!$B$51/100</f>
        <v>201.67227711488</v>
      </c>
      <c r="H18" s="4" t="n">
        <f aca="false">(H6-G6)*Assumptions!$B$51/100</f>
        <v>183.52177217454</v>
      </c>
      <c r="I18" s="4" t="n">
        <f aca="false">(I6-H6)*Assumptions!$B$51/100</f>
        <v>189.945034200649</v>
      </c>
      <c r="J18" s="4" t="n">
        <f aca="false">(J6-I6)*Assumptions!$B$51/100</f>
        <v>168.508380340862</v>
      </c>
      <c r="K18" s="4" t="n">
        <f aca="false">(K6-J6)*Assumptions!$B$51/100</f>
        <v>173.563631751088</v>
      </c>
      <c r="L18" s="4" t="n">
        <f aca="false">(L6-K6)*Assumptions!$B$51/100</f>
        <v>178.770540703621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15311.583276</v>
      </c>
      <c r="D19" s="0" t="n">
        <f aca="false">D15+D16+D17+D18</f>
        <v>16804.28999568</v>
      </c>
      <c r="E19" s="0" t="n">
        <f aca="false">E15+E16+E17+E18</f>
        <v>18077.6001138304</v>
      </c>
      <c r="F19" s="0" t="n">
        <f aca="false">F15+F16+F17+F18</f>
        <v>19292.2802938511</v>
      </c>
      <c r="G19" s="0" t="n">
        <f aca="false">G15+G16+G17+G18</f>
        <v>20412.6628727368</v>
      </c>
      <c r="H19" s="0" t="n">
        <f aca="false">H15+H16+H17+H18</f>
        <v>21101.8970386432</v>
      </c>
      <c r="I19" s="0" t="n">
        <f aca="false">I15+I16+I17+I18</f>
        <v>21840.4634349958</v>
      </c>
      <c r="J19" s="0" t="n">
        <f aca="false">J15+J16+J17+J18</f>
        <v>22468.5423331598</v>
      </c>
      <c r="K19" s="0" t="n">
        <f aca="false">K15+K16+K17+K18</f>
        <v>23142.5986031546</v>
      </c>
      <c r="L19" s="0" t="n">
        <f aca="false">L15+L16+L17+L18</f>
        <v>23836.8765612492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14309.8909121495</v>
      </c>
      <c r="D21" s="0" t="n">
        <f aca="false">D19*D20</f>
        <v>14677.517683361</v>
      </c>
      <c r="E21" s="0" t="n">
        <f aca="false">E19*E20</f>
        <v>14756.7065922016</v>
      </c>
      <c r="F21" s="0" t="n">
        <f aca="false">F19*F20</f>
        <v>14717.9882656578</v>
      </c>
      <c r="G21" s="0" t="n">
        <f aca="false">G19*G20</f>
        <v>14553.9465147207</v>
      </c>
      <c r="H21" s="0" t="n">
        <f aca="false">H19*H20</f>
        <v>14061.0849994766</v>
      </c>
      <c r="I21" s="0" t="n">
        <f aca="false">I19*I20</f>
        <v>13601.1429667834</v>
      </c>
      <c r="J21" s="0" t="n">
        <f aca="false">J19*J20</f>
        <v>13076.896204204</v>
      </c>
      <c r="K21" s="0" t="n">
        <f aca="false">K19*K20</f>
        <v>12588.0402713366</v>
      </c>
      <c r="L21" s="0" t="n">
        <f aca="false">L19*L20</f>
        <v>12117.4593266137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138460.673736505</v>
      </c>
    </row>
    <row r="31" customFormat="false" ht="15" hidden="false" customHeight="false" outlineLevel="0" collapsed="false">
      <c r="A31" s="0" t="s">
        <v>138</v>
      </c>
      <c r="B31" s="0" t="n">
        <f aca="false">L19</f>
        <v>23836.8765612492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613799.571452168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476737.531224985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476737.531224985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242349.186532274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380809.860268779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356383.860268779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147.681029450016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0.0259189263634327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4397.45428357097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9641.23405805389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153.498486909665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204599.857150723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50.7142109668086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92.7167362006564</v>
      </c>
      <c r="C4" s="0" t="n">
        <f aca="false">B4/Assumptions!$B$2-1</f>
        <v>-0.355910134069772</v>
      </c>
      <c r="D4" s="4" t="n">
        <f aca="false">Assumptions!$B$24</f>
        <v>0.25</v>
      </c>
      <c r="E4" s="4" t="n">
        <f aca="false">DCF_Bear!$B$43</f>
        <v>97.0063385885883</v>
      </c>
      <c r="F4" s="4" t="n">
        <f aca="false">DCF_Bear!$B$47</f>
        <v>32.6553316026403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128.379046348909</v>
      </c>
      <c r="C5" s="0" t="n">
        <f aca="false">B5/Assumptions!$B$2-1</f>
        <v>-0.108169181320536</v>
      </c>
      <c r="D5" s="4" t="n">
        <f aca="false">Assumptions!$B$38</f>
        <v>0.5</v>
      </c>
      <c r="E5" s="4" t="n">
        <f aca="false">DCF_Base!$B$43</f>
        <v>133.418290598639</v>
      </c>
      <c r="F5" s="4" t="n">
        <f aca="false">DCF_Base!$B$47</f>
        <v>43.2930655613123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147.681029450016</v>
      </c>
      <c r="C6" s="0" t="n">
        <f aca="false">B6/Assumptions!$B$2-1</f>
        <v>0.0259189263634327</v>
      </c>
      <c r="D6" s="4" t="n">
        <f aca="false">Assumptions!$B$52</f>
        <v>0.25</v>
      </c>
      <c r="E6" s="4" t="n">
        <f aca="false">DCF_Bull!$B$43</f>
        <v>153.498486909665</v>
      </c>
      <c r="F6" s="4" t="n">
        <f aca="false">DCF_Bull!$B$47</f>
        <v>50.7142109668086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124.288964587123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129.335351673883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-0.158188102042605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389.606169222736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42.4889184230184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128.379046348909</v>
      </c>
      <c r="C15" s="3" t="n">
        <v>7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93.6979275050853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79.6817014351056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68.9690192795907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60.5164049068949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43.2930655613123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151.87279299976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151.87279299976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151.87279299976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151.87279299976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151.87279299976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139.557379128775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139.557379128775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139.557379128775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139.557379128775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139.557379128775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121.66166643021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128.379046348909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128.379046348909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128.379046348909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128.379046348909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100.855675668957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106.339367621092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112.820094473616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118.220700184052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118.220700184052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85.6224474142778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89.3717774564384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93.6979275050853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98.7451025618399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104.709945810732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2026-10-02T07:01:59Z</dcterms:created>
  <dc:creator>openpyxl</dc:creator>
  <dc:description/>
  <dc:language>en-NZ</dc:language>
  <cp:lastModifiedBy/>
  <dcterms:modified xsi:type="dcterms:W3CDTF">2026-10-02T07:01:59Z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