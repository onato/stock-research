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<sst xmlns="http://schemas.openxmlformats.org/spreadsheetml/2006/main" count="354" uniqueCount="164">
  <si>
    <t xml:space="preserve">Ticker</t>
  </si>
  <si>
    <t xml:space="preserve">1513.HK</t>
  </si>
  <si>
    <t xml:space="preserve">Company</t>
  </si>
  <si>
    <t xml:space="preserve">Livzon Pharmaceutical Group Inc.</t>
  </si>
  <si>
    <t xml:space="preserve">Valuation date</t>
  </si>
  <si>
    <t xml:space="preserve">2026-10-17</t>
  </si>
  <si>
    <t xml:space="preserve">Current price</t>
  </si>
  <si>
    <t xml:space="preserve">Price as of</t>
  </si>
  <si>
    <t xml:space="preserve">2026-10-16T08:08:14Z regular close (HKEX)</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</si>
  <si>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</si>
  <si>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</si>
  <si>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</si>
  <si>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</si>
  <si>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</si>
  <si>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</si>
  <si>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</si>
  <si>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</si>
  <si>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</si>
  <si>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</si>
  <si>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</si>
  <si>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</si>
  <si>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</si>
  <si>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2026-10-16T12:55:01Z</t>
  </si>
  <si>
    <t xml:space="preserve">Drivers file</t>
  </si>
  <si>
    <t xml:space="preserve">1513.HK_Drivers.json</t>
  </si>
  <si>
    <t xml:space="preserve">Convention</t>
  </si>
  <si>
    <t xml:space="preserve">Percents stored as percents; formulas divide by 100. Blue = input, green = link, black = formula.</t>
  </si>
  <si>
    <t xml:space="preserve">Methodology</t>
  </si>
  <si>
    <t xml:space="preserve">summary: Value the attributable owner cash flow of a net-cash Chinese pharma through a VBP-driven trough, charging minority leakage and tax once in the flows, stripping all investment income and putting every matching asset (cash, deposits, funds, associates, FVOCI instruments) into the bridge at carrying value, and deducting the two dividends the price has already gone ex. Risk is carried in the scenario paths and a 25% bear weight, not in a stacked discount rate. The terminal cap (10-15x owner FCF) is deliberately below Gordon because the business is structurally exposed to administered pricing.
key_risks_to_valuation: VBP / medical-insurance renegotiation cadence: each round is a step-down in revenue with no offsetting volume for the affected SKUs; the base assumes FY2026 absorbs most of it, the bear assumes it recurs annually to FY2030; Pipeline conversion: Lecankitug, JP-1366 and the long-acting antipsychotics are approved or filed but not yet commercial at scale; the base growth recovery from FY2028 depends on them; Bridge quality: RMB1.36bn single asset management plan (already marked down 13% in six months) and RMB469m unlisted equity are taken at carrying value; a 50% haircut would remove ~RMB1.0/share (~HKD1.2); Minority leakage drift: NCI took 16.8% of H1 2026 profit and the 32% Imexpharm minority adds to it; each 1pp of leakage is ~1.4% of value; Controlling-shareholder governance (Joincare 47%) and the persistent ~50% A/H premium: the H-share may never close the gap to intrinsic value, which the 15% hurdle entry price partly addresses; FX: CNY flows against an HKD quote; a 5% CNY depreciation moves every HKD figure by 5%, and refresh_price.py does not update fx_rate</t>
  </si>
  <si>
    <t xml:space="preserve">Data sources</t>
  </si>
  <si>
    <t xml:space="preserve">price: Yahoo Finance chart API at inputs.price_as_of; 52-week range 19.80-33.40 HKD. FX from Yahoo CNYHKD=X cross-checked to USDHKD/USDCNY.
financials: 1513.HK_Metrics.csv (core_metrics, CNY millions, CAS); Interim Report 2026 (balance sheet, cash flow, notes V.2/V.8/V.9/V.11/V.21/V.29/V.33, share-capital table); Annual Report 2025 (income statement, cash-flow supplement D&amp;A, note V.55 tax, option scheme, buybacks).
qualitative: 1513.HK_Analysis.json (2026-10-17): segment mix, VBP exposure, Imexpharm acquisition, Lecankitug approval, dividend announcements.</t>
  </si>
  <si>
    <t xml:space="preserve">Scenario narrative: bear</t>
  </si>
  <si>
    <t xml:space="preserve">The cost-containment cycle keeps cutting: revenue declines through FY2030 to ~RMB8.7bn, margin 20%, NCI leakage 32% combined, 10x cap, 1.5% terminal growth. Even here the net cash and investment portfolio (~RMB6.6bn after the dividends) underpin a large share of the price.</t>
  </si>
  <si>
    <t xml:space="preserve">Scenario narrative: base</t>
  </si>
  <si>
    <t xml:space="preserve">A pricing-driven trough, not a structural collapse: FY2026 revenue falls ~15% on the concentrated Ilaprazole/menotropins/leuprorelin/fluvoxamine price resets, then grows low-single-digits as Imexpharm annualises and the follow-on pipeline (Lecankitug, aripiprazole microspheres, JP-1366, GnRH antagonists) replaces eroding legacy SKUs. EBITDA margin holds 26.5-27.5% (the FY2024-25 range), capex ~= D&amp;A at 5.5% of revenue, 30% combined tax and minority leakage, 9% CNY WACC, 13x terminal cap. The axes are VBP cadence versus pipeline conversion.</t>
  </si>
  <si>
    <t xml:space="preserve">Scenario narrative: bull</t>
  </si>
  <si>
    <t xml:space="preserve">Innovation inflection: Lecankitug (first-in-China IL-17A/F, head-to-head superiority over Cosentyx) and the P-CAB/antipsychotic launches scale fast enough to deliver 6-8% growth in FY2027-29 and 29.5% margins; overseas (Imexpharm, Indonesia) becomes a second engine. 15x terminal cap, 3% terminal growth.</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</si>
  <si>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</si>
  <si>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</si>
  <si>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</si>
  <si>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</si>
  <si>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</si>
  <si>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</si>
  <si>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</si>
  <si>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</si>
  <si>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</si>
  <si>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</si>
  <si>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</si>
  <si>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</si>
  <si>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</si>
  <si>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</si>
  <si>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</si>
  <si>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</si>
  <si>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</si>
  <si>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</si>
  <si>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</si>
  <si>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</si>
  <si>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</si>
  <si>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</si>
  <si>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</si>
  <si>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</si>
  <si>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</si>
  <si>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</si>
  <si>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</si>
  <si>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ResearchAndDevelopment</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</si>
  <si>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</si>
  <si>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</si>
  <si>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</si>
  <si>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</si>
  <si>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</si>
  <si>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</si>
  <si>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</si>
  <si>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</si>
  <si>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</si>
  <si>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</si>
  <si>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</si>
  <si>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</si>
  <si>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</si>
  <si>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</si>
  <si>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</si>
  <si>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</si>
  <si>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</si>
  <si>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</si>
  <si>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</si>
  <si>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</si>
  <si>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</si>
  <si>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</si>
  <si>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</si>
  <si>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</si>
  <si>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</si>
  <si>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</si>
  <si>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</si>
  <si>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</si>
  <si>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</si>
  <si>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</si>
  <si>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</si>
  <si>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</si>
  <si>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</si>
  <si>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</si>
  <si>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</si>
  <si>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</si>
  <si>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</si>
  <si>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</si>
  <si>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</si>
  <si>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</si>
  <si>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</si>
  <si>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</si>
  <si>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</si>
  <si>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</si>
  <si>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</si>
  <si>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1513.HK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</si>
  <si>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</si>
  <si>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</si>
  <si>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</si>
  <si>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</si>
  <si>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</si>
  <si>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</si>
  <si>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</si>
  <si>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</si>
  <si>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</si>
  <si>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</si>
  <si>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</si>
  <si>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</si>
  <si>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</si>
  <si>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</si>
  <si>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</si>
  <si>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</si>
  <si>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</si>
  <si>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</si>
  <si>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</si>
  <si>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</si>
  <si>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</si>
  <si>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</si>
  <si>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</si>
  <si>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</si>
  <si>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</si>
  <si>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</si>
  <si>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</si>
  <si>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</si>
  <si>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</si>
  <si>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</si>
  <si>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1513.HK owner-FCF component DCF: base case (millions, CNY)</t>
  </si>
  <si>
    <t xml:space="preserve">1513.HK owner-FCF component DCF: bull case (millions, CNY)</t>
  </si>
  <si>
    <t xml:space="preserve">1513.HK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</si>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</sst>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21.26</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row>
    <row r="2" customFormat="false" ht="15" hidden="false" customHeight="false" outlineLevel="0" collapsed="false">
      <c r="A2" s="0" t="s">
        <v>65</v>
      </c>
      <c r="B2" s="0" t="n">
        <v>8860.66</v>
      </c>
      <c r="C2" s="0" t="n">
        <v>3359.66</v>
      </c>
      <c r="D2" s="0" t="n">
        <v>5501</v>
      </c>
      <c r="E2" s="0" t="n">
        <v>62.1</v>
      </c>
      <c r="F2" s="0" t="n">
        <v>1274.5</v>
      </c>
      <c r="G2" s="0" t="n">
        <v>14.4</v>
      </c>
      <c r="I2" s="0" t="n">
        <v>1082.17</v>
      </c>
      <c r="J2" s="0" t="n">
        <v>12.2</v>
      </c>
      <c r="K2" s="0" t="n">
        <v>1.16</v>
      </c>
      <c r="L2" s="0" t="n">
        <v>1267.62</v>
      </c>
      <c r="M2" s="0" t="n">
        <v>474.47</v>
      </c>
      <c r="N2" s="0" t="n">
        <v>793.15</v>
      </c>
      <c r="O2" s="0" t="n">
        <v>10651.98</v>
      </c>
      <c r="P2" s="0" t="n">
        <v>17437.35</v>
      </c>
      <c r="Q2" s="0" t="n">
        <v>5687.47</v>
      </c>
      <c r="R2" s="0" t="n">
        <v>1500.7</v>
      </c>
      <c r="S2" s="0" t="n">
        <v>8587.93</v>
      </c>
      <c r="AA2" s="0" t="s">
        <v>18</v>
      </c>
      <c r="AB2" s="0" t="s">
        <v>14</v>
      </c>
      <c r="AC2" s="0" t="n">
        <v>548.97</v>
      </c>
    </row>
    <row r="3" customFormat="false" ht="15" hidden="false" customHeight="false" outlineLevel="0" collapsed="false">
      <c r="A3" s="0" t="s">
        <v>66</v>
      </c>
      <c r="B3" s="0" t="n">
        <v>9384.7</v>
      </c>
      <c r="C3" s="0" t="n">
        <v>3391.73</v>
      </c>
      <c r="D3" s="0" t="n">
        <v>5992.97</v>
      </c>
      <c r="E3" s="0" t="n">
        <v>63.9</v>
      </c>
      <c r="F3" s="0" t="n">
        <v>1729.85</v>
      </c>
      <c r="G3" s="0" t="n">
        <v>18.4</v>
      </c>
      <c r="I3" s="0" t="n">
        <v>1302.88</v>
      </c>
      <c r="J3" s="0" t="n">
        <v>13.9</v>
      </c>
      <c r="K3" s="0" t="n">
        <v>1.39</v>
      </c>
      <c r="L3" s="0" t="n">
        <v>1767.16</v>
      </c>
      <c r="M3" s="0" t="n">
        <v>398</v>
      </c>
      <c r="N3" s="0" t="n">
        <v>1369.16</v>
      </c>
      <c r="O3" s="0" t="n">
        <v>11166.75</v>
      </c>
      <c r="P3" s="0" t="n">
        <v>17976.46</v>
      </c>
      <c r="Q3" s="0" t="n">
        <v>5701.23</v>
      </c>
      <c r="R3" s="0" t="n">
        <v>1360.84</v>
      </c>
      <c r="S3" s="0" t="n">
        <v>8855.41</v>
      </c>
      <c r="T3" s="0" t="n">
        <v>934.76</v>
      </c>
      <c r="AA3" s="0" t="s">
        <v>18</v>
      </c>
      <c r="AB3" s="0" t="s">
        <v>14</v>
      </c>
      <c r="AC3" s="0" t="n">
        <v>732.89</v>
      </c>
    </row>
    <row r="4" customFormat="false" ht="15" hidden="false" customHeight="false" outlineLevel="0" collapsed="false">
      <c r="A4" s="0" t="s">
        <v>67</v>
      </c>
      <c r="B4" s="0" t="n">
        <v>10520.41</v>
      </c>
      <c r="C4" s="0" t="n">
        <v>3673.71</v>
      </c>
      <c r="D4" s="0" t="n">
        <v>6846.7</v>
      </c>
      <c r="E4" s="0" t="n">
        <v>65.1</v>
      </c>
      <c r="F4" s="0" t="n">
        <v>2500.45</v>
      </c>
      <c r="G4" s="0" t="n">
        <v>23.8</v>
      </c>
      <c r="I4" s="0" t="n">
        <v>1715</v>
      </c>
      <c r="J4" s="0" t="n">
        <v>16.3</v>
      </c>
      <c r="K4" s="0" t="n">
        <v>1.83</v>
      </c>
      <c r="L4" s="0" t="n">
        <v>2160.76</v>
      </c>
      <c r="M4" s="0" t="n">
        <v>646.98</v>
      </c>
      <c r="N4" s="0" t="n">
        <v>1513.78</v>
      </c>
      <c r="O4" s="0" t="n">
        <v>12107.33</v>
      </c>
      <c r="P4" s="0" t="n">
        <v>20593.61</v>
      </c>
      <c r="Q4" s="0" t="n">
        <v>6953.48</v>
      </c>
      <c r="R4" s="0" t="n">
        <v>1919.8</v>
      </c>
      <c r="S4" s="0" t="n">
        <v>9953.75</v>
      </c>
      <c r="T4" s="0" t="n">
        <v>938.57</v>
      </c>
      <c r="AA4" s="0" t="s">
        <v>18</v>
      </c>
      <c r="AB4" s="0" t="s">
        <v>14</v>
      </c>
      <c r="AC4" s="0" t="n">
        <v>884.1</v>
      </c>
    </row>
    <row r="5" customFormat="false" ht="15" hidden="false" customHeight="false" outlineLevel="0" collapsed="false">
      <c r="A5" s="0" t="s">
        <v>68</v>
      </c>
      <c r="B5" s="0" t="n">
        <v>12063.86</v>
      </c>
      <c r="C5" s="0" t="n">
        <v>4253.09</v>
      </c>
      <c r="D5" s="0" t="n">
        <v>7810.77</v>
      </c>
      <c r="E5" s="0" t="n">
        <v>64.7</v>
      </c>
      <c r="F5" s="0" t="n">
        <v>2266.99</v>
      </c>
      <c r="G5" s="0" t="n">
        <v>18.8</v>
      </c>
      <c r="I5" s="0" t="n">
        <v>1775.63</v>
      </c>
      <c r="J5" s="0" t="n">
        <v>14.7</v>
      </c>
      <c r="K5" s="0" t="n">
        <v>1.9</v>
      </c>
      <c r="L5" s="0" t="n">
        <v>1902.33</v>
      </c>
      <c r="M5" s="0" t="n">
        <v>1309.1</v>
      </c>
      <c r="N5" s="0" t="n">
        <v>593.23</v>
      </c>
      <c r="O5" s="0" t="n">
        <v>13003.8</v>
      </c>
      <c r="P5" s="0" t="n">
        <v>22374.1</v>
      </c>
      <c r="Q5" s="0" t="n">
        <v>8063.08</v>
      </c>
      <c r="R5" s="0" t="n">
        <v>2689.11</v>
      </c>
      <c r="S5" s="0" t="n">
        <v>9146.37</v>
      </c>
      <c r="T5" s="0" t="n">
        <v>936.24</v>
      </c>
      <c r="AA5" s="0" t="s">
        <v>18</v>
      </c>
      <c r="AB5" s="0" t="s">
        <v>14</v>
      </c>
      <c r="AC5" s="0" t="n">
        <v>1145.7</v>
      </c>
    </row>
    <row r="6" customFormat="false" ht="15" hidden="false" customHeight="false" outlineLevel="0" collapsed="false">
      <c r="A6" s="0" t="s">
        <v>69</v>
      </c>
      <c r="B6" s="0" t="n">
        <v>12629.58</v>
      </c>
      <c r="C6" s="0" t="n">
        <v>4461.28</v>
      </c>
      <c r="D6" s="0" t="n">
        <v>8168.3</v>
      </c>
      <c r="E6" s="0" t="n">
        <v>64.7</v>
      </c>
      <c r="F6" s="0" t="n">
        <v>2350.56</v>
      </c>
      <c r="G6" s="0" t="n">
        <v>18.6</v>
      </c>
      <c r="I6" s="0" t="n">
        <v>1909.41</v>
      </c>
      <c r="J6" s="0" t="n">
        <v>15.1</v>
      </c>
      <c r="K6" s="0" t="n">
        <v>2.04</v>
      </c>
      <c r="L6" s="0" t="n">
        <v>2772.67</v>
      </c>
      <c r="M6" s="0" t="n">
        <v>940.15</v>
      </c>
      <c r="N6" s="0" t="n">
        <v>1832.52</v>
      </c>
      <c r="O6" s="0" t="n">
        <v>13876.07</v>
      </c>
      <c r="P6" s="0" t="n">
        <v>24868.17</v>
      </c>
      <c r="Q6" s="0" t="n">
        <v>9931.89</v>
      </c>
      <c r="R6" s="0" t="n">
        <v>3607.12</v>
      </c>
      <c r="S6" s="0" t="n">
        <v>10411.35</v>
      </c>
      <c r="T6" s="0" t="n">
        <v>935.89</v>
      </c>
      <c r="AA6" s="0" t="s">
        <v>18</v>
      </c>
      <c r="AB6" s="0" t="s">
        <v>14</v>
      </c>
      <c r="AC6" s="0" t="n">
        <v>1426.52</v>
      </c>
    </row>
    <row r="7" customFormat="false" ht="15" hidden="false" customHeight="false" outlineLevel="0" collapsed="false">
      <c r="A7" s="0" t="s">
        <v>70</v>
      </c>
      <c r="B7" s="0" t="n">
        <v>12430.04</v>
      </c>
      <c r="C7" s="0" t="n">
        <v>4465.47</v>
      </c>
      <c r="D7" s="0" t="n">
        <v>7964.57</v>
      </c>
      <c r="E7" s="0" t="n">
        <v>64.1</v>
      </c>
      <c r="F7" s="0" t="n">
        <v>2415.11</v>
      </c>
      <c r="G7" s="0" t="n">
        <v>19.4</v>
      </c>
      <c r="I7" s="0" t="n">
        <v>1953.65</v>
      </c>
      <c r="J7" s="0" t="n">
        <v>15.7</v>
      </c>
      <c r="K7" s="0" t="n">
        <v>2.1</v>
      </c>
      <c r="L7" s="0" t="n">
        <v>3248.93</v>
      </c>
      <c r="M7" s="0" t="n">
        <v>820.45</v>
      </c>
      <c r="N7" s="0" t="n">
        <v>2428.48</v>
      </c>
      <c r="O7" s="0" t="n">
        <v>14042.5</v>
      </c>
      <c r="P7" s="0" t="n">
        <v>25044.83</v>
      </c>
      <c r="Q7" s="0" t="n">
        <v>10278.12</v>
      </c>
      <c r="R7" s="0" t="n">
        <v>4132.46</v>
      </c>
      <c r="S7" s="0" t="n">
        <v>11325.72</v>
      </c>
      <c r="T7" s="0" t="n">
        <v>930.61</v>
      </c>
      <c r="AA7" s="0" t="s">
        <v>18</v>
      </c>
      <c r="AB7" s="0" t="s">
        <v>14</v>
      </c>
      <c r="AC7" s="0" t="n">
        <v>1334.7</v>
      </c>
    </row>
    <row r="8" customFormat="false" ht="15" hidden="false" customHeight="false" outlineLevel="0" collapsed="false">
      <c r="A8" s="0" t="s">
        <v>71</v>
      </c>
      <c r="B8" s="0" t="n">
        <v>11812.34</v>
      </c>
      <c r="C8" s="0" t="n">
        <v>4081.11</v>
      </c>
      <c r="D8" s="0" t="n">
        <v>7731.23</v>
      </c>
      <c r="E8" s="0" t="n">
        <v>65.5</v>
      </c>
      <c r="F8" s="0" t="n">
        <v>2844.4</v>
      </c>
      <c r="G8" s="0" t="n">
        <v>24.1</v>
      </c>
      <c r="I8" s="0" t="n">
        <v>2061.1</v>
      </c>
      <c r="J8" s="0" t="n">
        <v>17.4</v>
      </c>
      <c r="K8" s="0" t="n">
        <v>2.24</v>
      </c>
      <c r="L8" s="0" t="n">
        <v>2978.85</v>
      </c>
      <c r="M8" s="0" t="n">
        <v>570.16</v>
      </c>
      <c r="N8" s="0" t="n">
        <v>2408.69</v>
      </c>
      <c r="O8" s="0" t="n">
        <v>13862.33</v>
      </c>
      <c r="P8" s="0" t="n">
        <v>24455.83</v>
      </c>
      <c r="Q8" s="0" t="n">
        <v>9550.08</v>
      </c>
      <c r="R8" s="0" t="n">
        <v>3969.48</v>
      </c>
      <c r="S8" s="0" t="n">
        <v>10827.15</v>
      </c>
      <c r="T8" s="0" t="n">
        <v>920.35</v>
      </c>
      <c r="AA8" s="0" t="s">
        <v>18</v>
      </c>
      <c r="AB8" s="0" t="s">
        <v>14</v>
      </c>
      <c r="AC8" s="0" t="n">
        <v>1033.36</v>
      </c>
    </row>
    <row r="9" customFormat="false" ht="15" hidden="false" customHeight="false" outlineLevel="0" collapsed="false">
      <c r="A9" s="0" t="s">
        <v>72</v>
      </c>
      <c r="B9" s="0" t="n">
        <v>12020.35</v>
      </c>
      <c r="C9" s="0" t="n">
        <v>4099.3</v>
      </c>
      <c r="D9" s="0" t="n">
        <v>7921.05</v>
      </c>
      <c r="E9" s="0" t="n">
        <v>65.9</v>
      </c>
      <c r="F9" s="0" t="n">
        <v>2946.12</v>
      </c>
      <c r="G9" s="0" t="n">
        <v>24.5</v>
      </c>
      <c r="I9" s="0" t="n">
        <v>2023.25</v>
      </c>
      <c r="J9" s="0" t="n">
        <v>16.8</v>
      </c>
      <c r="K9" s="0" t="n">
        <v>2.27</v>
      </c>
      <c r="L9" s="0" t="n">
        <v>3145.04</v>
      </c>
      <c r="M9" s="0" t="n">
        <v>574.14</v>
      </c>
      <c r="N9" s="0" t="n">
        <v>2570.9</v>
      </c>
      <c r="O9" s="0" t="n">
        <v>13888.35</v>
      </c>
      <c r="P9" s="0" t="n">
        <v>23985.47</v>
      </c>
      <c r="Q9" s="0" t="n">
        <v>8438.37</v>
      </c>
      <c r="R9" s="0" t="n">
        <v>3042.58</v>
      </c>
      <c r="S9" s="0" t="n">
        <v>9305.38</v>
      </c>
      <c r="T9" s="0" t="n">
        <v>893.1</v>
      </c>
      <c r="AA9" s="0" t="s">
        <v>18</v>
      </c>
      <c r="AB9" s="0" t="s">
        <v>14</v>
      </c>
      <c r="AC9" s="0" t="n">
        <v>937.95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73</v>
      </c>
      <c r="B1" s="2" t="s">
        <v>74</v>
      </c>
    </row>
    <row r="2" customFormat="false" ht="15" hidden="false" customHeight="false" outlineLevel="0" collapsed="false">
      <c r="A2" s="0" t="s">
        <v>75</v>
      </c>
      <c r="B2" s="3" t="n">
        <v>21.26</v>
      </c>
    </row>
    <row r="3" customFormat="false" ht="15" hidden="false" customHeight="false" outlineLevel="0" collapsed="false">
      <c r="A3" s="0" t="s">
        <v>76</v>
      </c>
      <c r="B3" s="3" t="n">
        <v>887.907</v>
      </c>
    </row>
    <row r="4" customFormat="false" ht="15" hidden="false" customHeight="false" outlineLevel="0" collapsed="false">
      <c r="A4" s="0" t="s">
        <v>77</v>
      </c>
      <c r="B4" s="3" t="n">
        <v>-3984.7</v>
      </c>
    </row>
    <row r="5" customFormat="false" ht="15" hidden="false" customHeight="false" outlineLevel="0" collapsed="false">
      <c r="A5" s="0" t="s">
        <v>78</v>
      </c>
      <c r="B5" s="3" t="n">
        <v>2637.4</v>
      </c>
    </row>
    <row r="6" customFormat="false" ht="15" hidden="false" customHeight="false" outlineLevel="0" collapsed="false">
      <c r="A6" s="0" t="s">
        <v>79</v>
      </c>
      <c r="B6" s="3" t="n">
        <v>15</v>
      </c>
    </row>
    <row r="7" customFormat="false" ht="15" hidden="false" customHeight="false" outlineLevel="0" collapsed="false">
      <c r="A7" s="0" t="s">
        <v>80</v>
      </c>
      <c r="B7" s="3" t="n">
        <v>12020.35</v>
      </c>
    </row>
    <row r="8" customFormat="false" ht="15" hidden="false" customHeight="false" outlineLevel="0" collapsed="false">
      <c r="A8" s="0" t="s">
        <v>81</v>
      </c>
      <c r="B8" s="3" t="s">
        <v>72</v>
      </c>
    </row>
    <row r="9" customFormat="false" ht="15" hidden="false" customHeight="false" outlineLevel="0" collapsed="false">
      <c r="A9" s="0" t="s">
        <v>82</v>
      </c>
      <c r="B9" s="3" t="s">
        <v>83</v>
      </c>
    </row>
    <row r="10" customFormat="false" ht="15" hidden="false" customHeight="false" outlineLevel="0" collapsed="false">
      <c r="A10" s="0" t="s">
        <v>84</v>
      </c>
      <c r="B10" s="3" t="n">
        <v>1.1726</v>
      </c>
    </row>
    <row r="12" customFormat="false" ht="15" hidden="false" customHeight="false" outlineLevel="0" collapsed="false">
      <c r="A12" s="2" t="s">
        <v>85</v>
      </c>
      <c r="C12" s="2" t="s">
        <v>86</v>
      </c>
      <c r="D12" s="2" t="s">
        <v>87</v>
      </c>
      <c r="E12" s="2" t="s">
        <v>88</v>
      </c>
      <c r="F12" s="2" t="s">
        <v>89</v>
      </c>
      <c r="G12" s="2" t="s">
        <v>90</v>
      </c>
      <c r="H12" s="2" t="s">
        <v>91</v>
      </c>
      <c r="I12" s="2" t="s">
        <v>92</v>
      </c>
      <c r="J12" s="2" t="s">
        <v>93</v>
      </c>
      <c r="K12" s="2" t="s">
        <v>94</v>
      </c>
      <c r="L12" s="2" t="s">
        <v>95</v>
      </c>
    </row>
    <row r="13" customFormat="false" ht="15" hidden="false" customHeight="false" outlineLevel="0" collapsed="false">
      <c r="A13" s="0" t="s">
        <v>96</v>
      </c>
      <c r="C13" s="3" t="n">
        <v>-18</v>
      </c>
      <c r="D13" s="3" t="n">
        <v>-8</v>
      </c>
      <c r="E13" s="3" t="n">
        <v>-5</v>
      </c>
      <c r="F13" s="3" t="n">
        <v>-3</v>
      </c>
      <c r="G13" s="3" t="n">
        <v>-1</v>
      </c>
      <c r="H13" s="3" t="n">
        <v>0</v>
      </c>
      <c r="I13" s="3" t="n">
        <v>1</v>
      </c>
      <c r="J13" s="3" t="n">
        <v>1</v>
      </c>
      <c r="K13" s="3" t="n">
        <v>1.5</v>
      </c>
      <c r="L13" s="3" t="n">
        <v>1.5</v>
      </c>
    </row>
    <row r="14" customFormat="false" ht="15" hidden="false" customHeight="false" outlineLevel="0" collapsed="false">
      <c r="A14" s="0" t="s">
        <v>97</v>
      </c>
      <c r="C14" s="3" t="n">
        <v>25</v>
      </c>
      <c r="D14" s="3" t="n">
        <v>23.5</v>
      </c>
      <c r="E14" s="3" t="n">
        <v>22</v>
      </c>
      <c r="F14" s="3" t="n">
        <v>21</v>
      </c>
      <c r="G14" s="3" t="n">
        <v>20.5</v>
      </c>
      <c r="H14" s="3" t="n">
        <v>20</v>
      </c>
      <c r="I14" s="3" t="n">
        <v>20</v>
      </c>
      <c r="J14" s="3" t="n">
        <v>20</v>
      </c>
      <c r="K14" s="3" t="n">
        <v>20</v>
      </c>
      <c r="L14" s="3" t="n">
        <v>20</v>
      </c>
    </row>
    <row r="15" customFormat="false" ht="15" hidden="false" customHeight="false" outlineLevel="0" collapsed="false">
      <c r="A15" s="0" t="s">
        <v>98</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99</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100</v>
      </c>
      <c r="C17" s="3" t="n">
        <v>6</v>
      </c>
      <c r="D17" s="3" t="n">
        <v>6</v>
      </c>
      <c r="E17" s="3" t="n">
        <v>5.8</v>
      </c>
      <c r="F17" s="3" t="n">
        <v>5.6</v>
      </c>
      <c r="G17" s="3" t="n">
        <v>5.5</v>
      </c>
      <c r="H17" s="3" t="n">
        <v>5.5</v>
      </c>
      <c r="I17" s="3" t="n">
        <v>5.5</v>
      </c>
      <c r="J17" s="3" t="n">
        <v>5.5</v>
      </c>
      <c r="K17" s="3" t="n">
        <v>5.5</v>
      </c>
      <c r="L17" s="3" t="n">
        <v>5.5</v>
      </c>
    </row>
    <row r="18" customFormat="false" ht="15" hidden="false" customHeight="false" outlineLevel="0" collapsed="false">
      <c r="A18" s="0" t="s">
        <v>101</v>
      </c>
      <c r="C18" s="3" t="n">
        <v>4.5</v>
      </c>
      <c r="D18" s="3" t="n">
        <v>4.5</v>
      </c>
      <c r="E18" s="3" t="n">
        <v>4.5</v>
      </c>
      <c r="F18" s="3" t="n">
        <v>4.5</v>
      </c>
      <c r="G18" s="3" t="n">
        <v>4.5</v>
      </c>
      <c r="H18" s="3" t="n">
        <v>4.5</v>
      </c>
      <c r="I18" s="3" t="n">
        <v>4.5</v>
      </c>
      <c r="J18" s="3" t="n">
        <v>4.5</v>
      </c>
      <c r="K18" s="3" t="n">
        <v>4.5</v>
      </c>
      <c r="L18" s="3" t="n">
        <v>4.5</v>
      </c>
    </row>
    <row r="19" customFormat="false" ht="15" hidden="false" customHeight="false" outlineLevel="0" collapsed="false">
      <c r="A19" s="0" t="s">
        <v>102</v>
      </c>
      <c r="C19" s="3" t="n">
        <v>32</v>
      </c>
      <c r="D19" s="3" t="n">
        <v>32</v>
      </c>
      <c r="E19" s="3" t="n">
        <v>32</v>
      </c>
      <c r="F19" s="3" t="n">
        <v>32</v>
      </c>
      <c r="G19" s="3" t="n">
        <v>32</v>
      </c>
      <c r="H19" s="3" t="n">
        <v>32</v>
      </c>
      <c r="I19" s="3" t="n">
        <v>32</v>
      </c>
      <c r="J19" s="3" t="n">
        <v>32</v>
      </c>
      <c r="K19" s="3" t="n">
        <v>32</v>
      </c>
      <c r="L19" s="3" t="n">
        <v>32</v>
      </c>
    </row>
    <row r="20" customFormat="false" ht="15" hidden="false" customHeight="false" outlineLevel="0" collapsed="false">
      <c r="A20" s="0" t="s">
        <v>103</v>
      </c>
      <c r="B20" s="3" t="n">
        <v>9</v>
      </c>
    </row>
    <row r="21" customFormat="false" ht="15" hidden="false" customHeight="false" outlineLevel="0" collapsed="false">
      <c r="A21" s="0" t="s">
        <v>104</v>
      </c>
      <c r="B21" s="3" t="n">
        <v>1.5</v>
      </c>
    </row>
    <row r="22" customFormat="false" ht="15" hidden="false" customHeight="false" outlineLevel="0" collapsed="false">
      <c r="A22" s="0" t="s">
        <v>105</v>
      </c>
      <c r="B22" s="3" t="n">
        <v>10</v>
      </c>
    </row>
    <row r="23" customFormat="false" ht="15" hidden="false" customHeight="false" outlineLevel="0" collapsed="false">
      <c r="A23" s="0" t="s">
        <v>106</v>
      </c>
      <c r="B23" s="3" t="n">
        <v>-15</v>
      </c>
    </row>
    <row r="24" customFormat="false" ht="15" hidden="false" customHeight="false" outlineLevel="0" collapsed="false">
      <c r="A24" s="0" t="s">
        <v>107</v>
      </c>
      <c r="B24" s="3" t="n">
        <v>0.25</v>
      </c>
    </row>
    <row r="26" customFormat="false" ht="15" hidden="false" customHeight="false" outlineLevel="0" collapsed="false">
      <c r="A26" s="2" t="s">
        <v>108</v>
      </c>
      <c r="C26" s="2" t="s">
        <v>86</v>
      </c>
      <c r="D26" s="2" t="s">
        <v>87</v>
      </c>
      <c r="E26" s="2" t="s">
        <v>88</v>
      </c>
      <c r="F26" s="2" t="s">
        <v>89</v>
      </c>
      <c r="G26" s="2" t="s">
        <v>90</v>
      </c>
      <c r="H26" s="2" t="s">
        <v>91</v>
      </c>
      <c r="I26" s="2" t="s">
        <v>92</v>
      </c>
      <c r="J26" s="2" t="s">
        <v>93</v>
      </c>
      <c r="K26" s="2" t="s">
        <v>94</v>
      </c>
      <c r="L26" s="2" t="s">
        <v>95</v>
      </c>
    </row>
    <row r="27" customFormat="false" ht="15" hidden="false" customHeight="false" outlineLevel="0" collapsed="false">
      <c r="A27" s="0" t="s">
        <v>96</v>
      </c>
      <c r="C27" s="3" t="n">
        <v>-15</v>
      </c>
      <c r="D27" s="3" t="n">
        <v>2</v>
      </c>
      <c r="E27" s="3" t="n">
        <v>4</v>
      </c>
      <c r="F27" s="3" t="n">
        <v>4.5</v>
      </c>
      <c r="G27" s="3" t="n">
        <v>4</v>
      </c>
      <c r="H27" s="3" t="n">
        <v>3.5</v>
      </c>
      <c r="I27" s="3" t="n">
        <v>3</v>
      </c>
      <c r="J27" s="3" t="n">
        <v>3</v>
      </c>
      <c r="K27" s="3" t="n">
        <v>2.5</v>
      </c>
      <c r="L27" s="3" t="n">
        <v>2.5</v>
      </c>
    </row>
    <row r="28" customFormat="false" ht="15" hidden="false" customHeight="false" outlineLevel="0" collapsed="false">
      <c r="A28" s="0" t="s">
        <v>97</v>
      </c>
      <c r="C28" s="3" t="n">
        <v>26.5</v>
      </c>
      <c r="D28" s="3" t="n">
        <v>26.5</v>
      </c>
      <c r="E28" s="3" t="n">
        <v>26.8</v>
      </c>
      <c r="F28" s="3" t="n">
        <v>27</v>
      </c>
      <c r="G28" s="3" t="n">
        <v>27.2</v>
      </c>
      <c r="H28" s="3" t="n">
        <v>27.5</v>
      </c>
      <c r="I28" s="3" t="n">
        <v>27.5</v>
      </c>
      <c r="J28" s="3" t="n">
        <v>27.5</v>
      </c>
      <c r="K28" s="3" t="n">
        <v>27.5</v>
      </c>
      <c r="L28" s="3" t="n">
        <v>27.5</v>
      </c>
    </row>
    <row r="29" customFormat="false" ht="15" hidden="false" customHeight="false" outlineLevel="0" collapsed="false">
      <c r="A29" s="0" t="s">
        <v>98</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99</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100</v>
      </c>
      <c r="C31" s="3" t="n">
        <v>5.8</v>
      </c>
      <c r="D31" s="3" t="n">
        <v>5.7</v>
      </c>
      <c r="E31" s="3" t="n">
        <v>5.6</v>
      </c>
      <c r="F31" s="3" t="n">
        <v>5.5</v>
      </c>
      <c r="G31" s="3" t="n">
        <v>5.5</v>
      </c>
      <c r="H31" s="3" t="n">
        <v>5.5</v>
      </c>
      <c r="I31" s="3" t="n">
        <v>5.5</v>
      </c>
      <c r="J31" s="3" t="n">
        <v>5.5</v>
      </c>
      <c r="K31" s="3" t="n">
        <v>5.5</v>
      </c>
      <c r="L31" s="3" t="n">
        <v>5.5</v>
      </c>
    </row>
    <row r="32" customFormat="false" ht="15" hidden="false" customHeight="false" outlineLevel="0" collapsed="false">
      <c r="A32" s="0" t="s">
        <v>101</v>
      </c>
      <c r="C32" s="3" t="n">
        <v>5</v>
      </c>
      <c r="D32" s="3" t="n">
        <v>5.5</v>
      </c>
      <c r="E32" s="3" t="n">
        <v>5.5</v>
      </c>
      <c r="F32" s="3" t="n">
        <v>5.5</v>
      </c>
      <c r="G32" s="3" t="n">
        <v>5.5</v>
      </c>
      <c r="H32" s="3" t="n">
        <v>5.5</v>
      </c>
      <c r="I32" s="3" t="n">
        <v>5.5</v>
      </c>
      <c r="J32" s="3" t="n">
        <v>5.5</v>
      </c>
      <c r="K32" s="3" t="n">
        <v>5.5</v>
      </c>
      <c r="L32" s="3" t="n">
        <v>5.5</v>
      </c>
    </row>
    <row r="33" customFormat="false" ht="15" hidden="false" customHeight="false" outlineLevel="0" collapsed="false">
      <c r="A33" s="0" t="s">
        <v>102</v>
      </c>
      <c r="C33" s="3" t="n">
        <v>30</v>
      </c>
      <c r="D33" s="3" t="n">
        <v>30</v>
      </c>
      <c r="E33" s="3" t="n">
        <v>30</v>
      </c>
      <c r="F33" s="3" t="n">
        <v>30</v>
      </c>
      <c r="G33" s="3" t="n">
        <v>30</v>
      </c>
      <c r="H33" s="3" t="n">
        <v>30</v>
      </c>
      <c r="I33" s="3" t="n">
        <v>30</v>
      </c>
      <c r="J33" s="3" t="n">
        <v>30</v>
      </c>
      <c r="K33" s="3" t="n">
        <v>30</v>
      </c>
      <c r="L33" s="3" t="n">
        <v>30</v>
      </c>
    </row>
    <row r="34" customFormat="false" ht="15" hidden="false" customHeight="false" outlineLevel="0" collapsed="false">
      <c r="A34" s="0" t="s">
        <v>103</v>
      </c>
      <c r="B34" s="3" t="n">
        <v>9</v>
      </c>
    </row>
    <row r="35" customFormat="false" ht="15" hidden="false" customHeight="false" outlineLevel="0" collapsed="false">
      <c r="A35" s="0" t="s">
        <v>104</v>
      </c>
      <c r="B35" s="3" t="n">
        <v>2.5</v>
      </c>
    </row>
    <row r="36" customFormat="false" ht="15" hidden="false" customHeight="false" outlineLevel="0" collapsed="false">
      <c r="A36" s="0" t="s">
        <v>105</v>
      </c>
      <c r="B36" s="3" t="n">
        <v>13</v>
      </c>
    </row>
    <row r="37" customFormat="false" ht="15" hidden="false" customHeight="false" outlineLevel="0" collapsed="false">
      <c r="A37" s="0" t="s">
        <v>106</v>
      </c>
      <c r="B37" s="3" t="n">
        <v>-15</v>
      </c>
    </row>
    <row r="38" customFormat="false" ht="15" hidden="false" customHeight="false" outlineLevel="0" collapsed="false">
      <c r="A38" s="0" t="s">
        <v>107</v>
      </c>
      <c r="B38" s="3" t="n">
        <v>0.5</v>
      </c>
    </row>
    <row r="40" customFormat="false" ht="15" hidden="false" customHeight="false" outlineLevel="0" collapsed="false">
      <c r="A40" s="2" t="s">
        <v>109</v>
      </c>
      <c r="C40" s="2" t="s">
        <v>86</v>
      </c>
      <c r="D40" s="2" t="s">
        <v>87</v>
      </c>
      <c r="E40" s="2" t="s">
        <v>88</v>
      </c>
      <c r="F40" s="2" t="s">
        <v>89</v>
      </c>
      <c r="G40" s="2" t="s">
        <v>90</v>
      </c>
      <c r="H40" s="2" t="s">
        <v>91</v>
      </c>
      <c r="I40" s="2" t="s">
        <v>92</v>
      </c>
      <c r="J40" s="2" t="s">
        <v>93</v>
      </c>
      <c r="K40" s="2" t="s">
        <v>94</v>
      </c>
      <c r="L40" s="2" t="s">
        <v>95</v>
      </c>
    </row>
    <row r="41" customFormat="false" ht="15" hidden="false" customHeight="false" outlineLevel="0" collapsed="false">
      <c r="A41" s="0" t="s">
        <v>96</v>
      </c>
      <c r="C41" s="3" t="n">
        <v>-13</v>
      </c>
      <c r="D41" s="3" t="n">
        <v>6</v>
      </c>
      <c r="E41" s="3" t="n">
        <v>8</v>
      </c>
      <c r="F41" s="3" t="n">
        <v>8</v>
      </c>
      <c r="G41" s="3" t="n">
        <v>7</v>
      </c>
      <c r="H41" s="3" t="n">
        <v>6</v>
      </c>
      <c r="I41" s="3" t="n">
        <v>5</v>
      </c>
      <c r="J41" s="3" t="n">
        <v>4</v>
      </c>
      <c r="K41" s="3" t="n">
        <v>3.5</v>
      </c>
      <c r="L41" s="3" t="n">
        <v>3</v>
      </c>
    </row>
    <row r="42" customFormat="false" ht="15" hidden="false" customHeight="false" outlineLevel="0" collapsed="false">
      <c r="A42" s="0" t="s">
        <v>97</v>
      </c>
      <c r="C42" s="3" t="n">
        <v>27</v>
      </c>
      <c r="D42" s="3" t="n">
        <v>27.5</v>
      </c>
      <c r="E42" s="3" t="n">
        <v>28</v>
      </c>
      <c r="F42" s="3" t="n">
        <v>28.5</v>
      </c>
      <c r="G42" s="3" t="n">
        <v>29</v>
      </c>
      <c r="H42" s="3" t="n">
        <v>29.5</v>
      </c>
      <c r="I42" s="3" t="n">
        <v>29.5</v>
      </c>
      <c r="J42" s="3" t="n">
        <v>29.5</v>
      </c>
      <c r="K42" s="3" t="n">
        <v>29.5</v>
      </c>
      <c r="L42" s="3" t="n">
        <v>29.5</v>
      </c>
    </row>
    <row r="43" customFormat="false" ht="15" hidden="false" customHeight="false" outlineLevel="0" collapsed="false">
      <c r="A43" s="0" t="s">
        <v>98</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99</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100</v>
      </c>
      <c r="C45" s="3" t="n">
        <v>5.8</v>
      </c>
      <c r="D45" s="3" t="n">
        <v>5.7</v>
      </c>
      <c r="E45" s="3" t="n">
        <v>5.6</v>
      </c>
      <c r="F45" s="3" t="n">
        <v>5.5</v>
      </c>
      <c r="G45" s="3" t="n">
        <v>5.5</v>
      </c>
      <c r="H45" s="3" t="n">
        <v>5.5</v>
      </c>
      <c r="I45" s="3" t="n">
        <v>5.5</v>
      </c>
      <c r="J45" s="3" t="n">
        <v>5.5</v>
      </c>
      <c r="K45" s="3" t="n">
        <v>5.5</v>
      </c>
      <c r="L45" s="3" t="n">
        <v>5.5</v>
      </c>
    </row>
    <row r="46" customFormat="false" ht="15" hidden="false" customHeight="false" outlineLevel="0" collapsed="false">
      <c r="A46" s="0" t="s">
        <v>101</v>
      </c>
      <c r="C46" s="3" t="n">
        <v>5.5</v>
      </c>
      <c r="D46" s="3" t="n">
        <v>6</v>
      </c>
      <c r="E46" s="3" t="n">
        <v>6</v>
      </c>
      <c r="F46" s="3" t="n">
        <v>6</v>
      </c>
      <c r="G46" s="3" t="n">
        <v>5.5</v>
      </c>
      <c r="H46" s="3" t="n">
        <v>5.5</v>
      </c>
      <c r="I46" s="3" t="n">
        <v>5.5</v>
      </c>
      <c r="J46" s="3" t="n">
        <v>5.5</v>
      </c>
      <c r="K46" s="3" t="n">
        <v>5.5</v>
      </c>
      <c r="L46" s="3" t="n">
        <v>5.5</v>
      </c>
    </row>
    <row r="47" customFormat="false" ht="15" hidden="false" customHeight="false" outlineLevel="0" collapsed="false">
      <c r="A47" s="0" t="s">
        <v>102</v>
      </c>
      <c r="C47" s="3" t="n">
        <v>29</v>
      </c>
      <c r="D47" s="3" t="n">
        <v>29</v>
      </c>
      <c r="E47" s="3" t="n">
        <v>29</v>
      </c>
      <c r="F47" s="3" t="n">
        <v>29</v>
      </c>
      <c r="G47" s="3" t="n">
        <v>29</v>
      </c>
      <c r="H47" s="3" t="n">
        <v>29</v>
      </c>
      <c r="I47" s="3" t="n">
        <v>29</v>
      </c>
      <c r="J47" s="3" t="n">
        <v>29</v>
      </c>
      <c r="K47" s="3" t="n">
        <v>29</v>
      </c>
      <c r="L47" s="3" t="n">
        <v>29</v>
      </c>
    </row>
    <row r="48" customFormat="false" ht="15" hidden="false" customHeight="false" outlineLevel="0" collapsed="false">
      <c r="A48" s="0" t="s">
        <v>103</v>
      </c>
      <c r="B48" s="3" t="n">
        <v>9</v>
      </c>
    </row>
    <row r="49" customFormat="false" ht="15" hidden="false" customHeight="false" outlineLevel="0" collapsed="false">
      <c r="A49" s="0" t="s">
        <v>104</v>
      </c>
      <c r="B49" s="3" t="n">
        <v>3</v>
      </c>
    </row>
    <row r="50" customFormat="false" ht="15" hidden="false" customHeight="false" outlineLevel="0" collapsed="false">
      <c r="A50" s="0" t="s">
        <v>105</v>
      </c>
      <c r="B50" s="3" t="n">
        <v>15</v>
      </c>
    </row>
    <row r="51" customFormat="false" ht="15" hidden="false" customHeight="false" outlineLevel="0" collapsed="false">
      <c r="A51" s="0" t="s">
        <v>106</v>
      </c>
      <c r="B51" s="3" t="n">
        <v>-15</v>
      </c>
    </row>
    <row r="52" customFormat="false" ht="15" hidden="false" customHeight="false" outlineLevel="0" collapsed="false">
      <c r="A52" s="0" t="s">
        <v>107</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110</v>
      </c>
    </row>
    <row r="3" customFormat="false" ht="15" hidden="false" customHeight="false" outlineLevel="0" collapsed="false">
      <c r="A3" s="0" t="s">
        <v>111</v>
      </c>
      <c r="B3" s="0" t="s">
        <v>72</v>
      </c>
      <c r="C3" s="2" t="s">
        <v>86</v>
      </c>
      <c r="D3" s="2" t="s">
        <v>87</v>
      </c>
      <c r="E3" s="2" t="s">
        <v>88</v>
      </c>
      <c r="F3" s="2" t="s">
        <v>89</v>
      </c>
      <c r="G3" s="2" t="s">
        <v>90</v>
      </c>
      <c r="H3" s="2" t="s">
        <v>91</v>
      </c>
      <c r="I3" s="2" t="s">
        <v>92</v>
      </c>
      <c r="J3" s="2" t="s">
        <v>93</v>
      </c>
      <c r="K3" s="2" t="s">
        <v>94</v>
      </c>
      <c r="L3" s="2" t="s">
        <v>95</v>
      </c>
    </row>
    <row r="4" customFormat="false" ht="15" hidden="false" customHeight="false" outlineLevel="0" collapsed="false">
      <c r="A4" s="0" t="s">
        <v>112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96</v>
      </c>
      <c r="C5" s="4" t="n">
        <f aca="false">Assumptions!C13</f>
        <v>-18</v>
      </c>
      <c r="D5" s="4" t="n">
        <f aca="false">Assumptions!D13</f>
        <v>-8</v>
      </c>
      <c r="E5" s="4" t="n">
        <f aca="false">Assumptions!E13</f>
        <v>-5</v>
      </c>
      <c r="F5" s="4" t="n">
        <f aca="false">Assumptions!F13</f>
        <v>-3</v>
      </c>
      <c r="G5" s="4" t="n">
        <f aca="false">Assumptions!G13</f>
        <v>-1</v>
      </c>
      <c r="H5" s="4" t="n">
        <f aca="false">Assumptions!H13</f>
        <v>0</v>
      </c>
      <c r="I5" s="4" t="n">
        <f aca="false">Assumptions!I13</f>
        <v>1</v>
      </c>
      <c r="J5" s="4" t="n">
        <f aca="false">Assumptions!J13</f>
        <v>1</v>
      </c>
      <c r="K5" s="4" t="n">
        <f aca="false">Assumptions!K13</f>
        <v>1.5</v>
      </c>
      <c r="L5" s="4" t="n">
        <f aca="false">Assumptions!L13</f>
        <v>1.5</v>
      </c>
    </row>
    <row r="6" customFormat="false" ht="15" hidden="false" customHeight="false" outlineLevel="0" collapsed="false">
      <c r="A6" s="0" t="s">
        <v>38</v>
      </c>
      <c r="B6" s="3" t="n">
        <v>12020.35</v>
      </c>
      <c r="C6" s="0" t="n">
        <f aca="false">B6*(1+C5/100)</f>
        <v>9856.687</v>
      </c>
      <c r="D6" s="0" t="n">
        <f aca="false">C6*(1+D5/100)</f>
        <v>9068.15204</v>
      </c>
      <c r="E6" s="0" t="n">
        <f aca="false">D6*(1+E5/100)</f>
        <v>8614.744438</v>
      </c>
      <c r="F6" s="0" t="n">
        <f aca="false">E6*(1+F5/100)</f>
        <v>8356.30210486</v>
      </c>
      <c r="G6" s="0" t="n">
        <f aca="false">F6*(1+G5/100)</f>
        <v>8272.7390838114</v>
      </c>
      <c r="H6" s="0" t="n">
        <f aca="false">G6*(1+H5/100)</f>
        <v>8272.7390838114</v>
      </c>
      <c r="I6" s="0" t="n">
        <f aca="false">H6*(1+I5/100)</f>
        <v>8355.46647464952</v>
      </c>
      <c r="J6" s="0" t="n">
        <f aca="false">I6*(1+J5/100)</f>
        <v>8439.02113939601</v>
      </c>
      <c r="K6" s="0" t="n">
        <f aca="false">J6*(1+K5/100)</f>
        <v>8565.60645648695</v>
      </c>
      <c r="L6" s="0" t="n">
        <f aca="false">K6*(1+L5/100)</f>
        <v>8694.09055333425</v>
      </c>
    </row>
    <row r="7" customFormat="false" ht="15" hidden="false" customHeight="false" outlineLevel="0" collapsed="false">
      <c r="A7" s="0" t="s">
        <v>97</v>
      </c>
      <c r="C7" s="4" t="n">
        <f aca="false">Assumptions!C14</f>
        <v>25</v>
      </c>
      <c r="D7" s="4" t="n">
        <f aca="false">Assumptions!D14</f>
        <v>23.5</v>
      </c>
      <c r="E7" s="4" t="n">
        <f aca="false">Assumptions!E14</f>
        <v>22</v>
      </c>
      <c r="F7" s="4" t="n">
        <f aca="false">Assumptions!F14</f>
        <v>21</v>
      </c>
      <c r="G7" s="4" t="n">
        <f aca="false">Assumptions!G14</f>
        <v>20.5</v>
      </c>
      <c r="H7" s="4" t="n">
        <f aca="false">Assumptions!H14</f>
        <v>20</v>
      </c>
      <c r="I7" s="4" t="n">
        <f aca="false">Assumptions!I14</f>
        <v>20</v>
      </c>
      <c r="J7" s="4" t="n">
        <f aca="false">Assumptions!J14</f>
        <v>20</v>
      </c>
      <c r="K7" s="4" t="n">
        <f aca="false">Assumptions!K14</f>
        <v>20</v>
      </c>
      <c r="L7" s="4" t="n">
        <f aca="false">Assumptions!L14</f>
        <v>20</v>
      </c>
    </row>
    <row r="8" customFormat="false" ht="15" hidden="false" customHeight="false" outlineLevel="0" collapsed="false">
      <c r="A8" s="0" t="s">
        <v>44</v>
      </c>
      <c r="C8" s="0" t="n">
        <f aca="false">C6*C7/100</f>
        <v>2464.17175</v>
      </c>
      <c r="D8" s="0" t="n">
        <f aca="false">D6*D7/100</f>
        <v>2131.0157294</v>
      </c>
      <c r="E8" s="0" t="n">
        <f aca="false">E6*E7/100</f>
        <v>1895.24377636</v>
      </c>
      <c r="F8" s="0" t="n">
        <f aca="false">F6*F7/100</f>
        <v>1754.8234420206</v>
      </c>
      <c r="G8" s="0" t="n">
        <f aca="false">G6*G7/100</f>
        <v>1695.91151218134</v>
      </c>
      <c r="H8" s="0" t="n">
        <f aca="false">H6*H7/100</f>
        <v>1654.54781676228</v>
      </c>
      <c r="I8" s="0" t="n">
        <f aca="false">I6*I7/100</f>
        <v>1671.0932949299</v>
      </c>
      <c r="J8" s="0" t="n">
        <f aca="false">J6*J7/100</f>
        <v>1687.8042278792</v>
      </c>
      <c r="K8" s="0" t="n">
        <f aca="false">K6*K7/100</f>
        <v>1713.12129129739</v>
      </c>
      <c r="L8" s="0" t="n">
        <f aca="false">L6*L7/100</f>
        <v>1738.81811066685</v>
      </c>
    </row>
    <row r="9" customFormat="false" ht="15" hidden="false" customHeight="false" outlineLevel="0" collapsed="false">
      <c r="A9" s="0" t="s">
        <v>98</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113</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114</v>
      </c>
      <c r="C11" s="0" t="n">
        <f aca="false">C8+C10+C24</f>
        <v>2464.17175</v>
      </c>
      <c r="D11" s="0" t="n">
        <f aca="false">D8+D10+D24</f>
        <v>2131.0157294</v>
      </c>
      <c r="E11" s="0" t="n">
        <f aca="false">E8+E10+E24</f>
        <v>1895.24377636</v>
      </c>
      <c r="F11" s="0" t="n">
        <f aca="false">F8+F10+F24</f>
        <v>1754.8234420206</v>
      </c>
      <c r="G11" s="0" t="n">
        <f aca="false">G8+G10+G24</f>
        <v>1695.91151218134</v>
      </c>
      <c r="H11" s="0" t="n">
        <f aca="false">H8+H10+H24</f>
        <v>1654.54781676228</v>
      </c>
      <c r="I11" s="0" t="n">
        <f aca="false">I8+I10+I24</f>
        <v>1671.0932949299</v>
      </c>
      <c r="J11" s="0" t="n">
        <f aca="false">J8+J10+J24</f>
        <v>1687.8042278792</v>
      </c>
      <c r="K11" s="0" t="n">
        <f aca="false">K8+K10+K24</f>
        <v>1713.12129129739</v>
      </c>
      <c r="L11" s="0" t="n">
        <f aca="false">L8+L10+L24</f>
        <v>1738.81811066685</v>
      </c>
    </row>
    <row r="12" customFormat="false" ht="15" hidden="false" customHeight="false" outlineLevel="0" collapsed="false">
      <c r="A12" s="0" t="s">
        <v>115</v>
      </c>
      <c r="C12" s="4" t="n">
        <f aca="false">-C6*Assumptions!C17/100</f>
        <v>-591.40122</v>
      </c>
      <c r="D12" s="4" t="n">
        <f aca="false">-D6*Assumptions!D17/100</f>
        <v>-544.0891224</v>
      </c>
      <c r="E12" s="4" t="n">
        <f aca="false">-E6*Assumptions!E17/100</f>
        <v>-499.655177404</v>
      </c>
      <c r="F12" s="4" t="n">
        <f aca="false">-F6*Assumptions!F17/100</f>
        <v>-467.95291787216</v>
      </c>
      <c r="G12" s="4" t="n">
        <f aca="false">-G6*Assumptions!G17/100</f>
        <v>-455.000649609627</v>
      </c>
      <c r="H12" s="4" t="n">
        <f aca="false">-H6*Assumptions!H17/100</f>
        <v>-455.000649609627</v>
      </c>
      <c r="I12" s="4" t="n">
        <f aca="false">-I6*Assumptions!I17/100</f>
        <v>-459.550656105723</v>
      </c>
      <c r="J12" s="4" t="n">
        <f aca="false">-J6*Assumptions!J17/100</f>
        <v>-464.146162666781</v>
      </c>
      <c r="K12" s="4" t="n">
        <f aca="false">-K6*Assumptions!K17/100</f>
        <v>-471.108355106782</v>
      </c>
      <c r="L12" s="4" t="n">
        <f aca="false">-L6*Assumptions!L17/100</f>
        <v>-478.174980433384</v>
      </c>
    </row>
    <row r="13" customFormat="false" ht="15" hidden="false" customHeight="false" outlineLevel="0" collapsed="false">
      <c r="A13" s="0" t="s">
        <v>116</v>
      </c>
      <c r="C13" s="0" t="n">
        <f aca="false">C11+C12</f>
        <v>1872.77053</v>
      </c>
      <c r="D13" s="0" t="n">
        <f aca="false">D11+D12</f>
        <v>1586.926607</v>
      </c>
      <c r="E13" s="0" t="n">
        <f aca="false">E11+E12</f>
        <v>1395.588598956</v>
      </c>
      <c r="F13" s="0" t="n">
        <f aca="false">F11+F12</f>
        <v>1286.87052414844</v>
      </c>
      <c r="G13" s="0" t="n">
        <f aca="false">G11+G12</f>
        <v>1240.91086257171</v>
      </c>
      <c r="H13" s="0" t="n">
        <f aca="false">H11+H12</f>
        <v>1199.54716715265</v>
      </c>
      <c r="I13" s="0" t="n">
        <f aca="false">I11+I12</f>
        <v>1211.54263882418</v>
      </c>
      <c r="J13" s="0" t="n">
        <f aca="false">J11+J12</f>
        <v>1223.65806521242</v>
      </c>
      <c r="K13" s="0" t="n">
        <f aca="false">K11+K12</f>
        <v>1242.01293619061</v>
      </c>
      <c r="L13" s="0" t="n">
        <f aca="false">L11+L12</f>
        <v>1260.64313023347</v>
      </c>
    </row>
    <row r="14" customFormat="false" ht="15" hidden="false" customHeight="false" outlineLevel="0" collapsed="false">
      <c r="A14" s="0" t="s">
        <v>102</v>
      </c>
      <c r="C14" s="4" t="n">
        <f aca="false">Assumptions!C19</f>
        <v>32</v>
      </c>
      <c r="D14" s="4" t="n">
        <f aca="false">Assumptions!D19</f>
        <v>32</v>
      </c>
      <c r="E14" s="4" t="n">
        <f aca="false">Assumptions!E19</f>
        <v>32</v>
      </c>
      <c r="F14" s="4" t="n">
        <f aca="false">Assumptions!F19</f>
        <v>32</v>
      </c>
      <c r="G14" s="4" t="n">
        <f aca="false">Assumptions!G19</f>
        <v>32</v>
      </c>
      <c r="H14" s="4" t="n">
        <f aca="false">Assumptions!H19</f>
        <v>32</v>
      </c>
      <c r="I14" s="4" t="n">
        <f aca="false">Assumptions!I19</f>
        <v>32</v>
      </c>
      <c r="J14" s="4" t="n">
        <f aca="false">Assumptions!J19</f>
        <v>32</v>
      </c>
      <c r="K14" s="4" t="n">
        <f aca="false">Assumptions!K19</f>
        <v>32</v>
      </c>
      <c r="L14" s="4" t="n">
        <f aca="false">Assumptions!L19</f>
        <v>32</v>
      </c>
    </row>
    <row r="15" customFormat="false" ht="15" hidden="false" customHeight="false" outlineLevel="0" collapsed="false">
      <c r="A15" s="0" t="s">
        <v>117</v>
      </c>
      <c r="C15" s="0" t="n">
        <f aca="false">C13-MAX(0,C13)*C14/100</f>
        <v>1273.4839604</v>
      </c>
      <c r="D15" s="0" t="n">
        <f aca="false">D13-MAX(0,D13)*D14/100</f>
        <v>1079.11009276</v>
      </c>
      <c r="E15" s="0" t="n">
        <f aca="false">E13-MAX(0,E13)*E14/100</f>
        <v>949.00024729008</v>
      </c>
      <c r="F15" s="0" t="n">
        <f aca="false">F13-MAX(0,F13)*F14/100</f>
        <v>875.071956420939</v>
      </c>
      <c r="G15" s="0" t="n">
        <f aca="false">G13-MAX(0,G13)*G14/100</f>
        <v>843.819386548763</v>
      </c>
      <c r="H15" s="0" t="n">
        <f aca="false">H13-MAX(0,H13)*H14/100</f>
        <v>815.692073663804</v>
      </c>
      <c r="I15" s="0" t="n">
        <f aca="false">I13-MAX(0,I13)*I14/100</f>
        <v>823.848994400442</v>
      </c>
      <c r="J15" s="0" t="n">
        <f aca="false">J13-MAX(0,J13)*J14/100</f>
        <v>832.087484344447</v>
      </c>
      <c r="K15" s="0" t="n">
        <f aca="false">K13-MAX(0,K13)*K14/100</f>
        <v>844.568796609613</v>
      </c>
      <c r="L15" s="0" t="n">
        <f aca="false">L13-MAX(0,L13)*L14/100</f>
        <v>857.237328558757</v>
      </c>
    </row>
    <row r="16" customFormat="false" ht="15" hidden="false" customHeight="false" outlineLevel="0" collapsed="false">
      <c r="A16" s="0" t="s">
        <v>118</v>
      </c>
      <c r="C16" s="0" t="n">
        <f aca="false">-C12</f>
        <v>591.40122</v>
      </c>
      <c r="D16" s="0" t="n">
        <f aca="false">-D12</f>
        <v>544.0891224</v>
      </c>
      <c r="E16" s="0" t="n">
        <f aca="false">-E12</f>
        <v>499.655177404</v>
      </c>
      <c r="F16" s="0" t="n">
        <f aca="false">-F12</f>
        <v>467.95291787216</v>
      </c>
      <c r="G16" s="0" t="n">
        <f aca="false">-G12</f>
        <v>455.000649609627</v>
      </c>
      <c r="H16" s="0" t="n">
        <f aca="false">-H12</f>
        <v>455.000649609627</v>
      </c>
      <c r="I16" s="0" t="n">
        <f aca="false">-I12</f>
        <v>459.550656105723</v>
      </c>
      <c r="J16" s="0" t="n">
        <f aca="false">-J12</f>
        <v>464.146162666781</v>
      </c>
      <c r="K16" s="0" t="n">
        <f aca="false">-K12</f>
        <v>471.108355106782</v>
      </c>
      <c r="L16" s="0" t="n">
        <f aca="false">-L12</f>
        <v>478.174980433384</v>
      </c>
    </row>
    <row r="17" customFormat="false" ht="15" hidden="false" customHeight="false" outlineLevel="0" collapsed="false">
      <c r="A17" s="0" t="s">
        <v>119</v>
      </c>
      <c r="C17" s="4" t="n">
        <f aca="false">-C6*Assumptions!C18/100</f>
        <v>-443.550915</v>
      </c>
      <c r="D17" s="4" t="n">
        <f aca="false">-D6*Assumptions!D18/100</f>
        <v>-408.0668418</v>
      </c>
      <c r="E17" s="4" t="n">
        <f aca="false">-E6*Assumptions!E18/100</f>
        <v>-387.66349971</v>
      </c>
      <c r="F17" s="4" t="n">
        <f aca="false">-F6*Assumptions!F18/100</f>
        <v>-376.0335947187</v>
      </c>
      <c r="G17" s="4" t="n">
        <f aca="false">-G6*Assumptions!G18/100</f>
        <v>-372.273258771513</v>
      </c>
      <c r="H17" s="4" t="n">
        <f aca="false">-H6*Assumptions!H18/100</f>
        <v>-372.273258771513</v>
      </c>
      <c r="I17" s="4" t="n">
        <f aca="false">-I6*Assumptions!I18/100</f>
        <v>-375.995991359228</v>
      </c>
      <c r="J17" s="4" t="n">
        <f aca="false">-J6*Assumptions!J18/100</f>
        <v>-379.755951272821</v>
      </c>
      <c r="K17" s="4" t="n">
        <f aca="false">-K6*Assumptions!K18/100</f>
        <v>-385.452290541913</v>
      </c>
      <c r="L17" s="4" t="n">
        <f aca="false">-L6*Assumptions!L18/100</f>
        <v>-391.234074900041</v>
      </c>
    </row>
    <row r="18" customFormat="false" ht="15" hidden="false" customHeight="false" outlineLevel="0" collapsed="false">
      <c r="A18" s="0" t="s">
        <v>120</v>
      </c>
      <c r="C18" s="4" t="n">
        <f aca="false">(C6-B6)*Assumptions!$B$23/100</f>
        <v>324.54945</v>
      </c>
      <c r="D18" s="4" t="n">
        <f aca="false">(D6-C6)*Assumptions!$B$23/100</f>
        <v>118.280244</v>
      </c>
      <c r="E18" s="4" t="n">
        <f aca="false">(E6-D6)*Assumptions!$B$23/100</f>
        <v>68.0111403000002</v>
      </c>
      <c r="F18" s="4" t="n">
        <f aca="false">(F6-E6)*Assumptions!$B$23/100</f>
        <v>38.7663499709999</v>
      </c>
      <c r="G18" s="4" t="n">
        <f aca="false">(G6-F6)*Assumptions!$B$23/100</f>
        <v>12.53445315729</v>
      </c>
      <c r="H18" s="4" t="n">
        <f aca="false">(H6-G6)*Assumptions!$B$23/100</f>
        <v>-0</v>
      </c>
      <c r="I18" s="4" t="n">
        <f aca="false">(I6-H6)*Assumptions!$B$23/100</f>
        <v>-12.4091086257171</v>
      </c>
      <c r="J18" s="4" t="n">
        <f aca="false">(J6-I6)*Assumptions!$B$23/100</f>
        <v>-12.5331997119742</v>
      </c>
      <c r="K18" s="4" t="n">
        <f aca="false">(K6-J6)*Assumptions!$B$23/100</f>
        <v>-18.9877975636409</v>
      </c>
      <c r="L18" s="4" t="n">
        <f aca="false">(L6-K6)*Assumptions!$B$23/100</f>
        <v>-19.2726145270955</v>
      </c>
    </row>
    <row r="19" customFormat="false" ht="15" hidden="false" customHeight="false" outlineLevel="0" collapsed="false">
      <c r="A19" s="0" t="s">
        <v>121</v>
      </c>
      <c r="C19" s="0" t="n">
        <f aca="false">C15+C16+C17+C18</f>
        <v>1745.8837154</v>
      </c>
      <c r="D19" s="0" t="n">
        <f aca="false">D15+D16+D17+D18</f>
        <v>1333.41261736</v>
      </c>
      <c r="E19" s="0" t="n">
        <f aca="false">E15+E16+E17+E18</f>
        <v>1129.00306528408</v>
      </c>
      <c r="F19" s="0" t="n">
        <f aca="false">F15+F16+F17+F18</f>
        <v>1005.7576295454</v>
      </c>
      <c r="G19" s="0" t="n">
        <f aca="false">G15+G16+G17+G18</f>
        <v>939.081230544167</v>
      </c>
      <c r="H19" s="0" t="n">
        <f aca="false">H15+H16+H17+H18</f>
        <v>898.419464501918</v>
      </c>
      <c r="I19" s="0" t="n">
        <f aca="false">I15+I16+I17+I18</f>
        <v>894.994550521221</v>
      </c>
      <c r="J19" s="0" t="n">
        <f aca="false">J15+J16+J17+J18</f>
        <v>903.944496026433</v>
      </c>
      <c r="K19" s="0" t="n">
        <f aca="false">K15+K16+K17+K18</f>
        <v>911.237063610842</v>
      </c>
      <c r="L19" s="0" t="n">
        <f aca="false">L15+L16+L17+L18</f>
        <v>924.905619565004</v>
      </c>
    </row>
    <row r="20" customFormat="false" ht="15" hidden="false" customHeight="false" outlineLevel="0" collapsed="false">
      <c r="A20" s="0" t="s">
        <v>122</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123</v>
      </c>
      <c r="C21" s="0" t="n">
        <f aca="false">C19*C20</f>
        <v>1601.72817926605</v>
      </c>
      <c r="D21" s="0" t="n">
        <f aca="false">D19*D20</f>
        <v>1122.30672280111</v>
      </c>
      <c r="E21" s="0" t="n">
        <f aca="false">E19*E20</f>
        <v>871.79751595067</v>
      </c>
      <c r="F21" s="0" t="n">
        <f aca="false">F19*F20</f>
        <v>712.504060991131</v>
      </c>
      <c r="G21" s="0" t="n">
        <f aca="false">G19*G20</f>
        <v>610.338366014326</v>
      </c>
      <c r="H21" s="0" t="n">
        <f aca="false">H19*H20</f>
        <v>535.698172514815</v>
      </c>
      <c r="I21" s="0" t="n">
        <f aca="false">I19*I20</f>
        <v>489.59266808326</v>
      </c>
      <c r="J21" s="0" t="n">
        <f aca="false">J19*J20</f>
        <v>453.659261251461</v>
      </c>
      <c r="K21" s="0" t="n">
        <f aca="false">K19*K20</f>
        <v>419.558857811294</v>
      </c>
      <c r="L21" s="0" t="n">
        <f aca="false">L19*L20</f>
        <v>390.690129062811</v>
      </c>
    </row>
    <row r="23" customFormat="false" ht="15" hidden="false" customHeight="false" outlineLevel="0" collapsed="false">
      <c r="A23" s="0" t="s">
        <v>99</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125</v>
      </c>
    </row>
    <row r="27" customFormat="false" ht="15" hidden="false" customHeight="false" outlineLevel="0" collapsed="false">
      <c r="A27" s="0" t="s">
        <v>103</v>
      </c>
      <c r="B27" s="4" t="n">
        <f aca="false">Assumptions!$B$20</f>
        <v>9</v>
      </c>
    </row>
    <row r="28" customFormat="false" ht="15" hidden="false" customHeight="false" outlineLevel="0" collapsed="false">
      <c r="A28" s="0" t="s">
        <v>104</v>
      </c>
      <c r="B28" s="4" t="n">
        <f aca="false">Assumptions!$B$21</f>
        <v>1.5</v>
      </c>
    </row>
    <row r="29" customFormat="false" ht="15" hidden="false" customHeight="false" outlineLevel="0" collapsed="false">
      <c r="A29" s="0" t="s">
        <v>105</v>
      </c>
      <c r="B29" s="4" t="n">
        <f aca="false">Assumptions!$B$22</f>
        <v>10</v>
      </c>
    </row>
    <row r="30" customFormat="false" ht="15" hidden="false" customHeight="false" outlineLevel="0" collapsed="false">
      <c r="A30" s="0" t="s">
        <v>126</v>
      </c>
      <c r="B30" s="0" t="n">
        <f aca="false">SUM(C21:L21)</f>
        <v>7207.87393374693</v>
      </c>
    </row>
    <row r="31" customFormat="false" ht="15" hidden="false" customHeight="false" outlineLevel="0" collapsed="false">
      <c r="A31" s="0" t="s">
        <v>127</v>
      </c>
      <c r="B31" s="0" t="n">
        <f aca="false">L19</f>
        <v>924.905619565004</v>
      </c>
    </row>
    <row r="32" customFormat="false" ht="15" hidden="false" customHeight="false" outlineLevel="0" collapsed="false">
      <c r="A32" s="0" t="s">
        <v>128</v>
      </c>
      <c r="B32" s="0" t="n">
        <f aca="false">IF(B27&gt;B28,B31*(1+B28/100)/((B27-B28)/100),B31*B29)</f>
        <v>12517.0560514464</v>
      </c>
    </row>
    <row r="33" customFormat="false" ht="15" hidden="false" customHeight="false" outlineLevel="0" collapsed="false">
      <c r="A33" s="0" t="s">
        <v>129</v>
      </c>
      <c r="B33" s="0" t="n">
        <f aca="false">B31*B29</f>
        <v>9249.05619565004</v>
      </c>
    </row>
    <row r="34" customFormat="false" ht="15" hidden="false" customHeight="false" outlineLevel="0" collapsed="false">
      <c r="A34" s="0" t="s">
        <v>130</v>
      </c>
      <c r="B34" s="0" t="n">
        <f aca="false">MAX(0,MIN(B32,B33))</f>
        <v>9249.05619565004</v>
      </c>
    </row>
    <row r="35" customFormat="false" ht="15" hidden="false" customHeight="false" outlineLevel="0" collapsed="false">
      <c r="A35" s="0" t="s">
        <v>131</v>
      </c>
      <c r="B35" s="0" t="n">
        <f aca="false">B34/(1+B27/100)^L4</f>
        <v>3906.90129062811</v>
      </c>
    </row>
    <row r="36" customFormat="false" ht="15" hidden="false" customHeight="false" outlineLevel="0" collapsed="false">
      <c r="A36" s="0" t="s">
        <v>132</v>
      </c>
      <c r="B36" s="0" t="n">
        <f aca="false">B30+B35</f>
        <v>11114.775224375</v>
      </c>
    </row>
    <row r="37" customFormat="false" ht="15" hidden="false" customHeight="false" outlineLevel="0" collapsed="false">
      <c r="A37" s="0" t="s">
        <v>133</v>
      </c>
      <c r="B37" s="0" t="n">
        <f aca="false">B36+Assumptions!$B$5-Assumptions!$B$4</f>
        <v>17736.875224375</v>
      </c>
    </row>
    <row r="38" customFormat="false" ht="15" hidden="false" customHeight="false" outlineLevel="0" collapsed="false">
      <c r="A38" s="0" t="s">
        <v>134</v>
      </c>
      <c r="B38" s="0" t="n">
        <f aca="false">B37/Assumptions!$B$3*Assumptions!$B$10</f>
        <v>23.4239170184515</v>
      </c>
    </row>
    <row r="39" customFormat="false" ht="15" hidden="false" customHeight="false" outlineLevel="0" collapsed="false">
      <c r="A39" s="0" t="s">
        <v>135</v>
      </c>
      <c r="B39" s="4" t="n">
        <f aca="false">B38/Assumptions!$B$2-1</f>
        <v>0.10178349099019</v>
      </c>
    </row>
    <row r="41" customFormat="false" ht="15" hidden="false" customHeight="false" outlineLevel="0" collapsed="false">
      <c r="A41" s="0" t="s">
        <v>136</v>
      </c>
      <c r="B41" s="0" t="n">
        <f aca="false">SUMPRODUCT(-C10:L10/(1+$B$27/100)^C4:L4)</f>
        <v>0</v>
      </c>
    </row>
    <row r="42" customFormat="false" ht="15" hidden="false" customHeight="false" outlineLevel="0" collapsed="false">
      <c r="A42" s="0" t="s">
        <v>137</v>
      </c>
      <c r="B42" s="0" t="n">
        <f aca="false">IF(B27&gt;B28,-L10*(1+B28/100)/((B27-B28)/100),-L10*20)/(1+B27/100)^L4</f>
        <v>0</v>
      </c>
    </row>
    <row r="43" customFormat="false" ht="15" hidden="false" customHeight="false" outlineLevel="0" collapsed="false">
      <c r="A43" s="0" t="s">
        <v>138</v>
      </c>
      <c r="B43" s="0" t="n">
        <f aca="false">(B37+B41+B42)/Assumptions!$B$3*Assumptions!$B$10</f>
        <v>23.4239170184515</v>
      </c>
    </row>
    <row r="45" customFormat="false" ht="15" hidden="false" customHeight="false" outlineLevel="0" collapsed="false">
      <c r="A45" s="0" t="s">
        <v>79</v>
      </c>
      <c r="B45" s="4" t="n">
        <f aca="false">Assumptions!$B$6</f>
        <v>15</v>
      </c>
    </row>
    <row r="46" customFormat="false" ht="15" hidden="false" customHeight="false" outlineLevel="0" collapsed="false">
      <c r="A46" s="0" t="s">
        <v>139</v>
      </c>
      <c r="B46" s="0" t="n">
        <f aca="false">MAX(0,MIN(IF(B45&gt;B28,B31*(1+B28/100)/((B45-B28)/100),B31*B29),B31*B29))</f>
        <v>6953.92002858133</v>
      </c>
    </row>
    <row r="47" customFormat="false" ht="15" hidden="false" customHeight="false" outlineLevel="0" collapsed="false">
      <c r="A47" s="0" t="s">
        <v>140</v>
      </c>
      <c r="B47" s="0" t="n">
        <f aca="false">(SUMPRODUCT(C19:L19/(1+B45/100)^C4:L4)+B46/(1+B45/100)^L4+Assumptions!$B$5-Assumptions!$B$4)/Assumptions!$B$3*Assumptions!$B$10</f>
        <v>18.6997962750647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141</v>
      </c>
    </row>
    <row r="3" customFormat="false" ht="15" hidden="false" customHeight="false" outlineLevel="0" collapsed="false">
      <c r="A3" s="0" t="s">
        <v>111</v>
      </c>
      <c r="B3" s="0" t="s">
        <v>72</v>
      </c>
      <c r="C3" s="2" t="s">
        <v>86</v>
      </c>
      <c r="D3" s="2" t="s">
        <v>87</v>
      </c>
      <c r="E3" s="2" t="s">
        <v>88</v>
      </c>
      <c r="F3" s="2" t="s">
        <v>89</v>
      </c>
      <c r="G3" s="2" t="s">
        <v>90</v>
      </c>
      <c r="H3" s="2" t="s">
        <v>91</v>
      </c>
      <c r="I3" s="2" t="s">
        <v>92</v>
      </c>
      <c r="J3" s="2" t="s">
        <v>93</v>
      </c>
      <c r="K3" s="2" t="s">
        <v>94</v>
      </c>
      <c r="L3" s="2" t="s">
        <v>95</v>
      </c>
    </row>
    <row r="4" customFormat="false" ht="15" hidden="false" customHeight="false" outlineLevel="0" collapsed="false">
      <c r="A4" s="0" t="s">
        <v>112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96</v>
      </c>
      <c r="C5" s="4" t="n">
        <f aca="false">Assumptions!C27</f>
        <v>-15</v>
      </c>
      <c r="D5" s="4" t="n">
        <f aca="false">Assumptions!D27</f>
        <v>2</v>
      </c>
      <c r="E5" s="4" t="n">
        <f aca="false">Assumptions!E27</f>
        <v>4</v>
      </c>
      <c r="F5" s="4" t="n">
        <f aca="false">Assumptions!F27</f>
        <v>4.5</v>
      </c>
      <c r="G5" s="4" t="n">
        <f aca="false">Assumptions!G27</f>
        <v>4</v>
      </c>
      <c r="H5" s="4" t="n">
        <f aca="false">Assumptions!H27</f>
        <v>3.5</v>
      </c>
      <c r="I5" s="4" t="n">
        <f aca="false">Assumptions!I27</f>
        <v>3</v>
      </c>
      <c r="J5" s="4" t="n">
        <f aca="false">Assumptions!J27</f>
        <v>3</v>
      </c>
      <c r="K5" s="4" t="n">
        <f aca="false">Assumptions!K27</f>
        <v>2.5</v>
      </c>
      <c r="L5" s="4" t="n">
        <f aca="false">Assumptions!L27</f>
        <v>2.5</v>
      </c>
    </row>
    <row r="6" customFormat="false" ht="15" hidden="false" customHeight="false" outlineLevel="0" collapsed="false">
      <c r="A6" s="0" t="s">
        <v>38</v>
      </c>
      <c r="B6" s="3" t="n">
        <v>12020.35</v>
      </c>
      <c r="C6" s="0" t="n">
        <f aca="false">B6*(1+C5/100)</f>
        <v>10217.2975</v>
      </c>
      <c r="D6" s="0" t="n">
        <f aca="false">C6*(1+D5/100)</f>
        <v>10421.64345</v>
      </c>
      <c r="E6" s="0" t="n">
        <f aca="false">D6*(1+E5/100)</f>
        <v>10838.509188</v>
      </c>
      <c r="F6" s="0" t="n">
        <f aca="false">E6*(1+F5/100)</f>
        <v>11326.24210146</v>
      </c>
      <c r="G6" s="0" t="n">
        <f aca="false">F6*(1+G5/100)</f>
        <v>11779.2917855184</v>
      </c>
      <c r="H6" s="0" t="n">
        <f aca="false">G6*(1+H5/100)</f>
        <v>12191.5669980115</v>
      </c>
      <c r="I6" s="0" t="n">
        <f aca="false">H6*(1+I5/100)</f>
        <v>12557.3140079519</v>
      </c>
      <c r="J6" s="0" t="n">
        <f aca="false">I6*(1+J5/100)</f>
        <v>12934.0334281904</v>
      </c>
      <c r="K6" s="0" t="n">
        <f aca="false">J6*(1+K5/100)</f>
        <v>13257.3842638952</v>
      </c>
      <c r="L6" s="0" t="n">
        <f aca="false">K6*(1+L5/100)</f>
        <v>13588.8188704926</v>
      </c>
    </row>
    <row r="7" customFormat="false" ht="15" hidden="false" customHeight="false" outlineLevel="0" collapsed="false">
      <c r="A7" s="0" t="s">
        <v>97</v>
      </c>
      <c r="C7" s="4" t="n">
        <f aca="false">Assumptions!C28</f>
        <v>26.5</v>
      </c>
      <c r="D7" s="4" t="n">
        <f aca="false">Assumptions!D28</f>
        <v>26.5</v>
      </c>
      <c r="E7" s="4" t="n">
        <f aca="false">Assumptions!E28</f>
        <v>26.8</v>
      </c>
      <c r="F7" s="4" t="n">
        <f aca="false">Assumptions!F28</f>
        <v>27</v>
      </c>
      <c r="G7" s="4" t="n">
        <f aca="false">Assumptions!G28</f>
        <v>27.2</v>
      </c>
      <c r="H7" s="4" t="n">
        <f aca="false">Assumptions!H28</f>
        <v>27.5</v>
      </c>
      <c r="I7" s="4" t="n">
        <f aca="false">Assumptions!I28</f>
        <v>27.5</v>
      </c>
      <c r="J7" s="4" t="n">
        <f aca="false">Assumptions!J28</f>
        <v>27.5</v>
      </c>
      <c r="K7" s="4" t="n">
        <f aca="false">Assumptions!K28</f>
        <v>27.5</v>
      </c>
      <c r="L7" s="4" t="n">
        <f aca="false">Assumptions!L28</f>
        <v>27.5</v>
      </c>
    </row>
    <row r="8" customFormat="false" ht="15" hidden="false" customHeight="false" outlineLevel="0" collapsed="false">
      <c r="A8" s="0" t="s">
        <v>44</v>
      </c>
      <c r="C8" s="0" t="n">
        <f aca="false">C6*C7/100</f>
        <v>2707.5838375</v>
      </c>
      <c r="D8" s="0" t="n">
        <f aca="false">D6*D7/100</f>
        <v>2761.73551425</v>
      </c>
      <c r="E8" s="0" t="n">
        <f aca="false">E6*E7/100</f>
        <v>2904.720462384</v>
      </c>
      <c r="F8" s="0" t="n">
        <f aca="false">F6*F7/100</f>
        <v>3058.0853673942</v>
      </c>
      <c r="G8" s="0" t="n">
        <f aca="false">G6*G7/100</f>
        <v>3203.96736566101</v>
      </c>
      <c r="H8" s="0" t="n">
        <f aca="false">H6*H7/100</f>
        <v>3352.68092445317</v>
      </c>
      <c r="I8" s="0" t="n">
        <f aca="false">I6*I7/100</f>
        <v>3453.26135218677</v>
      </c>
      <c r="J8" s="0" t="n">
        <f aca="false">J6*J7/100</f>
        <v>3556.85919275237</v>
      </c>
      <c r="K8" s="0" t="n">
        <f aca="false">K6*K7/100</f>
        <v>3645.78067257118</v>
      </c>
      <c r="L8" s="0" t="n">
        <f aca="false">L6*L7/100</f>
        <v>3736.92518938546</v>
      </c>
    </row>
    <row r="9" customFormat="false" ht="15" hidden="false" customHeight="false" outlineLevel="0" collapsed="false">
      <c r="A9" s="0" t="s">
        <v>98</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113</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114</v>
      </c>
      <c r="C11" s="0" t="n">
        <f aca="false">C8+C10+C24</f>
        <v>2707.5838375</v>
      </c>
      <c r="D11" s="0" t="n">
        <f aca="false">D8+D10+D24</f>
        <v>2761.73551425</v>
      </c>
      <c r="E11" s="0" t="n">
        <f aca="false">E8+E10+E24</f>
        <v>2904.720462384</v>
      </c>
      <c r="F11" s="0" t="n">
        <f aca="false">F8+F10+F24</f>
        <v>3058.0853673942</v>
      </c>
      <c r="G11" s="0" t="n">
        <f aca="false">G8+G10+G24</f>
        <v>3203.96736566101</v>
      </c>
      <c r="H11" s="0" t="n">
        <f aca="false">H8+H10+H24</f>
        <v>3352.68092445317</v>
      </c>
      <c r="I11" s="0" t="n">
        <f aca="false">I8+I10+I24</f>
        <v>3453.26135218677</v>
      </c>
      <c r="J11" s="0" t="n">
        <f aca="false">J8+J10+J24</f>
        <v>3556.85919275237</v>
      </c>
      <c r="K11" s="0" t="n">
        <f aca="false">K8+K10+K24</f>
        <v>3645.78067257118</v>
      </c>
      <c r="L11" s="0" t="n">
        <f aca="false">L8+L10+L24</f>
        <v>3736.92518938546</v>
      </c>
    </row>
    <row r="12" customFormat="false" ht="15" hidden="false" customHeight="false" outlineLevel="0" collapsed="false">
      <c r="A12" s="0" t="s">
        <v>115</v>
      </c>
      <c r="C12" s="4" t="n">
        <f aca="false">-C6*Assumptions!C31/100</f>
        <v>-592.603255</v>
      </c>
      <c r="D12" s="4" t="n">
        <f aca="false">-D6*Assumptions!D31/100</f>
        <v>-594.03367665</v>
      </c>
      <c r="E12" s="4" t="n">
        <f aca="false">-E6*Assumptions!E31/100</f>
        <v>-606.956514528</v>
      </c>
      <c r="F12" s="4" t="n">
        <f aca="false">-F6*Assumptions!F31/100</f>
        <v>-622.9433155803</v>
      </c>
      <c r="G12" s="4" t="n">
        <f aca="false">-G6*Assumptions!G31/100</f>
        <v>-647.861048203512</v>
      </c>
      <c r="H12" s="4" t="n">
        <f aca="false">-H6*Assumptions!H31/100</f>
        <v>-670.536184890635</v>
      </c>
      <c r="I12" s="4" t="n">
        <f aca="false">-I6*Assumptions!I31/100</f>
        <v>-690.652270437354</v>
      </c>
      <c r="J12" s="4" t="n">
        <f aca="false">-J6*Assumptions!J31/100</f>
        <v>-711.371838550475</v>
      </c>
      <c r="K12" s="4" t="n">
        <f aca="false">-K6*Assumptions!K31/100</f>
        <v>-729.156134514236</v>
      </c>
      <c r="L12" s="4" t="n">
        <f aca="false">-L6*Assumptions!L31/100</f>
        <v>-747.385037877092</v>
      </c>
    </row>
    <row r="13" customFormat="false" ht="15" hidden="false" customHeight="false" outlineLevel="0" collapsed="false">
      <c r="A13" s="0" t="s">
        <v>116</v>
      </c>
      <c r="C13" s="0" t="n">
        <f aca="false">C11+C12</f>
        <v>2114.9805825</v>
      </c>
      <c r="D13" s="0" t="n">
        <f aca="false">D11+D12</f>
        <v>2167.7018376</v>
      </c>
      <c r="E13" s="0" t="n">
        <f aca="false">E11+E12</f>
        <v>2297.763947856</v>
      </c>
      <c r="F13" s="0" t="n">
        <f aca="false">F11+F12</f>
        <v>2435.1420518139</v>
      </c>
      <c r="G13" s="0" t="n">
        <f aca="false">G11+G12</f>
        <v>2556.10631745749</v>
      </c>
      <c r="H13" s="0" t="n">
        <f aca="false">H11+H12</f>
        <v>2682.14473956254</v>
      </c>
      <c r="I13" s="0" t="n">
        <f aca="false">I11+I12</f>
        <v>2762.60908174942</v>
      </c>
      <c r="J13" s="0" t="n">
        <f aca="false">J11+J12</f>
        <v>2845.4873542019</v>
      </c>
      <c r="K13" s="0" t="n">
        <f aca="false">K11+K12</f>
        <v>2916.62453805695</v>
      </c>
      <c r="L13" s="0" t="n">
        <f aca="false">L11+L12</f>
        <v>2989.54015150837</v>
      </c>
    </row>
    <row r="14" customFormat="false" ht="15" hidden="false" customHeight="false" outlineLevel="0" collapsed="false">
      <c r="A14" s="0" t="s">
        <v>102</v>
      </c>
      <c r="C14" s="4" t="n">
        <f aca="false">Assumptions!C33</f>
        <v>30</v>
      </c>
      <c r="D14" s="4" t="n">
        <f aca="false">Assumptions!D33</f>
        <v>30</v>
      </c>
      <c r="E14" s="4" t="n">
        <f aca="false">Assumptions!E33</f>
        <v>30</v>
      </c>
      <c r="F14" s="4" t="n">
        <f aca="false">Assumptions!F33</f>
        <v>30</v>
      </c>
      <c r="G14" s="4" t="n">
        <f aca="false">Assumptions!G33</f>
        <v>30</v>
      </c>
      <c r="H14" s="4" t="n">
        <f aca="false">Assumptions!H33</f>
        <v>30</v>
      </c>
      <c r="I14" s="4" t="n">
        <f aca="false">Assumptions!I33</f>
        <v>30</v>
      </c>
      <c r="J14" s="4" t="n">
        <f aca="false">Assumptions!J33</f>
        <v>30</v>
      </c>
      <c r="K14" s="4" t="n">
        <f aca="false">Assumptions!K33</f>
        <v>30</v>
      </c>
      <c r="L14" s="4" t="n">
        <f aca="false">Assumptions!L33</f>
        <v>30</v>
      </c>
    </row>
    <row r="15" customFormat="false" ht="15" hidden="false" customHeight="false" outlineLevel="0" collapsed="false">
      <c r="A15" s="0" t="s">
        <v>117</v>
      </c>
      <c r="C15" s="0" t="n">
        <f aca="false">C13-MAX(0,C13)*C14/100</f>
        <v>1480.48640775</v>
      </c>
      <c r="D15" s="0" t="n">
        <f aca="false">D13-MAX(0,D13)*D14/100</f>
        <v>1517.39128632</v>
      </c>
      <c r="E15" s="0" t="n">
        <f aca="false">E13-MAX(0,E13)*E14/100</f>
        <v>1608.4347634992</v>
      </c>
      <c r="F15" s="0" t="n">
        <f aca="false">F13-MAX(0,F13)*F14/100</f>
        <v>1704.59943626973</v>
      </c>
      <c r="G15" s="0" t="n">
        <f aca="false">G13-MAX(0,G13)*G14/100</f>
        <v>1789.27442222025</v>
      </c>
      <c r="H15" s="0" t="n">
        <f aca="false">H13-MAX(0,H13)*H14/100</f>
        <v>1877.50131769378</v>
      </c>
      <c r="I15" s="0" t="n">
        <f aca="false">I13-MAX(0,I13)*I14/100</f>
        <v>1933.82635722459</v>
      </c>
      <c r="J15" s="0" t="n">
        <f aca="false">J13-MAX(0,J13)*J14/100</f>
        <v>1991.84114794133</v>
      </c>
      <c r="K15" s="0" t="n">
        <f aca="false">K13-MAX(0,K13)*K14/100</f>
        <v>2041.63717663986</v>
      </c>
      <c r="L15" s="0" t="n">
        <f aca="false">L13-MAX(0,L13)*L14/100</f>
        <v>2092.67810605586</v>
      </c>
    </row>
    <row r="16" customFormat="false" ht="15" hidden="false" customHeight="false" outlineLevel="0" collapsed="false">
      <c r="A16" s="0" t="s">
        <v>118</v>
      </c>
      <c r="C16" s="0" t="n">
        <f aca="false">-C12</f>
        <v>592.603255</v>
      </c>
      <c r="D16" s="0" t="n">
        <f aca="false">-D12</f>
        <v>594.03367665</v>
      </c>
      <c r="E16" s="0" t="n">
        <f aca="false">-E12</f>
        <v>606.956514528</v>
      </c>
      <c r="F16" s="0" t="n">
        <f aca="false">-F12</f>
        <v>622.9433155803</v>
      </c>
      <c r="G16" s="0" t="n">
        <f aca="false">-G12</f>
        <v>647.861048203512</v>
      </c>
      <c r="H16" s="0" t="n">
        <f aca="false">-H12</f>
        <v>670.536184890635</v>
      </c>
      <c r="I16" s="0" t="n">
        <f aca="false">-I12</f>
        <v>690.652270437354</v>
      </c>
      <c r="J16" s="0" t="n">
        <f aca="false">-J12</f>
        <v>711.371838550475</v>
      </c>
      <c r="K16" s="0" t="n">
        <f aca="false">-K12</f>
        <v>729.156134514236</v>
      </c>
      <c r="L16" s="0" t="n">
        <f aca="false">-L12</f>
        <v>747.385037877092</v>
      </c>
    </row>
    <row r="17" customFormat="false" ht="15" hidden="false" customHeight="false" outlineLevel="0" collapsed="false">
      <c r="A17" s="0" t="s">
        <v>119</v>
      </c>
      <c r="C17" s="4" t="n">
        <f aca="false">-C6*Assumptions!C32/100</f>
        <v>-510.864875</v>
      </c>
      <c r="D17" s="4" t="n">
        <f aca="false">-D6*Assumptions!D32/100</f>
        <v>-573.19038975</v>
      </c>
      <c r="E17" s="4" t="n">
        <f aca="false">-E6*Assumptions!E32/100</f>
        <v>-596.11800534</v>
      </c>
      <c r="F17" s="4" t="n">
        <f aca="false">-F6*Assumptions!F32/100</f>
        <v>-622.9433155803</v>
      </c>
      <c r="G17" s="4" t="n">
        <f aca="false">-G6*Assumptions!G32/100</f>
        <v>-647.861048203512</v>
      </c>
      <c r="H17" s="4" t="n">
        <f aca="false">-H6*Assumptions!H32/100</f>
        <v>-670.536184890635</v>
      </c>
      <c r="I17" s="4" t="n">
        <f aca="false">-I6*Assumptions!I32/100</f>
        <v>-690.652270437354</v>
      </c>
      <c r="J17" s="4" t="n">
        <f aca="false">-J6*Assumptions!J32/100</f>
        <v>-711.371838550475</v>
      </c>
      <c r="K17" s="4" t="n">
        <f aca="false">-K6*Assumptions!K32/100</f>
        <v>-729.156134514236</v>
      </c>
      <c r="L17" s="4" t="n">
        <f aca="false">-L6*Assumptions!L32/100</f>
        <v>-747.385037877092</v>
      </c>
    </row>
    <row r="18" customFormat="false" ht="15" hidden="false" customHeight="false" outlineLevel="0" collapsed="false">
      <c r="A18" s="0" t="s">
        <v>120</v>
      </c>
      <c r="C18" s="4" t="n">
        <f aca="false">(C6-B6)*Assumptions!$B$37/100</f>
        <v>270.457875</v>
      </c>
      <c r="D18" s="4" t="n">
        <f aca="false">(D6-C6)*Assumptions!$B$37/100</f>
        <v>-30.6518925000001</v>
      </c>
      <c r="E18" s="4" t="n">
        <f aca="false">(E6-D6)*Assumptions!$B$37/100</f>
        <v>-62.5298607000001</v>
      </c>
      <c r="F18" s="4" t="n">
        <f aca="false">(F6-E6)*Assumptions!$B$37/100</f>
        <v>-73.1599370189998</v>
      </c>
      <c r="G18" s="4" t="n">
        <f aca="false">(G6-F6)*Assumptions!$B$37/100</f>
        <v>-67.95745260876</v>
      </c>
      <c r="H18" s="4" t="n">
        <f aca="false">(H6-G6)*Assumptions!$B$37/100</f>
        <v>-61.8412818739715</v>
      </c>
      <c r="I18" s="4" t="n">
        <f aca="false">(I6-H6)*Assumptions!$B$37/100</f>
        <v>-54.8620514910521</v>
      </c>
      <c r="J18" s="4" t="n">
        <f aca="false">(J6-I6)*Assumptions!$B$37/100</f>
        <v>-56.5079130357834</v>
      </c>
      <c r="K18" s="4" t="n">
        <f aca="false">(K6-J6)*Assumptions!$B$37/100</f>
        <v>-48.5026253557139</v>
      </c>
      <c r="L18" s="4" t="n">
        <f aca="false">(L6-K6)*Assumptions!$B$37/100</f>
        <v>-49.7151909896068</v>
      </c>
    </row>
    <row r="19" customFormat="false" ht="15" hidden="false" customHeight="false" outlineLevel="0" collapsed="false">
      <c r="A19" s="0" t="s">
        <v>121</v>
      </c>
      <c r="C19" s="0" t="n">
        <f aca="false">C15+C16+C17+C18</f>
        <v>1832.68266275</v>
      </c>
      <c r="D19" s="0" t="n">
        <f aca="false">D15+D16+D17+D18</f>
        <v>1507.58268072</v>
      </c>
      <c r="E19" s="0" t="n">
        <f aca="false">E15+E16+E17+E18</f>
        <v>1556.7434119872</v>
      </c>
      <c r="F19" s="0" t="n">
        <f aca="false">F15+F16+F17+F18</f>
        <v>1631.43949925073</v>
      </c>
      <c r="G19" s="0" t="n">
        <f aca="false">G15+G16+G17+G18</f>
        <v>1721.31696961149</v>
      </c>
      <c r="H19" s="0" t="n">
        <f aca="false">H15+H16+H17+H18</f>
        <v>1815.66003581981</v>
      </c>
      <c r="I19" s="0" t="n">
        <f aca="false">I15+I16+I17+I18</f>
        <v>1878.96430573354</v>
      </c>
      <c r="J19" s="0" t="n">
        <f aca="false">J15+J16+J17+J18</f>
        <v>1935.33323490555</v>
      </c>
      <c r="K19" s="0" t="n">
        <f aca="false">K15+K16+K17+K18</f>
        <v>1993.13455128415</v>
      </c>
      <c r="L19" s="0" t="n">
        <f aca="false">L15+L16+L17+L18</f>
        <v>2042.96291506625</v>
      </c>
    </row>
    <row r="20" customFormat="false" ht="15" hidden="false" customHeight="false" outlineLevel="0" collapsed="false">
      <c r="A20" s="0" t="s">
        <v>122</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123</v>
      </c>
      <c r="C21" s="0" t="n">
        <f aca="false">C19*C20</f>
        <v>1681.36024105505</v>
      </c>
      <c r="D21" s="0" t="n">
        <f aca="false">D19*D20</f>
        <v>1268.90218055719</v>
      </c>
      <c r="E21" s="0" t="n">
        <f aca="false">E19*E20</f>
        <v>1202.09154543041</v>
      </c>
      <c r="F21" s="0" t="n">
        <f aca="false">F19*F20</f>
        <v>1155.7528715968</v>
      </c>
      <c r="G21" s="0" t="n">
        <f aca="false">G19*G20</f>
        <v>1118.73792431846</v>
      </c>
      <c r="H21" s="0" t="n">
        <f aca="false">H19*H20</f>
        <v>1082.6187560797</v>
      </c>
      <c r="I21" s="0" t="n">
        <f aca="false">I19*I20</f>
        <v>1027.85782007449</v>
      </c>
      <c r="J21" s="0" t="n">
        <f aca="false">J19*J20</f>
        <v>971.278490529109</v>
      </c>
      <c r="K21" s="0" t="n">
        <f aca="false">K19*K20</f>
        <v>917.694515724979</v>
      </c>
      <c r="L21" s="0" t="n">
        <f aca="false">L19*L20</f>
        <v>862.969613411104</v>
      </c>
    </row>
    <row r="23" customFormat="false" ht="15" hidden="false" customHeight="false" outlineLevel="0" collapsed="false">
      <c r="A23" s="0" t="s">
        <v>99</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125</v>
      </c>
    </row>
    <row r="27" customFormat="false" ht="15" hidden="false" customHeight="false" outlineLevel="0" collapsed="false">
      <c r="A27" s="0" t="s">
        <v>103</v>
      </c>
      <c r="B27" s="4" t="n">
        <f aca="false">Assumptions!$B$34</f>
        <v>9</v>
      </c>
    </row>
    <row r="28" customFormat="false" ht="15" hidden="false" customHeight="false" outlineLevel="0" collapsed="false">
      <c r="A28" s="0" t="s">
        <v>104</v>
      </c>
      <c r="B28" s="4" t="n">
        <f aca="false">Assumptions!$B$35</f>
        <v>2.5</v>
      </c>
    </row>
    <row r="29" customFormat="false" ht="15" hidden="false" customHeight="false" outlineLevel="0" collapsed="false">
      <c r="A29" s="0" t="s">
        <v>105</v>
      </c>
      <c r="B29" s="4" t="n">
        <f aca="false">Assumptions!$B$36</f>
        <v>13</v>
      </c>
    </row>
    <row r="30" customFormat="false" ht="15" hidden="false" customHeight="false" outlineLevel="0" collapsed="false">
      <c r="A30" s="0" t="s">
        <v>126</v>
      </c>
      <c r="B30" s="0" t="n">
        <f aca="false">SUM(C21:L21)</f>
        <v>11289.2639587773</v>
      </c>
    </row>
    <row r="31" customFormat="false" ht="15" hidden="false" customHeight="false" outlineLevel="0" collapsed="false">
      <c r="A31" s="0" t="s">
        <v>127</v>
      </c>
      <c r="B31" s="0" t="n">
        <f aca="false">L19</f>
        <v>2042.96291506625</v>
      </c>
    </row>
    <row r="32" customFormat="false" ht="15" hidden="false" customHeight="false" outlineLevel="0" collapsed="false">
      <c r="A32" s="0" t="s">
        <v>128</v>
      </c>
      <c r="B32" s="0" t="n">
        <f aca="false">IF(B27&gt;B28,B31*(1+B28/100)/((B27-B28)/100),B31*B29)</f>
        <v>32215.9536606601</v>
      </c>
    </row>
    <row r="33" customFormat="false" ht="15" hidden="false" customHeight="false" outlineLevel="0" collapsed="false">
      <c r="A33" s="0" t="s">
        <v>129</v>
      </c>
      <c r="B33" s="0" t="n">
        <f aca="false">B31*B29</f>
        <v>26558.5178958613</v>
      </c>
    </row>
    <row r="34" customFormat="false" ht="15" hidden="false" customHeight="false" outlineLevel="0" collapsed="false">
      <c r="A34" s="0" t="s">
        <v>130</v>
      </c>
      <c r="B34" s="0" t="n">
        <f aca="false">MAX(0,MIN(B32,B33))</f>
        <v>26558.5178958613</v>
      </c>
    </row>
    <row r="35" customFormat="false" ht="15" hidden="false" customHeight="false" outlineLevel="0" collapsed="false">
      <c r="A35" s="0" t="s">
        <v>131</v>
      </c>
      <c r="B35" s="0" t="n">
        <f aca="false">B34/(1+B27/100)^L4</f>
        <v>11218.6049743444</v>
      </c>
    </row>
    <row r="36" customFormat="false" ht="15" hidden="false" customHeight="false" outlineLevel="0" collapsed="false">
      <c r="A36" s="0" t="s">
        <v>132</v>
      </c>
      <c r="B36" s="0" t="n">
        <f aca="false">B30+B35</f>
        <v>22507.8689331216</v>
      </c>
    </row>
    <row r="37" customFormat="false" ht="15" hidden="false" customHeight="false" outlineLevel="0" collapsed="false">
      <c r="A37" s="0" t="s">
        <v>133</v>
      </c>
      <c r="B37" s="0" t="n">
        <f aca="false">B36+Assumptions!$B$5-Assumptions!$B$4</f>
        <v>29129.9689331216</v>
      </c>
    </row>
    <row r="38" customFormat="false" ht="15" hidden="false" customHeight="false" outlineLevel="0" collapsed="false">
      <c r="A38" s="0" t="s">
        <v>134</v>
      </c>
      <c r="B38" s="0" t="n">
        <f aca="false">B37/Assumptions!$B$3*Assumptions!$B$10</f>
        <v>38.4700217150878</v>
      </c>
    </row>
    <row r="39" customFormat="false" ht="15" hidden="false" customHeight="false" outlineLevel="0" collapsed="false">
      <c r="A39" s="0" t="s">
        <v>135</v>
      </c>
      <c r="B39" s="4" t="n">
        <f aca="false">B38/Assumptions!$B$2-1</f>
        <v>0.80950243250648</v>
      </c>
    </row>
    <row r="41" customFormat="false" ht="15" hidden="false" customHeight="false" outlineLevel="0" collapsed="false">
      <c r="A41" s="0" t="s">
        <v>136</v>
      </c>
      <c r="B41" s="0" t="n">
        <f aca="false">SUMPRODUCT(-C10:L10/(1+$B$27/100)^C4:L4)</f>
        <v>0</v>
      </c>
    </row>
    <row r="42" customFormat="false" ht="15" hidden="false" customHeight="false" outlineLevel="0" collapsed="false">
      <c r="A42" s="0" t="s">
        <v>137</v>
      </c>
      <c r="B42" s="0" t="n">
        <f aca="false">IF(B27&gt;B28,-L10*(1+B28/100)/((B27-B28)/100),-L10*20)/(1+B27/100)^L4</f>
        <v>0</v>
      </c>
    </row>
    <row r="43" customFormat="false" ht="15" hidden="false" customHeight="false" outlineLevel="0" collapsed="false">
      <c r="A43" s="0" t="s">
        <v>138</v>
      </c>
      <c r="B43" s="0" t="n">
        <f aca="false">(B37+B41+B42)/Assumptions!$B$3*Assumptions!$B$10</f>
        <v>38.4700217150878</v>
      </c>
    </row>
    <row r="45" customFormat="false" ht="15" hidden="false" customHeight="false" outlineLevel="0" collapsed="false">
      <c r="A45" s="0" t="s">
        <v>79</v>
      </c>
      <c r="B45" s="4" t="n">
        <f aca="false">Assumptions!$B$6</f>
        <v>15</v>
      </c>
    </row>
    <row r="46" customFormat="false" ht="15" hidden="false" customHeight="false" outlineLevel="0" collapsed="false">
      <c r="A46" s="0" t="s">
        <v>139</v>
      </c>
      <c r="B46" s="0" t="n">
        <f aca="false">MAX(0,MIN(IF(B45&gt;B28,B31*(1+B28/100)/((B45-B28)/100),B31*B29),B31*B29))</f>
        <v>16752.2959035433</v>
      </c>
    </row>
    <row r="47" customFormat="false" ht="15" hidden="false" customHeight="false" outlineLevel="0" collapsed="false">
      <c r="A47" s="0" t="s">
        <v>140</v>
      </c>
      <c r="B47" s="0" t="n">
        <f aca="false">(SUMPRODUCT(C19:L19/(1+B45/100)^C4:L4)+B46/(1+B45/100)^L4+Assumptions!$B$5-Assumptions!$B$4)/Assumptions!$B$3*Assumptions!$B$10</f>
        <v>25.7580639228258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142</v>
      </c>
    </row>
    <row r="3" customFormat="false" ht="15" hidden="false" customHeight="false" outlineLevel="0" collapsed="false">
      <c r="A3" s="0" t="s">
        <v>111</v>
      </c>
      <c r="B3" s="0" t="s">
        <v>72</v>
      </c>
      <c r="C3" s="2" t="s">
        <v>86</v>
      </c>
      <c r="D3" s="2" t="s">
        <v>87</v>
      </c>
      <c r="E3" s="2" t="s">
        <v>88</v>
      </c>
      <c r="F3" s="2" t="s">
        <v>89</v>
      </c>
      <c r="G3" s="2" t="s">
        <v>90</v>
      </c>
      <c r="H3" s="2" t="s">
        <v>91</v>
      </c>
      <c r="I3" s="2" t="s">
        <v>92</v>
      </c>
      <c r="J3" s="2" t="s">
        <v>93</v>
      </c>
      <c r="K3" s="2" t="s">
        <v>94</v>
      </c>
      <c r="L3" s="2" t="s">
        <v>95</v>
      </c>
    </row>
    <row r="4" customFormat="false" ht="15" hidden="false" customHeight="false" outlineLevel="0" collapsed="false">
      <c r="A4" s="0" t="s">
        <v>112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96</v>
      </c>
      <c r="C5" s="4" t="n">
        <f aca="false">Assumptions!C41</f>
        <v>-13</v>
      </c>
      <c r="D5" s="4" t="n">
        <f aca="false">Assumptions!D41</f>
        <v>6</v>
      </c>
      <c r="E5" s="4" t="n">
        <f aca="false">Assumptions!E41</f>
        <v>8</v>
      </c>
      <c r="F5" s="4" t="n">
        <f aca="false">Assumptions!F41</f>
        <v>8</v>
      </c>
      <c r="G5" s="4" t="n">
        <f aca="false">Assumptions!G41</f>
        <v>7</v>
      </c>
      <c r="H5" s="4" t="n">
        <f aca="false">Assumptions!H41</f>
        <v>6</v>
      </c>
      <c r="I5" s="4" t="n">
        <f aca="false">Assumptions!I41</f>
        <v>5</v>
      </c>
      <c r="J5" s="4" t="n">
        <f aca="false">Assumptions!J41</f>
        <v>4</v>
      </c>
      <c r="K5" s="4" t="n">
        <f aca="false">Assumptions!K41</f>
        <v>3.5</v>
      </c>
      <c r="L5" s="4" t="n">
        <f aca="false">Assumptions!L41</f>
        <v>3</v>
      </c>
    </row>
    <row r="6" customFormat="false" ht="15" hidden="false" customHeight="false" outlineLevel="0" collapsed="false">
      <c r="A6" s="0" t="s">
        <v>38</v>
      </c>
      <c r="B6" s="3" t="n">
        <v>12020.35</v>
      </c>
      <c r="C6" s="0" t="n">
        <f aca="false">B6*(1+C5/100)</f>
        <v>10457.7045</v>
      </c>
      <c r="D6" s="0" t="n">
        <f aca="false">C6*(1+D5/100)</f>
        <v>11085.16677</v>
      </c>
      <c r="E6" s="0" t="n">
        <f aca="false">D6*(1+E5/100)</f>
        <v>11971.9801116</v>
      </c>
      <c r="F6" s="0" t="n">
        <f aca="false">E6*(1+F5/100)</f>
        <v>12929.738520528</v>
      </c>
      <c r="G6" s="0" t="n">
        <f aca="false">F6*(1+G5/100)</f>
        <v>13834.820216965</v>
      </c>
      <c r="H6" s="0" t="n">
        <f aca="false">G6*(1+H5/100)</f>
        <v>14664.9094299829</v>
      </c>
      <c r="I6" s="0" t="n">
        <f aca="false">H6*(1+I5/100)</f>
        <v>15398.154901482</v>
      </c>
      <c r="J6" s="0" t="n">
        <f aca="false">I6*(1+J5/100)</f>
        <v>16014.0810975413</v>
      </c>
      <c r="K6" s="0" t="n">
        <f aca="false">J6*(1+K5/100)</f>
        <v>16574.5739359552</v>
      </c>
      <c r="L6" s="0" t="n">
        <f aca="false">K6*(1+L5/100)</f>
        <v>17071.8111540339</v>
      </c>
    </row>
    <row r="7" customFormat="false" ht="15" hidden="false" customHeight="false" outlineLevel="0" collapsed="false">
      <c r="A7" s="0" t="s">
        <v>97</v>
      </c>
      <c r="C7" s="4" t="n">
        <f aca="false">Assumptions!C42</f>
        <v>27</v>
      </c>
      <c r="D7" s="4" t="n">
        <f aca="false">Assumptions!D42</f>
        <v>27.5</v>
      </c>
      <c r="E7" s="4" t="n">
        <f aca="false">Assumptions!E42</f>
        <v>28</v>
      </c>
      <c r="F7" s="4" t="n">
        <f aca="false">Assumptions!F42</f>
        <v>28.5</v>
      </c>
      <c r="G7" s="4" t="n">
        <f aca="false">Assumptions!G42</f>
        <v>29</v>
      </c>
      <c r="H7" s="4" t="n">
        <f aca="false">Assumptions!H42</f>
        <v>29.5</v>
      </c>
      <c r="I7" s="4" t="n">
        <f aca="false">Assumptions!I42</f>
        <v>29.5</v>
      </c>
      <c r="J7" s="4" t="n">
        <f aca="false">Assumptions!J42</f>
        <v>29.5</v>
      </c>
      <c r="K7" s="4" t="n">
        <f aca="false">Assumptions!K42</f>
        <v>29.5</v>
      </c>
      <c r="L7" s="4" t="n">
        <f aca="false">Assumptions!L42</f>
        <v>29.5</v>
      </c>
    </row>
    <row r="8" customFormat="false" ht="15" hidden="false" customHeight="false" outlineLevel="0" collapsed="false">
      <c r="A8" s="0" t="s">
        <v>44</v>
      </c>
      <c r="C8" s="0" t="n">
        <f aca="false">C6*C7/100</f>
        <v>2823.580215</v>
      </c>
      <c r="D8" s="0" t="n">
        <f aca="false">D6*D7/100</f>
        <v>3048.42086175</v>
      </c>
      <c r="E8" s="0" t="n">
        <f aca="false">E6*E7/100</f>
        <v>3352.154431248</v>
      </c>
      <c r="F8" s="0" t="n">
        <f aca="false">F6*F7/100</f>
        <v>3684.97547835048</v>
      </c>
      <c r="G8" s="0" t="n">
        <f aca="false">G6*G7/100</f>
        <v>4012.09786291984</v>
      </c>
      <c r="H8" s="0" t="n">
        <f aca="false">H6*H7/100</f>
        <v>4326.14828184494</v>
      </c>
      <c r="I8" s="0" t="n">
        <f aca="false">I6*I7/100</f>
        <v>4542.45569593719</v>
      </c>
      <c r="J8" s="0" t="n">
        <f aca="false">J6*J7/100</f>
        <v>4724.15392377468</v>
      </c>
      <c r="K8" s="0" t="n">
        <f aca="false">K6*K7/100</f>
        <v>4889.49931110679</v>
      </c>
      <c r="L8" s="0" t="n">
        <f aca="false">L6*L7/100</f>
        <v>5036.18429044</v>
      </c>
    </row>
    <row r="9" customFormat="false" ht="15" hidden="false" customHeight="false" outlineLevel="0" collapsed="false">
      <c r="A9" s="0" t="s">
        <v>98</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113</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114</v>
      </c>
      <c r="C11" s="0" t="n">
        <f aca="false">C8+C10+C24</f>
        <v>2823.580215</v>
      </c>
      <c r="D11" s="0" t="n">
        <f aca="false">D8+D10+D24</f>
        <v>3048.42086175</v>
      </c>
      <c r="E11" s="0" t="n">
        <f aca="false">E8+E10+E24</f>
        <v>3352.154431248</v>
      </c>
      <c r="F11" s="0" t="n">
        <f aca="false">F8+F10+F24</f>
        <v>3684.97547835048</v>
      </c>
      <c r="G11" s="0" t="n">
        <f aca="false">G8+G10+G24</f>
        <v>4012.09786291984</v>
      </c>
      <c r="H11" s="0" t="n">
        <f aca="false">H8+H10+H24</f>
        <v>4326.14828184494</v>
      </c>
      <c r="I11" s="0" t="n">
        <f aca="false">I8+I10+I24</f>
        <v>4542.45569593719</v>
      </c>
      <c r="J11" s="0" t="n">
        <f aca="false">J8+J10+J24</f>
        <v>4724.15392377468</v>
      </c>
      <c r="K11" s="0" t="n">
        <f aca="false">K8+K10+K24</f>
        <v>4889.49931110679</v>
      </c>
      <c r="L11" s="0" t="n">
        <f aca="false">L8+L10+L24</f>
        <v>5036.18429044</v>
      </c>
    </row>
    <row r="12" customFormat="false" ht="15" hidden="false" customHeight="false" outlineLevel="0" collapsed="false">
      <c r="A12" s="0" t="s">
        <v>115</v>
      </c>
      <c r="C12" s="4" t="n">
        <f aca="false">-C6*Assumptions!C45/100</f>
        <v>-606.546861</v>
      </c>
      <c r="D12" s="4" t="n">
        <f aca="false">-D6*Assumptions!D45/100</f>
        <v>-631.85450589</v>
      </c>
      <c r="E12" s="4" t="n">
        <f aca="false">-E6*Assumptions!E45/100</f>
        <v>-670.4308862496</v>
      </c>
      <c r="F12" s="4" t="n">
        <f aca="false">-F6*Assumptions!F45/100</f>
        <v>-711.13561862904</v>
      </c>
      <c r="G12" s="4" t="n">
        <f aca="false">-G6*Assumptions!G45/100</f>
        <v>-760.915111933073</v>
      </c>
      <c r="H12" s="4" t="n">
        <f aca="false">-H6*Assumptions!H45/100</f>
        <v>-806.570018649057</v>
      </c>
      <c r="I12" s="4" t="n">
        <f aca="false">-I6*Assumptions!I45/100</f>
        <v>-846.89851958151</v>
      </c>
      <c r="J12" s="4" t="n">
        <f aca="false">-J6*Assumptions!J45/100</f>
        <v>-880.774460364771</v>
      </c>
      <c r="K12" s="4" t="n">
        <f aca="false">-K6*Assumptions!K45/100</f>
        <v>-911.601566477538</v>
      </c>
      <c r="L12" s="4" t="n">
        <f aca="false">-L6*Assumptions!L45/100</f>
        <v>-938.949613471864</v>
      </c>
    </row>
    <row r="13" customFormat="false" ht="15" hidden="false" customHeight="false" outlineLevel="0" collapsed="false">
      <c r="A13" s="0" t="s">
        <v>116</v>
      </c>
      <c r="C13" s="0" t="n">
        <f aca="false">C11+C12</f>
        <v>2217.033354</v>
      </c>
      <c r="D13" s="0" t="n">
        <f aca="false">D11+D12</f>
        <v>2416.56635586</v>
      </c>
      <c r="E13" s="0" t="n">
        <f aca="false">E11+E12</f>
        <v>2681.7235449984</v>
      </c>
      <c r="F13" s="0" t="n">
        <f aca="false">F11+F12</f>
        <v>2973.83985972144</v>
      </c>
      <c r="G13" s="0" t="n">
        <f aca="false">G11+G12</f>
        <v>3251.18275098677</v>
      </c>
      <c r="H13" s="0" t="n">
        <f aca="false">H11+H12</f>
        <v>3519.57826319589</v>
      </c>
      <c r="I13" s="0" t="n">
        <f aca="false">I11+I12</f>
        <v>3695.55717635568</v>
      </c>
      <c r="J13" s="0" t="n">
        <f aca="false">J11+J12</f>
        <v>3843.37946340991</v>
      </c>
      <c r="K13" s="0" t="n">
        <f aca="false">K11+K12</f>
        <v>3977.89774462925</v>
      </c>
      <c r="L13" s="0" t="n">
        <f aca="false">L11+L12</f>
        <v>4097.23467696813</v>
      </c>
    </row>
    <row r="14" customFormat="false" ht="15" hidden="false" customHeight="false" outlineLevel="0" collapsed="false">
      <c r="A14" s="0" t="s">
        <v>102</v>
      </c>
      <c r="C14" s="4" t="n">
        <f aca="false">Assumptions!C47</f>
        <v>29</v>
      </c>
      <c r="D14" s="4" t="n">
        <f aca="false">Assumptions!D47</f>
        <v>29</v>
      </c>
      <c r="E14" s="4" t="n">
        <f aca="false">Assumptions!E47</f>
        <v>29</v>
      </c>
      <c r="F14" s="4" t="n">
        <f aca="false">Assumptions!F47</f>
        <v>29</v>
      </c>
      <c r="G14" s="4" t="n">
        <f aca="false">Assumptions!G47</f>
        <v>29</v>
      </c>
      <c r="H14" s="4" t="n">
        <f aca="false">Assumptions!H47</f>
        <v>29</v>
      </c>
      <c r="I14" s="4" t="n">
        <f aca="false">Assumptions!I47</f>
        <v>29</v>
      </c>
      <c r="J14" s="4" t="n">
        <f aca="false">Assumptions!J47</f>
        <v>29</v>
      </c>
      <c r="K14" s="4" t="n">
        <f aca="false">Assumptions!K47</f>
        <v>29</v>
      </c>
      <c r="L14" s="4" t="n">
        <f aca="false">Assumptions!L47</f>
        <v>29</v>
      </c>
    </row>
    <row r="15" customFormat="false" ht="15" hidden="false" customHeight="false" outlineLevel="0" collapsed="false">
      <c r="A15" s="0" t="s">
        <v>117</v>
      </c>
      <c r="C15" s="0" t="n">
        <f aca="false">C13-MAX(0,C13)*C14/100</f>
        <v>1574.09368134</v>
      </c>
      <c r="D15" s="0" t="n">
        <f aca="false">D13-MAX(0,D13)*D14/100</f>
        <v>1715.7621126606</v>
      </c>
      <c r="E15" s="0" t="n">
        <f aca="false">E13-MAX(0,E13)*E14/100</f>
        <v>1904.02371694886</v>
      </c>
      <c r="F15" s="0" t="n">
        <f aca="false">F13-MAX(0,F13)*F14/100</f>
        <v>2111.42630040222</v>
      </c>
      <c r="G15" s="0" t="n">
        <f aca="false">G13-MAX(0,G13)*G14/100</f>
        <v>2308.3397532006</v>
      </c>
      <c r="H15" s="0" t="n">
        <f aca="false">H13-MAX(0,H13)*H14/100</f>
        <v>2498.90056686908</v>
      </c>
      <c r="I15" s="0" t="n">
        <f aca="false">I13-MAX(0,I13)*I14/100</f>
        <v>2623.84559521253</v>
      </c>
      <c r="J15" s="0" t="n">
        <f aca="false">J13-MAX(0,J13)*J14/100</f>
        <v>2728.79941902103</v>
      </c>
      <c r="K15" s="0" t="n">
        <f aca="false">K13-MAX(0,K13)*K14/100</f>
        <v>2824.30739868677</v>
      </c>
      <c r="L15" s="0" t="n">
        <f aca="false">L13-MAX(0,L13)*L14/100</f>
        <v>2909.03662064737</v>
      </c>
    </row>
    <row r="16" customFormat="false" ht="15" hidden="false" customHeight="false" outlineLevel="0" collapsed="false">
      <c r="A16" s="0" t="s">
        <v>118</v>
      </c>
      <c r="C16" s="0" t="n">
        <f aca="false">-C12</f>
        <v>606.546861</v>
      </c>
      <c r="D16" s="0" t="n">
        <f aca="false">-D12</f>
        <v>631.85450589</v>
      </c>
      <c r="E16" s="0" t="n">
        <f aca="false">-E12</f>
        <v>670.4308862496</v>
      </c>
      <c r="F16" s="0" t="n">
        <f aca="false">-F12</f>
        <v>711.13561862904</v>
      </c>
      <c r="G16" s="0" t="n">
        <f aca="false">-G12</f>
        <v>760.915111933073</v>
      </c>
      <c r="H16" s="0" t="n">
        <f aca="false">-H12</f>
        <v>806.570018649057</v>
      </c>
      <c r="I16" s="0" t="n">
        <f aca="false">-I12</f>
        <v>846.89851958151</v>
      </c>
      <c r="J16" s="0" t="n">
        <f aca="false">-J12</f>
        <v>880.774460364771</v>
      </c>
      <c r="K16" s="0" t="n">
        <f aca="false">-K12</f>
        <v>911.601566477538</v>
      </c>
      <c r="L16" s="0" t="n">
        <f aca="false">-L12</f>
        <v>938.949613471864</v>
      </c>
    </row>
    <row r="17" customFormat="false" ht="15" hidden="false" customHeight="false" outlineLevel="0" collapsed="false">
      <c r="A17" s="0" t="s">
        <v>119</v>
      </c>
      <c r="C17" s="4" t="n">
        <f aca="false">-C6*Assumptions!C46/100</f>
        <v>-575.1737475</v>
      </c>
      <c r="D17" s="4" t="n">
        <f aca="false">-D6*Assumptions!D46/100</f>
        <v>-665.1100062</v>
      </c>
      <c r="E17" s="4" t="n">
        <f aca="false">-E6*Assumptions!E46/100</f>
        <v>-718.318806696</v>
      </c>
      <c r="F17" s="4" t="n">
        <f aca="false">-F6*Assumptions!F46/100</f>
        <v>-775.78431123168</v>
      </c>
      <c r="G17" s="4" t="n">
        <f aca="false">-G6*Assumptions!G46/100</f>
        <v>-760.915111933073</v>
      </c>
      <c r="H17" s="4" t="n">
        <f aca="false">-H6*Assumptions!H46/100</f>
        <v>-806.570018649057</v>
      </c>
      <c r="I17" s="4" t="n">
        <f aca="false">-I6*Assumptions!I46/100</f>
        <v>-846.89851958151</v>
      </c>
      <c r="J17" s="4" t="n">
        <f aca="false">-J6*Assumptions!J46/100</f>
        <v>-880.774460364771</v>
      </c>
      <c r="K17" s="4" t="n">
        <f aca="false">-K6*Assumptions!K46/100</f>
        <v>-911.601566477538</v>
      </c>
      <c r="L17" s="4" t="n">
        <f aca="false">-L6*Assumptions!L46/100</f>
        <v>-938.949613471864</v>
      </c>
    </row>
    <row r="18" customFormat="false" ht="15" hidden="false" customHeight="false" outlineLevel="0" collapsed="false">
      <c r="A18" s="0" t="s">
        <v>120</v>
      </c>
      <c r="C18" s="4" t="n">
        <f aca="false">(C6-B6)*Assumptions!$B$51/100</f>
        <v>234.396825</v>
      </c>
      <c r="D18" s="4" t="n">
        <f aca="false">(D6-C6)*Assumptions!$B$51/100</f>
        <v>-94.1193405</v>
      </c>
      <c r="E18" s="4" t="n">
        <f aca="false">(E6-D6)*Assumptions!$B$51/100</f>
        <v>-133.02200124</v>
      </c>
      <c r="F18" s="4" t="n">
        <f aca="false">(F6-E6)*Assumptions!$B$51/100</f>
        <v>-143.6637613392</v>
      </c>
      <c r="G18" s="4" t="n">
        <f aca="false">(G6-F6)*Assumptions!$B$51/100</f>
        <v>-135.762254465544</v>
      </c>
      <c r="H18" s="4" t="n">
        <f aca="false">(H6-G6)*Assumptions!$B$51/100</f>
        <v>-124.513381952685</v>
      </c>
      <c r="I18" s="4" t="n">
        <f aca="false">(I6-H6)*Assumptions!$B$51/100</f>
        <v>-109.986820724872</v>
      </c>
      <c r="J18" s="4" t="n">
        <f aca="false">(J6-I6)*Assumptions!$B$51/100</f>
        <v>-92.3889294088922</v>
      </c>
      <c r="K18" s="4" t="n">
        <f aca="false">(K6-J6)*Assumptions!$B$51/100</f>
        <v>-84.0739257620916</v>
      </c>
      <c r="L18" s="4" t="n">
        <f aca="false">(L6-K6)*Assumptions!$B$51/100</f>
        <v>-74.5855827117988</v>
      </c>
    </row>
    <row r="19" customFormat="false" ht="15" hidden="false" customHeight="false" outlineLevel="0" collapsed="false">
      <c r="A19" s="0" t="s">
        <v>121</v>
      </c>
      <c r="C19" s="0" t="n">
        <f aca="false">C15+C16+C17+C18</f>
        <v>1839.86361984</v>
      </c>
      <c r="D19" s="0" t="n">
        <f aca="false">D15+D16+D17+D18</f>
        <v>1588.3872718506</v>
      </c>
      <c r="E19" s="0" t="n">
        <f aca="false">E15+E16+E17+E18</f>
        <v>1723.11379526246</v>
      </c>
      <c r="F19" s="0" t="n">
        <f aca="false">F15+F16+F17+F18</f>
        <v>1903.11384646038</v>
      </c>
      <c r="G19" s="0" t="n">
        <f aca="false">G15+G16+G17+G18</f>
        <v>2172.57749873506</v>
      </c>
      <c r="H19" s="0" t="n">
        <f aca="false">H15+H16+H17+H18</f>
        <v>2374.38718491639</v>
      </c>
      <c r="I19" s="0" t="n">
        <f aca="false">I15+I16+I17+I18</f>
        <v>2513.85877448766</v>
      </c>
      <c r="J19" s="0" t="n">
        <f aca="false">J15+J16+J17+J18</f>
        <v>2636.41048961214</v>
      </c>
      <c r="K19" s="0" t="n">
        <f aca="false">K15+K16+K17+K18</f>
        <v>2740.23347292468</v>
      </c>
      <c r="L19" s="0" t="n">
        <f aca="false">L15+L16+L17+L18</f>
        <v>2834.45103793558</v>
      </c>
    </row>
    <row r="20" customFormat="false" ht="15" hidden="false" customHeight="false" outlineLevel="0" collapsed="false">
      <c r="A20" s="0" t="s">
        <v>122</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123</v>
      </c>
      <c r="C21" s="0" t="n">
        <f aca="false">C19*C20</f>
        <v>1687.94827508257</v>
      </c>
      <c r="D21" s="0" t="n">
        <f aca="false">D19*D20</f>
        <v>1336.9137882759</v>
      </c>
      <c r="E21" s="0" t="n">
        <f aca="false">E19*E20</f>
        <v>1330.560006967</v>
      </c>
      <c r="F21" s="0" t="n">
        <f aca="false">F19*F20</f>
        <v>1348.21382835979</v>
      </c>
      <c r="G21" s="0" t="n">
        <f aca="false">G19*G20</f>
        <v>1412.02630559347</v>
      </c>
      <c r="H21" s="0" t="n">
        <f aca="false">H19*H20</f>
        <v>1415.76949972636</v>
      </c>
      <c r="I21" s="0" t="n">
        <f aca="false">I19*I20</f>
        <v>1375.16683634461</v>
      </c>
      <c r="J21" s="0" t="n">
        <f aca="false">J19*J20</f>
        <v>1323.12552411191</v>
      </c>
      <c r="K21" s="0" t="n">
        <f aca="false">K19*K20</f>
        <v>1261.67961329495</v>
      </c>
      <c r="L21" s="0" t="n">
        <f aca="false">L19*L20</f>
        <v>1197.30275004069</v>
      </c>
    </row>
    <row r="23" customFormat="false" ht="15" hidden="false" customHeight="false" outlineLevel="0" collapsed="false">
      <c r="A23" s="0" t="s">
        <v>99</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125</v>
      </c>
    </row>
    <row r="27" customFormat="false" ht="15" hidden="false" customHeight="false" outlineLevel="0" collapsed="false">
      <c r="A27" s="0" t="s">
        <v>103</v>
      </c>
      <c r="B27" s="4" t="n">
        <f aca="false">Assumptions!$B$48</f>
        <v>9</v>
      </c>
    </row>
    <row r="28" customFormat="false" ht="15" hidden="false" customHeight="false" outlineLevel="0" collapsed="false">
      <c r="A28" s="0" t="s">
        <v>104</v>
      </c>
      <c r="B28" s="4" t="n">
        <f aca="false">Assumptions!$B$49</f>
        <v>3</v>
      </c>
    </row>
    <row r="29" customFormat="false" ht="15" hidden="false" customHeight="false" outlineLevel="0" collapsed="false">
      <c r="A29" s="0" t="s">
        <v>105</v>
      </c>
      <c r="B29" s="4" t="n">
        <f aca="false">Assumptions!$B$50</f>
        <v>15</v>
      </c>
    </row>
    <row r="30" customFormat="false" ht="15" hidden="false" customHeight="false" outlineLevel="0" collapsed="false">
      <c r="A30" s="0" t="s">
        <v>126</v>
      </c>
      <c r="B30" s="0" t="n">
        <f aca="false">SUM(C21:L21)</f>
        <v>13688.7064277973</v>
      </c>
    </row>
    <row r="31" customFormat="false" ht="15" hidden="false" customHeight="false" outlineLevel="0" collapsed="false">
      <c r="A31" s="0" t="s">
        <v>127</v>
      </c>
      <c r="B31" s="0" t="n">
        <f aca="false">L19</f>
        <v>2834.45103793558</v>
      </c>
    </row>
    <row r="32" customFormat="false" ht="15" hidden="false" customHeight="false" outlineLevel="0" collapsed="false">
      <c r="A32" s="0" t="s">
        <v>128</v>
      </c>
      <c r="B32" s="0" t="n">
        <f aca="false">IF(B27&gt;B28,B31*(1+B28/100)/((B27-B28)/100),B31*B29)</f>
        <v>48658.0761512274</v>
      </c>
    </row>
    <row r="33" customFormat="false" ht="15" hidden="false" customHeight="false" outlineLevel="0" collapsed="false">
      <c r="A33" s="0" t="s">
        <v>129</v>
      </c>
      <c r="B33" s="0" t="n">
        <f aca="false">B31*B29</f>
        <v>42516.7655690336</v>
      </c>
    </row>
    <row r="34" customFormat="false" ht="15" hidden="false" customHeight="false" outlineLevel="0" collapsed="false">
      <c r="A34" s="0" t="s">
        <v>130</v>
      </c>
      <c r="B34" s="0" t="n">
        <f aca="false">MAX(0,MIN(B32,B33))</f>
        <v>42516.7655690336</v>
      </c>
    </row>
    <row r="35" customFormat="false" ht="15" hidden="false" customHeight="false" outlineLevel="0" collapsed="false">
      <c r="A35" s="0" t="s">
        <v>131</v>
      </c>
      <c r="B35" s="0" t="n">
        <f aca="false">B34/(1+B27/100)^L4</f>
        <v>17959.5412506103</v>
      </c>
    </row>
    <row r="36" customFormat="false" ht="15" hidden="false" customHeight="false" outlineLevel="0" collapsed="false">
      <c r="A36" s="0" t="s">
        <v>132</v>
      </c>
      <c r="B36" s="0" t="n">
        <f aca="false">B30+B35</f>
        <v>31648.2476784076</v>
      </c>
    </row>
    <row r="37" customFormat="false" ht="15" hidden="false" customHeight="false" outlineLevel="0" collapsed="false">
      <c r="A37" s="0" t="s">
        <v>133</v>
      </c>
      <c r="B37" s="0" t="n">
        <f aca="false">B36+Assumptions!$B$5-Assumptions!$B$4</f>
        <v>38270.3476784076</v>
      </c>
    </row>
    <row r="38" customFormat="false" ht="15" hidden="false" customHeight="false" outlineLevel="0" collapsed="false">
      <c r="A38" s="0" t="s">
        <v>134</v>
      </c>
      <c r="B38" s="0" t="n">
        <f aca="false">B37/Assumptions!$B$3*Assumptions!$B$10</f>
        <v>50.5411148776851</v>
      </c>
    </row>
    <row r="39" customFormat="false" ht="15" hidden="false" customHeight="false" outlineLevel="0" collapsed="false">
      <c r="A39" s="0" t="s">
        <v>135</v>
      </c>
      <c r="B39" s="4" t="n">
        <f aca="false">B38/Assumptions!$B$2-1</f>
        <v>1.37728668286383</v>
      </c>
    </row>
    <row r="41" customFormat="false" ht="15" hidden="false" customHeight="false" outlineLevel="0" collapsed="false">
      <c r="A41" s="0" t="s">
        <v>136</v>
      </c>
      <c r="B41" s="0" t="n">
        <f aca="false">SUMPRODUCT(-C10:L10/(1+$B$27/100)^C4:L4)</f>
        <v>0</v>
      </c>
    </row>
    <row r="42" customFormat="false" ht="15" hidden="false" customHeight="false" outlineLevel="0" collapsed="false">
      <c r="A42" s="0" t="s">
        <v>137</v>
      </c>
      <c r="B42" s="0" t="n">
        <f aca="false">IF(B27&gt;B28,-L10*(1+B28/100)/((B27-B28)/100),-L10*20)/(1+B27/100)^L4</f>
        <v>0</v>
      </c>
    </row>
    <row r="43" customFormat="false" ht="15" hidden="false" customHeight="false" outlineLevel="0" collapsed="false">
      <c r="A43" s="0" t="s">
        <v>138</v>
      </c>
      <c r="B43" s="0" t="n">
        <f aca="false">(B37+B41+B42)/Assumptions!$B$3*Assumptions!$B$10</f>
        <v>50.5411148776851</v>
      </c>
    </row>
    <row r="45" customFormat="false" ht="15" hidden="false" customHeight="false" outlineLevel="0" collapsed="false">
      <c r="A45" s="0" t="s">
        <v>79</v>
      </c>
      <c r="B45" s="4" t="n">
        <f aca="false">Assumptions!$B$6</f>
        <v>15</v>
      </c>
    </row>
    <row r="46" customFormat="false" ht="15" hidden="false" customHeight="false" outlineLevel="0" collapsed="false">
      <c r="A46" s="0" t="s">
        <v>139</v>
      </c>
      <c r="B46" s="0" t="n">
        <f aca="false">MAX(0,MIN(IF(B45&gt;B28,B31*(1+B28/100)/((B45-B28)/100),B31*B29),B31*B29))</f>
        <v>24329.0380756137</v>
      </c>
    </row>
    <row r="47" customFormat="false" ht="15" hidden="false" customHeight="false" outlineLevel="0" collapsed="false">
      <c r="A47" s="0" t="s">
        <v>140</v>
      </c>
      <c r="B47" s="0" t="n">
        <f aca="false">(SUMPRODUCT(C19:L19/(1+B45/100)^C4:L4)+B46/(1+B45/100)^L4+Assumptions!$B$5-Assumptions!$B$4)/Assumptions!$B$3*Assumptions!$B$10</f>
        <v>30.4419689700347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143</v>
      </c>
    </row>
    <row r="3" customFormat="false" ht="15" hidden="false" customHeight="false" outlineLevel="0" collapsed="false">
      <c r="A3" s="2" t="s">
        <v>144</v>
      </c>
      <c r="B3" s="2" t="s">
        <v>145</v>
      </c>
      <c r="C3" s="2" t="s">
        <v>135</v>
      </c>
      <c r="D3" s="2" t="s">
        <v>146</v>
      </c>
      <c r="E3" s="2" t="s">
        <v>138</v>
      </c>
      <c r="F3" s="2" t="s">
        <v>147</v>
      </c>
    </row>
    <row r="4" customFormat="false" ht="15" hidden="false" customHeight="false" outlineLevel="0" collapsed="false">
      <c r="A4" s="0" t="s">
        <v>148</v>
      </c>
      <c r="B4" s="4" t="n">
        <f aca="false">DCF_Bear!$B$38</f>
        <v>23.4239170184515</v>
      </c>
      <c r="C4" s="0" t="n">
        <f aca="false">B4/Assumptions!$B$2-1</f>
        <v>0.10178349099019</v>
      </c>
      <c r="D4" s="4" t="n">
        <f aca="false">Assumptions!$B$24</f>
        <v>0.25</v>
      </c>
      <c r="E4" s="4" t="n">
        <f aca="false">DCF_Bear!$B$43</f>
        <v>23.4239170184515</v>
      </c>
      <c r="F4" s="4" t="n">
        <f aca="false">DCF_Bear!$B$47</f>
        <v>18.6997962750647</v>
      </c>
    </row>
    <row r="5" customFormat="false" ht="15" hidden="false" customHeight="false" outlineLevel="0" collapsed="false">
      <c r="A5" s="0" t="s">
        <v>149</v>
      </c>
      <c r="B5" s="4" t="n">
        <f aca="false">DCF_Base!$B$38</f>
        <v>38.4700217150878</v>
      </c>
      <c r="C5" s="0" t="n">
        <f aca="false">B5/Assumptions!$B$2-1</f>
        <v>0.80950243250648</v>
      </c>
      <c r="D5" s="4" t="n">
        <f aca="false">Assumptions!$B$38</f>
        <v>0.5</v>
      </c>
      <c r="E5" s="4" t="n">
        <f aca="false">DCF_Base!$B$43</f>
        <v>38.4700217150878</v>
      </c>
      <c r="F5" s="4" t="n">
        <f aca="false">DCF_Base!$B$47</f>
        <v>25.7580639228258</v>
      </c>
    </row>
    <row r="6" customFormat="false" ht="15" hidden="false" customHeight="false" outlineLevel="0" collapsed="false">
      <c r="A6" s="0" t="s">
        <v>150</v>
      </c>
      <c r="B6" s="4" t="n">
        <f aca="false">DCF_Bull!$B$38</f>
        <v>50.5411148776851</v>
      </c>
      <c r="C6" s="0" t="n">
        <f aca="false">B6/Assumptions!$B$2-1</f>
        <v>1.37728668286383</v>
      </c>
      <c r="D6" s="4" t="n">
        <f aca="false">Assumptions!$B$52</f>
        <v>0.25</v>
      </c>
      <c r="E6" s="4" t="n">
        <f aca="false">DCF_Bull!$B$43</f>
        <v>50.5411148776851</v>
      </c>
      <c r="F6" s="4" t="n">
        <f aca="false">DCF_Bull!$B$47</f>
        <v>30.4419689700347</v>
      </c>
    </row>
    <row r="8" customFormat="false" ht="15" hidden="false" customHeight="false" outlineLevel="0" collapsed="false">
      <c r="A8" s="0" t="s">
        <v>151</v>
      </c>
      <c r="B8" s="0" t="n">
        <f aca="false">SUMPRODUCT(B4:B6,D4:D6)</f>
        <v>37.726268831578</v>
      </c>
    </row>
    <row r="9" customFormat="false" ht="15" hidden="false" customHeight="false" outlineLevel="0" collapsed="false">
      <c r="A9" s="0" t="s">
        <v>152</v>
      </c>
      <c r="B9" s="0" t="n">
        <f aca="false">SUMPRODUCT(E4:E6,D4:D6)</f>
        <v>37.726268831578</v>
      </c>
    </row>
    <row r="10" customFormat="false" ht="15" hidden="false" customHeight="false" outlineLevel="0" collapsed="false">
      <c r="A10" s="0" t="s">
        <v>153</v>
      </c>
      <c r="B10" s="0" t="n">
        <f aca="false">1-Assumptions!$B$2/B8</f>
        <v>0.436466932499703</v>
      </c>
    </row>
    <row r="11" customFormat="false" ht="15" hidden="false" customHeight="false" outlineLevel="0" collapsed="false">
      <c r="A11" s="0" t="s">
        <v>154</v>
      </c>
      <c r="B11" s="0" t="str">
        <f aca="false">IF(ABS(B9-B8)&gt;0.01*ABS(B8),(Assumptions!$B$2-B8)/(B9-B8)*100,"n/a")</f>
        <v>n/a</v>
      </c>
    </row>
    <row r="12" customFormat="false" ht="15" hidden="false" customHeight="false" outlineLevel="0" collapsed="false">
      <c r="A12" s="0" t="s">
        <v>155</v>
      </c>
      <c r="B12" s="0" t="n">
        <f aca="false">SUMPRODUCT(F4:F6,D4:D6)</f>
        <v>25.1644732726877</v>
      </c>
    </row>
    <row r="14" customFormat="false" ht="15" hidden="false" customHeight="false" outlineLevel="0" collapsed="false">
      <c r="A14" s="2" t="s">
        <v>156</v>
      </c>
      <c r="C14" s="0" t="s">
        <v>157</v>
      </c>
    </row>
    <row r="15" customFormat="false" ht="15" hidden="false" customHeight="false" outlineLevel="0" collapsed="false">
      <c r="A15" s="0" t="s">
        <v>158</v>
      </c>
      <c r="B15" s="0" t="n">
        <f aca="false">(SUMPRODUCT(DCF_Base!$C$19:$L$19/(1+$C$15/100)^DCF_Base!$C$4:$L$4)+MAX(0,MIN(IF($C$15&gt;DCF_Base!$B$28,DCF_Base!$L$19*(1+DCF_Base!$B$28/100)/(($C$15-DCF_Base!$B$28)/100),DCF_Base!$L$19*DCF_Base!$B$29),DCF_Base!$L$19*DCF_Base!$B$29))/(1+$C$15/100)^DCF_Base!$L$4+Assumptions!$B$5-Assumptions!$B$4)/Assumptions!$B$3*Assumptions!$B$10</f>
        <v>38.4700217150878</v>
      </c>
      <c r="C15" s="3" t="n">
        <v>9</v>
      </c>
    </row>
    <row r="16" customFormat="false" ht="15" hidden="false" customHeight="false" outlineLevel="0" collapsed="false">
      <c r="A16" s="0" t="s">
        <v>159</v>
      </c>
      <c r="B16" s="0" t="n">
        <f aca="false">(SUMPRODUCT(DCF_Base!$C$19:$L$19/(1+$C$16/100)^DCF_Base!$C$4:$L$4)+MAX(0,MIN(IF($C$16&gt;DCF_Base!$B$28,DCF_Base!$L$19*(1+DCF_Base!$B$28/100)/(($C$16-DCF_Base!$B$28)/100),DCF_Base!$L$19*DCF_Base!$B$29),DCF_Base!$L$19*DCF_Base!$B$29))/(1+$C$16/100)^DCF_Base!$L$4+Assumptions!$B$5-Assumptions!$B$4)/Assumptions!$B$3*Assumptions!$B$10</f>
        <v>36.5170454813882</v>
      </c>
      <c r="C16" s="3" t="n">
        <v>10</v>
      </c>
    </row>
    <row r="17" customFormat="false" ht="15" hidden="false" customHeight="false" outlineLevel="0" collapsed="false">
      <c r="A17" s="0" t="s">
        <v>160</v>
      </c>
      <c r="B17" s="0" t="n">
        <f aca="false">(SUMPRODUCT(DCF_Base!$C$19:$L$19/(1+$C$17/100)^DCF_Base!$C$4:$L$4)+MAX(0,MIN(IF($C$17&gt;DCF_Base!$B$28,DCF_Base!$L$19*(1+DCF_Base!$B$28/100)/(($C$17-DCF_Base!$B$28)/100),DCF_Base!$L$19*DCF_Base!$B$29),DCF_Base!$L$19*DCF_Base!$B$29))/(1+$C$17/100)^DCF_Base!$L$4+Assumptions!$B$5-Assumptions!$B$4)/Assumptions!$B$3*Assumptions!$B$10</f>
        <v>33.8369526629523</v>
      </c>
      <c r="C17" s="3" t="n">
        <v>11</v>
      </c>
    </row>
    <row r="18" customFormat="false" ht="15" hidden="false" customHeight="false" outlineLevel="0" collapsed="false">
      <c r="A18" s="0" t="s">
        <v>161</v>
      </c>
      <c r="B18" s="0" t="n">
        <f aca="false">(SUMPRODUCT(DCF_Base!$C$19:$L$19/(1+$C$18/100)^DCF_Base!$C$4:$L$4)+MAX(0,MIN(IF($C$18&gt;DCF_Base!$B$28,DCF_Base!$L$19*(1+DCF_Base!$B$28/100)/(($C$18-DCF_Base!$B$28)/100),DCF_Base!$L$19*DCF_Base!$B$29),DCF_Base!$L$19*DCF_Base!$B$29))/(1+$C$18/100)^DCF_Base!$L$4+Assumptions!$B$5-Assumptions!$B$4)/Assumptions!$B$3*Assumptions!$B$10</f>
        <v>31.1761137938135</v>
      </c>
      <c r="C18" s="3" t="n">
        <v>12</v>
      </c>
    </row>
    <row r="19" customFormat="false" ht="15" hidden="false" customHeight="false" outlineLevel="0" collapsed="false">
      <c r="A19" s="0" t="s">
        <v>162</v>
      </c>
      <c r="B19" s="0" t="n">
        <f aca="false">(SUMPRODUCT(DCF_Base!$C$19:$L$19/(1+$C$19/100)^DCF_Base!$C$4:$L$4)+MAX(0,MIN(IF($C$19&gt;DCF_Base!$B$28,DCF_Base!$L$19*(1+DCF_Base!$B$28/100)/(($C$19-DCF_Base!$B$28)/100),DCF_Base!$L$19*DCF_Base!$B$29),DCF_Base!$L$19*DCF_Base!$B$29))/(1+$C$19/100)^DCF_Base!$L$4+Assumptions!$B$5-Assumptions!$B$4)/Assumptions!$B$3*Assumptions!$B$10</f>
        <v>25.7580639228258</v>
      </c>
      <c r="C19" s="3" t="n">
        <v>15</v>
      </c>
    </row>
    <row r="21" customFormat="false" ht="15" hidden="false" customHeight="false" outlineLevel="0" collapsed="false">
      <c r="A21" s="2" t="s">
        <v>163</v>
      </c>
    </row>
    <row r="22" customFormat="false" ht="15" hidden="false" customHeight="false" outlineLevel="0" collapsed="false">
      <c r="B22" s="3" t="n">
        <v>1.5</v>
      </c>
      <c r="C22" s="3" t="n">
        <v>2</v>
      </c>
      <c r="D22" s="3" t="n">
        <v>2.5</v>
      </c>
      <c r="E22" s="3" t="n">
        <v>3</v>
      </c>
      <c r="F22" s="3" t="n">
        <v>3.5</v>
      </c>
    </row>
    <row r="23" customFormat="false" ht="15" hidden="false" customHeight="false" outlineLevel="0" collapsed="false">
      <c r="A23" s="3" t="n">
        <v>7</v>
      </c>
      <c r="B23" s="0" t="n">
        <f aca="false">(SUMPRODUCT(DCF_Base!$C$19:$L$19/(1+$A$23/100)^DCF_Base!$C$4:$L$4)+MAX(0,MIN(IF($A$23&gt;$B$22,DCF_Base!$L$19*(1+$B$22/100)/(($A$23-$B$22)/100),DCF_Base!$L$19*DCF_Base!$B$29),DCF_Base!$L$19*DCF_Base!$B$29))/(1+$A$23/100)^DCF_Base!$L$4+Assumptions!$B$5-Assumptions!$B$4)/Assumptions!$B$3*Assumptions!$B$10</f>
        <v>42.9527696689372</v>
      </c>
      <c r="C23" s="0" t="n">
        <f aca="false">(SUMPRODUCT(DCF_Base!$C$19:$L$19/(1+$A$23/100)^DCF_Base!$C$4:$L$4)+MAX(0,MIN(IF($A$23&gt;$C$22,DCF_Base!$L$19*(1+$C$22/100)/(($A$23-$C$22)/100),DCF_Base!$L$19*DCF_Base!$B$29),DCF_Base!$L$19*DCF_Base!$B$29))/(1+$A$23/100)^DCF_Base!$L$4+Assumptions!$B$5-Assumptions!$B$4)/Assumptions!$B$3*Assumptions!$B$10</f>
        <v>42.9527696689372</v>
      </c>
      <c r="D23" s="0" t="n">
        <f aca="false">(SUMPRODUCT(DCF_Base!$C$19:$L$19/(1+$A$23/100)^DCF_Base!$C$4:$L$4)+MAX(0,MIN(IF($A$23&gt;$D$22,DCF_Base!$L$19*(1+$D$22/100)/(($A$23-$D$22)/100),DCF_Base!$L$19*DCF_Base!$B$29),DCF_Base!$L$19*DCF_Base!$B$29))/(1+$A$23/100)^DCF_Base!$L$4+Assumptions!$B$5-Assumptions!$B$4)/Assumptions!$B$3*Assumptions!$B$10</f>
        <v>42.9527696689372</v>
      </c>
      <c r="E23" s="0" t="n">
        <f aca="false">(SUMPRODUCT(DCF_Base!$C$19:$L$19/(1+$A$23/100)^DCF_Base!$C$4:$L$4)+MAX(0,MIN(IF($A$23&gt;$E$22,DCF_Base!$L$19*(1+$E$22/100)/(($A$23-$E$22)/100),DCF_Base!$L$19*DCF_Base!$B$29),DCF_Base!$L$19*DCF_Base!$B$29))/(1+$A$23/100)^DCF_Base!$L$4+Assumptions!$B$5-Assumptions!$B$4)/Assumptions!$B$3*Assumptions!$B$10</f>
        <v>42.9527696689372</v>
      </c>
      <c r="F23" s="0" t="n">
        <f aca="false">(SUMPRODUCT(DCF_Base!$C$19:$L$19/(1+$A$23/100)^DCF_Base!$C$4:$L$4)+MAX(0,MIN(IF($A$23&gt;$F$22,DCF_Base!$L$19*(1+$F$22/100)/(($A$23-$F$22)/100),DCF_Base!$L$19*DCF_Base!$B$29),DCF_Base!$L$19*DCF_Base!$B$29))/(1+$A$23/100)^DCF_Base!$L$4+Assumptions!$B$5-Assumptions!$B$4)/Assumptions!$B$3*Assumptions!$B$10</f>
        <v>42.9527696689372</v>
      </c>
    </row>
    <row r="24" customFormat="false" ht="15" hidden="false" customHeight="false" outlineLevel="0" collapsed="false">
      <c r="A24" s="3" t="n">
        <v>8</v>
      </c>
      <c r="B24" s="0" t="n">
        <f aca="false">(SUMPRODUCT(DCF_Base!$C$19:$L$19/(1+$A$24/100)^DCF_Base!$C$4:$L$4)+MAX(0,MIN(IF($A$24&gt;$B$22,DCF_Base!$L$19*(1+$B$22/100)/(($A$24-$B$22)/100),DCF_Base!$L$19*DCF_Base!$B$29),DCF_Base!$L$19*DCF_Base!$B$29))/(1+$A$24/100)^DCF_Base!$L$4+Assumptions!$B$5-Assumptions!$B$4)/Assumptions!$B$3*Assumptions!$B$10</f>
        <v>40.6084352766545</v>
      </c>
      <c r="C24" s="0" t="n">
        <f aca="false">(SUMPRODUCT(DCF_Base!$C$19:$L$19/(1+$A$24/100)^DCF_Base!$C$4:$L$4)+MAX(0,MIN(IF($A$24&gt;$C$22,DCF_Base!$L$19*(1+$C$22/100)/(($A$24-$C$22)/100),DCF_Base!$L$19*DCF_Base!$B$29),DCF_Base!$L$19*DCF_Base!$B$29))/(1+$A$24/100)^DCF_Base!$L$4+Assumptions!$B$5-Assumptions!$B$4)/Assumptions!$B$3*Assumptions!$B$10</f>
        <v>40.6084352766545</v>
      </c>
      <c r="D24" s="0" t="n">
        <f aca="false">(SUMPRODUCT(DCF_Base!$C$19:$L$19/(1+$A$24/100)^DCF_Base!$C$4:$L$4)+MAX(0,MIN(IF($A$24&gt;$D$22,DCF_Base!$L$19*(1+$D$22/100)/(($A$24-$D$22)/100),DCF_Base!$L$19*DCF_Base!$B$29),DCF_Base!$L$19*DCF_Base!$B$29))/(1+$A$24/100)^DCF_Base!$L$4+Assumptions!$B$5-Assumptions!$B$4)/Assumptions!$B$3*Assumptions!$B$10</f>
        <v>40.6084352766545</v>
      </c>
      <c r="E24" s="0" t="n">
        <f aca="false">(SUMPRODUCT(DCF_Base!$C$19:$L$19/(1+$A$24/100)^DCF_Base!$C$4:$L$4)+MAX(0,MIN(IF($A$24&gt;$E$22,DCF_Base!$L$19*(1+$E$22/100)/(($A$24-$E$22)/100),DCF_Base!$L$19*DCF_Base!$B$29),DCF_Base!$L$19*DCF_Base!$B$29))/(1+$A$24/100)^DCF_Base!$L$4+Assumptions!$B$5-Assumptions!$B$4)/Assumptions!$B$3*Assumptions!$B$10</f>
        <v>40.6084352766545</v>
      </c>
      <c r="F24" s="0" t="n">
        <f aca="false">(SUMPRODUCT(DCF_Base!$C$19:$L$19/(1+$A$24/100)^DCF_Base!$C$4:$L$4)+MAX(0,MIN(IF($A$24&gt;$F$22,DCF_Base!$L$19*(1+$F$22/100)/(($A$24-$F$22)/100),DCF_Base!$L$19*DCF_Base!$B$29),DCF_Base!$L$19*DCF_Base!$B$29))/(1+$A$24/100)^DCF_Base!$L$4+Assumptions!$B$5-Assumptions!$B$4)/Assumptions!$B$3*Assumptions!$B$10</f>
        <v>40.6084352766545</v>
      </c>
    </row>
    <row r="25" customFormat="false" ht="15" hidden="false" customHeight="false" outlineLevel="0" collapsed="false">
      <c r="A25" s="3" t="n">
        <v>9</v>
      </c>
      <c r="B25" s="0" t="n">
        <f aca="false">(SUMPRODUCT(DCF_Base!$C$19:$L$19/(1+$A$25/100)^DCF_Base!$C$4:$L$4)+MAX(0,MIN(IF($A$25&gt;$B$22,DCF_Base!$L$19*(1+$B$22/100)/(($A$25-$B$22)/100),DCF_Base!$L$19*DCF_Base!$B$29),DCF_Base!$L$19*DCF_Base!$B$29))/(1+$A$25/100)^DCF_Base!$L$4+Assumptions!$B$5-Assumptions!$B$4)/Assumptions!$B$3*Assumptions!$B$10</f>
        <v>38.4700217150878</v>
      </c>
      <c r="C25" s="0" t="n">
        <f aca="false">(SUMPRODUCT(DCF_Base!$C$19:$L$19/(1+$A$25/100)^DCF_Base!$C$4:$L$4)+MAX(0,MIN(IF($A$25&gt;$C$22,DCF_Base!$L$19*(1+$C$22/100)/(($A$25-$C$22)/100),DCF_Base!$L$19*DCF_Base!$B$29),DCF_Base!$L$19*DCF_Base!$B$29))/(1+$A$25/100)^DCF_Base!$L$4+Assumptions!$B$5-Assumptions!$B$4)/Assumptions!$B$3*Assumptions!$B$10</f>
        <v>38.4700217150878</v>
      </c>
      <c r="D25" s="0" t="n">
        <f aca="false">(SUMPRODUCT(DCF_Base!$C$19:$L$19/(1+$A$25/100)^DCF_Base!$C$4:$L$4)+MAX(0,MIN(IF($A$25&gt;$D$22,DCF_Base!$L$19*(1+$D$22/100)/(($A$25-$D$22)/100),DCF_Base!$L$19*DCF_Base!$B$29),DCF_Base!$L$19*DCF_Base!$B$29))/(1+$A$25/100)^DCF_Base!$L$4+Assumptions!$B$5-Assumptions!$B$4)/Assumptions!$B$3*Assumptions!$B$10</f>
        <v>38.4700217150878</v>
      </c>
      <c r="E25" s="0" t="n">
        <f aca="false">(SUMPRODUCT(DCF_Base!$C$19:$L$19/(1+$A$25/100)^DCF_Base!$C$4:$L$4)+MAX(0,MIN(IF($A$25&gt;$E$22,DCF_Base!$L$19*(1+$E$22/100)/(($A$25-$E$22)/100),DCF_Base!$L$19*DCF_Base!$B$29),DCF_Base!$L$19*DCF_Base!$B$29))/(1+$A$25/100)^DCF_Base!$L$4+Assumptions!$B$5-Assumptions!$B$4)/Assumptions!$B$3*Assumptions!$B$10</f>
        <v>38.4700217150878</v>
      </c>
      <c r="F25" s="0" t="n">
        <f aca="false">(SUMPRODUCT(DCF_Base!$C$19:$L$19/(1+$A$25/100)^DCF_Base!$C$4:$L$4)+MAX(0,MIN(IF($A$25&gt;$F$22,DCF_Base!$L$19*(1+$F$22/100)/(($A$25-$F$22)/100),DCF_Base!$L$19*DCF_Base!$B$29),DCF_Base!$L$19*DCF_Base!$B$29))/(1+$A$25/100)^DCF_Base!$L$4+Assumptions!$B$5-Assumptions!$B$4)/Assumptions!$B$3*Assumptions!$B$10</f>
        <v>38.4700217150878</v>
      </c>
    </row>
    <row r="26" customFormat="false" ht="15" hidden="false" customHeight="false" outlineLevel="0" collapsed="false">
      <c r="A26" s="3" t="n">
        <v>10</v>
      </c>
      <c r="B26" s="0" t="n">
        <f aca="false">(SUMPRODUCT(DCF_Base!$C$19:$L$19/(1+$A$26/100)^DCF_Base!$C$4:$L$4)+MAX(0,MIN(IF($A$26&gt;$B$22,DCF_Base!$L$19*(1+$B$22/100)/(($A$26-$B$22)/100),DCF_Base!$L$19*DCF_Base!$B$29),DCF_Base!$L$19*DCF_Base!$B$29))/(1+$A$26/100)^DCF_Base!$L$4+Assumptions!$B$5-Assumptions!$B$4)/Assumptions!$B$3*Assumptions!$B$10</f>
        <v>35.4156592948636</v>
      </c>
      <c r="C26" s="0" t="n">
        <f aca="false">(SUMPRODUCT(DCF_Base!$C$19:$L$19/(1+$A$26/100)^DCF_Base!$C$4:$L$4)+MAX(0,MIN(IF($A$26&gt;$C$22,DCF_Base!$L$19*(1+$C$22/100)/(($A$26-$C$22)/100),DCF_Base!$L$19*DCF_Base!$B$29),DCF_Base!$L$19*DCF_Base!$B$29))/(1+$A$26/100)^DCF_Base!$L$4+Assumptions!$B$5-Assumptions!$B$4)/Assumptions!$B$3*Assumptions!$B$10</f>
        <v>36.2569959651255</v>
      </c>
      <c r="D26" s="0" t="n">
        <f aca="false">(SUMPRODUCT(DCF_Base!$C$19:$L$19/(1+$A$26/100)^DCF_Base!$C$4:$L$4)+MAX(0,MIN(IF($A$26&gt;$D$22,DCF_Base!$L$19*(1+$D$22/100)/(($A$26-$D$22)/100),DCF_Base!$L$19*DCF_Base!$B$29),DCF_Base!$L$19*DCF_Base!$B$29))/(1+$A$26/100)^DCF_Base!$L$4+Assumptions!$B$5-Assumptions!$B$4)/Assumptions!$B$3*Assumptions!$B$10</f>
        <v>36.5170454813882</v>
      </c>
      <c r="E26" s="0" t="n">
        <f aca="false">(SUMPRODUCT(DCF_Base!$C$19:$L$19/(1+$A$26/100)^DCF_Base!$C$4:$L$4)+MAX(0,MIN(IF($A$26&gt;$E$22,DCF_Base!$L$19*(1+$E$22/100)/(($A$26-$E$22)/100),DCF_Base!$L$19*DCF_Base!$B$29),DCF_Base!$L$19*DCF_Base!$B$29))/(1+$A$26/100)^DCF_Base!$L$4+Assumptions!$B$5-Assumptions!$B$4)/Assumptions!$B$3*Assumptions!$B$10</f>
        <v>36.5170454813882</v>
      </c>
      <c r="F26" s="0" t="n">
        <f aca="false">(SUMPRODUCT(DCF_Base!$C$19:$L$19/(1+$A$26/100)^DCF_Base!$C$4:$L$4)+MAX(0,MIN(IF($A$26&gt;$F$22,DCF_Base!$L$19*(1+$F$22/100)/(($A$26-$F$22)/100),DCF_Base!$L$19*DCF_Base!$B$29),DCF_Base!$L$19*DCF_Base!$B$29))/(1+$A$26/100)^DCF_Base!$L$4+Assumptions!$B$5-Assumptions!$B$4)/Assumptions!$B$3*Assumptions!$B$10</f>
        <v>36.5170454813882</v>
      </c>
    </row>
    <row r="27" customFormat="false" ht="15" hidden="false" customHeight="false" outlineLevel="0" collapsed="false">
      <c r="A27" s="3" t="n">
        <v>11</v>
      </c>
      <c r="B27" s="0" t="n">
        <f aca="false">(SUMPRODUCT(DCF_Base!$C$19:$L$19/(1+$A$27/100)^DCF_Base!$C$4:$L$4)+MAX(0,MIN(IF($A$27&gt;$B$22,DCF_Base!$L$19*(1+$B$22/100)/(($A$27-$B$22)/100),DCF_Base!$L$19*DCF_Base!$B$29),DCF_Base!$L$19*DCF_Base!$B$29))/(1+$A$27/100)^DCF_Base!$L$4+Assumptions!$B$5-Assumptions!$B$4)/Assumptions!$B$3*Assumptions!$B$10</f>
        <v>32.5308011642503</v>
      </c>
      <c r="C27" s="0" t="n">
        <f aca="false">(SUMPRODUCT(DCF_Base!$C$19:$L$19/(1+$A$27/100)^DCF_Base!$C$4:$L$4)+MAX(0,MIN(IF($A$27&gt;$C$22,DCF_Base!$L$19*(1+$C$22/100)/(($A$27-$C$22)/100),DCF_Base!$L$19*DCF_Base!$B$29),DCF_Base!$L$19*DCF_Base!$B$29))/(1+$A$27/100)^DCF_Base!$L$4+Assumptions!$B$5-Assumptions!$B$4)/Assumptions!$B$3*Assumptions!$B$10</f>
        <v>33.1475949275263</v>
      </c>
      <c r="D27" s="0" t="n">
        <f aca="false">(SUMPRODUCT(DCF_Base!$C$19:$L$19/(1+$A$27/100)^DCF_Base!$C$4:$L$4)+MAX(0,MIN(IF($A$27&gt;$D$22,DCF_Base!$L$19*(1+$D$22/100)/(($A$27-$D$22)/100),DCF_Base!$L$19*DCF_Base!$B$29),DCF_Base!$L$19*DCF_Base!$B$29))/(1+$A$27/100)^DCF_Base!$L$4+Assumptions!$B$5-Assumptions!$B$4)/Assumptions!$B$3*Assumptions!$B$10</f>
        <v>33.8369526629523</v>
      </c>
      <c r="E27" s="0" t="n">
        <f aca="false">(SUMPRODUCT(DCF_Base!$C$19:$L$19/(1+$A$27/100)^DCF_Base!$C$4:$L$4)+MAX(0,MIN(IF($A$27&gt;$E$22,DCF_Base!$L$19*(1+$E$22/100)/(($A$27-$E$22)/100),DCF_Base!$L$19*DCF_Base!$B$29),DCF_Base!$L$19*DCF_Base!$B$29))/(1+$A$27/100)^DCF_Base!$L$4+Assumptions!$B$5-Assumptions!$B$4)/Assumptions!$B$3*Assumptions!$B$10</f>
        <v>34.6124801153066</v>
      </c>
      <c r="F27" s="0" t="n">
        <f aca="false">(SUMPRODUCT(DCF_Base!$C$19:$L$19/(1+$A$27/100)^DCF_Base!$C$4:$L$4)+MAX(0,MIN(IF($A$27&gt;$F$22,DCF_Base!$L$19*(1+$F$22/100)/(($A$27-$F$22)/100),DCF_Base!$L$19*DCF_Base!$B$29),DCF_Base!$L$19*DCF_Base!$B$29))/(1+$A$27/100)^DCF_Base!$L$4+Assumptions!$B$5-Assumptions!$B$4)/Assumptions!$B$3*Assumptions!$B$10</f>
        <v>34.7312545899915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2026-10-16T12:55:01Z</dcterms:created>
  <dc:creator>openpyxl</dc:creator>
  <dc:description/>
  <dc:language>en-NZ</dc:language>
  <cp:lastModifiedBy/>
  <dcterms:modified xsi:type="dcterms:W3CDTF">2026-10-16T12:55:01Z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