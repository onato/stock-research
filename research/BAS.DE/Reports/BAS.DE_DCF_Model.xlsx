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<sst xmlns="http://schemas.openxmlformats.org/spreadsheetml/2006/main" count="357" uniqueCount="164">
  <si>
    <t xml:space="preserve">Ticker</t>
  </si>
  <si>
    <t xml:space="preserve">BAS.DE</t>
  </si>
  <si>
    <t xml:space="preserve">Company</t>
  </si>
  <si>
    <t xml:space="preserve">BASF SE</t>
  </si>
  <si>
    <t xml:space="preserve">Valuation date</t>
  </si>
  <si>
    <t xml:space="preserve">2026-10-25</t>
  </si>
  <si>
    <t xml:space="preserve">Current price</t>
  </si>
  <si>
    <t xml:space="preserve">Price as of</t>
  </si>
  <si>
    <t xml:space="preserve">2026-10-23T15:38:34Z (XETRA close, Friday; Yahoo chart API regularMarketTime)</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</si>
  <si>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</si>
  <si>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</si>
  <si>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</si>
  <si>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</si>
  <si>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</si>
  <si>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</si>
  <si>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</si>
  <si>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</si>
  <si>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</si>
  <si>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</si>
  <si>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</si>
  <si>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</si>
  <si>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2026-10-24T15:53:59Z</t>
  </si>
  <si>
    <t xml:space="preserve">Drivers file</t>
  </si>
  <si>
    <t xml:space="preserve">BAS.DE_Drivers.json</t>
  </si>
  <si>
    <t xml:space="preserve">Convention</t>
  </si>
  <si>
    <t xml:space="preserve">Percents stored as percents; formulas divide by 100. Blue = input, green = link, black = formula.</t>
  </si>
  <si>
    <t xml:space="preserve">Methodology</t>
  </si>
  <si>
    <t xml:space="preserve">summary: BASF is valued as a capital-intensive cyclical on an owner-FCF basis: unlevered free cash flow after lease cash, ~5-6% of sales capex and a working-capital drag on growth, discounted at a EUR 7.5% WACC with the terminal value capped at 15x FCF (12x in the bear) because the business is cyclical. The key finding is conversion: at a mid-cycle ~13% reported EBITDA margin, capex, lease, tax and working capital leave only ~30-35% of EBITDA as owner FCF, so the current price embeds delivery of the 2028 targets rather than the mid-cycle average. SBC is zero (cash-settled LTI), so the house and street bases coincide and band_position is null.
key_risks_to_valuation: Margin cycle: management sizes the chemicals margin sensitivity at more than EUR1bn of EBITDA; each 1pp of terminal EBITDA margin is worth several euros per share.; Zhanjiang (~EUR8.7bn) returns into an oversupplied Chinese market - the swing factor for the 2028 targets.; Recurring 'special items': the model treats ~0.6-0.9pp of sales as a permanent cost; if restructuring genuinely ends, the reported margin path is too low.; Agricultural Solutions IPO: a minority listing would add NCI and cash; a premium valuation could crystallise more than the consolidated DCF credits.; Equity-accounted stakes (Surventis 40%, Harbour, Wintershall Dea) are valued at book/market in the bridge; Surventis is LBO-levered, so its value is volatile.; Capex discipline: the EUR13bn 2026-29 plan sits below D&amp;A; a return to growth capex or ETS-driven decarbonisation spend would cut FCF.</t>
  </si>
  <si>
    <t xml:space="preserve">Data sources</t>
  </si>
  <si>
    <t xml:space="preserve">price: Yahoo Finance chart API (BAS.DE, XETRA, EUR) at inputs.price_as_of; 52-week range 41.48-55.05.
financials: BAS.DE_Metrics.csv (FY2017-FY2025, H1-2026); BASF Report 2025 (IAS 7 lease reconciliation, net debt, D&amp;A, buybacks); BASF Half-Year Financial Report 2026 (balance sheet 2026-06-30, cash-flow statement, net debt EUR17,117m, treasury shares, Coatings disposal note, equity-accounted investments note 6, adjusted FY2026 outlook).
qualitative: BAS.DE_Analysis.json (segments, guidance, bull/bear, risks, recent developments incl. Coatings sale, Agricultural Solutions IPO, Zhanjiang).</t>
  </si>
  <si>
    <t xml:space="preserve">Scenario narrative: bear</t>
  </si>
  <si>
    <t xml:space="preserve">The FY2023-25 trough proves structural. Chinese chemical capacity keeps a lid on upstream spreads (sector profits already fell two years running), Zhanjiang earns below its cost of capital, and European energy, EU ETS and US tariff pressure leave Ludwigshafen permanently disadvantaged. The H1-2026 strength (partly a Strait of Hormuz/oil-price effect) unwinds in 2027; reported EBITDA margin sits at 10-10.5%, the 2028 targets are abandoned, and capex has to rise back to ~6% of sales for decarbonisation and ETS compliance. Sales growth runs at 1-2% as automotive and construction stay weak.</t>
  </si>
  <si>
    <t xml:space="preserve">Scenario narrative: base</t>
  </si>
  <si>
    <t xml:space="preserve">BASF delivers the raised FY2026 guidance (EBITDA before special items EUR6.9-7.7bn, midpoint EUR7.3bn) on a +4.5% sales year helped by $80 Brent pass-through and the Zhanjiang start-up, then recovers only part of the way to its 2028 ambition. Chemicals and Nutrition &amp; Care lead (Zhanjiang ramp, Nutrition &amp; Health recovery after the 2024 isophytol fire), but the CEO's own warning that Zhanjiang returns are 'significantly lower than anticipated' and an 'overserved' Chinese market hold the reported EBITDA margin to ~13% (about 13.8% before special items, ~EUR9bn on ~EUR68bn sales by FY2031) - the bottom of the EUR9-11bn 2028 target range, reached three years late. Restructuring special items keep recurring at ~0.6-0.9pp of sales, as they have every year since 2019. Capex follows the EUR13bn 2026-29 plan, then normalises above D&amp;A. Owner FCF settles around EUR3.0-3.6bn.</t>
  </si>
  <si>
    <t xml:space="preserve">Scenario narrative: bull</t>
  </si>
  <si>
    <t xml:space="preserve">The 'Winning Ways' self-help plus a cyclical upturn land the 2028 targets on time: EBITDA before special items ~EUR10bn (14.5% reported) as Zhanjiang reaches full run-rate into a China market whose capacity discipline improves, European cost programmes and plant closures restore Ludwigshafen competitiveness, and Materials/Industrial Solutions volumes recover with automotive and construction. Capex stays under the EUR13bn plan, ROCE approaches the ~10% target, and the portfolio simplification (Coatings done, Agricultural Solutions IPO by mid-2027, silicates sold) sharpens capital allocation. Growth runs at 3-5% for five years on volume plus price.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</si>
  <si>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</si>
  <si>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</si>
  <si>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</si>
  <si>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</si>
  <si>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</si>
  <si>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</si>
  <si>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</si>
  <si>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</si>
  <si>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</si>
  <si>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</si>
  <si>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</si>
  <si>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</si>
  <si>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</si>
  <si>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</si>
  <si>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</si>
  <si>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</si>
  <si>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</si>
  <si>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</si>
  <si>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</si>
  <si>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</si>
  <si>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</si>
  <si>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</si>
  <si>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</si>
  <si>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</si>
  <si>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</si>
  <si>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</si>
  <si>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</si>
  <si>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</si>
  <si>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</si>
  <si>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</si>
  <si>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</si>
  <si>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</si>
  <si>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</si>
  <si>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</si>
  <si>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</si>
  <si>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</si>
  <si>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</si>
  <si>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</si>
  <si>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</si>
  <si>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</si>
  <si>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</si>
  <si>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</si>
  <si>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</si>
  <si>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</si>
  <si>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</si>
  <si>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</si>
  <si>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</si>
  <si>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</si>
  <si>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</si>
  <si>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</si>
  <si>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</si>
  <si>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</si>
  <si>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</si>
  <si>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</si>
  <si>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</si>
  <si>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</si>
  <si>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</si>
  <si>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</si>
  <si>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</si>
  <si>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</si>
  <si>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</si>
  <si>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</si>
  <si>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</si>
  <si>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</si>
  <si>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</si>
  <si>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</si>
  <si>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</si>
  <si>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</si>
  <si>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</si>
  <si>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</si>
  <si>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</si>
  <si>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</si>
  <si>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</si>
  <si>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BAS.DE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</si>
  <si>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</si>
  <si>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</si>
  <si>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</si>
  <si>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</si>
  <si>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</si>
  <si>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</si>
  <si>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</si>
  <si>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</si>
  <si>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</si>
  <si>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</si>
  <si>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</si>
  <si>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</si>
  <si>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</si>
  <si>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</si>
  <si>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</si>
  <si>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</si>
  <si>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</si>
  <si>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</si>
  <si>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</si>
  <si>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</si>
  <si>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</si>
  <si>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</si>
  <si>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</si>
  <si>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</si>
  <si>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</si>
  <si>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</si>
  <si>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</si>
  <si>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</si>
  <si>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</si>
  <si>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</si>
  <si>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BAS.DE owner-FCF component DCF: base case (millions, EUR)</t>
  </si>
  <si>
    <t xml:space="preserve">BAS.DE owner-FCF component DCF: bull case (millions, EUR)</t>
  </si>
  <si>
    <t xml:space="preserve">BAS.DE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</si>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</sst>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52.45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64475</v>
      </c>
      <c r="C2" s="0" t="n">
        <v>43929</v>
      </c>
      <c r="D2" s="0" t="n">
        <v>20546</v>
      </c>
      <c r="E2" s="0" t="n">
        <v>31.9</v>
      </c>
      <c r="F2" s="0" t="n">
        <v>8522</v>
      </c>
      <c r="G2" s="0" t="n">
        <v>13.2</v>
      </c>
      <c r="H2" s="0" t="n">
        <v>12724</v>
      </c>
      <c r="I2" s="0" t="n">
        <v>6078</v>
      </c>
      <c r="J2" s="0" t="n">
        <v>9.4</v>
      </c>
      <c r="K2" s="0" t="n">
        <v>6.61</v>
      </c>
      <c r="L2" s="0" t="n">
        <v>8785</v>
      </c>
      <c r="M2" s="0" t="n">
        <v>3996</v>
      </c>
      <c r="N2" s="0" t="n">
        <v>4789</v>
      </c>
      <c r="O2" s="0" t="n">
        <v>33837</v>
      </c>
      <c r="P2" s="0" t="n">
        <v>78768</v>
      </c>
      <c r="Q2" s="0" t="n">
        <v>44012</v>
      </c>
      <c r="R2" s="0" t="n">
        <v>18032</v>
      </c>
      <c r="S2" s="0" t="n">
        <v>6495</v>
      </c>
      <c r="T2" s="0" t="n">
        <v>918.479</v>
      </c>
      <c r="W2" s="0" t="n">
        <v>12527</v>
      </c>
      <c r="AA2" s="0" t="s">
        <v>17</v>
      </c>
      <c r="AB2" s="0" t="s">
        <v>14</v>
      </c>
    </row>
    <row r="3" customFormat="false" ht="15" hidden="false" customHeight="false" outlineLevel="0" collapsed="false">
      <c r="A3" s="0" t="s">
        <v>64</v>
      </c>
      <c r="B3" s="0" t="n">
        <v>62675</v>
      </c>
      <c r="C3" s="0" t="n">
        <v>44319</v>
      </c>
      <c r="D3" s="0" t="n">
        <v>18356</v>
      </c>
      <c r="E3" s="0" t="n">
        <v>29.3</v>
      </c>
      <c r="F3" s="0" t="n">
        <v>6033</v>
      </c>
      <c r="G3" s="0" t="n">
        <v>9.6</v>
      </c>
      <c r="H3" s="0" t="n">
        <v>9166</v>
      </c>
      <c r="I3" s="0" t="n">
        <v>4707</v>
      </c>
      <c r="J3" s="0" t="n">
        <v>7.5</v>
      </c>
      <c r="K3" s="0" t="n">
        <v>5.11</v>
      </c>
      <c r="L3" s="0" t="n">
        <v>7939</v>
      </c>
      <c r="M3" s="0" t="n">
        <v>3894</v>
      </c>
      <c r="N3" s="0" t="n">
        <v>4045</v>
      </c>
      <c r="O3" s="0" t="n">
        <v>35054</v>
      </c>
      <c r="P3" s="0" t="n">
        <v>86556</v>
      </c>
      <c r="Q3" s="0" t="n">
        <v>50447</v>
      </c>
      <c r="R3" s="0" t="n">
        <v>20841</v>
      </c>
      <c r="S3" s="0" t="n">
        <v>2300</v>
      </c>
      <c r="T3" s="0" t="n">
        <v>918.479</v>
      </c>
      <c r="W3" s="0" t="n">
        <v>9481</v>
      </c>
      <c r="AA3" s="0" t="s">
        <v>17</v>
      </c>
      <c r="AB3" s="0" t="s">
        <v>14</v>
      </c>
    </row>
    <row r="4" customFormat="false" ht="15" hidden="false" customHeight="false" outlineLevel="0" collapsed="false">
      <c r="A4" s="0" t="s">
        <v>65</v>
      </c>
      <c r="B4" s="0" t="n">
        <v>59316</v>
      </c>
      <c r="C4" s="0" t="n">
        <v>43061</v>
      </c>
      <c r="D4" s="0" t="n">
        <v>16255</v>
      </c>
      <c r="E4" s="0" t="n">
        <v>27.4</v>
      </c>
      <c r="F4" s="0" t="n">
        <v>4052</v>
      </c>
      <c r="G4" s="0" t="n">
        <v>6.8</v>
      </c>
      <c r="H4" s="0" t="n">
        <v>8036</v>
      </c>
      <c r="I4" s="0" t="n">
        <v>8421</v>
      </c>
      <c r="J4" s="0" t="n">
        <v>14.2</v>
      </c>
      <c r="K4" s="0" t="n">
        <v>9.15</v>
      </c>
      <c r="L4" s="0" t="n">
        <v>7474</v>
      </c>
      <c r="M4" s="0" t="n">
        <v>3824</v>
      </c>
      <c r="N4" s="0" t="n">
        <v>3650</v>
      </c>
      <c r="O4" s="0" t="n">
        <v>41497</v>
      </c>
      <c r="P4" s="0" t="n">
        <v>86950</v>
      </c>
      <c r="Q4" s="0" t="n">
        <v>44600</v>
      </c>
      <c r="R4" s="0" t="n">
        <v>18377</v>
      </c>
      <c r="S4" s="0" t="n">
        <v>2427</v>
      </c>
      <c r="T4" s="0" t="n">
        <v>920.044</v>
      </c>
      <c r="W4" s="0" t="n">
        <v>8217</v>
      </c>
      <c r="AA4" s="0" t="s">
        <v>17</v>
      </c>
      <c r="AB4" s="0" t="s">
        <v>14</v>
      </c>
    </row>
    <row r="5" customFormat="false" ht="15" hidden="false" customHeight="false" outlineLevel="0" collapsed="false">
      <c r="A5" s="0" t="s">
        <v>66</v>
      </c>
      <c r="B5" s="0" t="n">
        <v>59149</v>
      </c>
      <c r="C5" s="0" t="n">
        <v>44040</v>
      </c>
      <c r="D5" s="0" t="n">
        <v>15109</v>
      </c>
      <c r="E5" s="0" t="n">
        <v>25.5</v>
      </c>
      <c r="F5" s="0" t="n">
        <v>-191</v>
      </c>
      <c r="G5" s="0" t="n">
        <v>-0.3</v>
      </c>
      <c r="H5" s="0" t="n">
        <v>6494</v>
      </c>
      <c r="I5" s="0" t="n">
        <v>-1060</v>
      </c>
      <c r="J5" s="0" t="n">
        <v>-1.8</v>
      </c>
      <c r="K5" s="0" t="n">
        <v>-1.15</v>
      </c>
      <c r="L5" s="0" t="n">
        <v>5413</v>
      </c>
      <c r="M5" s="0" t="n">
        <v>3129</v>
      </c>
      <c r="N5" s="0" t="n">
        <v>2284</v>
      </c>
      <c r="O5" s="0" t="n">
        <v>33728</v>
      </c>
      <c r="P5" s="0" t="n">
        <v>80292</v>
      </c>
      <c r="Q5" s="0" t="n">
        <v>45894</v>
      </c>
      <c r="R5" s="0" t="n">
        <v>19214</v>
      </c>
      <c r="S5" s="0" t="n">
        <v>4330</v>
      </c>
      <c r="T5" s="0" t="n">
        <v>920.238</v>
      </c>
      <c r="W5" s="0" t="n">
        <v>7435</v>
      </c>
      <c r="AA5" s="0" t="s">
        <v>17</v>
      </c>
      <c r="AB5" s="0" t="s">
        <v>14</v>
      </c>
    </row>
    <row r="6" customFormat="false" ht="15" hidden="false" customHeight="false" outlineLevel="0" collapsed="false">
      <c r="A6" s="0" t="s">
        <v>67</v>
      </c>
      <c r="B6" s="0" t="n">
        <v>78598</v>
      </c>
      <c r="C6" s="0" t="n">
        <v>58801</v>
      </c>
      <c r="D6" s="0" t="n">
        <v>19797</v>
      </c>
      <c r="E6" s="0" t="n">
        <v>25.2</v>
      </c>
      <c r="F6" s="0" t="n">
        <v>7677</v>
      </c>
      <c r="G6" s="0" t="n">
        <v>9.8</v>
      </c>
      <c r="H6" s="0" t="n">
        <v>11355</v>
      </c>
      <c r="I6" s="0" t="n">
        <v>5523</v>
      </c>
      <c r="J6" s="0" t="n">
        <v>7</v>
      </c>
      <c r="K6" s="0" t="n">
        <v>6</v>
      </c>
      <c r="L6" s="0" t="n">
        <v>7245</v>
      </c>
      <c r="M6" s="0" t="n">
        <v>3532</v>
      </c>
      <c r="N6" s="0" t="n">
        <v>3713</v>
      </c>
      <c r="O6" s="0" t="n">
        <v>40792</v>
      </c>
      <c r="P6" s="0" t="n">
        <v>87383</v>
      </c>
      <c r="Q6" s="0" t="n">
        <v>45301</v>
      </c>
      <c r="R6" s="0" t="n">
        <v>17184</v>
      </c>
      <c r="S6" s="0" t="n">
        <v>2624</v>
      </c>
      <c r="T6" s="0" t="n">
        <v>920.486</v>
      </c>
      <c r="W6" s="0" t="n">
        <v>11348</v>
      </c>
      <c r="AA6" s="0" t="s">
        <v>17</v>
      </c>
      <c r="AB6" s="0" t="s">
        <v>14</v>
      </c>
    </row>
    <row r="7" customFormat="false" ht="15" hidden="false" customHeight="false" outlineLevel="0" collapsed="false">
      <c r="A7" s="0" t="s">
        <v>68</v>
      </c>
      <c r="B7" s="0" t="n">
        <v>87327</v>
      </c>
      <c r="C7" s="0" t="n">
        <v>66260</v>
      </c>
      <c r="D7" s="0" t="n">
        <v>21067</v>
      </c>
      <c r="E7" s="0" t="n">
        <v>24.1</v>
      </c>
      <c r="F7" s="0" t="n">
        <v>6548</v>
      </c>
      <c r="G7" s="0" t="n">
        <v>7.5</v>
      </c>
      <c r="H7" s="0" t="n">
        <v>10748</v>
      </c>
      <c r="I7" s="0" t="n">
        <v>-627</v>
      </c>
      <c r="J7" s="0" t="n">
        <v>-0.7</v>
      </c>
      <c r="K7" s="0" t="n">
        <v>-0.7</v>
      </c>
      <c r="L7" s="0" t="n">
        <v>7709</v>
      </c>
      <c r="M7" s="0" t="n">
        <v>4375</v>
      </c>
      <c r="N7" s="0" t="n">
        <v>3334</v>
      </c>
      <c r="O7" s="0" t="n">
        <v>39573</v>
      </c>
      <c r="P7" s="0" t="n">
        <v>84472</v>
      </c>
      <c r="Q7" s="0" t="n">
        <v>43550</v>
      </c>
      <c r="R7" s="0" t="n">
        <v>19015</v>
      </c>
      <c r="S7" s="0" t="n">
        <v>2516</v>
      </c>
      <c r="T7" s="0" t="n">
        <v>903.327</v>
      </c>
      <c r="W7" s="0" t="n">
        <v>10762</v>
      </c>
      <c r="AA7" s="0" t="s">
        <v>17</v>
      </c>
      <c r="AB7" s="0" t="s">
        <v>14</v>
      </c>
    </row>
    <row r="8" customFormat="false" ht="15" hidden="false" customHeight="false" outlineLevel="0" collapsed="false">
      <c r="A8" s="0" t="s">
        <v>69</v>
      </c>
      <c r="B8" s="0" t="n">
        <v>68902</v>
      </c>
      <c r="C8" s="0" t="n">
        <v>52200</v>
      </c>
      <c r="D8" s="0" t="n">
        <v>16702</v>
      </c>
      <c r="E8" s="0" t="n">
        <v>24.2</v>
      </c>
      <c r="F8" s="0" t="n">
        <v>2240</v>
      </c>
      <c r="G8" s="0" t="n">
        <v>3.3</v>
      </c>
      <c r="H8" s="0" t="n">
        <v>7180</v>
      </c>
      <c r="I8" s="0" t="n">
        <v>225</v>
      </c>
      <c r="J8" s="0" t="n">
        <v>0.3</v>
      </c>
      <c r="K8" s="0" t="n">
        <v>0.25</v>
      </c>
      <c r="L8" s="0" t="n">
        <v>8111</v>
      </c>
      <c r="M8" s="0" t="n">
        <v>5395</v>
      </c>
      <c r="N8" s="0" t="n">
        <v>2716</v>
      </c>
      <c r="O8" s="0" t="n">
        <v>35277</v>
      </c>
      <c r="P8" s="0" t="n">
        <v>77395</v>
      </c>
      <c r="Q8" s="0" t="n">
        <v>40750</v>
      </c>
      <c r="R8" s="0" t="n">
        <v>19267</v>
      </c>
      <c r="S8" s="0" t="n">
        <v>2624</v>
      </c>
      <c r="T8" s="0" t="n">
        <v>895.077</v>
      </c>
      <c r="W8" s="0" t="n">
        <v>7671</v>
      </c>
      <c r="AA8" s="0" t="s">
        <v>17</v>
      </c>
      <c r="AB8" s="0" t="s">
        <v>14</v>
      </c>
    </row>
    <row r="9" customFormat="false" ht="15" hidden="false" customHeight="false" outlineLevel="0" collapsed="false">
      <c r="A9" s="0" t="s">
        <v>70</v>
      </c>
      <c r="B9" s="0" t="n">
        <v>65260</v>
      </c>
      <c r="C9" s="0" t="n">
        <v>48175</v>
      </c>
      <c r="D9" s="0" t="n">
        <v>17085</v>
      </c>
      <c r="E9" s="0" t="n">
        <v>26.2</v>
      </c>
      <c r="F9" s="0" t="n">
        <v>2033</v>
      </c>
      <c r="G9" s="0" t="n">
        <v>3.1</v>
      </c>
      <c r="H9" s="0" t="n">
        <v>6681</v>
      </c>
      <c r="I9" s="0" t="n">
        <v>1298</v>
      </c>
      <c r="J9" s="0" t="n">
        <v>2</v>
      </c>
      <c r="K9" s="0" t="n">
        <v>1.45</v>
      </c>
      <c r="L9" s="0" t="n">
        <v>6946</v>
      </c>
      <c r="M9" s="0" t="n">
        <v>6198</v>
      </c>
      <c r="N9" s="0" t="n">
        <v>748</v>
      </c>
      <c r="O9" s="0" t="n">
        <v>35599</v>
      </c>
      <c r="P9" s="0" t="n">
        <v>80415</v>
      </c>
      <c r="Q9" s="0" t="n">
        <v>43531</v>
      </c>
      <c r="R9" s="0" t="n">
        <v>21761</v>
      </c>
      <c r="S9" s="0" t="n">
        <v>2914</v>
      </c>
      <c r="T9" s="0" t="n">
        <v>894.971</v>
      </c>
      <c r="W9" s="0" t="n">
        <v>7858</v>
      </c>
      <c r="AA9" s="0" t="s">
        <v>17</v>
      </c>
      <c r="AB9" s="0" t="s">
        <v>14</v>
      </c>
    </row>
    <row r="10" customFormat="false" ht="15" hidden="false" customHeight="false" outlineLevel="0" collapsed="false">
      <c r="A10" s="0" t="s">
        <v>71</v>
      </c>
      <c r="B10" s="0" t="n">
        <v>59657</v>
      </c>
      <c r="C10" s="0" t="n">
        <v>45298</v>
      </c>
      <c r="D10" s="0" t="n">
        <v>14359</v>
      </c>
      <c r="E10" s="0" t="n">
        <v>24.1</v>
      </c>
      <c r="F10" s="0" t="n">
        <v>1634</v>
      </c>
      <c r="G10" s="0" t="n">
        <v>2.7</v>
      </c>
      <c r="H10" s="0" t="n">
        <v>5618</v>
      </c>
      <c r="I10" s="0" t="n">
        <v>1619</v>
      </c>
      <c r="J10" s="0" t="n">
        <v>2.7</v>
      </c>
      <c r="K10" s="0" t="n">
        <v>1.81</v>
      </c>
      <c r="L10" s="0" t="n">
        <v>5610</v>
      </c>
      <c r="M10" s="0" t="n">
        <v>4267</v>
      </c>
      <c r="N10" s="0" t="n">
        <v>1343</v>
      </c>
      <c r="O10" s="0" t="n">
        <v>33194</v>
      </c>
      <c r="P10" s="0" t="n">
        <v>76174</v>
      </c>
      <c r="Q10" s="0" t="n">
        <v>41835</v>
      </c>
      <c r="R10" s="0" t="n">
        <v>21089</v>
      </c>
      <c r="S10" s="0" t="n">
        <v>2670</v>
      </c>
      <c r="T10" s="0" t="n">
        <v>894.057</v>
      </c>
      <c r="W10" s="0" t="n">
        <v>6554</v>
      </c>
      <c r="AA10" s="0" t="s">
        <v>17</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52.45</v>
      </c>
    </row>
    <row r="3" customFormat="false" ht="15" hidden="false" customHeight="false" outlineLevel="0" collapsed="false">
      <c r="A3" s="0" t="s">
        <v>75</v>
      </c>
      <c r="B3" s="3" t="n">
        <v>860.92</v>
      </c>
    </row>
    <row r="4" customFormat="false" ht="15" hidden="false" customHeight="false" outlineLevel="0" collapsed="false">
      <c r="A4" s="0" t="s">
        <v>76</v>
      </c>
      <c r="B4" s="3" t="n">
        <v>17117</v>
      </c>
    </row>
    <row r="5" customFormat="false" ht="15" hidden="false" customHeight="false" outlineLevel="0" collapsed="false">
      <c r="A5" s="0" t="s">
        <v>77</v>
      </c>
      <c r="B5" s="3" t="n">
        <v>-94</v>
      </c>
    </row>
    <row r="6" customFormat="false" ht="15" hidden="false" customHeight="false" outlineLevel="0" collapsed="false">
      <c r="A6" s="0" t="s">
        <v>78</v>
      </c>
      <c r="B6" s="3" t="n">
        <v>15</v>
      </c>
    </row>
    <row r="7" customFormat="false" ht="15" hidden="false" customHeight="false" outlineLevel="0" collapsed="false">
      <c r="A7" s="0" t="s">
        <v>79</v>
      </c>
      <c r="B7" s="3" t="n">
        <v>59657</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3</v>
      </c>
      <c r="D13" s="3" t="n">
        <v>1</v>
      </c>
      <c r="E13" s="3" t="n">
        <v>1.5</v>
      </c>
      <c r="F13" s="3" t="n">
        <v>2</v>
      </c>
      <c r="G13" s="3" t="n">
        <v>2</v>
      </c>
      <c r="H13" s="3" t="n">
        <v>1.5</v>
      </c>
      <c r="I13" s="3" t="n">
        <v>1.5</v>
      </c>
      <c r="J13" s="3" t="n">
        <v>1.5</v>
      </c>
      <c r="K13" s="3" t="n">
        <v>1.5</v>
      </c>
      <c r="L13" s="3" t="n">
        <v>1.5</v>
      </c>
    </row>
    <row r="14" customFormat="false" ht="15" hidden="false" customHeight="false" outlineLevel="0" collapsed="false">
      <c r="A14" s="0" t="s">
        <v>96</v>
      </c>
      <c r="C14" s="3" t="n">
        <v>10.2</v>
      </c>
      <c r="D14" s="3" t="n">
        <v>9.8</v>
      </c>
      <c r="E14" s="3" t="n">
        <v>10</v>
      </c>
      <c r="F14" s="3" t="n">
        <v>10.3</v>
      </c>
      <c r="G14" s="3" t="n">
        <v>10.5</v>
      </c>
      <c r="H14" s="3" t="n">
        <v>10.5</v>
      </c>
      <c r="I14" s="3" t="n">
        <v>10.5</v>
      </c>
      <c r="J14" s="3" t="n">
        <v>10.5</v>
      </c>
      <c r="K14" s="3" t="n">
        <v>10.5</v>
      </c>
      <c r="L14" s="3" t="n">
        <v>10.5</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0.8</v>
      </c>
      <c r="D16" s="3" t="n">
        <v>0.8</v>
      </c>
      <c r="E16" s="3" t="n">
        <v>0.8</v>
      </c>
      <c r="F16" s="3" t="n">
        <v>0.8</v>
      </c>
      <c r="G16" s="3" t="n">
        <v>0.8</v>
      </c>
      <c r="H16" s="3" t="n">
        <v>0.8</v>
      </c>
      <c r="I16" s="3" t="n">
        <v>0.8</v>
      </c>
      <c r="J16" s="3" t="n">
        <v>0.8</v>
      </c>
      <c r="K16" s="3" t="n">
        <v>0.8</v>
      </c>
      <c r="L16" s="3" t="n">
        <v>0.8</v>
      </c>
    </row>
    <row r="17" customFormat="false" ht="15" hidden="false" customHeight="false" outlineLevel="0" collapsed="false">
      <c r="A17" s="0" t="s">
        <v>99</v>
      </c>
      <c r="C17" s="3" t="n">
        <v>5.9</v>
      </c>
      <c r="D17" s="3" t="n">
        <v>5.9</v>
      </c>
      <c r="E17" s="3" t="n">
        <v>5.8</v>
      </c>
      <c r="F17" s="3" t="n">
        <v>5.7</v>
      </c>
      <c r="G17" s="3" t="n">
        <v>5.6</v>
      </c>
      <c r="H17" s="3" t="n">
        <v>5.6</v>
      </c>
      <c r="I17" s="3" t="n">
        <v>5.6</v>
      </c>
      <c r="J17" s="3" t="n">
        <v>5.6</v>
      </c>
      <c r="K17" s="3" t="n">
        <v>5.6</v>
      </c>
      <c r="L17" s="3" t="n">
        <v>5.6</v>
      </c>
    </row>
    <row r="18" customFormat="false" ht="15" hidden="false" customHeight="false" outlineLevel="0" collapsed="false">
      <c r="A18" s="0" t="s">
        <v>100</v>
      </c>
      <c r="C18" s="3" t="n">
        <v>5.4</v>
      </c>
      <c r="D18" s="3" t="n">
        <v>5.3</v>
      </c>
      <c r="E18" s="3" t="n">
        <v>5.3</v>
      </c>
      <c r="F18" s="3" t="n">
        <v>5.3</v>
      </c>
      <c r="G18" s="3" t="n">
        <v>5.8</v>
      </c>
      <c r="H18" s="3" t="n">
        <v>6</v>
      </c>
      <c r="I18" s="3" t="n">
        <v>6</v>
      </c>
      <c r="J18" s="3" t="n">
        <v>6</v>
      </c>
      <c r="K18" s="3" t="n">
        <v>6</v>
      </c>
      <c r="L18" s="3" t="n">
        <v>6</v>
      </c>
    </row>
    <row r="19" customFormat="false" ht="15" hidden="false" customHeight="false" outlineLevel="0" collapsed="false">
      <c r="A19" s="0" t="s">
        <v>101</v>
      </c>
      <c r="C19" s="3" t="n">
        <v>28</v>
      </c>
      <c r="D19" s="3" t="n">
        <v>27</v>
      </c>
      <c r="E19" s="3" t="n">
        <v>26</v>
      </c>
      <c r="F19" s="3" t="n">
        <v>26</v>
      </c>
      <c r="G19" s="3" t="n">
        <v>26</v>
      </c>
      <c r="H19" s="3" t="n">
        <v>26</v>
      </c>
      <c r="I19" s="3" t="n">
        <v>26</v>
      </c>
      <c r="J19" s="3" t="n">
        <v>26</v>
      </c>
      <c r="K19" s="3" t="n">
        <v>26</v>
      </c>
      <c r="L19" s="3" t="n">
        <v>26</v>
      </c>
    </row>
    <row r="20" customFormat="false" ht="15" hidden="false" customHeight="false" outlineLevel="0" collapsed="false">
      <c r="A20" s="0" t="s">
        <v>102</v>
      </c>
      <c r="B20" s="3" t="n">
        <v>7.5</v>
      </c>
    </row>
    <row r="21" customFormat="false" ht="15" hidden="false" customHeight="false" outlineLevel="0" collapsed="false">
      <c r="A21" s="0" t="s">
        <v>103</v>
      </c>
      <c r="B21" s="3" t="n">
        <v>1.5</v>
      </c>
    </row>
    <row r="22" customFormat="false" ht="15" hidden="false" customHeight="false" outlineLevel="0" collapsed="false">
      <c r="A22" s="0" t="s">
        <v>104</v>
      </c>
      <c r="B22" s="3" t="n">
        <v>12</v>
      </c>
    </row>
    <row r="23" customFormat="false" ht="15" hidden="false" customHeight="false" outlineLevel="0" collapsed="false">
      <c r="A23" s="0" t="s">
        <v>105</v>
      </c>
      <c r="B23" s="3" t="n">
        <v>-20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4.5</v>
      </c>
      <c r="D27" s="3" t="n">
        <v>3.5</v>
      </c>
      <c r="E27" s="3" t="n">
        <v>3</v>
      </c>
      <c r="F27" s="3" t="n">
        <v>3</v>
      </c>
      <c r="G27" s="3" t="n">
        <v>2.5</v>
      </c>
      <c r="H27" s="3" t="n">
        <v>2.5</v>
      </c>
      <c r="I27" s="3" t="n">
        <v>2</v>
      </c>
      <c r="J27" s="3" t="n">
        <v>2</v>
      </c>
      <c r="K27" s="3" t="n">
        <v>2</v>
      </c>
      <c r="L27" s="3" t="n">
        <v>2</v>
      </c>
    </row>
    <row r="28" customFormat="false" ht="15" hidden="false" customHeight="false" outlineLevel="0" collapsed="false">
      <c r="A28" s="0" t="s">
        <v>96</v>
      </c>
      <c r="C28" s="3" t="n">
        <v>10.8</v>
      </c>
      <c r="D28" s="3" t="n">
        <v>11.5</v>
      </c>
      <c r="E28" s="3" t="n">
        <v>12.2</v>
      </c>
      <c r="F28" s="3" t="n">
        <v>12.6</v>
      </c>
      <c r="G28" s="3" t="n">
        <v>12.8</v>
      </c>
      <c r="H28" s="3" t="n">
        <v>13</v>
      </c>
      <c r="I28" s="3" t="n">
        <v>13</v>
      </c>
      <c r="J28" s="3" t="n">
        <v>13</v>
      </c>
      <c r="K28" s="3" t="n">
        <v>13</v>
      </c>
      <c r="L28" s="3" t="n">
        <v>13</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0.8</v>
      </c>
      <c r="D30" s="3" t="n">
        <v>0.8</v>
      </c>
      <c r="E30" s="3" t="n">
        <v>0.8</v>
      </c>
      <c r="F30" s="3" t="n">
        <v>0.8</v>
      </c>
      <c r="G30" s="3" t="n">
        <v>0.8</v>
      </c>
      <c r="H30" s="3" t="n">
        <v>0.8</v>
      </c>
      <c r="I30" s="3" t="n">
        <v>0.8</v>
      </c>
      <c r="J30" s="3" t="n">
        <v>0.8</v>
      </c>
      <c r="K30" s="3" t="n">
        <v>0.8</v>
      </c>
      <c r="L30" s="3" t="n">
        <v>0.8</v>
      </c>
    </row>
    <row r="31" customFormat="false" ht="15" hidden="false" customHeight="false" outlineLevel="0" collapsed="false">
      <c r="A31" s="0" t="s">
        <v>99</v>
      </c>
      <c r="C31" s="3" t="n">
        <v>5.9</v>
      </c>
      <c r="D31" s="3" t="n">
        <v>5.8</v>
      </c>
      <c r="E31" s="3" t="n">
        <v>5.7</v>
      </c>
      <c r="F31" s="3" t="n">
        <v>5.6</v>
      </c>
      <c r="G31" s="3" t="n">
        <v>5.5</v>
      </c>
      <c r="H31" s="3" t="n">
        <v>5.5</v>
      </c>
      <c r="I31" s="3" t="n">
        <v>5.5</v>
      </c>
      <c r="J31" s="3" t="n">
        <v>5.5</v>
      </c>
      <c r="K31" s="3" t="n">
        <v>5.5</v>
      </c>
      <c r="L31" s="3" t="n">
        <v>5.5</v>
      </c>
    </row>
    <row r="32" customFormat="false" ht="15" hidden="false" customHeight="false" outlineLevel="0" collapsed="false">
      <c r="A32" s="0" t="s">
        <v>100</v>
      </c>
      <c r="C32" s="3" t="n">
        <v>5.3</v>
      </c>
      <c r="D32" s="3" t="n">
        <v>5.2</v>
      </c>
      <c r="E32" s="3" t="n">
        <v>5.1</v>
      </c>
      <c r="F32" s="3" t="n">
        <v>5</v>
      </c>
      <c r="G32" s="3" t="n">
        <v>5.4</v>
      </c>
      <c r="H32" s="3" t="n">
        <v>5.6</v>
      </c>
      <c r="I32" s="3" t="n">
        <v>5.8</v>
      </c>
      <c r="J32" s="3" t="n">
        <v>5.8</v>
      </c>
      <c r="K32" s="3" t="n">
        <v>5.8</v>
      </c>
      <c r="L32" s="3" t="n">
        <v>5.8</v>
      </c>
    </row>
    <row r="33" customFormat="false" ht="15" hidden="false" customHeight="false" outlineLevel="0" collapsed="false">
      <c r="A33" s="0" t="s">
        <v>101</v>
      </c>
      <c r="C33" s="3" t="n">
        <v>27</v>
      </c>
      <c r="D33" s="3" t="n">
        <v>26</v>
      </c>
      <c r="E33" s="3" t="n">
        <v>25</v>
      </c>
      <c r="F33" s="3" t="n">
        <v>25</v>
      </c>
      <c r="G33" s="3" t="n">
        <v>25</v>
      </c>
      <c r="H33" s="3" t="n">
        <v>25</v>
      </c>
      <c r="I33" s="3" t="n">
        <v>25</v>
      </c>
      <c r="J33" s="3" t="n">
        <v>25</v>
      </c>
      <c r="K33" s="3" t="n">
        <v>25</v>
      </c>
      <c r="L33" s="3" t="n">
        <v>25</v>
      </c>
    </row>
    <row r="34" customFormat="false" ht="15" hidden="false" customHeight="false" outlineLevel="0" collapsed="false">
      <c r="A34" s="0" t="s">
        <v>102</v>
      </c>
      <c r="B34" s="3" t="n">
        <v>7.5</v>
      </c>
    </row>
    <row r="35" customFormat="false" ht="15" hidden="false" customHeight="false" outlineLevel="0" collapsed="false">
      <c r="A35" s="0" t="s">
        <v>103</v>
      </c>
      <c r="B35" s="3" t="n">
        <v>2</v>
      </c>
    </row>
    <row r="36" customFormat="false" ht="15" hidden="false" customHeight="false" outlineLevel="0" collapsed="false">
      <c r="A36" s="0" t="s">
        <v>104</v>
      </c>
      <c r="B36" s="3" t="n">
        <v>15</v>
      </c>
    </row>
    <row r="37" customFormat="false" ht="15" hidden="false" customHeight="false" outlineLevel="0" collapsed="false">
      <c r="A37" s="0" t="s">
        <v>105</v>
      </c>
      <c r="B37" s="3" t="n">
        <v>-20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5.5</v>
      </c>
      <c r="D41" s="3" t="n">
        <v>5</v>
      </c>
      <c r="E41" s="3" t="n">
        <v>4.5</v>
      </c>
      <c r="F41" s="3" t="n">
        <v>4</v>
      </c>
      <c r="G41" s="3" t="n">
        <v>3.5</v>
      </c>
      <c r="H41" s="3" t="n">
        <v>3</v>
      </c>
      <c r="I41" s="3" t="n">
        <v>3</v>
      </c>
      <c r="J41" s="3" t="n">
        <v>2.5</v>
      </c>
      <c r="K41" s="3" t="n">
        <v>2.5</v>
      </c>
      <c r="L41" s="3" t="n">
        <v>2.5</v>
      </c>
    </row>
    <row r="42" customFormat="false" ht="15" hidden="false" customHeight="false" outlineLevel="0" collapsed="false">
      <c r="A42" s="0" t="s">
        <v>96</v>
      </c>
      <c r="C42" s="3" t="n">
        <v>11.2</v>
      </c>
      <c r="D42" s="3" t="n">
        <v>12.5</v>
      </c>
      <c r="E42" s="3" t="n">
        <v>13.5</v>
      </c>
      <c r="F42" s="3" t="n">
        <v>14.2</v>
      </c>
      <c r="G42" s="3" t="n">
        <v>14.5</v>
      </c>
      <c r="H42" s="3" t="n">
        <v>14.5</v>
      </c>
      <c r="I42" s="3" t="n">
        <v>14.5</v>
      </c>
      <c r="J42" s="3" t="n">
        <v>14.5</v>
      </c>
      <c r="K42" s="3" t="n">
        <v>14.5</v>
      </c>
      <c r="L42" s="3" t="n">
        <v>14.5</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0.8</v>
      </c>
      <c r="D44" s="3" t="n">
        <v>0.8</v>
      </c>
      <c r="E44" s="3" t="n">
        <v>0.8</v>
      </c>
      <c r="F44" s="3" t="n">
        <v>0.8</v>
      </c>
      <c r="G44" s="3" t="n">
        <v>0.8</v>
      </c>
      <c r="H44" s="3" t="n">
        <v>0.8</v>
      </c>
      <c r="I44" s="3" t="n">
        <v>0.8</v>
      </c>
      <c r="J44" s="3" t="n">
        <v>0.8</v>
      </c>
      <c r="K44" s="3" t="n">
        <v>0.8</v>
      </c>
      <c r="L44" s="3" t="n">
        <v>0.8</v>
      </c>
    </row>
    <row r="45" customFormat="false" ht="15" hidden="false" customHeight="false" outlineLevel="0" collapsed="false">
      <c r="A45" s="0" t="s">
        <v>99</v>
      </c>
      <c r="C45" s="3" t="n">
        <v>5.9</v>
      </c>
      <c r="D45" s="3" t="n">
        <v>5.8</v>
      </c>
      <c r="E45" s="3" t="n">
        <v>5.7</v>
      </c>
      <c r="F45" s="3" t="n">
        <v>5.6</v>
      </c>
      <c r="G45" s="3" t="n">
        <v>5.5</v>
      </c>
      <c r="H45" s="3" t="n">
        <v>5.5</v>
      </c>
      <c r="I45" s="3" t="n">
        <v>5.5</v>
      </c>
      <c r="J45" s="3" t="n">
        <v>5.5</v>
      </c>
      <c r="K45" s="3" t="n">
        <v>5.5</v>
      </c>
      <c r="L45" s="3" t="n">
        <v>5.5</v>
      </c>
    </row>
    <row r="46" customFormat="false" ht="15" hidden="false" customHeight="false" outlineLevel="0" collapsed="false">
      <c r="A46" s="0" t="s">
        <v>100</v>
      </c>
      <c r="C46" s="3" t="n">
        <v>5.2</v>
      </c>
      <c r="D46" s="3" t="n">
        <v>5</v>
      </c>
      <c r="E46" s="3" t="n">
        <v>4.9</v>
      </c>
      <c r="F46" s="3" t="n">
        <v>4.9</v>
      </c>
      <c r="G46" s="3" t="n">
        <v>5.3</v>
      </c>
      <c r="H46" s="3" t="n">
        <v>5.5</v>
      </c>
      <c r="I46" s="3" t="n">
        <v>5.6</v>
      </c>
      <c r="J46" s="3" t="n">
        <v>5.6</v>
      </c>
      <c r="K46" s="3" t="n">
        <v>5.6</v>
      </c>
      <c r="L46" s="3" t="n">
        <v>5.6</v>
      </c>
    </row>
    <row r="47" customFormat="false" ht="15" hidden="false" customHeight="false" outlineLevel="0" collapsed="false">
      <c r="A47" s="0" t="s">
        <v>101</v>
      </c>
      <c r="C47" s="3" t="n">
        <v>27</v>
      </c>
      <c r="D47" s="3" t="n">
        <v>26</v>
      </c>
      <c r="E47" s="3" t="n">
        <v>25</v>
      </c>
      <c r="F47" s="3" t="n">
        <v>25</v>
      </c>
      <c r="G47" s="3" t="n">
        <v>25</v>
      </c>
      <c r="H47" s="3" t="n">
        <v>25</v>
      </c>
      <c r="I47" s="3" t="n">
        <v>25</v>
      </c>
      <c r="J47" s="3" t="n">
        <v>25</v>
      </c>
      <c r="K47" s="3" t="n">
        <v>25</v>
      </c>
      <c r="L47" s="3" t="n">
        <v>25</v>
      </c>
    </row>
    <row r="48" customFormat="false" ht="15" hidden="false" customHeight="false" outlineLevel="0" collapsed="false">
      <c r="A48" s="0" t="s">
        <v>102</v>
      </c>
      <c r="B48" s="3" t="n">
        <v>7.5</v>
      </c>
    </row>
    <row r="49" customFormat="false" ht="15" hidden="false" customHeight="false" outlineLevel="0" collapsed="false">
      <c r="A49" s="0" t="s">
        <v>103</v>
      </c>
      <c r="B49" s="3" t="n">
        <v>2.5</v>
      </c>
    </row>
    <row r="50" customFormat="false" ht="15" hidden="false" customHeight="false" outlineLevel="0" collapsed="false">
      <c r="A50" s="0" t="s">
        <v>104</v>
      </c>
      <c r="B50" s="3" t="n">
        <v>15</v>
      </c>
    </row>
    <row r="51" customFormat="false" ht="15" hidden="false" customHeight="false" outlineLevel="0" collapsed="false">
      <c r="A51" s="0" t="s">
        <v>105</v>
      </c>
      <c r="B51" s="3" t="n">
        <v>-20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3</v>
      </c>
      <c r="D5" s="4" t="n">
        <f aca="false">Assumptions!D13</f>
        <v>1</v>
      </c>
      <c r="E5" s="4" t="n">
        <f aca="false">Assumptions!E13</f>
        <v>1.5</v>
      </c>
      <c r="F5" s="4" t="n">
        <f aca="false">Assumptions!F13</f>
        <v>2</v>
      </c>
      <c r="G5" s="4" t="n">
        <f aca="false">Assumptions!G13</f>
        <v>2</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59657</v>
      </c>
      <c r="C6" s="0" t="n">
        <f aca="false">B6*(1+C5/100)</f>
        <v>61446.71</v>
      </c>
      <c r="D6" s="0" t="n">
        <f aca="false">C6*(1+D5/100)</f>
        <v>62061.1771</v>
      </c>
      <c r="E6" s="0" t="n">
        <f aca="false">D6*(1+E5/100)</f>
        <v>62992.0947565</v>
      </c>
      <c r="F6" s="0" t="n">
        <f aca="false">E6*(1+F5/100)</f>
        <v>64251.93665163</v>
      </c>
      <c r="G6" s="0" t="n">
        <f aca="false">F6*(1+G5/100)</f>
        <v>65536.9753846626</v>
      </c>
      <c r="H6" s="0" t="n">
        <f aca="false">G6*(1+H5/100)</f>
        <v>66520.0300154325</v>
      </c>
      <c r="I6" s="0" t="n">
        <f aca="false">H6*(1+I5/100)</f>
        <v>67517.830465664</v>
      </c>
      <c r="J6" s="0" t="n">
        <f aca="false">I6*(1+J5/100)</f>
        <v>68530.597922649</v>
      </c>
      <c r="K6" s="0" t="n">
        <f aca="false">J6*(1+K5/100)</f>
        <v>69558.5568914887</v>
      </c>
      <c r="L6" s="0" t="n">
        <f aca="false">K6*(1+L5/100)</f>
        <v>70601.935244861</v>
      </c>
    </row>
    <row r="7" customFormat="false" ht="15" hidden="false" customHeight="false" outlineLevel="0" collapsed="false">
      <c r="A7" s="0" t="s">
        <v>96</v>
      </c>
      <c r="C7" s="4" t="n">
        <f aca="false">Assumptions!C14</f>
        <v>10.2</v>
      </c>
      <c r="D7" s="4" t="n">
        <f aca="false">Assumptions!D14</f>
        <v>9.8</v>
      </c>
      <c r="E7" s="4" t="n">
        <f aca="false">Assumptions!E14</f>
        <v>10</v>
      </c>
      <c r="F7" s="4" t="n">
        <f aca="false">Assumptions!F14</f>
        <v>10.3</v>
      </c>
      <c r="G7" s="4" t="n">
        <f aca="false">Assumptions!G14</f>
        <v>10.5</v>
      </c>
      <c r="H7" s="4" t="n">
        <f aca="false">Assumptions!H14</f>
        <v>10.5</v>
      </c>
      <c r="I7" s="4" t="n">
        <f aca="false">Assumptions!I14</f>
        <v>10.5</v>
      </c>
      <c r="J7" s="4" t="n">
        <f aca="false">Assumptions!J14</f>
        <v>10.5</v>
      </c>
      <c r="K7" s="4" t="n">
        <f aca="false">Assumptions!K14</f>
        <v>10.5</v>
      </c>
      <c r="L7" s="4" t="n">
        <f aca="false">Assumptions!L14</f>
        <v>10.5</v>
      </c>
    </row>
    <row r="8" customFormat="false" ht="15" hidden="false" customHeight="false" outlineLevel="0" collapsed="false">
      <c r="A8" s="0" t="s">
        <v>43</v>
      </c>
      <c r="C8" s="0" t="n">
        <f aca="false">C6*C7/100</f>
        <v>6267.56442</v>
      </c>
      <c r="D8" s="0" t="n">
        <f aca="false">D6*D7/100</f>
        <v>6081.9953558</v>
      </c>
      <c r="E8" s="0" t="n">
        <f aca="false">E6*E7/100</f>
        <v>6299.20947565</v>
      </c>
      <c r="F8" s="0" t="n">
        <f aca="false">F6*F7/100</f>
        <v>6617.94947511789</v>
      </c>
      <c r="G8" s="0" t="n">
        <f aca="false">G6*G7/100</f>
        <v>6881.38241538957</v>
      </c>
      <c r="H8" s="0" t="n">
        <f aca="false">H6*H7/100</f>
        <v>6984.60315162042</v>
      </c>
      <c r="I8" s="0" t="n">
        <f aca="false">I6*I7/100</f>
        <v>7089.37219889472</v>
      </c>
      <c r="J8" s="0" t="n">
        <f aca="false">J6*J7/100</f>
        <v>7195.71278187814</v>
      </c>
      <c r="K8" s="0" t="n">
        <f aca="false">K6*K7/100</f>
        <v>7303.64847360631</v>
      </c>
      <c r="L8" s="0" t="n">
        <f aca="false">L6*L7/100</f>
        <v>7413.20320071041</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5775.99074</v>
      </c>
      <c r="D11" s="0" t="n">
        <f aca="false">D8+D10+D24</f>
        <v>5585.505939</v>
      </c>
      <c r="E11" s="0" t="n">
        <f aca="false">E8+E10+E24</f>
        <v>5795.272717598</v>
      </c>
      <c r="F11" s="0" t="n">
        <f aca="false">F8+F10+F24</f>
        <v>6103.93398190485</v>
      </c>
      <c r="G11" s="0" t="n">
        <f aca="false">G8+G10+G24</f>
        <v>6357.08661231227</v>
      </c>
      <c r="H11" s="0" t="n">
        <f aca="false">H8+H10+H24</f>
        <v>6452.44291149695</v>
      </c>
      <c r="I11" s="0" t="n">
        <f aca="false">I8+I10+I24</f>
        <v>6549.22955516941</v>
      </c>
      <c r="J11" s="0" t="n">
        <f aca="false">J8+J10+J24</f>
        <v>6647.46799849695</v>
      </c>
      <c r="K11" s="0" t="n">
        <f aca="false">K8+K10+K24</f>
        <v>6747.1800184744</v>
      </c>
      <c r="L11" s="0" t="n">
        <f aca="false">L8+L10+L24</f>
        <v>6848.38771875152</v>
      </c>
    </row>
    <row r="12" customFormat="false" ht="15" hidden="false" customHeight="false" outlineLevel="0" collapsed="false">
      <c r="A12" s="0" t="s">
        <v>114</v>
      </c>
      <c r="C12" s="4" t="n">
        <f aca="false">-C6*Assumptions!C17/100</f>
        <v>-3625.35589</v>
      </c>
      <c r="D12" s="4" t="n">
        <f aca="false">-D6*Assumptions!D17/100</f>
        <v>-3661.6094489</v>
      </c>
      <c r="E12" s="4" t="n">
        <f aca="false">-E6*Assumptions!E17/100</f>
        <v>-3653.541495877</v>
      </c>
      <c r="F12" s="4" t="n">
        <f aca="false">-F6*Assumptions!F17/100</f>
        <v>-3662.36038914291</v>
      </c>
      <c r="G12" s="4" t="n">
        <f aca="false">-G6*Assumptions!G17/100</f>
        <v>-3670.07062154111</v>
      </c>
      <c r="H12" s="4" t="n">
        <f aca="false">-H6*Assumptions!H17/100</f>
        <v>-3725.12168086422</v>
      </c>
      <c r="I12" s="4" t="n">
        <f aca="false">-I6*Assumptions!I17/100</f>
        <v>-3780.99850607718</v>
      </c>
      <c r="J12" s="4" t="n">
        <f aca="false">-J6*Assumptions!J17/100</f>
        <v>-3837.71348366834</v>
      </c>
      <c r="K12" s="4" t="n">
        <f aca="false">-K6*Assumptions!K17/100</f>
        <v>-3895.27918592337</v>
      </c>
      <c r="L12" s="4" t="n">
        <f aca="false">-L6*Assumptions!L17/100</f>
        <v>-3953.70837371222</v>
      </c>
    </row>
    <row r="13" customFormat="false" ht="15" hidden="false" customHeight="false" outlineLevel="0" collapsed="false">
      <c r="A13" s="0" t="s">
        <v>115</v>
      </c>
      <c r="C13" s="0" t="n">
        <f aca="false">C11+C12</f>
        <v>2150.63485</v>
      </c>
      <c r="D13" s="0" t="n">
        <f aca="false">D11+D12</f>
        <v>1923.8964901</v>
      </c>
      <c r="E13" s="0" t="n">
        <f aca="false">E11+E12</f>
        <v>2141.731221721</v>
      </c>
      <c r="F13" s="0" t="n">
        <f aca="false">F11+F12</f>
        <v>2441.57359276194</v>
      </c>
      <c r="G13" s="0" t="n">
        <f aca="false">G11+G12</f>
        <v>2687.01599077117</v>
      </c>
      <c r="H13" s="0" t="n">
        <f aca="false">H11+H12</f>
        <v>2727.32123063273</v>
      </c>
      <c r="I13" s="0" t="n">
        <f aca="false">I11+I12</f>
        <v>2768.23104909222</v>
      </c>
      <c r="J13" s="0" t="n">
        <f aca="false">J11+J12</f>
        <v>2809.75451482861</v>
      </c>
      <c r="K13" s="0" t="n">
        <f aca="false">K11+K12</f>
        <v>2851.90083255104</v>
      </c>
      <c r="L13" s="0" t="n">
        <f aca="false">L11+L12</f>
        <v>2894.6793450393</v>
      </c>
    </row>
    <row r="14" customFormat="false" ht="15" hidden="false" customHeight="false" outlineLevel="0" collapsed="false">
      <c r="A14" s="0" t="s">
        <v>101</v>
      </c>
      <c r="C14" s="4" t="n">
        <f aca="false">Assumptions!C19</f>
        <v>28</v>
      </c>
      <c r="D14" s="4" t="n">
        <f aca="false">Assumptions!D19</f>
        <v>27</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116</v>
      </c>
      <c r="C15" s="0" t="n">
        <f aca="false">C13-MAX(0,C13)*C14/100</f>
        <v>1548.457092</v>
      </c>
      <c r="D15" s="0" t="n">
        <f aca="false">D13-MAX(0,D13)*D14/100</f>
        <v>1404.444437773</v>
      </c>
      <c r="E15" s="0" t="n">
        <f aca="false">E13-MAX(0,E13)*E14/100</f>
        <v>1584.88110407354</v>
      </c>
      <c r="F15" s="0" t="n">
        <f aca="false">F13-MAX(0,F13)*F14/100</f>
        <v>1806.76445864384</v>
      </c>
      <c r="G15" s="0" t="n">
        <f aca="false">G13-MAX(0,G13)*G14/100</f>
        <v>1988.39183317066</v>
      </c>
      <c r="H15" s="0" t="n">
        <f aca="false">H13-MAX(0,H13)*H14/100</f>
        <v>2018.21771066822</v>
      </c>
      <c r="I15" s="0" t="n">
        <f aca="false">I13-MAX(0,I13)*I14/100</f>
        <v>2048.49097632825</v>
      </c>
      <c r="J15" s="0" t="n">
        <f aca="false">J13-MAX(0,J13)*J14/100</f>
        <v>2079.21834097317</v>
      </c>
      <c r="K15" s="0" t="n">
        <f aca="false">K13-MAX(0,K13)*K14/100</f>
        <v>2110.40661608777</v>
      </c>
      <c r="L15" s="0" t="n">
        <f aca="false">L13-MAX(0,L13)*L14/100</f>
        <v>2142.06271532908</v>
      </c>
    </row>
    <row r="16" customFormat="false" ht="15" hidden="false" customHeight="false" outlineLevel="0" collapsed="false">
      <c r="A16" s="0" t="s">
        <v>117</v>
      </c>
      <c r="C16" s="0" t="n">
        <f aca="false">-C12</f>
        <v>3625.35589</v>
      </c>
      <c r="D16" s="0" t="n">
        <f aca="false">-D12</f>
        <v>3661.6094489</v>
      </c>
      <c r="E16" s="0" t="n">
        <f aca="false">-E12</f>
        <v>3653.541495877</v>
      </c>
      <c r="F16" s="0" t="n">
        <f aca="false">-F12</f>
        <v>3662.36038914291</v>
      </c>
      <c r="G16" s="0" t="n">
        <f aca="false">-G12</f>
        <v>3670.07062154111</v>
      </c>
      <c r="H16" s="0" t="n">
        <f aca="false">-H12</f>
        <v>3725.12168086422</v>
      </c>
      <c r="I16" s="0" t="n">
        <f aca="false">-I12</f>
        <v>3780.99850607718</v>
      </c>
      <c r="J16" s="0" t="n">
        <f aca="false">-J12</f>
        <v>3837.71348366834</v>
      </c>
      <c r="K16" s="0" t="n">
        <f aca="false">-K12</f>
        <v>3895.27918592337</v>
      </c>
      <c r="L16" s="0" t="n">
        <f aca="false">-L12</f>
        <v>3953.70837371222</v>
      </c>
    </row>
    <row r="17" customFormat="false" ht="15" hidden="false" customHeight="false" outlineLevel="0" collapsed="false">
      <c r="A17" s="0" t="s">
        <v>118</v>
      </c>
      <c r="C17" s="4" t="n">
        <f aca="false">-C6*Assumptions!C18/100</f>
        <v>-3318.12234</v>
      </c>
      <c r="D17" s="4" t="n">
        <f aca="false">-D6*Assumptions!D18/100</f>
        <v>-3289.2423863</v>
      </c>
      <c r="E17" s="4" t="n">
        <f aca="false">-E6*Assumptions!E18/100</f>
        <v>-3338.5810220945</v>
      </c>
      <c r="F17" s="4" t="n">
        <f aca="false">-F6*Assumptions!F18/100</f>
        <v>-3405.35264253639</v>
      </c>
      <c r="G17" s="4" t="n">
        <f aca="false">-G6*Assumptions!G18/100</f>
        <v>-3801.14457231043</v>
      </c>
      <c r="H17" s="4" t="n">
        <f aca="false">-H6*Assumptions!H18/100</f>
        <v>-3991.20180092595</v>
      </c>
      <c r="I17" s="4" t="n">
        <f aca="false">-I6*Assumptions!I18/100</f>
        <v>-4051.06982793984</v>
      </c>
      <c r="J17" s="4" t="n">
        <f aca="false">-J6*Assumptions!J18/100</f>
        <v>-4111.83587535894</v>
      </c>
      <c r="K17" s="4" t="n">
        <f aca="false">-K6*Assumptions!K18/100</f>
        <v>-4173.51341348932</v>
      </c>
      <c r="L17" s="4" t="n">
        <f aca="false">-L6*Assumptions!L18/100</f>
        <v>-4236.11611469166</v>
      </c>
    </row>
    <row r="18" customFormat="false" ht="15" hidden="false" customHeight="false" outlineLevel="0" collapsed="false">
      <c r="A18" s="0" t="s">
        <v>119</v>
      </c>
      <c r="C18" s="4" t="n">
        <f aca="false">(C6-B6)*Assumptions!$B$23/100</f>
        <v>-357.942</v>
      </c>
      <c r="D18" s="4" t="n">
        <f aca="false">(D6-C6)*Assumptions!$B$23/100</f>
        <v>-122.89342</v>
      </c>
      <c r="E18" s="4" t="n">
        <f aca="false">(E6-D6)*Assumptions!$B$23/100</f>
        <v>-186.183531299999</v>
      </c>
      <c r="F18" s="4" t="n">
        <f aca="false">(F6-E6)*Assumptions!$B$23/100</f>
        <v>-251.968379026001</v>
      </c>
      <c r="G18" s="4" t="n">
        <f aca="false">(G6-F6)*Assumptions!$B$23/100</f>
        <v>-257.00774660652</v>
      </c>
      <c r="H18" s="4" t="n">
        <f aca="false">(H6-G6)*Assumptions!$B$23/100</f>
        <v>-196.610926153985</v>
      </c>
      <c r="I18" s="4" t="n">
        <f aca="false">(I6-H6)*Assumptions!$B$23/100</f>
        <v>-199.560090046297</v>
      </c>
      <c r="J18" s="4" t="n">
        <f aca="false">(J6-I6)*Assumptions!$B$23/100</f>
        <v>-202.55349139699</v>
      </c>
      <c r="K18" s="4" t="n">
        <f aca="false">(K6-J6)*Assumptions!$B$23/100</f>
        <v>-205.591793767945</v>
      </c>
      <c r="L18" s="4" t="n">
        <f aca="false">(L6-K6)*Assumptions!$B$23/100</f>
        <v>-208.675670674464</v>
      </c>
    </row>
    <row r="19" customFormat="false" ht="15" hidden="false" customHeight="false" outlineLevel="0" collapsed="false">
      <c r="A19" s="0" t="s">
        <v>120</v>
      </c>
      <c r="C19" s="0" t="n">
        <f aca="false">C15+C16+C17+C18</f>
        <v>1497.748642</v>
      </c>
      <c r="D19" s="0" t="n">
        <f aca="false">D15+D16+D17+D18</f>
        <v>1653.918080373</v>
      </c>
      <c r="E19" s="0" t="n">
        <f aca="false">E15+E16+E17+E18</f>
        <v>1713.65804655604</v>
      </c>
      <c r="F19" s="0" t="n">
        <f aca="false">F15+F16+F17+F18</f>
        <v>1811.80382622436</v>
      </c>
      <c r="G19" s="0" t="n">
        <f aca="false">G15+G16+G17+G18</f>
        <v>1600.31013579482</v>
      </c>
      <c r="H19" s="0" t="n">
        <f aca="false">H15+H16+H17+H18</f>
        <v>1555.52666445251</v>
      </c>
      <c r="I19" s="0" t="n">
        <f aca="false">I15+I16+I17+I18</f>
        <v>1578.85956441929</v>
      </c>
      <c r="J19" s="0" t="n">
        <f aca="false">J15+J16+J17+J18</f>
        <v>1602.54245788558</v>
      </c>
      <c r="K19" s="0" t="n">
        <f aca="false">K15+K16+K17+K18</f>
        <v>1626.58059475387</v>
      </c>
      <c r="L19" s="0" t="n">
        <f aca="false">L15+L16+L17+L18</f>
        <v>1650.97930367518</v>
      </c>
    </row>
    <row r="20" customFormat="false" ht="15" hidden="false" customHeight="false" outlineLevel="0" collapsed="false">
      <c r="A20" s="0" t="s">
        <v>121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122</v>
      </c>
      <c r="C21" s="0" t="n">
        <f aca="false">C19*C20</f>
        <v>1393.25455069767</v>
      </c>
      <c r="D21" s="0" t="n">
        <f aca="false">D19*D20</f>
        <v>1431.18925289173</v>
      </c>
      <c r="E21" s="0" t="n">
        <f aca="false">E19*E20</f>
        <v>1379.42715710046</v>
      </c>
      <c r="F21" s="0" t="n">
        <f aca="false">F19*F20</f>
        <v>1356.67966492766</v>
      </c>
      <c r="G21" s="0" t="n">
        <f aca="false">G19*G20</f>
        <v>1114.70983952527</v>
      </c>
      <c r="H21" s="0" t="n">
        <f aca="false">H19*H20</f>
        <v>1007.92141951179</v>
      </c>
      <c r="I21" s="0" t="n">
        <f aca="false">I19*I20</f>
        <v>951.665340283225</v>
      </c>
      <c r="J21" s="0" t="n">
        <f aca="false">J19*J20</f>
        <v>898.549135244163</v>
      </c>
      <c r="K21" s="0" t="n">
        <f aca="false">K19*K20</f>
        <v>848.397555602628</v>
      </c>
      <c r="L21" s="0" t="n">
        <f aca="false">L19*L20</f>
        <v>801.045133894575</v>
      </c>
    </row>
    <row r="23" customFormat="false" ht="15" hidden="false" customHeight="false" outlineLevel="0" collapsed="false">
      <c r="A23" s="0" t="s">
        <v>98</v>
      </c>
      <c r="C23" s="4" t="n">
        <f aca="false">Assumptions!C16</f>
        <v>0.8</v>
      </c>
      <c r="D23" s="4" t="n">
        <f aca="false">Assumptions!D16</f>
        <v>0.8</v>
      </c>
      <c r="E23" s="4" t="n">
        <f aca="false">Assumptions!E16</f>
        <v>0.8</v>
      </c>
      <c r="F23" s="4" t="n">
        <f aca="false">Assumptions!F16</f>
        <v>0.8</v>
      </c>
      <c r="G23" s="4" t="n">
        <f aca="false">Assumptions!G16</f>
        <v>0.8</v>
      </c>
      <c r="H23" s="4" t="n">
        <f aca="false">Assumptions!H16</f>
        <v>0.8</v>
      </c>
      <c r="I23" s="4" t="n">
        <f aca="false">Assumptions!I16</f>
        <v>0.8</v>
      </c>
      <c r="J23" s="4" t="n">
        <f aca="false">Assumptions!J16</f>
        <v>0.8</v>
      </c>
      <c r="K23" s="4" t="n">
        <f aca="false">Assumptions!K16</f>
        <v>0.8</v>
      </c>
      <c r="L23" s="4" t="n">
        <f aca="false">Assumptions!L16</f>
        <v>0.8</v>
      </c>
    </row>
    <row r="24" customFormat="false" ht="15" hidden="false" customHeight="false" outlineLevel="0" collapsed="false">
      <c r="A24" s="0" t="s">
        <v>123</v>
      </c>
      <c r="C24" s="0" t="n">
        <f aca="false">-C6*C23/100</f>
        <v>-491.57368</v>
      </c>
      <c r="D24" s="0" t="n">
        <f aca="false">-D6*D23/100</f>
        <v>-496.4894168</v>
      </c>
      <c r="E24" s="0" t="n">
        <f aca="false">-E6*E23/100</f>
        <v>-503.936758052</v>
      </c>
      <c r="F24" s="0" t="n">
        <f aca="false">-F6*F23/100</f>
        <v>-514.01549321304</v>
      </c>
      <c r="G24" s="0" t="n">
        <f aca="false">-G6*G23/100</f>
        <v>-524.295803077301</v>
      </c>
      <c r="H24" s="0" t="n">
        <f aca="false">-H6*H23/100</f>
        <v>-532.16024012346</v>
      </c>
      <c r="I24" s="0" t="n">
        <f aca="false">-I6*I23/100</f>
        <v>-540.142643725312</v>
      </c>
      <c r="J24" s="0" t="n">
        <f aca="false">-J6*J23/100</f>
        <v>-548.244783381192</v>
      </c>
      <c r="K24" s="0" t="n">
        <f aca="false">-K6*K23/100</f>
        <v>-556.46845513191</v>
      </c>
      <c r="L24" s="0" t="n">
        <f aca="false">-L6*L23/100</f>
        <v>-564.815481958888</v>
      </c>
    </row>
    <row r="26" customFormat="false" ht="15" hidden="false" customHeight="false" outlineLevel="0" collapsed="false">
      <c r="A26" s="2" t="s">
        <v>124</v>
      </c>
    </row>
    <row r="27" customFormat="false" ht="15" hidden="false" customHeight="false" outlineLevel="0" collapsed="false">
      <c r="A27" s="0" t="s">
        <v>102</v>
      </c>
      <c r="B27" s="4" t="n">
        <f aca="false">Assumptions!$B$20</f>
        <v>7.5</v>
      </c>
    </row>
    <row r="28" customFormat="false" ht="15" hidden="false" customHeight="false" outlineLevel="0" collapsed="false">
      <c r="A28" s="0" t="s">
        <v>103</v>
      </c>
      <c r="B28" s="4" t="n">
        <f aca="false">Assumptions!$B$21</f>
        <v>1.5</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11182.8390496792</v>
      </c>
    </row>
    <row r="31" customFormat="false" ht="15" hidden="false" customHeight="false" outlineLevel="0" collapsed="false">
      <c r="A31" s="0" t="s">
        <v>126</v>
      </c>
      <c r="B31" s="0" t="n">
        <f aca="false">L19</f>
        <v>1650.97930367518</v>
      </c>
    </row>
    <row r="32" customFormat="false" ht="15" hidden="false" customHeight="false" outlineLevel="0" collapsed="false">
      <c r="A32" s="0" t="s">
        <v>127</v>
      </c>
      <c r="B32" s="0" t="n">
        <f aca="false">IF(B27&gt;B28,B31*(1+B28/100)/((B27-B28)/100),B31*B29)</f>
        <v>27929.0665538384</v>
      </c>
    </row>
    <row r="33" customFormat="false" ht="15" hidden="false" customHeight="false" outlineLevel="0" collapsed="false">
      <c r="A33" s="0" t="s">
        <v>128</v>
      </c>
      <c r="B33" s="0" t="n">
        <f aca="false">B31*B29</f>
        <v>19811.7516441021</v>
      </c>
    </row>
    <row r="34" customFormat="false" ht="15" hidden="false" customHeight="false" outlineLevel="0" collapsed="false">
      <c r="A34" s="0" t="s">
        <v>129</v>
      </c>
      <c r="B34" s="0" t="n">
        <f aca="false">MAX(0,MIN(B32,B33))</f>
        <v>19811.7516441021</v>
      </c>
    </row>
    <row r="35" customFormat="false" ht="15" hidden="false" customHeight="false" outlineLevel="0" collapsed="false">
      <c r="A35" s="0" t="s">
        <v>130</v>
      </c>
      <c r="B35" s="0" t="n">
        <f aca="false">B34/(1+B27/100)^L4</f>
        <v>9612.5416067349</v>
      </c>
    </row>
    <row r="36" customFormat="false" ht="15" hidden="false" customHeight="false" outlineLevel="0" collapsed="false">
      <c r="A36" s="0" t="s">
        <v>131</v>
      </c>
      <c r="B36" s="0" t="n">
        <f aca="false">B30+B35</f>
        <v>20795.3806564141</v>
      </c>
    </row>
    <row r="37" customFormat="false" ht="15" hidden="false" customHeight="false" outlineLevel="0" collapsed="false">
      <c r="A37" s="0" t="s">
        <v>132</v>
      </c>
      <c r="B37" s="0" t="n">
        <f aca="false">B36+Assumptions!$B$5-Assumptions!$B$4</f>
        <v>3584.38065641407</v>
      </c>
    </row>
    <row r="38" customFormat="false" ht="15" hidden="false" customHeight="false" outlineLevel="0" collapsed="false">
      <c r="A38" s="0" t="s">
        <v>133</v>
      </c>
      <c r="B38" s="0" t="n">
        <f aca="false">B37/Assumptions!$B$3*Assumptions!$B$10</f>
        <v>4.16343058171964</v>
      </c>
    </row>
    <row r="39" customFormat="false" ht="15" hidden="false" customHeight="false" outlineLevel="0" collapsed="false">
      <c r="A39" s="0" t="s">
        <v>134</v>
      </c>
      <c r="B39" s="4" t="n">
        <f aca="false">B38/Assumptions!$B$2-1</f>
        <v>-0.920620961263687</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4.16343058171964</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12412.9184683726</v>
      </c>
    </row>
    <row r="47" customFormat="false" ht="15" hidden="false" customHeight="false" outlineLevel="0" collapsed="false">
      <c r="A47" s="0" t="s">
        <v>139</v>
      </c>
      <c r="B47" s="0" t="n">
        <f aca="false">(SUMPRODUCT(C19:L19/(1+B45/100)^C4:L4)+B46/(1+B45/100)^L4+Assumptions!$B$5-Assumptions!$B$4)/Assumptions!$B$3*Assumptions!$B$10</f>
        <v>-6.93564035816234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4.5</v>
      </c>
      <c r="D5" s="4" t="n">
        <f aca="false">Assumptions!D27</f>
        <v>3.5</v>
      </c>
      <c r="E5" s="4" t="n">
        <f aca="false">Assumptions!E27</f>
        <v>3</v>
      </c>
      <c r="F5" s="4" t="n">
        <f aca="false">Assumptions!F27</f>
        <v>3</v>
      </c>
      <c r="G5" s="4" t="n">
        <f aca="false">Assumptions!G27</f>
        <v>2.5</v>
      </c>
      <c r="H5" s="4" t="n">
        <f aca="false">Assumptions!H27</f>
        <v>2.5</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37</v>
      </c>
      <c r="B6" s="3" t="n">
        <v>59657</v>
      </c>
      <c r="C6" s="0" t="n">
        <f aca="false">B6*(1+C5/100)</f>
        <v>62341.565</v>
      </c>
      <c r="D6" s="0" t="n">
        <f aca="false">C6*(1+D5/100)</f>
        <v>64523.519775</v>
      </c>
      <c r="E6" s="0" t="n">
        <f aca="false">D6*(1+E5/100)</f>
        <v>66459.22536825</v>
      </c>
      <c r="F6" s="0" t="n">
        <f aca="false">E6*(1+F5/100)</f>
        <v>68453.0021292975</v>
      </c>
      <c r="G6" s="0" t="n">
        <f aca="false">F6*(1+G5/100)</f>
        <v>70164.3271825299</v>
      </c>
      <c r="H6" s="0" t="n">
        <f aca="false">G6*(1+H5/100)</f>
        <v>71918.4353620932</v>
      </c>
      <c r="I6" s="0" t="n">
        <f aca="false">H6*(1+I5/100)</f>
        <v>73356.8040693351</v>
      </c>
      <c r="J6" s="0" t="n">
        <f aca="false">I6*(1+J5/100)</f>
        <v>74823.9401507218</v>
      </c>
      <c r="K6" s="0" t="n">
        <f aca="false">J6*(1+K5/100)</f>
        <v>76320.4189537362</v>
      </c>
      <c r="L6" s="0" t="n">
        <f aca="false">K6*(1+L5/100)</f>
        <v>77846.8273328109</v>
      </c>
    </row>
    <row r="7" customFormat="false" ht="15" hidden="false" customHeight="false" outlineLevel="0" collapsed="false">
      <c r="A7" s="0" t="s">
        <v>96</v>
      </c>
      <c r="C7" s="4" t="n">
        <f aca="false">Assumptions!C28</f>
        <v>10.8</v>
      </c>
      <c r="D7" s="4" t="n">
        <f aca="false">Assumptions!D28</f>
        <v>11.5</v>
      </c>
      <c r="E7" s="4" t="n">
        <f aca="false">Assumptions!E28</f>
        <v>12.2</v>
      </c>
      <c r="F7" s="4" t="n">
        <f aca="false">Assumptions!F28</f>
        <v>12.6</v>
      </c>
      <c r="G7" s="4" t="n">
        <f aca="false">Assumptions!G28</f>
        <v>12.8</v>
      </c>
      <c r="H7" s="4" t="n">
        <f aca="false">Assumptions!H28</f>
        <v>13</v>
      </c>
      <c r="I7" s="4" t="n">
        <f aca="false">Assumptions!I28</f>
        <v>13</v>
      </c>
      <c r="J7" s="4" t="n">
        <f aca="false">Assumptions!J28</f>
        <v>13</v>
      </c>
      <c r="K7" s="4" t="n">
        <f aca="false">Assumptions!K28</f>
        <v>13</v>
      </c>
      <c r="L7" s="4" t="n">
        <f aca="false">Assumptions!L28</f>
        <v>13</v>
      </c>
    </row>
    <row r="8" customFormat="false" ht="15" hidden="false" customHeight="false" outlineLevel="0" collapsed="false">
      <c r="A8" s="0" t="s">
        <v>43</v>
      </c>
      <c r="C8" s="0" t="n">
        <f aca="false">C6*C7/100</f>
        <v>6732.88902</v>
      </c>
      <c r="D8" s="0" t="n">
        <f aca="false">D6*D7/100</f>
        <v>7420.204774125</v>
      </c>
      <c r="E8" s="0" t="n">
        <f aca="false">E6*E7/100</f>
        <v>8108.0254949265</v>
      </c>
      <c r="F8" s="0" t="n">
        <f aca="false">F6*F7/100</f>
        <v>8625.07826829149</v>
      </c>
      <c r="G8" s="0" t="n">
        <f aca="false">G6*G7/100</f>
        <v>8981.03387936383</v>
      </c>
      <c r="H8" s="0" t="n">
        <f aca="false">H6*H7/100</f>
        <v>9349.39659707211</v>
      </c>
      <c r="I8" s="0" t="n">
        <f aca="false">I6*I7/100</f>
        <v>9536.38452901356</v>
      </c>
      <c r="J8" s="0" t="n">
        <f aca="false">J6*J7/100</f>
        <v>9727.11221959383</v>
      </c>
      <c r="K8" s="0" t="n">
        <f aca="false">K6*K7/100</f>
        <v>9921.65446398571</v>
      </c>
      <c r="L8" s="0" t="n">
        <f aca="false">L6*L7/100</f>
        <v>10120.0875532654</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6234.1565</v>
      </c>
      <c r="D11" s="0" t="n">
        <f aca="false">D8+D10+D24</f>
        <v>6904.016615925</v>
      </c>
      <c r="E11" s="0" t="n">
        <f aca="false">E8+E10+E24</f>
        <v>7576.3516919805</v>
      </c>
      <c r="F11" s="0" t="n">
        <f aca="false">F8+F10+F24</f>
        <v>8077.45425125711</v>
      </c>
      <c r="G11" s="0" t="n">
        <f aca="false">G8+G10+G24</f>
        <v>8419.71926190359</v>
      </c>
      <c r="H11" s="0" t="n">
        <f aca="false">H8+H10+H24</f>
        <v>8774.04911417537</v>
      </c>
      <c r="I11" s="0" t="n">
        <f aca="false">I8+I10+I24</f>
        <v>8949.53009645888</v>
      </c>
      <c r="J11" s="0" t="n">
        <f aca="false">J8+J10+J24</f>
        <v>9128.52069838805</v>
      </c>
      <c r="K11" s="0" t="n">
        <f aca="false">K8+K10+K24</f>
        <v>9311.09111235582</v>
      </c>
      <c r="L11" s="0" t="n">
        <f aca="false">L8+L10+L24</f>
        <v>9497.31293460293</v>
      </c>
    </row>
    <row r="12" customFormat="false" ht="15" hidden="false" customHeight="false" outlineLevel="0" collapsed="false">
      <c r="A12" s="0" t="s">
        <v>114</v>
      </c>
      <c r="C12" s="4" t="n">
        <f aca="false">-C6*Assumptions!C31/100</f>
        <v>-3678.152335</v>
      </c>
      <c r="D12" s="4" t="n">
        <f aca="false">-D6*Assumptions!D31/100</f>
        <v>-3742.36414695</v>
      </c>
      <c r="E12" s="4" t="n">
        <f aca="false">-E6*Assumptions!E31/100</f>
        <v>-3788.17584599025</v>
      </c>
      <c r="F12" s="4" t="n">
        <f aca="false">-F6*Assumptions!F31/100</f>
        <v>-3833.36811924066</v>
      </c>
      <c r="G12" s="4" t="n">
        <f aca="false">-G6*Assumptions!G31/100</f>
        <v>-3859.03799503915</v>
      </c>
      <c r="H12" s="4" t="n">
        <f aca="false">-H6*Assumptions!H31/100</f>
        <v>-3955.51394491513</v>
      </c>
      <c r="I12" s="4" t="n">
        <f aca="false">-I6*Assumptions!I31/100</f>
        <v>-4034.62422381343</v>
      </c>
      <c r="J12" s="4" t="n">
        <f aca="false">-J6*Assumptions!J31/100</f>
        <v>-4115.3167082897</v>
      </c>
      <c r="K12" s="4" t="n">
        <f aca="false">-K6*Assumptions!K31/100</f>
        <v>-4197.62304245549</v>
      </c>
      <c r="L12" s="4" t="n">
        <f aca="false">-L6*Assumptions!L31/100</f>
        <v>-4281.5755033046</v>
      </c>
    </row>
    <row r="13" customFormat="false" ht="15" hidden="false" customHeight="false" outlineLevel="0" collapsed="false">
      <c r="A13" s="0" t="s">
        <v>115</v>
      </c>
      <c r="C13" s="0" t="n">
        <f aca="false">C11+C12</f>
        <v>2556.004165</v>
      </c>
      <c r="D13" s="0" t="n">
        <f aca="false">D11+D12</f>
        <v>3161.652468975</v>
      </c>
      <c r="E13" s="0" t="n">
        <f aca="false">E11+E12</f>
        <v>3788.17584599025</v>
      </c>
      <c r="F13" s="0" t="n">
        <f aca="false">F11+F12</f>
        <v>4244.08613201645</v>
      </c>
      <c r="G13" s="0" t="n">
        <f aca="false">G11+G12</f>
        <v>4560.68126686445</v>
      </c>
      <c r="H13" s="0" t="n">
        <f aca="false">H11+H12</f>
        <v>4818.53516926024</v>
      </c>
      <c r="I13" s="0" t="n">
        <f aca="false">I11+I12</f>
        <v>4914.90587264545</v>
      </c>
      <c r="J13" s="0" t="n">
        <f aca="false">J11+J12</f>
        <v>5013.20399009836</v>
      </c>
      <c r="K13" s="0" t="n">
        <f aca="false">K11+K12</f>
        <v>5113.46806990033</v>
      </c>
      <c r="L13" s="0" t="n">
        <f aca="false">L11+L12</f>
        <v>5215.73743129833</v>
      </c>
    </row>
    <row r="14" customFormat="false" ht="15" hidden="false" customHeight="false" outlineLevel="0" collapsed="false">
      <c r="A14" s="0" t="s">
        <v>101</v>
      </c>
      <c r="C14" s="4" t="n">
        <f aca="false">Assumptions!C33</f>
        <v>27</v>
      </c>
      <c r="D14" s="4" t="n">
        <f aca="false">Assumptions!D33</f>
        <v>26</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116</v>
      </c>
      <c r="C15" s="0" t="n">
        <f aca="false">C13-MAX(0,C13)*C14/100</f>
        <v>1865.88304045</v>
      </c>
      <c r="D15" s="0" t="n">
        <f aca="false">D13-MAX(0,D13)*D14/100</f>
        <v>2339.6228270415</v>
      </c>
      <c r="E15" s="0" t="n">
        <f aca="false">E13-MAX(0,E13)*E14/100</f>
        <v>2841.13188449269</v>
      </c>
      <c r="F15" s="0" t="n">
        <f aca="false">F13-MAX(0,F13)*F14/100</f>
        <v>3183.06459901233</v>
      </c>
      <c r="G15" s="0" t="n">
        <f aca="false">G13-MAX(0,G13)*G14/100</f>
        <v>3420.51095014834</v>
      </c>
      <c r="H15" s="0" t="n">
        <f aca="false">H13-MAX(0,H13)*H14/100</f>
        <v>3613.90137694518</v>
      </c>
      <c r="I15" s="0" t="n">
        <f aca="false">I13-MAX(0,I13)*I14/100</f>
        <v>3686.17940448409</v>
      </c>
      <c r="J15" s="0" t="n">
        <f aca="false">J13-MAX(0,J13)*J14/100</f>
        <v>3759.90299257377</v>
      </c>
      <c r="K15" s="0" t="n">
        <f aca="false">K13-MAX(0,K13)*K14/100</f>
        <v>3835.10105242524</v>
      </c>
      <c r="L15" s="0" t="n">
        <f aca="false">L13-MAX(0,L13)*L14/100</f>
        <v>3911.80307347375</v>
      </c>
    </row>
    <row r="16" customFormat="false" ht="15" hidden="false" customHeight="false" outlineLevel="0" collapsed="false">
      <c r="A16" s="0" t="s">
        <v>117</v>
      </c>
      <c r="C16" s="0" t="n">
        <f aca="false">-C12</f>
        <v>3678.152335</v>
      </c>
      <c r="D16" s="0" t="n">
        <f aca="false">-D12</f>
        <v>3742.36414695</v>
      </c>
      <c r="E16" s="0" t="n">
        <f aca="false">-E12</f>
        <v>3788.17584599025</v>
      </c>
      <c r="F16" s="0" t="n">
        <f aca="false">-F12</f>
        <v>3833.36811924066</v>
      </c>
      <c r="G16" s="0" t="n">
        <f aca="false">-G12</f>
        <v>3859.03799503915</v>
      </c>
      <c r="H16" s="0" t="n">
        <f aca="false">-H12</f>
        <v>3955.51394491513</v>
      </c>
      <c r="I16" s="0" t="n">
        <f aca="false">-I12</f>
        <v>4034.62422381343</v>
      </c>
      <c r="J16" s="0" t="n">
        <f aca="false">-J12</f>
        <v>4115.3167082897</v>
      </c>
      <c r="K16" s="0" t="n">
        <f aca="false">-K12</f>
        <v>4197.62304245549</v>
      </c>
      <c r="L16" s="0" t="n">
        <f aca="false">-L12</f>
        <v>4281.5755033046</v>
      </c>
    </row>
    <row r="17" customFormat="false" ht="15" hidden="false" customHeight="false" outlineLevel="0" collapsed="false">
      <c r="A17" s="0" t="s">
        <v>118</v>
      </c>
      <c r="C17" s="4" t="n">
        <f aca="false">-C6*Assumptions!C32/100</f>
        <v>-3304.102945</v>
      </c>
      <c r="D17" s="4" t="n">
        <f aca="false">-D6*Assumptions!D32/100</f>
        <v>-3355.2230283</v>
      </c>
      <c r="E17" s="4" t="n">
        <f aca="false">-E6*Assumptions!E32/100</f>
        <v>-3389.42049378075</v>
      </c>
      <c r="F17" s="4" t="n">
        <f aca="false">-F6*Assumptions!F32/100</f>
        <v>-3422.65010646487</v>
      </c>
      <c r="G17" s="4" t="n">
        <f aca="false">-G6*Assumptions!G32/100</f>
        <v>-3788.87366785662</v>
      </c>
      <c r="H17" s="4" t="n">
        <f aca="false">-H6*Assumptions!H32/100</f>
        <v>-4027.43238027722</v>
      </c>
      <c r="I17" s="4" t="n">
        <f aca="false">-I6*Assumptions!I32/100</f>
        <v>-4254.69463602143</v>
      </c>
      <c r="J17" s="4" t="n">
        <f aca="false">-J6*Assumptions!J32/100</f>
        <v>-4339.78852874186</v>
      </c>
      <c r="K17" s="4" t="n">
        <f aca="false">-K6*Assumptions!K32/100</f>
        <v>-4426.5842993167</v>
      </c>
      <c r="L17" s="4" t="n">
        <f aca="false">-L6*Assumptions!L32/100</f>
        <v>-4515.11598530303</v>
      </c>
    </row>
    <row r="18" customFormat="false" ht="15" hidden="false" customHeight="false" outlineLevel="0" collapsed="false">
      <c r="A18" s="0" t="s">
        <v>119</v>
      </c>
      <c r="C18" s="4" t="n">
        <f aca="false">(C6-B6)*Assumptions!$B$37/100</f>
        <v>-536.912999999999</v>
      </c>
      <c r="D18" s="4" t="n">
        <f aca="false">(D6-C6)*Assumptions!$B$37/100</f>
        <v>-436.390955</v>
      </c>
      <c r="E18" s="4" t="n">
        <f aca="false">(E6-D6)*Assumptions!$B$37/100</f>
        <v>-387.141118650002</v>
      </c>
      <c r="F18" s="4" t="n">
        <f aca="false">(F6-E6)*Assumptions!$B$37/100</f>
        <v>-398.7553522095</v>
      </c>
      <c r="G18" s="4" t="n">
        <f aca="false">(G6-F6)*Assumptions!$B$37/100</f>
        <v>-342.265010646486</v>
      </c>
      <c r="H18" s="4" t="n">
        <f aca="false">(H6-G6)*Assumptions!$B$37/100</f>
        <v>-350.82163591265</v>
      </c>
      <c r="I18" s="4" t="n">
        <f aca="false">(I6-H6)*Assumptions!$B$37/100</f>
        <v>-287.673741448374</v>
      </c>
      <c r="J18" s="4" t="n">
        <f aca="false">(J6-I6)*Assumptions!$B$37/100</f>
        <v>-293.427216277341</v>
      </c>
      <c r="K18" s="4" t="n">
        <f aca="false">(K6-J6)*Assumptions!$B$37/100</f>
        <v>-299.295760602888</v>
      </c>
      <c r="L18" s="4" t="n">
        <f aca="false">(L6-K6)*Assumptions!$B$37/100</f>
        <v>-305.281675814945</v>
      </c>
    </row>
    <row r="19" customFormat="false" ht="15" hidden="false" customHeight="false" outlineLevel="0" collapsed="false">
      <c r="A19" s="0" t="s">
        <v>120</v>
      </c>
      <c r="C19" s="0" t="n">
        <f aca="false">C15+C16+C17+C18</f>
        <v>1703.01943045</v>
      </c>
      <c r="D19" s="0" t="n">
        <f aca="false">D15+D16+D17+D18</f>
        <v>2290.3729906915</v>
      </c>
      <c r="E19" s="0" t="n">
        <f aca="false">E15+E16+E17+E18</f>
        <v>2852.74611805219</v>
      </c>
      <c r="F19" s="0" t="n">
        <f aca="false">F15+F16+F17+F18</f>
        <v>3195.02725957862</v>
      </c>
      <c r="G19" s="0" t="n">
        <f aca="false">G15+G16+G17+G18</f>
        <v>3148.41026668438</v>
      </c>
      <c r="H19" s="0" t="n">
        <f aca="false">H15+H16+H17+H18</f>
        <v>3191.16130567044</v>
      </c>
      <c r="I19" s="0" t="n">
        <f aca="false">I15+I16+I17+I18</f>
        <v>3178.43525082771</v>
      </c>
      <c r="J19" s="0" t="n">
        <f aca="false">J15+J16+J17+J18</f>
        <v>3242.00395584426</v>
      </c>
      <c r="K19" s="0" t="n">
        <f aca="false">K15+K16+K17+K18</f>
        <v>3306.84403496115</v>
      </c>
      <c r="L19" s="0" t="n">
        <f aca="false">L15+L16+L17+L18</f>
        <v>3372.98091566037</v>
      </c>
    </row>
    <row r="20" customFormat="false" ht="15" hidden="false" customHeight="false" outlineLevel="0" collapsed="false">
      <c r="A20" s="0" t="s">
        <v>121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122</v>
      </c>
      <c r="C21" s="0" t="n">
        <f aca="false">C19*C20</f>
        <v>1584.20412134884</v>
      </c>
      <c r="D21" s="0" t="n">
        <f aca="false">D19*D20</f>
        <v>1981.93444299968</v>
      </c>
      <c r="E21" s="0" t="n">
        <f aca="false">E19*E20</f>
        <v>2296.3481398536</v>
      </c>
      <c r="F21" s="0" t="n">
        <f aca="false">F19*F20</f>
        <v>2392.43810462243</v>
      </c>
      <c r="G21" s="0" t="n">
        <f aca="false">G19*G20</f>
        <v>2193.05234943874</v>
      </c>
      <c r="H21" s="0" t="n">
        <f aca="false">H19*H20</f>
        <v>2067.74972528969</v>
      </c>
      <c r="I21" s="0" t="n">
        <f aca="false">I19*I20</f>
        <v>1915.81742462299</v>
      </c>
      <c r="J21" s="0" t="n">
        <f aca="false">J19*J20</f>
        <v>1817.79885871205</v>
      </c>
      <c r="K21" s="0" t="n">
        <f aca="false">K19*K20</f>
        <v>1724.79519617329</v>
      </c>
      <c r="L21" s="0" t="n">
        <f aca="false">L19*L20</f>
        <v>1636.54986055513</v>
      </c>
    </row>
    <row r="23" customFormat="false" ht="15" hidden="false" customHeight="false" outlineLevel="0" collapsed="false">
      <c r="A23" s="0" t="s">
        <v>98</v>
      </c>
      <c r="C23" s="4" t="n">
        <f aca="false">Assumptions!C30</f>
        <v>0.8</v>
      </c>
      <c r="D23" s="4" t="n">
        <f aca="false">Assumptions!D30</f>
        <v>0.8</v>
      </c>
      <c r="E23" s="4" t="n">
        <f aca="false">Assumptions!E30</f>
        <v>0.8</v>
      </c>
      <c r="F23" s="4" t="n">
        <f aca="false">Assumptions!F30</f>
        <v>0.8</v>
      </c>
      <c r="G23" s="4" t="n">
        <f aca="false">Assumptions!G30</f>
        <v>0.8</v>
      </c>
      <c r="H23" s="4" t="n">
        <f aca="false">Assumptions!H30</f>
        <v>0.8</v>
      </c>
      <c r="I23" s="4" t="n">
        <f aca="false">Assumptions!I30</f>
        <v>0.8</v>
      </c>
      <c r="J23" s="4" t="n">
        <f aca="false">Assumptions!J30</f>
        <v>0.8</v>
      </c>
      <c r="K23" s="4" t="n">
        <f aca="false">Assumptions!K30</f>
        <v>0.8</v>
      </c>
      <c r="L23" s="4" t="n">
        <f aca="false">Assumptions!L30</f>
        <v>0.8</v>
      </c>
    </row>
    <row r="24" customFormat="false" ht="15" hidden="false" customHeight="false" outlineLevel="0" collapsed="false">
      <c r="A24" s="0" t="s">
        <v>123</v>
      </c>
      <c r="C24" s="0" t="n">
        <f aca="false">-C6*C23/100</f>
        <v>-498.73252</v>
      </c>
      <c r="D24" s="0" t="n">
        <f aca="false">-D6*D23/100</f>
        <v>-516.1881582</v>
      </c>
      <c r="E24" s="0" t="n">
        <f aca="false">-E6*E23/100</f>
        <v>-531.673802946</v>
      </c>
      <c r="F24" s="0" t="n">
        <f aca="false">-F6*F23/100</f>
        <v>-547.62401703438</v>
      </c>
      <c r="G24" s="0" t="n">
        <f aca="false">-G6*G23/100</f>
        <v>-561.314617460239</v>
      </c>
      <c r="H24" s="0" t="n">
        <f aca="false">-H6*H23/100</f>
        <v>-575.347482896746</v>
      </c>
      <c r="I24" s="0" t="n">
        <f aca="false">-I6*I23/100</f>
        <v>-586.85443255468</v>
      </c>
      <c r="J24" s="0" t="n">
        <f aca="false">-J6*J23/100</f>
        <v>-598.591521205774</v>
      </c>
      <c r="K24" s="0" t="n">
        <f aca="false">-K6*K23/100</f>
        <v>-610.56335162989</v>
      </c>
      <c r="L24" s="0" t="n">
        <f aca="false">-L6*L23/100</f>
        <v>-622.774618662488</v>
      </c>
    </row>
    <row r="26" customFormat="false" ht="15" hidden="false" customHeight="false" outlineLevel="0" collapsed="false">
      <c r="A26" s="2" t="s">
        <v>124</v>
      </c>
    </row>
    <row r="27" customFormat="false" ht="15" hidden="false" customHeight="false" outlineLevel="0" collapsed="false">
      <c r="A27" s="0" t="s">
        <v>102</v>
      </c>
      <c r="B27" s="4" t="n">
        <f aca="false">Assumptions!$B$34</f>
        <v>7.5</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19610.6882236164</v>
      </c>
    </row>
    <row r="31" customFormat="false" ht="15" hidden="false" customHeight="false" outlineLevel="0" collapsed="false">
      <c r="A31" s="0" t="s">
        <v>126</v>
      </c>
      <c r="B31" s="0" t="n">
        <f aca="false">L19</f>
        <v>3372.98091566037</v>
      </c>
    </row>
    <row r="32" customFormat="false" ht="15" hidden="false" customHeight="false" outlineLevel="0" collapsed="false">
      <c r="A32" s="0" t="s">
        <v>127</v>
      </c>
      <c r="B32" s="0" t="n">
        <f aca="false">IF(B27&gt;B28,B31*(1+B28/100)/((B27-B28)/100),B31*B29)</f>
        <v>62553.4642540651</v>
      </c>
    </row>
    <row r="33" customFormat="false" ht="15" hidden="false" customHeight="false" outlineLevel="0" collapsed="false">
      <c r="A33" s="0" t="s">
        <v>128</v>
      </c>
      <c r="B33" s="0" t="n">
        <f aca="false">B31*B29</f>
        <v>50594.7137349056</v>
      </c>
    </row>
    <row r="34" customFormat="false" ht="15" hidden="false" customHeight="false" outlineLevel="0" collapsed="false">
      <c r="A34" s="0" t="s">
        <v>129</v>
      </c>
      <c r="B34" s="0" t="n">
        <f aca="false">MAX(0,MIN(B32,B33))</f>
        <v>50594.7137349056</v>
      </c>
    </row>
    <row r="35" customFormat="false" ht="15" hidden="false" customHeight="false" outlineLevel="0" collapsed="false">
      <c r="A35" s="0" t="s">
        <v>130</v>
      </c>
      <c r="B35" s="0" t="n">
        <f aca="false">B34/(1+B27/100)^L4</f>
        <v>24548.2479083269</v>
      </c>
    </row>
    <row r="36" customFormat="false" ht="15" hidden="false" customHeight="false" outlineLevel="0" collapsed="false">
      <c r="A36" s="0" t="s">
        <v>131</v>
      </c>
      <c r="B36" s="0" t="n">
        <f aca="false">B30+B35</f>
        <v>44158.9361319433</v>
      </c>
    </row>
    <row r="37" customFormat="false" ht="15" hidden="false" customHeight="false" outlineLevel="0" collapsed="false">
      <c r="A37" s="0" t="s">
        <v>132</v>
      </c>
      <c r="B37" s="0" t="n">
        <f aca="false">B36+Assumptions!$B$5-Assumptions!$B$4</f>
        <v>26947.9361319433</v>
      </c>
    </row>
    <row r="38" customFormat="false" ht="15" hidden="false" customHeight="false" outlineLevel="0" collapsed="false">
      <c r="A38" s="0" t="s">
        <v>133</v>
      </c>
      <c r="B38" s="0" t="n">
        <f aca="false">B37/Assumptions!$B$3*Assumptions!$B$10</f>
        <v>31.3013243181054</v>
      </c>
    </row>
    <row r="39" customFormat="false" ht="15" hidden="false" customHeight="false" outlineLevel="0" collapsed="false">
      <c r="A39" s="0" t="s">
        <v>134</v>
      </c>
      <c r="B39" s="4" t="n">
        <f aca="false">B38/Assumptions!$B$2-1</f>
        <v>-0.403215932924587</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31.3013243181054</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26464.9271844121</v>
      </c>
    </row>
    <row r="47" customFormat="false" ht="15" hidden="false" customHeight="false" outlineLevel="0" collapsed="false">
      <c r="A47" s="0" t="s">
        <v>139</v>
      </c>
      <c r="B47" s="0" t="n">
        <f aca="false">(SUMPRODUCT(C19:L19/(1+B45/100)^C4:L4)+B46/(1+B45/100)^L4+Assumptions!$B$5-Assumptions!$B$4)/Assumptions!$B$3*Assumptions!$B$10</f>
        <v>3.73945244921303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5.5</v>
      </c>
      <c r="D5" s="4" t="n">
        <f aca="false">Assumptions!D41</f>
        <v>5</v>
      </c>
      <c r="E5" s="4" t="n">
        <f aca="false">Assumptions!E41</f>
        <v>4.5</v>
      </c>
      <c r="F5" s="4" t="n">
        <f aca="false">Assumptions!F41</f>
        <v>4</v>
      </c>
      <c r="G5" s="4" t="n">
        <f aca="false">Assumptions!G41</f>
        <v>3.5</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37</v>
      </c>
      <c r="B6" s="3" t="n">
        <v>59657</v>
      </c>
      <c r="C6" s="0" t="n">
        <f aca="false">B6*(1+C5/100)</f>
        <v>62938.135</v>
      </c>
      <c r="D6" s="0" t="n">
        <f aca="false">C6*(1+D5/100)</f>
        <v>66085.04175</v>
      </c>
      <c r="E6" s="0" t="n">
        <f aca="false">D6*(1+E5/100)</f>
        <v>69058.86862875</v>
      </c>
      <c r="F6" s="0" t="n">
        <f aca="false">E6*(1+F5/100)</f>
        <v>71821.2233739</v>
      </c>
      <c r="G6" s="0" t="n">
        <f aca="false">F6*(1+G5/100)</f>
        <v>74334.9661919865</v>
      </c>
      <c r="H6" s="0" t="n">
        <f aca="false">G6*(1+H5/100)</f>
        <v>76565.0151777461</v>
      </c>
      <c r="I6" s="0" t="n">
        <f aca="false">H6*(1+I5/100)</f>
        <v>78861.9656330785</v>
      </c>
      <c r="J6" s="0" t="n">
        <f aca="false">I6*(1+J5/100)</f>
        <v>80833.5147739054</v>
      </c>
      <c r="K6" s="0" t="n">
        <f aca="false">J6*(1+K5/100)</f>
        <v>82854.3526432531</v>
      </c>
      <c r="L6" s="0" t="n">
        <f aca="false">K6*(1+L5/100)</f>
        <v>84925.7114593344</v>
      </c>
    </row>
    <row r="7" customFormat="false" ht="15" hidden="false" customHeight="false" outlineLevel="0" collapsed="false">
      <c r="A7" s="0" t="s">
        <v>96</v>
      </c>
      <c r="C7" s="4" t="n">
        <f aca="false">Assumptions!C42</f>
        <v>11.2</v>
      </c>
      <c r="D7" s="4" t="n">
        <f aca="false">Assumptions!D42</f>
        <v>12.5</v>
      </c>
      <c r="E7" s="4" t="n">
        <f aca="false">Assumptions!E42</f>
        <v>13.5</v>
      </c>
      <c r="F7" s="4" t="n">
        <f aca="false">Assumptions!F42</f>
        <v>14.2</v>
      </c>
      <c r="G7" s="4" t="n">
        <f aca="false">Assumptions!G42</f>
        <v>14.5</v>
      </c>
      <c r="H7" s="4" t="n">
        <f aca="false">Assumptions!H42</f>
        <v>14.5</v>
      </c>
      <c r="I7" s="4" t="n">
        <f aca="false">Assumptions!I42</f>
        <v>14.5</v>
      </c>
      <c r="J7" s="4" t="n">
        <f aca="false">Assumptions!J42</f>
        <v>14.5</v>
      </c>
      <c r="K7" s="4" t="n">
        <f aca="false">Assumptions!K42</f>
        <v>14.5</v>
      </c>
      <c r="L7" s="4" t="n">
        <f aca="false">Assumptions!L42</f>
        <v>14.5</v>
      </c>
    </row>
    <row r="8" customFormat="false" ht="15" hidden="false" customHeight="false" outlineLevel="0" collapsed="false">
      <c r="A8" s="0" t="s">
        <v>43</v>
      </c>
      <c r="C8" s="0" t="n">
        <f aca="false">C6*C7/100</f>
        <v>7049.07112</v>
      </c>
      <c r="D8" s="0" t="n">
        <f aca="false">D6*D7/100</f>
        <v>8260.63021875</v>
      </c>
      <c r="E8" s="0" t="n">
        <f aca="false">E6*E7/100</f>
        <v>9322.94726488125</v>
      </c>
      <c r="F8" s="0" t="n">
        <f aca="false">F6*F7/100</f>
        <v>10198.6137190938</v>
      </c>
      <c r="G8" s="0" t="n">
        <f aca="false">G6*G7/100</f>
        <v>10778.570097838</v>
      </c>
      <c r="H8" s="0" t="n">
        <f aca="false">H6*H7/100</f>
        <v>11101.9272007732</v>
      </c>
      <c r="I8" s="0" t="n">
        <f aca="false">I6*I7/100</f>
        <v>11434.9850167964</v>
      </c>
      <c r="J8" s="0" t="n">
        <f aca="false">J6*J7/100</f>
        <v>11720.8596422163</v>
      </c>
      <c r="K8" s="0" t="n">
        <f aca="false">K6*K7/100</f>
        <v>12013.8811332717</v>
      </c>
      <c r="L8" s="0" t="n">
        <f aca="false">L6*L7/100</f>
        <v>12314.2281616035</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6545.56604</v>
      </c>
      <c r="D11" s="0" t="n">
        <f aca="false">D8+D10+D24</f>
        <v>7731.94988475</v>
      </c>
      <c r="E11" s="0" t="n">
        <f aca="false">E8+E10+E24</f>
        <v>8770.47631585125</v>
      </c>
      <c r="F11" s="0" t="n">
        <f aca="false">F8+F10+F24</f>
        <v>9624.0439321026</v>
      </c>
      <c r="G11" s="0" t="n">
        <f aca="false">G8+G10+G24</f>
        <v>10183.8903683021</v>
      </c>
      <c r="H11" s="0" t="n">
        <f aca="false">H8+H10+H24</f>
        <v>10489.4070793512</v>
      </c>
      <c r="I11" s="0" t="n">
        <f aca="false">I8+I10+I24</f>
        <v>10804.0892917318</v>
      </c>
      <c r="J11" s="0" t="n">
        <f aca="false">J8+J10+J24</f>
        <v>11074.191524025</v>
      </c>
      <c r="K11" s="0" t="n">
        <f aca="false">K8+K10+K24</f>
        <v>11351.0463121257</v>
      </c>
      <c r="L11" s="0" t="n">
        <f aca="false">L8+L10+L24</f>
        <v>11634.8224699288</v>
      </c>
    </row>
    <row r="12" customFormat="false" ht="15" hidden="false" customHeight="false" outlineLevel="0" collapsed="false">
      <c r="A12" s="0" t="s">
        <v>114</v>
      </c>
      <c r="C12" s="4" t="n">
        <f aca="false">-C6*Assumptions!C45/100</f>
        <v>-3713.349965</v>
      </c>
      <c r="D12" s="4" t="n">
        <f aca="false">-D6*Assumptions!D45/100</f>
        <v>-3832.9324215</v>
      </c>
      <c r="E12" s="4" t="n">
        <f aca="false">-E6*Assumptions!E45/100</f>
        <v>-3936.35551183875</v>
      </c>
      <c r="F12" s="4" t="n">
        <f aca="false">-F6*Assumptions!F45/100</f>
        <v>-4021.9885089384</v>
      </c>
      <c r="G12" s="4" t="n">
        <f aca="false">-G6*Assumptions!G45/100</f>
        <v>-4088.42314055926</v>
      </c>
      <c r="H12" s="4" t="n">
        <f aca="false">-H6*Assumptions!H45/100</f>
        <v>-4211.07583477604</v>
      </c>
      <c r="I12" s="4" t="n">
        <f aca="false">-I6*Assumptions!I45/100</f>
        <v>-4337.40810981932</v>
      </c>
      <c r="J12" s="4" t="n">
        <f aca="false">-J6*Assumptions!J45/100</f>
        <v>-4445.8433125648</v>
      </c>
      <c r="K12" s="4" t="n">
        <f aca="false">-K6*Assumptions!K45/100</f>
        <v>-4556.98939537892</v>
      </c>
      <c r="L12" s="4" t="n">
        <f aca="false">-L6*Assumptions!L45/100</f>
        <v>-4670.91413026339</v>
      </c>
    </row>
    <row r="13" customFormat="false" ht="15" hidden="false" customHeight="false" outlineLevel="0" collapsed="false">
      <c r="A13" s="0" t="s">
        <v>115</v>
      </c>
      <c r="C13" s="0" t="n">
        <f aca="false">C11+C12</f>
        <v>2832.216075</v>
      </c>
      <c r="D13" s="0" t="n">
        <f aca="false">D11+D12</f>
        <v>3899.01746325</v>
      </c>
      <c r="E13" s="0" t="n">
        <f aca="false">E11+E12</f>
        <v>4834.1208040125</v>
      </c>
      <c r="F13" s="0" t="n">
        <f aca="false">F11+F12</f>
        <v>5602.0554231642</v>
      </c>
      <c r="G13" s="0" t="n">
        <f aca="false">G11+G12</f>
        <v>6095.46722774289</v>
      </c>
      <c r="H13" s="0" t="n">
        <f aca="false">H11+H12</f>
        <v>6278.33124457518</v>
      </c>
      <c r="I13" s="0" t="n">
        <f aca="false">I11+I12</f>
        <v>6466.68118191244</v>
      </c>
      <c r="J13" s="0" t="n">
        <f aca="false">J11+J12</f>
        <v>6628.34821146025</v>
      </c>
      <c r="K13" s="0" t="n">
        <f aca="false">K11+K12</f>
        <v>6794.05691674675</v>
      </c>
      <c r="L13" s="0" t="n">
        <f aca="false">L11+L12</f>
        <v>6963.90833966542</v>
      </c>
    </row>
    <row r="14" customFormat="false" ht="15" hidden="false" customHeight="false" outlineLevel="0" collapsed="false">
      <c r="A14" s="0" t="s">
        <v>101</v>
      </c>
      <c r="C14" s="4" t="n">
        <f aca="false">Assumptions!C47</f>
        <v>27</v>
      </c>
      <c r="D14" s="4" t="n">
        <f aca="false">Assumptions!D47</f>
        <v>26</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116</v>
      </c>
      <c r="C15" s="0" t="n">
        <f aca="false">C13-MAX(0,C13)*C14/100</f>
        <v>2067.51773475</v>
      </c>
      <c r="D15" s="0" t="n">
        <f aca="false">D13-MAX(0,D13)*D14/100</f>
        <v>2885.272922805</v>
      </c>
      <c r="E15" s="0" t="n">
        <f aca="false">E13-MAX(0,E13)*E14/100</f>
        <v>3625.59060300938</v>
      </c>
      <c r="F15" s="0" t="n">
        <f aca="false">F13-MAX(0,F13)*F14/100</f>
        <v>4201.54156737315</v>
      </c>
      <c r="G15" s="0" t="n">
        <f aca="false">G13-MAX(0,G13)*G14/100</f>
        <v>4571.60042080717</v>
      </c>
      <c r="H15" s="0" t="n">
        <f aca="false">H13-MAX(0,H13)*H14/100</f>
        <v>4708.74843343138</v>
      </c>
      <c r="I15" s="0" t="n">
        <f aca="false">I13-MAX(0,I13)*I14/100</f>
        <v>4850.01088643433</v>
      </c>
      <c r="J15" s="0" t="n">
        <f aca="false">J13-MAX(0,J13)*J14/100</f>
        <v>4971.26115859519</v>
      </c>
      <c r="K15" s="0" t="n">
        <f aca="false">K13-MAX(0,K13)*K14/100</f>
        <v>5095.54268756006</v>
      </c>
      <c r="L15" s="0" t="n">
        <f aca="false">L13-MAX(0,L13)*L14/100</f>
        <v>5222.93125474906</v>
      </c>
    </row>
    <row r="16" customFormat="false" ht="15" hidden="false" customHeight="false" outlineLevel="0" collapsed="false">
      <c r="A16" s="0" t="s">
        <v>117</v>
      </c>
      <c r="C16" s="0" t="n">
        <f aca="false">-C12</f>
        <v>3713.349965</v>
      </c>
      <c r="D16" s="0" t="n">
        <f aca="false">-D12</f>
        <v>3832.9324215</v>
      </c>
      <c r="E16" s="0" t="n">
        <f aca="false">-E12</f>
        <v>3936.35551183875</v>
      </c>
      <c r="F16" s="0" t="n">
        <f aca="false">-F12</f>
        <v>4021.9885089384</v>
      </c>
      <c r="G16" s="0" t="n">
        <f aca="false">-G12</f>
        <v>4088.42314055926</v>
      </c>
      <c r="H16" s="0" t="n">
        <f aca="false">-H12</f>
        <v>4211.07583477604</v>
      </c>
      <c r="I16" s="0" t="n">
        <f aca="false">-I12</f>
        <v>4337.40810981932</v>
      </c>
      <c r="J16" s="0" t="n">
        <f aca="false">-J12</f>
        <v>4445.8433125648</v>
      </c>
      <c r="K16" s="0" t="n">
        <f aca="false">-K12</f>
        <v>4556.98939537892</v>
      </c>
      <c r="L16" s="0" t="n">
        <f aca="false">-L12</f>
        <v>4670.91413026339</v>
      </c>
    </row>
    <row r="17" customFormat="false" ht="15" hidden="false" customHeight="false" outlineLevel="0" collapsed="false">
      <c r="A17" s="0" t="s">
        <v>118</v>
      </c>
      <c r="C17" s="4" t="n">
        <f aca="false">-C6*Assumptions!C46/100</f>
        <v>-3272.78302</v>
      </c>
      <c r="D17" s="4" t="n">
        <f aca="false">-D6*Assumptions!D46/100</f>
        <v>-3304.2520875</v>
      </c>
      <c r="E17" s="4" t="n">
        <f aca="false">-E6*Assumptions!E46/100</f>
        <v>-3383.88456280875</v>
      </c>
      <c r="F17" s="4" t="n">
        <f aca="false">-F6*Assumptions!F46/100</f>
        <v>-3519.2399453211</v>
      </c>
      <c r="G17" s="4" t="n">
        <f aca="false">-G6*Assumptions!G46/100</f>
        <v>-3939.75320817528</v>
      </c>
      <c r="H17" s="4" t="n">
        <f aca="false">-H6*Assumptions!H46/100</f>
        <v>-4211.07583477604</v>
      </c>
      <c r="I17" s="4" t="n">
        <f aca="false">-I6*Assumptions!I46/100</f>
        <v>-4416.2700754524</v>
      </c>
      <c r="J17" s="4" t="n">
        <f aca="false">-J6*Assumptions!J46/100</f>
        <v>-4526.6768273387</v>
      </c>
      <c r="K17" s="4" t="n">
        <f aca="false">-K6*Assumptions!K46/100</f>
        <v>-4639.84374802217</v>
      </c>
      <c r="L17" s="4" t="n">
        <f aca="false">-L6*Assumptions!L46/100</f>
        <v>-4755.83984172273</v>
      </c>
    </row>
    <row r="18" customFormat="false" ht="15" hidden="false" customHeight="false" outlineLevel="0" collapsed="false">
      <c r="A18" s="0" t="s">
        <v>119</v>
      </c>
      <c r="C18" s="4" t="n">
        <f aca="false">(C6-B6)*Assumptions!$B$51/100</f>
        <v>-656.226999999999</v>
      </c>
      <c r="D18" s="4" t="n">
        <f aca="false">(D6-C6)*Assumptions!$B$51/100</f>
        <v>-629.381350000002</v>
      </c>
      <c r="E18" s="4" t="n">
        <f aca="false">(E6-D6)*Assumptions!$B$51/100</f>
        <v>-594.76537575</v>
      </c>
      <c r="F18" s="4" t="n">
        <f aca="false">(F6-E6)*Assumptions!$B$51/100</f>
        <v>-552.470949030001</v>
      </c>
      <c r="G18" s="4" t="n">
        <f aca="false">(G6-F6)*Assumptions!$B$51/100</f>
        <v>-502.748563617299</v>
      </c>
      <c r="H18" s="4" t="n">
        <f aca="false">(H6-G6)*Assumptions!$B$51/100</f>
        <v>-446.009797151919</v>
      </c>
      <c r="I18" s="4" t="n">
        <f aca="false">(I6-H6)*Assumptions!$B$51/100</f>
        <v>-459.390091066476</v>
      </c>
      <c r="J18" s="4" t="n">
        <f aca="false">(J6-I6)*Assumptions!$B$51/100</f>
        <v>-394.309828165392</v>
      </c>
      <c r="K18" s="4" t="n">
        <f aca="false">(K6-J6)*Assumptions!$B$51/100</f>
        <v>-404.167573869525</v>
      </c>
      <c r="L18" s="4" t="n">
        <f aca="false">(L6-K6)*Assumptions!$B$51/100</f>
        <v>-414.271763216265</v>
      </c>
    </row>
    <row r="19" customFormat="false" ht="15" hidden="false" customHeight="false" outlineLevel="0" collapsed="false">
      <c r="A19" s="0" t="s">
        <v>120</v>
      </c>
      <c r="C19" s="0" t="n">
        <f aca="false">C15+C16+C17+C18</f>
        <v>1851.85767975</v>
      </c>
      <c r="D19" s="0" t="n">
        <f aca="false">D15+D16+D17+D18</f>
        <v>2784.571906805</v>
      </c>
      <c r="E19" s="0" t="n">
        <f aca="false">E15+E16+E17+E18</f>
        <v>3583.29617628938</v>
      </c>
      <c r="F19" s="0" t="n">
        <f aca="false">F15+F16+F17+F18</f>
        <v>4151.81918196045</v>
      </c>
      <c r="G19" s="0" t="n">
        <f aca="false">G15+G16+G17+G18</f>
        <v>4217.52178957384</v>
      </c>
      <c r="H19" s="0" t="n">
        <f aca="false">H15+H16+H17+H18</f>
        <v>4262.73863627947</v>
      </c>
      <c r="I19" s="0" t="n">
        <f aca="false">I15+I16+I17+I18</f>
        <v>4311.75882973477</v>
      </c>
      <c r="J19" s="0" t="n">
        <f aca="false">J15+J16+J17+J18</f>
        <v>4496.11781565589</v>
      </c>
      <c r="K19" s="0" t="n">
        <f aca="false">K15+K16+K17+K18</f>
        <v>4608.52076104729</v>
      </c>
      <c r="L19" s="0" t="n">
        <f aca="false">L15+L16+L17+L18</f>
        <v>4723.73378007347</v>
      </c>
    </row>
    <row r="20" customFormat="false" ht="15" hidden="false" customHeight="false" outlineLevel="0" collapsed="false">
      <c r="A20" s="0" t="s">
        <v>121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122</v>
      </c>
      <c r="C21" s="0" t="n">
        <f aca="false">C19*C20</f>
        <v>1722.65830674419</v>
      </c>
      <c r="D21" s="0" t="n">
        <f aca="false">D19*D20</f>
        <v>2409.58088203786</v>
      </c>
      <c r="E21" s="0" t="n">
        <f aca="false">E19*E20</f>
        <v>2884.41213078748</v>
      </c>
      <c r="F21" s="0" t="n">
        <f aca="false">F19*F20</f>
        <v>3108.8844029877</v>
      </c>
      <c r="G21" s="0" t="n">
        <f aca="false">G19*G20</f>
        <v>2937.75120965237</v>
      </c>
      <c r="H21" s="0" t="n">
        <f aca="false">H19*H20</f>
        <v>2762.09059958402</v>
      </c>
      <c r="I21" s="0" t="n">
        <f aca="false">I19*I20</f>
        <v>2598.93376611236</v>
      </c>
      <c r="J21" s="0" t="n">
        <f aca="false">J19*J20</f>
        <v>2520.98330083802</v>
      </c>
      <c r="K21" s="0" t="n">
        <f aca="false">K19*K20</f>
        <v>2403.72826358974</v>
      </c>
      <c r="L21" s="0" t="n">
        <f aca="false">L19*L20</f>
        <v>2291.92694900417</v>
      </c>
    </row>
    <row r="23" customFormat="false" ht="15" hidden="false" customHeight="false" outlineLevel="0" collapsed="false">
      <c r="A23" s="0" t="s">
        <v>98</v>
      </c>
      <c r="C23" s="4" t="n">
        <f aca="false">Assumptions!C44</f>
        <v>0.8</v>
      </c>
      <c r="D23" s="4" t="n">
        <f aca="false">Assumptions!D44</f>
        <v>0.8</v>
      </c>
      <c r="E23" s="4" t="n">
        <f aca="false">Assumptions!E44</f>
        <v>0.8</v>
      </c>
      <c r="F23" s="4" t="n">
        <f aca="false">Assumptions!F44</f>
        <v>0.8</v>
      </c>
      <c r="G23" s="4" t="n">
        <f aca="false">Assumptions!G44</f>
        <v>0.8</v>
      </c>
      <c r="H23" s="4" t="n">
        <f aca="false">Assumptions!H44</f>
        <v>0.8</v>
      </c>
      <c r="I23" s="4" t="n">
        <f aca="false">Assumptions!I44</f>
        <v>0.8</v>
      </c>
      <c r="J23" s="4" t="n">
        <f aca="false">Assumptions!J44</f>
        <v>0.8</v>
      </c>
      <c r="K23" s="4" t="n">
        <f aca="false">Assumptions!K44</f>
        <v>0.8</v>
      </c>
      <c r="L23" s="4" t="n">
        <f aca="false">Assumptions!L44</f>
        <v>0.8</v>
      </c>
    </row>
    <row r="24" customFormat="false" ht="15" hidden="false" customHeight="false" outlineLevel="0" collapsed="false">
      <c r="A24" s="0" t="s">
        <v>123</v>
      </c>
      <c r="C24" s="0" t="n">
        <f aca="false">-C6*C23/100</f>
        <v>-503.50508</v>
      </c>
      <c r="D24" s="0" t="n">
        <f aca="false">-D6*D23/100</f>
        <v>-528.680334</v>
      </c>
      <c r="E24" s="0" t="n">
        <f aca="false">-E6*E23/100</f>
        <v>-552.47094903</v>
      </c>
      <c r="F24" s="0" t="n">
        <f aca="false">-F6*F23/100</f>
        <v>-574.5697869912</v>
      </c>
      <c r="G24" s="0" t="n">
        <f aca="false">-G6*G23/100</f>
        <v>-594.679729535892</v>
      </c>
      <c r="H24" s="0" t="n">
        <f aca="false">-H6*H23/100</f>
        <v>-612.520121421969</v>
      </c>
      <c r="I24" s="0" t="n">
        <f aca="false">-I6*I23/100</f>
        <v>-630.895725064628</v>
      </c>
      <c r="J24" s="0" t="n">
        <f aca="false">-J6*J23/100</f>
        <v>-646.668118191244</v>
      </c>
      <c r="K24" s="0" t="n">
        <f aca="false">-K6*K23/100</f>
        <v>-662.834821146025</v>
      </c>
      <c r="L24" s="0" t="n">
        <f aca="false">-L6*L23/100</f>
        <v>-679.405691674675</v>
      </c>
    </row>
    <row r="26" customFormat="false" ht="15" hidden="false" customHeight="false" outlineLevel="0" collapsed="false">
      <c r="A26" s="2" t="s">
        <v>124</v>
      </c>
    </row>
    <row r="27" customFormat="false" ht="15" hidden="false" customHeight="false" outlineLevel="0" collapsed="false">
      <c r="A27" s="0" t="s">
        <v>102</v>
      </c>
      <c r="B27" s="4" t="n">
        <f aca="false">Assumptions!$B$48</f>
        <v>7.5</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15</v>
      </c>
    </row>
    <row r="30" customFormat="false" ht="15" hidden="false" customHeight="false" outlineLevel="0" collapsed="false">
      <c r="A30" s="0" t="s">
        <v>125</v>
      </c>
      <c r="B30" s="0" t="n">
        <f aca="false">SUM(C21:L21)</f>
        <v>25640.9498113379</v>
      </c>
    </row>
    <row r="31" customFormat="false" ht="15" hidden="false" customHeight="false" outlineLevel="0" collapsed="false">
      <c r="A31" s="0" t="s">
        <v>126</v>
      </c>
      <c r="B31" s="0" t="n">
        <f aca="false">L19</f>
        <v>4723.73378007347</v>
      </c>
    </row>
    <row r="32" customFormat="false" ht="15" hidden="false" customHeight="false" outlineLevel="0" collapsed="false">
      <c r="A32" s="0" t="s">
        <v>127</v>
      </c>
      <c r="B32" s="0" t="n">
        <f aca="false">IF(B27&gt;B28,B31*(1+B28/100)/((B27-B28)/100),B31*B29)</f>
        <v>96836.5424915061</v>
      </c>
    </row>
    <row r="33" customFormat="false" ht="15" hidden="false" customHeight="false" outlineLevel="0" collapsed="false">
      <c r="A33" s="0" t="s">
        <v>128</v>
      </c>
      <c r="B33" s="0" t="n">
        <f aca="false">B31*B29</f>
        <v>70856.006701102</v>
      </c>
    </row>
    <row r="34" customFormat="false" ht="15" hidden="false" customHeight="false" outlineLevel="0" collapsed="false">
      <c r="A34" s="0" t="s">
        <v>129</v>
      </c>
      <c r="B34" s="0" t="n">
        <f aca="false">MAX(0,MIN(B32,B33))</f>
        <v>70856.006701102</v>
      </c>
    </row>
    <row r="35" customFormat="false" ht="15" hidden="false" customHeight="false" outlineLevel="0" collapsed="false">
      <c r="A35" s="0" t="s">
        <v>130</v>
      </c>
      <c r="B35" s="0" t="n">
        <f aca="false">B34/(1+B27/100)^L4</f>
        <v>34378.9042350626</v>
      </c>
    </row>
    <row r="36" customFormat="false" ht="15" hidden="false" customHeight="false" outlineLevel="0" collapsed="false">
      <c r="A36" s="0" t="s">
        <v>131</v>
      </c>
      <c r="B36" s="0" t="n">
        <f aca="false">B30+B35</f>
        <v>60019.8540464005</v>
      </c>
    </row>
    <row r="37" customFormat="false" ht="15" hidden="false" customHeight="false" outlineLevel="0" collapsed="false">
      <c r="A37" s="0" t="s">
        <v>132</v>
      </c>
      <c r="B37" s="0" t="n">
        <f aca="false">B36+Assumptions!$B$5-Assumptions!$B$4</f>
        <v>42808.8540464005</v>
      </c>
    </row>
    <row r="38" customFormat="false" ht="15" hidden="false" customHeight="false" outlineLevel="0" collapsed="false">
      <c r="A38" s="0" t="s">
        <v>133</v>
      </c>
      <c r="B38" s="0" t="n">
        <f aca="false">B37/Assumptions!$B$3*Assumptions!$B$10</f>
        <v>49.7245435654886</v>
      </c>
    </row>
    <row r="39" customFormat="false" ht="15" hidden="false" customHeight="false" outlineLevel="0" collapsed="false">
      <c r="A39" s="0" t="s">
        <v>134</v>
      </c>
      <c r="B39" s="4" t="n">
        <f aca="false">B38/Assumptions!$B$2-1</f>
        <v>-0.0519629444139442</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49.7245435654886</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38734.6169966024</v>
      </c>
    </row>
    <row r="47" customFormat="false" ht="15" hidden="false" customHeight="false" outlineLevel="0" collapsed="false">
      <c r="A47" s="0" t="s">
        <v>139</v>
      </c>
      <c r="B47" s="0" t="n">
        <f aca="false">(SUMPRODUCT(C19:L19/(1+B45/100)^C4:L4)+B46/(1+B45/100)^L4+Assumptions!$B$5-Assumptions!$B$4)/Assumptions!$B$3*Assumptions!$B$10</f>
        <v>11.9842724384211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4.16343058171964</v>
      </c>
      <c r="C4" s="0" t="n">
        <f aca="false">B4/Assumptions!$B$2-1</f>
        <v>-0.920620961263687</v>
      </c>
      <c r="D4" s="4" t="n">
        <f aca="false">Assumptions!$B$24</f>
        <v>0.25</v>
      </c>
      <c r="E4" s="4" t="n">
        <f aca="false">DCF_Bear!$B$43</f>
        <v>4.16343058171964</v>
      </c>
      <c r="F4" s="4" t="n">
        <f aca="false">DCF_Bear!$B$47</f>
        <v>-6.93564035816234</v>
      </c>
    </row>
    <row r="5" customFormat="false" ht="15" hidden="false" customHeight="false" outlineLevel="0" collapsed="false">
      <c r="A5" s="0" t="s">
        <v>148</v>
      </c>
      <c r="B5" s="4" t="n">
        <f aca="false">DCF_Base!$B$38</f>
        <v>31.3013243181054</v>
      </c>
      <c r="C5" s="0" t="n">
        <f aca="false">B5/Assumptions!$B$2-1</f>
        <v>-0.403215932924587</v>
      </c>
      <c r="D5" s="4" t="n">
        <f aca="false">Assumptions!$B$38</f>
        <v>0.5</v>
      </c>
      <c r="E5" s="4" t="n">
        <f aca="false">DCF_Base!$B$43</f>
        <v>31.3013243181054</v>
      </c>
      <c r="F5" s="4" t="n">
        <f aca="false">DCF_Base!$B$47</f>
        <v>3.73945244921303</v>
      </c>
    </row>
    <row r="6" customFormat="false" ht="15" hidden="false" customHeight="false" outlineLevel="0" collapsed="false">
      <c r="A6" s="0" t="s">
        <v>149</v>
      </c>
      <c r="B6" s="4" t="n">
        <f aca="false">DCF_Bull!$B$38</f>
        <v>49.7245435654886</v>
      </c>
      <c r="C6" s="0" t="n">
        <f aca="false">B6/Assumptions!$B$2-1</f>
        <v>-0.0519629444139442</v>
      </c>
      <c r="D6" s="4" t="n">
        <f aca="false">Assumptions!$B$52</f>
        <v>0.25</v>
      </c>
      <c r="E6" s="4" t="n">
        <f aca="false">DCF_Bull!$B$43</f>
        <v>49.7245435654886</v>
      </c>
      <c r="F6" s="4" t="n">
        <f aca="false">DCF_Bull!$B$47</f>
        <v>11.9842724384211</v>
      </c>
    </row>
    <row r="8" customFormat="false" ht="15" hidden="false" customHeight="false" outlineLevel="0" collapsed="false">
      <c r="A8" s="0" t="s">
        <v>150</v>
      </c>
      <c r="B8" s="0" t="n">
        <f aca="false">SUMPRODUCT(B4:B6,D4:D6)</f>
        <v>29.1226556958548</v>
      </c>
    </row>
    <row r="9" customFormat="false" ht="15" hidden="false" customHeight="false" outlineLevel="0" collapsed="false">
      <c r="A9" s="0" t="s">
        <v>151</v>
      </c>
      <c r="B9" s="0" t="n">
        <f aca="false">SUMPRODUCT(E4:E6,D4:D6)</f>
        <v>29.1226556958548</v>
      </c>
    </row>
    <row r="10" customFormat="false" ht="15" hidden="false" customHeight="false" outlineLevel="0" collapsed="false">
      <c r="A10" s="0" t="s">
        <v>152</v>
      </c>
      <c r="B10" s="0" t="n">
        <f aca="false">1-Assumptions!$B$2/B8</f>
        <v>-0.801003333891201</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3.1318842446712</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31.3013243181054</v>
      </c>
      <c r="C15" s="3" t="n">
        <v>7.5</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25.2854220828163</v>
      </c>
      <c r="C16" s="3" t="n">
        <v>9</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19.4427671710472</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14.9010797637824</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11.2700676336403</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3.73945244921303</v>
      </c>
      <c r="C20" s="3" t="n">
        <v>15</v>
      </c>
    </row>
    <row r="22" customFormat="false" ht="15" hidden="false" customHeight="false" outlineLevel="0" collapsed="false">
      <c r="A22" s="2" t="s">
        <v>163</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39.6402451228586</v>
      </c>
      <c r="C24" s="0" t="n">
        <f aca="false">(SUMPRODUCT(DCF_Base!$C$19:$L$19/(1+$A$24/100)^DCF_Base!$C$4:$L$4)+MAX(0,MIN(IF($A$24&gt;$C$23,DCF_Base!$L$19*(1+$C$23/100)/(($A$24-$C$23)/100),DCF_Base!$L$19*DCF_Base!$B$29),DCF_Base!$L$19*DCF_Base!$B$29))/(1+$A$24/100)^DCF_Base!$L$4+Assumptions!$B$5-Assumptions!$B$4)/Assumptions!$B$3*Assumptions!$B$10</f>
        <v>39.6402451228586</v>
      </c>
      <c r="D24" s="0" t="n">
        <f aca="false">(SUMPRODUCT(DCF_Base!$C$19:$L$19/(1+$A$24/100)^DCF_Base!$C$4:$L$4)+MAX(0,MIN(IF($A$24&gt;$D$23,DCF_Base!$L$19*(1+$D$23/100)/(($A$24-$D$23)/100),DCF_Base!$L$19*DCF_Base!$B$29),DCF_Base!$L$19*DCF_Base!$B$29))/(1+$A$24/100)^DCF_Base!$L$4+Assumptions!$B$5-Assumptions!$B$4)/Assumptions!$B$3*Assumptions!$B$10</f>
        <v>39.6402451228586</v>
      </c>
      <c r="E24" s="0" t="n">
        <f aca="false">(SUMPRODUCT(DCF_Base!$C$19:$L$19/(1+$A$24/100)^DCF_Base!$C$4:$L$4)+MAX(0,MIN(IF($A$24&gt;$E$23,DCF_Base!$L$19*(1+$E$23/100)/(($A$24-$E$23)/100),DCF_Base!$L$19*DCF_Base!$B$29),DCF_Base!$L$19*DCF_Base!$B$29))/(1+$A$24/100)^DCF_Base!$L$4+Assumptions!$B$5-Assumptions!$B$4)/Assumptions!$B$3*Assumptions!$B$10</f>
        <v>39.6402451228586</v>
      </c>
      <c r="F24" s="0" t="n">
        <f aca="false">(SUMPRODUCT(DCF_Base!$C$19:$L$19/(1+$A$24/100)^DCF_Base!$C$4:$L$4)+MAX(0,MIN(IF($A$24&gt;$F$23,DCF_Base!$L$19*(1+$F$23/100)/(($A$24-$F$23)/100),DCF_Base!$L$19*DCF_Base!$B$29),DCF_Base!$L$19*DCF_Base!$B$29))/(1+$A$24/100)^DCF_Base!$L$4+Assumptions!$B$5-Assumptions!$B$4)/Assumptions!$B$3*Assumptions!$B$10</f>
        <v>39.6402451228586</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35.2738966065872</v>
      </c>
      <c r="C25" s="0" t="n">
        <f aca="false">(SUMPRODUCT(DCF_Base!$C$19:$L$19/(1+$A$25/100)^DCF_Base!$C$4:$L$4)+MAX(0,MIN(IF($A$25&gt;$C$23,DCF_Base!$L$19*(1+$C$23/100)/(($A$25-$C$23)/100),DCF_Base!$L$19*DCF_Base!$B$29),DCF_Base!$L$19*DCF_Base!$B$29))/(1+$A$25/100)^DCF_Base!$L$4+Assumptions!$B$5-Assumptions!$B$4)/Assumptions!$B$3*Assumptions!$B$10</f>
        <v>35.2738966065872</v>
      </c>
      <c r="D25" s="0" t="n">
        <f aca="false">(SUMPRODUCT(DCF_Base!$C$19:$L$19/(1+$A$25/100)^DCF_Base!$C$4:$L$4)+MAX(0,MIN(IF($A$25&gt;$D$23,DCF_Base!$L$19*(1+$D$23/100)/(($A$25-$D$23)/100),DCF_Base!$L$19*DCF_Base!$B$29),DCF_Base!$L$19*DCF_Base!$B$29))/(1+$A$25/100)^DCF_Base!$L$4+Assumptions!$B$5-Assumptions!$B$4)/Assumptions!$B$3*Assumptions!$B$10</f>
        <v>35.2738966065872</v>
      </c>
      <c r="E25" s="0" t="n">
        <f aca="false">(SUMPRODUCT(DCF_Base!$C$19:$L$19/(1+$A$25/100)^DCF_Base!$C$4:$L$4)+MAX(0,MIN(IF($A$25&gt;$E$23,DCF_Base!$L$19*(1+$E$23/100)/(($A$25-$E$23)/100),DCF_Base!$L$19*DCF_Base!$B$29),DCF_Base!$L$19*DCF_Base!$B$29))/(1+$A$25/100)^DCF_Base!$L$4+Assumptions!$B$5-Assumptions!$B$4)/Assumptions!$B$3*Assumptions!$B$10</f>
        <v>35.2738966065872</v>
      </c>
      <c r="F25" s="0" t="n">
        <f aca="false">(SUMPRODUCT(DCF_Base!$C$19:$L$19/(1+$A$25/100)^DCF_Base!$C$4:$L$4)+MAX(0,MIN(IF($A$25&gt;$F$23,DCF_Base!$L$19*(1+$F$23/100)/(($A$25-$F$23)/100),DCF_Base!$L$19*DCF_Base!$B$29),DCF_Base!$L$19*DCF_Base!$B$29))/(1+$A$25/100)^DCF_Base!$L$4+Assumptions!$B$5-Assumptions!$B$4)/Assumptions!$B$3*Assumptions!$B$10</f>
        <v>35.2738966065872</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31.3013243181054</v>
      </c>
      <c r="C26" s="0" t="n">
        <f aca="false">(SUMPRODUCT(DCF_Base!$C$19:$L$19/(1+$A$26/100)^DCF_Base!$C$4:$L$4)+MAX(0,MIN(IF($A$26&gt;$C$23,DCF_Base!$L$19*(1+$C$23/100)/(($A$26-$C$23)/100),DCF_Base!$L$19*DCF_Base!$B$29),DCF_Base!$L$19*DCF_Base!$B$29))/(1+$A$26/100)^DCF_Base!$L$4+Assumptions!$B$5-Assumptions!$B$4)/Assumptions!$B$3*Assumptions!$B$10</f>
        <v>31.3013243181054</v>
      </c>
      <c r="D26" s="0" t="n">
        <f aca="false">(SUMPRODUCT(DCF_Base!$C$19:$L$19/(1+$A$26/100)^DCF_Base!$C$4:$L$4)+MAX(0,MIN(IF($A$26&gt;$D$23,DCF_Base!$L$19*(1+$D$23/100)/(($A$26-$D$23)/100),DCF_Base!$L$19*DCF_Base!$B$29),DCF_Base!$L$19*DCF_Base!$B$29))/(1+$A$26/100)^DCF_Base!$L$4+Assumptions!$B$5-Assumptions!$B$4)/Assumptions!$B$3*Assumptions!$B$10</f>
        <v>31.3013243181054</v>
      </c>
      <c r="E26" s="0" t="n">
        <f aca="false">(SUMPRODUCT(DCF_Base!$C$19:$L$19/(1+$A$26/100)^DCF_Base!$C$4:$L$4)+MAX(0,MIN(IF($A$26&gt;$E$23,DCF_Base!$L$19*(1+$E$23/100)/(($A$26-$E$23)/100),DCF_Base!$L$19*DCF_Base!$B$29),DCF_Base!$L$19*DCF_Base!$B$29))/(1+$A$26/100)^DCF_Base!$L$4+Assumptions!$B$5-Assumptions!$B$4)/Assumptions!$B$3*Assumptions!$B$10</f>
        <v>31.3013243181054</v>
      </c>
      <c r="F26" s="0" t="n">
        <f aca="false">(SUMPRODUCT(DCF_Base!$C$19:$L$19/(1+$A$26/100)^DCF_Base!$C$4:$L$4)+MAX(0,MIN(IF($A$26&gt;$F$23,DCF_Base!$L$19*(1+$F$23/100)/(($A$26-$F$23)/100),DCF_Base!$L$19*DCF_Base!$B$29),DCF_Base!$L$19*DCF_Base!$B$29))/(1+$A$26/100)^DCF_Base!$L$4+Assumptions!$B$5-Assumptions!$B$4)/Assumptions!$B$3*Assumptions!$B$10</f>
        <v>31.3013243181054</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25.0256128504365</v>
      </c>
      <c r="C27" s="0" t="n">
        <f aca="false">(SUMPRODUCT(DCF_Base!$C$19:$L$19/(1+$A$27/100)^DCF_Base!$C$4:$L$4)+MAX(0,MIN(IF($A$27&gt;$C$23,DCF_Base!$L$19*(1+$C$23/100)/(($A$27-$C$23)/100),DCF_Base!$L$19*DCF_Base!$B$29),DCF_Base!$L$19*DCF_Base!$B$29))/(1+$A$27/100)^DCF_Base!$L$4+Assumptions!$B$5-Assumptions!$B$4)/Assumptions!$B$3*Assumptions!$B$10</f>
        <v>26.8161945610881</v>
      </c>
      <c r="D27" s="0" t="n">
        <f aca="false">(SUMPRODUCT(DCF_Base!$C$19:$L$19/(1+$A$27/100)^DCF_Base!$C$4:$L$4)+MAX(0,MIN(IF($A$27&gt;$D$23,DCF_Base!$L$19*(1+$D$23/100)/(($A$27-$D$23)/100),DCF_Base!$L$19*DCF_Base!$B$29),DCF_Base!$L$19*DCF_Base!$B$29))/(1+$A$27/100)^DCF_Base!$L$4+Assumptions!$B$5-Assumptions!$B$4)/Assumptions!$B$3*Assumptions!$B$10</f>
        <v>27.6826050662422</v>
      </c>
      <c r="E27" s="0" t="n">
        <f aca="false">(SUMPRODUCT(DCF_Base!$C$19:$L$19/(1+$A$27/100)^DCF_Base!$C$4:$L$4)+MAX(0,MIN(IF($A$27&gt;$E$23,DCF_Base!$L$19*(1+$E$23/100)/(($A$27-$E$23)/100),DCF_Base!$L$19*DCF_Base!$B$29),DCF_Base!$L$19*DCF_Base!$B$29))/(1+$A$27/100)^DCF_Base!$L$4+Assumptions!$B$5-Assumptions!$B$4)/Assumptions!$B$3*Assumptions!$B$10</f>
        <v>27.6826050662422</v>
      </c>
      <c r="F27" s="0" t="n">
        <f aca="false">(SUMPRODUCT(DCF_Base!$C$19:$L$19/(1+$A$27/100)^DCF_Base!$C$4:$L$4)+MAX(0,MIN(IF($A$27&gt;$F$23,DCF_Base!$L$19*(1+$F$23/100)/(($A$27-$F$23)/100),DCF_Base!$L$19*DCF_Base!$B$29),DCF_Base!$L$19*DCF_Base!$B$29))/(1+$A$27/100)^DCF_Base!$L$4+Assumptions!$B$5-Assumptions!$B$4)/Assumptions!$B$3*Assumptions!$B$10</f>
        <v>27.6826050662422</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19.4534870360722</v>
      </c>
      <c r="C28" s="0" t="n">
        <f aca="false">(SUMPRODUCT(DCF_Base!$C$19:$L$19/(1+$A$28/100)^DCF_Base!$C$4:$L$4)+MAX(0,MIN(IF($A$28&gt;$C$23,DCF_Base!$L$19*(1+$C$23/100)/(($A$28-$C$23)/100),DCF_Base!$L$19*DCF_Base!$B$29),DCF_Base!$L$19*DCF_Base!$B$29))/(1+$A$28/100)^DCF_Base!$L$4+Assumptions!$B$5-Assumptions!$B$4)/Assumptions!$B$3*Assumptions!$B$10</f>
        <v>20.7263601286753</v>
      </c>
      <c r="D28" s="0" t="n">
        <f aca="false">(SUMPRODUCT(DCF_Base!$C$19:$L$19/(1+$A$28/100)^DCF_Base!$C$4:$L$4)+MAX(0,MIN(IF($A$28&gt;$D$23,DCF_Base!$L$19*(1+$D$23/100)/(($A$28-$D$23)/100),DCF_Base!$L$19*DCF_Base!$B$29),DCF_Base!$L$19*DCF_Base!$B$29))/(1+$A$28/100)^DCF_Base!$L$4+Assumptions!$B$5-Assumptions!$B$4)/Assumptions!$B$3*Assumptions!$B$10</f>
        <v>22.1689496336255</v>
      </c>
      <c r="E28" s="0" t="n">
        <f aca="false">(SUMPRODUCT(DCF_Base!$C$19:$L$19/(1+$A$28/100)^DCF_Base!$C$4:$L$4)+MAX(0,MIN(IF($A$28&gt;$E$23,DCF_Base!$L$19*(1+$E$23/100)/(($A$28-$E$23)/100),DCF_Base!$L$19*DCF_Base!$B$29),DCF_Base!$L$19*DCF_Base!$B$29))/(1+$A$28/100)^DCF_Base!$L$4+Assumptions!$B$5-Assumptions!$B$4)/Assumptions!$B$3*Assumptions!$B$10</f>
        <v>23.8176233535685</v>
      </c>
      <c r="F28" s="0" t="n">
        <f aca="false">(SUMPRODUCT(DCF_Base!$C$19:$L$19/(1+$A$28/100)^DCF_Base!$C$4:$L$4)+MAX(0,MIN(IF($A$28&gt;$F$23,DCF_Base!$L$19*(1+$F$23/100)/(($A$28-$F$23)/100),DCF_Base!$L$19*DCF_Base!$B$29),DCF_Base!$L$19*DCF_Base!$B$29))/(1+$A$28/100)^DCF_Base!$L$4+Assumptions!$B$5-Assumptions!$B$4)/Assumptions!$B$3*Assumptions!$B$10</f>
        <v>24.3822376412203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2026-10-24T15:53:59Z</dcterms:created>
  <dc:creator>openpyxl</dc:creator>
  <dc:description/>
  <dc:language>en-NZ</dc:language>
  <cp:lastModifiedBy/>
  <dcterms:modified xsi:type="dcterms:W3CDTF">2026-10-24T15:53:59Z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