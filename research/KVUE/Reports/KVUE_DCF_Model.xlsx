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<sst xmlns="http://schemas.openxmlformats.org/spreadsheetml/2006/main" count="345" uniqueCount="160">
  <si>
    <t xml:space="preserve">Ticker</t>
  </si>
  <si>
    <t xml:space="preserve">KVUE</t>
  </si>
  <si>
    <t xml:space="preserve">Company</t>
  </si>
  <si>
    <t xml:space="preserve">Kenvue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</si>
  <si>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</si>
  <si>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</si>
  <si>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</si>
  <si>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</si>
  <si>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2026-09-28T20:00:02Z regular close (Yahoo Finance chart API)</t>
  </si>
  <si>
    <t xml:space="preserve">Balance sheet date</t>
  </si>
  <si>
    <t xml:space="preserve">2026-06-28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</si>
  <si>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</si>
  <si>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</si>
  <si>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</si>
  <si>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</si>
  <si>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</si>
  <si>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</si>
  <si>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</si>
  <si>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</si>
  <si>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</si>
  <si>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</si>
  <si>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2026-09-28T22:38:36Z</t>
  </si>
  <si>
    <t xml:space="preserve">Drivers file</t>
  </si>
  <si>
    <t xml:space="preserve">KVUE_Drivers.json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</si>
  <si>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</si>
  <si>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</si>
  <si>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</si>
  <si>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Kenvue is in the last quarter of a signed, approved, HSR-cleared sale to Kimberly-Clark, so its market price is the value of $3.50 plus 0.14625 KMB shares, not a view on Kenvue's fundamentals. The dcf-methods routing sends a live takeover to deal-completes vs deal-breaks weighting rather than three growth scenarios; this file does that by building the three scenarios as the STANDALONE company (the deal-breaks leg, and the asset a holder is surrendering) and carrying the deal leg in deal_overlay. The standalone base case values Kenvue below the consideration: flat revenue for four years, a GAAP EBITDA margin still ~3pp below its adjusted level, $7.4B of net debt refinanced into a 5.2% ten-year, and a revived mass tort. That gap is the answer to whether K-C's offer is adequate on a no-synergy basis: it is. Kenvue's FY2021-FY2025 history is largely non-informative for a forward view (carve-out years, separation charges, spin-related equity stripping) and the company has withdrawn guidance, so the drivers are anchored to H1-2026 run-rates and category growth.
key_risks_to_valuation: Deal break: a foreign regulatory delay, K-C financing shock or MAE claim around the acetaminophen litigation would drop the stock toward the standalone weighted IV, which is below the consideration.; KMB price: with no collar, every $1 move in KMB moves the consideration by $0.146; the stock leg is 80% of the package.; Acetaminophen-autism litigation (500+ cases revived July 2026; FDA citizen petition on pregnancy labelling): no disclosed loss estimate; charged through the bear weight and bear margin, not as a reserve.; Organic growth: all three segments declined in FY2025; base assumes only category-rate recovery, but private-label share loss could persist.; Debt anchor: the Metrics CSV TotalDebt column understates debt by ~$7.1B (DebtCurrent tag only); this valuation uses the combined-debt tag ($8,480M). Any downstream consumer reading the CSV column will overstate equity value by ~$3.7/share.; Rates: the 10-year moved ~27bp in the week before this valuation; WACC 7.5% is built on 5.24% and each 50bp on WACC moves the base value by roughly 8-10%.</t>
  </si>
  <si>
    <t xml:space="preserve">Data sources</t>
  </si>
  <si>
    <t xml:space="preserve">price: Yahoo Finance chart API regular close at inputs.price_as_of; 52-week range 14.02-20.13. KMB price from the same endpoint at deal_overlay.kmb_price_as_of.
financials: SEC XBRL companyfacts CIK 0001944048 (FY2025 10-K filed Feb 2026; Q1/Q2-2026 10-Qs) via research/KVUE/Reports/KVUE_Metrics.csv and KVUE.duckdb core_metrics; debt, diluted shares, D&amp;A, interest, cash taxes, dividends and buybacks read directly from the companyfacts tags named in inputs notes.
rates: 10-year and 5-year US Treasury yields from Yahoo Finance (^TNX, ^FVX) at the 2026-09-28 close.
qualitative: research/KVUE/Reports/KVUE_Analysis.json (2026-09-29): deal terms, approvals timeline, litigation status, segment trends, Starboard involvement.</t>
  </si>
  <si>
    <t xml:space="preserve">Scenario narrative: bear</t>
  </si>
  <si>
    <t xml:space="preserve">Deal breaks into a live mass tort and a leadership vacuum: flat revenue, 19.5% margin with litigation costs inside it, 15x exit. Value falls to about half the consideration.</t>
  </si>
  <si>
    <t xml:space="preserve">Scenario narrative: base</t>
  </si>
  <si>
    <t xml:space="preserve">Kenvue as an independent consumer-health company after a deal break, run competently but without K-C's synergies: category-rate growth of ~2.5% (FY2025 organic -2.2% was the trough; Q2-2026 organic +1.6%), EBITDA margin recovering from the 19.6% GAAP FY2025 level to 23% as one-time separation and stand-up costs roll off, SBC ~0.8% of revenue, capex ~3%, cash tax 27%, and an 18x terminal FCF cap. The Tylenol litigation remains an unquantified overhang that is handled through the bear weight rather than the base flows.</t>
  </si>
  <si>
    <t xml:space="preserve">Scenario narrative: bull</t>
  </si>
  <si>
    <t xml:space="preserve">Self-help under activist pressure: margins to 25%, growth above category via Skin Health and international, litigation resolved without label change, 20x exit. This is roughly what K-C is paying for before synergies.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</si>
  <si>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</si>
  <si>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</si>
  <si>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</si>
  <si>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</si>
  <si>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</si>
  <si>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</si>
  <si>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</si>
  <si>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</si>
  <si>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</si>
  <si>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</si>
  <si>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</si>
  <si>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</si>
  <si>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</si>
  <si>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</si>
  <si>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</si>
  <si>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</si>
  <si>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</si>
  <si>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</si>
  <si>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</si>
  <si>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</si>
  <si>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</si>
  <si>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</si>
  <si>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</si>
  <si>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</si>
  <si>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</si>
  <si>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</si>
  <si>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</si>
  <si>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</si>
  <si>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</si>
  <si>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</si>
  <si>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</si>
  <si>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</si>
  <si>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</si>
  <si>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</si>
  <si>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</si>
  <si>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</si>
  <si>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</si>
  <si>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</si>
  <si>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</si>
  <si>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</si>
  <si>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</si>
  <si>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</si>
  <si>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</si>
  <si>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</si>
  <si>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</si>
  <si>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</si>
  <si>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</si>
  <si>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</si>
  <si>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</si>
  <si>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</si>
  <si>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</si>
  <si>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</si>
  <si>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</si>
  <si>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</si>
  <si>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</si>
  <si>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</si>
  <si>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</si>
  <si>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</si>
  <si>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</si>
  <si>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</si>
  <si>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</si>
  <si>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</si>
  <si>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</si>
  <si>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</si>
  <si>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</si>
  <si>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</si>
  <si>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</si>
  <si>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</si>
  <si>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</si>
  <si>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KVUE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</si>
  <si>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</si>
  <si>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</si>
  <si>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</si>
  <si>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</si>
  <si>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</si>
  <si>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</si>
  <si>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</si>
  <si>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</si>
  <si>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</si>
  <si>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</si>
  <si>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</si>
  <si>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</si>
  <si>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</si>
  <si>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</si>
  <si>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</si>
  <si>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</si>
  <si>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</si>
  <si>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</si>
  <si>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</si>
  <si>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</si>
  <si>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</si>
  <si>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</si>
  <si>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</si>
  <si>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</si>
  <si>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</si>
  <si>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</si>
  <si>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</si>
  <si>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</si>
  <si>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</si>
  <si>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</si>
  <si>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KVUE owner-FCF component DCF: base case (millions, USD)</t>
  </si>
  <si>
    <t xml:space="preserve">KVUE owner-FCF component DCF: bull case (millions, USD)</t>
  </si>
  <si>
    <t xml:space="preserve">KVUE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</si>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</sst>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17.88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46.2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15054</v>
      </c>
      <c r="C2" s="0" t="n">
        <v>6635</v>
      </c>
      <c r="D2" s="0" t="n">
        <v>8419</v>
      </c>
      <c r="E2" s="0" t="n">
        <v>55.9253354590142</v>
      </c>
      <c r="F2" s="0" t="n">
        <v>2920</v>
      </c>
      <c r="G2" s="0" t="n">
        <v>19.3968380496878</v>
      </c>
      <c r="H2" s="0" t="n">
        <v>3651</v>
      </c>
      <c r="I2" s="0" t="n">
        <v>2078</v>
      </c>
      <c r="J2" s="0" t="n">
        <v>13.8036402285107</v>
      </c>
      <c r="K2" s="0" t="n">
        <v>1.21</v>
      </c>
      <c r="L2" s="0" t="n">
        <v>334</v>
      </c>
      <c r="M2" s="0" t="n">
        <v>295</v>
      </c>
      <c r="N2" s="0" t="n">
        <v>39</v>
      </c>
      <c r="O2" s="0" t="n">
        <v>20491</v>
      </c>
      <c r="T2" s="0" t="n">
        <v>1716.16</v>
      </c>
      <c r="U2" s="0" t="n">
        <v>141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14950</v>
      </c>
      <c r="C3" s="0" t="n">
        <v>6665</v>
      </c>
      <c r="D3" s="0" t="n">
        <v>8285</v>
      </c>
      <c r="E3" s="0" t="n">
        <v>55.4180602006689</v>
      </c>
      <c r="F3" s="0" t="n">
        <v>2675</v>
      </c>
      <c r="G3" s="0" t="n">
        <v>17.8929765886288</v>
      </c>
      <c r="H3" s="0" t="n">
        <v>3319</v>
      </c>
      <c r="I3" s="0" t="n">
        <v>2064</v>
      </c>
      <c r="J3" s="0" t="n">
        <v>13.8060200668896</v>
      </c>
      <c r="K3" s="0" t="n">
        <v>1.2</v>
      </c>
      <c r="L3" s="0" t="n">
        <v>2525</v>
      </c>
      <c r="M3" s="0" t="n">
        <v>375</v>
      </c>
      <c r="N3" s="0" t="n">
        <v>2150</v>
      </c>
      <c r="O3" s="0" t="n">
        <v>19970</v>
      </c>
      <c r="P3" s="0" t="n">
        <v>27316</v>
      </c>
      <c r="Q3" s="0" t="n">
        <v>7346</v>
      </c>
      <c r="R3" s="0" t="n">
        <v>0</v>
      </c>
      <c r="S3" s="0" t="n">
        <v>1231</v>
      </c>
      <c r="T3" s="0" t="n">
        <v>1716</v>
      </c>
      <c r="U3" s="0" t="n">
        <v>137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15444</v>
      </c>
      <c r="C4" s="0" t="n">
        <v>6801</v>
      </c>
      <c r="D4" s="0" t="n">
        <v>8643</v>
      </c>
      <c r="E4" s="0" t="n">
        <v>55.963480963481</v>
      </c>
      <c r="F4" s="0" t="n">
        <v>2512</v>
      </c>
      <c r="G4" s="0" t="n">
        <v>16.2652162652163</v>
      </c>
      <c r="H4" s="0" t="n">
        <v>3139</v>
      </c>
      <c r="I4" s="0" t="n">
        <v>1664</v>
      </c>
      <c r="J4" s="0" t="n">
        <v>10.7744107744108</v>
      </c>
      <c r="K4" s="0" t="n">
        <v>0.9</v>
      </c>
      <c r="L4" s="0" t="n">
        <v>3168</v>
      </c>
      <c r="M4" s="0" t="n">
        <v>469</v>
      </c>
      <c r="N4" s="0" t="n">
        <v>2699</v>
      </c>
      <c r="O4" s="0" t="n">
        <v>11211</v>
      </c>
      <c r="P4" s="0" t="n">
        <v>27851</v>
      </c>
      <c r="Q4" s="0" t="n">
        <v>16640</v>
      </c>
      <c r="R4" s="0" t="n">
        <v>8286</v>
      </c>
      <c r="S4" s="0" t="n">
        <v>1382</v>
      </c>
      <c r="T4" s="0" t="n">
        <v>1915.057</v>
      </c>
      <c r="U4" s="0" t="n">
        <v>188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15455</v>
      </c>
      <c r="C5" s="0" t="n">
        <v>6496</v>
      </c>
      <c r="D5" s="0" t="n">
        <v>8959</v>
      </c>
      <c r="E5" s="0" t="n">
        <v>57.9682950501456</v>
      </c>
      <c r="F5" s="0" t="n">
        <v>1841</v>
      </c>
      <c r="G5" s="0" t="n">
        <v>11.9120025881592</v>
      </c>
      <c r="H5" s="0" t="n">
        <v>2463</v>
      </c>
      <c r="I5" s="0" t="n">
        <v>1030</v>
      </c>
      <c r="J5" s="0" t="n">
        <v>6.66450986735684</v>
      </c>
      <c r="K5" s="0" t="n">
        <v>0.54</v>
      </c>
      <c r="L5" s="0" t="n">
        <v>1769</v>
      </c>
      <c r="M5" s="0" t="n">
        <v>434</v>
      </c>
      <c r="N5" s="0" t="n">
        <v>1335</v>
      </c>
      <c r="O5" s="0" t="n">
        <v>9668</v>
      </c>
      <c r="P5" s="0" t="n">
        <v>25601</v>
      </c>
      <c r="Q5" s="0" t="n">
        <v>15933</v>
      </c>
      <c r="R5" s="0" t="n">
        <v>1552</v>
      </c>
      <c r="S5" s="0" t="n">
        <v>1070</v>
      </c>
      <c r="T5" s="0" t="n">
        <v>1923</v>
      </c>
      <c r="U5" s="0" t="n">
        <v>254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15124</v>
      </c>
      <c r="C6" s="0" t="n">
        <v>6332</v>
      </c>
      <c r="D6" s="0" t="n">
        <v>8792</v>
      </c>
      <c r="E6" s="0" t="n">
        <v>58.1327691087014</v>
      </c>
      <c r="F6" s="0" t="n">
        <v>2414</v>
      </c>
      <c r="G6" s="0" t="n">
        <v>15.9613858767522</v>
      </c>
      <c r="H6" s="0" t="n">
        <v>2971</v>
      </c>
      <c r="I6" s="0" t="n">
        <v>1470</v>
      </c>
      <c r="J6" s="0" t="n">
        <v>9.71965088600899</v>
      </c>
      <c r="K6" s="0" t="n">
        <v>0.77</v>
      </c>
      <c r="L6" s="0" t="n">
        <v>2197</v>
      </c>
      <c r="M6" s="0" t="n">
        <v>475</v>
      </c>
      <c r="N6" s="0" t="n">
        <v>1722</v>
      </c>
      <c r="O6" s="0" t="n">
        <v>10765</v>
      </c>
      <c r="P6" s="0" t="n">
        <v>27076</v>
      </c>
      <c r="Q6" s="0" t="n">
        <v>16311</v>
      </c>
      <c r="R6" s="0" t="n">
        <v>1453</v>
      </c>
      <c r="S6" s="0" t="n">
        <v>1062</v>
      </c>
      <c r="T6" s="0" t="n">
        <v>1924</v>
      </c>
      <c r="U6" s="0" t="n">
        <v>136</v>
      </c>
      <c r="AA6" s="0" t="s">
        <v>17</v>
      </c>
      <c r="AB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68</v>
      </c>
      <c r="B1" s="2" t="s">
        <v>69</v>
      </c>
    </row>
    <row r="2" customFormat="false" ht="15" hidden="false" customHeight="false" outlineLevel="0" collapsed="false">
      <c r="A2" s="0" t="s">
        <v>70</v>
      </c>
      <c r="B2" s="3" t="n">
        <v>17.88</v>
      </c>
    </row>
    <row r="3" customFormat="false" ht="15" hidden="false" customHeight="false" outlineLevel="0" collapsed="false">
      <c r="A3" s="0" t="s">
        <v>71</v>
      </c>
      <c r="B3" s="3" t="n">
        <v>1923</v>
      </c>
    </row>
    <row r="4" customFormat="false" ht="15" hidden="false" customHeight="false" outlineLevel="0" collapsed="false">
      <c r="A4" s="0" t="s">
        <v>72</v>
      </c>
      <c r="B4" s="3" t="n">
        <v>7370</v>
      </c>
    </row>
    <row r="5" customFormat="false" ht="15" hidden="false" customHeight="false" outlineLevel="0" collapsed="false">
      <c r="A5" s="0" t="s">
        <v>73</v>
      </c>
      <c r="B5" s="3" t="n">
        <v>0</v>
      </c>
    </row>
    <row r="6" customFormat="false" ht="15" hidden="false" customHeight="false" outlineLevel="0" collapsed="false">
      <c r="A6" s="0" t="s">
        <v>74</v>
      </c>
      <c r="B6" s="3" t="n">
        <v>15</v>
      </c>
    </row>
    <row r="7" customFormat="false" ht="15" hidden="false" customHeight="false" outlineLevel="0" collapsed="false">
      <c r="A7" s="0" t="s">
        <v>75</v>
      </c>
      <c r="B7" s="3" t="n">
        <v>15124</v>
      </c>
    </row>
    <row r="8" customFormat="false" ht="15" hidden="false" customHeight="false" outlineLevel="0" collapsed="false">
      <c r="A8" s="0" t="s">
        <v>76</v>
      </c>
      <c r="B8" s="3" t="s">
        <v>67</v>
      </c>
    </row>
    <row r="9" customFormat="false" ht="15" hidden="false" customHeight="false" outlineLevel="0" collapsed="false">
      <c r="A9" s="0" t="s">
        <v>77</v>
      </c>
      <c r="B9" s="3" t="s">
        <v>78</v>
      </c>
    </row>
    <row r="10" customFormat="false" ht="15" hidden="false" customHeight="false" outlineLevel="0" collapsed="false">
      <c r="A10" s="0" t="s">
        <v>79</v>
      </c>
      <c r="B10" s="3" t="n">
        <v>1</v>
      </c>
    </row>
    <row r="12" customFormat="false" ht="15" hidden="false" customHeight="false" outlineLevel="0" collapsed="false">
      <c r="A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88</v>
      </c>
      <c r="K12" s="2" t="s">
        <v>89</v>
      </c>
      <c r="L12" s="2" t="s">
        <v>90</v>
      </c>
    </row>
    <row r="13" customFormat="false" ht="15" hidden="false" customHeight="false" outlineLevel="0" collapsed="false">
      <c r="A13" s="0" t="s">
        <v>91</v>
      </c>
      <c r="C13" s="3" t="n">
        <v>1</v>
      </c>
      <c r="D13" s="3" t="n">
        <v>0</v>
      </c>
      <c r="E13" s="3" t="n">
        <v>0.5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92</v>
      </c>
      <c r="C14" s="3" t="n">
        <v>20</v>
      </c>
      <c r="D14" s="3" t="n">
        <v>19.5</v>
      </c>
      <c r="E14" s="3" t="n">
        <v>19.5</v>
      </c>
      <c r="F14" s="3" t="n">
        <v>19.5</v>
      </c>
      <c r="G14" s="3" t="n">
        <v>19.5</v>
      </c>
      <c r="H14" s="3" t="n">
        <v>19.5</v>
      </c>
      <c r="I14" s="3" t="n">
        <v>19.5</v>
      </c>
      <c r="J14" s="3" t="n">
        <v>19.5</v>
      </c>
      <c r="K14" s="3" t="n">
        <v>19.5</v>
      </c>
      <c r="L14" s="3" t="n">
        <v>19.5</v>
      </c>
    </row>
    <row r="15" customFormat="false" ht="15" hidden="false" customHeight="false" outlineLevel="0" collapsed="false">
      <c r="A15" s="0" t="s">
        <v>93</v>
      </c>
      <c r="C15" s="3" t="n">
        <v>0.9</v>
      </c>
      <c r="D15" s="3" t="n">
        <v>0.9</v>
      </c>
      <c r="E15" s="3" t="n">
        <v>0.9</v>
      </c>
      <c r="F15" s="3" t="n">
        <v>0.9</v>
      </c>
      <c r="G15" s="3" t="n">
        <v>0.9</v>
      </c>
      <c r="H15" s="3" t="n">
        <v>0.9</v>
      </c>
      <c r="I15" s="3" t="n">
        <v>0.9</v>
      </c>
      <c r="J15" s="3" t="n">
        <v>0.9</v>
      </c>
      <c r="K15" s="3" t="n">
        <v>0.9</v>
      </c>
      <c r="L15" s="3" t="n">
        <v>0.9</v>
      </c>
    </row>
    <row r="16" customFormat="false" ht="15" hidden="false" customHeight="false" outlineLevel="0" collapsed="false">
      <c r="A16" s="0" t="s">
        <v>94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95</v>
      </c>
      <c r="C17" s="3" t="n">
        <v>3.7</v>
      </c>
      <c r="D17" s="3" t="n">
        <v>3.7</v>
      </c>
      <c r="E17" s="3" t="n">
        <v>3.7</v>
      </c>
      <c r="F17" s="3" t="n">
        <v>3.6</v>
      </c>
      <c r="G17" s="3" t="n">
        <v>3.6</v>
      </c>
      <c r="H17" s="3" t="n">
        <v>3.6</v>
      </c>
      <c r="I17" s="3" t="n">
        <v>3.6</v>
      </c>
      <c r="J17" s="3" t="n">
        <v>3.6</v>
      </c>
      <c r="K17" s="3" t="n">
        <v>3.6</v>
      </c>
      <c r="L17" s="3" t="n">
        <v>3.6</v>
      </c>
    </row>
    <row r="18" customFormat="false" ht="15" hidden="false" customHeight="false" outlineLevel="0" collapsed="false">
      <c r="A18" s="0" t="s">
        <v>96</v>
      </c>
      <c r="C18" s="3" t="n">
        <v>3.2</v>
      </c>
      <c r="D18" s="3" t="n">
        <v>3.2</v>
      </c>
      <c r="E18" s="3" t="n">
        <v>3.2</v>
      </c>
      <c r="F18" s="3" t="n">
        <v>3.2</v>
      </c>
      <c r="G18" s="3" t="n">
        <v>3.2</v>
      </c>
      <c r="H18" s="3" t="n">
        <v>3.2</v>
      </c>
      <c r="I18" s="3" t="n">
        <v>3.2</v>
      </c>
      <c r="J18" s="3" t="n">
        <v>3.2</v>
      </c>
      <c r="K18" s="3" t="n">
        <v>3.2</v>
      </c>
      <c r="L18" s="3" t="n">
        <v>3.2</v>
      </c>
    </row>
    <row r="19" customFormat="false" ht="15" hidden="false" customHeight="false" outlineLevel="0" collapsed="false">
      <c r="A19" s="0" t="s">
        <v>97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98</v>
      </c>
      <c r="B20" s="3" t="n">
        <v>7.5</v>
      </c>
    </row>
    <row r="21" customFormat="false" ht="15" hidden="false" customHeight="false" outlineLevel="0" collapsed="false">
      <c r="A21" s="0" t="s">
        <v>99</v>
      </c>
      <c r="B21" s="3" t="n">
        <v>2</v>
      </c>
    </row>
    <row r="22" customFormat="false" ht="15" hidden="false" customHeight="false" outlineLevel="0" collapsed="false">
      <c r="A22" s="0" t="s">
        <v>100</v>
      </c>
      <c r="B22" s="3" t="n">
        <v>15</v>
      </c>
    </row>
    <row r="23" customFormat="false" ht="15" hidden="false" customHeight="false" outlineLevel="0" collapsed="false">
      <c r="A23" s="0" t="s">
        <v>101</v>
      </c>
      <c r="B23" s="3" t="n">
        <v>-10</v>
      </c>
    </row>
    <row r="24" customFormat="false" ht="15" hidden="false" customHeight="false" outlineLevel="0" collapsed="false">
      <c r="A24" s="0" t="s">
        <v>102</v>
      </c>
      <c r="B24" s="3" t="n">
        <v>0.25</v>
      </c>
    </row>
    <row r="26" customFormat="false" ht="15" hidden="false" customHeight="false" outlineLevel="0" collapsed="false">
      <c r="A26" s="2" t="s">
        <v>103</v>
      </c>
      <c r="C26" s="2" t="s">
        <v>81</v>
      </c>
      <c r="D26" s="2" t="s">
        <v>82</v>
      </c>
      <c r="E26" s="2" t="s">
        <v>83</v>
      </c>
      <c r="F26" s="2" t="s">
        <v>84</v>
      </c>
      <c r="G26" s="2" t="s">
        <v>85</v>
      </c>
      <c r="H26" s="2" t="s">
        <v>86</v>
      </c>
      <c r="I26" s="2" t="s">
        <v>87</v>
      </c>
      <c r="J26" s="2" t="s">
        <v>88</v>
      </c>
      <c r="K26" s="2" t="s">
        <v>89</v>
      </c>
      <c r="L26" s="2" t="s">
        <v>90</v>
      </c>
    </row>
    <row r="27" customFormat="false" ht="15" hidden="false" customHeight="false" outlineLevel="0" collapsed="false">
      <c r="A27" s="0" t="s">
        <v>91</v>
      </c>
      <c r="C27" s="3" t="n">
        <v>2.5</v>
      </c>
      <c r="D27" s="3" t="n">
        <v>2</v>
      </c>
      <c r="E27" s="3" t="n">
        <v>2.5</v>
      </c>
      <c r="F27" s="3" t="n">
        <v>2.5</v>
      </c>
      <c r="G27" s="3" t="n">
        <v>2.5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92</v>
      </c>
      <c r="C28" s="3" t="n">
        <v>21</v>
      </c>
      <c r="D28" s="3" t="n">
        <v>21.5</v>
      </c>
      <c r="E28" s="3" t="n">
        <v>22</v>
      </c>
      <c r="F28" s="3" t="n">
        <v>22.5</v>
      </c>
      <c r="G28" s="3" t="n">
        <v>23</v>
      </c>
      <c r="H28" s="3" t="n">
        <v>23</v>
      </c>
      <c r="I28" s="3" t="n">
        <v>23</v>
      </c>
      <c r="J28" s="3" t="n">
        <v>23</v>
      </c>
      <c r="K28" s="3" t="n">
        <v>23</v>
      </c>
      <c r="L28" s="3" t="n">
        <v>23</v>
      </c>
    </row>
    <row r="29" customFormat="false" ht="15" hidden="false" customHeight="false" outlineLevel="0" collapsed="false">
      <c r="A29" s="0" t="s">
        <v>93</v>
      </c>
      <c r="C29" s="3" t="n">
        <v>0.85</v>
      </c>
      <c r="D29" s="3" t="n">
        <v>0.85</v>
      </c>
      <c r="E29" s="3" t="n">
        <v>0.8</v>
      </c>
      <c r="F29" s="3" t="n">
        <v>0.8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94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95</v>
      </c>
      <c r="C31" s="3" t="n">
        <v>3.7</v>
      </c>
      <c r="D31" s="3" t="n">
        <v>3.7</v>
      </c>
      <c r="E31" s="3" t="n">
        <v>3.6</v>
      </c>
      <c r="F31" s="3" t="n">
        <v>3.6</v>
      </c>
      <c r="G31" s="3" t="n">
        <v>3.5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96</v>
      </c>
      <c r="C32" s="3" t="n">
        <v>3.1</v>
      </c>
      <c r="D32" s="3" t="n">
        <v>3.1</v>
      </c>
      <c r="E32" s="3" t="n">
        <v>3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97</v>
      </c>
      <c r="C33" s="3" t="n">
        <v>27.5</v>
      </c>
      <c r="D33" s="3" t="n">
        <v>27.5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98</v>
      </c>
      <c r="B34" s="3" t="n">
        <v>7.5</v>
      </c>
    </row>
    <row r="35" customFormat="false" ht="15" hidden="false" customHeight="false" outlineLevel="0" collapsed="false">
      <c r="A35" s="0" t="s">
        <v>99</v>
      </c>
      <c r="B35" s="3" t="n">
        <v>2.5</v>
      </c>
    </row>
    <row r="36" customFormat="false" ht="15" hidden="false" customHeight="false" outlineLevel="0" collapsed="false">
      <c r="A36" s="0" t="s">
        <v>100</v>
      </c>
      <c r="B36" s="3" t="n">
        <v>18</v>
      </c>
    </row>
    <row r="37" customFormat="false" ht="15" hidden="false" customHeight="false" outlineLevel="0" collapsed="false">
      <c r="A37" s="0" t="s">
        <v>101</v>
      </c>
      <c r="B37" s="3" t="n">
        <v>-10</v>
      </c>
    </row>
    <row r="38" customFormat="false" ht="15" hidden="false" customHeight="false" outlineLevel="0" collapsed="false">
      <c r="A38" s="0" t="s">
        <v>102</v>
      </c>
      <c r="B38" s="3" t="n">
        <v>0.5</v>
      </c>
    </row>
    <row r="40" customFormat="false" ht="15" hidden="false" customHeight="false" outlineLevel="0" collapsed="false">
      <c r="A40" s="2" t="s">
        <v>104</v>
      </c>
      <c r="C40" s="2" t="s">
        <v>81</v>
      </c>
      <c r="D40" s="2" t="s">
        <v>82</v>
      </c>
      <c r="E40" s="2" t="s">
        <v>83</v>
      </c>
      <c r="F40" s="2" t="s">
        <v>84</v>
      </c>
      <c r="G40" s="2" t="s">
        <v>85</v>
      </c>
      <c r="H40" s="2" t="s">
        <v>86</v>
      </c>
      <c r="I40" s="2" t="s">
        <v>87</v>
      </c>
      <c r="J40" s="2" t="s">
        <v>88</v>
      </c>
      <c r="K40" s="2" t="s">
        <v>89</v>
      </c>
      <c r="L40" s="2" t="s">
        <v>90</v>
      </c>
    </row>
    <row r="41" customFormat="false" ht="15" hidden="false" customHeight="false" outlineLevel="0" collapsed="false">
      <c r="A41" s="0" t="s">
        <v>91</v>
      </c>
      <c r="C41" s="3" t="n">
        <v>3.5</v>
      </c>
      <c r="D41" s="3" t="n">
        <v>3.5</v>
      </c>
      <c r="E41" s="3" t="n">
        <v>3.5</v>
      </c>
      <c r="F41" s="3" t="n">
        <v>3</v>
      </c>
      <c r="G41" s="3" t="n">
        <v>3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92</v>
      </c>
      <c r="C42" s="3" t="n">
        <v>21.5</v>
      </c>
      <c r="D42" s="3" t="n">
        <v>22.5</v>
      </c>
      <c r="E42" s="3" t="n">
        <v>23.5</v>
      </c>
      <c r="F42" s="3" t="n">
        <v>24</v>
      </c>
      <c r="G42" s="3" t="n">
        <v>24.5</v>
      </c>
      <c r="H42" s="3" t="n">
        <v>25</v>
      </c>
      <c r="I42" s="3" t="n">
        <v>25</v>
      </c>
      <c r="J42" s="3" t="n">
        <v>25</v>
      </c>
      <c r="K42" s="3" t="n">
        <v>25</v>
      </c>
      <c r="L42" s="3" t="n">
        <v>25</v>
      </c>
    </row>
    <row r="43" customFormat="false" ht="15" hidden="false" customHeight="false" outlineLevel="0" collapsed="false">
      <c r="A43" s="0" t="s">
        <v>93</v>
      </c>
      <c r="C43" s="3" t="n">
        <v>0.85</v>
      </c>
      <c r="D43" s="3" t="n">
        <v>0.8</v>
      </c>
      <c r="E43" s="3" t="n">
        <v>0.8</v>
      </c>
      <c r="F43" s="3" t="n">
        <v>0.75</v>
      </c>
      <c r="G43" s="3" t="n">
        <v>0.75</v>
      </c>
      <c r="H43" s="3" t="n">
        <v>0.75</v>
      </c>
      <c r="I43" s="3" t="n">
        <v>0.75</v>
      </c>
      <c r="J43" s="3" t="n">
        <v>0.75</v>
      </c>
      <c r="K43" s="3" t="n">
        <v>0.75</v>
      </c>
      <c r="L43" s="3" t="n">
        <v>0.75</v>
      </c>
    </row>
    <row r="44" customFormat="false" ht="15" hidden="false" customHeight="false" outlineLevel="0" collapsed="false">
      <c r="A44" s="0" t="s">
        <v>94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95</v>
      </c>
      <c r="C45" s="3" t="n">
        <v>3.7</v>
      </c>
      <c r="D45" s="3" t="n">
        <v>3.6</v>
      </c>
      <c r="E45" s="3" t="n">
        <v>3.6</v>
      </c>
      <c r="F45" s="3" t="n">
        <v>3.5</v>
      </c>
      <c r="G45" s="3" t="n">
        <v>3.5</v>
      </c>
      <c r="H45" s="3" t="n">
        <v>3.4</v>
      </c>
      <c r="I45" s="3" t="n">
        <v>3.4</v>
      </c>
      <c r="J45" s="3" t="n">
        <v>3.4</v>
      </c>
      <c r="K45" s="3" t="n">
        <v>3.4</v>
      </c>
      <c r="L45" s="3" t="n">
        <v>3.4</v>
      </c>
    </row>
    <row r="46" customFormat="false" ht="15" hidden="false" customHeight="false" outlineLevel="0" collapsed="false">
      <c r="A46" s="0" t="s">
        <v>96</v>
      </c>
      <c r="C46" s="3" t="n">
        <v>3</v>
      </c>
      <c r="D46" s="3" t="n">
        <v>3</v>
      </c>
      <c r="E46" s="3" t="n">
        <v>2.9</v>
      </c>
      <c r="F46" s="3" t="n">
        <v>2.9</v>
      </c>
      <c r="G46" s="3" t="n">
        <v>2.8</v>
      </c>
      <c r="H46" s="3" t="n">
        <v>2.8</v>
      </c>
      <c r="I46" s="3" t="n">
        <v>2.8</v>
      </c>
      <c r="J46" s="3" t="n">
        <v>2.8</v>
      </c>
      <c r="K46" s="3" t="n">
        <v>2.8</v>
      </c>
      <c r="L46" s="3" t="n">
        <v>2.8</v>
      </c>
    </row>
    <row r="47" customFormat="false" ht="15" hidden="false" customHeight="false" outlineLevel="0" collapsed="false">
      <c r="A47" s="0" t="s">
        <v>97</v>
      </c>
      <c r="C47" s="3" t="n">
        <v>27</v>
      </c>
      <c r="D47" s="3" t="n">
        <v>26.5</v>
      </c>
      <c r="E47" s="3" t="n">
        <v>26.5</v>
      </c>
      <c r="F47" s="3" t="n">
        <v>26.5</v>
      </c>
      <c r="G47" s="3" t="n">
        <v>26.5</v>
      </c>
      <c r="H47" s="3" t="n">
        <v>26.5</v>
      </c>
      <c r="I47" s="3" t="n">
        <v>26.5</v>
      </c>
      <c r="J47" s="3" t="n">
        <v>26.5</v>
      </c>
      <c r="K47" s="3" t="n">
        <v>26.5</v>
      </c>
      <c r="L47" s="3" t="n">
        <v>26.5</v>
      </c>
    </row>
    <row r="48" customFormat="false" ht="15" hidden="false" customHeight="false" outlineLevel="0" collapsed="false">
      <c r="A48" s="0" t="s">
        <v>98</v>
      </c>
      <c r="B48" s="3" t="n">
        <v>7.5</v>
      </c>
    </row>
    <row r="49" customFormat="false" ht="15" hidden="false" customHeight="false" outlineLevel="0" collapsed="false">
      <c r="A49" s="0" t="s">
        <v>99</v>
      </c>
      <c r="B49" s="3" t="n">
        <v>3</v>
      </c>
    </row>
    <row r="50" customFormat="false" ht="15" hidden="false" customHeight="false" outlineLevel="0" collapsed="false">
      <c r="A50" s="0" t="s">
        <v>100</v>
      </c>
      <c r="B50" s="3" t="n">
        <v>20</v>
      </c>
    </row>
    <row r="51" customFormat="false" ht="15" hidden="false" customHeight="false" outlineLevel="0" collapsed="false">
      <c r="A51" s="0" t="s">
        <v>101</v>
      </c>
      <c r="B51" s="3" t="n">
        <v>-10</v>
      </c>
    </row>
    <row r="52" customFormat="false" ht="15" hidden="false" customHeight="false" outlineLevel="0" collapsed="false">
      <c r="A52" s="0" t="s">
        <v>102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105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Assumptions!C13</f>
        <v>1</v>
      </c>
      <c r="D5" s="4" t="n">
        <f aca="false">Assumptions!D13</f>
        <v>0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15124</v>
      </c>
      <c r="C6" s="0" t="n">
        <f aca="false">B6*(1+C5/100)</f>
        <v>15275.24</v>
      </c>
      <c r="D6" s="0" t="n">
        <f aca="false">C6*(1+D5/100)</f>
        <v>15275.24</v>
      </c>
      <c r="E6" s="0" t="n">
        <f aca="false">D6*(1+E5/100)</f>
        <v>15351.6162</v>
      </c>
      <c r="F6" s="0" t="n">
        <f aca="false">E6*(1+F5/100)</f>
        <v>15505.132362</v>
      </c>
      <c r="G6" s="0" t="n">
        <f aca="false">F6*(1+G5/100)</f>
        <v>15737.70934743</v>
      </c>
      <c r="H6" s="0" t="n">
        <f aca="false">G6*(1+H5/100)</f>
        <v>15973.7749876414</v>
      </c>
      <c r="I6" s="0" t="n">
        <f aca="false">H6*(1+I5/100)</f>
        <v>16213.3816124561</v>
      </c>
      <c r="J6" s="0" t="n">
        <f aca="false">I6*(1+J5/100)</f>
        <v>16456.5823366429</v>
      </c>
      <c r="K6" s="0" t="n">
        <f aca="false">J6*(1+K5/100)</f>
        <v>16703.4310716925</v>
      </c>
      <c r="L6" s="0" t="n">
        <f aca="false">K6*(1+L5/100)</f>
        <v>16953.9825377679</v>
      </c>
    </row>
    <row r="7" customFormat="false" ht="15" hidden="false" customHeight="false" outlineLevel="0" collapsed="false">
      <c r="A7" s="0" t="s">
        <v>92</v>
      </c>
      <c r="C7" s="4" t="n">
        <f aca="false">Assumptions!C14</f>
        <v>20</v>
      </c>
      <c r="D7" s="4" t="n">
        <f aca="false">Assumptions!D14</f>
        <v>19.5</v>
      </c>
      <c r="E7" s="4" t="n">
        <f aca="false">Assumptions!E14</f>
        <v>19.5</v>
      </c>
      <c r="F7" s="4" t="n">
        <f aca="false">Assumptions!F14</f>
        <v>19.5</v>
      </c>
      <c r="G7" s="4" t="n">
        <f aca="false">Assumptions!G14</f>
        <v>19.5</v>
      </c>
      <c r="H7" s="4" t="n">
        <f aca="false">Assumptions!H14</f>
        <v>19.5</v>
      </c>
      <c r="I7" s="4" t="n">
        <f aca="false">Assumptions!I14</f>
        <v>19.5</v>
      </c>
      <c r="J7" s="4" t="n">
        <f aca="false">Assumptions!J14</f>
        <v>19.5</v>
      </c>
      <c r="K7" s="4" t="n">
        <f aca="false">Assumptions!K14</f>
        <v>19.5</v>
      </c>
      <c r="L7" s="4" t="n">
        <f aca="false">Assumptions!L14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3055.048</v>
      </c>
      <c r="D8" s="0" t="n">
        <f aca="false">D6*D7/100</f>
        <v>2978.6718</v>
      </c>
      <c r="E8" s="0" t="n">
        <f aca="false">E6*E7/100</f>
        <v>2993.565159</v>
      </c>
      <c r="F8" s="0" t="n">
        <f aca="false">F6*F7/100</f>
        <v>3023.50081059</v>
      </c>
      <c r="G8" s="0" t="n">
        <f aca="false">G6*G7/100</f>
        <v>3068.85332274885</v>
      </c>
      <c r="H8" s="0" t="n">
        <f aca="false">H6*H7/100</f>
        <v>3114.88612259008</v>
      </c>
      <c r="I8" s="0" t="n">
        <f aca="false">I6*I7/100</f>
        <v>3161.60941442893</v>
      </c>
      <c r="J8" s="0" t="n">
        <f aca="false">J6*J7/100</f>
        <v>3209.03355564537</v>
      </c>
      <c r="K8" s="0" t="n">
        <f aca="false">K6*K7/100</f>
        <v>3257.16905898005</v>
      </c>
      <c r="L8" s="0" t="n">
        <f aca="false">L6*L7/100</f>
        <v>3306.02659486475</v>
      </c>
    </row>
    <row r="9" customFormat="false" ht="15" hidden="false" customHeight="false" outlineLevel="0" collapsed="false">
      <c r="A9" s="0" t="s">
        <v>93</v>
      </c>
      <c r="C9" s="4" t="n">
        <f aca="false">Assumptions!C15</f>
        <v>0.9</v>
      </c>
      <c r="D9" s="4" t="n">
        <f aca="false">Assumptions!D15</f>
        <v>0.9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0.9</v>
      </c>
      <c r="H9" s="4" t="n">
        <f aca="false">Assumptions!H15</f>
        <v>0.9</v>
      </c>
      <c r="I9" s="4" t="n">
        <f aca="false">Assumptions!I15</f>
        <v>0.9</v>
      </c>
      <c r="J9" s="4" t="n">
        <f aca="false">Assumptions!J15</f>
        <v>0.9</v>
      </c>
      <c r="K9" s="4" t="n">
        <f aca="false">Assumptions!K15</f>
        <v>0.9</v>
      </c>
      <c r="L9" s="4" t="n">
        <f aca="false">Assumptions!L15</f>
        <v>0.9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-137.47716</v>
      </c>
      <c r="D10" s="0" t="n">
        <f aca="false">-D6*D9/100</f>
        <v>-137.47716</v>
      </c>
      <c r="E10" s="0" t="n">
        <f aca="false">-E6*E9/100</f>
        <v>-138.1645458</v>
      </c>
      <c r="F10" s="0" t="n">
        <f aca="false">-F6*F9/100</f>
        <v>-139.546191258</v>
      </c>
      <c r="G10" s="0" t="n">
        <f aca="false">-G6*G9/100</f>
        <v>-141.63938412687</v>
      </c>
      <c r="H10" s="0" t="n">
        <f aca="false">-H6*H9/100</f>
        <v>-143.763974888773</v>
      </c>
      <c r="I10" s="0" t="n">
        <f aca="false">-I6*I9/100</f>
        <v>-145.920434512105</v>
      </c>
      <c r="J10" s="0" t="n">
        <f aca="false">-J6*J9/100</f>
        <v>-148.109241029786</v>
      </c>
      <c r="K10" s="0" t="n">
        <f aca="false">-K6*K9/100</f>
        <v>-150.330879645233</v>
      </c>
      <c r="L10" s="0" t="n">
        <f aca="false">-L6*L9/100</f>
        <v>-152.585842839911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2917.57084</v>
      </c>
      <c r="D11" s="0" t="n">
        <f aca="false">D8+D10+D24</f>
        <v>2841.19464</v>
      </c>
      <c r="E11" s="0" t="n">
        <f aca="false">E8+E10+E24</f>
        <v>2855.4006132</v>
      </c>
      <c r="F11" s="0" t="n">
        <f aca="false">F8+F10+F24</f>
        <v>2883.954619332</v>
      </c>
      <c r="G11" s="0" t="n">
        <f aca="false">G8+G10+G24</f>
        <v>2927.21393862198</v>
      </c>
      <c r="H11" s="0" t="n">
        <f aca="false">H8+H10+H24</f>
        <v>2971.12214770131</v>
      </c>
      <c r="I11" s="0" t="n">
        <f aca="false">I8+I10+I24</f>
        <v>3015.68897991683</v>
      </c>
      <c r="J11" s="0" t="n">
        <f aca="false">J8+J10+J24</f>
        <v>3060.92431461558</v>
      </c>
      <c r="K11" s="0" t="n">
        <f aca="false">K8+K10+K24</f>
        <v>3106.83817933481</v>
      </c>
      <c r="L11" s="0" t="n">
        <f aca="false">L8+L10+L24</f>
        <v>3153.44075202484</v>
      </c>
    </row>
    <row r="12" customFormat="false" ht="15" hidden="false" customHeight="false" outlineLevel="0" collapsed="false">
      <c r="A12" s="0" t="s">
        <v>110</v>
      </c>
      <c r="C12" s="4" t="n">
        <f aca="false">-C6*Assumptions!C17/100</f>
        <v>-565.18388</v>
      </c>
      <c r="D12" s="4" t="n">
        <f aca="false">-D6*Assumptions!D17/100</f>
        <v>-565.18388</v>
      </c>
      <c r="E12" s="4" t="n">
        <f aca="false">-E6*Assumptions!E17/100</f>
        <v>-568.0097994</v>
      </c>
      <c r="F12" s="4" t="n">
        <f aca="false">-F6*Assumptions!F17/100</f>
        <v>-558.184765032</v>
      </c>
      <c r="G12" s="4" t="n">
        <f aca="false">-G6*Assumptions!G17/100</f>
        <v>-566.55753650748</v>
      </c>
      <c r="H12" s="4" t="n">
        <f aca="false">-H6*Assumptions!H17/100</f>
        <v>-575.055899555092</v>
      </c>
      <c r="I12" s="4" t="n">
        <f aca="false">-I6*Assumptions!I17/100</f>
        <v>-583.681738048418</v>
      </c>
      <c r="J12" s="4" t="n">
        <f aca="false">-J6*Assumptions!J17/100</f>
        <v>-592.436964119145</v>
      </c>
      <c r="K12" s="4" t="n">
        <f aca="false">-K6*Assumptions!K17/100</f>
        <v>-601.323518580932</v>
      </c>
      <c r="L12" s="4" t="n">
        <f aca="false">-L6*Assumptions!L17/100</f>
        <v>-610.343371359646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2352.38696</v>
      </c>
      <c r="D13" s="0" t="n">
        <f aca="false">D11+D12</f>
        <v>2276.01076</v>
      </c>
      <c r="E13" s="0" t="n">
        <f aca="false">E11+E12</f>
        <v>2287.3908138</v>
      </c>
      <c r="F13" s="0" t="n">
        <f aca="false">F11+F12</f>
        <v>2325.7698543</v>
      </c>
      <c r="G13" s="0" t="n">
        <f aca="false">G11+G12</f>
        <v>2360.6564021145</v>
      </c>
      <c r="H13" s="0" t="n">
        <f aca="false">H11+H12</f>
        <v>2396.06624814622</v>
      </c>
      <c r="I13" s="0" t="n">
        <f aca="false">I11+I12</f>
        <v>2432.00724186841</v>
      </c>
      <c r="J13" s="0" t="n">
        <f aca="false">J11+J12</f>
        <v>2468.48735049644</v>
      </c>
      <c r="K13" s="0" t="n">
        <f aca="false">K11+K12</f>
        <v>2505.51466075388</v>
      </c>
      <c r="L13" s="0" t="n">
        <f aca="false">L11+L12</f>
        <v>2543.09738066519</v>
      </c>
    </row>
    <row r="14" customFormat="false" ht="15" hidden="false" customHeight="false" outlineLevel="0" collapsed="false">
      <c r="A14" s="0" t="s">
        <v>97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1693.7186112</v>
      </c>
      <c r="D15" s="0" t="n">
        <f aca="false">D13-MAX(0,D13)*D14/100</f>
        <v>1638.7277472</v>
      </c>
      <c r="E15" s="0" t="n">
        <f aca="false">E13-MAX(0,E13)*E14/100</f>
        <v>1646.921385936</v>
      </c>
      <c r="F15" s="0" t="n">
        <f aca="false">F13-MAX(0,F13)*F14/100</f>
        <v>1674.554295096</v>
      </c>
      <c r="G15" s="0" t="n">
        <f aca="false">G13-MAX(0,G13)*G14/100</f>
        <v>1699.67260952244</v>
      </c>
      <c r="H15" s="0" t="n">
        <f aca="false">H13-MAX(0,H13)*H14/100</f>
        <v>1725.16769866528</v>
      </c>
      <c r="I15" s="0" t="n">
        <f aca="false">I13-MAX(0,I13)*I14/100</f>
        <v>1751.04521414525</v>
      </c>
      <c r="J15" s="0" t="n">
        <f aca="false">J13-MAX(0,J13)*J14/100</f>
        <v>1777.31089235743</v>
      </c>
      <c r="K15" s="0" t="n">
        <f aca="false">K13-MAX(0,K13)*K14/100</f>
        <v>1803.97055574279</v>
      </c>
      <c r="L15" s="0" t="n">
        <f aca="false">L13-MAX(0,L13)*L14/100</f>
        <v>1831.03011407894</v>
      </c>
    </row>
    <row r="16" customFormat="false" ht="15" hidden="false" customHeight="false" outlineLevel="0" collapsed="false">
      <c r="A16" s="0" t="s">
        <v>113</v>
      </c>
      <c r="C16" s="0" t="n">
        <f aca="false">-C12</f>
        <v>565.18388</v>
      </c>
      <c r="D16" s="0" t="n">
        <f aca="false">-D12</f>
        <v>565.18388</v>
      </c>
      <c r="E16" s="0" t="n">
        <f aca="false">-E12</f>
        <v>568.0097994</v>
      </c>
      <c r="F16" s="0" t="n">
        <f aca="false">-F12</f>
        <v>558.184765032</v>
      </c>
      <c r="G16" s="0" t="n">
        <f aca="false">-G12</f>
        <v>566.55753650748</v>
      </c>
      <c r="H16" s="0" t="n">
        <f aca="false">-H12</f>
        <v>575.055899555092</v>
      </c>
      <c r="I16" s="0" t="n">
        <f aca="false">-I12</f>
        <v>583.681738048418</v>
      </c>
      <c r="J16" s="0" t="n">
        <f aca="false">-J12</f>
        <v>592.436964119145</v>
      </c>
      <c r="K16" s="0" t="n">
        <f aca="false">-K12</f>
        <v>601.323518580932</v>
      </c>
      <c r="L16" s="0" t="n">
        <f aca="false">-L12</f>
        <v>610.343371359646</v>
      </c>
    </row>
    <row r="17" customFormat="false" ht="15" hidden="false" customHeight="false" outlineLevel="0" collapsed="false">
      <c r="A17" s="0" t="s">
        <v>114</v>
      </c>
      <c r="C17" s="4" t="n">
        <f aca="false">-C6*Assumptions!C18/100</f>
        <v>-488.80768</v>
      </c>
      <c r="D17" s="4" t="n">
        <f aca="false">-D6*Assumptions!D18/100</f>
        <v>-488.80768</v>
      </c>
      <c r="E17" s="4" t="n">
        <f aca="false">-E6*Assumptions!E18/100</f>
        <v>-491.2517184</v>
      </c>
      <c r="F17" s="4" t="n">
        <f aca="false">-F6*Assumptions!F18/100</f>
        <v>-496.164235584</v>
      </c>
      <c r="G17" s="4" t="n">
        <f aca="false">-G6*Assumptions!G18/100</f>
        <v>-503.60669911776</v>
      </c>
      <c r="H17" s="4" t="n">
        <f aca="false">-H6*Assumptions!H18/100</f>
        <v>-511.160799604526</v>
      </c>
      <c r="I17" s="4" t="n">
        <f aca="false">-I6*Assumptions!I18/100</f>
        <v>-518.828211598594</v>
      </c>
      <c r="J17" s="4" t="n">
        <f aca="false">-J6*Assumptions!J18/100</f>
        <v>-526.610634772573</v>
      </c>
      <c r="K17" s="4" t="n">
        <f aca="false">-K6*Assumptions!K18/100</f>
        <v>-534.509794294162</v>
      </c>
      <c r="L17" s="4" t="n">
        <f aca="false">-L6*Assumptions!L18/100</f>
        <v>-542.527441208574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(C6-B6)*Assumptions!$B$23/100</f>
        <v>-15.124</v>
      </c>
      <c r="D18" s="4" t="n">
        <f aca="false">(D6-C6)*Assumptions!$B$23/100</f>
        <v>-0</v>
      </c>
      <c r="E18" s="4" t="n">
        <f aca="false">(E6-D6)*Assumptions!$B$23/100</f>
        <v>-7.63761999999988</v>
      </c>
      <c r="F18" s="4" t="n">
        <f aca="false">(F6-E6)*Assumptions!$B$23/100</f>
        <v>-15.3516162</v>
      </c>
      <c r="G18" s="4" t="n">
        <f aca="false">(G6-F6)*Assumptions!$B$23/100</f>
        <v>-23.2576985429998</v>
      </c>
      <c r="H18" s="4" t="n">
        <f aca="false">(H6-G6)*Assumptions!$B$23/100</f>
        <v>-23.6065640211449</v>
      </c>
      <c r="I18" s="4" t="n">
        <f aca="false">(I6-H6)*Assumptions!$B$23/100</f>
        <v>-23.960662481462</v>
      </c>
      <c r="J18" s="4" t="n">
        <f aca="false">(J6-I6)*Assumptions!$B$23/100</f>
        <v>-24.3200724186838</v>
      </c>
      <c r="K18" s="4" t="n">
        <f aca="false">(K6-J6)*Assumptions!$B$23/100</f>
        <v>-24.6848735049643</v>
      </c>
      <c r="L18" s="4" t="n">
        <f aca="false">(L6-K6)*Assumptions!$B$23/100</f>
        <v>-25.0551466075387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1754.9708112</v>
      </c>
      <c r="D19" s="0" t="n">
        <f aca="false">D15+D16+D17+D18</f>
        <v>1715.1039472</v>
      </c>
      <c r="E19" s="0" t="n">
        <f aca="false">E15+E16+E17+E18</f>
        <v>1716.041846936</v>
      </c>
      <c r="F19" s="0" t="n">
        <f aca="false">F15+F16+F17+F18</f>
        <v>1721.223208344</v>
      </c>
      <c r="G19" s="0" t="n">
        <f aca="false">G15+G16+G17+G18</f>
        <v>1739.36574836916</v>
      </c>
      <c r="H19" s="0" t="n">
        <f aca="false">H15+H16+H17+H18</f>
        <v>1765.4562345947</v>
      </c>
      <c r="I19" s="0" t="n">
        <f aca="false">I15+I16+I17+I18</f>
        <v>1791.93807811362</v>
      </c>
      <c r="J19" s="0" t="n">
        <f aca="false">J15+J16+J17+J18</f>
        <v>1818.81714928532</v>
      </c>
      <c r="K19" s="0" t="n">
        <f aca="false">K15+K16+K17+K18</f>
        <v>1846.0994065246</v>
      </c>
      <c r="L19" s="0" t="n">
        <f aca="false">L15+L16+L17+L18</f>
        <v>1873.79089762247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1632.53098716279</v>
      </c>
      <c r="D21" s="0" t="n">
        <f aca="false">D19*D20</f>
        <v>1484.13537886425</v>
      </c>
      <c r="E21" s="0" t="n">
        <f aca="false">E19*E20</f>
        <v>1381.34602241191</v>
      </c>
      <c r="F21" s="0" t="n">
        <f aca="false">F19*F20</f>
        <v>1288.85285027138</v>
      </c>
      <c r="G21" s="0" t="n">
        <f aca="false">G19*G20</f>
        <v>1211.57022684066</v>
      </c>
      <c r="H21" s="0" t="n">
        <f aca="false">H19*H20</f>
        <v>1143.94770255188</v>
      </c>
      <c r="I21" s="0" t="n">
        <f aca="false">I19*I20</f>
        <v>1080.09945868852</v>
      </c>
      <c r="J21" s="0" t="n">
        <f aca="false">J19*J20</f>
        <v>1019.81483773846</v>
      </c>
      <c r="K21" s="0" t="n">
        <f aca="false">K19*K20</f>
        <v>962.894939818174</v>
      </c>
      <c r="L21" s="0" t="n">
        <f aca="false">L19*L20</f>
        <v>909.151966432973</v>
      </c>
    </row>
    <row r="23" customFormat="false" ht="15" hidden="false" customHeight="false" outlineLevel="0" collapsed="false">
      <c r="A23" s="0" t="s">
        <v>94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99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100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12114.344370781</v>
      </c>
    </row>
    <row r="31" customFormat="false" ht="15" hidden="false" customHeight="false" outlineLevel="0" collapsed="false">
      <c r="A31" s="0" t="s">
        <v>122</v>
      </c>
      <c r="B31" s="0" t="n">
        <f aca="false">L19</f>
        <v>1873.79089762247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34750.303919544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28106.863464337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28106.863464337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13637.2794964946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25751.6238672756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18381.6238672756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9.55882676405387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-0.46539000201041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977.815398854351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1372.98907237273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10.7812939877809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14702.0516582686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2.64362787996569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136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Assumptions!C27</f>
        <v>2.5</v>
      </c>
      <c r="D5" s="4" t="n">
        <f aca="false">Assumptions!D27</f>
        <v>2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15124</v>
      </c>
      <c r="C6" s="0" t="n">
        <f aca="false">B6*(1+C5/100)</f>
        <v>15502.1</v>
      </c>
      <c r="D6" s="0" t="n">
        <f aca="false">C6*(1+D5/100)</f>
        <v>15812.142</v>
      </c>
      <c r="E6" s="0" t="n">
        <f aca="false">D6*(1+E5/100)</f>
        <v>16207.44555</v>
      </c>
      <c r="F6" s="0" t="n">
        <f aca="false">E6*(1+F5/100)</f>
        <v>16612.63168875</v>
      </c>
      <c r="G6" s="0" t="n">
        <f aca="false">F6*(1+G5/100)</f>
        <v>17027.9474809687</v>
      </c>
      <c r="H6" s="0" t="n">
        <f aca="false">G6*(1+H5/100)</f>
        <v>17453.646167993</v>
      </c>
      <c r="I6" s="0" t="n">
        <f aca="false">H6*(1+I5/100)</f>
        <v>17889.9873221928</v>
      </c>
      <c r="J6" s="0" t="n">
        <f aca="false">I6*(1+J5/100)</f>
        <v>18337.2370052476</v>
      </c>
      <c r="K6" s="0" t="n">
        <f aca="false">J6*(1+K5/100)</f>
        <v>18795.6679303788</v>
      </c>
      <c r="L6" s="0" t="n">
        <f aca="false">K6*(1+L5/100)</f>
        <v>19265.5596286383</v>
      </c>
    </row>
    <row r="7" customFormat="false" ht="15" hidden="false" customHeight="false" outlineLevel="0" collapsed="false">
      <c r="A7" s="0" t="s">
        <v>92</v>
      </c>
      <c r="C7" s="4" t="n">
        <f aca="false">Assumptions!C28</f>
        <v>21</v>
      </c>
      <c r="D7" s="4" t="n">
        <f aca="false">Assumptions!D28</f>
        <v>21.5</v>
      </c>
      <c r="E7" s="4" t="n">
        <f aca="false">Assumptions!E28</f>
        <v>22</v>
      </c>
      <c r="F7" s="4" t="n">
        <f aca="false">Assumptions!F28</f>
        <v>22.5</v>
      </c>
      <c r="G7" s="4" t="n">
        <f aca="false">Assumptions!G28</f>
        <v>23</v>
      </c>
      <c r="H7" s="4" t="n">
        <f aca="false">Assumptions!H28</f>
        <v>23</v>
      </c>
      <c r="I7" s="4" t="n">
        <f aca="false">Assumptions!I28</f>
        <v>23</v>
      </c>
      <c r="J7" s="4" t="n">
        <f aca="false">Assumptions!J28</f>
        <v>23</v>
      </c>
      <c r="K7" s="4" t="n">
        <f aca="false">Assumptions!K28</f>
        <v>23</v>
      </c>
      <c r="L7" s="4" t="n">
        <f aca="false">Assumptions!L28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3255.441</v>
      </c>
      <c r="D8" s="0" t="n">
        <f aca="false">D6*D7/100</f>
        <v>3399.61053</v>
      </c>
      <c r="E8" s="0" t="n">
        <f aca="false">E6*E7/100</f>
        <v>3565.638021</v>
      </c>
      <c r="F8" s="0" t="n">
        <f aca="false">F6*F7/100</f>
        <v>3737.84212996875</v>
      </c>
      <c r="G8" s="0" t="n">
        <f aca="false">G6*G7/100</f>
        <v>3916.42792062281</v>
      </c>
      <c r="H8" s="0" t="n">
        <f aca="false">H6*H7/100</f>
        <v>4014.33861863838</v>
      </c>
      <c r="I8" s="0" t="n">
        <f aca="false">I6*I7/100</f>
        <v>4114.69708410434</v>
      </c>
      <c r="J8" s="0" t="n">
        <f aca="false">J6*J7/100</f>
        <v>4217.56451120695</v>
      </c>
      <c r="K8" s="0" t="n">
        <f aca="false">K6*K7/100</f>
        <v>4323.00362398712</v>
      </c>
      <c r="L8" s="0" t="n">
        <f aca="false">L6*L7/100</f>
        <v>4431.0787145868</v>
      </c>
    </row>
    <row r="9" customFormat="false" ht="15" hidden="false" customHeight="false" outlineLevel="0" collapsed="false">
      <c r="A9" s="0" t="s">
        <v>93</v>
      </c>
      <c r="C9" s="4" t="n">
        <f aca="false">Assumptions!C29</f>
        <v>0.85</v>
      </c>
      <c r="D9" s="4" t="n">
        <f aca="false">Assumptions!D29</f>
        <v>0.85</v>
      </c>
      <c r="E9" s="4" t="n">
        <f aca="false">Assumptions!E29</f>
        <v>0.8</v>
      </c>
      <c r="F9" s="4" t="n">
        <f aca="false">Assumptions!F29</f>
        <v>0.8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-131.76785</v>
      </c>
      <c r="D10" s="0" t="n">
        <f aca="false">-D6*D9/100</f>
        <v>-134.403207</v>
      </c>
      <c r="E10" s="0" t="n">
        <f aca="false">-E6*E9/100</f>
        <v>-129.6595644</v>
      </c>
      <c r="F10" s="0" t="n">
        <f aca="false">-F6*F9/100</f>
        <v>-132.90105351</v>
      </c>
      <c r="G10" s="0" t="n">
        <f aca="false">-G6*G9/100</f>
        <v>-136.22357984775</v>
      </c>
      <c r="H10" s="0" t="n">
        <f aca="false">-H6*H9/100</f>
        <v>-139.629169343944</v>
      </c>
      <c r="I10" s="0" t="n">
        <f aca="false">-I6*I9/100</f>
        <v>-143.119898577542</v>
      </c>
      <c r="J10" s="0" t="n">
        <f aca="false">-J6*J9/100</f>
        <v>-146.697896041981</v>
      </c>
      <c r="K10" s="0" t="n">
        <f aca="false">-K6*K9/100</f>
        <v>-150.36534344303</v>
      </c>
      <c r="L10" s="0" t="n">
        <f aca="false">-L6*L9/100</f>
        <v>-154.124477029106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3123.67315</v>
      </c>
      <c r="D11" s="0" t="n">
        <f aca="false">D8+D10+D24</f>
        <v>3265.207323</v>
      </c>
      <c r="E11" s="0" t="n">
        <f aca="false">E8+E10+E24</f>
        <v>3435.9784566</v>
      </c>
      <c r="F11" s="0" t="n">
        <f aca="false">F8+F10+F24</f>
        <v>3604.94107645875</v>
      </c>
      <c r="G11" s="0" t="n">
        <f aca="false">G8+G10+G24</f>
        <v>3780.20434077506</v>
      </c>
      <c r="H11" s="0" t="n">
        <f aca="false">H8+H10+H24</f>
        <v>3874.70944929444</v>
      </c>
      <c r="I11" s="0" t="n">
        <f aca="false">I8+I10+I24</f>
        <v>3971.5771855268</v>
      </c>
      <c r="J11" s="0" t="n">
        <f aca="false">J8+J10+J24</f>
        <v>4070.86661516497</v>
      </c>
      <c r="K11" s="0" t="n">
        <f aca="false">K8+K10+K24</f>
        <v>4172.63828054409</v>
      </c>
      <c r="L11" s="0" t="n">
        <f aca="false">L8+L10+L24</f>
        <v>4276.95423755769</v>
      </c>
    </row>
    <row r="12" customFormat="false" ht="15" hidden="false" customHeight="false" outlineLevel="0" collapsed="false">
      <c r="A12" s="0" t="s">
        <v>110</v>
      </c>
      <c r="C12" s="4" t="n">
        <f aca="false">-C6*Assumptions!C31/100</f>
        <v>-573.5777</v>
      </c>
      <c r="D12" s="4" t="n">
        <f aca="false">-D6*Assumptions!D31/100</f>
        <v>-585.049254</v>
      </c>
      <c r="E12" s="4" t="n">
        <f aca="false">-E6*Assumptions!E31/100</f>
        <v>-583.4680398</v>
      </c>
      <c r="F12" s="4" t="n">
        <f aca="false">-F6*Assumptions!F31/100</f>
        <v>-598.054740795</v>
      </c>
      <c r="G12" s="4" t="n">
        <f aca="false">-G6*Assumptions!G31/100</f>
        <v>-595.978161833906</v>
      </c>
      <c r="H12" s="4" t="n">
        <f aca="false">-H6*Assumptions!H31/100</f>
        <v>-610.877615879754</v>
      </c>
      <c r="I12" s="4" t="n">
        <f aca="false">-I6*Assumptions!I31/100</f>
        <v>-626.149556276748</v>
      </c>
      <c r="J12" s="4" t="n">
        <f aca="false">-J6*Assumptions!J31/100</f>
        <v>-641.803295183666</v>
      </c>
      <c r="K12" s="4" t="n">
        <f aca="false">-K6*Assumptions!K31/100</f>
        <v>-657.848377563258</v>
      </c>
      <c r="L12" s="4" t="n">
        <f aca="false">-L6*Assumptions!L31/100</f>
        <v>-674.294587002339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2550.09545</v>
      </c>
      <c r="D13" s="0" t="n">
        <f aca="false">D11+D12</f>
        <v>2680.158069</v>
      </c>
      <c r="E13" s="0" t="n">
        <f aca="false">E11+E12</f>
        <v>2852.5104168</v>
      </c>
      <c r="F13" s="0" t="n">
        <f aca="false">F11+F12</f>
        <v>3006.88633566375</v>
      </c>
      <c r="G13" s="0" t="n">
        <f aca="false">G11+G12</f>
        <v>3184.22617894116</v>
      </c>
      <c r="H13" s="0" t="n">
        <f aca="false">H11+H12</f>
        <v>3263.83183341468</v>
      </c>
      <c r="I13" s="0" t="n">
        <f aca="false">I11+I12</f>
        <v>3345.42762925005</v>
      </c>
      <c r="J13" s="0" t="n">
        <f aca="false">J11+J12</f>
        <v>3429.0633199813</v>
      </c>
      <c r="K13" s="0" t="n">
        <f aca="false">K11+K12</f>
        <v>3514.78990298083</v>
      </c>
      <c r="L13" s="0" t="n">
        <f aca="false">L11+L12</f>
        <v>3602.65965055536</v>
      </c>
    </row>
    <row r="14" customFormat="false" ht="15" hidden="false" customHeight="false" outlineLevel="0" collapsed="false">
      <c r="A14" s="0" t="s">
        <v>97</v>
      </c>
      <c r="C14" s="4" t="n">
        <f aca="false">Assumptions!C33</f>
        <v>27.5</v>
      </c>
      <c r="D14" s="4" t="n">
        <f aca="false">Assumptions!D33</f>
        <v>27.5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1848.81920125</v>
      </c>
      <c r="D15" s="0" t="n">
        <f aca="false">D13-MAX(0,D13)*D14/100</f>
        <v>1943.114600025</v>
      </c>
      <c r="E15" s="0" t="n">
        <f aca="false">E13-MAX(0,E13)*E14/100</f>
        <v>2082.332604264</v>
      </c>
      <c r="F15" s="0" t="n">
        <f aca="false">F13-MAX(0,F13)*F14/100</f>
        <v>2195.02702503454</v>
      </c>
      <c r="G15" s="0" t="n">
        <f aca="false">G13-MAX(0,G13)*G14/100</f>
        <v>2324.48511062704</v>
      </c>
      <c r="H15" s="0" t="n">
        <f aca="false">H13-MAX(0,H13)*H14/100</f>
        <v>2382.59723839272</v>
      </c>
      <c r="I15" s="0" t="n">
        <f aca="false">I13-MAX(0,I13)*I14/100</f>
        <v>2442.16216935254</v>
      </c>
      <c r="J15" s="0" t="n">
        <f aca="false">J13-MAX(0,J13)*J14/100</f>
        <v>2503.21622358635</v>
      </c>
      <c r="K15" s="0" t="n">
        <f aca="false">K13-MAX(0,K13)*K14/100</f>
        <v>2565.79662917601</v>
      </c>
      <c r="L15" s="0" t="n">
        <f aca="false">L13-MAX(0,L13)*L14/100</f>
        <v>2629.94154490541</v>
      </c>
    </row>
    <row r="16" customFormat="false" ht="15" hidden="false" customHeight="false" outlineLevel="0" collapsed="false">
      <c r="A16" s="0" t="s">
        <v>113</v>
      </c>
      <c r="C16" s="0" t="n">
        <f aca="false">-C12</f>
        <v>573.5777</v>
      </c>
      <c r="D16" s="0" t="n">
        <f aca="false">-D12</f>
        <v>585.049254</v>
      </c>
      <c r="E16" s="0" t="n">
        <f aca="false">-E12</f>
        <v>583.4680398</v>
      </c>
      <c r="F16" s="0" t="n">
        <f aca="false">-F12</f>
        <v>598.054740795</v>
      </c>
      <c r="G16" s="0" t="n">
        <f aca="false">-G12</f>
        <v>595.978161833906</v>
      </c>
      <c r="H16" s="0" t="n">
        <f aca="false">-H12</f>
        <v>610.877615879754</v>
      </c>
      <c r="I16" s="0" t="n">
        <f aca="false">-I12</f>
        <v>626.149556276748</v>
      </c>
      <c r="J16" s="0" t="n">
        <f aca="false">-J12</f>
        <v>641.803295183666</v>
      </c>
      <c r="K16" s="0" t="n">
        <f aca="false">-K12</f>
        <v>657.848377563258</v>
      </c>
      <c r="L16" s="0" t="n">
        <f aca="false">-L12</f>
        <v>674.294587002339</v>
      </c>
    </row>
    <row r="17" customFormat="false" ht="15" hidden="false" customHeight="false" outlineLevel="0" collapsed="false">
      <c r="A17" s="0" t="s">
        <v>114</v>
      </c>
      <c r="C17" s="4" t="n">
        <f aca="false">-C6*Assumptions!C32/100</f>
        <v>-480.5651</v>
      </c>
      <c r="D17" s="4" t="n">
        <f aca="false">-D6*Assumptions!D32/100</f>
        <v>-490.176402</v>
      </c>
      <c r="E17" s="4" t="n">
        <f aca="false">-E6*Assumptions!E32/100</f>
        <v>-486.2233665</v>
      </c>
      <c r="F17" s="4" t="n">
        <f aca="false">-F6*Assumptions!F32/100</f>
        <v>-498.3789506625</v>
      </c>
      <c r="G17" s="4" t="n">
        <f aca="false">-G6*Assumptions!G32/100</f>
        <v>-510.838424429062</v>
      </c>
      <c r="H17" s="4" t="n">
        <f aca="false">-H6*Assumptions!H32/100</f>
        <v>-523.609385039789</v>
      </c>
      <c r="I17" s="4" t="n">
        <f aca="false">-I6*Assumptions!I32/100</f>
        <v>-536.699619665784</v>
      </c>
      <c r="J17" s="4" t="n">
        <f aca="false">-J6*Assumptions!J32/100</f>
        <v>-550.117110157428</v>
      </c>
      <c r="K17" s="4" t="n">
        <f aca="false">-K6*Assumptions!K32/100</f>
        <v>-563.870037911364</v>
      </c>
      <c r="L17" s="4" t="n">
        <f aca="false">-L6*Assumptions!L32/100</f>
        <v>-577.966788859148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(C6-B6)*Assumptions!$B$37/100</f>
        <v>-37.8099999999999</v>
      </c>
      <c r="D18" s="4" t="n">
        <f aca="false">(D6-C6)*Assumptions!$B$37/100</f>
        <v>-31.0041999999999</v>
      </c>
      <c r="E18" s="4" t="n">
        <f aca="false">(E6-D6)*Assumptions!$B$37/100</f>
        <v>-39.5303549999999</v>
      </c>
      <c r="F18" s="4" t="n">
        <f aca="false">(F6-E6)*Assumptions!$B$37/100</f>
        <v>-40.5186138749999</v>
      </c>
      <c r="G18" s="4" t="n">
        <f aca="false">(G6-F6)*Assumptions!$B$37/100</f>
        <v>-41.5315792218749</v>
      </c>
      <c r="H18" s="4" t="n">
        <f aca="false">(H6-G6)*Assumptions!$B$37/100</f>
        <v>-42.5698687024218</v>
      </c>
      <c r="I18" s="4" t="n">
        <f aca="false">(I6-H6)*Assumptions!$B$37/100</f>
        <v>-43.6341154199821</v>
      </c>
      <c r="J18" s="4" t="n">
        <f aca="false">(J6-I6)*Assumptions!$B$37/100</f>
        <v>-44.7249683054819</v>
      </c>
      <c r="K18" s="4" t="n">
        <f aca="false">(K6-J6)*Assumptions!$B$37/100</f>
        <v>-45.843092513119</v>
      </c>
      <c r="L18" s="4" t="n">
        <f aca="false">(L6-K6)*Assumptions!$B$37/100</f>
        <v>-46.9891698259467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1904.02180125</v>
      </c>
      <c r="D19" s="0" t="n">
        <f aca="false">D15+D16+D17+D18</f>
        <v>2006.983252025</v>
      </c>
      <c r="E19" s="0" t="n">
        <f aca="false">E15+E16+E17+E18</f>
        <v>2140.046922564</v>
      </c>
      <c r="F19" s="0" t="n">
        <f aca="false">F15+F16+F17+F18</f>
        <v>2254.18420129204</v>
      </c>
      <c r="G19" s="0" t="n">
        <f aca="false">G15+G16+G17+G18</f>
        <v>2368.09326881001</v>
      </c>
      <c r="H19" s="0" t="n">
        <f aca="false">H15+H16+H17+H18</f>
        <v>2427.29560053026</v>
      </c>
      <c r="I19" s="0" t="n">
        <f aca="false">I15+I16+I17+I18</f>
        <v>2487.97799054352</v>
      </c>
      <c r="J19" s="0" t="n">
        <f aca="false">J15+J16+J17+J18</f>
        <v>2550.17744030711</v>
      </c>
      <c r="K19" s="0" t="n">
        <f aca="false">K15+K16+K17+K18</f>
        <v>2613.93187631478</v>
      </c>
      <c r="L19" s="0" t="n">
        <f aca="false">L15+L16+L17+L18</f>
        <v>2679.28017322265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1771.18307093023</v>
      </c>
      <c r="D21" s="0" t="n">
        <f aca="false">D19*D20</f>
        <v>1736.70806016225</v>
      </c>
      <c r="E21" s="0" t="n">
        <f aca="false">E19*E20</f>
        <v>1722.65338956439</v>
      </c>
      <c r="F21" s="0" t="n">
        <f aca="false">F19*F20</f>
        <v>1687.93432414101</v>
      </c>
      <c r="G21" s="0" t="n">
        <f aca="false">G19*G20</f>
        <v>1649.51580859982</v>
      </c>
      <c r="H21" s="0" t="n">
        <f aca="false">H19*H20</f>
        <v>1572.79414308355</v>
      </c>
      <c r="I21" s="0" t="n">
        <f aca="false">I19*I20</f>
        <v>1499.64092712617</v>
      </c>
      <c r="J21" s="0" t="n">
        <f aca="false">J19*J20</f>
        <v>1429.89018632961</v>
      </c>
      <c r="K21" s="0" t="n">
        <f aca="false">K19*K20</f>
        <v>1363.38366603521</v>
      </c>
      <c r="L21" s="0" t="n">
        <f aca="false">L19*L20</f>
        <v>1299.97047226613</v>
      </c>
    </row>
    <row r="23" customFormat="false" ht="15" hidden="false" customHeight="false" outlineLevel="0" collapsed="false">
      <c r="A23" s="0" t="s">
        <v>94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99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100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15733.6740482384</v>
      </c>
    </row>
    <row r="31" customFormat="false" ht="15" hidden="false" customHeight="false" outlineLevel="0" collapsed="false">
      <c r="A31" s="0" t="s">
        <v>122</v>
      </c>
      <c r="B31" s="0" t="n">
        <f aca="false">L19</f>
        <v>2679.28017322265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54925.2435510644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48227.0431180078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48227.0431180078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23399.4685007903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39133.1425490287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31763.1425490287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16.5174948252879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-0.0762027502635394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949.855874257192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1532.9953393718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17.8086291017461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21970.0974204258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4.85226813800806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137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Assumptions!C41</f>
        <v>3.5</v>
      </c>
      <c r="D5" s="4" t="n">
        <f aca="false">Assumptions!D41</f>
        <v>3.5</v>
      </c>
      <c r="E5" s="4" t="n">
        <f aca="false">Assumptions!E41</f>
        <v>3.5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15124</v>
      </c>
      <c r="C6" s="0" t="n">
        <f aca="false">B6*(1+C5/100)</f>
        <v>15653.34</v>
      </c>
      <c r="D6" s="0" t="n">
        <f aca="false">C6*(1+D5/100)</f>
        <v>16201.2069</v>
      </c>
      <c r="E6" s="0" t="n">
        <f aca="false">D6*(1+E5/100)</f>
        <v>16768.2491415</v>
      </c>
      <c r="F6" s="0" t="n">
        <f aca="false">E6*(1+F5/100)</f>
        <v>17271.296615745</v>
      </c>
      <c r="G6" s="0" t="n">
        <f aca="false">F6*(1+G5/100)</f>
        <v>17789.4355142173</v>
      </c>
      <c r="H6" s="0" t="n">
        <f aca="false">G6*(1+H5/100)</f>
        <v>18323.1185796439</v>
      </c>
      <c r="I6" s="0" t="n">
        <f aca="false">H6*(1+I5/100)</f>
        <v>18872.8121370332</v>
      </c>
      <c r="J6" s="0" t="n">
        <f aca="false">I6*(1+J5/100)</f>
        <v>19344.632440459</v>
      </c>
      <c r="K6" s="0" t="n">
        <f aca="false">J6*(1+K5/100)</f>
        <v>19828.2482514705</v>
      </c>
      <c r="L6" s="0" t="n">
        <f aca="false">K6*(1+L5/100)</f>
        <v>20323.9544577572</v>
      </c>
    </row>
    <row r="7" customFormat="false" ht="15" hidden="false" customHeight="false" outlineLevel="0" collapsed="false">
      <c r="A7" s="0" t="s">
        <v>92</v>
      </c>
      <c r="C7" s="4" t="n">
        <f aca="false">Assumptions!C42</f>
        <v>21.5</v>
      </c>
      <c r="D7" s="4" t="n">
        <f aca="false">Assumptions!D42</f>
        <v>22.5</v>
      </c>
      <c r="E7" s="4" t="n">
        <f aca="false">Assumptions!E42</f>
        <v>23.5</v>
      </c>
      <c r="F7" s="4" t="n">
        <f aca="false">Assumptions!F42</f>
        <v>24</v>
      </c>
      <c r="G7" s="4" t="n">
        <f aca="false">Assumptions!G42</f>
        <v>24.5</v>
      </c>
      <c r="H7" s="4" t="n">
        <f aca="false">Assumptions!H42</f>
        <v>25</v>
      </c>
      <c r="I7" s="4" t="n">
        <f aca="false">Assumptions!I42</f>
        <v>25</v>
      </c>
      <c r="J7" s="4" t="n">
        <f aca="false">Assumptions!J42</f>
        <v>25</v>
      </c>
      <c r="K7" s="4" t="n">
        <f aca="false">Assumptions!K42</f>
        <v>25</v>
      </c>
      <c r="L7" s="4" t="n">
        <f aca="false">Assumptions!L42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3365.4681</v>
      </c>
      <c r="D8" s="0" t="n">
        <f aca="false">D6*D7/100</f>
        <v>3645.2715525</v>
      </c>
      <c r="E8" s="0" t="n">
        <f aca="false">E6*E7/100</f>
        <v>3940.5385482525</v>
      </c>
      <c r="F8" s="0" t="n">
        <f aca="false">F6*F7/100</f>
        <v>4145.1111877788</v>
      </c>
      <c r="G8" s="0" t="n">
        <f aca="false">G6*G7/100</f>
        <v>4358.41170098325</v>
      </c>
      <c r="H8" s="0" t="n">
        <f aca="false">H6*H7/100</f>
        <v>4580.77964491097</v>
      </c>
      <c r="I8" s="0" t="n">
        <f aca="false">I6*I7/100</f>
        <v>4718.2030342583</v>
      </c>
      <c r="J8" s="0" t="n">
        <f aca="false">J6*J7/100</f>
        <v>4836.15811011475</v>
      </c>
      <c r="K8" s="0" t="n">
        <f aca="false">K6*K7/100</f>
        <v>4957.06206286762</v>
      </c>
      <c r="L8" s="0" t="n">
        <f aca="false">L6*L7/100</f>
        <v>5080.98861443931</v>
      </c>
    </row>
    <row r="9" customFormat="false" ht="15" hidden="false" customHeight="false" outlineLevel="0" collapsed="false">
      <c r="A9" s="0" t="s">
        <v>93</v>
      </c>
      <c r="C9" s="4" t="n">
        <f aca="false">Assumptions!C43</f>
        <v>0.85</v>
      </c>
      <c r="D9" s="4" t="n">
        <f aca="false">Assumptions!D43</f>
        <v>0.8</v>
      </c>
      <c r="E9" s="4" t="n">
        <f aca="false">Assumptions!E43</f>
        <v>0.8</v>
      </c>
      <c r="F9" s="4" t="n">
        <f aca="false">Assumptions!F43</f>
        <v>0.75</v>
      </c>
      <c r="G9" s="4" t="n">
        <f aca="false">Assumptions!G43</f>
        <v>0.75</v>
      </c>
      <c r="H9" s="4" t="n">
        <f aca="false">Assumptions!H43</f>
        <v>0.75</v>
      </c>
      <c r="I9" s="4" t="n">
        <f aca="false">Assumptions!I43</f>
        <v>0.75</v>
      </c>
      <c r="J9" s="4" t="n">
        <f aca="false">Assumptions!J43</f>
        <v>0.75</v>
      </c>
      <c r="K9" s="4" t="n">
        <f aca="false">Assumptions!K43</f>
        <v>0.75</v>
      </c>
      <c r="L9" s="4" t="n">
        <f aca="false">Assumptions!L43</f>
        <v>0.75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-133.05339</v>
      </c>
      <c r="D10" s="0" t="n">
        <f aca="false">-D6*D9/100</f>
        <v>-129.6096552</v>
      </c>
      <c r="E10" s="0" t="n">
        <f aca="false">-E6*E9/100</f>
        <v>-134.145993132</v>
      </c>
      <c r="F10" s="0" t="n">
        <f aca="false">-F6*F9/100</f>
        <v>-129.534724618087</v>
      </c>
      <c r="G10" s="0" t="n">
        <f aca="false">-G6*G9/100</f>
        <v>-133.42076635663</v>
      </c>
      <c r="H10" s="0" t="n">
        <f aca="false">-H6*H9/100</f>
        <v>-137.423389347329</v>
      </c>
      <c r="I10" s="0" t="n">
        <f aca="false">-I6*I9/100</f>
        <v>-141.546091027749</v>
      </c>
      <c r="J10" s="0" t="n">
        <f aca="false">-J6*J9/100</f>
        <v>-145.084743303443</v>
      </c>
      <c r="K10" s="0" t="n">
        <f aca="false">-K6*K9/100</f>
        <v>-148.711861886029</v>
      </c>
      <c r="L10" s="0" t="n">
        <f aca="false">-L6*L9/100</f>
        <v>-152.429658433179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3232.41471</v>
      </c>
      <c r="D11" s="0" t="n">
        <f aca="false">D8+D10+D24</f>
        <v>3515.6618973</v>
      </c>
      <c r="E11" s="0" t="n">
        <f aca="false">E8+E10+E24</f>
        <v>3806.3925551205</v>
      </c>
      <c r="F11" s="0" t="n">
        <f aca="false">F8+F10+F24</f>
        <v>4015.57646316071</v>
      </c>
      <c r="G11" s="0" t="n">
        <f aca="false">G8+G10+G24</f>
        <v>4224.99093462662</v>
      </c>
      <c r="H11" s="0" t="n">
        <f aca="false">H8+H10+H24</f>
        <v>4443.35625556364</v>
      </c>
      <c r="I11" s="0" t="n">
        <f aca="false">I8+I10+I24</f>
        <v>4576.65694323055</v>
      </c>
      <c r="J11" s="0" t="n">
        <f aca="false">J8+J10+J24</f>
        <v>4691.07336681131</v>
      </c>
      <c r="K11" s="0" t="n">
        <f aca="false">K8+K10+K24</f>
        <v>4808.35020098159</v>
      </c>
      <c r="L11" s="0" t="n">
        <f aca="false">L8+L10+L24</f>
        <v>4928.55895600613</v>
      </c>
    </row>
    <row r="12" customFormat="false" ht="15" hidden="false" customHeight="false" outlineLevel="0" collapsed="false">
      <c r="A12" s="0" t="s">
        <v>110</v>
      </c>
      <c r="C12" s="4" t="n">
        <f aca="false">-C6*Assumptions!C45/100</f>
        <v>-579.17358</v>
      </c>
      <c r="D12" s="4" t="n">
        <f aca="false">-D6*Assumptions!D45/100</f>
        <v>-583.2434484</v>
      </c>
      <c r="E12" s="4" t="n">
        <f aca="false">-E6*Assumptions!E45/100</f>
        <v>-603.656969094</v>
      </c>
      <c r="F12" s="4" t="n">
        <f aca="false">-F6*Assumptions!F45/100</f>
        <v>-604.495381551075</v>
      </c>
      <c r="G12" s="4" t="n">
        <f aca="false">-G6*Assumptions!G45/100</f>
        <v>-622.630242997607</v>
      </c>
      <c r="H12" s="4" t="n">
        <f aca="false">-H6*Assumptions!H45/100</f>
        <v>-622.986031707892</v>
      </c>
      <c r="I12" s="4" t="n">
        <f aca="false">-I6*Assumptions!I45/100</f>
        <v>-641.675612659128</v>
      </c>
      <c r="J12" s="4" t="n">
        <f aca="false">-J6*Assumptions!J45/100</f>
        <v>-657.717502975606</v>
      </c>
      <c r="K12" s="4" t="n">
        <f aca="false">-K6*Assumptions!K45/100</f>
        <v>-674.160440549997</v>
      </c>
      <c r="L12" s="4" t="n">
        <f aca="false">-L6*Assumptions!L45/100</f>
        <v>-691.014451563746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2653.24113</v>
      </c>
      <c r="D13" s="0" t="n">
        <f aca="false">D11+D12</f>
        <v>2932.4184489</v>
      </c>
      <c r="E13" s="0" t="n">
        <f aca="false">E11+E12</f>
        <v>3202.7355860265</v>
      </c>
      <c r="F13" s="0" t="n">
        <f aca="false">F11+F12</f>
        <v>3411.08108160964</v>
      </c>
      <c r="G13" s="0" t="n">
        <f aca="false">G11+G12</f>
        <v>3602.36069162901</v>
      </c>
      <c r="H13" s="0" t="n">
        <f aca="false">H11+H12</f>
        <v>3820.37022385575</v>
      </c>
      <c r="I13" s="0" t="n">
        <f aca="false">I11+I12</f>
        <v>3934.98133057142</v>
      </c>
      <c r="J13" s="0" t="n">
        <f aca="false">J11+J12</f>
        <v>4033.3558638357</v>
      </c>
      <c r="K13" s="0" t="n">
        <f aca="false">K11+K12</f>
        <v>4134.1897604316</v>
      </c>
      <c r="L13" s="0" t="n">
        <f aca="false">L11+L12</f>
        <v>4237.54450444239</v>
      </c>
    </row>
    <row r="14" customFormat="false" ht="15" hidden="false" customHeight="false" outlineLevel="0" collapsed="false">
      <c r="A14" s="0" t="s">
        <v>97</v>
      </c>
      <c r="C14" s="4" t="n">
        <f aca="false">Assumptions!C47</f>
        <v>27</v>
      </c>
      <c r="D14" s="4" t="n">
        <f aca="false">Assumptions!D47</f>
        <v>26.5</v>
      </c>
      <c r="E14" s="4" t="n">
        <f aca="false">Assumptions!E47</f>
        <v>26.5</v>
      </c>
      <c r="F14" s="4" t="n">
        <f aca="false">Assumptions!F47</f>
        <v>26.5</v>
      </c>
      <c r="G14" s="4" t="n">
        <f aca="false">Assumptions!G47</f>
        <v>26.5</v>
      </c>
      <c r="H14" s="4" t="n">
        <f aca="false">Assumptions!H47</f>
        <v>26.5</v>
      </c>
      <c r="I14" s="4" t="n">
        <f aca="false">Assumptions!I47</f>
        <v>26.5</v>
      </c>
      <c r="J14" s="4" t="n">
        <f aca="false">Assumptions!J47</f>
        <v>26.5</v>
      </c>
      <c r="K14" s="4" t="n">
        <f aca="false">Assumptions!K47</f>
        <v>26.5</v>
      </c>
      <c r="L14" s="4" t="n">
        <f aca="false">Assumptions!L47</f>
        <v>26.5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1936.8660249</v>
      </c>
      <c r="D15" s="0" t="n">
        <f aca="false">D13-MAX(0,D13)*D14/100</f>
        <v>2155.3275599415</v>
      </c>
      <c r="E15" s="0" t="n">
        <f aca="false">E13-MAX(0,E13)*E14/100</f>
        <v>2354.01065572948</v>
      </c>
      <c r="F15" s="0" t="n">
        <f aca="false">F13-MAX(0,F13)*F14/100</f>
        <v>2507.14459498308</v>
      </c>
      <c r="G15" s="0" t="n">
        <f aca="false">G13-MAX(0,G13)*G14/100</f>
        <v>2647.73510834732</v>
      </c>
      <c r="H15" s="0" t="n">
        <f aca="false">H13-MAX(0,H13)*H14/100</f>
        <v>2807.97211453397</v>
      </c>
      <c r="I15" s="0" t="n">
        <f aca="false">I13-MAX(0,I13)*I14/100</f>
        <v>2892.21127796999</v>
      </c>
      <c r="J15" s="0" t="n">
        <f aca="false">J13-MAX(0,J13)*J14/100</f>
        <v>2964.51655991924</v>
      </c>
      <c r="K15" s="0" t="n">
        <f aca="false">K13-MAX(0,K13)*K14/100</f>
        <v>3038.62947391722</v>
      </c>
      <c r="L15" s="0" t="n">
        <f aca="false">L13-MAX(0,L13)*L14/100</f>
        <v>3114.59521076515</v>
      </c>
    </row>
    <row r="16" customFormat="false" ht="15" hidden="false" customHeight="false" outlineLevel="0" collapsed="false">
      <c r="A16" s="0" t="s">
        <v>113</v>
      </c>
      <c r="C16" s="0" t="n">
        <f aca="false">-C12</f>
        <v>579.17358</v>
      </c>
      <c r="D16" s="0" t="n">
        <f aca="false">-D12</f>
        <v>583.2434484</v>
      </c>
      <c r="E16" s="0" t="n">
        <f aca="false">-E12</f>
        <v>603.656969094</v>
      </c>
      <c r="F16" s="0" t="n">
        <f aca="false">-F12</f>
        <v>604.495381551075</v>
      </c>
      <c r="G16" s="0" t="n">
        <f aca="false">-G12</f>
        <v>622.630242997607</v>
      </c>
      <c r="H16" s="0" t="n">
        <f aca="false">-H12</f>
        <v>622.986031707892</v>
      </c>
      <c r="I16" s="0" t="n">
        <f aca="false">-I12</f>
        <v>641.675612659128</v>
      </c>
      <c r="J16" s="0" t="n">
        <f aca="false">-J12</f>
        <v>657.717502975606</v>
      </c>
      <c r="K16" s="0" t="n">
        <f aca="false">-K12</f>
        <v>674.160440549997</v>
      </c>
      <c r="L16" s="0" t="n">
        <f aca="false">-L12</f>
        <v>691.014451563746</v>
      </c>
    </row>
    <row r="17" customFormat="false" ht="15" hidden="false" customHeight="false" outlineLevel="0" collapsed="false">
      <c r="A17" s="0" t="s">
        <v>114</v>
      </c>
      <c r="C17" s="4" t="n">
        <f aca="false">-C6*Assumptions!C46/100</f>
        <v>-469.6002</v>
      </c>
      <c r="D17" s="4" t="n">
        <f aca="false">-D6*Assumptions!D46/100</f>
        <v>-486.036207</v>
      </c>
      <c r="E17" s="4" t="n">
        <f aca="false">-E6*Assumptions!E46/100</f>
        <v>-486.2792251035</v>
      </c>
      <c r="F17" s="4" t="n">
        <f aca="false">-F6*Assumptions!F46/100</f>
        <v>-500.867601856605</v>
      </c>
      <c r="G17" s="4" t="n">
        <f aca="false">-G6*Assumptions!G46/100</f>
        <v>-498.104194398086</v>
      </c>
      <c r="H17" s="4" t="n">
        <f aca="false">-H6*Assumptions!H46/100</f>
        <v>-513.047320230028</v>
      </c>
      <c r="I17" s="4" t="n">
        <f aca="false">-I6*Assumptions!I46/100</f>
        <v>-528.438739836929</v>
      </c>
      <c r="J17" s="4" t="n">
        <f aca="false">-J6*Assumptions!J46/100</f>
        <v>-541.649708332852</v>
      </c>
      <c r="K17" s="4" t="n">
        <f aca="false">-K6*Assumptions!K46/100</f>
        <v>-555.190951041174</v>
      </c>
      <c r="L17" s="4" t="n">
        <f aca="false">-L6*Assumptions!L46/100</f>
        <v>-569.070724817203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(C6-B6)*Assumptions!$B$51/100</f>
        <v>-52.9339999999998</v>
      </c>
      <c r="D18" s="4" t="n">
        <f aca="false">(D6-C6)*Assumptions!$B$51/100</f>
        <v>-54.7866899999999</v>
      </c>
      <c r="E18" s="4" t="n">
        <f aca="false">(E6-D6)*Assumptions!$B$51/100</f>
        <v>-56.7042241499999</v>
      </c>
      <c r="F18" s="4" t="n">
        <f aca="false">(F6-E6)*Assumptions!$B$51/100</f>
        <v>-50.3047474244999</v>
      </c>
      <c r="G18" s="4" t="n">
        <f aca="false">(G6-F6)*Assumptions!$B$51/100</f>
        <v>-51.8138898472349</v>
      </c>
      <c r="H18" s="4" t="n">
        <f aca="false">(H6-G6)*Assumptions!$B$51/100</f>
        <v>-53.3683065426521</v>
      </c>
      <c r="I18" s="4" t="n">
        <f aca="false">(I6-H6)*Assumptions!$B$51/100</f>
        <v>-54.9693557389317</v>
      </c>
      <c r="J18" s="4" t="n">
        <f aca="false">(J6-I6)*Assumptions!$B$51/100</f>
        <v>-47.182030342583</v>
      </c>
      <c r="K18" s="4" t="n">
        <f aca="false">(K6-J6)*Assumptions!$B$51/100</f>
        <v>-48.3615811011474</v>
      </c>
      <c r="L18" s="4" t="n">
        <f aca="false">(L6-K6)*Assumptions!$B$51/100</f>
        <v>-49.5706206286759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1993.5054049</v>
      </c>
      <c r="D19" s="0" t="n">
        <f aca="false">D15+D16+D17+D18</f>
        <v>2197.7481113415</v>
      </c>
      <c r="E19" s="0" t="n">
        <f aca="false">E15+E16+E17+E18</f>
        <v>2414.68417556998</v>
      </c>
      <c r="F19" s="0" t="n">
        <f aca="false">F15+F16+F17+F18</f>
        <v>2560.46762725305</v>
      </c>
      <c r="G19" s="0" t="n">
        <f aca="false">G15+G16+G17+G18</f>
        <v>2720.44726709961</v>
      </c>
      <c r="H19" s="0" t="n">
        <f aca="false">H15+H16+H17+H18</f>
        <v>2864.54251946918</v>
      </c>
      <c r="I19" s="0" t="n">
        <f aca="false">I15+I16+I17+I18</f>
        <v>2950.47879505326</v>
      </c>
      <c r="J19" s="0" t="n">
        <f aca="false">J15+J16+J17+J18</f>
        <v>3033.40232421941</v>
      </c>
      <c r="K19" s="0" t="n">
        <f aca="false">K15+K16+K17+K18</f>
        <v>3109.2373823249</v>
      </c>
      <c r="L19" s="0" t="n">
        <f aca="false">L15+L16+L17+L18</f>
        <v>3186.96831688302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1854.42363246512</v>
      </c>
      <c r="D21" s="0" t="n">
        <f aca="false">D19*D20</f>
        <v>1901.78311419492</v>
      </c>
      <c r="E21" s="0" t="n">
        <f aca="false">E19*E20</f>
        <v>1943.72554915264</v>
      </c>
      <c r="F21" s="0" t="n">
        <f aca="false">F19*F20</f>
        <v>1917.27951576234</v>
      </c>
      <c r="G21" s="0" t="n">
        <f aca="false">G19*G20</f>
        <v>1894.95102775152</v>
      </c>
      <c r="H21" s="0" t="n">
        <f aca="false">H19*H20</f>
        <v>1856.11332062345</v>
      </c>
      <c r="I21" s="0" t="n">
        <f aca="false">I19*I20</f>
        <v>1778.41555371363</v>
      </c>
      <c r="J21" s="0" t="n">
        <f aca="false">J19*J20</f>
        <v>1700.83545797049</v>
      </c>
      <c r="K21" s="0" t="n">
        <f aca="false">K19*K20</f>
        <v>1621.72683201838</v>
      </c>
      <c r="L21" s="0" t="n">
        <f aca="false">L19*L20</f>
        <v>1546.29767704078</v>
      </c>
    </row>
    <row r="23" customFormat="false" ht="15" hidden="false" customHeight="false" outlineLevel="0" collapsed="false">
      <c r="A23" s="0" t="s">
        <v>94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99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100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18015.5516806933</v>
      </c>
    </row>
    <row r="31" customFormat="false" ht="15" hidden="false" customHeight="false" outlineLevel="0" collapsed="false">
      <c r="A31" s="0" t="s">
        <v>122</v>
      </c>
      <c r="B31" s="0" t="n">
        <f aca="false">L19</f>
        <v>3186.96831688302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72946.1636975447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63739.3663376604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63739.3663376604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30925.9535408156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48941.5052215088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41571.5052215088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21.6180474370821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0.209063055765217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941.074950698215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1692.81518017311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22.9877250922414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27354.8113865793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6.34530883534255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2" t="s">
        <v>139</v>
      </c>
      <c r="B3" s="2" t="s">
        <v>140</v>
      </c>
      <c r="C3" s="2" t="s">
        <v>130</v>
      </c>
      <c r="D3" s="2" t="s">
        <v>141</v>
      </c>
      <c r="E3" s="2" t="s">
        <v>133</v>
      </c>
      <c r="F3" s="2" t="s">
        <v>142</v>
      </c>
    </row>
    <row r="4" customFormat="false" ht="15" hidden="false" customHeight="false" outlineLevel="0" collapsed="false">
      <c r="A4" s="0" t="s">
        <v>143</v>
      </c>
      <c r="B4" s="4" t="n">
        <f aca="false">DCF_Bear!$B$38</f>
        <v>9.55882676405387</v>
      </c>
      <c r="C4" s="0" t="n">
        <f aca="false">B4/Assumptions!$B$2-1</f>
        <v>-0.46539000201041</v>
      </c>
      <c r="D4" s="4" t="n">
        <f aca="false">Assumptions!$B$24</f>
        <v>0.25</v>
      </c>
      <c r="E4" s="4" t="n">
        <f aca="false">DCF_Bear!$B$43</f>
        <v>10.7812939877809</v>
      </c>
      <c r="F4" s="4" t="n">
        <f aca="false">DCF_Bear!$B$47</f>
        <v>2.64362787996569</v>
      </c>
    </row>
    <row r="5" customFormat="false" ht="15" hidden="false" customHeight="false" outlineLevel="0" collapsed="false">
      <c r="A5" s="0" t="s">
        <v>144</v>
      </c>
      <c r="B5" s="4" t="n">
        <f aca="false">DCF_Base!$B$38</f>
        <v>16.5174948252879</v>
      </c>
      <c r="C5" s="0" t="n">
        <f aca="false">B5/Assumptions!$B$2-1</f>
        <v>-0.0762027502635394</v>
      </c>
      <c r="D5" s="4" t="n">
        <f aca="false">Assumptions!$B$38</f>
        <v>0.5</v>
      </c>
      <c r="E5" s="4" t="n">
        <f aca="false">DCF_Base!$B$43</f>
        <v>17.8086291017461</v>
      </c>
      <c r="F5" s="4" t="n">
        <f aca="false">DCF_Base!$B$47</f>
        <v>4.85226813800806</v>
      </c>
    </row>
    <row r="6" customFormat="false" ht="15" hidden="false" customHeight="false" outlineLevel="0" collapsed="false">
      <c r="A6" s="0" t="s">
        <v>145</v>
      </c>
      <c r="B6" s="4" t="n">
        <f aca="false">DCF_Bull!$B$38</f>
        <v>21.6180474370821</v>
      </c>
      <c r="C6" s="0" t="n">
        <f aca="false">B6/Assumptions!$B$2-1</f>
        <v>0.209063055765217</v>
      </c>
      <c r="D6" s="4" t="n">
        <f aca="false">Assumptions!$B$52</f>
        <v>0.25</v>
      </c>
      <c r="E6" s="4" t="n">
        <f aca="false">DCF_Bull!$B$43</f>
        <v>22.9877250922414</v>
      </c>
      <c r="F6" s="4" t="n">
        <f aca="false">DCF_Bull!$B$47</f>
        <v>6.34530883534255</v>
      </c>
    </row>
    <row r="8" customFormat="false" ht="15" hidden="false" customHeight="false" outlineLevel="0" collapsed="false">
      <c r="A8" s="0" t="s">
        <v>146</v>
      </c>
      <c r="B8" s="0" t="n">
        <f aca="false">SUMPRODUCT(B4:B6,D4:D6)</f>
        <v>16.0529659629279</v>
      </c>
    </row>
    <row r="9" customFormat="false" ht="15" hidden="false" customHeight="false" outlineLevel="0" collapsed="false">
      <c r="A9" s="0" t="s">
        <v>147</v>
      </c>
      <c r="B9" s="0" t="n">
        <f aca="false">SUMPRODUCT(E4:E6,D4:D6)</f>
        <v>17.3465693208786</v>
      </c>
    </row>
    <row r="10" customFormat="false" ht="15" hidden="false" customHeight="false" outlineLevel="0" collapsed="false">
      <c r="A10" s="0" t="s">
        <v>148</v>
      </c>
      <c r="B10" s="0" t="n">
        <f aca="false">1-Assumptions!$B$2/B8</f>
        <v>-0.113812864319985</v>
      </c>
    </row>
    <row r="11" customFormat="false" ht="15" hidden="false" customHeight="false" outlineLevel="0" collapsed="false">
      <c r="A11" s="0" t="s">
        <v>149</v>
      </c>
      <c r="B11" s="0" t="n">
        <f aca="false">IF(ABS(B9-B8)&gt;0.01*ABS(B8),(Assumptions!$B$2-B8)/(B9-B8)*100,"n/a")</f>
        <v>141.236030800544</v>
      </c>
    </row>
    <row r="12" customFormat="false" ht="15" hidden="false" customHeight="false" outlineLevel="0" collapsed="false">
      <c r="A12" s="0" t="s">
        <v>150</v>
      </c>
      <c r="B12" s="0" t="n">
        <f aca="false">SUMPRODUCT(F4:F6,D4:D6)</f>
        <v>4.67336824783109</v>
      </c>
    </row>
    <row r="14" customFormat="false" ht="15" hidden="false" customHeight="false" outlineLevel="0" collapsed="false">
      <c r="A14" s="2" t="s">
        <v>151</v>
      </c>
      <c r="C14" s="0" t="s">
        <v>152</v>
      </c>
    </row>
    <row r="15" customFormat="false" ht="15" hidden="false" customHeight="false" outlineLevel="0" collapsed="false">
      <c r="A15" s="0" t="s">
        <v>153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16.5174948252879</v>
      </c>
      <c r="C15" s="3" t="n">
        <v>7.5</v>
      </c>
    </row>
    <row r="16" customFormat="false" ht="15" hidden="false" customHeight="false" outlineLevel="0" collapsed="false">
      <c r="A16" s="0" t="s">
        <v>154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13.0655061596733</v>
      </c>
      <c r="C16" s="3" t="n">
        <v>9</v>
      </c>
    </row>
    <row r="17" customFormat="false" ht="15" hidden="false" customHeight="false" outlineLevel="0" collapsed="false">
      <c r="A17" s="0" t="s">
        <v>155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10.7815604289471</v>
      </c>
      <c r="C17" s="3" t="n">
        <v>10</v>
      </c>
    </row>
    <row r="18" customFormat="false" ht="15" hidden="false" customHeight="false" outlineLevel="0" collapsed="false">
      <c r="A18" s="0" t="s">
        <v>156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9.03594653209122</v>
      </c>
      <c r="C18" s="3" t="n">
        <v>11</v>
      </c>
    </row>
    <row r="19" customFormat="false" ht="15" hidden="false" customHeight="false" outlineLevel="0" collapsed="false">
      <c r="A19" s="0" t="s">
        <v>157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7.65862736159726</v>
      </c>
      <c r="C19" s="3" t="n">
        <v>12</v>
      </c>
    </row>
    <row r="20" customFormat="false" ht="15" hidden="false" customHeight="false" outlineLevel="0" collapsed="false">
      <c r="A20" s="0" t="s">
        <v>158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4.85226813800806</v>
      </c>
      <c r="C20" s="3" t="n">
        <v>15</v>
      </c>
    </row>
    <row r="22" customFormat="false" ht="15" hidden="false" customHeight="false" outlineLevel="0" collapsed="false">
      <c r="A22" s="2" t="s">
        <v>159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19.886075122513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19.886075122513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19.886075122513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19.886075122513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19.886075122513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18.1212488569194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18.1212488569194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18.1212488569194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18.1212488569194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18.1212488569194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15.7851488320716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16.5174948252879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16.5174948252879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16.5174948252879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16.5174948252879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12.9015648865474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13.6362983328019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14.4934873534321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15.058363067488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15.058363067488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10.7424998790925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11.2555154270032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11.8418189103298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12.5183229295528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13.3075776186462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2026-09-28T22:38:36Z</dcterms:created>
  <dc:creator>openpyxl</dc:creator>
  <dc:description/>
  <dc:language>en-NZ</dc:language>
  <cp:lastModifiedBy/>
  <dcterms:modified xsi:type="dcterms:W3CDTF">2026-09-28T22:38:36Z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