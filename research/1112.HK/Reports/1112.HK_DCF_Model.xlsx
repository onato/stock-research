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<sst xmlns="http://schemas.openxmlformats.org/spreadsheetml/2006/main" count="353" uniqueCount="164">
  <si>
    <t xml:space="preserve">Ticker</t>
  </si>
  <si>
    <t xml:space="preserve">1112.HK</t>
  </si>
  <si>
    <t xml:space="preserve">Company</t>
  </si>
  <si>
    <t xml:space="preserve">Health and Happiness (H&amp;H) International Holdings Limited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</si>
  <si>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</si>
  <si>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</si>
  <si>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</si>
  <si>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</si>
  <si>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(HKEX regular close, Friday; the stock went ex the HKD0.82 interim dividend on 16 Sep 2026 so the price already excludes it)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</si>
  <si>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</si>
  <si>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</si>
  <si>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</si>
  <si>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</si>
  <si>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</si>
  <si>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</si>
  <si>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</si>
  <si>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</si>
  <si>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</si>
  <si>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</si>
  <si>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</si>
  <si>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</si>
  <si>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</si>
  <si>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2026-10-11T17:33:20Z</t>
  </si>
  <si>
    <t xml:space="preserve">Drivers file</t>
  </si>
  <si>
    <t xml:space="preserve">1112.HK_Drivers.json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</si>
  <si>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</si>
  <si>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</si>
  <si>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</si>
  <si>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unlevered owner cash flow of the three nutrition brands in RMB at a CNY-built WACC, charge SBC, lease cash and full cash tax in the flows, and let deleveraging show up only through the 30 June 2026 net-debt bridge. Keep the margin path below the H1 FY2026 spike and haircut for recurring 'one-offs'; charge the ATO dispute once, as an expected-value bridge item, and carry operating/leverage risk in the scenario paths and a 30% bear weight rather than in a scenario-specific WACC. Convert per-share RMB values to HKD at the dated spot rate. SANITY NORMALISATION: the first build's base case extrapolated the LTM owner FCF of RMB2.11bn, 1.5x the FY2018-25 median, and sanity_check.py tripped on implied P/E. The base is therefore rebuilt on mid-cycle owner FCF (RMB1,756m, the midpoint of the historical median and the LTM, via a 15.75% -&gt; 16.5% adjusted EBITDA margin path instead of 17.5% -&gt; 18%), bull on LTM x 0.85 and bear on median x 0.75, and every scenario carries an EV/EBITDA exit-multiple cap from the stock's own 10-year range (7.62x / 12.13x / 19.19x), under which the retained 12x / 15x / 15x owner-FCF terminal caps (~7.4x / 10.1x / 10.3x EBITDA) are the binding constraint. Iteration 2 of the sanity fix raised the WACC from 9.0% to 10.0% in all scenarios (market cost of the 9.125% notes, relevered beta, HK small/mid-cap premium), at which point Gordon growth binds below every cap (terminal ~9.2x / 10.1x / 7.3x EBITDA).
key_risks_to_valuation: ATO transfer-pricing dispute: a full loss (~AUD320m further, incl. accruing interest) is ~HKD2.0/share worse than the probability-weighted bridge; a win adds ~HKD0.9/share (deposit refund).; Leverage and refinancing: RMB7.9bn gross debt incl. swaps against ~RMB2.8bn adjusted EBITDA; a credit-market shock or covenant breach is a path to dilution not modelled in the flat share count.; China demand and channel concentration: 71% of revenue from the Chinese mainland, 82% of China ANC via cross-border e-commerce; platform fee/algorithm changes or weaker consumer confidence hit Swisse directly.; IMF structural decline: Biostime's share gains (20.6% super-premium) run against a birth cohort near multi-decade lows; the base case assumes share gains only partly offset volume decline.; Margin sustainability: H1 FY2026's 21.8% adjusted EBITDA margin included marketing phasing; the model assumes a mid-cycle 15.75-16.5%, and every 1pp of long-run margin is ~HKD3.5-4/share of base value.; Adjusted-earnings quality: 'one-time' restructuring, consulting and impairment items recur most years; the mid-cycle margin normalisation (rather than a separate haircut) is the allowance, and reported FY2025 net income was only RMB196m against RMB2.05bn of adjusted EBITDA.; FX: RMB values are converted at a dated CNY/HKD rate; a 5% RMB move shifts every HKD per-share figure by 5%.
sanity_normalization: trigger: sanity_check.py 2026-10-11: implied P/E 171.8x vs 2x the 10yr average 30.1x; diagnosis peak_fcf (LTM owner FCF 2,112.3 = 1.51x historical median 1,399.6).
fix: Iteration 1: mid-cycle FCF base (inputs.mid_cycle_fcf) and EV/EBITDA exit-multiple cap per scenario (exit_multiple_cap), per research-stock skill Step 8c.5 (weighted IV HKD45.99 -&gt; 40.08). Iteration 2: WACC 9.0% -&gt; 10.0% in all scenarios (inputs.wacc_rationale).
caveat: The P/E rule divides by FY2025 reported net income (RMB196m after RMB560m+ of interest, FX/derivative losses and impairments). The market price is itself ~57x that figure; clearing 2x the 10yr average (~60x) would need an IV at or below ~HKD16, so the P/E rule is a trough-earnings artefact here and P/B, EV/EBITDA and P/S are the meaningful multiples checks. The valuation should still be read as sensitive to the margin path: every 1pp of long-run adjusted EBITDA margin is ~HKD3.5-4/share of base value.
dashboard_banner: Base case normalised to mid-cycle owner FCF (RMB1.76bn vs RMB2.11bn LTM) and WACC raised to 10% after a sanity-check trip on peak-earnings extrapolation; terminal values at ~9-10x adjusted EBITDA (bear ~7.3x), inside the stock's own 10-year EV/EBITDA range. Implied P/E remains high because FY2025 earnings were a trough (interest, FX losses, impairments).</t>
  </si>
  <si>
    <t xml:space="preserve">Data sources</t>
  </si>
  <si>
    <t xml:space="preserve">price: Yahoo Finance chart API (query1.finance.yahoo.com, 1112.HK) at inputs.price_as_of; 52-week range 10.10-20.74 HKD. FX CNYHKD=X and AUDCNY=X from the same API, same timestamp.
financials: research/1112.HK/Reports/1112.HK_Metrics.csv (FY2018-FY2025 annual, H1 FY2023-H1 FY2026 interim; export of core_metrics) and the kpis table; anchors read directly from 1112.HK_HalfYear_H1-2026.txt (balance sheet lines 1880-1942, cash flow 2040-2117, adjusted EBITDA reconciliation 777-800, net debt table 938-946, diluted shares 2675, option tables 1300-1334 and 1411-1434, ATO update 996-1046) and 1112.HK_Annual_FY2025.txt (adjusted EBITDA reconciliation 798-831, finance costs 843-855, tax 857-867, outlook 445-483, cash flow 4365-4417).
qualitative: research/1112.HK/Reports/1112.HK_Analysis.json (2026-10-12): business model, segment mix, growth drivers, risks, guidance and bull/bear points.</t>
  </si>
  <si>
    <t xml:space="preserve">Scenario narrative: bear</t>
  </si>
  <si>
    <t xml:space="preserve">H1 FY2026 is read as a low-base restocking spike rather than a step-change. Chinese consumer spending softens, cross-border e-commerce and Douyin competition raise Swisse's acquisition costs, the IMF market shrinks faster than Biostime gains share, PNC China localisation drags beyond 2026 and Europe/Solid Gold take further write-downs. Revenue +4% then -2% / -1% before resuming 2% growth; margin falls from 12.5% to 11% (the FY2023 trough), holding owner FCF at ~RMB1.1-1.3bn, roughly the historical median x 0.75; cash tax 30% with unrelieved overseas losses; terminal cap 12x at 1.5% growth. The balance sheet survives this path (net leverage would re-widen toward ~4-5x at RMB1.1-1.3bn of owner FCF against RMB5.9bn net debt, making the 2028 notes refinancing the binding constraint) but equity value compresses. A full ATO loss (~RMB1.5bn incl. accruing interest) would subtract a further ~HKD2.0/share beyond what the weighted bridge item already deducts.</t>
  </si>
  <si>
    <t xml:space="preserve">Scenario narrative: base</t>
  </si>
  <si>
    <t xml:space="preserve">H&amp;H is a branded consumer-health company whose cash flows have been obscured for four years by refinancing costs, FX/derivative swings and acquisition write-downs rather than by weak operations: adjusted EBITDA never fell below RMB1.9bn even in the FY2024 loss year. The base case assumes the FY2025-26 recovery is real but that H1 FY2026's 21.8% margin is not the run-rate: revenue grows 10% in the twelve months to Jun-2027 (H2 2026 marketing step-up, tough H1 2027 comp) then decelerates to 2.5% as Biostime's super-premium share gains (17.1% -&gt; 20.6%) are offset by China's shrinking birth cohort and Swisse's Douyin growth normalises; adjusted EBITDA margin is normalised to mid-cycle: 15.75% in year 1 (so that year-1 owner FCF of ~RMB1.79bn equals the mid-cycle figure of RMB1,756m, the midpoint of the FY2018-25 median and the LTM) rising to 16.5%, the FY2018-LTM median margin, which also absorbs the 'one-time' items that recur most years. Cash tax 28% -&gt; 27% on unlevered EBIT, lease cash charged in the flows, acquired-intangible amortisation given no tax shield. Deleveraging (3.99x -&gt; 2.05x) accrues to equity through the net-debt bridge, not through the flows. The ATO dispute is carried at a probability-weighted -RMB380m and the two declared dividends paid after the balance-sheet date are deducted. WACC 10.0% after sanity iteration 2 (9.0% in the first build).</t>
  </si>
  <si>
    <t xml:space="preserve">Scenario narrative: bull</t>
  </si>
  <si>
    <t xml:space="preserve">The axes that have to go right together: (1) Swisse keeps compounding in China through sub-brand extensions and Douyin/new-retail penetration, (2) Biostime's super-premium share climbs past 20% fast enough to outrun a falling birth cohort, (3) Zesty Paws/Solid Gold scale profitably in North America and China once localisation completes, and (4) expansion markets replicate the Singapore/Hong Kong playbook. Operating leverage and supplement mix lift the adjusted EBITDA margin from 17.0% in year 1 (owner FCF ~RMB2.03bn, the LTM x 0.85 anchor grown one year) to 18.5%, the LTM level, no longer the 20% of FY2018-2020; growth runs 14% / 10% / 8% then fades to 3%. Terminal growth 3.0%, same 15x cap and 10.0% WACC (Gordon at 14.7x binds).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</si>
  <si>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</si>
  <si>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</si>
  <si>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</si>
  <si>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</si>
  <si>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</si>
  <si>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</si>
  <si>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</si>
  <si>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</si>
  <si>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</si>
  <si>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</si>
  <si>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</si>
  <si>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</si>
  <si>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</si>
  <si>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</si>
  <si>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</si>
  <si>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</si>
  <si>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</si>
  <si>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</si>
  <si>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</si>
  <si>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</si>
  <si>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</si>
  <si>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</si>
  <si>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</si>
  <si>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</si>
  <si>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</si>
  <si>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</si>
  <si>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</si>
  <si>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</si>
  <si>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</si>
  <si>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</si>
  <si>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</si>
  <si>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</si>
  <si>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</si>
  <si>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</si>
  <si>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</si>
  <si>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</si>
  <si>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</si>
  <si>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</si>
  <si>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</si>
  <si>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</si>
  <si>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</si>
  <si>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</si>
  <si>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</si>
  <si>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</si>
  <si>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LTM-Jun-2026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</si>
  <si>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</si>
  <si>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</si>
  <si>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</si>
  <si>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</si>
  <si>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LTM-Jun-2027</t>
  </si>
  <si>
    <t xml:space="preserve">LTM-Jun-2028</t>
  </si>
  <si>
    <t xml:space="preserve">LTM-Jun-2029</t>
  </si>
  <si>
    <t xml:space="preserve">LTM-Jun-2030</t>
  </si>
  <si>
    <t xml:space="preserve">LTM-Jun-2031</t>
  </si>
  <si>
    <t xml:space="preserve">LTM-Jun-2032</t>
  </si>
  <si>
    <t xml:space="preserve">LTM-Jun-2033</t>
  </si>
  <si>
    <t xml:space="preserve">LTM-Jun-2034</t>
  </si>
  <si>
    <t xml:space="preserve">LTM-Jun-2035</t>
  </si>
  <si>
    <t xml:space="preserve">LTM-Jun-2036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</si>
  <si>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</si>
  <si>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</si>
  <si>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</si>
  <si>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</si>
  <si>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</si>
  <si>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</si>
  <si>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</si>
  <si>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</si>
  <si>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</si>
  <si>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</si>
  <si>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</si>
  <si>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</si>
  <si>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</si>
  <si>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</si>
  <si>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1112.HK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</si>
  <si>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</si>
  <si>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</si>
  <si>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</si>
  <si>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</si>
  <si>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</si>
  <si>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</si>
  <si>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</si>
  <si>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</si>
  <si>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</si>
  <si>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</si>
  <si>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</si>
  <si>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</si>
  <si>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</si>
  <si>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</si>
  <si>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</si>
  <si>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</si>
  <si>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</si>
  <si>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</si>
  <si>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</si>
  <si>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</si>
  <si>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</si>
  <si>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</si>
  <si>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</si>
  <si>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</si>
  <si>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</si>
  <si>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</si>
  <si>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</si>
  <si>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</si>
  <si>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</si>
  <si>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</si>
  <si>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1112.HK owner-FCF component DCF: base case (millions, CNY)</t>
  </si>
  <si>
    <t xml:space="preserve">1112.HK owner-FCF component DCF: bull case (millions, CNY)</t>
  </si>
  <si>
    <t xml:space="preserve">1112.HK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</si>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</sst>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20.28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68.6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10132.498</v>
      </c>
      <c r="C2" s="0" t="n">
        <v>3392.778</v>
      </c>
      <c r="D2" s="0" t="n">
        <v>6739.72</v>
      </c>
      <c r="E2" s="0" t="n">
        <v>66.5</v>
      </c>
      <c r="F2" s="0" t="n">
        <v>2006.001</v>
      </c>
      <c r="G2" s="0" t="n">
        <v>19.8</v>
      </c>
      <c r="H2" s="0" t="n">
        <v>2181.382</v>
      </c>
      <c r="I2" s="0" t="n">
        <v>843.148</v>
      </c>
      <c r="J2" s="0" t="n">
        <v>8.3</v>
      </c>
      <c r="K2" s="0" t="n">
        <v>1.3</v>
      </c>
      <c r="L2" s="0" t="n">
        <v>1697.212</v>
      </c>
      <c r="M2" s="0" t="n">
        <v>82.114</v>
      </c>
      <c r="N2" s="0" t="n">
        <v>1615.098</v>
      </c>
      <c r="O2" s="0" t="n">
        <v>4849.547</v>
      </c>
      <c r="P2" s="0" t="n">
        <v>14854.587</v>
      </c>
      <c r="Q2" s="0" t="n">
        <v>10005.04</v>
      </c>
      <c r="R2" s="0" t="n">
        <v>5966.936</v>
      </c>
      <c r="S2" s="0" t="n">
        <v>1912.394</v>
      </c>
      <c r="T2" s="0" t="n">
        <v>650.218</v>
      </c>
      <c r="U2" s="0" t="n">
        <v>71.854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10925.217</v>
      </c>
      <c r="C3" s="0" t="n">
        <v>3696.676</v>
      </c>
      <c r="D3" s="0" t="n">
        <v>7228.541</v>
      </c>
      <c r="E3" s="0" t="n">
        <v>66.2</v>
      </c>
      <c r="F3" s="0" t="n">
        <v>1979.477</v>
      </c>
      <c r="G3" s="0" t="n">
        <v>18.1</v>
      </c>
      <c r="H3" s="0" t="n">
        <v>2235.904</v>
      </c>
      <c r="I3" s="0" t="n">
        <v>1005.049</v>
      </c>
      <c r="J3" s="0" t="n">
        <v>9.2</v>
      </c>
      <c r="K3" s="0" t="n">
        <v>1.55</v>
      </c>
      <c r="L3" s="0" t="n">
        <v>1439.243</v>
      </c>
      <c r="M3" s="0" t="n">
        <v>132.687</v>
      </c>
      <c r="N3" s="0" t="n">
        <v>1306.556</v>
      </c>
      <c r="O3" s="0" t="n">
        <v>5593.806</v>
      </c>
      <c r="P3" s="0" t="n">
        <v>15861.373</v>
      </c>
      <c r="Q3" s="0" t="n">
        <v>10267.567</v>
      </c>
      <c r="R3" s="0" t="n">
        <v>5876.342</v>
      </c>
      <c r="S3" s="0" t="n">
        <v>2217.335</v>
      </c>
      <c r="T3" s="0" t="n">
        <v>648.069</v>
      </c>
      <c r="U3" s="0" t="n">
        <v>57.525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11194.679</v>
      </c>
      <c r="C4" s="0" t="n">
        <v>4007.688</v>
      </c>
      <c r="D4" s="0" t="n">
        <v>7186.991</v>
      </c>
      <c r="E4" s="0" t="n">
        <v>64.2</v>
      </c>
      <c r="F4" s="0" t="n">
        <v>1882.796</v>
      </c>
      <c r="G4" s="0" t="n">
        <v>16.8</v>
      </c>
      <c r="H4" s="0" t="n">
        <v>2167.043</v>
      </c>
      <c r="I4" s="0" t="n">
        <v>1136.694</v>
      </c>
      <c r="J4" s="0" t="n">
        <v>10.2</v>
      </c>
      <c r="K4" s="0" t="n">
        <v>1.76</v>
      </c>
      <c r="L4" s="0" t="n">
        <v>1532.552</v>
      </c>
      <c r="M4" s="0" t="n">
        <v>106.497</v>
      </c>
      <c r="N4" s="0" t="n">
        <v>1426.055</v>
      </c>
      <c r="O4" s="0" t="n">
        <v>6202.687</v>
      </c>
      <c r="P4" s="0" t="n">
        <v>17218.425</v>
      </c>
      <c r="Q4" s="0" t="n">
        <v>11015.738</v>
      </c>
      <c r="R4" s="0" t="n">
        <v>6024.352</v>
      </c>
      <c r="S4" s="0" t="n">
        <v>1830.873</v>
      </c>
      <c r="T4" s="0" t="n">
        <v>646.563</v>
      </c>
      <c r="U4" s="0" t="n">
        <v>48.46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11547.825</v>
      </c>
      <c r="C5" s="0" t="n">
        <v>4299.843</v>
      </c>
      <c r="D5" s="0" t="n">
        <v>7247.982</v>
      </c>
      <c r="E5" s="0" t="n">
        <v>62.8</v>
      </c>
      <c r="F5" s="0" t="n">
        <v>1134.424</v>
      </c>
      <c r="G5" s="0" t="n">
        <v>9.8</v>
      </c>
      <c r="H5" s="0" t="n">
        <v>1439.899</v>
      </c>
      <c r="I5" s="0" t="n">
        <v>508.484</v>
      </c>
      <c r="J5" s="0" t="n">
        <v>4.4</v>
      </c>
      <c r="K5" s="0" t="n">
        <v>0.79</v>
      </c>
      <c r="L5" s="0" t="n">
        <v>1890.08</v>
      </c>
      <c r="M5" s="0" t="n">
        <v>106.594</v>
      </c>
      <c r="N5" s="0" t="n">
        <v>1783.486</v>
      </c>
      <c r="O5" s="0" t="n">
        <v>5885.186</v>
      </c>
      <c r="P5" s="0" t="n">
        <v>20281.747</v>
      </c>
      <c r="Q5" s="0" t="n">
        <v>14396.561</v>
      </c>
      <c r="R5" s="0" t="n">
        <v>9375.283</v>
      </c>
      <c r="S5" s="0" t="n">
        <v>2400.07</v>
      </c>
      <c r="T5" s="0" t="n">
        <v>645.672</v>
      </c>
      <c r="U5" s="0" t="n">
        <v>42.45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12775.914</v>
      </c>
      <c r="C6" s="0" t="n">
        <v>5072.426</v>
      </c>
      <c r="D6" s="0" t="n">
        <v>7703.488</v>
      </c>
      <c r="E6" s="0" t="n">
        <v>60.3</v>
      </c>
      <c r="F6" s="0" t="n">
        <v>1578.223</v>
      </c>
      <c r="G6" s="0" t="n">
        <v>12.4</v>
      </c>
      <c r="H6" s="0" t="n">
        <v>1889.506</v>
      </c>
      <c r="I6" s="0" t="n">
        <v>611.783</v>
      </c>
      <c r="J6" s="0" t="n">
        <v>4.8</v>
      </c>
      <c r="K6" s="0" t="n">
        <v>0.95</v>
      </c>
      <c r="L6" s="0" t="n">
        <v>1469.313</v>
      </c>
      <c r="M6" s="0" t="n">
        <v>96.251</v>
      </c>
      <c r="N6" s="0" t="n">
        <v>1373.062</v>
      </c>
      <c r="O6" s="0" t="n">
        <v>6141.853</v>
      </c>
      <c r="P6" s="0" t="n">
        <v>20963.025</v>
      </c>
      <c r="Q6" s="0" t="n">
        <v>14821.172</v>
      </c>
      <c r="R6" s="0" t="n">
        <v>9568.292</v>
      </c>
      <c r="S6" s="0" t="n">
        <v>2303.66</v>
      </c>
      <c r="T6" s="0" t="n">
        <v>644.323</v>
      </c>
      <c r="U6" s="0" t="n">
        <v>-44.542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13926.47</v>
      </c>
      <c r="C7" s="0" t="n">
        <v>5632.214</v>
      </c>
      <c r="D7" s="0" t="n">
        <v>8294.256</v>
      </c>
      <c r="E7" s="0" t="n">
        <v>59.6</v>
      </c>
      <c r="F7" s="0" t="n">
        <v>1724.276</v>
      </c>
      <c r="G7" s="0" t="n">
        <v>12.4</v>
      </c>
      <c r="H7" s="0" t="n">
        <v>2026.529</v>
      </c>
      <c r="I7" s="0" t="n">
        <v>581.845</v>
      </c>
      <c r="J7" s="0" t="n">
        <v>4.2</v>
      </c>
      <c r="K7" s="0" t="n">
        <v>0.9</v>
      </c>
      <c r="L7" s="0" t="n">
        <v>1096.819</v>
      </c>
      <c r="M7" s="0" t="n">
        <v>90.975</v>
      </c>
      <c r="N7" s="0" t="n">
        <v>1005.844</v>
      </c>
      <c r="O7" s="0" t="n">
        <v>6295.224</v>
      </c>
      <c r="P7" s="0" t="n">
        <v>20041.97</v>
      </c>
      <c r="Q7" s="0" t="n">
        <v>13746.746</v>
      </c>
      <c r="R7" s="0" t="n">
        <v>9115.495</v>
      </c>
      <c r="S7" s="0" t="n">
        <v>1364.283</v>
      </c>
      <c r="T7" s="0" t="n">
        <v>644.867</v>
      </c>
      <c r="U7" s="0" t="n">
        <v>-3.788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13051.708</v>
      </c>
      <c r="C8" s="0" t="n">
        <v>5136.196</v>
      </c>
      <c r="D8" s="0" t="n">
        <v>7915.512</v>
      </c>
      <c r="E8" s="0" t="n">
        <v>60.6</v>
      </c>
      <c r="F8" s="0" t="n">
        <v>1140.443</v>
      </c>
      <c r="G8" s="0" t="n">
        <v>8.7</v>
      </c>
      <c r="H8" s="0" t="n">
        <v>1441.435</v>
      </c>
      <c r="I8" s="0" t="n">
        <v>-53.721</v>
      </c>
      <c r="J8" s="0" t="n">
        <v>-0.4</v>
      </c>
      <c r="K8" s="0" t="n">
        <v>-0.08</v>
      </c>
      <c r="L8" s="0" t="n">
        <v>1346.423</v>
      </c>
      <c r="M8" s="0" t="n">
        <v>97.308</v>
      </c>
      <c r="N8" s="0" t="n">
        <v>1249.115</v>
      </c>
      <c r="O8" s="0" t="n">
        <v>5813.371</v>
      </c>
      <c r="P8" s="0" t="n">
        <v>18842.422</v>
      </c>
      <c r="Q8" s="0" t="n">
        <v>13029.051</v>
      </c>
      <c r="R8" s="0" t="n">
        <v>9284.959</v>
      </c>
      <c r="S8" s="0" t="n">
        <v>1603.92</v>
      </c>
      <c r="T8" s="0" t="n">
        <v>641.275</v>
      </c>
      <c r="U8" s="0" t="n">
        <v>-4.292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14353.571</v>
      </c>
      <c r="C9" s="0" t="n">
        <v>5389.858</v>
      </c>
      <c r="D9" s="0" t="n">
        <v>8963.713</v>
      </c>
      <c r="E9" s="0" t="n">
        <v>62.4</v>
      </c>
      <c r="F9" s="0" t="n">
        <v>1493.739</v>
      </c>
      <c r="G9" s="0" t="n">
        <v>10.4</v>
      </c>
      <c r="H9" s="0" t="n">
        <v>1804.941</v>
      </c>
      <c r="I9" s="0" t="n">
        <v>196.14</v>
      </c>
      <c r="J9" s="0" t="n">
        <v>1.4</v>
      </c>
      <c r="K9" s="0" t="n">
        <v>0.31</v>
      </c>
      <c r="L9" s="0" t="n">
        <v>1536.81</v>
      </c>
      <c r="M9" s="0" t="n">
        <v>94.357</v>
      </c>
      <c r="N9" s="0" t="n">
        <v>1442.453</v>
      </c>
      <c r="O9" s="0" t="n">
        <v>5990.862</v>
      </c>
      <c r="P9" s="0" t="n">
        <v>19403.524</v>
      </c>
      <c r="Q9" s="0" t="n">
        <v>13412.662</v>
      </c>
      <c r="R9" s="0" t="n">
        <v>8894.122</v>
      </c>
      <c r="S9" s="0" t="n">
        <v>1669.001</v>
      </c>
      <c r="T9" s="0" t="n">
        <v>641.779</v>
      </c>
      <c r="U9" s="0" t="n">
        <v>1.119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20.28</v>
      </c>
    </row>
    <row r="3" customFormat="false" ht="15" hidden="false" customHeight="false" outlineLevel="0" collapsed="false">
      <c r="A3" s="0" t="s">
        <v>75</v>
      </c>
      <c r="B3" s="3" t="n">
        <v>646</v>
      </c>
    </row>
    <row r="4" customFormat="false" ht="15" hidden="false" customHeight="false" outlineLevel="0" collapsed="false">
      <c r="A4" s="0" t="s">
        <v>76</v>
      </c>
      <c r="B4" s="3" t="n">
        <v>5941.3</v>
      </c>
    </row>
    <row r="5" customFormat="false" ht="15" hidden="false" customHeight="false" outlineLevel="0" collapsed="false">
      <c r="A5" s="0" t="s">
        <v>77</v>
      </c>
      <c r="B5" s="3" t="n">
        <v>-716.9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16030.3</v>
      </c>
    </row>
    <row r="8" customFormat="false" ht="15" hidden="false" customHeight="false" outlineLevel="0" collapsed="false">
      <c r="A8" s="0" t="s">
        <v>80</v>
      </c>
      <c r="B8" s="3" t="s">
        <v>81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1.1722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4</v>
      </c>
      <c r="D13" s="3" t="n">
        <v>-2</v>
      </c>
      <c r="E13" s="3" t="n">
        <v>-1</v>
      </c>
      <c r="F13" s="3" t="n">
        <v>1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12.5</v>
      </c>
      <c r="D14" s="3" t="n">
        <v>11.5</v>
      </c>
      <c r="E14" s="3" t="n">
        <v>11</v>
      </c>
      <c r="F14" s="3" t="n">
        <v>11</v>
      </c>
      <c r="G14" s="3" t="n">
        <v>11</v>
      </c>
      <c r="H14" s="3" t="n">
        <v>11</v>
      </c>
      <c r="I14" s="3" t="n">
        <v>11</v>
      </c>
      <c r="J14" s="3" t="n">
        <v>11</v>
      </c>
      <c r="K14" s="3" t="n">
        <v>11</v>
      </c>
      <c r="L14" s="3" t="n">
        <v>11</v>
      </c>
    </row>
    <row r="15" customFormat="false" ht="15" hidden="false" customHeight="false" outlineLevel="0" collapsed="false">
      <c r="A15" s="0" t="s">
        <v>98</v>
      </c>
      <c r="C15" s="3" t="n">
        <v>0.2</v>
      </c>
      <c r="D15" s="3" t="n">
        <v>0.2</v>
      </c>
      <c r="E15" s="3" t="n">
        <v>0.2</v>
      </c>
      <c r="F15" s="3" t="n">
        <v>0.2</v>
      </c>
      <c r="G15" s="3" t="n">
        <v>0.2</v>
      </c>
      <c r="H15" s="3" t="n">
        <v>0.15</v>
      </c>
      <c r="I15" s="3" t="n">
        <v>0.15</v>
      </c>
      <c r="J15" s="3" t="n">
        <v>0.15</v>
      </c>
      <c r="K15" s="3" t="n">
        <v>0.15</v>
      </c>
      <c r="L15" s="3" t="n">
        <v>0.15</v>
      </c>
    </row>
    <row r="16" customFormat="false" ht="15" hidden="false" customHeight="false" outlineLevel="0" collapsed="false">
      <c r="A16" s="0" t="s">
        <v>99</v>
      </c>
      <c r="C16" s="3" t="n">
        <v>0.35</v>
      </c>
      <c r="D16" s="3" t="n">
        <v>0.35</v>
      </c>
      <c r="E16" s="3" t="n">
        <v>0.35</v>
      </c>
      <c r="F16" s="3" t="n">
        <v>0.35</v>
      </c>
      <c r="G16" s="3" t="n">
        <v>0.35</v>
      </c>
      <c r="H16" s="3" t="n">
        <v>0.35</v>
      </c>
      <c r="I16" s="3" t="n">
        <v>0.35</v>
      </c>
      <c r="J16" s="3" t="n">
        <v>0.35</v>
      </c>
      <c r="K16" s="3" t="n">
        <v>0.35</v>
      </c>
      <c r="L16" s="3" t="n">
        <v>0.35</v>
      </c>
    </row>
    <row r="17" customFormat="false" ht="15" hidden="false" customHeight="false" outlineLevel="0" collapsed="false">
      <c r="A17" s="0" t="s">
        <v>100</v>
      </c>
      <c r="C17" s="3" t="n">
        <v>0.6</v>
      </c>
      <c r="D17" s="3" t="n">
        <v>0.6</v>
      </c>
      <c r="E17" s="3" t="n">
        <v>0.6</v>
      </c>
      <c r="F17" s="3" t="n">
        <v>0.6</v>
      </c>
      <c r="G17" s="3" t="n">
        <v>0.6</v>
      </c>
      <c r="H17" s="3" t="n">
        <v>0.6</v>
      </c>
      <c r="I17" s="3" t="n">
        <v>0.6</v>
      </c>
      <c r="J17" s="3" t="n">
        <v>0.6</v>
      </c>
      <c r="K17" s="3" t="n">
        <v>0.6</v>
      </c>
      <c r="L17" s="3" t="n">
        <v>0.6</v>
      </c>
    </row>
    <row r="18" customFormat="false" ht="15" hidden="false" customHeight="false" outlineLevel="0" collapsed="false">
      <c r="A18" s="0" t="s">
        <v>101</v>
      </c>
      <c r="C18" s="3" t="n">
        <v>0.7</v>
      </c>
      <c r="D18" s="3" t="n">
        <v>0.7</v>
      </c>
      <c r="E18" s="3" t="n">
        <v>0.7</v>
      </c>
      <c r="F18" s="3" t="n">
        <v>0.7</v>
      </c>
      <c r="G18" s="3" t="n">
        <v>0.7</v>
      </c>
      <c r="H18" s="3" t="n">
        <v>0.7</v>
      </c>
      <c r="I18" s="3" t="n">
        <v>0.7</v>
      </c>
      <c r="J18" s="3" t="n">
        <v>0.7</v>
      </c>
      <c r="K18" s="3" t="n">
        <v>0.7</v>
      </c>
      <c r="L18" s="3" t="n">
        <v>0.7</v>
      </c>
    </row>
    <row r="19" customFormat="false" ht="15" hidden="false" customHeight="false" outlineLevel="0" collapsed="false">
      <c r="A19" s="0" t="s">
        <v>102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103</v>
      </c>
      <c r="B20" s="3" t="n">
        <v>10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-3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10</v>
      </c>
      <c r="D27" s="3" t="n">
        <v>7</v>
      </c>
      <c r="E27" s="3" t="n">
        <v>5.5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15.75</v>
      </c>
      <c r="D28" s="3" t="n">
        <v>16</v>
      </c>
      <c r="E28" s="3" t="n">
        <v>16.25</v>
      </c>
      <c r="F28" s="3" t="n">
        <v>16.5</v>
      </c>
      <c r="G28" s="3" t="n">
        <v>16.5</v>
      </c>
      <c r="H28" s="3" t="n">
        <v>16.5</v>
      </c>
      <c r="I28" s="3" t="n">
        <v>16.5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98</v>
      </c>
      <c r="C29" s="3" t="n">
        <v>0.2</v>
      </c>
      <c r="D29" s="3" t="n">
        <v>0.2</v>
      </c>
      <c r="E29" s="3" t="n">
        <v>0.2</v>
      </c>
      <c r="F29" s="3" t="n">
        <v>0.2</v>
      </c>
      <c r="G29" s="3" t="n">
        <v>0.2</v>
      </c>
      <c r="H29" s="3" t="n">
        <v>0.15</v>
      </c>
      <c r="I29" s="3" t="n">
        <v>0.15</v>
      </c>
      <c r="J29" s="3" t="n">
        <v>0.15</v>
      </c>
      <c r="K29" s="3" t="n">
        <v>0.15</v>
      </c>
      <c r="L29" s="3" t="n">
        <v>0.15</v>
      </c>
    </row>
    <row r="30" customFormat="false" ht="15" hidden="false" customHeight="false" outlineLevel="0" collapsed="false">
      <c r="A30" s="0" t="s">
        <v>99</v>
      </c>
      <c r="C30" s="3" t="n">
        <v>0.35</v>
      </c>
      <c r="D30" s="3" t="n">
        <v>0.35</v>
      </c>
      <c r="E30" s="3" t="n">
        <v>0.35</v>
      </c>
      <c r="F30" s="3" t="n">
        <v>0.35</v>
      </c>
      <c r="G30" s="3" t="n">
        <v>0.35</v>
      </c>
      <c r="H30" s="3" t="n">
        <v>0.35</v>
      </c>
      <c r="I30" s="3" t="n">
        <v>0.35</v>
      </c>
      <c r="J30" s="3" t="n">
        <v>0.35</v>
      </c>
      <c r="K30" s="3" t="n">
        <v>0.35</v>
      </c>
      <c r="L30" s="3" t="n">
        <v>0.35</v>
      </c>
    </row>
    <row r="31" customFormat="false" ht="15" hidden="false" customHeight="false" outlineLevel="0" collapsed="false">
      <c r="A31" s="0" t="s">
        <v>100</v>
      </c>
      <c r="C31" s="3" t="n">
        <v>0.6</v>
      </c>
      <c r="D31" s="3" t="n">
        <v>0.6</v>
      </c>
      <c r="E31" s="3" t="n">
        <v>0.6</v>
      </c>
      <c r="F31" s="3" t="n">
        <v>0.6</v>
      </c>
      <c r="G31" s="3" t="n">
        <v>0.6</v>
      </c>
      <c r="H31" s="3" t="n">
        <v>0.6</v>
      </c>
      <c r="I31" s="3" t="n">
        <v>0.6</v>
      </c>
      <c r="J31" s="3" t="n">
        <v>0.6</v>
      </c>
      <c r="K31" s="3" t="n">
        <v>0.6</v>
      </c>
      <c r="L31" s="3" t="n">
        <v>0.6</v>
      </c>
    </row>
    <row r="32" customFormat="false" ht="15" hidden="false" customHeight="false" outlineLevel="0" collapsed="false">
      <c r="A32" s="0" t="s">
        <v>101</v>
      </c>
      <c r="C32" s="3" t="n">
        <v>0.7</v>
      </c>
      <c r="D32" s="3" t="n">
        <v>0.7</v>
      </c>
      <c r="E32" s="3" t="n">
        <v>0.7</v>
      </c>
      <c r="F32" s="3" t="n">
        <v>0.7</v>
      </c>
      <c r="G32" s="3" t="n">
        <v>0.7</v>
      </c>
      <c r="H32" s="3" t="n">
        <v>0.7</v>
      </c>
      <c r="I32" s="3" t="n">
        <v>0.7</v>
      </c>
      <c r="J32" s="3" t="n">
        <v>0.7</v>
      </c>
      <c r="K32" s="3" t="n">
        <v>0.7</v>
      </c>
      <c r="L32" s="3" t="n">
        <v>0.7</v>
      </c>
    </row>
    <row r="33" customFormat="false" ht="15" hidden="false" customHeight="false" outlineLevel="0" collapsed="false">
      <c r="A33" s="0" t="s">
        <v>102</v>
      </c>
      <c r="C33" s="3" t="n">
        <v>28</v>
      </c>
      <c r="D33" s="3" t="n">
        <v>28</v>
      </c>
      <c r="E33" s="3" t="n">
        <v>28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103</v>
      </c>
      <c r="B34" s="3" t="n">
        <v>10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15</v>
      </c>
    </row>
    <row r="37" customFormat="false" ht="15" hidden="false" customHeight="false" outlineLevel="0" collapsed="false">
      <c r="A37" s="0" t="s">
        <v>106</v>
      </c>
      <c r="B37" s="3" t="n">
        <v>-3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14</v>
      </c>
      <c r="D41" s="3" t="n">
        <v>10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17</v>
      </c>
      <c r="D42" s="3" t="n">
        <v>17.5</v>
      </c>
      <c r="E42" s="3" t="n">
        <v>18</v>
      </c>
      <c r="F42" s="3" t="n">
        <v>18.5</v>
      </c>
      <c r="G42" s="3" t="n">
        <v>18.5</v>
      </c>
      <c r="H42" s="3" t="n">
        <v>18.5</v>
      </c>
      <c r="I42" s="3" t="n">
        <v>18.5</v>
      </c>
      <c r="J42" s="3" t="n">
        <v>18.5</v>
      </c>
      <c r="K42" s="3" t="n">
        <v>18.5</v>
      </c>
      <c r="L42" s="3" t="n">
        <v>18.5</v>
      </c>
    </row>
    <row r="43" customFormat="false" ht="15" hidden="false" customHeight="false" outlineLevel="0" collapsed="false">
      <c r="A43" s="0" t="s">
        <v>98</v>
      </c>
      <c r="C43" s="3" t="n">
        <v>0.2</v>
      </c>
      <c r="D43" s="3" t="n">
        <v>0.2</v>
      </c>
      <c r="E43" s="3" t="n">
        <v>0.2</v>
      </c>
      <c r="F43" s="3" t="n">
        <v>0.2</v>
      </c>
      <c r="G43" s="3" t="n">
        <v>0.2</v>
      </c>
      <c r="H43" s="3" t="n">
        <v>0.15</v>
      </c>
      <c r="I43" s="3" t="n">
        <v>0.15</v>
      </c>
      <c r="J43" s="3" t="n">
        <v>0.15</v>
      </c>
      <c r="K43" s="3" t="n">
        <v>0.15</v>
      </c>
      <c r="L43" s="3" t="n">
        <v>0.15</v>
      </c>
    </row>
    <row r="44" customFormat="false" ht="15" hidden="false" customHeight="false" outlineLevel="0" collapsed="false">
      <c r="A44" s="0" t="s">
        <v>99</v>
      </c>
      <c r="C44" s="3" t="n">
        <v>0.35</v>
      </c>
      <c r="D44" s="3" t="n">
        <v>0.35</v>
      </c>
      <c r="E44" s="3" t="n">
        <v>0.35</v>
      </c>
      <c r="F44" s="3" t="n">
        <v>0.35</v>
      </c>
      <c r="G44" s="3" t="n">
        <v>0.35</v>
      </c>
      <c r="H44" s="3" t="n">
        <v>0.35</v>
      </c>
      <c r="I44" s="3" t="n">
        <v>0.35</v>
      </c>
      <c r="J44" s="3" t="n">
        <v>0.35</v>
      </c>
      <c r="K44" s="3" t="n">
        <v>0.35</v>
      </c>
      <c r="L44" s="3" t="n">
        <v>0.35</v>
      </c>
    </row>
    <row r="45" customFormat="false" ht="15" hidden="false" customHeight="false" outlineLevel="0" collapsed="false">
      <c r="A45" s="0" t="s">
        <v>100</v>
      </c>
      <c r="C45" s="3" t="n">
        <v>0.6</v>
      </c>
      <c r="D45" s="3" t="n">
        <v>0.6</v>
      </c>
      <c r="E45" s="3" t="n">
        <v>0.6</v>
      </c>
      <c r="F45" s="3" t="n">
        <v>0.6</v>
      </c>
      <c r="G45" s="3" t="n">
        <v>0.6</v>
      </c>
      <c r="H45" s="3" t="n">
        <v>0.6</v>
      </c>
      <c r="I45" s="3" t="n">
        <v>0.6</v>
      </c>
      <c r="J45" s="3" t="n">
        <v>0.6</v>
      </c>
      <c r="K45" s="3" t="n">
        <v>0.6</v>
      </c>
      <c r="L45" s="3" t="n">
        <v>0.6</v>
      </c>
    </row>
    <row r="46" customFormat="false" ht="15" hidden="false" customHeight="false" outlineLevel="0" collapsed="false">
      <c r="A46" s="0" t="s">
        <v>101</v>
      </c>
      <c r="C46" s="3" t="n">
        <v>0.7</v>
      </c>
      <c r="D46" s="3" t="n">
        <v>0.7</v>
      </c>
      <c r="E46" s="3" t="n">
        <v>0.7</v>
      </c>
      <c r="F46" s="3" t="n">
        <v>0.7</v>
      </c>
      <c r="G46" s="3" t="n">
        <v>0.7</v>
      </c>
      <c r="H46" s="3" t="n">
        <v>0.7</v>
      </c>
      <c r="I46" s="3" t="n">
        <v>0.7</v>
      </c>
      <c r="J46" s="3" t="n">
        <v>0.7</v>
      </c>
      <c r="K46" s="3" t="n">
        <v>0.7</v>
      </c>
      <c r="L46" s="3" t="n">
        <v>0.7</v>
      </c>
    </row>
    <row r="47" customFormat="false" ht="15" hidden="false" customHeight="false" outlineLevel="0" collapsed="false">
      <c r="A47" s="0" t="s">
        <v>102</v>
      </c>
      <c r="C47" s="3" t="n">
        <v>27</v>
      </c>
      <c r="D47" s="3" t="n">
        <v>27</v>
      </c>
      <c r="E47" s="3" t="n">
        <v>27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103</v>
      </c>
      <c r="B48" s="3" t="n">
        <v>10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15</v>
      </c>
    </row>
    <row r="51" customFormat="false" ht="15" hidden="false" customHeight="false" outlineLevel="0" collapsed="false">
      <c r="A51" s="0" t="s">
        <v>106</v>
      </c>
      <c r="B51" s="3" t="n">
        <v>-3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4</v>
      </c>
      <c r="D5" s="4" t="n">
        <f aca="false">Assumptions!D13</f>
        <v>-2</v>
      </c>
      <c r="E5" s="4" t="n">
        <f aca="false">Assumptions!E13</f>
        <v>-1</v>
      </c>
      <c r="F5" s="4" t="n">
        <f aca="false">Assumptions!F13</f>
        <v>1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16030.3</v>
      </c>
      <c r="C6" s="0" t="n">
        <f aca="false">B6*(1+C5/100)</f>
        <v>16671.512</v>
      </c>
      <c r="D6" s="0" t="n">
        <f aca="false">C6*(1+D5/100)</f>
        <v>16338.08176</v>
      </c>
      <c r="E6" s="0" t="n">
        <f aca="false">D6*(1+E5/100)</f>
        <v>16174.7009424</v>
      </c>
      <c r="F6" s="0" t="n">
        <f aca="false">E6*(1+F5/100)</f>
        <v>16336.447951824</v>
      </c>
      <c r="G6" s="0" t="n">
        <f aca="false">F6*(1+G5/100)</f>
        <v>16663.1769108605</v>
      </c>
      <c r="H6" s="0" t="n">
        <f aca="false">G6*(1+H5/100)</f>
        <v>16996.4404490777</v>
      </c>
      <c r="I6" s="0" t="n">
        <f aca="false">H6*(1+I5/100)</f>
        <v>17336.3692580592</v>
      </c>
      <c r="J6" s="0" t="n">
        <f aca="false">I6*(1+J5/100)</f>
        <v>17683.0966432204</v>
      </c>
      <c r="K6" s="0" t="n">
        <f aca="false">J6*(1+K5/100)</f>
        <v>18036.7585760848</v>
      </c>
      <c r="L6" s="0" t="n">
        <f aca="false">K6*(1+L5/100)</f>
        <v>18397.4937476065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12.5</v>
      </c>
      <c r="D7" s="4" t="n">
        <f aca="false">Assumptions!D14</f>
        <v>11.5</v>
      </c>
      <c r="E7" s="4" t="n">
        <f aca="false">Assumptions!E14</f>
        <v>11</v>
      </c>
      <c r="F7" s="4" t="n">
        <f aca="false">Assumptions!F14</f>
        <v>11</v>
      </c>
      <c r="G7" s="4" t="n">
        <f aca="false">Assumptions!G14</f>
        <v>11</v>
      </c>
      <c r="H7" s="4" t="n">
        <f aca="false">Assumptions!H14</f>
        <v>11</v>
      </c>
      <c r="I7" s="4" t="n">
        <f aca="false">Assumptions!I14</f>
        <v>11</v>
      </c>
      <c r="J7" s="4" t="n">
        <f aca="false">Assumptions!J14</f>
        <v>11</v>
      </c>
      <c r="K7" s="4" t="n">
        <f aca="false">Assumptions!K14</f>
        <v>11</v>
      </c>
      <c r="L7" s="4" t="n">
        <f aca="false">Assumptions!L14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2083.939</v>
      </c>
      <c r="D8" s="0" t="n">
        <f aca="false">D6*D7/100</f>
        <v>1878.8794024</v>
      </c>
      <c r="E8" s="0" t="n">
        <f aca="false">E6*E7/100</f>
        <v>1779.217103664</v>
      </c>
      <c r="F8" s="0" t="n">
        <f aca="false">F6*F7/100</f>
        <v>1797.00927470064</v>
      </c>
      <c r="G8" s="0" t="n">
        <f aca="false">G6*G7/100</f>
        <v>1832.94946019465</v>
      </c>
      <c r="H8" s="0" t="n">
        <f aca="false">H6*H7/100</f>
        <v>1869.60844939855</v>
      </c>
      <c r="I8" s="0" t="n">
        <f aca="false">I6*I7/100</f>
        <v>1907.00061838652</v>
      </c>
      <c r="J8" s="0" t="n">
        <f aca="false">J6*J7/100</f>
        <v>1945.14063075425</v>
      </c>
      <c r="K8" s="0" t="n">
        <f aca="false">K6*K7/100</f>
        <v>1984.04344336933</v>
      </c>
      <c r="L8" s="0" t="n">
        <f aca="false">L6*L7/100</f>
        <v>2023.72431223672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0.2</v>
      </c>
      <c r="D9" s="4" t="n">
        <f aca="false">Assumptions!D15</f>
        <v>0.2</v>
      </c>
      <c r="E9" s="4" t="n">
        <f aca="false">Assumptions!E15</f>
        <v>0.2</v>
      </c>
      <c r="F9" s="4" t="n">
        <f aca="false">Assumptions!F15</f>
        <v>0.2</v>
      </c>
      <c r="G9" s="4" t="n">
        <f aca="false">Assumptions!G15</f>
        <v>0.2</v>
      </c>
      <c r="H9" s="4" t="n">
        <f aca="false">Assumptions!H15</f>
        <v>0.15</v>
      </c>
      <c r="I9" s="4" t="n">
        <f aca="false">Assumptions!I15</f>
        <v>0.15</v>
      </c>
      <c r="J9" s="4" t="n">
        <f aca="false">Assumptions!J15</f>
        <v>0.15</v>
      </c>
      <c r="K9" s="4" t="n">
        <f aca="false">Assumptions!K15</f>
        <v>0.15</v>
      </c>
      <c r="L9" s="4" t="n">
        <f aca="false">Assumptions!L15</f>
        <v>0.15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-33.343024</v>
      </c>
      <c r="D10" s="0" t="n">
        <f aca="false">-D6*D9/100</f>
        <v>-32.67616352</v>
      </c>
      <c r="E10" s="0" t="n">
        <f aca="false">-E6*E9/100</f>
        <v>-32.3494018848</v>
      </c>
      <c r="F10" s="0" t="n">
        <f aca="false">-F6*F9/100</f>
        <v>-32.672895903648</v>
      </c>
      <c r="G10" s="0" t="n">
        <f aca="false">-G6*G9/100</f>
        <v>-33.326353821721</v>
      </c>
      <c r="H10" s="0" t="n">
        <f aca="false">-H6*H9/100</f>
        <v>-25.4946606736165</v>
      </c>
      <c r="I10" s="0" t="n">
        <f aca="false">-I6*I9/100</f>
        <v>-26.0045538870889</v>
      </c>
      <c r="J10" s="0" t="n">
        <f aca="false">-J6*J9/100</f>
        <v>-26.5246449648306</v>
      </c>
      <c r="K10" s="0" t="n">
        <f aca="false">-K6*K9/100</f>
        <v>-27.0551378641273</v>
      </c>
      <c r="L10" s="0" t="n">
        <f aca="false">-L6*L9/100</f>
        <v>-27.5962406214098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1992.245684</v>
      </c>
      <c r="D11" s="0" t="n">
        <f aca="false">D8+D10+D24</f>
        <v>1789.01995272</v>
      </c>
      <c r="E11" s="0" t="n">
        <f aca="false">E8+E10+E24</f>
        <v>1690.2562484808</v>
      </c>
      <c r="F11" s="0" t="n">
        <f aca="false">F8+F10+F24</f>
        <v>1707.15881096561</v>
      </c>
      <c r="G11" s="0" t="n">
        <f aca="false">G8+G10+G24</f>
        <v>1741.30198718492</v>
      </c>
      <c r="H11" s="0" t="n">
        <f aca="false">H8+H10+H24</f>
        <v>1784.62624715316</v>
      </c>
      <c r="I11" s="0" t="n">
        <f aca="false">I8+I10+I24</f>
        <v>1820.31877209622</v>
      </c>
      <c r="J11" s="0" t="n">
        <f aca="false">J8+J10+J24</f>
        <v>1856.72514753814</v>
      </c>
      <c r="K11" s="0" t="n">
        <f aca="false">K8+K10+K24</f>
        <v>1893.85965048891</v>
      </c>
      <c r="L11" s="0" t="n">
        <f aca="false">L8+L10+L24</f>
        <v>1931.73684349869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-100.029072</v>
      </c>
      <c r="D12" s="4" t="n">
        <f aca="false">-D6*Assumptions!D17/100</f>
        <v>-98.02849056</v>
      </c>
      <c r="E12" s="4" t="n">
        <f aca="false">-E6*Assumptions!E17/100</f>
        <v>-97.0482056544</v>
      </c>
      <c r="F12" s="4" t="n">
        <f aca="false">-F6*Assumptions!F17/100</f>
        <v>-98.018687710944</v>
      </c>
      <c r="G12" s="4" t="n">
        <f aca="false">-G6*Assumptions!G17/100</f>
        <v>-99.9790614651629</v>
      </c>
      <c r="H12" s="4" t="n">
        <f aca="false">-H6*Assumptions!H17/100</f>
        <v>-101.978642694466</v>
      </c>
      <c r="I12" s="4" t="n">
        <f aca="false">-I6*Assumptions!I17/100</f>
        <v>-104.018215548355</v>
      </c>
      <c r="J12" s="4" t="n">
        <f aca="false">-J6*Assumptions!J17/100</f>
        <v>-106.098579859323</v>
      </c>
      <c r="K12" s="4" t="n">
        <f aca="false">-K6*Assumptions!K17/100</f>
        <v>-108.220551456509</v>
      </c>
      <c r="L12" s="4" t="n">
        <f aca="false">-L6*Assumptions!L17/100</f>
        <v>-110.384962485639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1892.216612</v>
      </c>
      <c r="D13" s="0" t="n">
        <f aca="false">D11+D12</f>
        <v>1690.99146216</v>
      </c>
      <c r="E13" s="0" t="n">
        <f aca="false">E11+E12</f>
        <v>1593.2080428264</v>
      </c>
      <c r="F13" s="0" t="n">
        <f aca="false">F11+F12</f>
        <v>1609.14012325466</v>
      </c>
      <c r="G13" s="0" t="n">
        <f aca="false">G11+G12</f>
        <v>1641.32292571976</v>
      </c>
      <c r="H13" s="0" t="n">
        <f aca="false">H11+H12</f>
        <v>1682.64760445869</v>
      </c>
      <c r="I13" s="0" t="n">
        <f aca="false">I11+I12</f>
        <v>1716.30055654786</v>
      </c>
      <c r="J13" s="0" t="n">
        <f aca="false">J11+J12</f>
        <v>1750.62656767882</v>
      </c>
      <c r="K13" s="0" t="n">
        <f aca="false">K11+K12</f>
        <v>1785.6390990324</v>
      </c>
      <c r="L13" s="0" t="n">
        <f aca="false">L11+L12</f>
        <v>1821.35188101305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1324.5516284</v>
      </c>
      <c r="D15" s="0" t="n">
        <f aca="false">D13-MAX(0,D13)*D14/100</f>
        <v>1183.694023512</v>
      </c>
      <c r="E15" s="0" t="n">
        <f aca="false">E13-MAX(0,E13)*E14/100</f>
        <v>1115.24562997848</v>
      </c>
      <c r="F15" s="0" t="n">
        <f aca="false">F13-MAX(0,F13)*F14/100</f>
        <v>1126.39808627826</v>
      </c>
      <c r="G15" s="0" t="n">
        <f aca="false">G13-MAX(0,G13)*G14/100</f>
        <v>1148.92604800383</v>
      </c>
      <c r="H15" s="0" t="n">
        <f aca="false">H13-MAX(0,H13)*H14/100</f>
        <v>1177.85332312108</v>
      </c>
      <c r="I15" s="0" t="n">
        <f aca="false">I13-MAX(0,I13)*I14/100</f>
        <v>1201.41038958351</v>
      </c>
      <c r="J15" s="0" t="n">
        <f aca="false">J13-MAX(0,J13)*J14/100</f>
        <v>1225.43859737518</v>
      </c>
      <c r="K15" s="0" t="n">
        <f aca="false">K13-MAX(0,K13)*K14/100</f>
        <v>1249.94736932268</v>
      </c>
      <c r="L15" s="0" t="n">
        <f aca="false">L13-MAX(0,L13)*L14/100</f>
        <v>1274.94631670913</v>
      </c>
    </row>
    <row r="16" customFormat="false" ht="15" hidden="false" customHeight="false" outlineLevel="0" collapsed="false">
      <c r="A16" s="0" t="s">
        <v>118</v>
      </c>
      <c r="C16" s="0" t="n">
        <f aca="false">-C12</f>
        <v>100.029072</v>
      </c>
      <c r="D16" s="0" t="n">
        <f aca="false">-D12</f>
        <v>98.02849056</v>
      </c>
      <c r="E16" s="0" t="n">
        <f aca="false">-E12</f>
        <v>97.0482056544</v>
      </c>
      <c r="F16" s="0" t="n">
        <f aca="false">-F12</f>
        <v>98.018687710944</v>
      </c>
      <c r="G16" s="0" t="n">
        <f aca="false">-G12</f>
        <v>99.9790614651629</v>
      </c>
      <c r="H16" s="0" t="n">
        <f aca="false">-H12</f>
        <v>101.978642694466</v>
      </c>
      <c r="I16" s="0" t="n">
        <f aca="false">-I12</f>
        <v>104.018215548355</v>
      </c>
      <c r="J16" s="0" t="n">
        <f aca="false">-J12</f>
        <v>106.098579859323</v>
      </c>
      <c r="K16" s="0" t="n">
        <f aca="false">-K12</f>
        <v>108.220551456509</v>
      </c>
      <c r="L16" s="0" t="n">
        <f aca="false">-L12</f>
        <v>110.384962485639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-116.700584</v>
      </c>
      <c r="D17" s="4" t="n">
        <f aca="false">-D6*Assumptions!D18/100</f>
        <v>-114.36657232</v>
      </c>
      <c r="E17" s="4" t="n">
        <f aca="false">-E6*Assumptions!E18/100</f>
        <v>-113.2229065968</v>
      </c>
      <c r="F17" s="4" t="n">
        <f aca="false">-F6*Assumptions!F18/100</f>
        <v>-114.355135662768</v>
      </c>
      <c r="G17" s="4" t="n">
        <f aca="false">-G6*Assumptions!G18/100</f>
        <v>-116.642238376023</v>
      </c>
      <c r="H17" s="4" t="n">
        <f aca="false">-H6*Assumptions!H18/100</f>
        <v>-118.975083143544</v>
      </c>
      <c r="I17" s="4" t="n">
        <f aca="false">-I6*Assumptions!I18/100</f>
        <v>-121.354584806415</v>
      </c>
      <c r="J17" s="4" t="n">
        <f aca="false">-J6*Assumptions!J18/100</f>
        <v>-123.781676502543</v>
      </c>
      <c r="K17" s="4" t="n">
        <f aca="false">-K6*Assumptions!K18/100</f>
        <v>-126.257310032594</v>
      </c>
      <c r="L17" s="4" t="n">
        <f aca="false">-L6*Assumptions!L18/100</f>
        <v>-128.782456233246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-19.23636</v>
      </c>
      <c r="D18" s="4" t="n">
        <f aca="false">(D6-C6)*Assumptions!$B$23/100</f>
        <v>10.0029072</v>
      </c>
      <c r="E18" s="4" t="n">
        <f aca="false">(E6-D6)*Assumptions!$B$23/100</f>
        <v>4.90142452800001</v>
      </c>
      <c r="F18" s="4" t="n">
        <f aca="false">(F6-E6)*Assumptions!$B$23/100</f>
        <v>-4.85241028271999</v>
      </c>
      <c r="G18" s="4" t="n">
        <f aca="false">(G6-F6)*Assumptions!$B$23/100</f>
        <v>-9.8018687710944</v>
      </c>
      <c r="H18" s="4" t="n">
        <f aca="false">(H6-G6)*Assumptions!$B$23/100</f>
        <v>-9.99790614651625</v>
      </c>
      <c r="I18" s="4" t="n">
        <f aca="false">(I6-H6)*Assumptions!$B$23/100</f>
        <v>-10.1978642694466</v>
      </c>
      <c r="J18" s="4" t="n">
        <f aca="false">(J6-I6)*Assumptions!$B$23/100</f>
        <v>-10.4018215548356</v>
      </c>
      <c r="K18" s="4" t="n">
        <f aca="false">(K6-J6)*Assumptions!$B$23/100</f>
        <v>-10.6098579859323</v>
      </c>
      <c r="L18" s="4" t="n">
        <f aca="false">(L6-K6)*Assumptions!$B$23/100</f>
        <v>-10.8220551456509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1288.6437564</v>
      </c>
      <c r="D19" s="0" t="n">
        <f aca="false">D15+D16+D17+D18</f>
        <v>1177.358848952</v>
      </c>
      <c r="E19" s="0" t="n">
        <f aca="false">E15+E16+E17+E18</f>
        <v>1103.97235356408</v>
      </c>
      <c r="F19" s="0" t="n">
        <f aca="false">F15+F16+F17+F18</f>
        <v>1105.20922804372</v>
      </c>
      <c r="G19" s="0" t="n">
        <f aca="false">G15+G16+G17+G18</f>
        <v>1122.46100232188</v>
      </c>
      <c r="H19" s="0" t="n">
        <f aca="false">H15+H16+H17+H18</f>
        <v>1150.85897652549</v>
      </c>
      <c r="I19" s="0" t="n">
        <f aca="false">I15+I16+I17+I18</f>
        <v>1173.876156056</v>
      </c>
      <c r="J19" s="0" t="n">
        <f aca="false">J15+J16+J17+J18</f>
        <v>1197.35367917712</v>
      </c>
      <c r="K19" s="0" t="n">
        <f aca="false">K15+K16+K17+K18</f>
        <v>1221.30075276066</v>
      </c>
      <c r="L19" s="0" t="n">
        <f aca="false">L15+L16+L17+L18</f>
        <v>1245.72676781588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1171.494324</v>
      </c>
      <c r="D21" s="0" t="n">
        <f aca="false">D19*D20</f>
        <v>973.023842109091</v>
      </c>
      <c r="E21" s="0" t="n">
        <f aca="false">E19*E20</f>
        <v>829.430769018843</v>
      </c>
      <c r="F21" s="0" t="n">
        <f aca="false">F19*F20</f>
        <v>754.872773747504</v>
      </c>
      <c r="G21" s="0" t="n">
        <f aca="false">G19*G20</f>
        <v>696.959970644004</v>
      </c>
      <c r="H21" s="0" t="n">
        <f aca="false">H19*H20</f>
        <v>649.629889417011</v>
      </c>
      <c r="I21" s="0" t="n">
        <f aca="false">I19*I20</f>
        <v>602.384079277592</v>
      </c>
      <c r="J21" s="0" t="n">
        <f aca="false">J19*J20</f>
        <v>558.574328057403</v>
      </c>
      <c r="K21" s="0" t="n">
        <f aca="false">K19*K20</f>
        <v>517.950740562319</v>
      </c>
      <c r="L21" s="0" t="n">
        <f aca="false">L19*L20</f>
        <v>480.281595794151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0.35</v>
      </c>
      <c r="D23" s="4" t="n">
        <f aca="false">Assumptions!D16</f>
        <v>0.35</v>
      </c>
      <c r="E23" s="4" t="n">
        <f aca="false">Assumptions!E16</f>
        <v>0.35</v>
      </c>
      <c r="F23" s="4" t="n">
        <f aca="false">Assumptions!F16</f>
        <v>0.35</v>
      </c>
      <c r="G23" s="4" t="n">
        <f aca="false">Assumptions!G16</f>
        <v>0.35</v>
      </c>
      <c r="H23" s="4" t="n">
        <f aca="false">Assumptions!H16</f>
        <v>0.35</v>
      </c>
      <c r="I23" s="4" t="n">
        <f aca="false">Assumptions!I16</f>
        <v>0.35</v>
      </c>
      <c r="J23" s="4" t="n">
        <f aca="false">Assumptions!J16</f>
        <v>0.35</v>
      </c>
      <c r="K23" s="4" t="n">
        <f aca="false">Assumptions!K16</f>
        <v>0.35</v>
      </c>
      <c r="L23" s="4" t="n">
        <f aca="false">Assumptions!L16</f>
        <v>0.35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-58.350292</v>
      </c>
      <c r="D24" s="0" t="n">
        <f aca="false">-D6*D23/100</f>
        <v>-57.18328616</v>
      </c>
      <c r="E24" s="0" t="n">
        <f aca="false">-E6*E23/100</f>
        <v>-56.6114532984</v>
      </c>
      <c r="F24" s="0" t="n">
        <f aca="false">-F6*F23/100</f>
        <v>-57.177567831384</v>
      </c>
      <c r="G24" s="0" t="n">
        <f aca="false">-G6*G23/100</f>
        <v>-58.3211191880117</v>
      </c>
      <c r="H24" s="0" t="n">
        <f aca="false">-H6*H23/100</f>
        <v>-59.4875415717719</v>
      </c>
      <c r="I24" s="0" t="n">
        <f aca="false">-I6*I23/100</f>
        <v>-60.6772924032073</v>
      </c>
      <c r="J24" s="0" t="n">
        <f aca="false">-J6*J23/100</f>
        <v>-61.8908382512715</v>
      </c>
      <c r="K24" s="0" t="n">
        <f aca="false">-K6*K23/100</f>
        <v>-63.1286550162969</v>
      </c>
      <c r="L24" s="0" t="n">
        <f aca="false">-L6*L23/100</f>
        <v>-64.3912281166229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7234.60231262792</v>
      </c>
    </row>
    <row r="31" customFormat="false" ht="15" hidden="false" customHeight="false" outlineLevel="0" collapsed="false">
      <c r="A31" s="0" t="s">
        <v>127</v>
      </c>
      <c r="B31" s="0" t="n">
        <f aca="false">L19</f>
        <v>1245.72676781588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14875.4431686249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14948.7212137905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14875.4431686249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5735.12729095368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12969.7296035816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6311.5296035816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11.4525928812978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-0.435276485143109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186.85361628567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127.04868900992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12.0221846495137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9366.01977283788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2.84695886621794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10</v>
      </c>
      <c r="D5" s="4" t="n">
        <f aca="false">Assumptions!D27</f>
        <v>7</v>
      </c>
      <c r="E5" s="4" t="n">
        <f aca="false">Assumptions!E27</f>
        <v>5.5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16030.3</v>
      </c>
      <c r="C6" s="0" t="n">
        <f aca="false">B6*(1+C5/100)</f>
        <v>17633.33</v>
      </c>
      <c r="D6" s="0" t="n">
        <f aca="false">C6*(1+D5/100)</f>
        <v>18867.6631</v>
      </c>
      <c r="E6" s="0" t="n">
        <f aca="false">D6*(1+E5/100)</f>
        <v>19905.3845705</v>
      </c>
      <c r="F6" s="0" t="n">
        <f aca="false">E6*(1+F5/100)</f>
        <v>20801.1268761725</v>
      </c>
      <c r="G6" s="0" t="n">
        <f aca="false">F6*(1+G5/100)</f>
        <v>21633.1719512194</v>
      </c>
      <c r="H6" s="0" t="n">
        <f aca="false">G6*(1+H5/100)</f>
        <v>22390.3329695121</v>
      </c>
      <c r="I6" s="0" t="n">
        <f aca="false">H6*(1+I5/100)</f>
        <v>23062.0429585974</v>
      </c>
      <c r="J6" s="0" t="n">
        <f aca="false">I6*(1+J5/100)</f>
        <v>23753.9042473554</v>
      </c>
      <c r="K6" s="0" t="n">
        <f aca="false">J6*(1+K5/100)</f>
        <v>24347.7518535393</v>
      </c>
      <c r="L6" s="0" t="n">
        <f aca="false">K6*(1+L5/100)</f>
        <v>24956.4456498777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15.75</v>
      </c>
      <c r="D7" s="4" t="n">
        <f aca="false">Assumptions!D28</f>
        <v>16</v>
      </c>
      <c r="E7" s="4" t="n">
        <f aca="false">Assumptions!E28</f>
        <v>16.25</v>
      </c>
      <c r="F7" s="4" t="n">
        <f aca="false">Assumptions!F28</f>
        <v>16.5</v>
      </c>
      <c r="G7" s="4" t="n">
        <f aca="false">Assumptions!G28</f>
        <v>16.5</v>
      </c>
      <c r="H7" s="4" t="n">
        <f aca="false">Assumptions!H28</f>
        <v>16.5</v>
      </c>
      <c r="I7" s="4" t="n">
        <f aca="false">Assumptions!I28</f>
        <v>16.5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2777.249475</v>
      </c>
      <c r="D8" s="0" t="n">
        <f aca="false">D6*D7/100</f>
        <v>3018.826096</v>
      </c>
      <c r="E8" s="0" t="n">
        <f aca="false">E6*E7/100</f>
        <v>3234.62499270625</v>
      </c>
      <c r="F8" s="0" t="n">
        <f aca="false">F6*F7/100</f>
        <v>3432.18593456846</v>
      </c>
      <c r="G8" s="0" t="n">
        <f aca="false">G6*G7/100</f>
        <v>3569.4733719512</v>
      </c>
      <c r="H8" s="0" t="n">
        <f aca="false">H6*H7/100</f>
        <v>3694.40493996949</v>
      </c>
      <c r="I8" s="0" t="n">
        <f aca="false">I6*I7/100</f>
        <v>3805.23708816858</v>
      </c>
      <c r="J8" s="0" t="n">
        <f aca="false">J6*J7/100</f>
        <v>3919.39420081364</v>
      </c>
      <c r="K8" s="0" t="n">
        <f aca="false">K6*K7/100</f>
        <v>4017.37905583398</v>
      </c>
      <c r="L8" s="0" t="n">
        <f aca="false">L6*L7/100</f>
        <v>4117.81353222983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0.2</v>
      </c>
      <c r="D9" s="4" t="n">
        <f aca="false">Assumptions!D29</f>
        <v>0.2</v>
      </c>
      <c r="E9" s="4" t="n">
        <f aca="false">Assumptions!E29</f>
        <v>0.2</v>
      </c>
      <c r="F9" s="4" t="n">
        <f aca="false">Assumptions!F29</f>
        <v>0.2</v>
      </c>
      <c r="G9" s="4" t="n">
        <f aca="false">Assumptions!G29</f>
        <v>0.2</v>
      </c>
      <c r="H9" s="4" t="n">
        <f aca="false">Assumptions!H29</f>
        <v>0.15</v>
      </c>
      <c r="I9" s="4" t="n">
        <f aca="false">Assumptions!I29</f>
        <v>0.15</v>
      </c>
      <c r="J9" s="4" t="n">
        <f aca="false">Assumptions!J29</f>
        <v>0.15</v>
      </c>
      <c r="K9" s="4" t="n">
        <f aca="false">Assumptions!K29</f>
        <v>0.15</v>
      </c>
      <c r="L9" s="4" t="n">
        <f aca="false">Assumptions!L29</f>
        <v>0.15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-35.26666</v>
      </c>
      <c r="D10" s="0" t="n">
        <f aca="false">-D6*D9/100</f>
        <v>-37.7353262</v>
      </c>
      <c r="E10" s="0" t="n">
        <f aca="false">-E6*E9/100</f>
        <v>-39.810769141</v>
      </c>
      <c r="F10" s="0" t="n">
        <f aca="false">-F6*F9/100</f>
        <v>-41.602253752345</v>
      </c>
      <c r="G10" s="0" t="n">
        <f aca="false">-G6*G9/100</f>
        <v>-43.2663439024388</v>
      </c>
      <c r="H10" s="0" t="n">
        <f aca="false">-H6*H9/100</f>
        <v>-33.5854994542681</v>
      </c>
      <c r="I10" s="0" t="n">
        <f aca="false">-I6*I9/100</f>
        <v>-34.5930644378962</v>
      </c>
      <c r="J10" s="0" t="n">
        <f aca="false">-J6*J9/100</f>
        <v>-35.6308563710331</v>
      </c>
      <c r="K10" s="0" t="n">
        <f aca="false">-K6*K9/100</f>
        <v>-36.5216277803089</v>
      </c>
      <c r="L10" s="0" t="n">
        <f aca="false">-L6*L9/100</f>
        <v>-37.4346684748166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2680.26616</v>
      </c>
      <c r="D11" s="0" t="n">
        <f aca="false">D8+D10+D24</f>
        <v>2915.05394895</v>
      </c>
      <c r="E11" s="0" t="n">
        <f aca="false">E8+E10+E24</f>
        <v>3125.1453775685</v>
      </c>
      <c r="F11" s="0" t="n">
        <f aca="false">F8+F10+F24</f>
        <v>3317.77973674951</v>
      </c>
      <c r="G11" s="0" t="n">
        <f aca="false">G8+G10+G24</f>
        <v>3450.49092621949</v>
      </c>
      <c r="H11" s="0" t="n">
        <f aca="false">H8+H10+H24</f>
        <v>3582.45327512193</v>
      </c>
      <c r="I11" s="0" t="n">
        <f aca="false">I8+I10+I24</f>
        <v>3689.92687337559</v>
      </c>
      <c r="J11" s="0" t="n">
        <f aca="false">J8+J10+J24</f>
        <v>3800.62467957686</v>
      </c>
      <c r="K11" s="0" t="n">
        <f aca="false">K8+K10+K24</f>
        <v>3895.64029656628</v>
      </c>
      <c r="L11" s="0" t="n">
        <f aca="false">L8+L10+L24</f>
        <v>3993.03130398044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-105.79998</v>
      </c>
      <c r="D12" s="4" t="n">
        <f aca="false">-D6*Assumptions!D31/100</f>
        <v>-113.2059786</v>
      </c>
      <c r="E12" s="4" t="n">
        <f aca="false">-E6*Assumptions!E31/100</f>
        <v>-119.432307423</v>
      </c>
      <c r="F12" s="4" t="n">
        <f aca="false">-F6*Assumptions!F31/100</f>
        <v>-124.806761257035</v>
      </c>
      <c r="G12" s="4" t="n">
        <f aca="false">-G6*Assumptions!G31/100</f>
        <v>-129.799031707316</v>
      </c>
      <c r="H12" s="4" t="n">
        <f aca="false">-H6*Assumptions!H31/100</f>
        <v>-134.341997817072</v>
      </c>
      <c r="I12" s="4" t="n">
        <f aca="false">-I6*Assumptions!I31/100</f>
        <v>-138.372257751585</v>
      </c>
      <c r="J12" s="4" t="n">
        <f aca="false">-J6*Assumptions!J31/100</f>
        <v>-142.523425484132</v>
      </c>
      <c r="K12" s="4" t="n">
        <f aca="false">-K6*Assumptions!K31/100</f>
        <v>-146.086511121236</v>
      </c>
      <c r="L12" s="4" t="n">
        <f aca="false">-L6*Assumptions!L31/100</f>
        <v>-149.738673899266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2574.46618</v>
      </c>
      <c r="D13" s="0" t="n">
        <f aca="false">D11+D12</f>
        <v>2801.84797035</v>
      </c>
      <c r="E13" s="0" t="n">
        <f aca="false">E11+E12</f>
        <v>3005.7130701455</v>
      </c>
      <c r="F13" s="0" t="n">
        <f aca="false">F11+F12</f>
        <v>3192.97297549248</v>
      </c>
      <c r="G13" s="0" t="n">
        <f aca="false">G11+G12</f>
        <v>3320.69189451218</v>
      </c>
      <c r="H13" s="0" t="n">
        <f aca="false">H11+H12</f>
        <v>3448.11127730486</v>
      </c>
      <c r="I13" s="0" t="n">
        <f aca="false">I11+I12</f>
        <v>3551.55461562401</v>
      </c>
      <c r="J13" s="0" t="n">
        <f aca="false">J11+J12</f>
        <v>3658.10125409273</v>
      </c>
      <c r="K13" s="0" t="n">
        <f aca="false">K11+K12</f>
        <v>3749.55378544504</v>
      </c>
      <c r="L13" s="0" t="n">
        <f aca="false">L11+L12</f>
        <v>3843.29263008117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1853.6156496</v>
      </c>
      <c r="D15" s="0" t="n">
        <f aca="false">D13-MAX(0,D13)*D14/100</f>
        <v>2017.330538652</v>
      </c>
      <c r="E15" s="0" t="n">
        <f aca="false">E13-MAX(0,E13)*E14/100</f>
        <v>2164.11341050476</v>
      </c>
      <c r="F15" s="0" t="n">
        <f aca="false">F13-MAX(0,F13)*F14/100</f>
        <v>2330.87027210951</v>
      </c>
      <c r="G15" s="0" t="n">
        <f aca="false">G13-MAX(0,G13)*G14/100</f>
        <v>2424.10508299389</v>
      </c>
      <c r="H15" s="0" t="n">
        <f aca="false">H13-MAX(0,H13)*H14/100</f>
        <v>2517.12123243255</v>
      </c>
      <c r="I15" s="0" t="n">
        <f aca="false">I13-MAX(0,I13)*I14/100</f>
        <v>2592.63486940552</v>
      </c>
      <c r="J15" s="0" t="n">
        <f aca="false">J13-MAX(0,J13)*J14/100</f>
        <v>2670.41391548769</v>
      </c>
      <c r="K15" s="0" t="n">
        <f aca="false">K13-MAX(0,K13)*K14/100</f>
        <v>2737.17426337488</v>
      </c>
      <c r="L15" s="0" t="n">
        <f aca="false">L13-MAX(0,L13)*L14/100</f>
        <v>2805.60361995925</v>
      </c>
    </row>
    <row r="16" customFormat="false" ht="15" hidden="false" customHeight="false" outlineLevel="0" collapsed="false">
      <c r="A16" s="0" t="s">
        <v>118</v>
      </c>
      <c r="C16" s="0" t="n">
        <f aca="false">-C12</f>
        <v>105.79998</v>
      </c>
      <c r="D16" s="0" t="n">
        <f aca="false">-D12</f>
        <v>113.2059786</v>
      </c>
      <c r="E16" s="0" t="n">
        <f aca="false">-E12</f>
        <v>119.432307423</v>
      </c>
      <c r="F16" s="0" t="n">
        <f aca="false">-F12</f>
        <v>124.806761257035</v>
      </c>
      <c r="G16" s="0" t="n">
        <f aca="false">-G12</f>
        <v>129.799031707316</v>
      </c>
      <c r="H16" s="0" t="n">
        <f aca="false">-H12</f>
        <v>134.341997817072</v>
      </c>
      <c r="I16" s="0" t="n">
        <f aca="false">-I12</f>
        <v>138.372257751585</v>
      </c>
      <c r="J16" s="0" t="n">
        <f aca="false">-J12</f>
        <v>142.523425484132</v>
      </c>
      <c r="K16" s="0" t="n">
        <f aca="false">-K12</f>
        <v>146.086511121236</v>
      </c>
      <c r="L16" s="0" t="n">
        <f aca="false">-L12</f>
        <v>149.738673899266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-123.43331</v>
      </c>
      <c r="D17" s="4" t="n">
        <f aca="false">-D6*Assumptions!D32/100</f>
        <v>-132.0736417</v>
      </c>
      <c r="E17" s="4" t="n">
        <f aca="false">-E6*Assumptions!E32/100</f>
        <v>-139.3376919935</v>
      </c>
      <c r="F17" s="4" t="n">
        <f aca="false">-F6*Assumptions!F32/100</f>
        <v>-145.607888133208</v>
      </c>
      <c r="G17" s="4" t="n">
        <f aca="false">-G6*Assumptions!G32/100</f>
        <v>-151.432203658536</v>
      </c>
      <c r="H17" s="4" t="n">
        <f aca="false">-H6*Assumptions!H32/100</f>
        <v>-156.732330786585</v>
      </c>
      <c r="I17" s="4" t="n">
        <f aca="false">-I6*Assumptions!I32/100</f>
        <v>-161.434300710182</v>
      </c>
      <c r="J17" s="4" t="n">
        <f aca="false">-J6*Assumptions!J32/100</f>
        <v>-166.277329731488</v>
      </c>
      <c r="K17" s="4" t="n">
        <f aca="false">-K6*Assumptions!K32/100</f>
        <v>-170.434262974775</v>
      </c>
      <c r="L17" s="4" t="n">
        <f aca="false">-L6*Assumptions!L32/100</f>
        <v>-174.695119549144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-48.0909000000001</v>
      </c>
      <c r="D18" s="4" t="n">
        <f aca="false">(D6-C6)*Assumptions!$B$37/100</f>
        <v>-37.029993</v>
      </c>
      <c r="E18" s="4" t="n">
        <f aca="false">(E6-D6)*Assumptions!$B$37/100</f>
        <v>-31.131644115</v>
      </c>
      <c r="F18" s="4" t="n">
        <f aca="false">(F6-E6)*Assumptions!$B$37/100</f>
        <v>-26.872269170175</v>
      </c>
      <c r="G18" s="4" t="n">
        <f aca="false">(G6-F6)*Assumptions!$B$37/100</f>
        <v>-24.961352251407</v>
      </c>
      <c r="H18" s="4" t="n">
        <f aca="false">(H6-G6)*Assumptions!$B$37/100</f>
        <v>-22.7148305487803</v>
      </c>
      <c r="I18" s="4" t="n">
        <f aca="false">(I6-H6)*Assumptions!$B$37/100</f>
        <v>-20.1512996725609</v>
      </c>
      <c r="J18" s="4" t="n">
        <f aca="false">(J6-I6)*Assumptions!$B$37/100</f>
        <v>-20.7558386627378</v>
      </c>
      <c r="K18" s="4" t="n">
        <f aca="false">(K6-J6)*Assumptions!$B$37/100</f>
        <v>-17.8154281855164</v>
      </c>
      <c r="L18" s="4" t="n">
        <f aca="false">(L6-K6)*Assumptions!$B$37/100</f>
        <v>-18.2608138901544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1787.8914196</v>
      </c>
      <c r="D19" s="0" t="n">
        <f aca="false">D15+D16+D17+D18</f>
        <v>1961.432882552</v>
      </c>
      <c r="E19" s="0" t="n">
        <f aca="false">E15+E16+E17+E18</f>
        <v>2113.07638181926</v>
      </c>
      <c r="F19" s="0" t="n">
        <f aca="false">F15+F16+F17+F18</f>
        <v>2283.19687606316</v>
      </c>
      <c r="G19" s="0" t="n">
        <f aca="false">G15+G16+G17+G18</f>
        <v>2377.51055879126</v>
      </c>
      <c r="H19" s="0" t="n">
        <f aca="false">H15+H16+H17+H18</f>
        <v>2472.01606891426</v>
      </c>
      <c r="I19" s="0" t="n">
        <f aca="false">I15+I16+I17+I18</f>
        <v>2549.42152677437</v>
      </c>
      <c r="J19" s="0" t="n">
        <f aca="false">J15+J16+J17+J18</f>
        <v>2625.9041725776</v>
      </c>
      <c r="K19" s="0" t="n">
        <f aca="false">K15+K16+K17+K18</f>
        <v>2695.01108333583</v>
      </c>
      <c r="L19" s="0" t="n">
        <f aca="false">L15+L16+L17+L18</f>
        <v>2762.38636041922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1625.355836</v>
      </c>
      <c r="D21" s="0" t="n">
        <f aca="false">D19*D20</f>
        <v>1621.0189112</v>
      </c>
      <c r="E21" s="0" t="n">
        <f aca="false">E19*E20</f>
        <v>1587.58556109636</v>
      </c>
      <c r="F21" s="0" t="n">
        <f aca="false">F19*F20</f>
        <v>1559.45418759864</v>
      </c>
      <c r="G21" s="0" t="n">
        <f aca="false">G19*G20</f>
        <v>1476.24700175178</v>
      </c>
      <c r="H21" s="0" t="n">
        <f aca="false">H19*H20</f>
        <v>1395.38862557612</v>
      </c>
      <c r="I21" s="0" t="n">
        <f aca="false">I19*I20</f>
        <v>1308.25635325639</v>
      </c>
      <c r="J21" s="0" t="n">
        <f aca="false">J19*J20</f>
        <v>1225.00367623098</v>
      </c>
      <c r="K21" s="0" t="n">
        <f aca="false">K19*K20</f>
        <v>1142.94778193017</v>
      </c>
      <c r="L21" s="0" t="n">
        <f aca="false">L19*L20</f>
        <v>1065.0195240713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0.35</v>
      </c>
      <c r="D23" s="4" t="n">
        <f aca="false">Assumptions!D30</f>
        <v>0.35</v>
      </c>
      <c r="E23" s="4" t="n">
        <f aca="false">Assumptions!E30</f>
        <v>0.35</v>
      </c>
      <c r="F23" s="4" t="n">
        <f aca="false">Assumptions!F30</f>
        <v>0.35</v>
      </c>
      <c r="G23" s="4" t="n">
        <f aca="false">Assumptions!G30</f>
        <v>0.35</v>
      </c>
      <c r="H23" s="4" t="n">
        <f aca="false">Assumptions!H30</f>
        <v>0.35</v>
      </c>
      <c r="I23" s="4" t="n">
        <f aca="false">Assumptions!I30</f>
        <v>0.35</v>
      </c>
      <c r="J23" s="4" t="n">
        <f aca="false">Assumptions!J30</f>
        <v>0.35</v>
      </c>
      <c r="K23" s="4" t="n">
        <f aca="false">Assumptions!K30</f>
        <v>0.35</v>
      </c>
      <c r="L23" s="4" t="n">
        <f aca="false">Assumptions!L30</f>
        <v>0.35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-61.716655</v>
      </c>
      <c r="D24" s="0" t="n">
        <f aca="false">-D6*D23/100</f>
        <v>-66.03682085</v>
      </c>
      <c r="E24" s="0" t="n">
        <f aca="false">-E6*E23/100</f>
        <v>-69.66884599675</v>
      </c>
      <c r="F24" s="0" t="n">
        <f aca="false">-F6*F23/100</f>
        <v>-72.8039440666038</v>
      </c>
      <c r="G24" s="0" t="n">
        <f aca="false">-G6*G23/100</f>
        <v>-75.7161018292679</v>
      </c>
      <c r="H24" s="0" t="n">
        <f aca="false">-H6*H23/100</f>
        <v>-78.3661653932923</v>
      </c>
      <c r="I24" s="0" t="n">
        <f aca="false">-I6*I23/100</f>
        <v>-80.7171503550911</v>
      </c>
      <c r="J24" s="0" t="n">
        <f aca="false">-J6*J23/100</f>
        <v>-83.1386648657438</v>
      </c>
      <c r="K24" s="0" t="n">
        <f aca="false">-K6*K23/100</f>
        <v>-85.2171314873874</v>
      </c>
      <c r="L24" s="0" t="n">
        <f aca="false">-L6*L23/100</f>
        <v>-87.347559774572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14006.2774587117</v>
      </c>
    </row>
    <row r="31" customFormat="false" ht="15" hidden="false" customHeight="false" outlineLevel="0" collapsed="false">
      <c r="A31" s="0" t="s">
        <v>127</v>
      </c>
      <c r="B31" s="0" t="n">
        <f aca="false">L19</f>
        <v>2762.38636041922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37752.613592396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41435.7954062883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37752.613592396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14555.2668289744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28561.5442876861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21903.3442876861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39.7447371114949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0.959799660330122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231.690463441142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197.246698040625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40.5230655026542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22651.5681554376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18.490366514534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81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14</v>
      </c>
      <c r="D5" s="4" t="n">
        <f aca="false">Assumptions!D41</f>
        <v>10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16030.3</v>
      </c>
      <c r="C6" s="0" t="n">
        <f aca="false">B6*(1+C5/100)</f>
        <v>18274.542</v>
      </c>
      <c r="D6" s="0" t="n">
        <f aca="false">C6*(1+D5/100)</f>
        <v>20101.9962</v>
      </c>
      <c r="E6" s="0" t="n">
        <f aca="false">D6*(1+E5/100)</f>
        <v>21710.155896</v>
      </c>
      <c r="F6" s="0" t="n">
        <f aca="false">E6*(1+F5/100)</f>
        <v>23229.86680872</v>
      </c>
      <c r="G6" s="0" t="n">
        <f aca="false">F6*(1+G5/100)</f>
        <v>24623.6588172432</v>
      </c>
      <c r="H6" s="0" t="n">
        <f aca="false">G6*(1+H5/100)</f>
        <v>25854.8417581054</v>
      </c>
      <c r="I6" s="0" t="n">
        <f aca="false">H6*(1+I5/100)</f>
        <v>26889.0354284296</v>
      </c>
      <c r="J6" s="0" t="n">
        <f aca="false">I6*(1+J5/100)</f>
        <v>27830.1516684246</v>
      </c>
      <c r="K6" s="0" t="n">
        <f aca="false">J6*(1+K5/100)</f>
        <v>28665.0562184774</v>
      </c>
      <c r="L6" s="0" t="n">
        <f aca="false">K6*(1+L5/100)</f>
        <v>29525.0079050317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17</v>
      </c>
      <c r="D7" s="4" t="n">
        <f aca="false">Assumptions!D42</f>
        <v>17.5</v>
      </c>
      <c r="E7" s="4" t="n">
        <f aca="false">Assumptions!E42</f>
        <v>18</v>
      </c>
      <c r="F7" s="4" t="n">
        <f aca="false">Assumptions!F42</f>
        <v>18.5</v>
      </c>
      <c r="G7" s="4" t="n">
        <f aca="false">Assumptions!G42</f>
        <v>18.5</v>
      </c>
      <c r="H7" s="4" t="n">
        <f aca="false">Assumptions!H42</f>
        <v>18.5</v>
      </c>
      <c r="I7" s="4" t="n">
        <f aca="false">Assumptions!I42</f>
        <v>18.5</v>
      </c>
      <c r="J7" s="4" t="n">
        <f aca="false">Assumptions!J42</f>
        <v>18.5</v>
      </c>
      <c r="K7" s="4" t="n">
        <f aca="false">Assumptions!K42</f>
        <v>18.5</v>
      </c>
      <c r="L7" s="4" t="n">
        <f aca="false">Assumptions!L42</f>
        <v>18.5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3106.67214</v>
      </c>
      <c r="D8" s="0" t="n">
        <f aca="false">D6*D7/100</f>
        <v>3517.849335</v>
      </c>
      <c r="E8" s="0" t="n">
        <f aca="false">E6*E7/100</f>
        <v>3907.82806128</v>
      </c>
      <c r="F8" s="0" t="n">
        <f aca="false">F6*F7/100</f>
        <v>4297.5253596132</v>
      </c>
      <c r="G8" s="0" t="n">
        <f aca="false">G6*G7/100</f>
        <v>4555.37688118999</v>
      </c>
      <c r="H8" s="0" t="n">
        <f aca="false">H6*H7/100</f>
        <v>4783.14572524949</v>
      </c>
      <c r="I8" s="0" t="n">
        <f aca="false">I6*I7/100</f>
        <v>4974.47155425947</v>
      </c>
      <c r="J8" s="0" t="n">
        <f aca="false">J6*J7/100</f>
        <v>5148.57805865855</v>
      </c>
      <c r="K8" s="0" t="n">
        <f aca="false">K6*K7/100</f>
        <v>5303.03540041831</v>
      </c>
      <c r="L8" s="0" t="n">
        <f aca="false">L6*L7/100</f>
        <v>5462.12646243086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0.2</v>
      </c>
      <c r="D9" s="4" t="n">
        <f aca="false">Assumptions!D43</f>
        <v>0.2</v>
      </c>
      <c r="E9" s="4" t="n">
        <f aca="false">Assumptions!E43</f>
        <v>0.2</v>
      </c>
      <c r="F9" s="4" t="n">
        <f aca="false">Assumptions!F43</f>
        <v>0.2</v>
      </c>
      <c r="G9" s="4" t="n">
        <f aca="false">Assumptions!G43</f>
        <v>0.2</v>
      </c>
      <c r="H9" s="4" t="n">
        <f aca="false">Assumptions!H43</f>
        <v>0.15</v>
      </c>
      <c r="I9" s="4" t="n">
        <f aca="false">Assumptions!I43</f>
        <v>0.15</v>
      </c>
      <c r="J9" s="4" t="n">
        <f aca="false">Assumptions!J43</f>
        <v>0.15</v>
      </c>
      <c r="K9" s="4" t="n">
        <f aca="false">Assumptions!K43</f>
        <v>0.15</v>
      </c>
      <c r="L9" s="4" t="n">
        <f aca="false">Assumptions!L43</f>
        <v>0.15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-36.549084</v>
      </c>
      <c r="D10" s="0" t="n">
        <f aca="false">-D6*D9/100</f>
        <v>-40.2039924</v>
      </c>
      <c r="E10" s="0" t="n">
        <f aca="false">-E6*E9/100</f>
        <v>-43.420311792</v>
      </c>
      <c r="F10" s="0" t="n">
        <f aca="false">-F6*F9/100</f>
        <v>-46.45973361744</v>
      </c>
      <c r="G10" s="0" t="n">
        <f aca="false">-G6*G9/100</f>
        <v>-49.2473176344864</v>
      </c>
      <c r="H10" s="0" t="n">
        <f aca="false">-H6*H9/100</f>
        <v>-38.7822626371581</v>
      </c>
      <c r="I10" s="0" t="n">
        <f aca="false">-I6*I9/100</f>
        <v>-40.3335531426444</v>
      </c>
      <c r="J10" s="0" t="n">
        <f aca="false">-J6*J9/100</f>
        <v>-41.7452275026369</v>
      </c>
      <c r="K10" s="0" t="n">
        <f aca="false">-K6*K9/100</f>
        <v>-42.997584327716</v>
      </c>
      <c r="L10" s="0" t="n">
        <f aca="false">-L6*L9/100</f>
        <v>-44.2875118575475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3006.162159</v>
      </c>
      <c r="D11" s="0" t="n">
        <f aca="false">D8+D10+D24</f>
        <v>3407.2883559</v>
      </c>
      <c r="E11" s="0" t="n">
        <f aca="false">E8+E10+E24</f>
        <v>3788.422203852</v>
      </c>
      <c r="F11" s="0" t="n">
        <f aca="false">F8+F10+F24</f>
        <v>4169.76109216524</v>
      </c>
      <c r="G11" s="0" t="n">
        <f aca="false">G8+G10+G24</f>
        <v>4419.94675769516</v>
      </c>
      <c r="H11" s="0" t="n">
        <f aca="false">H8+H10+H24</f>
        <v>4653.87151645897</v>
      </c>
      <c r="I11" s="0" t="n">
        <f aca="false">I8+I10+I24</f>
        <v>4840.02637711733</v>
      </c>
      <c r="J11" s="0" t="n">
        <f aca="false">J8+J10+J24</f>
        <v>5009.42730031643</v>
      </c>
      <c r="K11" s="0" t="n">
        <f aca="false">K8+K10+K24</f>
        <v>5159.71011932592</v>
      </c>
      <c r="L11" s="0" t="n">
        <f aca="false">L8+L10+L24</f>
        <v>5314.5014229057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-109.647252</v>
      </c>
      <c r="D12" s="4" t="n">
        <f aca="false">-D6*Assumptions!D45/100</f>
        <v>-120.6119772</v>
      </c>
      <c r="E12" s="4" t="n">
        <f aca="false">-E6*Assumptions!E45/100</f>
        <v>-130.260935376</v>
      </c>
      <c r="F12" s="4" t="n">
        <f aca="false">-F6*Assumptions!F45/100</f>
        <v>-139.37920085232</v>
      </c>
      <c r="G12" s="4" t="n">
        <f aca="false">-G6*Assumptions!G45/100</f>
        <v>-147.741952903459</v>
      </c>
      <c r="H12" s="4" t="n">
        <f aca="false">-H6*Assumptions!H45/100</f>
        <v>-155.129050548632</v>
      </c>
      <c r="I12" s="4" t="n">
        <f aca="false">-I6*Assumptions!I45/100</f>
        <v>-161.334212570578</v>
      </c>
      <c r="J12" s="4" t="n">
        <f aca="false">-J6*Assumptions!J45/100</f>
        <v>-166.980910010548</v>
      </c>
      <c r="K12" s="4" t="n">
        <f aca="false">-K6*Assumptions!K45/100</f>
        <v>-171.990337310864</v>
      </c>
      <c r="L12" s="4" t="n">
        <f aca="false">-L6*Assumptions!L45/100</f>
        <v>-177.15004743019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2896.514907</v>
      </c>
      <c r="D13" s="0" t="n">
        <f aca="false">D11+D12</f>
        <v>3286.6763787</v>
      </c>
      <c r="E13" s="0" t="n">
        <f aca="false">E11+E12</f>
        <v>3658.161268476</v>
      </c>
      <c r="F13" s="0" t="n">
        <f aca="false">F11+F12</f>
        <v>4030.38189131292</v>
      </c>
      <c r="G13" s="0" t="n">
        <f aca="false">G11+G12</f>
        <v>4272.2048047917</v>
      </c>
      <c r="H13" s="0" t="n">
        <f aca="false">H11+H12</f>
        <v>4498.74246591033</v>
      </c>
      <c r="I13" s="0" t="n">
        <f aca="false">I11+I12</f>
        <v>4678.69216454675</v>
      </c>
      <c r="J13" s="0" t="n">
        <f aca="false">J11+J12</f>
        <v>4842.44639030588</v>
      </c>
      <c r="K13" s="0" t="n">
        <f aca="false">K11+K12</f>
        <v>4987.71978201506</v>
      </c>
      <c r="L13" s="0" t="n">
        <f aca="false">L11+L12</f>
        <v>5137.35137547551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2114.45588211</v>
      </c>
      <c r="D15" s="0" t="n">
        <f aca="false">D13-MAX(0,D13)*D14/100</f>
        <v>2399.273756451</v>
      </c>
      <c r="E15" s="0" t="n">
        <f aca="false">E13-MAX(0,E13)*E14/100</f>
        <v>2670.45772598748</v>
      </c>
      <c r="F15" s="0" t="n">
        <f aca="false">F13-MAX(0,F13)*F14/100</f>
        <v>2982.48259957156</v>
      </c>
      <c r="G15" s="0" t="n">
        <f aca="false">G13-MAX(0,G13)*G14/100</f>
        <v>3161.43155554585</v>
      </c>
      <c r="H15" s="0" t="n">
        <f aca="false">H13-MAX(0,H13)*H14/100</f>
        <v>3329.06942477365</v>
      </c>
      <c r="I15" s="0" t="n">
        <f aca="false">I13-MAX(0,I13)*I14/100</f>
        <v>3462.23220176459</v>
      </c>
      <c r="J15" s="0" t="n">
        <f aca="false">J13-MAX(0,J13)*J14/100</f>
        <v>3583.41032882635</v>
      </c>
      <c r="K15" s="0" t="n">
        <f aca="false">K13-MAX(0,K13)*K14/100</f>
        <v>3690.91263869114</v>
      </c>
      <c r="L15" s="0" t="n">
        <f aca="false">L13-MAX(0,L13)*L14/100</f>
        <v>3801.64001785188</v>
      </c>
    </row>
    <row r="16" customFormat="false" ht="15" hidden="false" customHeight="false" outlineLevel="0" collapsed="false">
      <c r="A16" s="0" t="s">
        <v>118</v>
      </c>
      <c r="C16" s="0" t="n">
        <f aca="false">-C12</f>
        <v>109.647252</v>
      </c>
      <c r="D16" s="0" t="n">
        <f aca="false">-D12</f>
        <v>120.6119772</v>
      </c>
      <c r="E16" s="0" t="n">
        <f aca="false">-E12</f>
        <v>130.260935376</v>
      </c>
      <c r="F16" s="0" t="n">
        <f aca="false">-F12</f>
        <v>139.37920085232</v>
      </c>
      <c r="G16" s="0" t="n">
        <f aca="false">-G12</f>
        <v>147.741952903459</v>
      </c>
      <c r="H16" s="0" t="n">
        <f aca="false">-H12</f>
        <v>155.129050548632</v>
      </c>
      <c r="I16" s="0" t="n">
        <f aca="false">-I12</f>
        <v>161.334212570578</v>
      </c>
      <c r="J16" s="0" t="n">
        <f aca="false">-J12</f>
        <v>166.980910010548</v>
      </c>
      <c r="K16" s="0" t="n">
        <f aca="false">-K12</f>
        <v>171.990337310864</v>
      </c>
      <c r="L16" s="0" t="n">
        <f aca="false">-L12</f>
        <v>177.15004743019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-127.921794</v>
      </c>
      <c r="D17" s="4" t="n">
        <f aca="false">-D6*Assumptions!D46/100</f>
        <v>-140.7139734</v>
      </c>
      <c r="E17" s="4" t="n">
        <f aca="false">-E6*Assumptions!E46/100</f>
        <v>-151.971091272</v>
      </c>
      <c r="F17" s="4" t="n">
        <f aca="false">-F6*Assumptions!F46/100</f>
        <v>-162.60906766104</v>
      </c>
      <c r="G17" s="4" t="n">
        <f aca="false">-G6*Assumptions!G46/100</f>
        <v>-172.365611720702</v>
      </c>
      <c r="H17" s="4" t="n">
        <f aca="false">-H6*Assumptions!H46/100</f>
        <v>-180.983892306738</v>
      </c>
      <c r="I17" s="4" t="n">
        <f aca="false">-I6*Assumptions!I46/100</f>
        <v>-188.223247999007</v>
      </c>
      <c r="J17" s="4" t="n">
        <f aca="false">-J6*Assumptions!J46/100</f>
        <v>-194.811061678972</v>
      </c>
      <c r="K17" s="4" t="n">
        <f aca="false">-K6*Assumptions!K46/100</f>
        <v>-200.655393529342</v>
      </c>
      <c r="L17" s="4" t="n">
        <f aca="false">-L6*Assumptions!L46/100</f>
        <v>-206.675055335222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-67.3272600000001</v>
      </c>
      <c r="D18" s="4" t="n">
        <f aca="false">(D6-C6)*Assumptions!$B$51/100</f>
        <v>-54.823626</v>
      </c>
      <c r="E18" s="4" t="n">
        <f aca="false">(E6-D6)*Assumptions!$B$51/100</f>
        <v>-48.2447908800001</v>
      </c>
      <c r="F18" s="4" t="n">
        <f aca="false">(F6-E6)*Assumptions!$B$51/100</f>
        <v>-45.5913273816001</v>
      </c>
      <c r="G18" s="4" t="n">
        <f aca="false">(G6-F6)*Assumptions!$B$51/100</f>
        <v>-41.813760255696</v>
      </c>
      <c r="H18" s="4" t="n">
        <f aca="false">(H6-G6)*Assumptions!$B$51/100</f>
        <v>-36.9354882258648</v>
      </c>
      <c r="I18" s="4" t="n">
        <f aca="false">(I6-H6)*Assumptions!$B$51/100</f>
        <v>-31.0258101097265</v>
      </c>
      <c r="J18" s="4" t="n">
        <f aca="false">(J6-I6)*Assumptions!$B$51/100</f>
        <v>-28.233487199851</v>
      </c>
      <c r="K18" s="4" t="n">
        <f aca="false">(K6-J6)*Assumptions!$B$51/100</f>
        <v>-25.0471365015822</v>
      </c>
      <c r="L18" s="4" t="n">
        <f aca="false">(L6-K6)*Assumptions!$B$51/100</f>
        <v>-25.7985505966297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2028.85408011</v>
      </c>
      <c r="D19" s="0" t="n">
        <f aca="false">D15+D16+D17+D18</f>
        <v>2324.348134251</v>
      </c>
      <c r="E19" s="0" t="n">
        <f aca="false">E15+E16+E17+E18</f>
        <v>2600.50277921148</v>
      </c>
      <c r="F19" s="0" t="n">
        <f aca="false">F15+F16+F17+F18</f>
        <v>2913.66140538124</v>
      </c>
      <c r="G19" s="0" t="n">
        <f aca="false">G15+G16+G17+G18</f>
        <v>3094.99413647292</v>
      </c>
      <c r="H19" s="0" t="n">
        <f aca="false">H15+H16+H17+H18</f>
        <v>3266.27909478968</v>
      </c>
      <c r="I19" s="0" t="n">
        <f aca="false">I15+I16+I17+I18</f>
        <v>3404.31735622644</v>
      </c>
      <c r="J19" s="0" t="n">
        <f aca="false">J15+J16+J17+J18</f>
        <v>3527.34668995808</v>
      </c>
      <c r="K19" s="0" t="n">
        <f aca="false">K15+K16+K17+K18</f>
        <v>3637.20044597108</v>
      </c>
      <c r="L19" s="0" t="n">
        <f aca="false">L15+L16+L17+L18</f>
        <v>3746.31645935022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1844.4128001</v>
      </c>
      <c r="D21" s="0" t="n">
        <f aca="false">D19*D20</f>
        <v>1920.94887128182</v>
      </c>
      <c r="E21" s="0" t="n">
        <f aca="false">E19*E20</f>
        <v>1953.79622780727</v>
      </c>
      <c r="F21" s="0" t="n">
        <f aca="false">F19*F20</f>
        <v>1990.06994425329</v>
      </c>
      <c r="G21" s="0" t="n">
        <f aca="false">G19*G20</f>
        <v>1921.74785407909</v>
      </c>
      <c r="H21" s="0" t="n">
        <f aca="false">H19*H20</f>
        <v>1843.72939728842</v>
      </c>
      <c r="I21" s="0" t="n">
        <f aca="false">I19*I20</f>
        <v>1746.95308838129</v>
      </c>
      <c r="J21" s="0" t="n">
        <f aca="false">J19*J20</f>
        <v>1645.53326342382</v>
      </c>
      <c r="K21" s="0" t="n">
        <f aca="false">K19*K20</f>
        <v>1542.52804667968</v>
      </c>
      <c r="L21" s="0" t="n">
        <f aca="false">L19*L20</f>
        <v>1444.36717098188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0.35</v>
      </c>
      <c r="D23" s="4" t="n">
        <f aca="false">Assumptions!D44</f>
        <v>0.35</v>
      </c>
      <c r="E23" s="4" t="n">
        <f aca="false">Assumptions!E44</f>
        <v>0.35</v>
      </c>
      <c r="F23" s="4" t="n">
        <f aca="false">Assumptions!F44</f>
        <v>0.35</v>
      </c>
      <c r="G23" s="4" t="n">
        <f aca="false">Assumptions!G44</f>
        <v>0.35</v>
      </c>
      <c r="H23" s="4" t="n">
        <f aca="false">Assumptions!H44</f>
        <v>0.35</v>
      </c>
      <c r="I23" s="4" t="n">
        <f aca="false">Assumptions!I44</f>
        <v>0.35</v>
      </c>
      <c r="J23" s="4" t="n">
        <f aca="false">Assumptions!J44</f>
        <v>0.35</v>
      </c>
      <c r="K23" s="4" t="n">
        <f aca="false">Assumptions!K44</f>
        <v>0.35</v>
      </c>
      <c r="L23" s="4" t="n">
        <f aca="false">Assumptions!L44</f>
        <v>0.35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-63.960897</v>
      </c>
      <c r="D24" s="0" t="n">
        <f aca="false">-D6*D23/100</f>
        <v>-70.3569867</v>
      </c>
      <c r="E24" s="0" t="n">
        <f aca="false">-E6*E23/100</f>
        <v>-75.985545636</v>
      </c>
      <c r="F24" s="0" t="n">
        <f aca="false">-F6*F23/100</f>
        <v>-81.30453383052</v>
      </c>
      <c r="G24" s="0" t="n">
        <f aca="false">-G6*G23/100</f>
        <v>-86.1828058603512</v>
      </c>
      <c r="H24" s="0" t="n">
        <f aca="false">-H6*H23/100</f>
        <v>-90.4919461533688</v>
      </c>
      <c r="I24" s="0" t="n">
        <f aca="false">-I6*I23/100</f>
        <v>-94.1116239995035</v>
      </c>
      <c r="J24" s="0" t="n">
        <f aca="false">-J6*J23/100</f>
        <v>-97.4055308394862</v>
      </c>
      <c r="K24" s="0" t="n">
        <f aca="false">-K6*K23/100</f>
        <v>-100.327696764671</v>
      </c>
      <c r="L24" s="0" t="n">
        <f aca="false">-L6*L23/100</f>
        <v>-103.337527667611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17854.0866642766</v>
      </c>
    </row>
    <row r="31" customFormat="false" ht="15" hidden="false" customHeight="false" outlineLevel="0" collapsed="false">
      <c r="A31" s="0" t="s">
        <v>127</v>
      </c>
      <c r="B31" s="0" t="n">
        <f aca="false">L19</f>
        <v>3746.31645935022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55124.3707590103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56194.7468902533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55124.3707590103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21252.8312301619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39106.9178944385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32448.7178944385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58.8798562165028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1.90334596728317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258.759984994488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251.24279417535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59.80528231208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32155.882942756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28.1826833621452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11.4525928812978</v>
      </c>
      <c r="C4" s="0" t="n">
        <f aca="false">B4/Assumptions!$B$2-1</f>
        <v>-0.435276485143109</v>
      </c>
      <c r="D4" s="4" t="n">
        <f aca="false">Assumptions!$B$24</f>
        <v>0.3</v>
      </c>
      <c r="E4" s="4" t="n">
        <f aca="false">DCF_Bear!$B$43</f>
        <v>12.0221846495137</v>
      </c>
      <c r="F4" s="4" t="n">
        <f aca="false">DCF_Bear!$B$47</f>
        <v>2.84695886621794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39.7447371114949</v>
      </c>
      <c r="C5" s="0" t="n">
        <f aca="false">B5/Assumptions!$B$2-1</f>
        <v>0.959799660330122</v>
      </c>
      <c r="D5" s="4" t="n">
        <f aca="false">Assumptions!$B$38</f>
        <v>0.5</v>
      </c>
      <c r="E5" s="4" t="n">
        <f aca="false">DCF_Base!$B$43</f>
        <v>40.5230655026542</v>
      </c>
      <c r="F5" s="4" t="n">
        <f aca="false">DCF_Base!$B$47</f>
        <v>18.490366514534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58.8798562165028</v>
      </c>
      <c r="C6" s="0" t="n">
        <f aca="false">B6/Assumptions!$B$2-1</f>
        <v>1.90334596728317</v>
      </c>
      <c r="D6" s="4" t="n">
        <f aca="false">Assumptions!$B$52</f>
        <v>0.2</v>
      </c>
      <c r="E6" s="4" t="n">
        <f aca="false">DCF_Bull!$B$43</f>
        <v>59.80528231208</v>
      </c>
      <c r="F6" s="4" t="n">
        <f aca="false">DCF_Bull!$B$47</f>
        <v>28.1826833621452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35.0841176634373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35.8292446085972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0.421960666232326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-1986.79134603847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15.7358075895615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46.3154101537917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39.7447371114949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33.4813488854845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28.5422725286255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18.490366514534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50.6933686734953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50.6933686734953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50.6933686734953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50.6933686734953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50.6933686734953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43.2099921795656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45.4079828236607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46.3154101537917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46.3154101537917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46.3154101537917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36.4101715199742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37.9732491409995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39.7447371114949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41.769294792061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42.3214468867609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31.0547148762309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32.2006253806007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33.4813488854845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34.9221628284789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36.5550852972058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26.7301877529619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27.5909280214021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28.5422725286255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29.599321981096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30.7807301926807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2026-10-11T17:33:20Z</dcterms:created>
  <dc:creator>openpyxl</dc:creator>
  <dc:description/>
  <dc:language>en-NZ</dc:language>
  <cp:lastModifiedBy/>
  <dcterms:modified xsi:type="dcterms:W3CDTF">2026-10-11T17:33:20Z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