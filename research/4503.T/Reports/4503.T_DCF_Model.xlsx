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<sst xmlns="http://schemas.openxmlformats.org/spreadsheetml/2006/main" count="359" uniqueCount="166">
  <si>
    <t xml:space="preserve">Ticker</t>
  </si>
  <si>
    <t xml:space="preserve">4503.T</t>
  </si>
  <si>
    <t xml:space="preserve">Company</t>
  </si>
  <si>
    <t xml:space="preserve">Astellas Pharma Inc.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</si>
  <si>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</si>
  <si>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</si>
  <si>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</si>
  <si>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</si>
  <si>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close, Friday 30 Oct 2026)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</si>
  <si>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</si>
  <si>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</si>
  <si>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</si>
  <si>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</si>
  <si>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</si>
  <si>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</si>
  <si>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</si>
  <si>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</si>
  <si>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</si>
  <si>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</si>
  <si>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</si>
  <si>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</si>
  <si>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2026-10-31T02:23:44Z</t>
  </si>
  <si>
    <t xml:space="preserve">Drivers file</t>
  </si>
  <si>
    <t xml:space="preserve">4503.T_Drivers.json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</si>
  <si>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</si>
  <si>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</si>
  <si>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</si>
  <si>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Astellas is priced as a patent-cliff story and the house base case agrees with that price almost exactly: the market is paying roughly the probability-weighted value of the explicit XTANDI run-off plus Strategic Brand replacement, with no credit for pipeline or acquisition upside and no penalty for acquisition risk. The valuation is therefore a bet on cliff timing and depth and on Strategic Brand execution, not on a re-rating. House and street bases coincide to within JPY ~25/share because SBC is 0.14% of revenue.
key_risks_to_valuation: XTANDI US generic entry timing (FY2027 assumed; litigation could move it a year either way, worth roughly JPY 150-250/share per year of exclusivity); Strategic Brand growth below the +27% FY2026 guide (PADCEV vs Keytruda combinations, VEOZAH hepatic label, IZERVAY competition); A large acquisition to fill the XTANDI gap, which management has not ruled out, funded from the balance sheet the bridge credits; FX: a JPY reporter with ~85% non-Japan revenue; FY2026 guidance assumes 150/USD and 180/EUR; a 10% yen appreciation is a ~5-6% hit to EBITDA; Japan NHI price revisions (FY2026 ~4% average cut, G1 rule now on biologics) and US IRA negotiation extending to Strategic Brands; R&amp;D productivity: FY2023-FY2024 impairments totalled over JPY 240bn; the model assumes 4% of revenue in capex/intangibles sustains the pipeline, which history says is optimistic without further write-downs</t>
  </si>
  <si>
    <t xml:space="preserve">Data sources</t>
  </si>
  <si>
    <t xml:space="preserve">price: Yahoo Finance chart API (4503.T) at inputs.price_as_of; 52-week range 1,595.5 - 2,717.0
financials: 4503.T_Metrics.csv (IFRS, JPY millions, FY2017-FY2025 plus quarterlies to Q1 FY2026); FY2025 annual tanshin (4503.T_Annual_FY2025.txt) for cash flow, share count and FY2026 guidance; FY2025 audited report (4503.T_AnnualAudited_FY2025.txt) for lease note and FVTOCI equity instruments; Q1 FY2026 tanshin (4503.T_Quarterly_Q1-FY2026.txt) for the 30 June 2026 balance sheet, debt table and treasury shares
qualitative: 4503.T_Analysis.json (2026-10-31): product mix, XTANDI exclusivity, Strategic Brand targets, FY2026 guidance, bull/bear axes</t>
  </si>
  <si>
    <t xml:space="preserve">Scenario narrative: bear</t>
  </si>
  <si>
    <t xml:space="preserve">XTANDI erodes faster and earlier than guided on both sides of the Pacific, Keytruda combinations take bladder-cancer share from PADCEV, VEOZAH and IZERVAY disappoint on label and competition, Japan NHI revisions keep cutting the legacy book, and the yen strengthens. Revenue falls ~22% from FY2025 to a sub-JPY 1.7tn base with a 20-21% margin, and the company's own openness to a large acquisition becomes a value-destroying 'rescue BD' rather than a growth lever.</t>
  </si>
  <si>
    <t xml:space="preserve">Scenario narrative: base</t>
  </si>
  <si>
    <t xml:space="preserve">The question is whether JPY 480bn of Strategic Brands can replace a JPY 960bn XTANDI franchise that loses US price protection in January 2027 (IRA) and US exclusivity about a year later. Base says they largely do by scale but not by profit: revenue troughs ~12% below FY2025 in FY2028 and recovers only slowly, the EBITDA margin troughs at 24% because half of US XTANDI's profit was Pfizer's anyway while R&amp;D is sticky, and Strategic Brands pass 50% of revenue in FY2030 as management targets. No pipeline or acquisition value is included; the terminal value is capped at 15x year-10 FCF.</t>
  </si>
  <si>
    <t xml:space="preserve">Scenario narrative: bull</t>
  </si>
  <si>
    <t xml:space="preserve">Formulation-patent litigation keeps US generic enzalutamide out until FY2028 and PADCEV's muscle-invasive bladder cancer expansion plus VYLOY's CLDN18.2 penetration push Strategic Brands to +25%/+20%; SMT keeps the margin near 28%; ASP2138 and other Phase 3 starts begin contributing from 2030. Revenue is back above FY2025 by FY2030.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</si>
  <si>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</si>
  <si>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</si>
  <si>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</si>
  <si>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</si>
  <si>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</si>
  <si>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</si>
  <si>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</si>
  <si>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</si>
  <si>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</si>
  <si>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</si>
  <si>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</si>
  <si>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</si>
  <si>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</si>
  <si>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</si>
  <si>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</si>
  <si>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</si>
  <si>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</si>
  <si>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</si>
  <si>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</si>
  <si>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</si>
  <si>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</si>
  <si>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</si>
  <si>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</si>
  <si>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</si>
  <si>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</si>
  <si>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</si>
  <si>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</si>
  <si>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CoreOperatingIncome</t>
  </si>
  <si>
    <t xml:space="preserve">ResearchAndDevelopment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</si>
  <si>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</si>
  <si>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</si>
  <si>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</si>
  <si>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</si>
  <si>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</si>
  <si>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</si>
  <si>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</si>
  <si>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</si>
  <si>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</si>
  <si>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</si>
  <si>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</si>
  <si>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</si>
  <si>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</si>
  <si>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</si>
  <si>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</si>
  <si>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</si>
  <si>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</si>
  <si>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</si>
  <si>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</si>
  <si>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</si>
  <si>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</si>
  <si>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</si>
  <si>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</si>
  <si>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</si>
  <si>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</si>
  <si>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</si>
  <si>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</si>
  <si>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</si>
  <si>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</si>
  <si>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</si>
  <si>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</si>
  <si>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</si>
  <si>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</si>
  <si>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</si>
  <si>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</si>
  <si>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</si>
  <si>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</si>
  <si>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</si>
  <si>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</si>
  <si>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</si>
  <si>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</si>
  <si>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</si>
  <si>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</si>
  <si>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</si>
  <si>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</si>
  <si>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</si>
  <si>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4503.T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</si>
  <si>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</si>
  <si>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</si>
  <si>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</si>
  <si>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</si>
  <si>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</si>
  <si>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</si>
  <si>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</si>
  <si>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</si>
  <si>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</si>
  <si>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</si>
  <si>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</si>
  <si>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</si>
  <si>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</si>
  <si>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</si>
  <si>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</si>
  <si>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</si>
  <si>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</si>
  <si>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</si>
  <si>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</si>
  <si>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</si>
  <si>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</si>
  <si>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</si>
  <si>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</si>
  <si>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</si>
  <si>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</si>
  <si>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</si>
  <si>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</si>
  <si>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</si>
  <si>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</si>
  <si>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</si>
  <si>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4503.T owner-FCF component DCF: base case (millions, JPY)</t>
  </si>
  <si>
    <t xml:space="preserve">4503.T owner-FCF component DCF: bull case (millions, JPY)</t>
  </si>
  <si>
    <t xml:space="preserve">4503.T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</si>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</sst>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2571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1300316</v>
      </c>
      <c r="C2" s="0" t="n">
        <v>294250</v>
      </c>
      <c r="D2" s="0" t="n">
        <v>1006066</v>
      </c>
      <c r="E2" s="0" t="n">
        <v>77.4</v>
      </c>
      <c r="F2" s="0" t="n">
        <v>213258</v>
      </c>
      <c r="G2" s="0" t="n">
        <v>16.4</v>
      </c>
      <c r="H2" s="0" t="n">
        <v>278121</v>
      </c>
      <c r="I2" s="0" t="n">
        <v>164679</v>
      </c>
      <c r="J2" s="0" t="n">
        <v>12.7</v>
      </c>
      <c r="K2" s="0" t="n">
        <v>81.02</v>
      </c>
      <c r="L2" s="0" t="n">
        <v>312614</v>
      </c>
      <c r="M2" s="0" t="n">
        <v>40285</v>
      </c>
      <c r="N2" s="0" t="n">
        <v>272329</v>
      </c>
      <c r="O2" s="0" t="n">
        <v>1268289</v>
      </c>
      <c r="P2" s="0" t="n">
        <v>1858205</v>
      </c>
      <c r="Q2" s="0" t="n">
        <v>589916</v>
      </c>
      <c r="R2" s="0" t="n">
        <v>0</v>
      </c>
      <c r="S2" s="0" t="n">
        <v>331731</v>
      </c>
      <c r="T2" s="0" t="n">
        <v>2032.6</v>
      </c>
      <c r="AA2" s="0" t="s">
        <v>17</v>
      </c>
      <c r="AB2" s="0" t="s">
        <v>14</v>
      </c>
      <c r="AC2" s="0" t="n">
        <v>268698</v>
      </c>
      <c r="AD2" s="0" t="n">
        <v>220781</v>
      </c>
    </row>
    <row r="3" customFormat="false" ht="15" hidden="false" customHeight="false" outlineLevel="0" collapsed="false">
      <c r="A3" s="0" t="s">
        <v>66</v>
      </c>
      <c r="B3" s="0" t="n">
        <v>1306348</v>
      </c>
      <c r="C3" s="0" t="n">
        <v>292050</v>
      </c>
      <c r="D3" s="0" t="n">
        <v>1014299</v>
      </c>
      <c r="E3" s="0" t="n">
        <v>77.6</v>
      </c>
      <c r="F3" s="0" t="n">
        <v>243912</v>
      </c>
      <c r="G3" s="0" t="n">
        <v>18.7</v>
      </c>
      <c r="H3" s="0" t="n">
        <v>307370</v>
      </c>
      <c r="I3" s="0" t="n">
        <v>222265</v>
      </c>
      <c r="J3" s="0" t="n">
        <v>17</v>
      </c>
      <c r="K3" s="0" t="n">
        <v>114.94</v>
      </c>
      <c r="L3" s="0" t="n">
        <v>258630</v>
      </c>
      <c r="M3" s="0" t="n">
        <v>52128</v>
      </c>
      <c r="N3" s="0" t="n">
        <v>206502</v>
      </c>
      <c r="O3" s="0" t="n">
        <v>1258396</v>
      </c>
      <c r="P3" s="0" t="n">
        <v>1897648</v>
      </c>
      <c r="Q3" s="0" t="n">
        <v>639252</v>
      </c>
      <c r="R3" s="0" t="n">
        <v>0</v>
      </c>
      <c r="S3" s="0" t="n">
        <v>311074</v>
      </c>
      <c r="T3" s="0" t="n">
        <v>1933.7</v>
      </c>
      <c r="AA3" s="0" t="s">
        <v>17</v>
      </c>
      <c r="AB3" s="0" t="s">
        <v>14</v>
      </c>
      <c r="AC3" s="0" t="n">
        <v>278514</v>
      </c>
      <c r="AD3" s="0" t="n">
        <v>208682</v>
      </c>
    </row>
    <row r="4" customFormat="false" ht="15" hidden="false" customHeight="false" outlineLevel="0" collapsed="false">
      <c r="A4" s="0" t="s">
        <v>67</v>
      </c>
      <c r="B4" s="0" t="n">
        <v>1300843</v>
      </c>
      <c r="C4" s="0" t="n">
        <v>276739</v>
      </c>
      <c r="D4" s="0" t="n">
        <v>1024104</v>
      </c>
      <c r="E4" s="0" t="n">
        <v>78.7</v>
      </c>
      <c r="F4" s="0" t="n">
        <v>243991</v>
      </c>
      <c r="G4" s="0" t="n">
        <v>18.8</v>
      </c>
      <c r="H4" s="0" t="n">
        <v>310387</v>
      </c>
      <c r="I4" s="0" t="n">
        <v>195411</v>
      </c>
      <c r="J4" s="0" t="n">
        <v>15</v>
      </c>
      <c r="K4" s="0" t="n">
        <v>104.08</v>
      </c>
      <c r="L4" s="0" t="n">
        <v>221998</v>
      </c>
      <c r="M4" s="0" t="n">
        <v>77888</v>
      </c>
      <c r="N4" s="0" t="n">
        <v>144110</v>
      </c>
      <c r="O4" s="0" t="n">
        <v>1289168</v>
      </c>
      <c r="P4" s="0" t="n">
        <v>2318160</v>
      </c>
      <c r="Q4" s="0" t="n">
        <v>1028992</v>
      </c>
      <c r="R4" s="0" t="n">
        <v>326000</v>
      </c>
      <c r="S4" s="0" t="n">
        <v>318391</v>
      </c>
      <c r="T4" s="0" t="n">
        <v>1877.5</v>
      </c>
      <c r="U4" s="0" t="n">
        <v>518</v>
      </c>
      <c r="AA4" s="0" t="s">
        <v>17</v>
      </c>
      <c r="AB4" s="0" t="s">
        <v>14</v>
      </c>
      <c r="AC4" s="0" t="n">
        <v>277758</v>
      </c>
      <c r="AD4" s="0" t="n">
        <v>224226</v>
      </c>
    </row>
    <row r="5" customFormat="false" ht="15" hidden="false" customHeight="false" outlineLevel="0" collapsed="false">
      <c r="A5" s="0" t="s">
        <v>68</v>
      </c>
      <c r="B5" s="0" t="n">
        <v>1249528</v>
      </c>
      <c r="C5" s="0" t="n">
        <v>246063</v>
      </c>
      <c r="D5" s="0" t="n">
        <v>1003465</v>
      </c>
      <c r="E5" s="0" t="n">
        <v>80.3</v>
      </c>
      <c r="F5" s="0" t="n">
        <v>136051</v>
      </c>
      <c r="G5" s="0" t="n">
        <v>10.9</v>
      </c>
      <c r="H5" s="0" t="n">
        <v>208703</v>
      </c>
      <c r="I5" s="0" t="n">
        <v>120589</v>
      </c>
      <c r="J5" s="0" t="n">
        <v>9.7</v>
      </c>
      <c r="K5" s="0" t="n">
        <v>64.9</v>
      </c>
      <c r="L5" s="0" t="n">
        <v>306843</v>
      </c>
      <c r="M5" s="0" t="n">
        <v>77441</v>
      </c>
      <c r="N5" s="0" t="n">
        <v>229402</v>
      </c>
      <c r="O5" s="0" t="n">
        <v>1386115</v>
      </c>
      <c r="P5" s="0" t="n">
        <v>2273628</v>
      </c>
      <c r="Q5" s="0" t="n">
        <v>887513</v>
      </c>
      <c r="R5" s="0" t="n">
        <v>200000</v>
      </c>
      <c r="S5" s="0" t="n">
        <v>326128</v>
      </c>
      <c r="T5" s="0" t="n">
        <v>1858.1</v>
      </c>
      <c r="U5" s="0" t="n">
        <v>768</v>
      </c>
      <c r="AA5" s="0" t="s">
        <v>17</v>
      </c>
      <c r="AB5" s="0" t="s">
        <v>14</v>
      </c>
      <c r="AC5" s="0" t="n">
        <v>251375</v>
      </c>
      <c r="AD5" s="0" t="n">
        <v>224489</v>
      </c>
    </row>
    <row r="6" customFormat="false" ht="15" hidden="false" customHeight="false" outlineLevel="0" collapsed="false">
      <c r="A6" s="0" t="s">
        <v>69</v>
      </c>
      <c r="B6" s="0" t="n">
        <v>1296163</v>
      </c>
      <c r="C6" s="0" t="n">
        <v>253009</v>
      </c>
      <c r="D6" s="0" t="n">
        <v>1043154</v>
      </c>
      <c r="E6" s="0" t="n">
        <v>80.5</v>
      </c>
      <c r="F6" s="0" t="n">
        <v>155686</v>
      </c>
      <c r="G6" s="0" t="n">
        <v>12</v>
      </c>
      <c r="H6" s="0" t="n">
        <v>235370</v>
      </c>
      <c r="I6" s="0" t="n">
        <v>124086</v>
      </c>
      <c r="J6" s="0" t="n">
        <v>9.6</v>
      </c>
      <c r="K6" s="0" t="n">
        <v>67.05</v>
      </c>
      <c r="L6" s="0" t="n">
        <v>257444</v>
      </c>
      <c r="M6" s="0" t="n">
        <v>76448</v>
      </c>
      <c r="N6" s="0" t="n">
        <v>180996</v>
      </c>
      <c r="O6" s="0" t="n">
        <v>1460308</v>
      </c>
      <c r="P6" s="0" t="n">
        <v>2332395</v>
      </c>
      <c r="Q6" s="0" t="n">
        <v>872087</v>
      </c>
      <c r="R6" s="0" t="n">
        <v>140000</v>
      </c>
      <c r="S6" s="0" t="n">
        <v>315986</v>
      </c>
      <c r="T6" s="0" t="n">
        <v>1850.6</v>
      </c>
      <c r="U6" s="0" t="n">
        <v>2028</v>
      </c>
      <c r="AA6" s="0" t="s">
        <v>17</v>
      </c>
      <c r="AB6" s="0" t="s">
        <v>14</v>
      </c>
      <c r="AC6" s="0" t="n">
        <v>244744</v>
      </c>
      <c r="AD6" s="0" t="n">
        <v>246010</v>
      </c>
    </row>
    <row r="7" customFormat="false" ht="15" hidden="false" customHeight="false" outlineLevel="0" collapsed="false">
      <c r="A7" s="0" t="s">
        <v>70</v>
      </c>
      <c r="B7" s="0" t="n">
        <v>1518619</v>
      </c>
      <c r="C7" s="0" t="n">
        <v>288353</v>
      </c>
      <c r="D7" s="0" t="n">
        <v>1230266</v>
      </c>
      <c r="E7" s="0" t="n">
        <v>81</v>
      </c>
      <c r="F7" s="0" t="n">
        <v>133029</v>
      </c>
      <c r="G7" s="0" t="n">
        <v>8.8</v>
      </c>
      <c r="H7" s="0" t="n">
        <v>238767</v>
      </c>
      <c r="I7" s="0" t="n">
        <v>98714</v>
      </c>
      <c r="J7" s="0" t="n">
        <v>6.5</v>
      </c>
      <c r="K7" s="0" t="n">
        <v>54.09</v>
      </c>
      <c r="L7" s="0" t="n">
        <v>327767</v>
      </c>
      <c r="M7" s="0" t="n">
        <v>88541</v>
      </c>
      <c r="N7" s="0" t="n">
        <v>239226</v>
      </c>
      <c r="O7" s="0" t="n">
        <v>1507954</v>
      </c>
      <c r="P7" s="0" t="n">
        <v>2456518</v>
      </c>
      <c r="Q7" s="0" t="n">
        <v>948564</v>
      </c>
      <c r="R7" s="0" t="n">
        <v>125000</v>
      </c>
      <c r="S7" s="0" t="n">
        <v>376840</v>
      </c>
      <c r="T7" s="0" t="n">
        <v>1825</v>
      </c>
      <c r="U7" s="0" t="n">
        <v>3254</v>
      </c>
      <c r="AA7" s="0" t="s">
        <v>17</v>
      </c>
      <c r="AB7" s="0" t="s">
        <v>14</v>
      </c>
      <c r="AC7" s="0" t="n">
        <v>286902</v>
      </c>
      <c r="AD7" s="0" t="n">
        <v>276128</v>
      </c>
    </row>
    <row r="8" customFormat="false" ht="15" hidden="false" customHeight="false" outlineLevel="0" collapsed="false">
      <c r="A8" s="0" t="s">
        <v>71</v>
      </c>
      <c r="B8" s="0" t="n">
        <v>1603672</v>
      </c>
      <c r="C8" s="0" t="n">
        <v>292485</v>
      </c>
      <c r="D8" s="0" t="n">
        <v>1311187</v>
      </c>
      <c r="E8" s="0" t="n">
        <v>81.8</v>
      </c>
      <c r="F8" s="0" t="n">
        <v>25518</v>
      </c>
      <c r="G8" s="0" t="n">
        <v>1.6</v>
      </c>
      <c r="H8" s="0" t="n">
        <v>183358</v>
      </c>
      <c r="I8" s="0" t="n">
        <v>17045</v>
      </c>
      <c r="J8" s="0" t="n">
        <v>1.1</v>
      </c>
      <c r="K8" s="0" t="n">
        <v>9.47</v>
      </c>
      <c r="L8" s="0" t="n">
        <v>172475</v>
      </c>
      <c r="M8" s="0" t="n">
        <v>82497</v>
      </c>
      <c r="N8" s="0" t="n">
        <v>89978</v>
      </c>
      <c r="O8" s="0" t="n">
        <v>1595988</v>
      </c>
      <c r="P8" s="0" t="n">
        <v>3569603</v>
      </c>
      <c r="Q8" s="0" t="n">
        <v>1973615</v>
      </c>
      <c r="R8" s="0" t="n">
        <v>920016</v>
      </c>
      <c r="S8" s="0" t="n">
        <v>335687</v>
      </c>
      <c r="T8" s="0" t="n">
        <v>1799.9</v>
      </c>
      <c r="U8" s="0" t="n">
        <v>4242</v>
      </c>
      <c r="AA8" s="0" t="s">
        <v>17</v>
      </c>
      <c r="AB8" s="0" t="s">
        <v>14</v>
      </c>
      <c r="AC8" s="0" t="n">
        <v>184641</v>
      </c>
      <c r="AD8" s="0" t="n">
        <v>294187</v>
      </c>
    </row>
    <row r="9" customFormat="false" ht="15" hidden="false" customHeight="false" outlineLevel="0" collapsed="false">
      <c r="A9" s="0" t="s">
        <v>72</v>
      </c>
      <c r="B9" s="0" t="n">
        <v>1912323</v>
      </c>
      <c r="C9" s="0" t="n">
        <v>349206</v>
      </c>
      <c r="D9" s="0" t="n">
        <v>1563117</v>
      </c>
      <c r="E9" s="0" t="n">
        <v>81.7</v>
      </c>
      <c r="F9" s="0" t="n">
        <v>41039</v>
      </c>
      <c r="G9" s="0" t="n">
        <v>2.1</v>
      </c>
      <c r="H9" s="0" t="n">
        <v>240171</v>
      </c>
      <c r="I9" s="0" t="n">
        <v>50747</v>
      </c>
      <c r="J9" s="0" t="n">
        <v>2.7</v>
      </c>
      <c r="K9" s="0" t="n">
        <v>28.24</v>
      </c>
      <c r="L9" s="0" t="n">
        <v>194512</v>
      </c>
      <c r="M9" s="0" t="n">
        <v>57330</v>
      </c>
      <c r="N9" s="0" t="n">
        <v>137182</v>
      </c>
      <c r="O9" s="0" t="n">
        <v>1513255</v>
      </c>
      <c r="P9" s="0" t="n">
        <v>3339544</v>
      </c>
      <c r="Q9" s="0" t="n">
        <v>1826289</v>
      </c>
      <c r="R9" s="0" t="n">
        <v>831425</v>
      </c>
      <c r="S9" s="0" t="n">
        <v>188372</v>
      </c>
      <c r="T9" s="0" t="n">
        <v>1797</v>
      </c>
      <c r="U9" s="0" t="n">
        <v>4325</v>
      </c>
      <c r="AA9" s="0" t="s">
        <v>17</v>
      </c>
      <c r="AB9" s="0" t="s">
        <v>14</v>
      </c>
      <c r="AC9" s="0" t="n">
        <v>392435</v>
      </c>
      <c r="AD9" s="0" t="n">
        <v>327651</v>
      </c>
    </row>
    <row r="10" customFormat="false" ht="15" hidden="false" customHeight="false" outlineLevel="0" collapsed="false">
      <c r="A10" s="0" t="s">
        <v>73</v>
      </c>
      <c r="B10" s="0" t="n">
        <v>2139245</v>
      </c>
      <c r="C10" s="0" t="n">
        <v>408426</v>
      </c>
      <c r="D10" s="0" t="n">
        <v>1730820</v>
      </c>
      <c r="E10" s="0" t="n">
        <v>80.9</v>
      </c>
      <c r="F10" s="0" t="n">
        <v>382633</v>
      </c>
      <c r="G10" s="0" t="n">
        <v>17.9</v>
      </c>
      <c r="H10" s="0" t="n">
        <v>577227</v>
      </c>
      <c r="I10" s="0" t="n">
        <v>291535</v>
      </c>
      <c r="J10" s="0" t="n">
        <v>13.6</v>
      </c>
      <c r="K10" s="0" t="n">
        <v>162.22</v>
      </c>
      <c r="L10" s="0" t="n">
        <v>560188</v>
      </c>
      <c r="M10" s="0" t="n">
        <v>84645</v>
      </c>
      <c r="N10" s="0" t="n">
        <v>475543</v>
      </c>
      <c r="O10" s="0" t="n">
        <v>1829044</v>
      </c>
      <c r="P10" s="0" t="n">
        <v>3567042</v>
      </c>
      <c r="Q10" s="0" t="n">
        <v>1736158</v>
      </c>
      <c r="R10" s="0" t="n">
        <v>565952</v>
      </c>
      <c r="S10" s="0" t="n">
        <v>281605</v>
      </c>
      <c r="T10" s="0" t="n">
        <v>1797.2</v>
      </c>
      <c r="U10" s="0" t="n">
        <v>3069</v>
      </c>
      <c r="AA10" s="0" t="s">
        <v>17</v>
      </c>
      <c r="AB10" s="0" t="s">
        <v>14</v>
      </c>
      <c r="AD10" s="0" t="n">
        <v>314827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2571</v>
      </c>
    </row>
    <row r="3" customFormat="false" ht="15" hidden="false" customHeight="false" outlineLevel="0" collapsed="false">
      <c r="A3" s="0" t="s">
        <v>77</v>
      </c>
      <c r="B3" s="3" t="n">
        <v>1799</v>
      </c>
    </row>
    <row r="4" customFormat="false" ht="15" hidden="false" customHeight="false" outlineLevel="0" collapsed="false">
      <c r="A4" s="0" t="s">
        <v>78</v>
      </c>
      <c r="B4" s="3" t="n">
        <v>345172</v>
      </c>
    </row>
    <row r="5" customFormat="false" ht="15" hidden="false" customHeight="false" outlineLevel="0" collapsed="false">
      <c r="A5" s="0" t="s">
        <v>79</v>
      </c>
      <c r="B5" s="3" t="n">
        <v>36754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2139245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3</v>
      </c>
      <c r="D13" s="3" t="n">
        <v>-12</v>
      </c>
      <c r="E13" s="3" t="n">
        <v>-12</v>
      </c>
      <c r="F13" s="3" t="n">
        <v>-4</v>
      </c>
      <c r="G13" s="3" t="n">
        <v>0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98</v>
      </c>
      <c r="C14" s="3" t="n">
        <v>28.5</v>
      </c>
      <c r="D14" s="3" t="n">
        <v>25</v>
      </c>
      <c r="E14" s="3" t="n">
        <v>21.5</v>
      </c>
      <c r="F14" s="3" t="n">
        <v>20.5</v>
      </c>
      <c r="G14" s="3" t="n">
        <v>20.5</v>
      </c>
      <c r="H14" s="3" t="n">
        <v>21</v>
      </c>
      <c r="I14" s="3" t="n">
        <v>21.5</v>
      </c>
      <c r="J14" s="3" t="n">
        <v>22</v>
      </c>
      <c r="K14" s="3" t="n">
        <v>22</v>
      </c>
      <c r="L14" s="3" t="n">
        <v>22</v>
      </c>
    </row>
    <row r="15" customFormat="false" ht="15" hidden="false" customHeight="false" outlineLevel="0" collapsed="false">
      <c r="A15" s="0" t="s">
        <v>99</v>
      </c>
      <c r="C15" s="3" t="n">
        <v>0.14</v>
      </c>
      <c r="D15" s="3" t="n">
        <v>0.14</v>
      </c>
      <c r="E15" s="3" t="n">
        <v>0.14</v>
      </c>
      <c r="F15" s="3" t="n">
        <v>0.14</v>
      </c>
      <c r="G15" s="3" t="n">
        <v>0.14</v>
      </c>
      <c r="H15" s="3" t="n">
        <v>0.14</v>
      </c>
      <c r="I15" s="3" t="n">
        <v>0.14</v>
      </c>
      <c r="J15" s="3" t="n">
        <v>0.14</v>
      </c>
      <c r="K15" s="3" t="n">
        <v>0.14</v>
      </c>
      <c r="L15" s="3" t="n">
        <v>0.14</v>
      </c>
    </row>
    <row r="16" customFormat="false" ht="15" hidden="false" customHeight="false" outlineLevel="0" collapsed="false">
      <c r="A16" s="0" t="s">
        <v>100</v>
      </c>
      <c r="C16" s="3" t="n">
        <v>0.9</v>
      </c>
      <c r="D16" s="3" t="n">
        <v>0.9</v>
      </c>
      <c r="E16" s="3" t="n">
        <v>0.9</v>
      </c>
      <c r="F16" s="3" t="n">
        <v>0.9</v>
      </c>
      <c r="G16" s="3" t="n">
        <v>0.9</v>
      </c>
      <c r="H16" s="3" t="n">
        <v>0.9</v>
      </c>
      <c r="I16" s="3" t="n">
        <v>0.9</v>
      </c>
      <c r="J16" s="3" t="n">
        <v>0.9</v>
      </c>
      <c r="K16" s="3" t="n">
        <v>0.9</v>
      </c>
      <c r="L16" s="3" t="n">
        <v>0.9</v>
      </c>
    </row>
    <row r="17" customFormat="false" ht="15" hidden="false" customHeight="false" outlineLevel="0" collapsed="false">
      <c r="A17" s="0" t="s">
        <v>101</v>
      </c>
      <c r="C17" s="3" t="n">
        <v>8.5</v>
      </c>
      <c r="D17" s="3" t="n">
        <v>9.5</v>
      </c>
      <c r="E17" s="3" t="n">
        <v>10.5</v>
      </c>
      <c r="F17" s="3" t="n">
        <v>10</v>
      </c>
      <c r="G17" s="3" t="n">
        <v>9.5</v>
      </c>
      <c r="H17" s="3" t="n">
        <v>9</v>
      </c>
      <c r="I17" s="3" t="n">
        <v>8.5</v>
      </c>
      <c r="J17" s="3" t="n">
        <v>8</v>
      </c>
      <c r="K17" s="3" t="n">
        <v>7.5</v>
      </c>
      <c r="L17" s="3" t="n">
        <v>7</v>
      </c>
    </row>
    <row r="18" customFormat="false" ht="15" hidden="false" customHeight="false" outlineLevel="0" collapsed="false">
      <c r="A18" s="0" t="s">
        <v>102</v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 customFormat="false" ht="15" hidden="false" customHeight="false" outlineLevel="0" collapsed="false">
      <c r="A19" s="0" t="s">
        <v>103</v>
      </c>
      <c r="C19" s="3" t="n">
        <v>24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104</v>
      </c>
      <c r="B20" s="3" t="n">
        <v>7</v>
      </c>
    </row>
    <row r="21" customFormat="false" ht="15" hidden="false" customHeight="false" outlineLevel="0" collapsed="false">
      <c r="A21" s="0" t="s">
        <v>105</v>
      </c>
      <c r="B21" s="3" t="n">
        <v>1</v>
      </c>
    </row>
    <row r="22" customFormat="false" ht="15" hidden="false" customHeight="false" outlineLevel="0" collapsed="false">
      <c r="A22" s="0" t="s">
        <v>106</v>
      </c>
      <c r="B22" s="3" t="n">
        <v>13</v>
      </c>
    </row>
    <row r="23" customFormat="false" ht="15" hidden="false" customHeight="false" outlineLevel="0" collapsed="false">
      <c r="A23" s="0" t="s">
        <v>107</v>
      </c>
      <c r="B23" s="3" t="n">
        <v>-15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3.8</v>
      </c>
      <c r="D27" s="3" t="n">
        <v>-7.7</v>
      </c>
      <c r="E27" s="3" t="n">
        <v>-8.1</v>
      </c>
      <c r="F27" s="3" t="n">
        <v>-0.7</v>
      </c>
      <c r="G27" s="3" t="n">
        <v>2</v>
      </c>
      <c r="H27" s="3" t="n">
        <v>2.7</v>
      </c>
      <c r="I27" s="3" t="n">
        <v>1.9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29</v>
      </c>
      <c r="D28" s="3" t="n">
        <v>27</v>
      </c>
      <c r="E28" s="3" t="n">
        <v>24.5</v>
      </c>
      <c r="F28" s="3" t="n">
        <v>24</v>
      </c>
      <c r="G28" s="3" t="n">
        <v>24.5</v>
      </c>
      <c r="H28" s="3" t="n">
        <v>25</v>
      </c>
      <c r="I28" s="3" t="n">
        <v>25.5</v>
      </c>
      <c r="J28" s="3" t="n">
        <v>26</v>
      </c>
      <c r="K28" s="3" t="n">
        <v>26</v>
      </c>
      <c r="L28" s="3" t="n">
        <v>26</v>
      </c>
    </row>
    <row r="29" customFormat="false" ht="15" hidden="false" customHeight="false" outlineLevel="0" collapsed="false">
      <c r="A29" s="0" t="s">
        <v>99</v>
      </c>
      <c r="C29" s="3" t="n">
        <v>0.14</v>
      </c>
      <c r="D29" s="3" t="n">
        <v>0.14</v>
      </c>
      <c r="E29" s="3" t="n">
        <v>0.14</v>
      </c>
      <c r="F29" s="3" t="n">
        <v>0.14</v>
      </c>
      <c r="G29" s="3" t="n">
        <v>0.14</v>
      </c>
      <c r="H29" s="3" t="n">
        <v>0.14</v>
      </c>
      <c r="I29" s="3" t="n">
        <v>0.14</v>
      </c>
      <c r="J29" s="3" t="n">
        <v>0.14</v>
      </c>
      <c r="K29" s="3" t="n">
        <v>0.14</v>
      </c>
      <c r="L29" s="3" t="n">
        <v>0.14</v>
      </c>
    </row>
    <row r="30" customFormat="false" ht="15" hidden="false" customHeight="false" outlineLevel="0" collapsed="false">
      <c r="A30" s="0" t="s">
        <v>100</v>
      </c>
      <c r="C30" s="3" t="n">
        <v>0.9</v>
      </c>
      <c r="D30" s="3" t="n">
        <v>0.9</v>
      </c>
      <c r="E30" s="3" t="n">
        <v>0.9</v>
      </c>
      <c r="F30" s="3" t="n">
        <v>0.9</v>
      </c>
      <c r="G30" s="3" t="n">
        <v>0.9</v>
      </c>
      <c r="H30" s="3" t="n">
        <v>0.9</v>
      </c>
      <c r="I30" s="3" t="n">
        <v>0.9</v>
      </c>
      <c r="J30" s="3" t="n">
        <v>0.9</v>
      </c>
      <c r="K30" s="3" t="n">
        <v>0.9</v>
      </c>
      <c r="L30" s="3" t="n">
        <v>0.9</v>
      </c>
    </row>
    <row r="31" customFormat="false" ht="15" hidden="false" customHeight="false" outlineLevel="0" collapsed="false">
      <c r="A31" s="0" t="s">
        <v>101</v>
      </c>
      <c r="C31" s="3" t="n">
        <v>8.5</v>
      </c>
      <c r="D31" s="3" t="n">
        <v>9</v>
      </c>
      <c r="E31" s="3" t="n">
        <v>9.5</v>
      </c>
      <c r="F31" s="3" t="n">
        <v>9</v>
      </c>
      <c r="G31" s="3" t="n">
        <v>8.5</v>
      </c>
      <c r="H31" s="3" t="n">
        <v>8</v>
      </c>
      <c r="I31" s="3" t="n">
        <v>7.5</v>
      </c>
      <c r="J31" s="3" t="n">
        <v>7</v>
      </c>
      <c r="K31" s="3" t="n">
        <v>6.5</v>
      </c>
      <c r="L31" s="3" t="n">
        <v>6</v>
      </c>
    </row>
    <row r="32" customFormat="false" ht="15" hidden="false" customHeight="false" outlineLevel="0" collapsed="false">
      <c r="A32" s="0" t="s">
        <v>102</v>
      </c>
      <c r="C32" s="3" t="n">
        <v>4</v>
      </c>
      <c r="D32" s="3" t="n">
        <v>4</v>
      </c>
      <c r="E32" s="3" t="n">
        <v>4</v>
      </c>
      <c r="F32" s="3" t="n">
        <v>4</v>
      </c>
      <c r="G32" s="3" t="n">
        <v>4</v>
      </c>
      <c r="H32" s="3" t="n">
        <v>4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103</v>
      </c>
      <c r="C33" s="3" t="n">
        <v>24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104</v>
      </c>
      <c r="B34" s="3" t="n">
        <v>7</v>
      </c>
    </row>
    <row r="35" customFormat="false" ht="15" hidden="false" customHeight="false" outlineLevel="0" collapsed="false">
      <c r="A35" s="0" t="s">
        <v>105</v>
      </c>
      <c r="B35" s="3" t="n">
        <v>1.5</v>
      </c>
    </row>
    <row r="36" customFormat="false" ht="15" hidden="false" customHeight="false" outlineLevel="0" collapsed="false">
      <c r="A36" s="0" t="s">
        <v>106</v>
      </c>
      <c r="B36" s="3" t="n">
        <v>15</v>
      </c>
    </row>
    <row r="37" customFormat="false" ht="15" hidden="false" customHeight="false" outlineLevel="0" collapsed="false">
      <c r="A37" s="0" t="s">
        <v>107</v>
      </c>
      <c r="B37" s="3" t="n">
        <v>-15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4.5</v>
      </c>
      <c r="D41" s="3" t="n">
        <v>-2</v>
      </c>
      <c r="E41" s="3" t="n">
        <v>-4</v>
      </c>
      <c r="F41" s="3" t="n">
        <v>2</v>
      </c>
      <c r="G41" s="3" t="n">
        <v>4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29.5</v>
      </c>
      <c r="D42" s="3" t="n">
        <v>28.5</v>
      </c>
      <c r="E42" s="3" t="n">
        <v>27</v>
      </c>
      <c r="F42" s="3" t="n">
        <v>27</v>
      </c>
      <c r="G42" s="3" t="n">
        <v>27.5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</row>
    <row r="43" customFormat="false" ht="15" hidden="false" customHeight="false" outlineLevel="0" collapsed="false">
      <c r="A43" s="0" t="s">
        <v>99</v>
      </c>
      <c r="C43" s="3" t="n">
        <v>0.14</v>
      </c>
      <c r="D43" s="3" t="n">
        <v>0.14</v>
      </c>
      <c r="E43" s="3" t="n">
        <v>0.14</v>
      </c>
      <c r="F43" s="3" t="n">
        <v>0.14</v>
      </c>
      <c r="G43" s="3" t="n">
        <v>0.14</v>
      </c>
      <c r="H43" s="3" t="n">
        <v>0.14</v>
      </c>
      <c r="I43" s="3" t="n">
        <v>0.14</v>
      </c>
      <c r="J43" s="3" t="n">
        <v>0.14</v>
      </c>
      <c r="K43" s="3" t="n">
        <v>0.14</v>
      </c>
      <c r="L43" s="3" t="n">
        <v>0.14</v>
      </c>
    </row>
    <row r="44" customFormat="false" ht="15" hidden="false" customHeight="false" outlineLevel="0" collapsed="false">
      <c r="A44" s="0" t="s">
        <v>100</v>
      </c>
      <c r="C44" s="3" t="n">
        <v>0.9</v>
      </c>
      <c r="D44" s="3" t="n">
        <v>0.9</v>
      </c>
      <c r="E44" s="3" t="n">
        <v>0.9</v>
      </c>
      <c r="F44" s="3" t="n">
        <v>0.9</v>
      </c>
      <c r="G44" s="3" t="n">
        <v>0.9</v>
      </c>
      <c r="H44" s="3" t="n">
        <v>0.9</v>
      </c>
      <c r="I44" s="3" t="n">
        <v>0.9</v>
      </c>
      <c r="J44" s="3" t="n">
        <v>0.9</v>
      </c>
      <c r="K44" s="3" t="n">
        <v>0.9</v>
      </c>
      <c r="L44" s="3" t="n">
        <v>0.9</v>
      </c>
    </row>
    <row r="45" customFormat="false" ht="15" hidden="false" customHeight="false" outlineLevel="0" collapsed="false">
      <c r="A45" s="0" t="s">
        <v>101</v>
      </c>
      <c r="C45" s="3" t="n">
        <v>8.5</v>
      </c>
      <c r="D45" s="3" t="n">
        <v>8.8</v>
      </c>
      <c r="E45" s="3" t="n">
        <v>9</v>
      </c>
      <c r="F45" s="3" t="n">
        <v>8.5</v>
      </c>
      <c r="G45" s="3" t="n">
        <v>8</v>
      </c>
      <c r="H45" s="3" t="n">
        <v>7.5</v>
      </c>
      <c r="I45" s="3" t="n">
        <v>7</v>
      </c>
      <c r="J45" s="3" t="n">
        <v>6.5</v>
      </c>
      <c r="K45" s="3" t="n">
        <v>6</v>
      </c>
      <c r="L45" s="3" t="n">
        <v>6</v>
      </c>
    </row>
    <row r="46" customFormat="false" ht="15" hidden="false" customHeight="false" outlineLevel="0" collapsed="false">
      <c r="A46" s="0" t="s">
        <v>102</v>
      </c>
      <c r="C46" s="3" t="n">
        <v>4</v>
      </c>
      <c r="D46" s="3" t="n">
        <v>4</v>
      </c>
      <c r="E46" s="3" t="n">
        <v>4</v>
      </c>
      <c r="F46" s="3" t="n">
        <v>4</v>
      </c>
      <c r="G46" s="3" t="n">
        <v>4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103</v>
      </c>
      <c r="C47" s="3" t="n">
        <v>24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104</v>
      </c>
      <c r="B48" s="3" t="n">
        <v>7</v>
      </c>
    </row>
    <row r="49" customFormat="false" ht="15" hidden="false" customHeight="false" outlineLevel="0" collapsed="false">
      <c r="A49" s="0" t="s">
        <v>105</v>
      </c>
      <c r="B49" s="3" t="n">
        <v>1.5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-15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3</v>
      </c>
      <c r="D5" s="4" t="n">
        <f aca="false">Assumptions!D13</f>
        <v>-12</v>
      </c>
      <c r="E5" s="4" t="n">
        <f aca="false">Assumptions!E13</f>
        <v>-12</v>
      </c>
      <c r="F5" s="4" t="n">
        <f aca="false">Assumptions!F13</f>
        <v>-4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2139245</v>
      </c>
      <c r="C6" s="0" t="n">
        <f aca="false">B6*(1+C5/100)</f>
        <v>2203422.35</v>
      </c>
      <c r="D6" s="0" t="n">
        <f aca="false">C6*(1+D5/100)</f>
        <v>1939011.668</v>
      </c>
      <c r="E6" s="0" t="n">
        <f aca="false">D6*(1+E5/100)</f>
        <v>1706330.26784</v>
      </c>
      <c r="F6" s="0" t="n">
        <f aca="false">E6*(1+F5/100)</f>
        <v>1638077.0571264</v>
      </c>
      <c r="G6" s="0" t="n">
        <f aca="false">F6*(1+G5/100)</f>
        <v>1638077.0571264</v>
      </c>
      <c r="H6" s="0" t="n">
        <f aca="false">G6*(1+H5/100)</f>
        <v>1654457.82769766</v>
      </c>
      <c r="I6" s="0" t="n">
        <f aca="false">H6*(1+I5/100)</f>
        <v>1671002.40597464</v>
      </c>
      <c r="J6" s="0" t="n">
        <f aca="false">I6*(1+J5/100)</f>
        <v>1687712.43003439</v>
      </c>
      <c r="K6" s="0" t="n">
        <f aca="false">J6*(1+K5/100)</f>
        <v>1704589.55433473</v>
      </c>
      <c r="L6" s="0" t="n">
        <f aca="false">K6*(1+L5/100)</f>
        <v>1721635.44987808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28.5</v>
      </c>
      <c r="D7" s="4" t="n">
        <f aca="false">Assumptions!D14</f>
        <v>25</v>
      </c>
      <c r="E7" s="4" t="n">
        <f aca="false">Assumptions!E14</f>
        <v>21.5</v>
      </c>
      <c r="F7" s="4" t="n">
        <f aca="false">Assumptions!F14</f>
        <v>20.5</v>
      </c>
      <c r="G7" s="4" t="n">
        <f aca="false">Assumptions!G14</f>
        <v>20.5</v>
      </c>
      <c r="H7" s="4" t="n">
        <f aca="false">Assumptions!H14</f>
        <v>21</v>
      </c>
      <c r="I7" s="4" t="n">
        <f aca="false">Assumptions!I14</f>
        <v>21.5</v>
      </c>
      <c r="J7" s="4" t="n">
        <f aca="false">Assumptions!J14</f>
        <v>22</v>
      </c>
      <c r="K7" s="4" t="n">
        <f aca="false">Assumptions!K14</f>
        <v>22</v>
      </c>
      <c r="L7" s="4" t="n">
        <f aca="false">Assumptions!L14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627975.36975</v>
      </c>
      <c r="D8" s="0" t="n">
        <f aca="false">D6*D7/100</f>
        <v>484752.917</v>
      </c>
      <c r="E8" s="0" t="n">
        <f aca="false">E6*E7/100</f>
        <v>366861.0075856</v>
      </c>
      <c r="F8" s="0" t="n">
        <f aca="false">F6*F7/100</f>
        <v>335805.796710912</v>
      </c>
      <c r="G8" s="0" t="n">
        <f aca="false">G6*G7/100</f>
        <v>335805.796710912</v>
      </c>
      <c r="H8" s="0" t="n">
        <f aca="false">H6*H7/100</f>
        <v>347436.143816509</v>
      </c>
      <c r="I8" s="0" t="n">
        <f aca="false">I6*I7/100</f>
        <v>359265.517284548</v>
      </c>
      <c r="J8" s="0" t="n">
        <f aca="false">J6*J7/100</f>
        <v>371296.734607565</v>
      </c>
      <c r="K8" s="0" t="n">
        <f aca="false">K6*K7/100</f>
        <v>375009.701953641</v>
      </c>
      <c r="L8" s="0" t="n">
        <f aca="false">L6*L7/100</f>
        <v>378759.798973177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0.14</v>
      </c>
      <c r="D9" s="4" t="n">
        <f aca="false">Assumptions!D15</f>
        <v>0.14</v>
      </c>
      <c r="E9" s="4" t="n">
        <f aca="false">Assumptions!E15</f>
        <v>0.14</v>
      </c>
      <c r="F9" s="4" t="n">
        <f aca="false">Assumptions!F15</f>
        <v>0.14</v>
      </c>
      <c r="G9" s="4" t="n">
        <f aca="false">Assumptions!G15</f>
        <v>0.14</v>
      </c>
      <c r="H9" s="4" t="n">
        <f aca="false">Assumptions!H15</f>
        <v>0.14</v>
      </c>
      <c r="I9" s="4" t="n">
        <f aca="false">Assumptions!I15</f>
        <v>0.14</v>
      </c>
      <c r="J9" s="4" t="n">
        <f aca="false">Assumptions!J15</f>
        <v>0.14</v>
      </c>
      <c r="K9" s="4" t="n">
        <f aca="false">Assumptions!K15</f>
        <v>0.14</v>
      </c>
      <c r="L9" s="4" t="n">
        <f aca="false">Assumptions!L15</f>
        <v>0.14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-3084.79129</v>
      </c>
      <c r="D10" s="0" t="n">
        <f aca="false">-D6*D9/100</f>
        <v>-2714.6163352</v>
      </c>
      <c r="E10" s="0" t="n">
        <f aca="false">-E6*E9/100</f>
        <v>-2388.862374976</v>
      </c>
      <c r="F10" s="0" t="n">
        <f aca="false">-F6*F9/100</f>
        <v>-2293.30787997696</v>
      </c>
      <c r="G10" s="0" t="n">
        <f aca="false">-G6*G9/100</f>
        <v>-2293.30787997696</v>
      </c>
      <c r="H10" s="0" t="n">
        <f aca="false">-H6*H9/100</f>
        <v>-2316.24095877673</v>
      </c>
      <c r="I10" s="0" t="n">
        <f aca="false">-I6*I9/100</f>
        <v>-2339.4033683645</v>
      </c>
      <c r="J10" s="0" t="n">
        <f aca="false">-J6*J9/100</f>
        <v>-2362.79740204814</v>
      </c>
      <c r="K10" s="0" t="n">
        <f aca="false">-K6*K9/100</f>
        <v>-2386.42537606862</v>
      </c>
      <c r="L10" s="0" t="n">
        <f aca="false">-L6*L9/100</f>
        <v>-2410.28962982931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605059.77731</v>
      </c>
      <c r="D11" s="0" t="n">
        <f aca="false">D8+D10+D24</f>
        <v>464587.1956528</v>
      </c>
      <c r="E11" s="0" t="n">
        <f aca="false">E8+E10+E24</f>
        <v>349115.172800064</v>
      </c>
      <c r="F11" s="0" t="n">
        <f aca="false">F8+F10+F24</f>
        <v>318769.795316797</v>
      </c>
      <c r="G11" s="0" t="n">
        <f aca="false">G8+G10+G24</f>
        <v>318769.795316797</v>
      </c>
      <c r="H11" s="0" t="n">
        <f aca="false">H8+H10+H24</f>
        <v>330229.782408454</v>
      </c>
      <c r="I11" s="0" t="n">
        <f aca="false">I8+I10+I24</f>
        <v>341887.092262412</v>
      </c>
      <c r="J11" s="0" t="n">
        <f aca="false">J8+J10+J24</f>
        <v>353744.525335208</v>
      </c>
      <c r="K11" s="0" t="n">
        <f aca="false">K8+K10+K24</f>
        <v>357281.97058856</v>
      </c>
      <c r="L11" s="0" t="n">
        <f aca="false">L8+L10+L24</f>
        <v>360854.790294445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-187290.89975</v>
      </c>
      <c r="D12" s="4" t="n">
        <f aca="false">-D6*Assumptions!D17/100</f>
        <v>-184206.10846</v>
      </c>
      <c r="E12" s="4" t="n">
        <f aca="false">-E6*Assumptions!E17/100</f>
        <v>-179164.6781232</v>
      </c>
      <c r="F12" s="4" t="n">
        <f aca="false">-F6*Assumptions!F17/100</f>
        <v>-163807.70571264</v>
      </c>
      <c r="G12" s="4" t="n">
        <f aca="false">-G6*Assumptions!G17/100</f>
        <v>-155617.320427008</v>
      </c>
      <c r="H12" s="4" t="n">
        <f aca="false">-H6*Assumptions!H17/100</f>
        <v>-148901.20449279</v>
      </c>
      <c r="I12" s="4" t="n">
        <f aca="false">-I6*Assumptions!I17/100</f>
        <v>-142035.204507844</v>
      </c>
      <c r="J12" s="4" t="n">
        <f aca="false">-J6*Assumptions!J17/100</f>
        <v>-135016.994402751</v>
      </c>
      <c r="K12" s="4" t="n">
        <f aca="false">-K6*Assumptions!K17/100</f>
        <v>-127844.216575105</v>
      </c>
      <c r="L12" s="4" t="n">
        <f aca="false">-L6*Assumptions!L17/100</f>
        <v>-120514.481491466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417768.87756</v>
      </c>
      <c r="D13" s="0" t="n">
        <f aca="false">D11+D12</f>
        <v>280381.0871928</v>
      </c>
      <c r="E13" s="0" t="n">
        <f aca="false">E11+E12</f>
        <v>169950.494676864</v>
      </c>
      <c r="F13" s="0" t="n">
        <f aca="false">F11+F12</f>
        <v>154962.089604157</v>
      </c>
      <c r="G13" s="0" t="n">
        <f aca="false">G11+G12</f>
        <v>163152.474889789</v>
      </c>
      <c r="H13" s="0" t="n">
        <f aca="false">H11+H12</f>
        <v>181328.577915664</v>
      </c>
      <c r="I13" s="0" t="n">
        <f aca="false">I11+I12</f>
        <v>199851.887754567</v>
      </c>
      <c r="J13" s="0" t="n">
        <f aca="false">J11+J12</f>
        <v>218727.530932457</v>
      </c>
      <c r="K13" s="0" t="n">
        <f aca="false">K11+K12</f>
        <v>229437.754013455</v>
      </c>
      <c r="L13" s="0" t="n">
        <f aca="false">L11+L12</f>
        <v>240340.30880298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24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317504.3469456</v>
      </c>
      <c r="D15" s="0" t="n">
        <f aca="false">D13-MAX(0,D13)*D14/100</f>
        <v>210285.8153946</v>
      </c>
      <c r="E15" s="0" t="n">
        <f aca="false">E13-MAX(0,E13)*E14/100</f>
        <v>127462.871007648</v>
      </c>
      <c r="F15" s="0" t="n">
        <f aca="false">F13-MAX(0,F13)*F14/100</f>
        <v>116221.567203118</v>
      </c>
      <c r="G15" s="0" t="n">
        <f aca="false">G13-MAX(0,G13)*G14/100</f>
        <v>122364.356167342</v>
      </c>
      <c r="H15" s="0" t="n">
        <f aca="false">H13-MAX(0,H13)*H14/100</f>
        <v>135996.433436748</v>
      </c>
      <c r="I15" s="0" t="n">
        <f aca="false">I13-MAX(0,I13)*I14/100</f>
        <v>149888.915815925</v>
      </c>
      <c r="J15" s="0" t="n">
        <f aca="false">J13-MAX(0,J13)*J14/100</f>
        <v>164045.648199342</v>
      </c>
      <c r="K15" s="0" t="n">
        <f aca="false">K13-MAX(0,K13)*K14/100</f>
        <v>172078.315510091</v>
      </c>
      <c r="L15" s="0" t="n">
        <f aca="false">L13-MAX(0,L13)*L14/100</f>
        <v>180255.231602235</v>
      </c>
    </row>
    <row r="16" customFormat="false" ht="15" hidden="false" customHeight="false" outlineLevel="0" collapsed="false">
      <c r="A16" s="0" t="s">
        <v>119</v>
      </c>
      <c r="C16" s="0" t="n">
        <f aca="false">-C12</f>
        <v>187290.89975</v>
      </c>
      <c r="D16" s="0" t="n">
        <f aca="false">-D12</f>
        <v>184206.10846</v>
      </c>
      <c r="E16" s="0" t="n">
        <f aca="false">-E12</f>
        <v>179164.6781232</v>
      </c>
      <c r="F16" s="0" t="n">
        <f aca="false">-F12</f>
        <v>163807.70571264</v>
      </c>
      <c r="G16" s="0" t="n">
        <f aca="false">-G12</f>
        <v>155617.320427008</v>
      </c>
      <c r="H16" s="0" t="n">
        <f aca="false">-H12</f>
        <v>148901.20449279</v>
      </c>
      <c r="I16" s="0" t="n">
        <f aca="false">-I12</f>
        <v>142035.204507844</v>
      </c>
      <c r="J16" s="0" t="n">
        <f aca="false">-J12</f>
        <v>135016.994402751</v>
      </c>
      <c r="K16" s="0" t="n">
        <f aca="false">-K12</f>
        <v>127844.216575105</v>
      </c>
      <c r="L16" s="0" t="n">
        <f aca="false">-L12</f>
        <v>120514.481491466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-88136.894</v>
      </c>
      <c r="D17" s="4" t="n">
        <f aca="false">-D6*Assumptions!D18/100</f>
        <v>-77560.46672</v>
      </c>
      <c r="E17" s="4" t="n">
        <f aca="false">-E6*Assumptions!E18/100</f>
        <v>-68253.2107136</v>
      </c>
      <c r="F17" s="4" t="n">
        <f aca="false">-F6*Assumptions!F18/100</f>
        <v>-65523.082285056</v>
      </c>
      <c r="G17" s="4" t="n">
        <f aca="false">-G6*Assumptions!G18/100</f>
        <v>-65523.082285056</v>
      </c>
      <c r="H17" s="4" t="n">
        <f aca="false">-H6*Assumptions!H18/100</f>
        <v>-66178.3131079066</v>
      </c>
      <c r="I17" s="4" t="n">
        <f aca="false">-I6*Assumptions!I18/100</f>
        <v>-66840.0962389856</v>
      </c>
      <c r="J17" s="4" t="n">
        <f aca="false">-J6*Assumptions!J18/100</f>
        <v>-67508.4972013755</v>
      </c>
      <c r="K17" s="4" t="n">
        <f aca="false">-K6*Assumptions!K18/100</f>
        <v>-68183.5821733892</v>
      </c>
      <c r="L17" s="4" t="n">
        <f aca="false">-L6*Assumptions!L18/100</f>
        <v>-68865.4179951231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-9626.60250000001</v>
      </c>
      <c r="D18" s="4" t="n">
        <f aca="false">(D6-C6)*Assumptions!$B$23/100</f>
        <v>39661.6023</v>
      </c>
      <c r="E18" s="4" t="n">
        <f aca="false">(E6-D6)*Assumptions!$B$23/100</f>
        <v>34902.210024</v>
      </c>
      <c r="F18" s="4" t="n">
        <f aca="false">(F6-E6)*Assumptions!$B$23/100</f>
        <v>10237.98160704</v>
      </c>
      <c r="G18" s="4" t="n">
        <f aca="false">(G6-F6)*Assumptions!$B$23/100</f>
        <v>-0</v>
      </c>
      <c r="H18" s="4" t="n">
        <f aca="false">(H6-G6)*Assumptions!$B$23/100</f>
        <v>-2457.1155856896</v>
      </c>
      <c r="I18" s="4" t="n">
        <f aca="false">(I6-H6)*Assumptions!$B$23/100</f>
        <v>-2481.68674154651</v>
      </c>
      <c r="J18" s="4" t="n">
        <f aca="false">(J6-I6)*Assumptions!$B$23/100</f>
        <v>-2506.50360896196</v>
      </c>
      <c r="K18" s="4" t="n">
        <f aca="false">(K6-J6)*Assumptions!$B$23/100</f>
        <v>-2531.56864505159</v>
      </c>
      <c r="L18" s="4" t="n">
        <f aca="false">(L6-K6)*Assumptions!$B$23/100</f>
        <v>-2556.8843315021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407031.7501956</v>
      </c>
      <c r="D19" s="0" t="n">
        <f aca="false">D15+D16+D17+D18</f>
        <v>356593.0594346</v>
      </c>
      <c r="E19" s="0" t="n">
        <f aca="false">E15+E16+E17+E18</f>
        <v>273276.548441248</v>
      </c>
      <c r="F19" s="0" t="n">
        <f aca="false">F15+F16+F17+F18</f>
        <v>224744.172237742</v>
      </c>
      <c r="G19" s="0" t="n">
        <f aca="false">G15+G16+G17+G18</f>
        <v>212458.594309294</v>
      </c>
      <c r="H19" s="0" t="n">
        <f aca="false">H15+H16+H17+H18</f>
        <v>216262.209235942</v>
      </c>
      <c r="I19" s="0" t="n">
        <f aca="false">I15+I16+I17+I18</f>
        <v>222602.337343238</v>
      </c>
      <c r="J19" s="0" t="n">
        <f aca="false">J15+J16+J17+J18</f>
        <v>229047.641791756</v>
      </c>
      <c r="K19" s="0" t="n">
        <f aca="false">K15+K16+K17+K18</f>
        <v>229207.381266755</v>
      </c>
      <c r="L19" s="0" t="n">
        <f aca="false">L15+L16+L17+L18</f>
        <v>229347.410767075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380403.504855701</v>
      </c>
      <c r="D21" s="0" t="n">
        <f aca="false">D19*D20</f>
        <v>311462.188343611</v>
      </c>
      <c r="E21" s="0" t="n">
        <f aca="false">E19*E20</f>
        <v>223075.066296651</v>
      </c>
      <c r="F21" s="0" t="n">
        <f aca="false">F19*F20</f>
        <v>171456.252935758</v>
      </c>
      <c r="G21" s="0" t="n">
        <f aca="false">G19*G20</f>
        <v>151480.041455054</v>
      </c>
      <c r="H21" s="0" t="n">
        <f aca="false">H19*H20</f>
        <v>144104.641429749</v>
      </c>
      <c r="I21" s="0" t="n">
        <f aca="false">I19*I20</f>
        <v>138625.548123408</v>
      </c>
      <c r="J21" s="0" t="n">
        <f aca="false">J19*J20</f>
        <v>133307.812901954</v>
      </c>
      <c r="K21" s="0" t="n">
        <f aca="false">K19*K20</f>
        <v>124673.628720338</v>
      </c>
      <c r="L21" s="0" t="n">
        <f aca="false">L19*L20</f>
        <v>116588.593916373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0.9</v>
      </c>
      <c r="D23" s="4" t="n">
        <f aca="false">Assumptions!D16</f>
        <v>0.9</v>
      </c>
      <c r="E23" s="4" t="n">
        <f aca="false">Assumptions!E16</f>
        <v>0.9</v>
      </c>
      <c r="F23" s="4" t="n">
        <f aca="false">Assumptions!F16</f>
        <v>0.9</v>
      </c>
      <c r="G23" s="4" t="n">
        <f aca="false">Assumptions!G16</f>
        <v>0.9</v>
      </c>
      <c r="H23" s="4" t="n">
        <f aca="false">Assumptions!H16</f>
        <v>0.9</v>
      </c>
      <c r="I23" s="4" t="n">
        <f aca="false">Assumptions!I16</f>
        <v>0.9</v>
      </c>
      <c r="J23" s="4" t="n">
        <f aca="false">Assumptions!J16</f>
        <v>0.9</v>
      </c>
      <c r="K23" s="4" t="n">
        <f aca="false">Assumptions!K16</f>
        <v>0.9</v>
      </c>
      <c r="L23" s="4" t="n">
        <f aca="false">Assumptions!L16</f>
        <v>0.9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-19830.80115</v>
      </c>
      <c r="D24" s="0" t="n">
        <f aca="false">-D6*D23/100</f>
        <v>-17451.105012</v>
      </c>
      <c r="E24" s="0" t="n">
        <f aca="false">-E6*E23/100</f>
        <v>-15356.97241056</v>
      </c>
      <c r="F24" s="0" t="n">
        <f aca="false">-F6*F23/100</f>
        <v>-14742.6935141376</v>
      </c>
      <c r="G24" s="0" t="n">
        <f aca="false">-G6*G23/100</f>
        <v>-14742.6935141376</v>
      </c>
      <c r="H24" s="0" t="n">
        <f aca="false">-H6*H23/100</f>
        <v>-14890.120449279</v>
      </c>
      <c r="I24" s="0" t="n">
        <f aca="false">-I6*I23/100</f>
        <v>-15039.0216537718</v>
      </c>
      <c r="J24" s="0" t="n">
        <f aca="false">-J6*J23/100</f>
        <v>-15189.4118703095</v>
      </c>
      <c r="K24" s="0" t="n">
        <f aca="false">-K6*K23/100</f>
        <v>-15341.3059890126</v>
      </c>
      <c r="L24" s="0" t="n">
        <f aca="false">-L6*L23/100</f>
        <v>-15494.7190489027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1895177.2789786</v>
      </c>
    </row>
    <row r="31" customFormat="false" ht="15" hidden="false" customHeight="false" outlineLevel="0" collapsed="false">
      <c r="A31" s="0" t="s">
        <v>128</v>
      </c>
      <c r="B31" s="0" t="n">
        <f aca="false">L19</f>
        <v>229347.410767075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3860681.4145791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2981516.33997198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2981516.33997198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1515651.72091285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3410828.99989144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3102410.99989144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1724.51973312476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-0.329241644058825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17487.4751723526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20625.3619572502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1745.70530129019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1654577.74910533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840.38848139444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3.8</v>
      </c>
      <c r="D5" s="4" t="n">
        <f aca="false">Assumptions!D27</f>
        <v>-7.7</v>
      </c>
      <c r="E5" s="4" t="n">
        <f aca="false">Assumptions!E27</f>
        <v>-8.1</v>
      </c>
      <c r="F5" s="4" t="n">
        <f aca="false">Assumptions!F27</f>
        <v>-0.7</v>
      </c>
      <c r="G5" s="4" t="n">
        <f aca="false">Assumptions!G27</f>
        <v>2</v>
      </c>
      <c r="H5" s="4" t="n">
        <f aca="false">Assumptions!H27</f>
        <v>2.7</v>
      </c>
      <c r="I5" s="4" t="n">
        <f aca="false">Assumptions!I27</f>
        <v>1.9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2139245</v>
      </c>
      <c r="C6" s="0" t="n">
        <f aca="false">B6*(1+C5/100)</f>
        <v>2220536.31</v>
      </c>
      <c r="D6" s="0" t="n">
        <f aca="false">C6*(1+D5/100)</f>
        <v>2049555.01413</v>
      </c>
      <c r="E6" s="0" t="n">
        <f aca="false">D6*(1+E5/100)</f>
        <v>1883541.05798547</v>
      </c>
      <c r="F6" s="0" t="n">
        <f aca="false">E6*(1+F5/100)</f>
        <v>1870356.27057957</v>
      </c>
      <c r="G6" s="0" t="n">
        <f aca="false">F6*(1+G5/100)</f>
        <v>1907763.39599116</v>
      </c>
      <c r="H6" s="0" t="n">
        <f aca="false">G6*(1+H5/100)</f>
        <v>1959273.00768292</v>
      </c>
      <c r="I6" s="0" t="n">
        <f aca="false">H6*(1+I5/100)</f>
        <v>1996499.1948289</v>
      </c>
      <c r="J6" s="0" t="n">
        <f aca="false">I6*(1+J5/100)</f>
        <v>2036429.17872548</v>
      </c>
      <c r="K6" s="0" t="n">
        <f aca="false">J6*(1+K5/100)</f>
        <v>2077157.76229999</v>
      </c>
      <c r="L6" s="0" t="n">
        <f aca="false">K6*(1+L5/100)</f>
        <v>2118700.91754599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29</v>
      </c>
      <c r="D7" s="4" t="n">
        <f aca="false">Assumptions!D28</f>
        <v>27</v>
      </c>
      <c r="E7" s="4" t="n">
        <f aca="false">Assumptions!E28</f>
        <v>24.5</v>
      </c>
      <c r="F7" s="4" t="n">
        <f aca="false">Assumptions!F28</f>
        <v>24</v>
      </c>
      <c r="G7" s="4" t="n">
        <f aca="false">Assumptions!G28</f>
        <v>24.5</v>
      </c>
      <c r="H7" s="4" t="n">
        <f aca="false">Assumptions!H28</f>
        <v>25</v>
      </c>
      <c r="I7" s="4" t="n">
        <f aca="false">Assumptions!I28</f>
        <v>25.5</v>
      </c>
      <c r="J7" s="4" t="n">
        <f aca="false">Assumptions!J28</f>
        <v>26</v>
      </c>
      <c r="K7" s="4" t="n">
        <f aca="false">Assumptions!K28</f>
        <v>26</v>
      </c>
      <c r="L7" s="4" t="n">
        <f aca="false">Assumptions!L28</f>
        <v>26</v>
      </c>
    </row>
    <row r="8" customFormat="false" ht="15" hidden="false" customHeight="false" outlineLevel="0" collapsed="false">
      <c r="A8" s="0" t="s">
        <v>43</v>
      </c>
      <c r="C8" s="0" t="n">
        <f aca="false">C6*C7/100</f>
        <v>643955.5299</v>
      </c>
      <c r="D8" s="0" t="n">
        <f aca="false">D6*D7/100</f>
        <v>553379.8538151</v>
      </c>
      <c r="E8" s="0" t="n">
        <f aca="false">E6*E7/100</f>
        <v>461467.55920644</v>
      </c>
      <c r="F8" s="0" t="n">
        <f aca="false">F6*F7/100</f>
        <v>448885.504939097</v>
      </c>
      <c r="G8" s="0" t="n">
        <f aca="false">G6*G7/100</f>
        <v>467402.032017835</v>
      </c>
      <c r="H8" s="0" t="n">
        <f aca="false">H6*H7/100</f>
        <v>489818.251920731</v>
      </c>
      <c r="I8" s="0" t="n">
        <f aca="false">I6*I7/100</f>
        <v>509107.29468137</v>
      </c>
      <c r="J8" s="0" t="n">
        <f aca="false">J6*J7/100</f>
        <v>529471.586468624</v>
      </c>
      <c r="K8" s="0" t="n">
        <f aca="false">K6*K7/100</f>
        <v>540061.018197997</v>
      </c>
      <c r="L8" s="0" t="n">
        <f aca="false">L6*L7/100</f>
        <v>550862.238561957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0.14</v>
      </c>
      <c r="D9" s="4" t="n">
        <f aca="false">Assumptions!D29</f>
        <v>0.14</v>
      </c>
      <c r="E9" s="4" t="n">
        <f aca="false">Assumptions!E29</f>
        <v>0.14</v>
      </c>
      <c r="F9" s="4" t="n">
        <f aca="false">Assumptions!F29</f>
        <v>0.14</v>
      </c>
      <c r="G9" s="4" t="n">
        <f aca="false">Assumptions!G29</f>
        <v>0.14</v>
      </c>
      <c r="H9" s="4" t="n">
        <f aca="false">Assumptions!H29</f>
        <v>0.14</v>
      </c>
      <c r="I9" s="4" t="n">
        <f aca="false">Assumptions!I29</f>
        <v>0.14</v>
      </c>
      <c r="J9" s="4" t="n">
        <f aca="false">Assumptions!J29</f>
        <v>0.14</v>
      </c>
      <c r="K9" s="4" t="n">
        <f aca="false">Assumptions!K29</f>
        <v>0.14</v>
      </c>
      <c r="L9" s="4" t="n">
        <f aca="false">Assumptions!L29</f>
        <v>0.14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-3108.750834</v>
      </c>
      <c r="D10" s="0" t="n">
        <f aca="false">-D6*D9/100</f>
        <v>-2869.377019782</v>
      </c>
      <c r="E10" s="0" t="n">
        <f aca="false">-E6*E9/100</f>
        <v>-2636.95748117966</v>
      </c>
      <c r="F10" s="0" t="n">
        <f aca="false">-F6*F9/100</f>
        <v>-2618.4987788114</v>
      </c>
      <c r="G10" s="0" t="n">
        <f aca="false">-G6*G9/100</f>
        <v>-2670.86875438763</v>
      </c>
      <c r="H10" s="0" t="n">
        <f aca="false">-H6*H9/100</f>
        <v>-2742.9822107561</v>
      </c>
      <c r="I10" s="0" t="n">
        <f aca="false">-I6*I9/100</f>
        <v>-2795.09887276046</v>
      </c>
      <c r="J10" s="0" t="n">
        <f aca="false">-J6*J9/100</f>
        <v>-2851.00085021567</v>
      </c>
      <c r="K10" s="0" t="n">
        <f aca="false">-K6*K9/100</f>
        <v>-2908.02086721998</v>
      </c>
      <c r="L10" s="0" t="n">
        <f aca="false">-L6*L9/100</f>
        <v>-2966.18128456438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620861.952276</v>
      </c>
      <c r="D11" s="0" t="n">
        <f aca="false">D8+D10+D24</f>
        <v>532064.481668148</v>
      </c>
      <c r="E11" s="0" t="n">
        <f aca="false">E8+E10+E24</f>
        <v>441878.732203391</v>
      </c>
      <c r="F11" s="0" t="n">
        <f aca="false">F8+F10+F24</f>
        <v>429433.79972507</v>
      </c>
      <c r="G11" s="0" t="n">
        <f aca="false">G8+G10+G24</f>
        <v>447561.292699527</v>
      </c>
      <c r="H11" s="0" t="n">
        <f aca="false">H8+H10+H24</f>
        <v>469441.812640829</v>
      </c>
      <c r="I11" s="0" t="n">
        <f aca="false">I8+I10+I24</f>
        <v>488343.703055149</v>
      </c>
      <c r="J11" s="0" t="n">
        <f aca="false">J8+J10+J24</f>
        <v>508292.723009879</v>
      </c>
      <c r="K11" s="0" t="n">
        <f aca="false">K8+K10+K24</f>
        <v>518458.577470077</v>
      </c>
      <c r="L11" s="0" t="n">
        <f aca="false">L8+L10+L24</f>
        <v>528827.749019478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-188745.58635</v>
      </c>
      <c r="D12" s="4" t="n">
        <f aca="false">-D6*Assumptions!D31/100</f>
        <v>-184459.9512717</v>
      </c>
      <c r="E12" s="4" t="n">
        <f aca="false">-E6*Assumptions!E31/100</f>
        <v>-178936.40050862</v>
      </c>
      <c r="F12" s="4" t="n">
        <f aca="false">-F6*Assumptions!F31/100</f>
        <v>-168332.064352161</v>
      </c>
      <c r="G12" s="4" t="n">
        <f aca="false">-G6*Assumptions!G31/100</f>
        <v>-162159.888659249</v>
      </c>
      <c r="H12" s="4" t="n">
        <f aca="false">-H6*Assumptions!H31/100</f>
        <v>-156741.840614634</v>
      </c>
      <c r="I12" s="4" t="n">
        <f aca="false">-I6*Assumptions!I31/100</f>
        <v>-149737.439612168</v>
      </c>
      <c r="J12" s="4" t="n">
        <f aca="false">-J6*Assumptions!J31/100</f>
        <v>-142550.042510783</v>
      </c>
      <c r="K12" s="4" t="n">
        <f aca="false">-K6*Assumptions!K31/100</f>
        <v>-135015.254549499</v>
      </c>
      <c r="L12" s="4" t="n">
        <f aca="false">-L6*Assumptions!L31/100</f>
        <v>-127122.055052759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432116.365926</v>
      </c>
      <c r="D13" s="0" t="n">
        <f aca="false">D11+D12</f>
        <v>347604.530396448</v>
      </c>
      <c r="E13" s="0" t="n">
        <f aca="false">E11+E12</f>
        <v>262942.331694772</v>
      </c>
      <c r="F13" s="0" t="n">
        <f aca="false">F11+F12</f>
        <v>261101.735372908</v>
      </c>
      <c r="G13" s="0" t="n">
        <f aca="false">G11+G12</f>
        <v>285401.404040278</v>
      </c>
      <c r="H13" s="0" t="n">
        <f aca="false">H11+H12</f>
        <v>312699.972026195</v>
      </c>
      <c r="I13" s="0" t="n">
        <f aca="false">I11+I12</f>
        <v>338606.263442981</v>
      </c>
      <c r="J13" s="0" t="n">
        <f aca="false">J11+J12</f>
        <v>365742.680499096</v>
      </c>
      <c r="K13" s="0" t="n">
        <f aca="false">K11+K12</f>
        <v>383443.322920578</v>
      </c>
      <c r="L13" s="0" t="n">
        <f aca="false">L11+L12</f>
        <v>401705.693966719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24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328408.43810376</v>
      </c>
      <c r="D15" s="0" t="n">
        <f aca="false">D13-MAX(0,D13)*D14/100</f>
        <v>260703.397797336</v>
      </c>
      <c r="E15" s="0" t="n">
        <f aca="false">E13-MAX(0,E13)*E14/100</f>
        <v>197206.748771079</v>
      </c>
      <c r="F15" s="0" t="n">
        <f aca="false">F13-MAX(0,F13)*F14/100</f>
        <v>195826.301529681</v>
      </c>
      <c r="G15" s="0" t="n">
        <f aca="false">G13-MAX(0,G13)*G14/100</f>
        <v>214051.053030209</v>
      </c>
      <c r="H15" s="0" t="n">
        <f aca="false">H13-MAX(0,H13)*H14/100</f>
        <v>234524.979019646</v>
      </c>
      <c r="I15" s="0" t="n">
        <f aca="false">I13-MAX(0,I13)*I14/100</f>
        <v>253954.697582236</v>
      </c>
      <c r="J15" s="0" t="n">
        <f aca="false">J13-MAX(0,J13)*J14/100</f>
        <v>274307.010374322</v>
      </c>
      <c r="K15" s="0" t="n">
        <f aca="false">K13-MAX(0,K13)*K14/100</f>
        <v>287582.492190433</v>
      </c>
      <c r="L15" s="0" t="n">
        <f aca="false">L13-MAX(0,L13)*L14/100</f>
        <v>301279.270475039</v>
      </c>
    </row>
    <row r="16" customFormat="false" ht="15" hidden="false" customHeight="false" outlineLevel="0" collapsed="false">
      <c r="A16" s="0" t="s">
        <v>119</v>
      </c>
      <c r="C16" s="0" t="n">
        <f aca="false">-C12</f>
        <v>188745.58635</v>
      </c>
      <c r="D16" s="0" t="n">
        <f aca="false">-D12</f>
        <v>184459.9512717</v>
      </c>
      <c r="E16" s="0" t="n">
        <f aca="false">-E12</f>
        <v>178936.40050862</v>
      </c>
      <c r="F16" s="0" t="n">
        <f aca="false">-F12</f>
        <v>168332.064352161</v>
      </c>
      <c r="G16" s="0" t="n">
        <f aca="false">-G12</f>
        <v>162159.888659249</v>
      </c>
      <c r="H16" s="0" t="n">
        <f aca="false">-H12</f>
        <v>156741.840614634</v>
      </c>
      <c r="I16" s="0" t="n">
        <f aca="false">-I12</f>
        <v>149737.439612168</v>
      </c>
      <c r="J16" s="0" t="n">
        <f aca="false">-J12</f>
        <v>142550.042510783</v>
      </c>
      <c r="K16" s="0" t="n">
        <f aca="false">-K12</f>
        <v>135015.254549499</v>
      </c>
      <c r="L16" s="0" t="n">
        <f aca="false">-L12</f>
        <v>127122.055052759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-88821.4524</v>
      </c>
      <c r="D17" s="4" t="n">
        <f aca="false">-D6*Assumptions!D32/100</f>
        <v>-81982.2005652</v>
      </c>
      <c r="E17" s="4" t="n">
        <f aca="false">-E6*Assumptions!E32/100</f>
        <v>-75341.6423194188</v>
      </c>
      <c r="F17" s="4" t="n">
        <f aca="false">-F6*Assumptions!F32/100</f>
        <v>-74814.2508231829</v>
      </c>
      <c r="G17" s="4" t="n">
        <f aca="false">-G6*Assumptions!G32/100</f>
        <v>-76310.5358396466</v>
      </c>
      <c r="H17" s="4" t="n">
        <f aca="false">-H6*Assumptions!H32/100</f>
        <v>-78370.920307317</v>
      </c>
      <c r="I17" s="4" t="n">
        <f aca="false">-I6*Assumptions!I32/100</f>
        <v>-79859.967793156</v>
      </c>
      <c r="J17" s="4" t="n">
        <f aca="false">-J6*Assumptions!J32/100</f>
        <v>-81457.1671490191</v>
      </c>
      <c r="K17" s="4" t="n">
        <f aca="false">-K6*Assumptions!K32/100</f>
        <v>-83086.3104919995</v>
      </c>
      <c r="L17" s="4" t="n">
        <f aca="false">-L6*Assumptions!L32/100</f>
        <v>-84748.0367018395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-12193.6965</v>
      </c>
      <c r="D18" s="4" t="n">
        <f aca="false">(D6-C6)*Assumptions!$B$37/100</f>
        <v>25647.1943805</v>
      </c>
      <c r="E18" s="4" t="n">
        <f aca="false">(E6-D6)*Assumptions!$B$37/100</f>
        <v>24902.0934216795</v>
      </c>
      <c r="F18" s="4" t="n">
        <f aca="false">(F6-E6)*Assumptions!$B$37/100</f>
        <v>1977.71811088475</v>
      </c>
      <c r="G18" s="4" t="n">
        <f aca="false">(G6-F6)*Assumptions!$B$37/100</f>
        <v>-5611.06881173872</v>
      </c>
      <c r="H18" s="4" t="n">
        <f aca="false">(H6-G6)*Assumptions!$B$37/100</f>
        <v>-7726.4417537642</v>
      </c>
      <c r="I18" s="4" t="n">
        <f aca="false">(I6-H6)*Assumptions!$B$37/100</f>
        <v>-5583.92807189631</v>
      </c>
      <c r="J18" s="4" t="n">
        <f aca="false">(J6-I6)*Assumptions!$B$37/100</f>
        <v>-5989.4975844867</v>
      </c>
      <c r="K18" s="4" t="n">
        <f aca="false">(K6-J6)*Assumptions!$B$37/100</f>
        <v>-6109.28753617646</v>
      </c>
      <c r="L18" s="4" t="n">
        <f aca="false">(L6-K6)*Assumptions!$B$37/100</f>
        <v>-6231.47328689997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416138.87555376</v>
      </c>
      <c r="D19" s="0" t="n">
        <f aca="false">D15+D16+D17+D18</f>
        <v>388828.342884336</v>
      </c>
      <c r="E19" s="0" t="n">
        <f aca="false">E15+E16+E17+E18</f>
        <v>325703.600381959</v>
      </c>
      <c r="F19" s="0" t="n">
        <f aca="false">F15+F16+F17+F18</f>
        <v>291321.833169545</v>
      </c>
      <c r="G19" s="0" t="n">
        <f aca="false">G15+G16+G17+G18</f>
        <v>294289.337038072</v>
      </c>
      <c r="H19" s="0" t="n">
        <f aca="false">H15+H16+H17+H18</f>
        <v>305169.457573199</v>
      </c>
      <c r="I19" s="0" t="n">
        <f aca="false">I15+I16+I17+I18</f>
        <v>318248.241329351</v>
      </c>
      <c r="J19" s="0" t="n">
        <f aca="false">J15+J16+J17+J18</f>
        <v>329410.3881516</v>
      </c>
      <c r="K19" s="0" t="n">
        <f aca="false">K15+K16+K17+K18</f>
        <v>333402.148711757</v>
      </c>
      <c r="L19" s="0" t="n">
        <f aca="false">L15+L16+L17+L18</f>
        <v>337421.815539059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388914.836966131</v>
      </c>
      <c r="D21" s="0" t="n">
        <f aca="false">D19*D20</f>
        <v>339617.733325475</v>
      </c>
      <c r="E21" s="0" t="n">
        <f aca="false">E19*E20</f>
        <v>265871.1574875</v>
      </c>
      <c r="F21" s="0" t="n">
        <f aca="false">F19*F20</f>
        <v>222248.031689953</v>
      </c>
      <c r="G21" s="0" t="n">
        <f aca="false">G19*G20</f>
        <v>209824.230077557</v>
      </c>
      <c r="H21" s="0" t="n">
        <f aca="false">H19*H20</f>
        <v>203347.295000204</v>
      </c>
      <c r="I21" s="0" t="n">
        <f aca="false">I19*I20</f>
        <v>198189.010143078</v>
      </c>
      <c r="J21" s="0" t="n">
        <f aca="false">J19*J20</f>
        <v>191719.845042534</v>
      </c>
      <c r="K21" s="0" t="n">
        <f aca="false">K19*K20</f>
        <v>181348.678534382</v>
      </c>
      <c r="L21" s="0" t="n">
        <f aca="false">L19*L20</f>
        <v>171528.141080092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0.9</v>
      </c>
      <c r="D23" s="4" t="n">
        <f aca="false">Assumptions!D30</f>
        <v>0.9</v>
      </c>
      <c r="E23" s="4" t="n">
        <f aca="false">Assumptions!E30</f>
        <v>0.9</v>
      </c>
      <c r="F23" s="4" t="n">
        <f aca="false">Assumptions!F30</f>
        <v>0.9</v>
      </c>
      <c r="G23" s="4" t="n">
        <f aca="false">Assumptions!G30</f>
        <v>0.9</v>
      </c>
      <c r="H23" s="4" t="n">
        <f aca="false">Assumptions!H30</f>
        <v>0.9</v>
      </c>
      <c r="I23" s="4" t="n">
        <f aca="false">Assumptions!I30</f>
        <v>0.9</v>
      </c>
      <c r="J23" s="4" t="n">
        <f aca="false">Assumptions!J30</f>
        <v>0.9</v>
      </c>
      <c r="K23" s="4" t="n">
        <f aca="false">Assumptions!K30</f>
        <v>0.9</v>
      </c>
      <c r="L23" s="4" t="n">
        <f aca="false">Assumptions!L30</f>
        <v>0.9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-19984.82679</v>
      </c>
      <c r="D24" s="0" t="n">
        <f aca="false">-D6*D23/100</f>
        <v>-18445.99512717</v>
      </c>
      <c r="E24" s="0" t="n">
        <f aca="false">-E6*E23/100</f>
        <v>-16951.8695218692</v>
      </c>
      <c r="F24" s="0" t="n">
        <f aca="false">-F6*F23/100</f>
        <v>-16833.2064352161</v>
      </c>
      <c r="G24" s="0" t="n">
        <f aca="false">-G6*G23/100</f>
        <v>-17169.8705639205</v>
      </c>
      <c r="H24" s="0" t="n">
        <f aca="false">-H6*H23/100</f>
        <v>-17633.4570691463</v>
      </c>
      <c r="I24" s="0" t="n">
        <f aca="false">-I6*I23/100</f>
        <v>-17968.4927534601</v>
      </c>
      <c r="J24" s="0" t="n">
        <f aca="false">-J6*J23/100</f>
        <v>-18327.8626085293</v>
      </c>
      <c r="K24" s="0" t="n">
        <f aca="false">-K6*K23/100</f>
        <v>-18694.4198606999</v>
      </c>
      <c r="L24" s="0" t="n">
        <f aca="false">-L6*L23/100</f>
        <v>-19068.3082579139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2372608.95934691</v>
      </c>
    </row>
    <row r="31" customFormat="false" ht="15" hidden="false" customHeight="false" outlineLevel="0" collapsed="false">
      <c r="A31" s="0" t="s">
        <v>128</v>
      </c>
      <c r="B31" s="0" t="n">
        <f aca="false">L19</f>
        <v>337421.815539059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6226966.23222082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5061327.23308589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5061327.23308589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2572922.11620138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4945531.07554829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4637113.07554829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2577.60593415691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0.00256940262812622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19783.4223597261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27826.7999763059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2604.07076035815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2536912.16868256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1133.41290755813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4.5</v>
      </c>
      <c r="D5" s="4" t="n">
        <f aca="false">Assumptions!D41</f>
        <v>-2</v>
      </c>
      <c r="E5" s="4" t="n">
        <f aca="false">Assumptions!E41</f>
        <v>-4</v>
      </c>
      <c r="F5" s="4" t="n">
        <f aca="false">Assumptions!F41</f>
        <v>2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2139245</v>
      </c>
      <c r="C6" s="0" t="n">
        <f aca="false">B6*(1+C5/100)</f>
        <v>2235511.025</v>
      </c>
      <c r="D6" s="0" t="n">
        <f aca="false">C6*(1+D5/100)</f>
        <v>2190800.8045</v>
      </c>
      <c r="E6" s="0" t="n">
        <f aca="false">D6*(1+E5/100)</f>
        <v>2103168.77232</v>
      </c>
      <c r="F6" s="0" t="n">
        <f aca="false">E6*(1+F5/100)</f>
        <v>2145232.1477664</v>
      </c>
      <c r="G6" s="0" t="n">
        <f aca="false">F6*(1+G5/100)</f>
        <v>2231041.43367706</v>
      </c>
      <c r="H6" s="0" t="n">
        <f aca="false">G6*(1+H5/100)</f>
        <v>2320283.09102414</v>
      </c>
      <c r="I6" s="0" t="n">
        <f aca="false">H6*(1+I5/100)</f>
        <v>2401492.99920998</v>
      </c>
      <c r="J6" s="0" t="n">
        <f aca="false">I6*(1+J5/100)</f>
        <v>2473537.78918628</v>
      </c>
      <c r="K6" s="0" t="n">
        <f aca="false">J6*(1+K5/100)</f>
        <v>2547743.92286187</v>
      </c>
      <c r="L6" s="0" t="n">
        <f aca="false">K6*(1+L5/100)</f>
        <v>2611437.52093342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29.5</v>
      </c>
      <c r="D7" s="4" t="n">
        <f aca="false">Assumptions!D42</f>
        <v>28.5</v>
      </c>
      <c r="E7" s="4" t="n">
        <f aca="false">Assumptions!E42</f>
        <v>27</v>
      </c>
      <c r="F7" s="4" t="n">
        <f aca="false">Assumptions!F42</f>
        <v>27</v>
      </c>
      <c r="G7" s="4" t="n">
        <f aca="false">Assumptions!G42</f>
        <v>27.5</v>
      </c>
      <c r="H7" s="4" t="n">
        <f aca="false">Assumptions!H42</f>
        <v>28</v>
      </c>
      <c r="I7" s="4" t="n">
        <f aca="false">Assumptions!I42</f>
        <v>28</v>
      </c>
      <c r="J7" s="4" t="n">
        <f aca="false">Assumptions!J42</f>
        <v>28</v>
      </c>
      <c r="K7" s="4" t="n">
        <f aca="false">Assumptions!K42</f>
        <v>28</v>
      </c>
      <c r="L7" s="4" t="n">
        <f aca="false">Assumptions!L42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659475.752375</v>
      </c>
      <c r="D8" s="0" t="n">
        <f aca="false">D6*D7/100</f>
        <v>624378.2292825</v>
      </c>
      <c r="E8" s="0" t="n">
        <f aca="false">E6*E7/100</f>
        <v>567855.5685264</v>
      </c>
      <c r="F8" s="0" t="n">
        <f aca="false">F6*F7/100</f>
        <v>579212.679896928</v>
      </c>
      <c r="G8" s="0" t="n">
        <f aca="false">G6*G7/100</f>
        <v>613536.394261191</v>
      </c>
      <c r="H8" s="0" t="n">
        <f aca="false">H6*H7/100</f>
        <v>649679.265486759</v>
      </c>
      <c r="I8" s="0" t="n">
        <f aca="false">I6*I7/100</f>
        <v>672418.039778795</v>
      </c>
      <c r="J8" s="0" t="n">
        <f aca="false">J6*J7/100</f>
        <v>692590.580972159</v>
      </c>
      <c r="K8" s="0" t="n">
        <f aca="false">K6*K7/100</f>
        <v>713368.298401324</v>
      </c>
      <c r="L8" s="0" t="n">
        <f aca="false">L6*L7/100</f>
        <v>731202.505861357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0.14</v>
      </c>
      <c r="D9" s="4" t="n">
        <f aca="false">Assumptions!D43</f>
        <v>0.14</v>
      </c>
      <c r="E9" s="4" t="n">
        <f aca="false">Assumptions!E43</f>
        <v>0.14</v>
      </c>
      <c r="F9" s="4" t="n">
        <f aca="false">Assumptions!F43</f>
        <v>0.14</v>
      </c>
      <c r="G9" s="4" t="n">
        <f aca="false">Assumptions!G43</f>
        <v>0.14</v>
      </c>
      <c r="H9" s="4" t="n">
        <f aca="false">Assumptions!H43</f>
        <v>0.14</v>
      </c>
      <c r="I9" s="4" t="n">
        <f aca="false">Assumptions!I43</f>
        <v>0.14</v>
      </c>
      <c r="J9" s="4" t="n">
        <f aca="false">Assumptions!J43</f>
        <v>0.14</v>
      </c>
      <c r="K9" s="4" t="n">
        <f aca="false">Assumptions!K43</f>
        <v>0.14</v>
      </c>
      <c r="L9" s="4" t="n">
        <f aca="false">Assumptions!L43</f>
        <v>0.14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-3129.715435</v>
      </c>
      <c r="D10" s="0" t="n">
        <f aca="false">-D6*D9/100</f>
        <v>-3067.1211263</v>
      </c>
      <c r="E10" s="0" t="n">
        <f aca="false">-E6*E9/100</f>
        <v>-2944.436281248</v>
      </c>
      <c r="F10" s="0" t="n">
        <f aca="false">-F6*F9/100</f>
        <v>-3003.32500687296</v>
      </c>
      <c r="G10" s="0" t="n">
        <f aca="false">-G6*G9/100</f>
        <v>-3123.45800714788</v>
      </c>
      <c r="H10" s="0" t="n">
        <f aca="false">-H6*H9/100</f>
        <v>-3248.39632743379</v>
      </c>
      <c r="I10" s="0" t="n">
        <f aca="false">-I6*I9/100</f>
        <v>-3362.09019889398</v>
      </c>
      <c r="J10" s="0" t="n">
        <f aca="false">-J6*J9/100</f>
        <v>-3462.9529048608</v>
      </c>
      <c r="K10" s="0" t="n">
        <f aca="false">-K6*K9/100</f>
        <v>-3566.84149200662</v>
      </c>
      <c r="L10" s="0" t="n">
        <f aca="false">-L6*L9/100</f>
        <v>-3656.01252930679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636226.437715</v>
      </c>
      <c r="D11" s="0" t="n">
        <f aca="false">D8+D10+D24</f>
        <v>601593.9009157</v>
      </c>
      <c r="E11" s="0" t="n">
        <f aca="false">E8+E10+E24</f>
        <v>545982.613294272</v>
      </c>
      <c r="F11" s="0" t="n">
        <f aca="false">F8+F10+F24</f>
        <v>556902.265560157</v>
      </c>
      <c r="G11" s="0" t="n">
        <f aca="false">G8+G10+G24</f>
        <v>590333.563350949</v>
      </c>
      <c r="H11" s="0" t="n">
        <f aca="false">H8+H10+H24</f>
        <v>625548.321340108</v>
      </c>
      <c r="I11" s="0" t="n">
        <f aca="false">I8+I10+I24</f>
        <v>647442.512587011</v>
      </c>
      <c r="J11" s="0" t="n">
        <f aca="false">J8+J10+J24</f>
        <v>666865.787964622</v>
      </c>
      <c r="K11" s="0" t="n">
        <f aca="false">K8+K10+K24</f>
        <v>686871.761603561</v>
      </c>
      <c r="L11" s="0" t="n">
        <f aca="false">L8+L10+L24</f>
        <v>704043.55564365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-190018.437125</v>
      </c>
      <c r="D12" s="4" t="n">
        <f aca="false">-D6*Assumptions!D45/100</f>
        <v>-192790.470796</v>
      </c>
      <c r="E12" s="4" t="n">
        <f aca="false">-E6*Assumptions!E45/100</f>
        <v>-189285.1895088</v>
      </c>
      <c r="F12" s="4" t="n">
        <f aca="false">-F6*Assumptions!F45/100</f>
        <v>-182344.732560144</v>
      </c>
      <c r="G12" s="4" t="n">
        <f aca="false">-G6*Assumptions!G45/100</f>
        <v>-178483.314694165</v>
      </c>
      <c r="H12" s="4" t="n">
        <f aca="false">-H6*Assumptions!H45/100</f>
        <v>-174021.23182681</v>
      </c>
      <c r="I12" s="4" t="n">
        <f aca="false">-I6*Assumptions!I45/100</f>
        <v>-168104.509944699</v>
      </c>
      <c r="J12" s="4" t="n">
        <f aca="false">-J6*Assumptions!J45/100</f>
        <v>-160779.956297108</v>
      </c>
      <c r="K12" s="4" t="n">
        <f aca="false">-K6*Assumptions!K45/100</f>
        <v>-152864.635371712</v>
      </c>
      <c r="L12" s="4" t="n">
        <f aca="false">-L6*Assumptions!L45/100</f>
        <v>-156686.251256005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446208.00059</v>
      </c>
      <c r="D13" s="0" t="n">
        <f aca="false">D11+D12</f>
        <v>408803.4301197</v>
      </c>
      <c r="E13" s="0" t="n">
        <f aca="false">E11+E12</f>
        <v>356697.423785472</v>
      </c>
      <c r="F13" s="0" t="n">
        <f aca="false">F11+F12</f>
        <v>374557.533000013</v>
      </c>
      <c r="G13" s="0" t="n">
        <f aca="false">G11+G12</f>
        <v>411850.248656785</v>
      </c>
      <c r="H13" s="0" t="n">
        <f aca="false">H11+H12</f>
        <v>451527.089513297</v>
      </c>
      <c r="I13" s="0" t="n">
        <f aca="false">I11+I12</f>
        <v>479338.002642313</v>
      </c>
      <c r="J13" s="0" t="n">
        <f aca="false">J11+J12</f>
        <v>506085.831667513</v>
      </c>
      <c r="K13" s="0" t="n">
        <f aca="false">K11+K12</f>
        <v>534007.126231848</v>
      </c>
      <c r="L13" s="0" t="n">
        <f aca="false">L11+L12</f>
        <v>547357.304387645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24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339118.0804484</v>
      </c>
      <c r="D15" s="0" t="n">
        <f aca="false">D13-MAX(0,D13)*D14/100</f>
        <v>306602.572589775</v>
      </c>
      <c r="E15" s="0" t="n">
        <f aca="false">E13-MAX(0,E13)*E14/100</f>
        <v>267523.067839104</v>
      </c>
      <c r="F15" s="0" t="n">
        <f aca="false">F13-MAX(0,F13)*F14/100</f>
        <v>280918.14975001</v>
      </c>
      <c r="G15" s="0" t="n">
        <f aca="false">G13-MAX(0,G13)*G14/100</f>
        <v>308887.686492589</v>
      </c>
      <c r="H15" s="0" t="n">
        <f aca="false">H13-MAX(0,H13)*H14/100</f>
        <v>338645.317134973</v>
      </c>
      <c r="I15" s="0" t="n">
        <f aca="false">I13-MAX(0,I13)*I14/100</f>
        <v>359503.501981734</v>
      </c>
      <c r="J15" s="0" t="n">
        <f aca="false">J13-MAX(0,J13)*J14/100</f>
        <v>379564.373750635</v>
      </c>
      <c r="K15" s="0" t="n">
        <f aca="false">K13-MAX(0,K13)*K14/100</f>
        <v>400505.344673886</v>
      </c>
      <c r="L15" s="0" t="n">
        <f aca="false">L13-MAX(0,L13)*L14/100</f>
        <v>410517.978290733</v>
      </c>
    </row>
    <row r="16" customFormat="false" ht="15" hidden="false" customHeight="false" outlineLevel="0" collapsed="false">
      <c r="A16" s="0" t="s">
        <v>119</v>
      </c>
      <c r="C16" s="0" t="n">
        <f aca="false">-C12</f>
        <v>190018.437125</v>
      </c>
      <c r="D16" s="0" t="n">
        <f aca="false">-D12</f>
        <v>192790.470796</v>
      </c>
      <c r="E16" s="0" t="n">
        <f aca="false">-E12</f>
        <v>189285.1895088</v>
      </c>
      <c r="F16" s="0" t="n">
        <f aca="false">-F12</f>
        <v>182344.732560144</v>
      </c>
      <c r="G16" s="0" t="n">
        <f aca="false">-G12</f>
        <v>178483.314694165</v>
      </c>
      <c r="H16" s="0" t="n">
        <f aca="false">-H12</f>
        <v>174021.23182681</v>
      </c>
      <c r="I16" s="0" t="n">
        <f aca="false">-I12</f>
        <v>168104.509944699</v>
      </c>
      <c r="J16" s="0" t="n">
        <f aca="false">-J12</f>
        <v>160779.956297108</v>
      </c>
      <c r="K16" s="0" t="n">
        <f aca="false">-K12</f>
        <v>152864.635371712</v>
      </c>
      <c r="L16" s="0" t="n">
        <f aca="false">-L12</f>
        <v>156686.251256005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-89420.441</v>
      </c>
      <c r="D17" s="4" t="n">
        <f aca="false">-D6*Assumptions!D46/100</f>
        <v>-87632.03218</v>
      </c>
      <c r="E17" s="4" t="n">
        <f aca="false">-E6*Assumptions!E46/100</f>
        <v>-84126.7508928</v>
      </c>
      <c r="F17" s="4" t="n">
        <f aca="false">-F6*Assumptions!F46/100</f>
        <v>-85809.285910656</v>
      </c>
      <c r="G17" s="4" t="n">
        <f aca="false">-G6*Assumptions!G46/100</f>
        <v>-89241.6573470823</v>
      </c>
      <c r="H17" s="4" t="n">
        <f aca="false">-H6*Assumptions!H46/100</f>
        <v>-92811.3236409655</v>
      </c>
      <c r="I17" s="4" t="n">
        <f aca="false">-I6*Assumptions!I46/100</f>
        <v>-96059.7199683993</v>
      </c>
      <c r="J17" s="4" t="n">
        <f aca="false">-J6*Assumptions!J46/100</f>
        <v>-98941.5115674513</v>
      </c>
      <c r="K17" s="4" t="n">
        <f aca="false">-K6*Assumptions!K46/100</f>
        <v>-101909.756914475</v>
      </c>
      <c r="L17" s="4" t="n">
        <f aca="false">-L6*Assumptions!L46/100</f>
        <v>-104457.500837337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-14439.90375</v>
      </c>
      <c r="D18" s="4" t="n">
        <f aca="false">(D6-C6)*Assumptions!$B$51/100</f>
        <v>6706.53307499997</v>
      </c>
      <c r="E18" s="4" t="n">
        <f aca="false">(E6-D6)*Assumptions!$B$51/100</f>
        <v>13144.804827</v>
      </c>
      <c r="F18" s="4" t="n">
        <f aca="false">(F6-E6)*Assumptions!$B$51/100</f>
        <v>-6309.50631696002</v>
      </c>
      <c r="G18" s="4" t="n">
        <f aca="false">(G6-F6)*Assumptions!$B$51/100</f>
        <v>-12871.3928865984</v>
      </c>
      <c r="H18" s="4" t="n">
        <f aca="false">(H6-G6)*Assumptions!$B$51/100</f>
        <v>-13386.2486020623</v>
      </c>
      <c r="I18" s="4" t="n">
        <f aca="false">(I6-H6)*Assumptions!$B$51/100</f>
        <v>-12181.4862278767</v>
      </c>
      <c r="J18" s="4" t="n">
        <f aca="false">(J6-I6)*Assumptions!$B$51/100</f>
        <v>-10806.718496445</v>
      </c>
      <c r="K18" s="4" t="n">
        <f aca="false">(K6-J6)*Assumptions!$B$51/100</f>
        <v>-11130.9200513383</v>
      </c>
      <c r="L18" s="4" t="n">
        <f aca="false">(L6-K6)*Assumptions!$B$51/100</f>
        <v>-9554.03971073201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425276.1728234</v>
      </c>
      <c r="D19" s="0" t="n">
        <f aca="false">D15+D16+D17+D18</f>
        <v>418467.544280775</v>
      </c>
      <c r="E19" s="0" t="n">
        <f aca="false">E15+E16+E17+E18</f>
        <v>385826.311282104</v>
      </c>
      <c r="F19" s="0" t="n">
        <f aca="false">F15+F16+F17+F18</f>
        <v>371144.090082538</v>
      </c>
      <c r="G19" s="0" t="n">
        <f aca="false">G15+G16+G17+G18</f>
        <v>385257.950953072</v>
      </c>
      <c r="H19" s="0" t="n">
        <f aca="false">H15+H16+H17+H18</f>
        <v>406468.976718756</v>
      </c>
      <c r="I19" s="0" t="n">
        <f aca="false">I15+I16+I17+I18</f>
        <v>419366.805730157</v>
      </c>
      <c r="J19" s="0" t="n">
        <f aca="false">J15+J16+J17+J18</f>
        <v>430596.099983847</v>
      </c>
      <c r="K19" s="0" t="n">
        <f aca="false">K15+K16+K17+K18</f>
        <v>440329.303079785</v>
      </c>
      <c r="L19" s="0" t="n">
        <f aca="false">L15+L16+L17+L18</f>
        <v>453192.68899867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397454.367124673</v>
      </c>
      <c r="D21" s="0" t="n">
        <f aca="false">D19*D20</f>
        <v>365505.759700214</v>
      </c>
      <c r="E21" s="0" t="n">
        <f aca="false">E19*E20</f>
        <v>314949.19874821</v>
      </c>
      <c r="F21" s="0" t="n">
        <f aca="false">F19*F20</f>
        <v>283144.049303704</v>
      </c>
      <c r="G21" s="0" t="n">
        <f aca="false">G19*G20</f>
        <v>274683.594565738</v>
      </c>
      <c r="H21" s="0" t="n">
        <f aca="false">H19*H20</f>
        <v>270847.441859198</v>
      </c>
      <c r="I21" s="0" t="n">
        <f aca="false">I19*I20</f>
        <v>261160.570023421</v>
      </c>
      <c r="J21" s="0" t="n">
        <f aca="false">J19*J20</f>
        <v>250610.850580797</v>
      </c>
      <c r="K21" s="0" t="n">
        <f aca="false">K19*K20</f>
        <v>239509.965793657</v>
      </c>
      <c r="L21" s="0" t="n">
        <f aca="false">L19*L20</f>
        <v>230380.182653103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0.9</v>
      </c>
      <c r="D23" s="4" t="n">
        <f aca="false">Assumptions!D44</f>
        <v>0.9</v>
      </c>
      <c r="E23" s="4" t="n">
        <f aca="false">Assumptions!E44</f>
        <v>0.9</v>
      </c>
      <c r="F23" s="4" t="n">
        <f aca="false">Assumptions!F44</f>
        <v>0.9</v>
      </c>
      <c r="G23" s="4" t="n">
        <f aca="false">Assumptions!G44</f>
        <v>0.9</v>
      </c>
      <c r="H23" s="4" t="n">
        <f aca="false">Assumptions!H44</f>
        <v>0.9</v>
      </c>
      <c r="I23" s="4" t="n">
        <f aca="false">Assumptions!I44</f>
        <v>0.9</v>
      </c>
      <c r="J23" s="4" t="n">
        <f aca="false">Assumptions!J44</f>
        <v>0.9</v>
      </c>
      <c r="K23" s="4" t="n">
        <f aca="false">Assumptions!K44</f>
        <v>0.9</v>
      </c>
      <c r="L23" s="4" t="n">
        <f aca="false">Assumptions!L44</f>
        <v>0.9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-20119.599225</v>
      </c>
      <c r="D24" s="0" t="n">
        <f aca="false">-D6*D23/100</f>
        <v>-19717.2072405</v>
      </c>
      <c r="E24" s="0" t="n">
        <f aca="false">-E6*E23/100</f>
        <v>-18928.51895088</v>
      </c>
      <c r="F24" s="0" t="n">
        <f aca="false">-F6*F23/100</f>
        <v>-19307.0893298976</v>
      </c>
      <c r="G24" s="0" t="n">
        <f aca="false">-G6*G23/100</f>
        <v>-20079.3729030935</v>
      </c>
      <c r="H24" s="0" t="n">
        <f aca="false">-H6*H23/100</f>
        <v>-20882.5478192173</v>
      </c>
      <c r="I24" s="0" t="n">
        <f aca="false">-I6*I23/100</f>
        <v>-21613.4369928899</v>
      </c>
      <c r="J24" s="0" t="n">
        <f aca="false">-J6*J23/100</f>
        <v>-22261.8401026766</v>
      </c>
      <c r="K24" s="0" t="n">
        <f aca="false">-K6*K23/100</f>
        <v>-22929.6953057568</v>
      </c>
      <c r="L24" s="0" t="n">
        <f aca="false">-L6*L23/100</f>
        <v>-23502.9376884008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2888245.98035271</v>
      </c>
    </row>
    <row r="31" customFormat="false" ht="15" hidden="false" customHeight="false" outlineLevel="0" collapsed="false">
      <c r="A31" s="0" t="s">
        <v>128</v>
      </c>
      <c r="B31" s="0" t="n">
        <f aca="false">L19</f>
        <v>453192.68899867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8363465.07879363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6797890.33498005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6797890.33498005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3455702.73979655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6343948.72014926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6035530.72014926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3354.93647590287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0.304915004240711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22598.0631953431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34298.3518550617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3386.56316575857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3407337.6246937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1439.03233077185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1724.51973312476</v>
      </c>
      <c r="C4" s="0" t="n">
        <f aca="false">B4/Assumptions!$B$2-1</f>
        <v>-0.329241644058825</v>
      </c>
      <c r="D4" s="4" t="n">
        <f aca="false">Assumptions!$B$24</f>
        <v>0.3</v>
      </c>
      <c r="E4" s="4" t="n">
        <f aca="false">DCF_Bear!$B$43</f>
        <v>1745.70530129019</v>
      </c>
      <c r="F4" s="4" t="n">
        <f aca="false">DCF_Bear!$B$47</f>
        <v>840.38848139444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2577.60593415691</v>
      </c>
      <c r="C5" s="0" t="n">
        <f aca="false">B5/Assumptions!$B$2-1</f>
        <v>0.00256940262812622</v>
      </c>
      <c r="D5" s="4" t="n">
        <f aca="false">Assumptions!$B$38</f>
        <v>0.5</v>
      </c>
      <c r="E5" s="4" t="n">
        <f aca="false">DCF_Base!$B$43</f>
        <v>2604.07076035815</v>
      </c>
      <c r="F5" s="4" t="n">
        <f aca="false">DCF_Base!$B$47</f>
        <v>1133.41290755813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3354.93647590287</v>
      </c>
      <c r="C6" s="0" t="n">
        <f aca="false">B6/Assumptions!$B$2-1</f>
        <v>0.304915004240711</v>
      </c>
      <c r="D6" s="4" t="n">
        <f aca="false">Assumptions!$B$52</f>
        <v>0.2</v>
      </c>
      <c r="E6" s="4" t="n">
        <f aca="false">DCF_Bull!$B$43</f>
        <v>3386.56316575857</v>
      </c>
      <c r="F6" s="4" t="n">
        <f aca="false">DCF_Bull!$B$47</f>
        <v>1439.03233077185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2477.14618219646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2503.05960371785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-0.037887880205892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362.18226808095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1106.62946435177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2577.60593415691</v>
      </c>
      <c r="C15" s="3" t="n">
        <v>7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2110.12131189222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1852.03736890426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1648.122557862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1482.90039314192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1133.41290755813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3000.73588234598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3000.73588234598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3000.73588234598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3000.73588234598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3000.73588234598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2779.20418290045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2779.20418290045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2779.20418290045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2779.20418290045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2779.20418290045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2577.60593415691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2577.60593415691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2577.60593415691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2577.60593415691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2577.60593415691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2254.90966597564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2344.26878861575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2393.91274563804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2393.91274563804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2393.91274563804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1974.65749012718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2038.15615657954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2110.12131189222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2192.36720367814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2226.3219296448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2026-10-31T02:23:44Z</dcterms:created>
  <dc:creator>openpyxl</dc:creator>
  <dc:description/>
  <dc:language>en-NZ</dc:language>
  <cp:lastModifiedBy/>
  <dcterms:modified xsi:type="dcterms:W3CDTF">2026-10-31T02:23:44Z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