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<sst xmlns="http://schemas.openxmlformats.org/spreadsheetml/2006/main" count="390" uniqueCount="175">
  <si>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</si>
  <si>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CAH</t>
  </si>
  <si>
    <t xml:space="preserve">Company</t>
  </si>
  <si>
    <t xml:space="preserve">Cardinal Health,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</si>
  <si>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</si>
  <si>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</si>
  <si>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</si>
  <si>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</si>
  <si>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2026-09-25T20:00:03Z (Yahoo Finance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</si>
  <si>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</si>
  <si>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</si>
  <si>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</si>
  <si>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</si>
  <si>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</si>
  <si>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</si>
  <si>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</si>
  <si>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</si>
  <si>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</si>
  <si>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</si>
  <si>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</si>
  <si>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</si>
  <si>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2026-09-26T00:11:56Z</t>
  </si>
  <si>
    <t xml:space="preserve">Drivers file</t>
  </si>
  <si>
    <t xml:space="preserve">CAH_Drivers.json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</si>
  <si>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</si>
  <si>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</si>
  <si>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</si>
  <si>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Cardinal Health is valued on a standard owner-FCF DCF, scenario-weighted across bear/base/bull, using a 10-year explicit horizon because the component-built EBITDA margin (1.40% FY2026 actual, climbing toward a projected ~1.65% mature level) has not yet matured by year 5. The business is a genuine high-volume, low-margin logistics/distribution operation -- gross margins of 3-4% and EBITDA margins near 1.4% are structural, not depressed, and the model does NOT extrapolate margin expansion beyond what the disclosed segment mix shift (Specialty/BioPharma growth, MSO physician-practice platforms, GMPD's improvement plan) plausibly supports; FY2026's outsized 91% GMPD profit growth and its own guided FY2027 step-down in adjusted free cash flow ($5.0B to $3.5-4.0B) are both treated as evidence AGAINST extrapolating the most recent year's results, not as a new steady state. SBC is fully expensed in the flows (charged once) and the share count held flat rather than compounded with the historical ~3%/yr buyback-driven decline, since the buybacks are the mechanism funding the flat count, not a source of incremental per-share value on top of it. Net debt (not net cash) means no interest-income strip applies. The largest unresolved modeling simplification is noncontrolling interests in the majority-owned MSO platforms (GI Alliance ~73%, Solaris/Specialty Alliance ~76%): the consolidated EBIT/EBITDA build is not adjusted for NCI because no NCI figure is disclosed in the parsed data, but the 'Other' segment containing the MSOs is still only ~3% of revenue today, so the resulting overstatement of shareholder value is small at current scale and will need revisiting if MSO scaling accelerates as guided (11-13% segment growth).
key_risks_to_valuation: IRA Medicare Drug Price Negotiation Program expansion (more Part D drugs in 2027, Part B drugs in 2028) compressing already-thin core distribution margins on a growing share of branded volume; Unresolved 340B contract-pharmacy disputes creating multi-year uncertainty on distribution volumes and rebate economics; MSO integration risk from four billion-dollar-plus acquisitions (GI Alliance, Solaris Health, Advanced Diabetes Supply, ION) completed in under two years, in a business model distinct from core distribution; Customer concentration: a small number of very large customers (CVS Health, OptumRx, major GPOs) represent an outsized share of revenue and receivables; Legacy opioid litigation exposure (ongoing settlement obligations); GMPD segment profit is guided to fall in FY2027 as the one-time ~$100M IEEPA tariff refund rolls off -- if the underlying improvement-plan progress is weaker than assumed, margin could fall further than modeled; NCI in majority-owned (not wholly-owned) MSO platforms is not separately deducted in this build; a scale-up of the MSO segment without a corresponding NCI adjustment would overstate per-share value</t>
  </si>
  <si>
    <t xml:space="preserve">Data sources</t>
  </si>
  <si>
    <t xml:space="preserve">price: Yahoo Finance chart API at inputs.price_as_of; 52-week range 149.6-258.3
financials: CAH_Metrics.csv (SEC XBRL-derived, 103 periods FY2007-FY2026) and dcf_context.py KPI pivot (buybacks, cash_taxes, ebitda_da)
qualitative: CAH_Analysis.json (business_model, competitive_position, growth_drivers, risks, guidance, bull_case, bear_case), analysis dated for Q4/FY2026 earnings release (August 2026) and FY2027 guidance</t>
  </si>
  <si>
    <t xml:space="preserve">Scenario narrative: bear</t>
  </si>
  <si>
    <t xml:space="preserve">IRA Medicare drug-price negotiation expands into more Part D drugs in 2027 and Part B drugs in 2028, compressing the already-thin (3-4% gross margin) core distribution economics on a growing share of branded volume; unresolved 340B contract-pharmacy disputes add further uncertainty; the rapid, debt- and cash-funded MSO acquisition spree (GI Alliance, Solaris, ADS, ION -- several billion dollars in under two years) proves harder to integrate than guided; and GMPD's FY2026 profit surge reverses fully once the one-time tariff refund rolls off, with no offsetting structural improvement.</t>
  </si>
  <si>
    <t xml:space="preserve">Scenario narrative: base</t>
  </si>
  <si>
    <t xml:space="preserve">Cardinal Health continues as one of the 'Big Three' US pharmaceutical distributors (&gt;90% combined share with McKesson and Cencora), growing revenue at a mid-single-digit rate driven by drug-price inflation and Specialty/biologic mix in the ~92%-of-revenue Pharma segment, while the small but fast-growing MSO and Specialty-adjacent 'Other' segment (currently ~3% of revenue, guided 11-13% growth) gradually lifts the blended margin. EBITDA margin keeps climbing off its FY2022 trough (0.05%) toward a mature ~1.65%, but FY2026's outsized 91% GMPD profit surge (largely a one-time ~$100M tariff refund) does not repeat, and FY2027's own guidance already calls for GMPD profit to fall and adjusted FCF to normalize down from $5.0B to $3.5-4.0B.</t>
  </si>
  <si>
    <t xml:space="preserve">Scenario narrative: bull</t>
  </si>
  <si>
    <t xml:space="preserve">The fragmented physician-practice market in GI, urology and oncology consolidates onto Cardinal's Specialty Alliance MSO platforms faster than guided, Specialty/BioPharma (including radiopharmacy) sustains its 30%+ growth rate for longer, and GMPD's improvement plan produces durable (not just tariff-refund-driven) margin gains -- compounding into materially higher EBITDA margins and growth than the core distribution business alone would support.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</si>
  <si>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</si>
  <si>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</si>
  <si>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</si>
  <si>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</si>
  <si>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</si>
  <si>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</si>
  <si>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</si>
  <si>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</si>
  <si>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</si>
  <si>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</si>
  <si>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</si>
  <si>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</si>
  <si>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</si>
  <si>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</si>
  <si>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</si>
  <si>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</si>
  <si>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</si>
  <si>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</si>
  <si>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</si>
  <si>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</si>
  <si>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</si>
  <si>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</si>
  <si>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</si>
  <si>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</si>
  <si>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</si>
  <si>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</si>
  <si>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</si>
  <si>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</si>
  <si>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</si>
  <si>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</si>
  <si>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</si>
  <si>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</si>
  <si>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</si>
  <si>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</si>
  <si>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</si>
  <si>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</si>
  <si>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</si>
  <si>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</si>
  <si>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</si>
  <si>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</si>
  <si>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</si>
  <si>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</si>
  <si>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</si>
  <si>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</si>
  <si>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</si>
  <si>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</si>
  <si>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</si>
  <si>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</si>
  <si>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</si>
  <si>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</si>
  <si>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</si>
  <si>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</si>
  <si>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</si>
  <si>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</si>
  <si>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</si>
  <si>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</si>
  <si>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</si>
  <si>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</si>
  <si>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</si>
  <si>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</si>
  <si>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</si>
  <si>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</si>
  <si>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</si>
  <si>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</si>
  <si>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</si>
  <si>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</si>
  <si>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</si>
  <si>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</si>
  <si>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</si>
  <si>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</si>
  <si>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</si>
  <si>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</si>
  <si>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</si>
  <si>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</si>
  <si>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</si>
  <si>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</si>
  <si>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</si>
  <si>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</si>
  <si>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</si>
  <si>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</si>
  <si>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</si>
  <si>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</si>
  <si>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</si>
  <si>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</si>
  <si>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CAH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</si>
  <si>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</si>
  <si>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</si>
  <si>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</si>
  <si>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</si>
  <si>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</si>
  <si>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</si>
  <si>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</si>
  <si>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</si>
  <si>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</si>
  <si>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</si>
  <si>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</si>
  <si>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</si>
  <si>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</si>
  <si>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</si>
  <si>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</si>
  <si>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</si>
  <si>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</si>
  <si>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</si>
  <si>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</si>
  <si>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</si>
  <si>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</si>
  <si>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</si>
  <si>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</si>
  <si>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</si>
  <si>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</si>
  <si>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</si>
  <si>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</si>
  <si>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</si>
  <si>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</si>
  <si>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</si>
  <si>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CAH owner-FCF component DCF: base case (millions, USD)</t>
  </si>
  <si>
    <t xml:space="preserve">CAH owner-FCF component DCF: bull case (millions, USD)</t>
  </si>
  <si>
    <t xml:space="preserve">CAH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</si>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</sst>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220.22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7376.9</v>
      </c>
      <c r="S2" s="0" t="n">
        <v>796.7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87408.2</v>
      </c>
      <c r="D3" s="0" t="n">
        <v>3777.1</v>
      </c>
      <c r="E3" s="0" t="n">
        <v>4.32121929063864</v>
      </c>
      <c r="F3" s="0" t="n">
        <v>1392.4</v>
      </c>
      <c r="G3" s="0" t="n">
        <v>1.59298555513098</v>
      </c>
      <c r="H3" s="0" t="n">
        <v>1612.4</v>
      </c>
      <c r="I3" s="0" t="n">
        <v>1300.6</v>
      </c>
      <c r="J3" s="0" t="n">
        <v>1.48796108374272</v>
      </c>
      <c r="K3" s="0" t="n">
        <v>3.63</v>
      </c>
      <c r="L3" s="0" t="n">
        <v>1541.7</v>
      </c>
      <c r="O3" s="0" t="n">
        <v>7747.5</v>
      </c>
      <c r="S3" s="0" t="n">
        <v>808.8</v>
      </c>
      <c r="T3" s="0" t="n">
        <v>364</v>
      </c>
      <c r="U3" s="0" t="n">
        <v>107.9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95991.5</v>
      </c>
      <c r="D4" s="0" t="n">
        <v>3747.5</v>
      </c>
      <c r="E4" s="0" t="n">
        <v>3.90399149924733</v>
      </c>
      <c r="F4" s="0" t="n">
        <v>1287.4</v>
      </c>
      <c r="G4" s="0" t="n">
        <v>1.3411604152451</v>
      </c>
      <c r="H4" s="0" t="n">
        <v>1513.2</v>
      </c>
      <c r="I4" s="0" t="n">
        <v>1151.6</v>
      </c>
      <c r="J4" s="0" t="n">
        <v>1.19968955584609</v>
      </c>
      <c r="K4" s="0" t="n">
        <v>3.22</v>
      </c>
      <c r="L4" s="0" t="n">
        <v>1423.9</v>
      </c>
      <c r="M4" s="0" t="n">
        <v>421.2</v>
      </c>
      <c r="N4" s="0" t="n">
        <v>1002.7</v>
      </c>
      <c r="O4" s="0" t="n">
        <v>8725</v>
      </c>
      <c r="P4" s="0" t="n">
        <v>25118.8</v>
      </c>
      <c r="R4" s="0" t="n">
        <v>4004</v>
      </c>
      <c r="S4" s="0" t="n">
        <v>1221</v>
      </c>
      <c r="T4" s="0" t="n">
        <v>361.5</v>
      </c>
      <c r="U4" s="0" t="n">
        <v>109.9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98503</v>
      </c>
      <c r="D5" s="0" t="n">
        <v>3781</v>
      </c>
      <c r="E5" s="0" t="n">
        <v>3.83846177273789</v>
      </c>
      <c r="F5" s="0" t="n">
        <v>1307</v>
      </c>
      <c r="G5" s="0" t="n">
        <v>1.32686314122413</v>
      </c>
      <c r="H5" s="0" t="n">
        <v>1561</v>
      </c>
      <c r="I5" s="0" t="n">
        <v>642</v>
      </c>
      <c r="J5" s="0" t="n">
        <v>0.651756799285301</v>
      </c>
      <c r="K5" s="0" t="n">
        <v>1.79</v>
      </c>
      <c r="L5" s="0" t="n">
        <v>2134</v>
      </c>
      <c r="M5" s="0" t="n">
        <v>260</v>
      </c>
      <c r="N5" s="0" t="n">
        <v>1874</v>
      </c>
      <c r="O5" s="0" t="n">
        <v>5276</v>
      </c>
      <c r="P5" s="0" t="n">
        <v>19990</v>
      </c>
      <c r="R5" s="0" t="n">
        <v>2362.5</v>
      </c>
      <c r="S5" s="0" t="n">
        <v>2755</v>
      </c>
      <c r="T5" s="0" t="n">
        <v>361</v>
      </c>
      <c r="U5" s="0" t="n">
        <v>100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102644</v>
      </c>
      <c r="D6" s="0" t="n">
        <v>4162</v>
      </c>
      <c r="E6" s="0" t="n">
        <v>4.05479131756362</v>
      </c>
      <c r="F6" s="0" t="n">
        <v>1514</v>
      </c>
      <c r="G6" s="0" t="n">
        <v>1.47500097424107</v>
      </c>
      <c r="H6" s="0" t="n">
        <v>1827</v>
      </c>
      <c r="I6" s="0" t="n">
        <v>959</v>
      </c>
      <c r="J6" s="0" t="n">
        <v>0.934297182494837</v>
      </c>
      <c r="K6" s="0" t="n">
        <v>2.75</v>
      </c>
      <c r="L6" s="0" t="n">
        <v>1395</v>
      </c>
      <c r="M6" s="0" t="n">
        <v>291</v>
      </c>
      <c r="N6" s="0" t="n">
        <v>1104</v>
      </c>
      <c r="O6" s="0" t="n">
        <v>5849</v>
      </c>
      <c r="P6" s="0" t="n">
        <v>22846</v>
      </c>
      <c r="R6" s="0" t="n">
        <v>2502</v>
      </c>
      <c r="S6" s="0" t="n">
        <v>1929</v>
      </c>
      <c r="T6" s="0" t="n">
        <v>353</v>
      </c>
      <c r="U6" s="0" t="n">
        <v>80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107552</v>
      </c>
      <c r="D7" s="0" t="n">
        <v>4541</v>
      </c>
      <c r="E7" s="0" t="n">
        <v>4.22214370722999</v>
      </c>
      <c r="F7" s="0" t="n">
        <v>1792</v>
      </c>
      <c r="G7" s="0" t="n">
        <v>1.66617078250521</v>
      </c>
      <c r="H7" s="0" t="n">
        <v>2117</v>
      </c>
      <c r="I7" s="0" t="n">
        <v>1069</v>
      </c>
      <c r="J7" s="0" t="n">
        <v>0.993937816126153</v>
      </c>
      <c r="K7" s="0" t="n">
        <v>3.1</v>
      </c>
      <c r="L7" s="0" t="n">
        <v>1176</v>
      </c>
      <c r="M7" s="0" t="n">
        <v>260</v>
      </c>
      <c r="N7" s="0" t="n">
        <v>916</v>
      </c>
      <c r="O7" s="0" t="n">
        <v>6244</v>
      </c>
      <c r="P7" s="0" t="n">
        <v>24260</v>
      </c>
      <c r="R7" s="0" t="n">
        <v>2894</v>
      </c>
      <c r="S7" s="0" t="n">
        <v>2274</v>
      </c>
      <c r="T7" s="0" t="n">
        <v>349</v>
      </c>
      <c r="U7" s="0" t="n">
        <v>85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101093</v>
      </c>
      <c r="D8" s="0" t="n">
        <v>4921</v>
      </c>
      <c r="E8" s="0" t="n">
        <v>4.86779500064297</v>
      </c>
      <c r="F8" s="0" t="n">
        <v>996</v>
      </c>
      <c r="G8" s="0" t="n">
        <v>0.985231420573136</v>
      </c>
      <c r="H8" s="0" t="n">
        <v>1393</v>
      </c>
      <c r="I8" s="0" t="n">
        <v>334</v>
      </c>
      <c r="J8" s="0" t="n">
        <v>0.330388849870911</v>
      </c>
      <c r="K8" s="0" t="n">
        <v>0.98</v>
      </c>
      <c r="L8" s="0" t="n">
        <v>1727</v>
      </c>
      <c r="M8" s="0" t="n">
        <v>195</v>
      </c>
      <c r="N8" s="0" t="n">
        <v>1532</v>
      </c>
      <c r="O8" s="0" t="n">
        <v>5975</v>
      </c>
      <c r="P8" s="0" t="n">
        <v>25819</v>
      </c>
      <c r="R8" s="0" t="n">
        <v>3854</v>
      </c>
      <c r="S8" s="0" t="n">
        <v>1901</v>
      </c>
      <c r="T8" s="0" t="n">
        <v>344</v>
      </c>
      <c r="U8" s="0" t="n">
        <v>93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91084</v>
      </c>
      <c r="D9" s="0" t="n">
        <v>5161</v>
      </c>
      <c r="E9" s="0" t="n">
        <v>5.66619823459664</v>
      </c>
      <c r="F9" s="0" t="n">
        <v>1885</v>
      </c>
      <c r="G9" s="0" t="n">
        <v>2.06951824689298</v>
      </c>
      <c r="H9" s="0" t="n">
        <v>2344</v>
      </c>
      <c r="I9" s="0" t="n">
        <v>1166</v>
      </c>
      <c r="J9" s="0" t="n">
        <v>1.28013701638048</v>
      </c>
      <c r="K9" s="0" t="n">
        <v>3.42</v>
      </c>
      <c r="L9" s="0" t="n">
        <v>2524</v>
      </c>
      <c r="M9" s="0" t="n">
        <v>249</v>
      </c>
      <c r="N9" s="0" t="n">
        <v>2275</v>
      </c>
      <c r="O9" s="0" t="n">
        <v>6401</v>
      </c>
      <c r="P9" s="0" t="n">
        <v>26033</v>
      </c>
      <c r="R9" s="0" t="n">
        <v>3972</v>
      </c>
      <c r="S9" s="0" t="n">
        <v>2865</v>
      </c>
      <c r="T9" s="0" t="n">
        <v>345</v>
      </c>
      <c r="U9" s="0" t="n">
        <v>96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102531</v>
      </c>
      <c r="D10" s="0" t="n">
        <v>5712</v>
      </c>
      <c r="E10" s="0" t="n">
        <v>5.57099803961729</v>
      </c>
      <c r="F10" s="0" t="n">
        <v>2161</v>
      </c>
      <c r="G10" s="0" t="n">
        <v>2.10765524573056</v>
      </c>
      <c r="H10" s="0" t="n">
        <v>2612</v>
      </c>
      <c r="I10" s="0" t="n">
        <v>1215</v>
      </c>
      <c r="J10" s="0" t="n">
        <v>1.18500746115809</v>
      </c>
      <c r="K10" s="0" t="n">
        <v>3.66</v>
      </c>
      <c r="L10" s="0" t="n">
        <v>2540</v>
      </c>
      <c r="M10" s="0" t="n">
        <v>300</v>
      </c>
      <c r="N10" s="0" t="n">
        <v>2240</v>
      </c>
      <c r="O10" s="0" t="n">
        <v>6256</v>
      </c>
      <c r="P10" s="0" t="n">
        <v>30142</v>
      </c>
      <c r="R10" s="0" t="n">
        <v>5492</v>
      </c>
      <c r="S10" s="0" t="n">
        <v>4616</v>
      </c>
      <c r="T10" s="0" t="n">
        <v>335</v>
      </c>
      <c r="U10" s="0" t="n">
        <v>110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121546</v>
      </c>
      <c r="C11" s="0" t="n">
        <v>115003</v>
      </c>
      <c r="D11" s="0" t="n">
        <v>6543</v>
      </c>
      <c r="E11" s="0" t="n">
        <v>5.3831471212545</v>
      </c>
      <c r="F11" s="0" t="n">
        <v>2459</v>
      </c>
      <c r="G11" s="0" t="n">
        <v>2.02310236453688</v>
      </c>
      <c r="H11" s="0" t="n">
        <v>3100</v>
      </c>
      <c r="I11" s="0" t="n">
        <v>1431</v>
      </c>
      <c r="J11" s="0" t="n">
        <v>1.17733203889885</v>
      </c>
      <c r="K11" s="0" t="n">
        <v>4.36</v>
      </c>
      <c r="L11" s="0" t="n">
        <v>2971</v>
      </c>
      <c r="M11" s="0" t="n">
        <v>465</v>
      </c>
      <c r="N11" s="0" t="n">
        <v>2506</v>
      </c>
      <c r="O11" s="0" t="n">
        <v>6571</v>
      </c>
      <c r="P11" s="0" t="n">
        <v>34122</v>
      </c>
      <c r="R11" s="0" t="n">
        <v>5539</v>
      </c>
      <c r="S11" s="0" t="n">
        <v>2356</v>
      </c>
      <c r="T11" s="0" t="n">
        <v>330</v>
      </c>
      <c r="U11" s="0" t="n">
        <v>111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129976</v>
      </c>
      <c r="C12" s="0" t="n">
        <v>123432</v>
      </c>
      <c r="D12" s="0" t="n">
        <v>6544</v>
      </c>
      <c r="E12" s="0" t="n">
        <v>5.0347756508894</v>
      </c>
      <c r="F12" s="0" t="n">
        <v>2120</v>
      </c>
      <c r="G12" s="0" t="n">
        <v>1.6310703514495</v>
      </c>
      <c r="H12" s="0" t="n">
        <v>2837</v>
      </c>
      <c r="I12" s="0" t="n">
        <v>1294</v>
      </c>
      <c r="J12" s="0" t="n">
        <v>0.995568412630024</v>
      </c>
      <c r="K12" s="0" t="n">
        <v>4.06</v>
      </c>
      <c r="L12" s="0" t="n">
        <v>1184</v>
      </c>
      <c r="M12" s="0" t="n">
        <v>387</v>
      </c>
      <c r="N12" s="0" t="n">
        <v>797</v>
      </c>
      <c r="O12" s="0" t="n">
        <v>6828</v>
      </c>
      <c r="P12" s="0" t="n">
        <v>40112</v>
      </c>
      <c r="R12" s="0" t="n">
        <v>10395</v>
      </c>
      <c r="S12" s="0" t="n">
        <v>6879</v>
      </c>
      <c r="T12" s="0" t="n">
        <v>320</v>
      </c>
      <c r="U12" s="0" t="n">
        <v>96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136809</v>
      </c>
      <c r="C13" s="0" t="n">
        <v>129628</v>
      </c>
      <c r="D13" s="0" t="n">
        <v>7181</v>
      </c>
      <c r="E13" s="0" t="n">
        <v>5.24892368192151</v>
      </c>
      <c r="F13" s="0" t="n">
        <v>126</v>
      </c>
      <c r="G13" s="0" t="n">
        <v>0.0920992039997369</v>
      </c>
      <c r="H13" s="0" t="n">
        <v>1158</v>
      </c>
      <c r="I13" s="0" t="n">
        <v>259</v>
      </c>
      <c r="J13" s="0" t="n">
        <v>0.189315030443904</v>
      </c>
      <c r="K13" s="0" t="n">
        <v>0.82</v>
      </c>
      <c r="L13" s="0" t="n">
        <v>2768</v>
      </c>
      <c r="M13" s="0" t="n">
        <v>384</v>
      </c>
      <c r="N13" s="0" t="n">
        <v>2384</v>
      </c>
      <c r="O13" s="0" t="n">
        <v>6059</v>
      </c>
      <c r="P13" s="0" t="n">
        <v>39951</v>
      </c>
      <c r="R13" s="0" t="n">
        <v>9013</v>
      </c>
      <c r="S13" s="0" t="n">
        <v>1763</v>
      </c>
      <c r="T13" s="0" t="n">
        <v>315</v>
      </c>
      <c r="U13" s="0" t="n">
        <v>85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145534</v>
      </c>
      <c r="C14" s="0" t="n">
        <v>138700</v>
      </c>
      <c r="D14" s="0" t="n">
        <v>6834</v>
      </c>
      <c r="E14" s="0" t="n">
        <v>4.69580991383457</v>
      </c>
      <c r="F14" s="0" t="n">
        <v>2060</v>
      </c>
      <c r="G14" s="0" t="n">
        <v>1.41547679580029</v>
      </c>
      <c r="H14" s="0" t="n">
        <v>3060</v>
      </c>
      <c r="I14" s="0" t="n">
        <v>1365</v>
      </c>
      <c r="J14" s="0" t="n">
        <v>0.937925158382234</v>
      </c>
      <c r="K14" s="0" t="n">
        <v>4.55</v>
      </c>
      <c r="L14" s="0" t="n">
        <v>2722</v>
      </c>
      <c r="M14" s="0" t="n">
        <v>328</v>
      </c>
      <c r="N14" s="0" t="n">
        <v>2394</v>
      </c>
      <c r="O14" s="0" t="n">
        <v>6330</v>
      </c>
      <c r="P14" s="0" t="n">
        <v>40963</v>
      </c>
      <c r="R14" s="0" t="n">
        <v>8031</v>
      </c>
      <c r="S14" s="0" t="n">
        <v>2531</v>
      </c>
      <c r="T14" s="0" t="n">
        <v>301</v>
      </c>
      <c r="U14" s="0" t="n">
        <v>82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152922</v>
      </c>
      <c r="C15" s="0" t="n">
        <v>146054</v>
      </c>
      <c r="D15" s="0" t="n">
        <v>6868</v>
      </c>
      <c r="E15" s="0" t="n">
        <v>4.4911785093054</v>
      </c>
      <c r="F15" s="0" t="n">
        <v>-4098</v>
      </c>
      <c r="G15" s="0" t="n">
        <v>-2.67979754384588</v>
      </c>
      <c r="H15" s="0" t="n">
        <v>-3185</v>
      </c>
      <c r="I15" s="0" t="n">
        <v>-3696</v>
      </c>
      <c r="J15" s="0" t="n">
        <v>-2.41691842900302</v>
      </c>
      <c r="K15" s="0" t="n">
        <v>-12.61</v>
      </c>
      <c r="L15" s="0" t="n">
        <v>1960</v>
      </c>
      <c r="M15" s="0" t="n">
        <v>375</v>
      </c>
      <c r="N15" s="0" t="n">
        <v>1585</v>
      </c>
      <c r="O15" s="0" t="n">
        <v>1792</v>
      </c>
      <c r="P15" s="0" t="n">
        <v>40766</v>
      </c>
      <c r="R15" s="0" t="n">
        <v>6775</v>
      </c>
      <c r="S15" s="0" t="n">
        <v>2771</v>
      </c>
      <c r="T15" s="0" t="n">
        <v>293</v>
      </c>
      <c r="U15" s="0" t="n">
        <v>90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162467</v>
      </c>
      <c r="C16" s="0" t="n">
        <v>155689</v>
      </c>
      <c r="D16" s="0" t="n">
        <v>6778</v>
      </c>
      <c r="E16" s="0" t="n">
        <v>4.17192414459552</v>
      </c>
      <c r="F16" s="0" t="n">
        <v>472</v>
      </c>
      <c r="G16" s="0" t="n">
        <v>0.290520536478177</v>
      </c>
      <c r="H16" s="0" t="n">
        <v>1255</v>
      </c>
      <c r="I16" s="0" t="n">
        <v>612</v>
      </c>
      <c r="J16" s="0" t="n">
        <v>0.376691882043738</v>
      </c>
      <c r="K16" s="0" t="n">
        <v>2.09</v>
      </c>
      <c r="L16" s="0" t="n">
        <v>2429</v>
      </c>
      <c r="M16" s="0" t="n">
        <v>400</v>
      </c>
      <c r="N16" s="0" t="n">
        <v>2029</v>
      </c>
      <c r="O16" s="0" t="n">
        <v>1623</v>
      </c>
      <c r="P16" s="0" t="n">
        <v>44453</v>
      </c>
      <c r="R16" s="0" t="n">
        <v>6236</v>
      </c>
      <c r="S16" s="0" t="n">
        <v>3407</v>
      </c>
      <c r="T16" s="0" t="n">
        <v>294</v>
      </c>
      <c r="U16" s="0" t="n">
        <v>89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181326</v>
      </c>
      <c r="C17" s="0" t="n">
        <v>174842</v>
      </c>
      <c r="D17" s="0" t="n">
        <v>6484</v>
      </c>
      <c r="E17" s="0" t="n">
        <v>3.575879906908</v>
      </c>
      <c r="F17" s="0" t="n">
        <v>-607</v>
      </c>
      <c r="G17" s="0" t="n">
        <v>-0.334756184992775</v>
      </c>
      <c r="H17" s="0" t="n">
        <v>85</v>
      </c>
      <c r="I17" s="0" t="n">
        <v>-938</v>
      </c>
      <c r="J17" s="0" t="n">
        <v>-0.517300331998721</v>
      </c>
      <c r="K17" s="0" t="n">
        <v>-3.37</v>
      </c>
      <c r="L17" s="0" t="n">
        <v>3175</v>
      </c>
      <c r="M17" s="0" t="n">
        <v>387</v>
      </c>
      <c r="N17" s="0" t="n">
        <v>2788</v>
      </c>
      <c r="O17" s="0" t="n">
        <v>-882</v>
      </c>
      <c r="P17" s="0" t="n">
        <v>43878</v>
      </c>
      <c r="R17" s="0" t="n">
        <v>5315</v>
      </c>
      <c r="S17" s="0" t="n">
        <v>4717</v>
      </c>
      <c r="T17" s="0" t="n">
        <v>279</v>
      </c>
      <c r="U17" s="0" t="n">
        <v>81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204979</v>
      </c>
      <c r="C18" s="0" t="n">
        <v>198105</v>
      </c>
      <c r="D18" s="0" t="n">
        <v>6874</v>
      </c>
      <c r="E18" s="0" t="n">
        <v>3.35351426243664</v>
      </c>
      <c r="F18" s="0" t="n">
        <v>752</v>
      </c>
      <c r="G18" s="0" t="n">
        <v>0.366866849774855</v>
      </c>
      <c r="H18" s="0" t="n">
        <v>1444</v>
      </c>
      <c r="I18" s="0" t="n">
        <v>331</v>
      </c>
      <c r="J18" s="0" t="n">
        <v>0.161479956483347</v>
      </c>
      <c r="K18" s="0" t="n">
        <v>1.27</v>
      </c>
      <c r="L18" s="0" t="n">
        <v>2844</v>
      </c>
      <c r="M18" s="0" t="n">
        <v>481</v>
      </c>
      <c r="N18" s="0" t="n">
        <v>2363</v>
      </c>
      <c r="O18" s="0" t="n">
        <v>-2957</v>
      </c>
      <c r="P18" s="0" t="n">
        <v>43349</v>
      </c>
      <c r="R18" s="0" t="n">
        <v>4701</v>
      </c>
      <c r="S18" s="0" t="n">
        <v>4076</v>
      </c>
      <c r="T18" s="0" t="n">
        <v>262</v>
      </c>
      <c r="U18" s="0" t="n">
        <v>96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226827</v>
      </c>
      <c r="C19" s="0" t="n">
        <v>219413</v>
      </c>
      <c r="D19" s="0" t="n">
        <v>7414</v>
      </c>
      <c r="E19" s="0" t="n">
        <v>3.2685703201118</v>
      </c>
      <c r="F19" s="0" t="n">
        <v>1243</v>
      </c>
      <c r="G19" s="0" t="n">
        <v>0.547994727259101</v>
      </c>
      <c r="H19" s="0" t="n">
        <v>1953</v>
      </c>
      <c r="I19" s="0" t="n">
        <v>853</v>
      </c>
      <c r="J19" s="0" t="n">
        <v>0.3760575240161</v>
      </c>
      <c r="K19" s="0" t="n">
        <v>3.48</v>
      </c>
      <c r="L19" s="0" t="n">
        <v>3762</v>
      </c>
      <c r="M19" s="0" t="n">
        <v>511</v>
      </c>
      <c r="N19" s="0" t="n">
        <v>3251</v>
      </c>
      <c r="O19" s="0" t="n">
        <v>-3212</v>
      </c>
      <c r="P19" s="0" t="n">
        <v>45121</v>
      </c>
      <c r="R19" s="0" t="n">
        <v>5092</v>
      </c>
      <c r="S19" s="0" t="n">
        <v>5133</v>
      </c>
      <c r="T19" s="0" t="n">
        <v>247</v>
      </c>
      <c r="U19" s="0" t="n">
        <v>121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222578</v>
      </c>
      <c r="C20" s="0" t="n">
        <v>214410</v>
      </c>
      <c r="D20" s="0" t="n">
        <v>8168</v>
      </c>
      <c r="E20" s="0" t="n">
        <v>3.6697247706422</v>
      </c>
      <c r="F20" s="0" t="n">
        <v>2275</v>
      </c>
      <c r="G20" s="0" t="n">
        <v>1.02211359613259</v>
      </c>
      <c r="H20" s="0" t="n">
        <v>3065</v>
      </c>
      <c r="I20" s="0" t="n">
        <v>1569</v>
      </c>
      <c r="J20" s="0" t="n">
        <v>0.704921420805291</v>
      </c>
      <c r="K20" s="0" t="n">
        <v>6.48</v>
      </c>
      <c r="L20" s="0" t="n">
        <v>2397</v>
      </c>
      <c r="M20" s="0" t="n">
        <v>547</v>
      </c>
      <c r="N20" s="0" t="n">
        <v>1850</v>
      </c>
      <c r="O20" s="0" t="n">
        <v>-2781</v>
      </c>
      <c r="P20" s="0" t="n">
        <v>53122</v>
      </c>
      <c r="R20" s="0" t="n">
        <v>8527</v>
      </c>
      <c r="S20" s="0" t="n">
        <v>3874</v>
      </c>
      <c r="T20" s="0" t="n">
        <v>242</v>
      </c>
      <c r="U20" s="0" t="n">
        <v>244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254248</v>
      </c>
      <c r="C21" s="0" t="n">
        <v>244474</v>
      </c>
      <c r="D21" s="0" t="n">
        <v>9774</v>
      </c>
      <c r="E21" s="0" t="n">
        <v>3.84427802775243</v>
      </c>
      <c r="F21" s="0" t="n">
        <v>2613</v>
      </c>
      <c r="G21" s="0" t="n">
        <v>1.02773669802712</v>
      </c>
      <c r="H21" s="0" t="n">
        <v>3569</v>
      </c>
      <c r="I21" s="0" t="n">
        <v>1714</v>
      </c>
      <c r="J21" s="0" t="n">
        <v>0.67414492936031</v>
      </c>
      <c r="K21" s="0" t="n">
        <v>7.27</v>
      </c>
      <c r="L21" s="0" t="n">
        <v>5174</v>
      </c>
      <c r="M21" s="0" t="n">
        <v>649</v>
      </c>
      <c r="N21" s="0" t="n">
        <v>4525</v>
      </c>
      <c r="O21" s="0" t="n">
        <v>-2883</v>
      </c>
      <c r="P21" s="0" t="n">
        <v>57299</v>
      </c>
      <c r="R21" s="0" t="n">
        <v>8886</v>
      </c>
      <c r="S21" s="0" t="n">
        <v>4856</v>
      </c>
      <c r="T21" s="0" t="n">
        <v>237</v>
      </c>
      <c r="U21" s="0" t="n">
        <v>367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220.22</v>
      </c>
    </row>
    <row r="3" customFormat="false" ht="15" hidden="false" customHeight="false" outlineLevel="0" collapsed="false">
      <c r="A3" s="0" t="s">
        <v>86</v>
      </c>
      <c r="B3" s="3" t="n">
        <v>237</v>
      </c>
    </row>
    <row r="4" customFormat="false" ht="15" hidden="false" customHeight="false" outlineLevel="0" collapsed="false">
      <c r="A4" s="0" t="s">
        <v>87</v>
      </c>
      <c r="B4" s="3" t="n">
        <v>4030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254248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</v>
      </c>
      <c r="D13" s="3" t="n">
        <v>1.5</v>
      </c>
      <c r="E13" s="3" t="n">
        <v>1.5</v>
      </c>
      <c r="F13" s="3" t="n">
        <v>1.5</v>
      </c>
      <c r="G13" s="3" t="n">
        <v>1.8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1.35</v>
      </c>
      <c r="D14" s="3" t="n">
        <v>1.3</v>
      </c>
      <c r="E14" s="3" t="n">
        <v>1.28</v>
      </c>
      <c r="F14" s="3" t="n">
        <v>1.27</v>
      </c>
      <c r="G14" s="3" t="n">
        <v>1.27</v>
      </c>
      <c r="H14" s="3" t="n">
        <v>1.28</v>
      </c>
      <c r="I14" s="3" t="n">
        <v>1.29</v>
      </c>
      <c r="J14" s="3" t="n">
        <v>1.3</v>
      </c>
      <c r="K14" s="3" t="n">
        <v>1.31</v>
      </c>
      <c r="L14" s="3" t="n">
        <v>1.32</v>
      </c>
    </row>
    <row r="15" customFormat="false" ht="15" hidden="false" customHeight="false" outlineLevel="0" collapsed="false">
      <c r="A15" s="0" t="s">
        <v>108</v>
      </c>
      <c r="C15" s="3" t="n">
        <v>0.145</v>
      </c>
      <c r="D15" s="3" t="n">
        <v>0.15</v>
      </c>
      <c r="E15" s="3" t="n">
        <v>0.15</v>
      </c>
      <c r="F15" s="3" t="n">
        <v>0.15</v>
      </c>
      <c r="G15" s="3" t="n">
        <v>0.15</v>
      </c>
      <c r="H15" s="3" t="n">
        <v>0.15</v>
      </c>
      <c r="I15" s="3" t="n">
        <v>0.145</v>
      </c>
      <c r="J15" s="3" t="n">
        <v>0.145</v>
      </c>
      <c r="K15" s="3" t="n">
        <v>0.14</v>
      </c>
      <c r="L15" s="3" t="n">
        <v>0.14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0.38</v>
      </c>
      <c r="D17" s="3" t="n">
        <v>0.38</v>
      </c>
      <c r="E17" s="3" t="n">
        <v>0.38</v>
      </c>
      <c r="F17" s="3" t="n">
        <v>0.38</v>
      </c>
      <c r="G17" s="3" t="n">
        <v>0.38</v>
      </c>
      <c r="H17" s="3" t="n">
        <v>0.38</v>
      </c>
      <c r="I17" s="3" t="n">
        <v>0.38</v>
      </c>
      <c r="J17" s="3" t="n">
        <v>0.38</v>
      </c>
      <c r="K17" s="3" t="n">
        <v>0.38</v>
      </c>
      <c r="L17" s="3" t="n">
        <v>0.38</v>
      </c>
    </row>
    <row r="18" customFormat="false" ht="15" hidden="false" customHeight="false" outlineLevel="0" collapsed="false">
      <c r="A18" s="0" t="s">
        <v>111</v>
      </c>
      <c r="C18" s="3" t="n">
        <v>0.27</v>
      </c>
      <c r="D18" s="3" t="n">
        <v>0.27</v>
      </c>
      <c r="E18" s="3" t="n">
        <v>0.27</v>
      </c>
      <c r="F18" s="3" t="n">
        <v>0.27</v>
      </c>
      <c r="G18" s="3" t="n">
        <v>0.27</v>
      </c>
      <c r="H18" s="3" t="n">
        <v>0.27</v>
      </c>
      <c r="I18" s="3" t="n">
        <v>0.27</v>
      </c>
      <c r="J18" s="3" t="n">
        <v>0.27</v>
      </c>
      <c r="K18" s="3" t="n">
        <v>0.27</v>
      </c>
      <c r="L18" s="3" t="n">
        <v>0.27</v>
      </c>
    </row>
    <row r="19" customFormat="false" ht="15" hidden="false" customHeight="false" outlineLevel="0" collapsed="false">
      <c r="A19" s="0" t="s">
        <v>112</v>
      </c>
      <c r="C19" s="3" t="n">
        <v>15</v>
      </c>
      <c r="D19" s="3" t="n">
        <v>17.5</v>
      </c>
      <c r="E19" s="3" t="n">
        <v>20</v>
      </c>
      <c r="F19" s="3" t="n">
        <v>22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2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4.5</v>
      </c>
      <c r="D27" s="3" t="n">
        <v>4.5</v>
      </c>
      <c r="E27" s="3" t="n">
        <v>4.3</v>
      </c>
      <c r="F27" s="3" t="n">
        <v>4</v>
      </c>
      <c r="G27" s="3" t="n">
        <v>3.8</v>
      </c>
      <c r="H27" s="3" t="n">
        <v>3.5</v>
      </c>
      <c r="I27" s="3" t="n">
        <v>3.2</v>
      </c>
      <c r="J27" s="3" t="n">
        <v>3</v>
      </c>
      <c r="K27" s="3" t="n">
        <v>2.7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1.45</v>
      </c>
      <c r="D28" s="3" t="n">
        <v>1.5</v>
      </c>
      <c r="E28" s="3" t="n">
        <v>1.53</v>
      </c>
      <c r="F28" s="3" t="n">
        <v>1.56</v>
      </c>
      <c r="G28" s="3" t="n">
        <v>1.58</v>
      </c>
      <c r="H28" s="3" t="n">
        <v>1.6</v>
      </c>
      <c r="I28" s="3" t="n">
        <v>1.62</v>
      </c>
      <c r="J28" s="3" t="n">
        <v>1.63</v>
      </c>
      <c r="K28" s="3" t="n">
        <v>1.64</v>
      </c>
      <c r="L28" s="3" t="n">
        <v>1.65</v>
      </c>
    </row>
    <row r="29" customFormat="false" ht="15" hidden="false" customHeight="false" outlineLevel="0" collapsed="false">
      <c r="A29" s="0" t="s">
        <v>108</v>
      </c>
      <c r="C29" s="3" t="n">
        <v>0.145</v>
      </c>
      <c r="D29" s="3" t="n">
        <v>0.145</v>
      </c>
      <c r="E29" s="3" t="n">
        <v>0.145</v>
      </c>
      <c r="F29" s="3" t="n">
        <v>0.14</v>
      </c>
      <c r="G29" s="3" t="n">
        <v>0.14</v>
      </c>
      <c r="H29" s="3" t="n">
        <v>0.135</v>
      </c>
      <c r="I29" s="3" t="n">
        <v>0.135</v>
      </c>
      <c r="J29" s="3" t="n">
        <v>0.13</v>
      </c>
      <c r="K29" s="3" t="n">
        <v>0.13</v>
      </c>
      <c r="L29" s="3" t="n">
        <v>0.13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0.37</v>
      </c>
      <c r="D31" s="3" t="n">
        <v>0.37</v>
      </c>
      <c r="E31" s="3" t="n">
        <v>0.37</v>
      </c>
      <c r="F31" s="3" t="n">
        <v>0.37</v>
      </c>
      <c r="G31" s="3" t="n">
        <v>0.37</v>
      </c>
      <c r="H31" s="3" t="n">
        <v>0.37</v>
      </c>
      <c r="I31" s="3" t="n">
        <v>0.37</v>
      </c>
      <c r="J31" s="3" t="n">
        <v>0.37</v>
      </c>
      <c r="K31" s="3" t="n">
        <v>0.37</v>
      </c>
      <c r="L31" s="3" t="n">
        <v>0.37</v>
      </c>
    </row>
    <row r="32" customFormat="false" ht="15" hidden="false" customHeight="false" outlineLevel="0" collapsed="false">
      <c r="A32" s="0" t="s">
        <v>111</v>
      </c>
      <c r="C32" s="3" t="n">
        <v>0.27</v>
      </c>
      <c r="D32" s="3" t="n">
        <v>0.27</v>
      </c>
      <c r="E32" s="3" t="n">
        <v>0.27</v>
      </c>
      <c r="F32" s="3" t="n">
        <v>0.27</v>
      </c>
      <c r="G32" s="3" t="n">
        <v>0.27</v>
      </c>
      <c r="H32" s="3" t="n">
        <v>0.27</v>
      </c>
      <c r="I32" s="3" t="n">
        <v>0.27</v>
      </c>
      <c r="J32" s="3" t="n">
        <v>0.27</v>
      </c>
      <c r="K32" s="3" t="n">
        <v>0.27</v>
      </c>
      <c r="L32" s="3" t="n">
        <v>0.27</v>
      </c>
    </row>
    <row r="33" customFormat="false" ht="15" hidden="false" customHeight="false" outlineLevel="0" collapsed="false">
      <c r="A33" s="0" t="s">
        <v>112</v>
      </c>
      <c r="C33" s="3" t="n">
        <v>14</v>
      </c>
      <c r="D33" s="3" t="n">
        <v>16</v>
      </c>
      <c r="E33" s="3" t="n">
        <v>18</v>
      </c>
      <c r="F33" s="3" t="n">
        <v>19.5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</v>
      </c>
      <c r="D41" s="3" t="n">
        <v>7.5</v>
      </c>
      <c r="E41" s="3" t="n">
        <v>7</v>
      </c>
      <c r="F41" s="3" t="n">
        <v>6.5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1.5</v>
      </c>
      <c r="D42" s="3" t="n">
        <v>1.58</v>
      </c>
      <c r="E42" s="3" t="n">
        <v>1.65</v>
      </c>
      <c r="F42" s="3" t="n">
        <v>1.72</v>
      </c>
      <c r="G42" s="3" t="n">
        <v>1.78</v>
      </c>
      <c r="H42" s="3" t="n">
        <v>1.83</v>
      </c>
      <c r="I42" s="3" t="n">
        <v>1.87</v>
      </c>
      <c r="J42" s="3" t="n">
        <v>1.9</v>
      </c>
      <c r="K42" s="3" t="n">
        <v>1.92</v>
      </c>
      <c r="L42" s="3" t="n">
        <v>1.95</v>
      </c>
    </row>
    <row r="43" customFormat="false" ht="15" hidden="false" customHeight="false" outlineLevel="0" collapsed="false">
      <c r="A43" s="0" t="s">
        <v>108</v>
      </c>
      <c r="C43" s="3" t="n">
        <v>0.15</v>
      </c>
      <c r="D43" s="3" t="n">
        <v>0.15</v>
      </c>
      <c r="E43" s="3" t="n">
        <v>0.145</v>
      </c>
      <c r="F43" s="3" t="n">
        <v>0.145</v>
      </c>
      <c r="G43" s="3" t="n">
        <v>0.14</v>
      </c>
      <c r="H43" s="3" t="n">
        <v>0.14</v>
      </c>
      <c r="I43" s="3" t="n">
        <v>0.135</v>
      </c>
      <c r="J43" s="3" t="n">
        <v>0.135</v>
      </c>
      <c r="K43" s="3" t="n">
        <v>0.13</v>
      </c>
      <c r="L43" s="3" t="n">
        <v>0.13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0.37</v>
      </c>
      <c r="D45" s="3" t="n">
        <v>0.37</v>
      </c>
      <c r="E45" s="3" t="n">
        <v>0.37</v>
      </c>
      <c r="F45" s="3" t="n">
        <v>0.37</v>
      </c>
      <c r="G45" s="3" t="n">
        <v>0.37</v>
      </c>
      <c r="H45" s="3" t="n">
        <v>0.37</v>
      </c>
      <c r="I45" s="3" t="n">
        <v>0.37</v>
      </c>
      <c r="J45" s="3" t="n">
        <v>0.37</v>
      </c>
      <c r="K45" s="3" t="n">
        <v>0.37</v>
      </c>
      <c r="L45" s="3" t="n">
        <v>0.37</v>
      </c>
    </row>
    <row r="46" customFormat="false" ht="15" hidden="false" customHeight="false" outlineLevel="0" collapsed="false">
      <c r="A46" s="0" t="s">
        <v>111</v>
      </c>
      <c r="C46" s="3" t="n">
        <v>0.28</v>
      </c>
      <c r="D46" s="3" t="n">
        <v>0.28</v>
      </c>
      <c r="E46" s="3" t="n">
        <v>0.28</v>
      </c>
      <c r="F46" s="3" t="n">
        <v>0.28</v>
      </c>
      <c r="G46" s="3" t="n">
        <v>0.28</v>
      </c>
      <c r="H46" s="3" t="n">
        <v>0.28</v>
      </c>
      <c r="I46" s="3" t="n">
        <v>0.28</v>
      </c>
      <c r="J46" s="3" t="n">
        <v>0.28</v>
      </c>
      <c r="K46" s="3" t="n">
        <v>0.28</v>
      </c>
      <c r="L46" s="3" t="n">
        <v>0.28</v>
      </c>
    </row>
    <row r="47" customFormat="false" ht="15" hidden="false" customHeight="false" outlineLevel="0" collapsed="false">
      <c r="A47" s="0" t="s">
        <v>112</v>
      </c>
      <c r="C47" s="3" t="n">
        <v>13</v>
      </c>
      <c r="D47" s="3" t="n">
        <v>15</v>
      </c>
      <c r="E47" s="3" t="n">
        <v>17</v>
      </c>
      <c r="F47" s="3" t="n">
        <v>18.5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8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1.8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254248</v>
      </c>
      <c r="C6" s="0" t="n">
        <f aca="false">B6*(1+C5/100)</f>
        <v>259332.96</v>
      </c>
      <c r="D6" s="0" t="n">
        <f aca="false">C6*(1+D5/100)</f>
        <v>263222.9544</v>
      </c>
      <c r="E6" s="0" t="n">
        <f aca="false">D6*(1+E5/100)</f>
        <v>267171.298716</v>
      </c>
      <c r="F6" s="0" t="n">
        <f aca="false">E6*(1+F5/100)</f>
        <v>271178.86819674</v>
      </c>
      <c r="G6" s="0" t="n">
        <f aca="false">F6*(1+G5/100)</f>
        <v>276060.087824281</v>
      </c>
      <c r="H6" s="0" t="n">
        <f aca="false">G6*(1+H5/100)</f>
        <v>281581.289580767</v>
      </c>
      <c r="I6" s="0" t="n">
        <f aca="false">H6*(1+I5/100)</f>
        <v>287212.915372382</v>
      </c>
      <c r="J6" s="0" t="n">
        <f aca="false">I6*(1+J5/100)</f>
        <v>292957.17367983</v>
      </c>
      <c r="K6" s="0" t="n">
        <f aca="false">J6*(1+K5/100)</f>
        <v>298816.317153427</v>
      </c>
      <c r="L6" s="0" t="n">
        <f aca="false">K6*(1+L5/100)</f>
        <v>304792.643496495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1.35</v>
      </c>
      <c r="D7" s="4" t="n">
        <f aca="false">Assumptions!D14</f>
        <v>1.3</v>
      </c>
      <c r="E7" s="4" t="n">
        <f aca="false">Assumptions!E14</f>
        <v>1.28</v>
      </c>
      <c r="F7" s="4" t="n">
        <f aca="false">Assumptions!F14</f>
        <v>1.27</v>
      </c>
      <c r="G7" s="4" t="n">
        <f aca="false">Assumptions!G14</f>
        <v>1.27</v>
      </c>
      <c r="H7" s="4" t="n">
        <f aca="false">Assumptions!H14</f>
        <v>1.28</v>
      </c>
      <c r="I7" s="4" t="n">
        <f aca="false">Assumptions!I14</f>
        <v>1.29</v>
      </c>
      <c r="J7" s="4" t="n">
        <f aca="false">Assumptions!J14</f>
        <v>1.3</v>
      </c>
      <c r="K7" s="4" t="n">
        <f aca="false">Assumptions!K14</f>
        <v>1.31</v>
      </c>
      <c r="L7" s="4" t="n">
        <f aca="false">Assumptions!L14</f>
        <v>1.32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3500.99496</v>
      </c>
      <c r="D8" s="0" t="n">
        <f aca="false">D6*D7/100</f>
        <v>3421.8984072</v>
      </c>
      <c r="E8" s="0" t="n">
        <f aca="false">E6*E7/100</f>
        <v>3419.7926235648</v>
      </c>
      <c r="F8" s="0" t="n">
        <f aca="false">F6*F7/100</f>
        <v>3443.9716260986</v>
      </c>
      <c r="G8" s="0" t="n">
        <f aca="false">G6*G7/100</f>
        <v>3505.96311536837</v>
      </c>
      <c r="H8" s="0" t="n">
        <f aca="false">H6*H7/100</f>
        <v>3604.24050663382</v>
      </c>
      <c r="I8" s="0" t="n">
        <f aca="false">I6*I7/100</f>
        <v>3705.04660830373</v>
      </c>
      <c r="J8" s="0" t="n">
        <f aca="false">J6*J7/100</f>
        <v>3808.44325783779</v>
      </c>
      <c r="K8" s="0" t="n">
        <f aca="false">K6*K7/100</f>
        <v>3914.49375470989</v>
      </c>
      <c r="L8" s="0" t="n">
        <f aca="false">L6*L7/100</f>
        <v>4023.26289415374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0.145</v>
      </c>
      <c r="D9" s="4" t="n">
        <f aca="false">Assumptions!D15</f>
        <v>0.15</v>
      </c>
      <c r="E9" s="4" t="n">
        <f aca="false">Assumptions!E15</f>
        <v>0.15</v>
      </c>
      <c r="F9" s="4" t="n">
        <f aca="false">Assumptions!F15</f>
        <v>0.15</v>
      </c>
      <c r="G9" s="4" t="n">
        <f aca="false">Assumptions!G15</f>
        <v>0.15</v>
      </c>
      <c r="H9" s="4" t="n">
        <f aca="false">Assumptions!H15</f>
        <v>0.15</v>
      </c>
      <c r="I9" s="4" t="n">
        <f aca="false">Assumptions!I15</f>
        <v>0.145</v>
      </c>
      <c r="J9" s="4" t="n">
        <f aca="false">Assumptions!J15</f>
        <v>0.145</v>
      </c>
      <c r="K9" s="4" t="n">
        <f aca="false">Assumptions!K15</f>
        <v>0.14</v>
      </c>
      <c r="L9" s="4" t="n">
        <f aca="false">Assumptions!L15</f>
        <v>0.14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-376.032792</v>
      </c>
      <c r="D10" s="0" t="n">
        <f aca="false">-D6*D9/100</f>
        <v>-394.8344316</v>
      </c>
      <c r="E10" s="0" t="n">
        <f aca="false">-E6*E9/100</f>
        <v>-400.756948074</v>
      </c>
      <c r="F10" s="0" t="n">
        <f aca="false">-F6*F9/100</f>
        <v>-406.76830229511</v>
      </c>
      <c r="G10" s="0" t="n">
        <f aca="false">-G6*G9/100</f>
        <v>-414.090131736422</v>
      </c>
      <c r="H10" s="0" t="n">
        <f aca="false">-H6*H9/100</f>
        <v>-422.37193437115</v>
      </c>
      <c r="I10" s="0" t="n">
        <f aca="false">-I6*I9/100</f>
        <v>-416.458727289954</v>
      </c>
      <c r="J10" s="0" t="n">
        <f aca="false">-J6*J9/100</f>
        <v>-424.787901835753</v>
      </c>
      <c r="K10" s="0" t="n">
        <f aca="false">-K6*K9/100</f>
        <v>-418.342844014797</v>
      </c>
      <c r="L10" s="0" t="n">
        <f aca="false">-L6*L9/100</f>
        <v>-426.709700895093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3124.962168</v>
      </c>
      <c r="D11" s="0" t="n">
        <f aca="false">D8+D10+D24</f>
        <v>3027.0639756</v>
      </c>
      <c r="E11" s="0" t="n">
        <f aca="false">E8+E10+E24</f>
        <v>3019.0356754908</v>
      </c>
      <c r="F11" s="0" t="n">
        <f aca="false">F8+F10+F24</f>
        <v>3037.20332380349</v>
      </c>
      <c r="G11" s="0" t="n">
        <f aca="false">G8+G10+G24</f>
        <v>3091.87298363195</v>
      </c>
      <c r="H11" s="0" t="n">
        <f aca="false">H8+H10+H24</f>
        <v>3181.86857226267</v>
      </c>
      <c r="I11" s="0" t="n">
        <f aca="false">I8+I10+I24</f>
        <v>3288.58788101378</v>
      </c>
      <c r="J11" s="0" t="n">
        <f aca="false">J8+J10+J24</f>
        <v>3383.65535600204</v>
      </c>
      <c r="K11" s="0" t="n">
        <f aca="false">K8+K10+K24</f>
        <v>3496.15091069509</v>
      </c>
      <c r="L11" s="0" t="n">
        <f aca="false">L8+L10+L24</f>
        <v>3596.55319325864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-985.465248</v>
      </c>
      <c r="D12" s="4" t="n">
        <f aca="false">-D6*Assumptions!D17/100</f>
        <v>-1000.24722672</v>
      </c>
      <c r="E12" s="4" t="n">
        <f aca="false">-E6*Assumptions!E17/100</f>
        <v>-1015.2509351208</v>
      </c>
      <c r="F12" s="4" t="n">
        <f aca="false">-F6*Assumptions!F17/100</f>
        <v>-1030.47969914761</v>
      </c>
      <c r="G12" s="4" t="n">
        <f aca="false">-G6*Assumptions!G17/100</f>
        <v>-1049.02833373227</v>
      </c>
      <c r="H12" s="4" t="n">
        <f aca="false">-H6*Assumptions!H17/100</f>
        <v>-1070.00890040691</v>
      </c>
      <c r="I12" s="4" t="n">
        <f aca="false">-I6*Assumptions!I17/100</f>
        <v>-1091.40907841505</v>
      </c>
      <c r="J12" s="4" t="n">
        <f aca="false">-J6*Assumptions!J17/100</f>
        <v>-1113.23725998335</v>
      </c>
      <c r="K12" s="4" t="n">
        <f aca="false">-K6*Assumptions!K17/100</f>
        <v>-1135.50200518302</v>
      </c>
      <c r="L12" s="4" t="n">
        <f aca="false">-L6*Assumptions!L17/100</f>
        <v>-1158.21204528668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2139.49692</v>
      </c>
      <c r="D13" s="0" t="n">
        <f aca="false">D11+D12</f>
        <v>2026.81674888</v>
      </c>
      <c r="E13" s="0" t="n">
        <f aca="false">E11+E12</f>
        <v>2003.78474037</v>
      </c>
      <c r="F13" s="0" t="n">
        <f aca="false">F11+F12</f>
        <v>2006.72362465588</v>
      </c>
      <c r="G13" s="0" t="n">
        <f aca="false">G11+G12</f>
        <v>2042.84464989968</v>
      </c>
      <c r="H13" s="0" t="n">
        <f aca="false">H11+H12</f>
        <v>2111.85967185575</v>
      </c>
      <c r="I13" s="0" t="n">
        <f aca="false">I11+I12</f>
        <v>2197.17880259872</v>
      </c>
      <c r="J13" s="0" t="n">
        <f aca="false">J11+J12</f>
        <v>2270.41809601868</v>
      </c>
      <c r="K13" s="0" t="n">
        <f aca="false">K11+K12</f>
        <v>2360.64890551207</v>
      </c>
      <c r="L13" s="0" t="n">
        <f aca="false">L11+L12</f>
        <v>2438.34114797196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15</v>
      </c>
      <c r="D14" s="4" t="n">
        <f aca="false">Assumptions!D19</f>
        <v>17.5</v>
      </c>
      <c r="E14" s="4" t="n">
        <f aca="false">Assumptions!E19</f>
        <v>20</v>
      </c>
      <c r="F14" s="4" t="n">
        <f aca="false">Assumptions!F19</f>
        <v>22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1818.572382</v>
      </c>
      <c r="D15" s="0" t="n">
        <f aca="false">D13-MAX(0,D13)*D14/100</f>
        <v>1672.123817826</v>
      </c>
      <c r="E15" s="0" t="n">
        <f aca="false">E13-MAX(0,E13)*E14/100</f>
        <v>1603.027792296</v>
      </c>
      <c r="F15" s="0" t="n">
        <f aca="false">F13-MAX(0,F13)*F14/100</f>
        <v>1565.24442723158</v>
      </c>
      <c r="G15" s="0" t="n">
        <f aca="false">G13-MAX(0,G13)*G14/100</f>
        <v>1572.99038042276</v>
      </c>
      <c r="H15" s="0" t="n">
        <f aca="false">H13-MAX(0,H13)*H14/100</f>
        <v>1626.13194732893</v>
      </c>
      <c r="I15" s="0" t="n">
        <f aca="false">I13-MAX(0,I13)*I14/100</f>
        <v>1691.82767800102</v>
      </c>
      <c r="J15" s="0" t="n">
        <f aca="false">J13-MAX(0,J13)*J14/100</f>
        <v>1748.22193393439</v>
      </c>
      <c r="K15" s="0" t="n">
        <f aca="false">K13-MAX(0,K13)*K14/100</f>
        <v>1817.69965724429</v>
      </c>
      <c r="L15" s="0" t="n">
        <f aca="false">L13-MAX(0,L13)*L14/100</f>
        <v>1877.52268393841</v>
      </c>
    </row>
    <row r="16" customFormat="false" ht="15" hidden="false" customHeight="false" outlineLevel="0" collapsed="false">
      <c r="A16" s="0" t="s">
        <v>128</v>
      </c>
      <c r="C16" s="0" t="n">
        <f aca="false">-C12</f>
        <v>985.465248</v>
      </c>
      <c r="D16" s="0" t="n">
        <f aca="false">-D12</f>
        <v>1000.24722672</v>
      </c>
      <c r="E16" s="0" t="n">
        <f aca="false">-E12</f>
        <v>1015.2509351208</v>
      </c>
      <c r="F16" s="0" t="n">
        <f aca="false">-F12</f>
        <v>1030.47969914761</v>
      </c>
      <c r="G16" s="0" t="n">
        <f aca="false">-G12</f>
        <v>1049.02833373227</v>
      </c>
      <c r="H16" s="0" t="n">
        <f aca="false">-H12</f>
        <v>1070.00890040691</v>
      </c>
      <c r="I16" s="0" t="n">
        <f aca="false">-I12</f>
        <v>1091.40907841505</v>
      </c>
      <c r="J16" s="0" t="n">
        <f aca="false">-J12</f>
        <v>1113.23725998335</v>
      </c>
      <c r="K16" s="0" t="n">
        <f aca="false">-K12</f>
        <v>1135.50200518302</v>
      </c>
      <c r="L16" s="0" t="n">
        <f aca="false">-L12</f>
        <v>1158.21204528668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-700.198992</v>
      </c>
      <c r="D17" s="4" t="n">
        <f aca="false">-D6*Assumptions!D18/100</f>
        <v>-710.70197688</v>
      </c>
      <c r="E17" s="4" t="n">
        <f aca="false">-E6*Assumptions!E18/100</f>
        <v>-721.3625065332</v>
      </c>
      <c r="F17" s="4" t="n">
        <f aca="false">-F6*Assumptions!F18/100</f>
        <v>-732.182944131198</v>
      </c>
      <c r="G17" s="4" t="n">
        <f aca="false">-G6*Assumptions!G18/100</f>
        <v>-745.36223712556</v>
      </c>
      <c r="H17" s="4" t="n">
        <f aca="false">-H6*Assumptions!H18/100</f>
        <v>-760.269481868071</v>
      </c>
      <c r="I17" s="4" t="n">
        <f aca="false">-I6*Assumptions!I18/100</f>
        <v>-775.474871505432</v>
      </c>
      <c r="J17" s="4" t="n">
        <f aca="false">-J6*Assumptions!J18/100</f>
        <v>-790.984368935541</v>
      </c>
      <c r="K17" s="4" t="n">
        <f aca="false">-K6*Assumptions!K18/100</f>
        <v>-806.804056314252</v>
      </c>
      <c r="L17" s="4" t="n">
        <f aca="false">-L6*Assumptions!L18/100</f>
        <v>-822.940137440537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101.6992</v>
      </c>
      <c r="D18" s="4" t="n">
        <f aca="false">(D6-C6)*Assumptions!$B$23/100</f>
        <v>77.7998879999999</v>
      </c>
      <c r="E18" s="4" t="n">
        <f aca="false">(E6-D6)*Assumptions!$B$23/100</f>
        <v>78.96688632</v>
      </c>
      <c r="F18" s="4" t="n">
        <f aca="false">(F6-E6)*Assumptions!$B$23/100</f>
        <v>80.1513896148</v>
      </c>
      <c r="G18" s="4" t="n">
        <f aca="false">(G6-F6)*Assumptions!$B$23/100</f>
        <v>97.6243925508263</v>
      </c>
      <c r="H18" s="4" t="n">
        <f aca="false">(H6-G6)*Assumptions!$B$23/100</f>
        <v>110.424035129712</v>
      </c>
      <c r="I18" s="4" t="n">
        <f aca="false">(I6-H6)*Assumptions!$B$23/100</f>
        <v>112.632515832307</v>
      </c>
      <c r="J18" s="4" t="n">
        <f aca="false">(J6-I6)*Assumptions!$B$23/100</f>
        <v>114.885166148953</v>
      </c>
      <c r="K18" s="4" t="n">
        <f aca="false">(K6-J6)*Assumptions!$B$23/100</f>
        <v>117.182869471932</v>
      </c>
      <c r="L18" s="4" t="n">
        <f aca="false">(L6-K6)*Assumptions!$B$23/100</f>
        <v>119.526526861371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2205.537838</v>
      </c>
      <c r="D19" s="0" t="n">
        <f aca="false">D15+D16+D17+D18</f>
        <v>2039.468955666</v>
      </c>
      <c r="E19" s="0" t="n">
        <f aca="false">E15+E16+E17+E18</f>
        <v>1975.8831072036</v>
      </c>
      <c r="F19" s="0" t="n">
        <f aca="false">F15+F16+F17+F18</f>
        <v>1943.6925718628</v>
      </c>
      <c r="G19" s="0" t="n">
        <f aca="false">G15+G16+G17+G18</f>
        <v>1974.28086958029</v>
      </c>
      <c r="H19" s="0" t="n">
        <f aca="false">H15+H16+H17+H18</f>
        <v>2046.29540099749</v>
      </c>
      <c r="I19" s="0" t="n">
        <f aca="false">I15+I16+I17+I18</f>
        <v>2120.39440074295</v>
      </c>
      <c r="J19" s="0" t="n">
        <f aca="false">J15+J16+J17+J18</f>
        <v>2185.35999113115</v>
      </c>
      <c r="K19" s="0" t="n">
        <f aca="false">K15+K16+K17+K18</f>
        <v>2263.58047558499</v>
      </c>
      <c r="L19" s="0" t="n">
        <f aca="false">L15+L16+L17+L18</f>
        <v>2332.32111864593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2023.42920917431</v>
      </c>
      <c r="D21" s="0" t="n">
        <f aca="false">D19*D20</f>
        <v>1716.58021687232</v>
      </c>
      <c r="E21" s="0" t="n">
        <f aca="false">E19*E20</f>
        <v>1525.74429391434</v>
      </c>
      <c r="F21" s="0" t="n">
        <f aca="false">F19*F20</f>
        <v>1376.96082046776</v>
      </c>
      <c r="G21" s="0" t="n">
        <f aca="false">G19*G20</f>
        <v>1283.14710250862</v>
      </c>
      <c r="H21" s="0" t="n">
        <f aca="false">H19*H20</f>
        <v>1220.139088758</v>
      </c>
      <c r="I21" s="0" t="n">
        <f aca="false">I19*I20</f>
        <v>1159.92834978042</v>
      </c>
      <c r="J21" s="0" t="n">
        <f aca="false">J19*J20</f>
        <v>1096.7584884947</v>
      </c>
      <c r="K21" s="0" t="n">
        <f aca="false">K19*K20</f>
        <v>1042.21533213005</v>
      </c>
      <c r="L21" s="0" t="n">
        <f aca="false">L19*L20</f>
        <v>985.197645667081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13430.1005477676</v>
      </c>
    </row>
    <row r="31" customFormat="false" ht="15" hidden="false" customHeight="false" outlineLevel="0" collapsed="false">
      <c r="A31" s="0" t="s">
        <v>137</v>
      </c>
      <c r="B31" s="0" t="n">
        <f aca="false">L19</f>
        <v>2332.32111864593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33985.2505859835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30320.174542397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30320.174542397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12807.5693936721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26237.6699414397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22207.6699414397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93.7032486980576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-0.574501640640915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2609.77539258058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2626.45321209458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115.797040278965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18299.7503155296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46.2516075038284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4.5</v>
      </c>
      <c r="D5" s="4" t="n">
        <f aca="false">Assumptions!D27</f>
        <v>4.5</v>
      </c>
      <c r="E5" s="4" t="n">
        <f aca="false">Assumptions!E27</f>
        <v>4.3</v>
      </c>
      <c r="F5" s="4" t="n">
        <f aca="false">Assumptions!F27</f>
        <v>4</v>
      </c>
      <c r="G5" s="4" t="n">
        <f aca="false">Assumptions!G27</f>
        <v>3.8</v>
      </c>
      <c r="H5" s="4" t="n">
        <f aca="false">Assumptions!H27</f>
        <v>3.5</v>
      </c>
      <c r="I5" s="4" t="n">
        <f aca="false">Assumptions!I27</f>
        <v>3.2</v>
      </c>
      <c r="J5" s="4" t="n">
        <f aca="false">Assumptions!J27</f>
        <v>3</v>
      </c>
      <c r="K5" s="4" t="n">
        <f aca="false">Assumptions!K27</f>
        <v>2.7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254248</v>
      </c>
      <c r="C6" s="0" t="n">
        <f aca="false">B6*(1+C5/100)</f>
        <v>265689.16</v>
      </c>
      <c r="D6" s="0" t="n">
        <f aca="false">C6*(1+D5/100)</f>
        <v>277645.1722</v>
      </c>
      <c r="E6" s="0" t="n">
        <f aca="false">D6*(1+E5/100)</f>
        <v>289583.9146046</v>
      </c>
      <c r="F6" s="0" t="n">
        <f aca="false">E6*(1+F5/100)</f>
        <v>301167.271188784</v>
      </c>
      <c r="G6" s="0" t="n">
        <f aca="false">F6*(1+G5/100)</f>
        <v>312611.627493958</v>
      </c>
      <c r="H6" s="0" t="n">
        <f aca="false">G6*(1+H5/100)</f>
        <v>323553.034456246</v>
      </c>
      <c r="I6" s="0" t="n">
        <f aca="false">H6*(1+I5/100)</f>
        <v>333906.731558846</v>
      </c>
      <c r="J6" s="0" t="n">
        <f aca="false">I6*(1+J5/100)</f>
        <v>343923.933505612</v>
      </c>
      <c r="K6" s="0" t="n">
        <f aca="false">J6*(1+K5/100)</f>
        <v>353209.879710263</v>
      </c>
      <c r="L6" s="0" t="n">
        <f aca="false">K6*(1+L5/100)</f>
        <v>362040.12670302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1.45</v>
      </c>
      <c r="D7" s="4" t="n">
        <f aca="false">Assumptions!D28</f>
        <v>1.5</v>
      </c>
      <c r="E7" s="4" t="n">
        <f aca="false">Assumptions!E28</f>
        <v>1.53</v>
      </c>
      <c r="F7" s="4" t="n">
        <f aca="false">Assumptions!F28</f>
        <v>1.56</v>
      </c>
      <c r="G7" s="4" t="n">
        <f aca="false">Assumptions!G28</f>
        <v>1.58</v>
      </c>
      <c r="H7" s="4" t="n">
        <f aca="false">Assumptions!H28</f>
        <v>1.6</v>
      </c>
      <c r="I7" s="4" t="n">
        <f aca="false">Assumptions!I28</f>
        <v>1.62</v>
      </c>
      <c r="J7" s="4" t="n">
        <f aca="false">Assumptions!J28</f>
        <v>1.63</v>
      </c>
      <c r="K7" s="4" t="n">
        <f aca="false">Assumptions!K28</f>
        <v>1.64</v>
      </c>
      <c r="L7" s="4" t="n">
        <f aca="false">Assumptions!L28</f>
        <v>1.65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3852.49282</v>
      </c>
      <c r="D8" s="0" t="n">
        <f aca="false">D6*D7/100</f>
        <v>4164.677583</v>
      </c>
      <c r="E8" s="0" t="n">
        <f aca="false">E6*E7/100</f>
        <v>4430.63389345038</v>
      </c>
      <c r="F8" s="0" t="n">
        <f aca="false">F6*F7/100</f>
        <v>4698.20943054503</v>
      </c>
      <c r="G8" s="0" t="n">
        <f aca="false">G6*G7/100</f>
        <v>4939.26371440453</v>
      </c>
      <c r="H8" s="0" t="n">
        <f aca="false">H6*H7/100</f>
        <v>5176.84855129994</v>
      </c>
      <c r="I8" s="0" t="n">
        <f aca="false">I6*I7/100</f>
        <v>5409.28905125331</v>
      </c>
      <c r="J8" s="0" t="n">
        <f aca="false">J6*J7/100</f>
        <v>5605.96011614147</v>
      </c>
      <c r="K8" s="0" t="n">
        <f aca="false">K6*K7/100</f>
        <v>5792.64202724831</v>
      </c>
      <c r="L8" s="0" t="n">
        <f aca="false">L6*L7/100</f>
        <v>5973.66209059982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0.145</v>
      </c>
      <c r="D9" s="4" t="n">
        <f aca="false">Assumptions!D29</f>
        <v>0.145</v>
      </c>
      <c r="E9" s="4" t="n">
        <f aca="false">Assumptions!E29</f>
        <v>0.145</v>
      </c>
      <c r="F9" s="4" t="n">
        <f aca="false">Assumptions!F29</f>
        <v>0.14</v>
      </c>
      <c r="G9" s="4" t="n">
        <f aca="false">Assumptions!G29</f>
        <v>0.14</v>
      </c>
      <c r="H9" s="4" t="n">
        <f aca="false">Assumptions!H29</f>
        <v>0.135</v>
      </c>
      <c r="I9" s="4" t="n">
        <f aca="false">Assumptions!I29</f>
        <v>0.135</v>
      </c>
      <c r="J9" s="4" t="n">
        <f aca="false">Assumptions!J29</f>
        <v>0.13</v>
      </c>
      <c r="K9" s="4" t="n">
        <f aca="false">Assumptions!K29</f>
        <v>0.13</v>
      </c>
      <c r="L9" s="4" t="n">
        <f aca="false">Assumptions!L29</f>
        <v>0.13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-385.249282</v>
      </c>
      <c r="D10" s="0" t="n">
        <f aca="false">-D6*D9/100</f>
        <v>-402.58549969</v>
      </c>
      <c r="E10" s="0" t="n">
        <f aca="false">-E6*E9/100</f>
        <v>-419.89667617667</v>
      </c>
      <c r="F10" s="0" t="n">
        <f aca="false">-F6*F9/100</f>
        <v>-421.634179664298</v>
      </c>
      <c r="G10" s="0" t="n">
        <f aca="false">-G6*G9/100</f>
        <v>-437.656278491541</v>
      </c>
      <c r="H10" s="0" t="n">
        <f aca="false">-H6*H9/100</f>
        <v>-436.796596515932</v>
      </c>
      <c r="I10" s="0" t="n">
        <f aca="false">-I6*I9/100</f>
        <v>-450.774087604442</v>
      </c>
      <c r="J10" s="0" t="n">
        <f aca="false">-J6*J9/100</f>
        <v>-447.101113557295</v>
      </c>
      <c r="K10" s="0" t="n">
        <f aca="false">-K6*K9/100</f>
        <v>-459.172843623342</v>
      </c>
      <c r="L10" s="0" t="n">
        <f aca="false">-L6*L9/100</f>
        <v>-470.652164713925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3467.243538</v>
      </c>
      <c r="D11" s="0" t="n">
        <f aca="false">D8+D10+D24</f>
        <v>3762.09208331</v>
      </c>
      <c r="E11" s="0" t="n">
        <f aca="false">E8+E10+E24</f>
        <v>4010.73721727371</v>
      </c>
      <c r="F11" s="0" t="n">
        <f aca="false">F8+F10+F24</f>
        <v>4276.57525088073</v>
      </c>
      <c r="G11" s="0" t="n">
        <f aca="false">G8+G10+G24</f>
        <v>4501.60743591299</v>
      </c>
      <c r="H11" s="0" t="n">
        <f aca="false">H8+H10+H24</f>
        <v>4740.05195478401</v>
      </c>
      <c r="I11" s="0" t="n">
        <f aca="false">I8+I10+I24</f>
        <v>4958.51496364886</v>
      </c>
      <c r="J11" s="0" t="n">
        <f aca="false">J8+J10+J24</f>
        <v>5158.85900258417</v>
      </c>
      <c r="K11" s="0" t="n">
        <f aca="false">K8+K10+K24</f>
        <v>5333.46918362497</v>
      </c>
      <c r="L11" s="0" t="n">
        <f aca="false">L8+L10+L24</f>
        <v>5503.0099258859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-983.049892</v>
      </c>
      <c r="D12" s="4" t="n">
        <f aca="false">-D6*Assumptions!D31/100</f>
        <v>-1027.28713714</v>
      </c>
      <c r="E12" s="4" t="n">
        <f aca="false">-E6*Assumptions!E31/100</f>
        <v>-1071.46048403702</v>
      </c>
      <c r="F12" s="4" t="n">
        <f aca="false">-F6*Assumptions!F31/100</f>
        <v>-1114.3189033985</v>
      </c>
      <c r="G12" s="4" t="n">
        <f aca="false">-G6*Assumptions!G31/100</f>
        <v>-1156.66302172764</v>
      </c>
      <c r="H12" s="4" t="n">
        <f aca="false">-H6*Assumptions!H31/100</f>
        <v>-1197.14622748811</v>
      </c>
      <c r="I12" s="4" t="n">
        <f aca="false">-I6*Assumptions!I31/100</f>
        <v>-1235.45490676773</v>
      </c>
      <c r="J12" s="4" t="n">
        <f aca="false">-J6*Assumptions!J31/100</f>
        <v>-1272.51855397076</v>
      </c>
      <c r="K12" s="4" t="n">
        <f aca="false">-K6*Assumptions!K31/100</f>
        <v>-1306.87655492797</v>
      </c>
      <c r="L12" s="4" t="n">
        <f aca="false">-L6*Assumptions!L31/100</f>
        <v>-1339.54846880117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2484.193646</v>
      </c>
      <c r="D13" s="0" t="n">
        <f aca="false">D11+D12</f>
        <v>2734.80494617</v>
      </c>
      <c r="E13" s="0" t="n">
        <f aca="false">E11+E12</f>
        <v>2939.27673323669</v>
      </c>
      <c r="F13" s="0" t="n">
        <f aca="false">F11+F12</f>
        <v>3162.25634748223</v>
      </c>
      <c r="G13" s="0" t="n">
        <f aca="false">G11+G12</f>
        <v>3344.94441418535</v>
      </c>
      <c r="H13" s="0" t="n">
        <f aca="false">H11+H12</f>
        <v>3542.9057272959</v>
      </c>
      <c r="I13" s="0" t="n">
        <f aca="false">I11+I12</f>
        <v>3723.06005688113</v>
      </c>
      <c r="J13" s="0" t="n">
        <f aca="false">J11+J12</f>
        <v>3886.34044861341</v>
      </c>
      <c r="K13" s="0" t="n">
        <f aca="false">K11+K12</f>
        <v>4026.592628697</v>
      </c>
      <c r="L13" s="0" t="n">
        <f aca="false">L11+L12</f>
        <v>4163.46145708473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14</v>
      </c>
      <c r="D14" s="4" t="n">
        <f aca="false">Assumptions!D33</f>
        <v>16</v>
      </c>
      <c r="E14" s="4" t="n">
        <f aca="false">Assumptions!E33</f>
        <v>18</v>
      </c>
      <c r="F14" s="4" t="n">
        <f aca="false">Assumptions!F33</f>
        <v>19.5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2136.40653556</v>
      </c>
      <c r="D15" s="0" t="n">
        <f aca="false">D13-MAX(0,D13)*D14/100</f>
        <v>2297.2361547828</v>
      </c>
      <c r="E15" s="0" t="n">
        <f aca="false">E13-MAX(0,E13)*E14/100</f>
        <v>2410.20692125409</v>
      </c>
      <c r="F15" s="0" t="n">
        <f aca="false">F13-MAX(0,F13)*F14/100</f>
        <v>2545.6163597232</v>
      </c>
      <c r="G15" s="0" t="n">
        <f aca="false">G13-MAX(0,G13)*G14/100</f>
        <v>2642.50608720643</v>
      </c>
      <c r="H15" s="0" t="n">
        <f aca="false">H13-MAX(0,H13)*H14/100</f>
        <v>2798.89552456376</v>
      </c>
      <c r="I15" s="0" t="n">
        <f aca="false">I13-MAX(0,I13)*I14/100</f>
        <v>2941.2174449361</v>
      </c>
      <c r="J15" s="0" t="n">
        <f aca="false">J13-MAX(0,J13)*J14/100</f>
        <v>3070.20895440459</v>
      </c>
      <c r="K15" s="0" t="n">
        <f aca="false">K13-MAX(0,K13)*K14/100</f>
        <v>3181.00817667063</v>
      </c>
      <c r="L15" s="0" t="n">
        <f aca="false">L13-MAX(0,L13)*L14/100</f>
        <v>3289.13455109693</v>
      </c>
    </row>
    <row r="16" customFormat="false" ht="15" hidden="false" customHeight="false" outlineLevel="0" collapsed="false">
      <c r="A16" s="0" t="s">
        <v>128</v>
      </c>
      <c r="C16" s="0" t="n">
        <f aca="false">-C12</f>
        <v>983.049892</v>
      </c>
      <c r="D16" s="0" t="n">
        <f aca="false">-D12</f>
        <v>1027.28713714</v>
      </c>
      <c r="E16" s="0" t="n">
        <f aca="false">-E12</f>
        <v>1071.46048403702</v>
      </c>
      <c r="F16" s="0" t="n">
        <f aca="false">-F12</f>
        <v>1114.3189033985</v>
      </c>
      <c r="G16" s="0" t="n">
        <f aca="false">-G12</f>
        <v>1156.66302172764</v>
      </c>
      <c r="H16" s="0" t="n">
        <f aca="false">-H12</f>
        <v>1197.14622748811</v>
      </c>
      <c r="I16" s="0" t="n">
        <f aca="false">-I12</f>
        <v>1235.45490676773</v>
      </c>
      <c r="J16" s="0" t="n">
        <f aca="false">-J12</f>
        <v>1272.51855397076</v>
      </c>
      <c r="K16" s="0" t="n">
        <f aca="false">-K12</f>
        <v>1306.87655492797</v>
      </c>
      <c r="L16" s="0" t="n">
        <f aca="false">-L12</f>
        <v>1339.54846880117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-717.360732</v>
      </c>
      <c r="D17" s="4" t="n">
        <f aca="false">-D6*Assumptions!D32/100</f>
        <v>-749.64196494</v>
      </c>
      <c r="E17" s="4" t="n">
        <f aca="false">-E6*Assumptions!E32/100</f>
        <v>-781.87656943242</v>
      </c>
      <c r="F17" s="4" t="n">
        <f aca="false">-F6*Assumptions!F32/100</f>
        <v>-813.151632209717</v>
      </c>
      <c r="G17" s="4" t="n">
        <f aca="false">-G6*Assumptions!G32/100</f>
        <v>-844.051394233686</v>
      </c>
      <c r="H17" s="4" t="n">
        <f aca="false">-H6*Assumptions!H32/100</f>
        <v>-873.593193031865</v>
      </c>
      <c r="I17" s="4" t="n">
        <f aca="false">-I6*Assumptions!I32/100</f>
        <v>-901.548175208885</v>
      </c>
      <c r="J17" s="4" t="n">
        <f aca="false">-J6*Assumptions!J32/100</f>
        <v>-928.594620465151</v>
      </c>
      <c r="K17" s="4" t="n">
        <f aca="false">-K6*Assumptions!K32/100</f>
        <v>-953.66667521771</v>
      </c>
      <c r="L17" s="4" t="n">
        <f aca="false">-L6*Assumptions!L32/100</f>
        <v>-977.508342098153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572.057999999999</v>
      </c>
      <c r="D18" s="4" t="n">
        <f aca="false">(D6-C6)*Assumptions!$B$37/100</f>
        <v>597.80061</v>
      </c>
      <c r="E18" s="4" t="n">
        <f aca="false">(E6-D6)*Assumptions!$B$37/100</f>
        <v>596.937120229998</v>
      </c>
      <c r="F18" s="4" t="n">
        <f aca="false">(F6-E6)*Assumptions!$B$37/100</f>
        <v>579.1678292092</v>
      </c>
      <c r="G18" s="4" t="n">
        <f aca="false">(G6-F6)*Assumptions!$B$37/100</f>
        <v>572.217815258689</v>
      </c>
      <c r="H18" s="4" t="n">
        <f aca="false">(H6-G6)*Assumptions!$B$37/100</f>
        <v>547.070348114424</v>
      </c>
      <c r="I18" s="4" t="n">
        <f aca="false">(I6-H6)*Assumptions!$B$37/100</f>
        <v>517.684855129995</v>
      </c>
      <c r="J18" s="4" t="n">
        <f aca="false">(J6-I6)*Assumptions!$B$37/100</f>
        <v>500.860097338271</v>
      </c>
      <c r="K18" s="4" t="n">
        <f aca="false">(K6-J6)*Assumptions!$B$37/100</f>
        <v>464.297310232575</v>
      </c>
      <c r="L18" s="4" t="n">
        <f aca="false">(L6-K6)*Assumptions!$B$37/100</f>
        <v>441.512349637828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2974.15369556</v>
      </c>
      <c r="D19" s="0" t="n">
        <f aca="false">D15+D16+D17+D18</f>
        <v>3172.6819369828</v>
      </c>
      <c r="E19" s="0" t="n">
        <f aca="false">E15+E16+E17+E18</f>
        <v>3296.72795608868</v>
      </c>
      <c r="F19" s="0" t="n">
        <f aca="false">F15+F16+F17+F18</f>
        <v>3425.95146012118</v>
      </c>
      <c r="G19" s="0" t="n">
        <f aca="false">G15+G16+G17+G18</f>
        <v>3527.33552995907</v>
      </c>
      <c r="H19" s="0" t="n">
        <f aca="false">H15+H16+H17+H18</f>
        <v>3669.51890713443</v>
      </c>
      <c r="I19" s="0" t="n">
        <f aca="false">I15+I16+I17+I18</f>
        <v>3792.80903162494</v>
      </c>
      <c r="J19" s="0" t="n">
        <f aca="false">J15+J16+J17+J18</f>
        <v>3914.99298524848</v>
      </c>
      <c r="K19" s="0" t="n">
        <f aca="false">K15+K16+K17+K18</f>
        <v>3998.51536661347</v>
      </c>
      <c r="L19" s="0" t="n">
        <f aca="false">L15+L16+L17+L18</f>
        <v>4092.68702743778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2766.65460052093</v>
      </c>
      <c r="D21" s="0" t="n">
        <f aca="false">D19*D20</f>
        <v>2745.42514828149</v>
      </c>
      <c r="E21" s="0" t="n">
        <f aca="false">E19*E20</f>
        <v>2653.73601305138</v>
      </c>
      <c r="F21" s="0" t="n">
        <f aca="false">F19*F20</f>
        <v>2565.35426832688</v>
      </c>
      <c r="G21" s="0" t="n">
        <f aca="false">G19*G20</f>
        <v>2456.99601258826</v>
      </c>
      <c r="H21" s="0" t="n">
        <f aca="false">H19*H20</f>
        <v>2377.70704310368</v>
      </c>
      <c r="I21" s="0" t="n">
        <f aca="false">I19*I20</f>
        <v>2286.13423198169</v>
      </c>
      <c r="J21" s="0" t="n">
        <f aca="false">J19*J20</f>
        <v>2195.14531054824</v>
      </c>
      <c r="K21" s="0" t="n">
        <f aca="false">K19*K20</f>
        <v>2085.55953145853</v>
      </c>
      <c r="L21" s="0" t="n">
        <f aca="false">L19*L20</f>
        <v>1985.74689615098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24118.4590560121</v>
      </c>
    </row>
    <row r="31" customFormat="false" ht="15" hidden="false" customHeight="false" outlineLevel="0" collapsed="false">
      <c r="A31" s="0" t="s">
        <v>137</v>
      </c>
      <c r="B31" s="0" t="n">
        <f aca="false">L19</f>
        <v>4092.68702743778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83900.0840624745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65482.9924390045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65482.9924390045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31771.9503384157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55890.4093944277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51860.4093944277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218.820292803493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-0.00635594948918117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2938.5940191615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4681.33023955332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250.971871954188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33560.0336249898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91.0181362256047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</v>
      </c>
      <c r="D5" s="4" t="n">
        <f aca="false">Assumptions!D41</f>
        <v>7.5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254248</v>
      </c>
      <c r="C6" s="0" t="n">
        <f aca="false">B6*(1+C5/100)</f>
        <v>272045.36</v>
      </c>
      <c r="D6" s="0" t="n">
        <f aca="false">C6*(1+D5/100)</f>
        <v>292448.762</v>
      </c>
      <c r="E6" s="0" t="n">
        <f aca="false">D6*(1+E5/100)</f>
        <v>312920.17534</v>
      </c>
      <c r="F6" s="0" t="n">
        <f aca="false">E6*(1+F5/100)</f>
        <v>333259.9867371</v>
      </c>
      <c r="G6" s="0" t="n">
        <f aca="false">F6*(1+G5/100)</f>
        <v>353255.585941326</v>
      </c>
      <c r="H6" s="0" t="n">
        <f aca="false">G6*(1+H5/100)</f>
        <v>372684.643168099</v>
      </c>
      <c r="I6" s="0" t="n">
        <f aca="false">H6*(1+I5/100)</f>
        <v>391318.875326504</v>
      </c>
      <c r="J6" s="0" t="n">
        <f aca="false">I6*(1+J5/100)</f>
        <v>408928.224716197</v>
      </c>
      <c r="K6" s="0" t="n">
        <f aca="false">J6*(1+K5/100)</f>
        <v>425285.353704845</v>
      </c>
      <c r="L6" s="0" t="n">
        <f aca="false">K6*(1+L5/100)</f>
        <v>440170.341084514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1.5</v>
      </c>
      <c r="D7" s="4" t="n">
        <f aca="false">Assumptions!D42</f>
        <v>1.58</v>
      </c>
      <c r="E7" s="4" t="n">
        <f aca="false">Assumptions!E42</f>
        <v>1.65</v>
      </c>
      <c r="F7" s="4" t="n">
        <f aca="false">Assumptions!F42</f>
        <v>1.72</v>
      </c>
      <c r="G7" s="4" t="n">
        <f aca="false">Assumptions!G42</f>
        <v>1.78</v>
      </c>
      <c r="H7" s="4" t="n">
        <f aca="false">Assumptions!H42</f>
        <v>1.83</v>
      </c>
      <c r="I7" s="4" t="n">
        <f aca="false">Assumptions!I42</f>
        <v>1.87</v>
      </c>
      <c r="J7" s="4" t="n">
        <f aca="false">Assumptions!J42</f>
        <v>1.9</v>
      </c>
      <c r="K7" s="4" t="n">
        <f aca="false">Assumptions!K42</f>
        <v>1.92</v>
      </c>
      <c r="L7" s="4" t="n">
        <f aca="false">Assumptions!L42</f>
        <v>1.95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4080.6804</v>
      </c>
      <c r="D8" s="0" t="n">
        <f aca="false">D6*D7/100</f>
        <v>4620.6904396</v>
      </c>
      <c r="E8" s="0" t="n">
        <f aca="false">E6*E7/100</f>
        <v>5163.18289311</v>
      </c>
      <c r="F8" s="0" t="n">
        <f aca="false">F6*F7/100</f>
        <v>5732.07177187812</v>
      </c>
      <c r="G8" s="0" t="n">
        <f aca="false">G6*G7/100</f>
        <v>6287.94942975561</v>
      </c>
      <c r="H8" s="0" t="n">
        <f aca="false">H6*H7/100</f>
        <v>6820.12896997621</v>
      </c>
      <c r="I8" s="0" t="n">
        <f aca="false">I6*I7/100</f>
        <v>7317.66296860562</v>
      </c>
      <c r="J8" s="0" t="n">
        <f aca="false">J6*J7/100</f>
        <v>7769.63626960774</v>
      </c>
      <c r="K8" s="0" t="n">
        <f aca="false">K6*K7/100</f>
        <v>8165.47879113301</v>
      </c>
      <c r="L8" s="0" t="n">
        <f aca="false">L6*L7/100</f>
        <v>8583.32165114802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0.15</v>
      </c>
      <c r="D9" s="4" t="n">
        <f aca="false">Assumptions!D43</f>
        <v>0.15</v>
      </c>
      <c r="E9" s="4" t="n">
        <f aca="false">Assumptions!E43</f>
        <v>0.145</v>
      </c>
      <c r="F9" s="4" t="n">
        <f aca="false">Assumptions!F43</f>
        <v>0.145</v>
      </c>
      <c r="G9" s="4" t="n">
        <f aca="false">Assumptions!G43</f>
        <v>0.14</v>
      </c>
      <c r="H9" s="4" t="n">
        <f aca="false">Assumptions!H43</f>
        <v>0.14</v>
      </c>
      <c r="I9" s="4" t="n">
        <f aca="false">Assumptions!I43</f>
        <v>0.135</v>
      </c>
      <c r="J9" s="4" t="n">
        <f aca="false">Assumptions!J43</f>
        <v>0.135</v>
      </c>
      <c r="K9" s="4" t="n">
        <f aca="false">Assumptions!K43</f>
        <v>0.13</v>
      </c>
      <c r="L9" s="4" t="n">
        <f aca="false">Assumptions!L43</f>
        <v>0.13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-408.06804</v>
      </c>
      <c r="D10" s="0" t="n">
        <f aca="false">-D6*D9/100</f>
        <v>-438.673143</v>
      </c>
      <c r="E10" s="0" t="n">
        <f aca="false">-E6*E9/100</f>
        <v>-453.734254243</v>
      </c>
      <c r="F10" s="0" t="n">
        <f aca="false">-F6*F9/100</f>
        <v>-483.226980768795</v>
      </c>
      <c r="G10" s="0" t="n">
        <f aca="false">-G6*G9/100</f>
        <v>-494.557820317857</v>
      </c>
      <c r="H10" s="0" t="n">
        <f aca="false">-H6*H9/100</f>
        <v>-521.758500435339</v>
      </c>
      <c r="I10" s="0" t="n">
        <f aca="false">-I6*I9/100</f>
        <v>-528.28048169078</v>
      </c>
      <c r="J10" s="0" t="n">
        <f aca="false">-J6*J9/100</f>
        <v>-552.053103366866</v>
      </c>
      <c r="K10" s="0" t="n">
        <f aca="false">-K6*K9/100</f>
        <v>-552.870959816298</v>
      </c>
      <c r="L10" s="0" t="n">
        <f aca="false">-L6*L9/100</f>
        <v>-572.221443409868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3672.61236</v>
      </c>
      <c r="D11" s="0" t="n">
        <f aca="false">D8+D10+D24</f>
        <v>4182.0172966</v>
      </c>
      <c r="E11" s="0" t="n">
        <f aca="false">E8+E10+E24</f>
        <v>4709.448638867</v>
      </c>
      <c r="F11" s="0" t="n">
        <f aca="false">F8+F10+F24</f>
        <v>5248.84479110933</v>
      </c>
      <c r="G11" s="0" t="n">
        <f aca="false">G8+G10+G24</f>
        <v>5793.39160943775</v>
      </c>
      <c r="H11" s="0" t="n">
        <f aca="false">H8+H10+H24</f>
        <v>6298.37046954087</v>
      </c>
      <c r="I11" s="0" t="n">
        <f aca="false">I8+I10+I24</f>
        <v>6789.38248691484</v>
      </c>
      <c r="J11" s="0" t="n">
        <f aca="false">J8+J10+J24</f>
        <v>7217.58316624087</v>
      </c>
      <c r="K11" s="0" t="n">
        <f aca="false">K8+K10+K24</f>
        <v>7612.60783131672</v>
      </c>
      <c r="L11" s="0" t="n">
        <f aca="false">L8+L10+L24</f>
        <v>8011.10020773815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-1006.567832</v>
      </c>
      <c r="D12" s="4" t="n">
        <f aca="false">-D6*Assumptions!D45/100</f>
        <v>-1082.0604194</v>
      </c>
      <c r="E12" s="4" t="n">
        <f aca="false">-E6*Assumptions!E45/100</f>
        <v>-1157.804648758</v>
      </c>
      <c r="F12" s="4" t="n">
        <f aca="false">-F6*Assumptions!F45/100</f>
        <v>-1233.06195092727</v>
      </c>
      <c r="G12" s="4" t="n">
        <f aca="false">-G6*Assumptions!G45/100</f>
        <v>-1307.04566798291</v>
      </c>
      <c r="H12" s="4" t="n">
        <f aca="false">-H6*Assumptions!H45/100</f>
        <v>-1378.93317972197</v>
      </c>
      <c r="I12" s="4" t="n">
        <f aca="false">-I6*Assumptions!I45/100</f>
        <v>-1447.87983870806</v>
      </c>
      <c r="J12" s="4" t="n">
        <f aca="false">-J6*Assumptions!J45/100</f>
        <v>-1513.03443144993</v>
      </c>
      <c r="K12" s="4" t="n">
        <f aca="false">-K6*Assumptions!K45/100</f>
        <v>-1573.55580870792</v>
      </c>
      <c r="L12" s="4" t="n">
        <f aca="false">-L6*Assumptions!L45/100</f>
        <v>-1628.6302620127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2666.044528</v>
      </c>
      <c r="D13" s="0" t="n">
        <f aca="false">D11+D12</f>
        <v>3099.9568772</v>
      </c>
      <c r="E13" s="0" t="n">
        <f aca="false">E11+E12</f>
        <v>3551.643990109</v>
      </c>
      <c r="F13" s="0" t="n">
        <f aca="false">F11+F12</f>
        <v>4015.78284018206</v>
      </c>
      <c r="G13" s="0" t="n">
        <f aca="false">G11+G12</f>
        <v>4486.34594145484</v>
      </c>
      <c r="H13" s="0" t="n">
        <f aca="false">H11+H12</f>
        <v>4919.43728981891</v>
      </c>
      <c r="I13" s="0" t="n">
        <f aca="false">I11+I12</f>
        <v>5341.50264820678</v>
      </c>
      <c r="J13" s="0" t="n">
        <f aca="false">J11+J12</f>
        <v>5704.54873479094</v>
      </c>
      <c r="K13" s="0" t="n">
        <f aca="false">K11+K12</f>
        <v>6039.05202260879</v>
      </c>
      <c r="L13" s="0" t="n">
        <f aca="false">L11+L12</f>
        <v>6382.46994572545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13</v>
      </c>
      <c r="D14" s="4" t="n">
        <f aca="false">Assumptions!D47</f>
        <v>15</v>
      </c>
      <c r="E14" s="4" t="n">
        <f aca="false">Assumptions!E47</f>
        <v>17</v>
      </c>
      <c r="F14" s="4" t="n">
        <f aca="false">Assumptions!F47</f>
        <v>18.5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2319.45873936</v>
      </c>
      <c r="D15" s="0" t="n">
        <f aca="false">D13-MAX(0,D13)*D14/100</f>
        <v>2634.96334562</v>
      </c>
      <c r="E15" s="0" t="n">
        <f aca="false">E13-MAX(0,E13)*E14/100</f>
        <v>2947.86451179047</v>
      </c>
      <c r="F15" s="0" t="n">
        <f aca="false">F13-MAX(0,F13)*F14/100</f>
        <v>3272.86301474838</v>
      </c>
      <c r="G15" s="0" t="n">
        <f aca="false">G13-MAX(0,G13)*G14/100</f>
        <v>3589.07675316387</v>
      </c>
      <c r="H15" s="0" t="n">
        <f aca="false">H13-MAX(0,H13)*H14/100</f>
        <v>3935.54983185513</v>
      </c>
      <c r="I15" s="0" t="n">
        <f aca="false">I13-MAX(0,I13)*I14/100</f>
        <v>4273.20211856542</v>
      </c>
      <c r="J15" s="0" t="n">
        <f aca="false">J13-MAX(0,J13)*J14/100</f>
        <v>4563.63898783275</v>
      </c>
      <c r="K15" s="0" t="n">
        <f aca="false">K13-MAX(0,K13)*K14/100</f>
        <v>4831.24161808703</v>
      </c>
      <c r="L15" s="0" t="n">
        <f aca="false">L13-MAX(0,L13)*L14/100</f>
        <v>5105.97595658036</v>
      </c>
    </row>
    <row r="16" customFormat="false" ht="15" hidden="false" customHeight="false" outlineLevel="0" collapsed="false">
      <c r="A16" s="0" t="s">
        <v>128</v>
      </c>
      <c r="C16" s="0" t="n">
        <f aca="false">-C12</f>
        <v>1006.567832</v>
      </c>
      <c r="D16" s="0" t="n">
        <f aca="false">-D12</f>
        <v>1082.0604194</v>
      </c>
      <c r="E16" s="0" t="n">
        <f aca="false">-E12</f>
        <v>1157.804648758</v>
      </c>
      <c r="F16" s="0" t="n">
        <f aca="false">-F12</f>
        <v>1233.06195092727</v>
      </c>
      <c r="G16" s="0" t="n">
        <f aca="false">-G12</f>
        <v>1307.04566798291</v>
      </c>
      <c r="H16" s="0" t="n">
        <f aca="false">-H12</f>
        <v>1378.93317972197</v>
      </c>
      <c r="I16" s="0" t="n">
        <f aca="false">-I12</f>
        <v>1447.87983870806</v>
      </c>
      <c r="J16" s="0" t="n">
        <f aca="false">-J12</f>
        <v>1513.03443144993</v>
      </c>
      <c r="K16" s="0" t="n">
        <f aca="false">-K12</f>
        <v>1573.55580870792</v>
      </c>
      <c r="L16" s="0" t="n">
        <f aca="false">-L12</f>
        <v>1628.6302620127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-761.727008</v>
      </c>
      <c r="D17" s="4" t="n">
        <f aca="false">-D6*Assumptions!D46/100</f>
        <v>-818.8565336</v>
      </c>
      <c r="E17" s="4" t="n">
        <f aca="false">-E6*Assumptions!E46/100</f>
        <v>-876.176490952</v>
      </c>
      <c r="F17" s="4" t="n">
        <f aca="false">-F6*Assumptions!F46/100</f>
        <v>-933.12796286388</v>
      </c>
      <c r="G17" s="4" t="n">
        <f aca="false">-G6*Assumptions!G46/100</f>
        <v>-989.115640635713</v>
      </c>
      <c r="H17" s="4" t="n">
        <f aca="false">-H6*Assumptions!H46/100</f>
        <v>-1043.51700087068</v>
      </c>
      <c r="I17" s="4" t="n">
        <f aca="false">-I6*Assumptions!I46/100</f>
        <v>-1095.69285091421</v>
      </c>
      <c r="J17" s="4" t="n">
        <f aca="false">-J6*Assumptions!J46/100</f>
        <v>-1144.99902920535</v>
      </c>
      <c r="K17" s="4" t="n">
        <f aca="false">-K6*Assumptions!K46/100</f>
        <v>-1190.79899037356</v>
      </c>
      <c r="L17" s="4" t="n">
        <f aca="false">-L6*Assumptions!L46/100</f>
        <v>-1232.47695503664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1423.7888</v>
      </c>
      <c r="D18" s="4" t="n">
        <f aca="false">(D6-C6)*Assumptions!$B$51/100</f>
        <v>1632.27216</v>
      </c>
      <c r="E18" s="4" t="n">
        <f aca="false">(E6-D6)*Assumptions!$B$51/100</f>
        <v>1637.7130672</v>
      </c>
      <c r="F18" s="4" t="n">
        <f aca="false">(F6-E6)*Assumptions!$B$51/100</f>
        <v>1627.184911768</v>
      </c>
      <c r="G18" s="4" t="n">
        <f aca="false">(G6-F6)*Assumptions!$B$51/100</f>
        <v>1599.64793633808</v>
      </c>
      <c r="H18" s="4" t="n">
        <f aca="false">(H6-G6)*Assumptions!$B$51/100</f>
        <v>1554.32457814183</v>
      </c>
      <c r="I18" s="4" t="n">
        <f aca="false">(I6-H6)*Assumptions!$B$51/100</f>
        <v>1490.7385726724</v>
      </c>
      <c r="J18" s="4" t="n">
        <f aca="false">(J6-I6)*Assumptions!$B$51/100</f>
        <v>1408.74795117541</v>
      </c>
      <c r="K18" s="4" t="n">
        <f aca="false">(K6-J6)*Assumptions!$B$51/100</f>
        <v>1308.57031909183</v>
      </c>
      <c r="L18" s="4" t="n">
        <f aca="false">(L6-K6)*Assumptions!$B$51/100</f>
        <v>1190.79899037356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3988.08836336</v>
      </c>
      <c r="D19" s="0" t="n">
        <f aca="false">D15+D16+D17+D18</f>
        <v>4530.43939142</v>
      </c>
      <c r="E19" s="0" t="n">
        <f aca="false">E15+E16+E17+E18</f>
        <v>4867.20573679647</v>
      </c>
      <c r="F19" s="0" t="n">
        <f aca="false">F15+F16+F17+F18</f>
        <v>5199.98191457976</v>
      </c>
      <c r="G19" s="0" t="n">
        <f aca="false">G15+G16+G17+G18</f>
        <v>5506.65471684915</v>
      </c>
      <c r="H19" s="0" t="n">
        <f aca="false">H15+H16+H17+H18</f>
        <v>5825.29058884825</v>
      </c>
      <c r="I19" s="0" t="n">
        <f aca="false">I15+I16+I17+I18</f>
        <v>6116.12767903167</v>
      </c>
      <c r="J19" s="0" t="n">
        <f aca="false">J15+J16+J17+J18</f>
        <v>6340.42234125274</v>
      </c>
      <c r="K19" s="0" t="n">
        <f aca="false">K15+K16+K17+K18</f>
        <v>6522.56875551322</v>
      </c>
      <c r="L19" s="0" t="n">
        <f aca="false">L15+L16+L17+L18</f>
        <v>6692.92825392999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3727.18538631776</v>
      </c>
      <c r="D21" s="0" t="n">
        <f aca="false">D19*D20</f>
        <v>3957.06122056075</v>
      </c>
      <c r="E21" s="0" t="n">
        <f aca="false">E19*E20</f>
        <v>3973.08970933794</v>
      </c>
      <c r="F21" s="0" t="n">
        <f aca="false">F19*F20</f>
        <v>3967.04130536662</v>
      </c>
      <c r="G21" s="0" t="n">
        <f aca="false">G19*G20</f>
        <v>3926.168708302</v>
      </c>
      <c r="H21" s="0" t="n">
        <f aca="false">H19*H20</f>
        <v>3881.63708535054</v>
      </c>
      <c r="I21" s="0" t="n">
        <f aca="false">I19*I20</f>
        <v>3808.81693345018</v>
      </c>
      <c r="J21" s="0" t="n">
        <f aca="false">J19*J20</f>
        <v>3690.18352939667</v>
      </c>
      <c r="K21" s="0" t="n">
        <f aca="false">K19*K20</f>
        <v>3547.84523444874</v>
      </c>
      <c r="L21" s="0" t="n">
        <f aca="false">L19*L20</f>
        <v>3402.34534019376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37881.374452725</v>
      </c>
    </row>
    <row r="31" customFormat="false" ht="15" hidden="false" customHeight="false" outlineLevel="0" collapsed="false">
      <c r="A31" s="0" t="s">
        <v>137</v>
      </c>
      <c r="B31" s="0" t="n">
        <f aca="false">L19</f>
        <v>6692.92825392999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172342.902538697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120472.70857074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120472.70857074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61242.2161234877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99123.5905762126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95093.5905762126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401.238778802585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0.82199064028056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3445.74258285808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7490.37541681911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447.38273660713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57447.6341795657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153.476013647944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93.7032486980576</v>
      </c>
      <c r="C4" s="0" t="n">
        <f aca="false">B4/Assumptions!$B$2-1</f>
        <v>-0.574501640640915</v>
      </c>
      <c r="D4" s="4" t="n">
        <f aca="false">Assumptions!$B$24</f>
        <v>0.2</v>
      </c>
      <c r="E4" s="4" t="n">
        <f aca="false">DCF_Bear!$B$43</f>
        <v>115.797040278965</v>
      </c>
      <c r="F4" s="4" t="n">
        <f aca="false">DCF_Bear!$B$47</f>
        <v>46.2516075038284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218.820292803493</v>
      </c>
      <c r="C5" s="0" t="n">
        <f aca="false">B5/Assumptions!$B$2-1</f>
        <v>-0.00635594948918117</v>
      </c>
      <c r="D5" s="4" t="n">
        <f aca="false">Assumptions!$B$38</f>
        <v>0.5</v>
      </c>
      <c r="E5" s="4" t="n">
        <f aca="false">DCF_Base!$B$43</f>
        <v>250.971871954188</v>
      </c>
      <c r="F5" s="4" t="n">
        <f aca="false">DCF_Base!$B$47</f>
        <v>91.0181362256047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401.238778802585</v>
      </c>
      <c r="C6" s="0" t="n">
        <f aca="false">B6/Assumptions!$B$2-1</f>
        <v>0.82199064028056</v>
      </c>
      <c r="D6" s="4" t="n">
        <f aca="false">Assumptions!$B$52</f>
        <v>0.3</v>
      </c>
      <c r="E6" s="4" t="n">
        <f aca="false">DCF_Bull!$B$43</f>
        <v>447.38273660713</v>
      </c>
      <c r="F6" s="4" t="n">
        <f aca="false">DCF_Bull!$B$47</f>
        <v>153.476013647944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248.522429782133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282.860165015026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0.113882798453824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-82.4236939046049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100.802193707951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218.820292803493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192.799185380495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164.495021048393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142.86264975534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125.794613700392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91.0181362256047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257.099036298644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257.099036298644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257.099036298644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257.099036298644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257.099036298644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237.051080720387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237.051080720387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237.051080720387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237.051080720387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237.051080720387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218.820292803493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218.820292803493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218.820292803493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218.820292803493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218.820292803493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190.765224544919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199.871717436341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202.221780117998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202.221780117998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202.221780117998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164.009100365007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170.36755929192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177.634369494105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186.019150496627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187.09117729147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2026-09-26T00:11:56Z</dcterms:created>
  <dc:creator>openpyxl</dc:creator>
  <dc:description/>
  <dc:language>en-NZ</dc:language>
  <cp:lastModifiedBy/>
  <dcterms:modified xsi:type="dcterms:W3CDTF">2026-09-26T00:11:56Z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