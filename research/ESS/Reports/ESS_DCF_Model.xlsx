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<sst xmlns="http://schemas.openxmlformats.org/spreadsheetml/2006/main" count="387" uniqueCount="174">
  <si>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</si>
  <si>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ESS</t>
  </si>
  <si>
    <t xml:space="preserve">Company</t>
  </si>
  <si>
    <t xml:space="preserve">Essex Property Trust, Inc.</t>
  </si>
  <si>
    <t xml:space="preserve">Valuation date</t>
  </si>
  <si>
    <t xml:space="preserve">2026-09-28</t>
  </si>
  <si>
    <t xml:space="preserve">Current price</t>
  </si>
  <si>
    <t xml:space="preserve">Price as of</t>
  </si>
  <si>
    <t xml:space="preserve">2026-09-25T20:00:03Z NYSE regular close (Yahoo v8 chart meta); 52-week range 238.46-303.35</t>
  </si>
  <si>
    <t xml:space="preserve">Balance sheet date</t>
  </si>
  <si>
    <t xml:space="preserve">2026-06-30</t>
  </si>
  <si>
    <t xml:space="preserve">Model</t>
  </si>
  <si>
    <t xml:space="preserve">REIT AFFO capitalisation at cost of equity (engine route)</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</si>
  <si>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</si>
  <si>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</si>
  <si>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</si>
  <si>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</si>
  <si>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</si>
  <si>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</si>
  <si>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</si>
  <si>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</si>
  <si>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2026-09-28T07:47:05Z</t>
  </si>
  <si>
    <t xml:space="preserve">Drivers file</t>
  </si>
  <si>
    <t xml:space="preserve">ESS_Drivers.json</t>
  </si>
  <si>
    <t xml:space="preserve">Convention</t>
  </si>
  <si>
    <t xml:space="preserve">Percents stored as percents; formulas divide by 100. Blue = input, green = link, black = formula.</t>
  </si>
  <si>
    <t xml:space="preserve">Methodology</t>
  </si>
  <si>
    <t xml:space="preserve">summary: Essex is valued as a stream of AFFO -- Core FFO (already after net interest expense and G&amp;A, excluding gains on sale and one-off legal settlements) less non-revenue-generating capex -- capitalised at a 9.5% USD cost of equity with no net-debt deduction, since the flow is post-interest. Statutory net income (dominated by gains on sale and co-investment remeasurement -- FY2024 EPS $11.55 vs FY2025 $10.40 vs Q2 2026 $0.97) and the CSV free-cash-flow column (blank, because SEC XBRL carries no capex for this filer) are both set aside. The base case is essentially management's own FY2026 guidance with a modest post-2027 reacceleration, fading to CPI-like 2.5% growth; risk is charged once, in the flows, with the same discount rate in all three scenarios. The result is that the current price is not supported at a 9.5% required return: the market capitalises FY2026E AFFO at a 5.3% yield, i.e. a ~7.8% implied cost of equity, which is a 2.6% equity premium over a 5.2% 10-year Treasury. Two cross-checks sit either side of the model: a cap-rate NAV of ~$285-323/share (5.5-5.0% cap on annualised Adjusted EBITDAre, consolidated net debt only) is above the price, while the AFFO model at the house rate is well below it. The gap between them is the gap between private-market cap rates of 4.5-5.5% and a 9.5% public cost of equity; this model deliberately does not close it by lowering the rate. Depreciated-cost book value ($85.34/share) is recorded for the P/B sanity check only.
key_risks_to_valuation: Discount rate: this is the single largest swing factor. Every 50bp on the 9.5% cost of equity moves the base value by roughly 7-8%, and the current price is only reached at ~7.5-8.0%. If the 10-year falls back toward 4%, the same beta and ERP give ~8.5% and a materially higher value.; Core FFO vs Total FFO: $56.8m of H1 2026 legal settlements (RealPage antitrust, a separate multi-year dispute) are excluded from the Core FFO the model capitalises. If algorithmic-pricing and tenant litigation becomes a recurring cost of doing business in California, it belongs in the flows -- the bear margin path is where that is charged.; Recurring-capex definition: the base case deducts only non-revenue-generating capex (~6% of revenue) and treats ~$100m/yr of renovation/redevelopment capex as growth capital. If that capital is really needed just to hold rents in a 1970s-2000s coastal portfolio, AFFO is ~$1.50/share lower than modelled (the bear case's 8% capex path).; California rent regulation: Costa-Hawkins repeal has been rejected three times at the ballot (2018, 2020, 2024) but each attempt cost the industry tens of millions and the margin of defeat narrowed; a successful measure or expanded local vacancy control would cap growth structurally below the 2.5% terminal rate.; Geographic and tenant concentration: ~100% of NOI in three West Coast metros with tech-sector-linked demand; Southern California (~40% of NOI) is already lagging, and AI-driven headcount efficiency could keep Bay Area/Seattle hiring below what office-expansion announcements suggest.; Revenue is the driver line, not the valued flow: the FY2026 margin step-down comes from the preferred-equity wind-down and interest, not from the properties; a faster or slower wind-down, or refinancing at higher coupons than the ~5-5.5% assumed, moves the outcome without any change in revenue growth.; Share count: 66.525m includes OP units and is held flat; buybacks below NAV under the $500m authorisation would be accretive and are not modelled, while any equity issuance to fund acquisitions above the cost of capital is likewise not modelled.</t>
  </si>
  <si>
    <t xml:space="preserve">Data sources</t>
  </si>
  <si>
    <t xml:space="preserve">price: Yahoo Finance v8 chart API at inputs.price_as_of (NYSE regular close); 52-week range 238.46-303.35. 10-year Treasury from ^TNX on the same endpoint.
financials: ESS_Metrics.csv / core_metrics (revenue, net income, OCF, EBITDA, equity, total debt, cash, shares, SBC, DPS -- FY2007-Q2 2026, from 10-K/10-Q XBRL, SEC CIK 920522); Core FFO, Nareit FFO, diluted FFO share counts, non-revenue-generating and revenue-generating capex, Adjusted EBITDAre and FY2026 guidance from the Q4 2025 and Q2 2026 earnings-release / supplemental exhibits (8-K exhibit 99.1, accession nos. 0001140361-26-003709 filed 2026-02-04 and 0001140361-26-030060 filed 2026-07-29); FY2020-FY2023 Core FFO per share from the Q4 2021 and Q4 2023 releases (0001140361-22-003634, 0001140361-24-005882); balance sheet, debt, cash and common share count from the Q2 2026 10-Q (0000920522-26-000022, filed 2026-07-30); post-balance-sheet 8-Ks of 2026-09-11 and 2026-09-25 reviewed (conference deck; $275m term loan) -- no change to the flows.
qualitative: ESS_Analysis.json (2026-09-28): overview, moat, growth drivers, risks, FY2026 guidance, bull/bear case, Vivmark (AvalonBay/Equity Residential) merger context.</t>
  </si>
  <si>
    <t xml:space="preserve">Scenario narrative: bear</t>
  </si>
  <si>
    <t xml:space="preserve">Southern California's softness spreads: AI-driven headcount efficiency at large tech employers means Bay Area and Seattle office expansions do not translate into hiring, blended rent growth turns negative in 2027-28, occupancy slips toward 95%, and a renewed statewide rent-control push -- after Props 10, 21 and 33 -- finally caps renewal growth structurally. Operating-expense inflation (insurance, property tax, tenant-protection compliance) of 3-4% against flat rents, refinancing at 5.5-6%, and recurring RealPage-style legal costs compress the Core FFO margin to 51%. Recurring capex rises to 8% of revenue as unit-turn renovations become defensive rather than yield-generating and wildfire/seismic hardening adds cost. Growth troughs at 0.5% and recovers only to 2.0%; exit at a 12.8x AFFO multiple, a 7.8% AFFO yield, roughly where the sector traded when the 10-year last touched 5% in late 2023.</t>
  </si>
  <si>
    <t xml:space="preserve">Scenario narrative: base</t>
  </si>
  <si>
    <t xml:space="preserve">Essex delivers the revised FY2026 Core FFO guidance ($16.03-$16.25, midpoint $16.14) with same-property NOI growth of ~2.8%, then reaccelerates modestly as West Coast apartment supply troughs in 2027 and Northern California's ~6% loss-to-lease burns off, while Southern California stays merely stable. Core FFO margin dips in FY2026 on the deliberate wind-down of the preferred-equity book (-$0.38/share) and recovers slowly toward 55.8% as that headwind lapses and NOI outgrows a well-laddered debt stack refinancing from 3-4% to ~5-5.5% coupons. Recurring capex runs at ~6% of revenue, leaving FY2026E AFFO of ~$14.37/share and a 72% payout on the $10.36 dividend. AFFO is capitalised at a 9.5% USD cost of equity with no net-debt deduction and no cap-rate compression assumed; growth fades to 2.5% by year 8 and the terminal multiple is the 14.6x Gordon value, below the 18x cap. At the current price the market capitalises FY2026E AFFO at a 5.3% yield -- a ~7.8% implied cost of equity -- so the base case's shortfall to price is a statement about the required return, not about the operating outlook, which is essentially management's own.</t>
  </si>
  <si>
    <t xml:space="preserve">Scenario narrative: bull</t>
  </si>
  <si>
    <t xml:space="preserve">The Q2 2026 beat pattern continues and FY2026 lands at the top of guidance; the AI capex cycle turns into Bay Area and Seattle hiring, Northern California blended rent growth runs 5-7% for two to three years while supply stays below 1% of stock after the 2027 trough, and occupancy holds above 96%. Rent growth of 4-5% falls almost entirely to NOI, Fed cuts through 2027 lower the refinancing cost of the 2026-28 maturities, and the structured-finance drag ends by FY2027, lifting the Core FFO margin to 57.5%. Capital recycling below NAV (a JV sale at a sub-4.5% cap rate funding buybacks under the $500m authorisation) adds per-share accretion not modelled in the flat share count. Revenue growth fades to 3.0% and the terminal multiple is 15.8x AFFO, inside the 20x cap -- still below where coastal apartment REITs traded through 2015-2021.</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</si>
  <si>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</si>
  <si>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</si>
  <si>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</si>
  <si>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</si>
  <si>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</si>
  <si>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</si>
  <si>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</si>
  <si>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</si>
  <si>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</si>
  <si>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</si>
  <si>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</si>
  <si>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</si>
  <si>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</si>
  <si>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</si>
  <si>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</si>
  <si>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</si>
  <si>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</si>
  <si>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</si>
  <si>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</si>
  <si>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</si>
  <si>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</si>
  <si>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</si>
  <si>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</si>
  <si>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</si>
  <si>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</si>
  <si>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</si>
  <si>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</si>
  <si>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</si>
  <si>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</si>
  <si>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</si>
  <si>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</si>
  <si>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</si>
  <si>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</si>
  <si>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</si>
  <si>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</si>
  <si>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</si>
  <si>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</si>
  <si>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</si>
  <si>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</si>
  <si>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</si>
  <si>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</si>
  <si>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</si>
  <si>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</si>
  <si>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</si>
  <si>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</si>
  <si>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</si>
  <si>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</si>
  <si>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</si>
  <si>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</si>
  <si>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</si>
  <si>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</si>
  <si>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</si>
  <si>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</si>
  <si>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</si>
  <si>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</si>
  <si>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</si>
  <si>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</si>
  <si>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</si>
  <si>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</si>
  <si>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</si>
  <si>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</si>
  <si>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</si>
  <si>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</si>
  <si>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</si>
  <si>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</si>
  <si>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</si>
  <si>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</si>
  <si>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</si>
  <si>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</si>
  <si>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</si>
  <si>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</si>
  <si>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</si>
  <si>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</si>
  <si>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</si>
  <si>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</si>
  <si>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</si>
  <si>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</si>
  <si>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</si>
  <si>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</si>
  <si>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</si>
  <si>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</si>
  <si>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</si>
  <si>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</si>
  <si>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ESS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</si>
  <si>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</si>
  <si>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</si>
  <si>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</si>
  <si>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</si>
  <si>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</si>
  <si>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</si>
  <si>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</si>
  <si>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</si>
  <si>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</si>
  <si>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</si>
  <si>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</si>
  <si>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</si>
  <si>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</si>
  <si>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</si>
  <si>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</si>
  <si>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</si>
  <si>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</si>
  <si>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</si>
  <si>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</si>
  <si>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</si>
  <si>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</si>
  <si>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</si>
  <si>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</si>
  <si>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</si>
  <si>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</si>
  <si>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</si>
  <si>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</si>
  <si>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</si>
  <si>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</si>
  <si>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</si>
  <si>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ESS owner-FCF component DCF: base case (millions, USD)</t>
  </si>
  <si>
    <t xml:space="preserve">ESS owner-FCF component DCF: bull case (millions, USD)</t>
  </si>
  <si>
    <t xml:space="preserve">ESS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</si>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</sst>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271.61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1084.604</v>
      </c>
      <c r="S2" s="0" t="n">
        <v>9.956</v>
      </c>
      <c r="AA2" s="0" t="s">
        <v>17</v>
      </c>
      <c r="AB2" s="0" t="s">
        <v>14</v>
      </c>
    </row>
    <row r="3" customFormat="false" ht="15" hidden="false" customHeight="false" outlineLevel="0" collapsed="false">
      <c r="A3" s="0" t="s">
        <v>64</v>
      </c>
      <c r="B3" s="0" t="n">
        <v>408.434</v>
      </c>
      <c r="F3" s="0" t="n">
        <v>137.982</v>
      </c>
      <c r="G3" s="0" t="n">
        <v>33.7831816156344</v>
      </c>
      <c r="H3" s="0" t="n">
        <v>251.276</v>
      </c>
      <c r="I3" s="0" t="n">
        <v>84.395</v>
      </c>
      <c r="J3" s="0" t="n">
        <v>20.6630691862088</v>
      </c>
      <c r="K3" s="0" t="n">
        <v>2.1</v>
      </c>
      <c r="L3" s="0" t="n">
        <v>181.241</v>
      </c>
      <c r="O3" s="0" t="n">
        <v>1085.998</v>
      </c>
      <c r="S3" s="0" t="n">
        <v>41.909</v>
      </c>
      <c r="T3" s="0" t="n">
        <v>25.34652</v>
      </c>
      <c r="U3" s="0" t="n">
        <v>3.94</v>
      </c>
      <c r="AA3" s="0" t="s">
        <v>17</v>
      </c>
      <c r="AB3" s="0" t="s">
        <v>14</v>
      </c>
    </row>
    <row r="4" customFormat="false" ht="15" hidden="false" customHeight="false" outlineLevel="0" collapsed="false">
      <c r="A4" s="0" t="s">
        <v>65</v>
      </c>
      <c r="B4" s="0" t="n">
        <v>408.881</v>
      </c>
      <c r="F4" s="0" t="n">
        <v>111.735</v>
      </c>
      <c r="G4" s="0" t="n">
        <v>27.3270217985184</v>
      </c>
      <c r="H4" s="0" t="n">
        <v>230.257</v>
      </c>
      <c r="I4" s="0" t="n">
        <v>53.739</v>
      </c>
      <c r="J4" s="0" t="n">
        <v>13.1429437904916</v>
      </c>
      <c r="K4" s="0" t="n">
        <v>3.01</v>
      </c>
      <c r="L4" s="0" t="n">
        <v>173.587</v>
      </c>
      <c r="O4" s="0" t="n">
        <v>1273.541</v>
      </c>
      <c r="P4" s="0" t="n">
        <v>3254.637</v>
      </c>
      <c r="Q4" s="0" t="n">
        <v>1976.747</v>
      </c>
      <c r="S4" s="0" t="n">
        <v>20.66</v>
      </c>
      <c r="T4" s="0" t="n">
        <v>29.746614</v>
      </c>
      <c r="U4" s="0" t="n">
        <v>3.412</v>
      </c>
      <c r="AA4" s="0" t="s">
        <v>17</v>
      </c>
      <c r="AB4" s="0" t="s">
        <v>14</v>
      </c>
    </row>
    <row r="5" customFormat="false" ht="15" hidden="false" customHeight="false" outlineLevel="0" collapsed="false">
      <c r="A5" s="0" t="s">
        <v>66</v>
      </c>
      <c r="B5" s="0" t="n">
        <v>410.279</v>
      </c>
      <c r="F5" s="0" t="n">
        <v>110.63</v>
      </c>
      <c r="G5" s="0" t="n">
        <v>26.9645777629369</v>
      </c>
      <c r="H5" s="0" t="n">
        <v>240.341</v>
      </c>
      <c r="I5" s="0" t="n">
        <v>50.782</v>
      </c>
      <c r="J5" s="0" t="n">
        <v>12.3774309677073</v>
      </c>
      <c r="K5" s="0" t="n">
        <v>1.14</v>
      </c>
      <c r="L5" s="0" t="n">
        <v>175.53</v>
      </c>
      <c r="O5" s="0" t="n">
        <v>1355.014</v>
      </c>
      <c r="P5" s="0" t="n">
        <v>3732.887</v>
      </c>
      <c r="Q5" s="0" t="n">
        <v>2373.524</v>
      </c>
      <c r="R5" s="0" t="n">
        <v>1832.745</v>
      </c>
      <c r="S5" s="0" t="n">
        <v>13.753</v>
      </c>
      <c r="T5" s="0" t="n">
        <v>31.324808</v>
      </c>
      <c r="U5" s="0" t="n">
        <v>3.251</v>
      </c>
      <c r="AA5" s="0" t="s">
        <v>17</v>
      </c>
      <c r="AB5" s="0" t="s">
        <v>14</v>
      </c>
    </row>
    <row r="6" customFormat="false" ht="15" hidden="false" customHeight="false" outlineLevel="0" collapsed="false">
      <c r="A6" s="0" t="s">
        <v>67</v>
      </c>
      <c r="B6" s="0" t="n">
        <v>467.44</v>
      </c>
      <c r="F6" s="0" t="n">
        <v>134.617</v>
      </c>
      <c r="G6" s="0" t="n">
        <v>28.7987763135376</v>
      </c>
      <c r="I6" s="0" t="n">
        <v>57.516</v>
      </c>
      <c r="J6" s="0" t="n">
        <v>12.3044668834503</v>
      </c>
      <c r="K6" s="0" t="n">
        <v>1.24</v>
      </c>
      <c r="L6" s="0" t="n">
        <v>216.571</v>
      </c>
      <c r="O6" s="0" t="n">
        <v>1553.728</v>
      </c>
      <c r="P6" s="0" t="n">
        <v>4036.964</v>
      </c>
      <c r="Q6" s="0" t="n">
        <v>2478.887</v>
      </c>
      <c r="R6" s="0" t="n">
        <v>1745.858</v>
      </c>
      <c r="S6" s="0" t="n">
        <v>12.889</v>
      </c>
      <c r="T6" s="0" t="n">
        <v>33.888082</v>
      </c>
      <c r="U6" s="0" t="n">
        <v>2.927</v>
      </c>
      <c r="AA6" s="0" t="s">
        <v>17</v>
      </c>
      <c r="AB6" s="0" t="s">
        <v>14</v>
      </c>
    </row>
    <row r="7" customFormat="false" ht="15" hidden="false" customHeight="false" outlineLevel="0" collapsed="false">
      <c r="A7" s="0" t="s">
        <v>68</v>
      </c>
      <c r="B7" s="0" t="n">
        <v>535.153</v>
      </c>
      <c r="F7" s="0" t="n">
        <v>167.025</v>
      </c>
      <c r="G7" s="0" t="n">
        <v>31.2107004912614</v>
      </c>
      <c r="I7" s="0" t="n">
        <v>139.59</v>
      </c>
      <c r="J7" s="0" t="n">
        <v>26.084129211646</v>
      </c>
      <c r="K7" s="0" t="n">
        <v>3.42</v>
      </c>
      <c r="L7" s="0" t="n">
        <v>267.499</v>
      </c>
      <c r="O7" s="0" t="n">
        <v>1880.116</v>
      </c>
      <c r="P7" s="0" t="n">
        <v>4847.223</v>
      </c>
      <c r="Q7" s="0" t="n">
        <v>2962.758</v>
      </c>
      <c r="R7" s="0" t="n">
        <v>1565.599</v>
      </c>
      <c r="S7" s="0" t="n">
        <v>18.606</v>
      </c>
      <c r="T7" s="0" t="n">
        <v>36.442994</v>
      </c>
      <c r="U7" s="0" t="n">
        <v>4.141</v>
      </c>
      <c r="AA7" s="0" t="s">
        <v>17</v>
      </c>
      <c r="AB7" s="0" t="s">
        <v>14</v>
      </c>
    </row>
    <row r="8" customFormat="false" ht="15" hidden="false" customHeight="false" outlineLevel="0" collapsed="false">
      <c r="A8" s="0" t="s">
        <v>69</v>
      </c>
      <c r="B8" s="0" t="n">
        <v>610.59</v>
      </c>
      <c r="F8" s="0" t="n">
        <v>188.705</v>
      </c>
      <c r="G8" s="0" t="n">
        <v>30.905353838091</v>
      </c>
      <c r="I8" s="0" t="n">
        <v>172.055</v>
      </c>
      <c r="J8" s="0" t="n">
        <v>28.1784831065035</v>
      </c>
      <c r="K8" s="0" t="n">
        <v>4.05</v>
      </c>
      <c r="L8" s="0" t="n">
        <v>304.982</v>
      </c>
      <c r="O8" s="0" t="n">
        <v>1998.238</v>
      </c>
      <c r="P8" s="0" t="n">
        <v>5186.839</v>
      </c>
      <c r="Q8" s="0" t="n">
        <v>3184.252</v>
      </c>
      <c r="R8" s="0" t="n">
        <v>1404.08</v>
      </c>
      <c r="S8" s="0" t="n">
        <v>18.491</v>
      </c>
      <c r="T8" s="0" t="n">
        <v>37.421219</v>
      </c>
      <c r="U8" s="0" t="n">
        <v>4.508</v>
      </c>
      <c r="AA8" s="0" t="s">
        <v>17</v>
      </c>
      <c r="AB8" s="0" t="s">
        <v>14</v>
      </c>
    </row>
    <row r="9" customFormat="false" ht="15" hidden="false" customHeight="false" outlineLevel="0" collapsed="false">
      <c r="A9" s="0" t="s">
        <v>70</v>
      </c>
      <c r="B9" s="0" t="n">
        <v>970.938</v>
      </c>
      <c r="F9" s="0" t="n">
        <v>201.514</v>
      </c>
      <c r="G9" s="0" t="n">
        <v>20.754569292787</v>
      </c>
      <c r="I9" s="0" t="n">
        <v>134.438</v>
      </c>
      <c r="J9" s="0" t="n">
        <v>13.8461982124502</v>
      </c>
      <c r="K9" s="0" t="n">
        <v>2.07</v>
      </c>
      <c r="L9" s="0" t="n">
        <v>493.312</v>
      </c>
      <c r="O9" s="0" t="n">
        <v>6136.068</v>
      </c>
      <c r="P9" s="0" t="n">
        <v>11526.732</v>
      </c>
      <c r="Q9" s="0" t="n">
        <v>5367.408</v>
      </c>
      <c r="R9" s="0" t="n">
        <v>2234.317</v>
      </c>
      <c r="S9" s="0" t="n">
        <v>25.61</v>
      </c>
      <c r="T9" s="0" t="n">
        <v>63.682646</v>
      </c>
      <c r="U9" s="0" t="n">
        <v>8.74</v>
      </c>
      <c r="AA9" s="0" t="s">
        <v>17</v>
      </c>
      <c r="AB9" s="0" t="s">
        <v>14</v>
      </c>
    </row>
    <row r="10" customFormat="false" ht="15" hidden="false" customHeight="false" outlineLevel="0" collapsed="false">
      <c r="A10" s="0" t="s">
        <v>71</v>
      </c>
      <c r="B10" s="0" t="n">
        <v>1194.407</v>
      </c>
      <c r="F10" s="0" t="n">
        <v>331.174</v>
      </c>
      <c r="G10" s="0" t="n">
        <v>27.7270645600704</v>
      </c>
      <c r="I10" s="0" t="n">
        <v>248.239</v>
      </c>
      <c r="J10" s="0" t="n">
        <v>20.7834515370389</v>
      </c>
      <c r="K10" s="0" t="n">
        <v>3.5</v>
      </c>
      <c r="L10" s="0" t="n">
        <v>618.168</v>
      </c>
      <c r="O10" s="0" t="n">
        <v>6337.023</v>
      </c>
      <c r="P10" s="0" t="n">
        <v>12008.384</v>
      </c>
      <c r="Q10" s="0" t="n">
        <v>5625.909</v>
      </c>
      <c r="R10" s="0" t="n">
        <v>2215.077</v>
      </c>
      <c r="S10" s="0" t="n">
        <v>29.683</v>
      </c>
      <c r="T10" s="0" t="n">
        <v>65.379359</v>
      </c>
      <c r="U10" s="0" t="n">
        <v>6.061</v>
      </c>
      <c r="AA10" s="0" t="s">
        <v>17</v>
      </c>
      <c r="AB10" s="0" t="s">
        <v>14</v>
      </c>
    </row>
    <row r="11" customFormat="false" ht="15" hidden="false" customHeight="false" outlineLevel="0" collapsed="false">
      <c r="A11" s="0" t="s">
        <v>72</v>
      </c>
      <c r="B11" s="0" t="n">
        <v>1294.001</v>
      </c>
      <c r="F11" s="0" t="n">
        <v>420.8</v>
      </c>
      <c r="G11" s="0" t="n">
        <v>32.5192948073456</v>
      </c>
      <c r="H11" s="0" t="n">
        <v>862.482</v>
      </c>
      <c r="I11" s="0" t="n">
        <v>438.41</v>
      </c>
      <c r="J11" s="0" t="n">
        <v>33.8801902007804</v>
      </c>
      <c r="K11" s="0" t="n">
        <v>6.28</v>
      </c>
      <c r="L11" s="0" t="n">
        <v>716.792</v>
      </c>
      <c r="O11" s="0" t="n">
        <v>6292.237</v>
      </c>
      <c r="P11" s="0" t="n">
        <v>12217.408</v>
      </c>
      <c r="Q11" s="0" t="n">
        <v>5880.487</v>
      </c>
      <c r="R11" s="0" t="n">
        <v>2191.481</v>
      </c>
      <c r="S11" s="0" t="n">
        <v>64.921</v>
      </c>
      <c r="T11" s="0" t="n">
        <v>65.587816</v>
      </c>
      <c r="U11" s="0" t="n">
        <v>9.811</v>
      </c>
      <c r="V11" s="0" t="n">
        <v>6.4</v>
      </c>
      <c r="AA11" s="0" t="s">
        <v>17</v>
      </c>
      <c r="AB11" s="0" t="s">
        <v>14</v>
      </c>
    </row>
    <row r="12" customFormat="false" ht="15" hidden="false" customHeight="false" outlineLevel="0" collapsed="false">
      <c r="A12" s="0" t="s">
        <v>73</v>
      </c>
      <c r="B12" s="0" t="n">
        <v>1363.899</v>
      </c>
      <c r="F12" s="0" t="n">
        <v>472.945</v>
      </c>
      <c r="G12" s="0" t="n">
        <v>34.6759547444496</v>
      </c>
      <c r="H12" s="0" t="n">
        <v>941.826</v>
      </c>
      <c r="I12" s="0" t="n">
        <v>458.043</v>
      </c>
      <c r="J12" s="0" t="n">
        <v>33.5833518464344</v>
      </c>
      <c r="K12" s="0" t="n">
        <v>6.58</v>
      </c>
      <c r="L12" s="0" t="n">
        <v>769.607</v>
      </c>
      <c r="O12" s="0" t="n">
        <v>6396.825</v>
      </c>
      <c r="P12" s="0" t="n">
        <v>12495.706</v>
      </c>
      <c r="Q12" s="0" t="n">
        <v>6059.675</v>
      </c>
      <c r="R12" s="0" t="n">
        <v>2008.417</v>
      </c>
      <c r="S12" s="0" t="n">
        <v>44.62</v>
      </c>
      <c r="T12" s="0" t="n">
        <v>66.054399</v>
      </c>
      <c r="U12" s="0" t="n">
        <v>9.286</v>
      </c>
      <c r="V12" s="0" t="n">
        <v>7</v>
      </c>
      <c r="AA12" s="0" t="s">
        <v>17</v>
      </c>
      <c r="AB12" s="0" t="s">
        <v>14</v>
      </c>
    </row>
    <row r="13" customFormat="false" ht="15" hidden="false" customHeight="false" outlineLevel="0" collapsed="false">
      <c r="A13" s="0" t="s">
        <v>74</v>
      </c>
      <c r="B13" s="0" t="n">
        <v>1400.053</v>
      </c>
      <c r="F13" s="0" t="n">
        <v>511.989</v>
      </c>
      <c r="G13" s="0" t="n">
        <v>36.5692584495016</v>
      </c>
      <c r="H13" s="0" t="n">
        <v>991.873</v>
      </c>
      <c r="I13" s="0" t="n">
        <v>413.599</v>
      </c>
      <c r="J13" s="0" t="n">
        <v>29.5416673511646</v>
      </c>
      <c r="K13" s="0" t="n">
        <v>5.91</v>
      </c>
      <c r="L13" s="0" t="n">
        <v>826.554</v>
      </c>
      <c r="O13" s="0" t="n">
        <v>6393.844</v>
      </c>
      <c r="P13" s="0" t="n">
        <v>12383.596</v>
      </c>
      <c r="Q13" s="0" t="n">
        <v>5954.277</v>
      </c>
      <c r="R13" s="0" t="n">
        <v>1806.626</v>
      </c>
      <c r="S13" s="0" t="n">
        <v>134.465</v>
      </c>
      <c r="T13" s="0" t="n">
        <v>66.085089</v>
      </c>
      <c r="U13" s="0" t="n">
        <v>7.135</v>
      </c>
      <c r="V13" s="0" t="n">
        <v>7.44</v>
      </c>
      <c r="AA13" s="0" t="s">
        <v>17</v>
      </c>
      <c r="AB13" s="0" t="s">
        <v>14</v>
      </c>
    </row>
    <row r="14" customFormat="false" ht="15" hidden="false" customHeight="false" outlineLevel="0" collapsed="false">
      <c r="A14" s="0" t="s">
        <v>75</v>
      </c>
      <c r="B14" s="0" t="n">
        <v>1460.155</v>
      </c>
      <c r="F14" s="0" t="n">
        <v>481.112</v>
      </c>
      <c r="G14" s="0" t="n">
        <v>32.9493786618544</v>
      </c>
      <c r="H14" s="0" t="n">
        <v>964.862</v>
      </c>
      <c r="I14" s="0" t="n">
        <v>464.448</v>
      </c>
      <c r="J14" s="0" t="n">
        <v>31.8081299588057</v>
      </c>
      <c r="K14" s="0" t="n">
        <v>6.67</v>
      </c>
      <c r="L14" s="0" t="n">
        <v>919.079</v>
      </c>
      <c r="O14" s="0" t="n">
        <v>6403.504</v>
      </c>
      <c r="P14" s="0" t="n">
        <v>12705.405</v>
      </c>
      <c r="Q14" s="0" t="n">
        <v>6264.491</v>
      </c>
      <c r="R14" s="0" t="n">
        <v>990.667</v>
      </c>
      <c r="S14" s="0" t="n">
        <v>70.087</v>
      </c>
      <c r="T14" s="0" t="n">
        <v>66.091954</v>
      </c>
      <c r="U14" s="0" t="n">
        <v>7.01</v>
      </c>
      <c r="V14" s="0" t="n">
        <v>7.8</v>
      </c>
      <c r="AA14" s="0" t="s">
        <v>17</v>
      </c>
      <c r="AB14" s="0" t="s">
        <v>14</v>
      </c>
    </row>
    <row r="15" customFormat="false" ht="15" hidden="false" customHeight="false" outlineLevel="0" collapsed="false">
      <c r="A15" s="0" t="s">
        <v>76</v>
      </c>
      <c r="B15" s="0" t="n">
        <v>1495.748</v>
      </c>
      <c r="F15" s="0" t="n">
        <v>491.441</v>
      </c>
      <c r="G15" s="0" t="n">
        <v>32.8558687693381</v>
      </c>
      <c r="H15" s="0" t="n">
        <v>1016.938</v>
      </c>
      <c r="I15" s="0" t="n">
        <v>599.332</v>
      </c>
      <c r="J15" s="0" t="n">
        <v>40.0690490644146</v>
      </c>
      <c r="K15" s="0" t="n">
        <v>8.69</v>
      </c>
      <c r="L15" s="0" t="n">
        <v>803.108</v>
      </c>
      <c r="O15" s="0" t="n">
        <v>6183.192</v>
      </c>
      <c r="P15" s="0" t="n">
        <v>12936.177</v>
      </c>
      <c r="Q15" s="0" t="n">
        <v>6720.746</v>
      </c>
      <c r="R15" s="0" t="n">
        <v>643.55</v>
      </c>
      <c r="S15" s="0" t="n">
        <v>73.629</v>
      </c>
      <c r="T15" s="0" t="n">
        <v>65.564982</v>
      </c>
      <c r="U15" s="0" t="n">
        <v>8.157</v>
      </c>
      <c r="V15" s="0" t="n">
        <v>8.31</v>
      </c>
      <c r="AA15" s="0" t="s">
        <v>17</v>
      </c>
      <c r="AB15" s="0" t="s">
        <v>14</v>
      </c>
    </row>
    <row r="16" customFormat="false" ht="15" hidden="false" customHeight="false" outlineLevel="0" collapsed="false">
      <c r="A16" s="0" t="s">
        <v>77</v>
      </c>
      <c r="B16" s="0" t="n">
        <v>1440.556</v>
      </c>
      <c r="F16" s="0" t="n">
        <v>529.995</v>
      </c>
      <c r="G16" s="0" t="n">
        <v>36.7910029183177</v>
      </c>
      <c r="H16" s="0" t="n">
        <v>1050.061</v>
      </c>
      <c r="I16" s="0" t="n">
        <v>515.691</v>
      </c>
      <c r="J16" s="0" t="n">
        <v>35.7980529739906</v>
      </c>
      <c r="K16" s="0" t="n">
        <v>7.51</v>
      </c>
      <c r="L16" s="0" t="n">
        <v>905.259</v>
      </c>
      <c r="O16" s="0" t="n">
        <v>6176.508</v>
      </c>
      <c r="P16" s="0" t="n">
        <v>12997.873</v>
      </c>
      <c r="Q16" s="0" t="n">
        <v>6786.699</v>
      </c>
      <c r="R16" s="0" t="n">
        <v>638.959</v>
      </c>
      <c r="S16" s="0" t="n">
        <v>48.42</v>
      </c>
      <c r="T16" s="0" t="n">
        <v>65.248393</v>
      </c>
      <c r="U16" s="0" t="n">
        <v>7.308</v>
      </c>
      <c r="V16" s="0" t="n">
        <v>8.36</v>
      </c>
      <c r="AA16" s="0" t="s">
        <v>17</v>
      </c>
      <c r="AB16" s="0" t="s">
        <v>14</v>
      </c>
    </row>
    <row r="17" customFormat="false" ht="15" hidden="false" customHeight="false" outlineLevel="0" collapsed="false">
      <c r="A17" s="0" t="s">
        <v>78</v>
      </c>
      <c r="B17" s="0" t="n">
        <v>1606.814</v>
      </c>
      <c r="D17" s="0" t="n">
        <v>1128.406</v>
      </c>
      <c r="E17" s="0" t="n">
        <v>70.2262987501976</v>
      </c>
      <c r="F17" s="0" t="n">
        <v>595.229</v>
      </c>
      <c r="G17" s="0" t="n">
        <v>37.044051147177</v>
      </c>
      <c r="H17" s="0" t="n">
        <v>1134.548</v>
      </c>
      <c r="I17" s="0" t="n">
        <v>432.985</v>
      </c>
      <c r="J17" s="0" t="n">
        <v>26.9468028035603</v>
      </c>
      <c r="K17" s="0" t="n">
        <v>6.27</v>
      </c>
      <c r="L17" s="0" t="n">
        <v>975.649</v>
      </c>
      <c r="O17" s="0" t="n">
        <v>5895.116</v>
      </c>
      <c r="P17" s="0" t="n">
        <v>12372.905</v>
      </c>
      <c r="Q17" s="0" t="n">
        <v>6450.639</v>
      </c>
      <c r="S17" s="0" t="n">
        <v>33.295</v>
      </c>
      <c r="T17" s="0" t="n">
        <v>65.098186</v>
      </c>
      <c r="U17" s="0" t="n">
        <v>7.206</v>
      </c>
      <c r="V17" s="0" t="n">
        <v>8.8</v>
      </c>
      <c r="AA17" s="0" t="s">
        <v>17</v>
      </c>
      <c r="AB17" s="0" t="s">
        <v>14</v>
      </c>
    </row>
    <row r="18" customFormat="false" ht="15" hidden="false" customHeight="false" outlineLevel="0" collapsed="false">
      <c r="A18" s="0" t="s">
        <v>79</v>
      </c>
      <c r="B18" s="0" t="n">
        <v>1669.395</v>
      </c>
      <c r="D18" s="0" t="n">
        <v>1170.506</v>
      </c>
      <c r="E18" s="0" t="n">
        <v>70.1155807942399</v>
      </c>
      <c r="F18" s="0" t="n">
        <v>584.342</v>
      </c>
      <c r="G18" s="0" t="n">
        <v>35.0032197293031</v>
      </c>
      <c r="H18" s="0" t="n">
        <v>1132.78</v>
      </c>
      <c r="I18" s="0" t="n">
        <v>430.708</v>
      </c>
      <c r="J18" s="0" t="n">
        <v>25.8002449989367</v>
      </c>
      <c r="K18" s="0" t="n">
        <v>6.32</v>
      </c>
      <c r="L18" s="0" t="n">
        <v>980.064</v>
      </c>
      <c r="O18" s="0" t="n">
        <v>5593.978</v>
      </c>
      <c r="P18" s="0" t="n">
        <v>12361.427</v>
      </c>
      <c r="Q18" s="0" t="n">
        <v>6735.244</v>
      </c>
      <c r="S18" s="0" t="n">
        <v>391.749</v>
      </c>
      <c r="T18" s="0" t="n">
        <v>64.253385</v>
      </c>
      <c r="U18" s="0" t="n">
        <v>8.031</v>
      </c>
      <c r="AA18" s="0" t="s">
        <v>17</v>
      </c>
      <c r="AB18" s="0" t="s">
        <v>14</v>
      </c>
    </row>
    <row r="19" customFormat="false" ht="15" hidden="false" customHeight="false" outlineLevel="0" collapsed="false">
      <c r="A19" s="0" t="s">
        <v>80</v>
      </c>
      <c r="B19" s="0" t="n">
        <v>1774.45</v>
      </c>
      <c r="D19" s="0" t="n">
        <v>1242.649</v>
      </c>
      <c r="E19" s="0" t="n">
        <v>70.0300938318916</v>
      </c>
      <c r="F19" s="0" t="n">
        <v>703.095</v>
      </c>
      <c r="G19" s="0" t="n">
        <v>39.623263546451</v>
      </c>
      <c r="H19" s="0" t="n">
        <v>1283.315</v>
      </c>
      <c r="I19" s="0" t="n">
        <v>811.306</v>
      </c>
      <c r="J19" s="0" t="n">
        <v>45.7215475217673</v>
      </c>
      <c r="K19" s="0" t="n">
        <v>11.55</v>
      </c>
      <c r="L19" s="0" t="n">
        <v>1068.305</v>
      </c>
      <c r="O19" s="0" t="n">
        <v>5720.39</v>
      </c>
      <c r="P19" s="0" t="n">
        <v>12927.359</v>
      </c>
      <c r="Q19" s="0" t="n">
        <v>7176.12</v>
      </c>
      <c r="S19" s="0" t="n">
        <v>66.795</v>
      </c>
      <c r="T19" s="0" t="n">
        <v>64.280466</v>
      </c>
      <c r="U19" s="0" t="n">
        <v>7.158</v>
      </c>
      <c r="AA19" s="0" t="s">
        <v>17</v>
      </c>
      <c r="AB19" s="0" t="s">
        <v>14</v>
      </c>
    </row>
    <row r="20" customFormat="false" ht="15" hidden="false" customHeight="false" outlineLevel="0" collapsed="false">
      <c r="A20" s="0" t="s">
        <v>81</v>
      </c>
      <c r="B20" s="0" t="n">
        <v>1887.345</v>
      </c>
      <c r="D20" s="0" t="n">
        <v>1318.978</v>
      </c>
      <c r="E20" s="0" t="n">
        <v>69.8853680699607</v>
      </c>
      <c r="F20" s="0" t="n">
        <v>899.316</v>
      </c>
      <c r="G20" s="0" t="n">
        <v>47.649793757898</v>
      </c>
      <c r="H20" s="0" t="n">
        <v>1506.858</v>
      </c>
      <c r="I20" s="0" t="n">
        <v>702.773</v>
      </c>
      <c r="J20" s="0" t="n">
        <v>37.236064418535</v>
      </c>
      <c r="K20" s="0" t="n">
        <v>10.4</v>
      </c>
      <c r="L20" s="0" t="n">
        <v>1074.423</v>
      </c>
      <c r="O20" s="0" t="n">
        <v>5708.632</v>
      </c>
      <c r="P20" s="0" t="n">
        <v>13159.009</v>
      </c>
      <c r="Q20" s="0" t="n">
        <v>7422.114</v>
      </c>
      <c r="S20" s="0" t="n">
        <v>76.241</v>
      </c>
      <c r="T20" s="0" t="n">
        <v>64.44229</v>
      </c>
      <c r="U20" s="0" t="n">
        <v>9.64</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271.61</v>
      </c>
    </row>
    <row r="3" customFormat="false" ht="15" hidden="false" customHeight="false" outlineLevel="0" collapsed="false">
      <c r="A3" s="0" t="s">
        <v>85</v>
      </c>
      <c r="B3" s="3" t="n">
        <v>66.525</v>
      </c>
    </row>
    <row r="4" customFormat="false" ht="15" hidden="false" customHeight="false" outlineLevel="0" collapsed="false">
      <c r="A4" s="0" t="s">
        <v>86</v>
      </c>
      <c r="B4" s="3" t="n">
        <v>0</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1887.345</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3</v>
      </c>
      <c r="D13" s="3" t="n">
        <v>1</v>
      </c>
      <c r="E13" s="3" t="n">
        <v>0.5</v>
      </c>
      <c r="F13" s="3" t="n">
        <v>1</v>
      </c>
      <c r="G13" s="3" t="n">
        <v>1.5</v>
      </c>
      <c r="H13" s="3" t="n">
        <v>1.5</v>
      </c>
      <c r="I13" s="3" t="n">
        <v>2</v>
      </c>
      <c r="J13" s="3" t="n">
        <v>2</v>
      </c>
      <c r="K13" s="3" t="n">
        <v>2</v>
      </c>
      <c r="L13" s="3" t="n">
        <v>2</v>
      </c>
    </row>
    <row r="14" customFormat="false" ht="15" hidden="false" customHeight="false" outlineLevel="0" collapsed="false">
      <c r="A14" s="0" t="s">
        <v>106</v>
      </c>
      <c r="C14" s="3" t="n">
        <v>54.3</v>
      </c>
      <c r="D14" s="3" t="n">
        <v>53</v>
      </c>
      <c r="E14" s="3" t="n">
        <v>52</v>
      </c>
      <c r="F14" s="3" t="n">
        <v>51.5</v>
      </c>
      <c r="G14" s="3" t="n">
        <v>51</v>
      </c>
      <c r="H14" s="3" t="n">
        <v>51</v>
      </c>
      <c r="I14" s="3" t="n">
        <v>51</v>
      </c>
      <c r="J14" s="3" t="n">
        <v>51</v>
      </c>
      <c r="K14" s="3" t="n">
        <v>51</v>
      </c>
      <c r="L14" s="3" t="n">
        <v>51</v>
      </c>
    </row>
    <row r="15" customFormat="false" ht="15" hidden="false" customHeight="false" outlineLevel="0" collapsed="false">
      <c r="A15" s="0" t="s">
        <v>107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110</v>
      </c>
      <c r="C18" s="3" t="n">
        <v>6.5</v>
      </c>
      <c r="D18" s="3" t="n">
        <v>7</v>
      </c>
      <c r="E18" s="3" t="n">
        <v>7.5</v>
      </c>
      <c r="F18" s="3" t="n">
        <v>8</v>
      </c>
      <c r="G18" s="3" t="n">
        <v>8</v>
      </c>
      <c r="H18" s="3" t="n">
        <v>8</v>
      </c>
      <c r="I18" s="3" t="n">
        <v>8</v>
      </c>
      <c r="J18" s="3" t="n">
        <v>8</v>
      </c>
      <c r="K18" s="3" t="n">
        <v>8</v>
      </c>
      <c r="L18" s="3" t="n">
        <v>8</v>
      </c>
    </row>
    <row r="19" customFormat="false" ht="15" hidden="false" customHeight="false" outlineLevel="0" collapsed="false">
      <c r="A19" s="0" t="s">
        <v>111</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112</v>
      </c>
      <c r="B20" s="3" t="n">
        <v>9.5</v>
      </c>
    </row>
    <row r="21" customFormat="false" ht="15" hidden="false" customHeight="false" outlineLevel="0" collapsed="false">
      <c r="A21" s="0" t="s">
        <v>113</v>
      </c>
      <c r="B21" s="3" t="n">
        <v>1.5</v>
      </c>
    </row>
    <row r="22" customFormat="false" ht="15" hidden="false" customHeight="false" outlineLevel="0" collapsed="false">
      <c r="A22" s="0" t="s">
        <v>114</v>
      </c>
      <c r="B22" s="3" t="n">
        <v>15</v>
      </c>
    </row>
    <row r="23" customFormat="false" ht="15" hidden="false" customHeight="false" outlineLevel="0" collapsed="false">
      <c r="A23" s="0" t="s">
        <v>115</v>
      </c>
      <c r="B23" s="3" t="n">
        <v>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4</v>
      </c>
      <c r="D27" s="3" t="n">
        <v>3.5</v>
      </c>
      <c r="E27" s="3" t="n">
        <v>3.5</v>
      </c>
      <c r="F27" s="3" t="n">
        <v>3.25</v>
      </c>
      <c r="G27" s="3" t="n">
        <v>3</v>
      </c>
      <c r="H27" s="3" t="n">
        <v>3</v>
      </c>
      <c r="I27" s="3" t="n">
        <v>2.75</v>
      </c>
      <c r="J27" s="3" t="n">
        <v>2.5</v>
      </c>
      <c r="K27" s="3" t="n">
        <v>2.5</v>
      </c>
      <c r="L27" s="3" t="n">
        <v>2.5</v>
      </c>
    </row>
    <row r="28" customFormat="false" ht="15" hidden="false" customHeight="false" outlineLevel="0" collapsed="false">
      <c r="A28" s="0" t="s">
        <v>106</v>
      </c>
      <c r="C28" s="3" t="n">
        <v>54.7</v>
      </c>
      <c r="D28" s="3" t="n">
        <v>55</v>
      </c>
      <c r="E28" s="3" t="n">
        <v>55.3</v>
      </c>
      <c r="F28" s="3" t="n">
        <v>55.5</v>
      </c>
      <c r="G28" s="3" t="n">
        <v>55.6</v>
      </c>
      <c r="H28" s="3" t="n">
        <v>55.7</v>
      </c>
      <c r="I28" s="3" t="n">
        <v>55.8</v>
      </c>
      <c r="J28" s="3" t="n">
        <v>55.8</v>
      </c>
      <c r="K28" s="3" t="n">
        <v>55.8</v>
      </c>
      <c r="L28" s="3" t="n">
        <v>55.8</v>
      </c>
    </row>
    <row r="29" customFormat="false" ht="15" hidden="false" customHeight="false" outlineLevel="0" collapsed="false">
      <c r="A29" s="0" t="s">
        <v>107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110</v>
      </c>
      <c r="C32" s="3" t="n">
        <v>6</v>
      </c>
      <c r="D32" s="3" t="n">
        <v>6</v>
      </c>
      <c r="E32" s="3" t="n">
        <v>6.1</v>
      </c>
      <c r="F32" s="3" t="n">
        <v>6.1</v>
      </c>
      <c r="G32" s="3" t="n">
        <v>6.2</v>
      </c>
      <c r="H32" s="3" t="n">
        <v>6.2</v>
      </c>
      <c r="I32" s="3" t="n">
        <v>6.2</v>
      </c>
      <c r="J32" s="3" t="n">
        <v>6.2</v>
      </c>
      <c r="K32" s="3" t="n">
        <v>6.2</v>
      </c>
      <c r="L32" s="3" t="n">
        <v>6.2</v>
      </c>
    </row>
    <row r="33" customFormat="false" ht="15" hidden="false" customHeight="false" outlineLevel="0" collapsed="false">
      <c r="A33" s="0" t="s">
        <v>111</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112</v>
      </c>
      <c r="B34" s="3" t="n">
        <v>9.5</v>
      </c>
    </row>
    <row r="35" customFormat="false" ht="15" hidden="false" customHeight="false" outlineLevel="0" collapsed="false">
      <c r="A35" s="0" t="s">
        <v>113</v>
      </c>
      <c r="B35" s="3" t="n">
        <v>2.5</v>
      </c>
    </row>
    <row r="36" customFormat="false" ht="15" hidden="false" customHeight="false" outlineLevel="0" collapsed="false">
      <c r="A36" s="0" t="s">
        <v>114</v>
      </c>
      <c r="B36" s="3" t="n">
        <v>18</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5</v>
      </c>
      <c r="D41" s="3" t="n">
        <v>4.5</v>
      </c>
      <c r="E41" s="3" t="n">
        <v>4.5</v>
      </c>
      <c r="F41" s="3" t="n">
        <v>4</v>
      </c>
      <c r="G41" s="3" t="n">
        <v>4</v>
      </c>
      <c r="H41" s="3" t="n">
        <v>3.5</v>
      </c>
      <c r="I41" s="3" t="n">
        <v>3.5</v>
      </c>
      <c r="J41" s="3" t="n">
        <v>3</v>
      </c>
      <c r="K41" s="3" t="n">
        <v>3</v>
      </c>
      <c r="L41" s="3" t="n">
        <v>3</v>
      </c>
    </row>
    <row r="42" customFormat="false" ht="15" hidden="false" customHeight="false" outlineLevel="0" collapsed="false">
      <c r="A42" s="0" t="s">
        <v>106</v>
      </c>
      <c r="C42" s="3" t="n">
        <v>55</v>
      </c>
      <c r="D42" s="3" t="n">
        <v>55.8</v>
      </c>
      <c r="E42" s="3" t="n">
        <v>56.5</v>
      </c>
      <c r="F42" s="3" t="n">
        <v>57</v>
      </c>
      <c r="G42" s="3" t="n">
        <v>57.3</v>
      </c>
      <c r="H42" s="3" t="n">
        <v>57.5</v>
      </c>
      <c r="I42" s="3" t="n">
        <v>57.5</v>
      </c>
      <c r="J42" s="3" t="n">
        <v>57.5</v>
      </c>
      <c r="K42" s="3" t="n">
        <v>57.5</v>
      </c>
      <c r="L42" s="3" t="n">
        <v>57.5</v>
      </c>
    </row>
    <row r="43" customFormat="false" ht="15" hidden="false" customHeight="false" outlineLevel="0" collapsed="false">
      <c r="A43" s="0" t="s">
        <v>107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110</v>
      </c>
      <c r="C46" s="3" t="n">
        <v>5.8</v>
      </c>
      <c r="D46" s="3" t="n">
        <v>5.8</v>
      </c>
      <c r="E46" s="3" t="n">
        <v>5.8</v>
      </c>
      <c r="F46" s="3" t="n">
        <v>5.8</v>
      </c>
      <c r="G46" s="3" t="n">
        <v>5.8</v>
      </c>
      <c r="H46" s="3" t="n">
        <v>5.8</v>
      </c>
      <c r="I46" s="3" t="n">
        <v>5.8</v>
      </c>
      <c r="J46" s="3" t="n">
        <v>5.8</v>
      </c>
      <c r="K46" s="3" t="n">
        <v>5.8</v>
      </c>
      <c r="L46" s="3" t="n">
        <v>5.8</v>
      </c>
    </row>
    <row r="47" customFormat="false" ht="15" hidden="false" customHeight="false" outlineLevel="0" collapsed="false">
      <c r="A47" s="0" t="s">
        <v>111</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112</v>
      </c>
      <c r="B48" s="3" t="n">
        <v>9.5</v>
      </c>
    </row>
    <row r="49" customFormat="false" ht="15" hidden="false" customHeight="false" outlineLevel="0" collapsed="false">
      <c r="A49" s="0" t="s">
        <v>113</v>
      </c>
      <c r="B49" s="3" t="n">
        <v>3</v>
      </c>
    </row>
    <row r="50" customFormat="false" ht="15" hidden="false" customHeight="false" outlineLevel="0" collapsed="false">
      <c r="A50" s="0" t="s">
        <v>114</v>
      </c>
      <c r="B50" s="3" t="n">
        <v>20</v>
      </c>
    </row>
    <row r="51" customFormat="false" ht="15" hidden="false" customHeight="false" outlineLevel="0" collapsed="false">
      <c r="A51" s="0" t="s">
        <v>115</v>
      </c>
      <c r="B51" s="3" t="n">
        <v>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3</v>
      </c>
      <c r="D5" s="4" t="n">
        <f aca="false">Assumptions!D13</f>
        <v>1</v>
      </c>
      <c r="E5" s="4" t="n">
        <f aca="false">Assumptions!E13</f>
        <v>0.5</v>
      </c>
      <c r="F5" s="4" t="n">
        <f aca="false">Assumptions!F13</f>
        <v>1</v>
      </c>
      <c r="G5" s="4" t="n">
        <f aca="false">Assumptions!G13</f>
        <v>1.5</v>
      </c>
      <c r="H5" s="4" t="n">
        <f aca="false">Assumptions!H13</f>
        <v>1.5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1887.345</v>
      </c>
      <c r="C6" s="0" t="n">
        <f aca="false">B6*(1+C5/100)</f>
        <v>1943.96535</v>
      </c>
      <c r="D6" s="0" t="n">
        <f aca="false">C6*(1+D5/100)</f>
        <v>1963.4050035</v>
      </c>
      <c r="E6" s="0" t="n">
        <f aca="false">D6*(1+E5/100)</f>
        <v>1973.2220285175</v>
      </c>
      <c r="F6" s="0" t="n">
        <f aca="false">E6*(1+F5/100)</f>
        <v>1992.95424880268</v>
      </c>
      <c r="G6" s="0" t="n">
        <f aca="false">F6*(1+G5/100)</f>
        <v>2022.84856253472</v>
      </c>
      <c r="H6" s="0" t="n">
        <f aca="false">G6*(1+H5/100)</f>
        <v>2053.19129097274</v>
      </c>
      <c r="I6" s="0" t="n">
        <f aca="false">H6*(1+I5/100)</f>
        <v>2094.25511679219</v>
      </c>
      <c r="J6" s="0" t="n">
        <f aca="false">I6*(1+J5/100)</f>
        <v>2136.14021912803</v>
      </c>
      <c r="K6" s="0" t="n">
        <f aca="false">J6*(1+K5/100)</f>
        <v>2178.8630235106</v>
      </c>
      <c r="L6" s="0" t="n">
        <f aca="false">K6*(1+L5/100)</f>
        <v>2222.44028398081</v>
      </c>
    </row>
    <row r="7" customFormat="false" ht="15" hidden="false" customHeight="false" outlineLevel="0" collapsed="false">
      <c r="A7" s="0" t="s">
        <v>106</v>
      </c>
      <c r="C7" s="4" t="n">
        <f aca="false">Assumptions!C14</f>
        <v>54.3</v>
      </c>
      <c r="D7" s="4" t="n">
        <f aca="false">Assumptions!D14</f>
        <v>53</v>
      </c>
      <c r="E7" s="4" t="n">
        <f aca="false">Assumptions!E14</f>
        <v>52</v>
      </c>
      <c r="F7" s="4" t="n">
        <f aca="false">Assumptions!F14</f>
        <v>51.5</v>
      </c>
      <c r="G7" s="4" t="n">
        <f aca="false">Assumptions!G14</f>
        <v>51</v>
      </c>
      <c r="H7" s="4" t="n">
        <f aca="false">Assumptions!H14</f>
        <v>51</v>
      </c>
      <c r="I7" s="4" t="n">
        <f aca="false">Assumptions!I14</f>
        <v>51</v>
      </c>
      <c r="J7" s="4" t="n">
        <f aca="false">Assumptions!J14</f>
        <v>51</v>
      </c>
      <c r="K7" s="4" t="n">
        <f aca="false">Assumptions!K14</f>
        <v>51</v>
      </c>
      <c r="L7" s="4" t="n">
        <f aca="false">Assumptions!L14</f>
        <v>51</v>
      </c>
    </row>
    <row r="8" customFormat="false" ht="15" hidden="false" customHeight="false" outlineLevel="0" collapsed="false">
      <c r="A8" s="0" t="s">
        <v>43</v>
      </c>
      <c r="C8" s="0" t="n">
        <f aca="false">C6*C7/100</f>
        <v>1055.57318505</v>
      </c>
      <c r="D8" s="0" t="n">
        <f aca="false">D6*D7/100</f>
        <v>1040.604651855</v>
      </c>
      <c r="E8" s="0" t="n">
        <f aca="false">E6*E7/100</f>
        <v>1026.0754548291</v>
      </c>
      <c r="F8" s="0" t="n">
        <f aca="false">F6*F7/100</f>
        <v>1026.37143813338</v>
      </c>
      <c r="G8" s="0" t="n">
        <f aca="false">G6*G7/100</f>
        <v>1031.65276689271</v>
      </c>
      <c r="H8" s="0" t="n">
        <f aca="false">H6*H7/100</f>
        <v>1047.1275583961</v>
      </c>
      <c r="I8" s="0" t="n">
        <f aca="false">I6*I7/100</f>
        <v>1068.07010956402</v>
      </c>
      <c r="J8" s="0" t="n">
        <f aca="false">J6*J7/100</f>
        <v>1089.4315117553</v>
      </c>
      <c r="K8" s="0" t="n">
        <f aca="false">K6*K7/100</f>
        <v>1111.2201419904</v>
      </c>
      <c r="L8" s="0" t="n">
        <f aca="false">L6*L7/100</f>
        <v>1133.44454483021</v>
      </c>
    </row>
    <row r="9" customFormat="false" ht="15" hidden="false" customHeight="false" outlineLevel="0" collapsed="false">
      <c r="A9" s="0" t="s">
        <v>107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1055.57318505</v>
      </c>
      <c r="D11" s="0" t="n">
        <f aca="false">D8+D10+D24</f>
        <v>1040.604651855</v>
      </c>
      <c r="E11" s="0" t="n">
        <f aca="false">E8+E10+E24</f>
        <v>1026.0754548291</v>
      </c>
      <c r="F11" s="0" t="n">
        <f aca="false">F8+F10+F24</f>
        <v>1026.37143813338</v>
      </c>
      <c r="G11" s="0" t="n">
        <f aca="false">G8+G10+G24</f>
        <v>1031.65276689271</v>
      </c>
      <c r="H11" s="0" t="n">
        <f aca="false">H8+H10+H24</f>
        <v>1047.1275583961</v>
      </c>
      <c r="I11" s="0" t="n">
        <f aca="false">I8+I10+I24</f>
        <v>1068.07010956402</v>
      </c>
      <c r="J11" s="0" t="n">
        <f aca="false">J8+J10+J24</f>
        <v>1089.4315117553</v>
      </c>
      <c r="K11" s="0" t="n">
        <f aca="false">K8+K10+K24</f>
        <v>1111.2201419904</v>
      </c>
      <c r="L11" s="0" t="n">
        <f aca="false">L8+L10+L24</f>
        <v>1133.44454483021</v>
      </c>
    </row>
    <row r="12" customFormat="false" ht="15" hidden="false" customHeight="false" outlineLevel="0" collapsed="false">
      <c r="A12" s="0" t="s">
        <v>124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125</v>
      </c>
      <c r="C13" s="0" t="n">
        <f aca="false">C11+C12</f>
        <v>1055.57318505</v>
      </c>
      <c r="D13" s="0" t="n">
        <f aca="false">D11+D12</f>
        <v>1040.604651855</v>
      </c>
      <c r="E13" s="0" t="n">
        <f aca="false">E11+E12</f>
        <v>1026.0754548291</v>
      </c>
      <c r="F13" s="0" t="n">
        <f aca="false">F11+F12</f>
        <v>1026.37143813338</v>
      </c>
      <c r="G13" s="0" t="n">
        <f aca="false">G11+G12</f>
        <v>1031.65276689271</v>
      </c>
      <c r="H13" s="0" t="n">
        <f aca="false">H11+H12</f>
        <v>1047.1275583961</v>
      </c>
      <c r="I13" s="0" t="n">
        <f aca="false">I11+I12</f>
        <v>1068.07010956402</v>
      </c>
      <c r="J13" s="0" t="n">
        <f aca="false">J11+J12</f>
        <v>1089.4315117553</v>
      </c>
      <c r="K13" s="0" t="n">
        <f aca="false">K11+K12</f>
        <v>1111.2201419904</v>
      </c>
      <c r="L13" s="0" t="n">
        <f aca="false">L11+L12</f>
        <v>1133.44454483021</v>
      </c>
    </row>
    <row r="14" customFormat="false" ht="15" hidden="false" customHeight="false" outlineLevel="0" collapsed="false">
      <c r="A14" s="0" t="s">
        <v>111</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126</v>
      </c>
      <c r="C15" s="0" t="n">
        <f aca="false">C13-MAX(0,C13)*C14/100</f>
        <v>1055.57318505</v>
      </c>
      <c r="D15" s="0" t="n">
        <f aca="false">D13-MAX(0,D13)*D14/100</f>
        <v>1040.604651855</v>
      </c>
      <c r="E15" s="0" t="n">
        <f aca="false">E13-MAX(0,E13)*E14/100</f>
        <v>1026.0754548291</v>
      </c>
      <c r="F15" s="0" t="n">
        <f aca="false">F13-MAX(0,F13)*F14/100</f>
        <v>1026.37143813338</v>
      </c>
      <c r="G15" s="0" t="n">
        <f aca="false">G13-MAX(0,G13)*G14/100</f>
        <v>1031.65276689271</v>
      </c>
      <c r="H15" s="0" t="n">
        <f aca="false">H13-MAX(0,H13)*H14/100</f>
        <v>1047.1275583961</v>
      </c>
      <c r="I15" s="0" t="n">
        <f aca="false">I13-MAX(0,I13)*I14/100</f>
        <v>1068.07010956402</v>
      </c>
      <c r="J15" s="0" t="n">
        <f aca="false">J13-MAX(0,J13)*J14/100</f>
        <v>1089.4315117553</v>
      </c>
      <c r="K15" s="0" t="n">
        <f aca="false">K13-MAX(0,K13)*K14/100</f>
        <v>1111.2201419904</v>
      </c>
      <c r="L15" s="0" t="n">
        <f aca="false">L13-MAX(0,L13)*L14/100</f>
        <v>1133.44454483021</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-C6*Assumptions!C18/100</f>
        <v>-126.35774775</v>
      </c>
      <c r="D17" s="4" t="n">
        <f aca="false">-D6*Assumptions!D18/100</f>
        <v>-137.438350245</v>
      </c>
      <c r="E17" s="4" t="n">
        <f aca="false">-E6*Assumptions!E18/100</f>
        <v>-147.991652138813</v>
      </c>
      <c r="F17" s="4" t="n">
        <f aca="false">-F6*Assumptions!F18/100</f>
        <v>-159.436339904214</v>
      </c>
      <c r="G17" s="4" t="n">
        <f aca="false">-G6*Assumptions!G18/100</f>
        <v>-161.827885002777</v>
      </c>
      <c r="H17" s="4" t="n">
        <f aca="false">-H6*Assumptions!H18/100</f>
        <v>-164.255303277819</v>
      </c>
      <c r="I17" s="4" t="n">
        <f aca="false">-I6*Assumptions!I18/100</f>
        <v>-167.540409343375</v>
      </c>
      <c r="J17" s="4" t="n">
        <f aca="false">-J6*Assumptions!J18/100</f>
        <v>-170.891217530243</v>
      </c>
      <c r="K17" s="4" t="n">
        <f aca="false">-K6*Assumptions!K18/100</f>
        <v>-174.309041880848</v>
      </c>
      <c r="L17" s="4" t="n">
        <f aca="false">-L6*Assumptions!L18/100</f>
        <v>-177.795222718465</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929.2154373</v>
      </c>
      <c r="D19" s="0" t="n">
        <f aca="false">D15+D16+D17+D18</f>
        <v>903.16630161</v>
      </c>
      <c r="E19" s="0" t="n">
        <f aca="false">E15+E16+E17+E18</f>
        <v>878.083802690288</v>
      </c>
      <c r="F19" s="0" t="n">
        <f aca="false">F15+F16+F17+F18</f>
        <v>866.935098229164</v>
      </c>
      <c r="G19" s="0" t="n">
        <f aca="false">G15+G16+G17+G18</f>
        <v>869.824881889928</v>
      </c>
      <c r="H19" s="0" t="n">
        <f aca="false">H15+H16+H17+H18</f>
        <v>882.872255118277</v>
      </c>
      <c r="I19" s="0" t="n">
        <f aca="false">I15+I16+I17+I18</f>
        <v>900.529700220642</v>
      </c>
      <c r="J19" s="0" t="n">
        <f aca="false">J15+J16+J17+J18</f>
        <v>918.540294225055</v>
      </c>
      <c r="K19" s="0" t="n">
        <f aca="false">K15+K16+K17+K18</f>
        <v>936.911100109556</v>
      </c>
      <c r="L19" s="0" t="n">
        <f aca="false">L15+L16+L17+L18</f>
        <v>955.649322111747</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848.598572876712</v>
      </c>
      <c r="D21" s="0" t="n">
        <f aca="false">D19*D20</f>
        <v>753.25060078814</v>
      </c>
      <c r="E21" s="0" t="n">
        <f aca="false">E19*E20</f>
        <v>668.795910139917</v>
      </c>
      <c r="F21" s="0" t="n">
        <f aca="false">F19*F20</f>
        <v>603.017768446919</v>
      </c>
      <c r="G21" s="0" t="n">
        <f aca="false">G19*G20</f>
        <v>552.53682892701</v>
      </c>
      <c r="H21" s="0" t="n">
        <f aca="false">H19*H20</f>
        <v>512.168841425493</v>
      </c>
      <c r="I21" s="0" t="n">
        <f aca="false">I19*I20</f>
        <v>477.08878379361</v>
      </c>
      <c r="J21" s="0" t="n">
        <f aca="false">J19*J20</f>
        <v>444.411469835143</v>
      </c>
      <c r="K21" s="0" t="n">
        <f aca="false">K19*K20</f>
        <v>413.972328065613</v>
      </c>
      <c r="L21" s="0" t="n">
        <f aca="false">L19*L20</f>
        <v>385.618059020023</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9.5</v>
      </c>
    </row>
    <row r="28" customFormat="false" ht="15" hidden="false" customHeight="false" outlineLevel="0" collapsed="false">
      <c r="A28" s="0" t="s">
        <v>113</v>
      </c>
      <c r="B28" s="4" t="n">
        <f aca="false">Assumptions!$B$21</f>
        <v>1.5</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5659.45916331858</v>
      </c>
    </row>
    <row r="31" customFormat="false" ht="15" hidden="false" customHeight="false" outlineLevel="0" collapsed="false">
      <c r="A31" s="0" t="s">
        <v>136</v>
      </c>
      <c r="B31" s="0" t="n">
        <f aca="false">L19</f>
        <v>955.649322111747</v>
      </c>
    </row>
    <row r="32" customFormat="false" ht="15" hidden="false" customHeight="false" outlineLevel="0" collapsed="false">
      <c r="A32" s="0" t="s">
        <v>137</v>
      </c>
      <c r="B32" s="0" t="n">
        <f aca="false">IF(B27&gt;B28,B31*(1+B28/100)/((B27-B28)/100),B31*B29)</f>
        <v>12124.8007742928</v>
      </c>
    </row>
    <row r="33" customFormat="false" ht="15" hidden="false" customHeight="false" outlineLevel="0" collapsed="false">
      <c r="A33" s="0" t="s">
        <v>138</v>
      </c>
      <c r="B33" s="0" t="n">
        <f aca="false">B31*B29</f>
        <v>14334.7398316762</v>
      </c>
    </row>
    <row r="34" customFormat="false" ht="15" hidden="false" customHeight="false" outlineLevel="0" collapsed="false">
      <c r="A34" s="0" t="s">
        <v>139</v>
      </c>
      <c r="B34" s="0" t="n">
        <f aca="false">MAX(0,MIN(B32,B33))</f>
        <v>12124.8007742928</v>
      </c>
    </row>
    <row r="35" customFormat="false" ht="15" hidden="false" customHeight="false" outlineLevel="0" collapsed="false">
      <c r="A35" s="0" t="s">
        <v>140</v>
      </c>
      <c r="B35" s="0" t="n">
        <f aca="false">B34/(1+B27/100)^L4</f>
        <v>4892.52912381654</v>
      </c>
    </row>
    <row r="36" customFormat="false" ht="15" hidden="false" customHeight="false" outlineLevel="0" collapsed="false">
      <c r="A36" s="0" t="s">
        <v>141</v>
      </c>
      <c r="B36" s="0" t="n">
        <f aca="false">B30+B35</f>
        <v>10551.9882871351</v>
      </c>
    </row>
    <row r="37" customFormat="false" ht="15" hidden="false" customHeight="false" outlineLevel="0" collapsed="false">
      <c r="A37" s="0" t="s">
        <v>142</v>
      </c>
      <c r="B37" s="0" t="n">
        <f aca="false">B36+Assumptions!$B$5-Assumptions!$B$4</f>
        <v>10551.9882871351</v>
      </c>
    </row>
    <row r="38" customFormat="false" ht="15" hidden="false" customHeight="false" outlineLevel="0" collapsed="false">
      <c r="A38" s="0" t="s">
        <v>143</v>
      </c>
      <c r="B38" s="0" t="n">
        <f aca="false">B37/Assumptions!$B$3*Assumptions!$B$10</f>
        <v>158.616885188051</v>
      </c>
    </row>
    <row r="39" customFormat="false" ht="15" hidden="false" customHeight="false" outlineLevel="0" collapsed="false">
      <c r="A39" s="0" t="s">
        <v>144</v>
      </c>
      <c r="B39" s="4" t="n">
        <f aca="false">B38/Assumptions!$B$2-1</f>
        <v>-0.41601235157744</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158.616885188051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7185.06712550684</v>
      </c>
    </row>
    <row r="47" customFormat="false" ht="15" hidden="false" customHeight="false" outlineLevel="0" collapsed="false">
      <c r="A47" s="0" t="s">
        <v>149</v>
      </c>
      <c r="B47" s="0" t="n">
        <f aca="false">(SUMPRODUCT(C19:L19/(1+B45/100)^C4:L4)+B46/(1+B45/100)^L4+Assumptions!$B$5-Assumptions!$B$4)/Assumptions!$B$3*Assumptions!$B$10</f>
        <v>94.6338230886126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4</v>
      </c>
      <c r="D5" s="4" t="n">
        <f aca="false">Assumptions!D27</f>
        <v>3.5</v>
      </c>
      <c r="E5" s="4" t="n">
        <f aca="false">Assumptions!E27</f>
        <v>3.5</v>
      </c>
      <c r="F5" s="4" t="n">
        <f aca="false">Assumptions!F27</f>
        <v>3.25</v>
      </c>
      <c r="G5" s="4" t="n">
        <f aca="false">Assumptions!G27</f>
        <v>3</v>
      </c>
      <c r="H5" s="4" t="n">
        <f aca="false">Assumptions!H27</f>
        <v>3</v>
      </c>
      <c r="I5" s="4" t="n">
        <f aca="false">Assumptions!I27</f>
        <v>2.75</v>
      </c>
      <c r="J5" s="4" t="n">
        <f aca="false">Assumptions!J27</f>
        <v>2.5</v>
      </c>
      <c r="K5" s="4" t="n">
        <f aca="false">Assumptions!K27</f>
        <v>2.5</v>
      </c>
      <c r="L5" s="4" t="n">
        <f aca="false">Assumptions!L27</f>
        <v>2.5</v>
      </c>
    </row>
    <row r="6" customFormat="false" ht="15" hidden="false" customHeight="false" outlineLevel="0" collapsed="false">
      <c r="A6" s="0" t="s">
        <v>37</v>
      </c>
      <c r="B6" s="3" t="n">
        <v>1887.345</v>
      </c>
      <c r="C6" s="0" t="n">
        <f aca="false">B6*(1+C5/100)</f>
        <v>1962.8388</v>
      </c>
      <c r="D6" s="0" t="n">
        <f aca="false">C6*(1+D5/100)</f>
        <v>2031.538158</v>
      </c>
      <c r="E6" s="0" t="n">
        <f aca="false">D6*(1+E5/100)</f>
        <v>2102.64199353</v>
      </c>
      <c r="F6" s="0" t="n">
        <f aca="false">E6*(1+F5/100)</f>
        <v>2170.97785831972</v>
      </c>
      <c r="G6" s="0" t="n">
        <f aca="false">F6*(1+G5/100)</f>
        <v>2236.10719406932</v>
      </c>
      <c r="H6" s="0" t="n">
        <f aca="false">G6*(1+H5/100)</f>
        <v>2303.1904098914</v>
      </c>
      <c r="I6" s="0" t="n">
        <f aca="false">H6*(1+I5/100)</f>
        <v>2366.52814616341</v>
      </c>
      <c r="J6" s="0" t="n">
        <f aca="false">I6*(1+J5/100)</f>
        <v>2425.69134981749</v>
      </c>
      <c r="K6" s="0" t="n">
        <f aca="false">J6*(1+K5/100)</f>
        <v>2486.33363356293</v>
      </c>
      <c r="L6" s="0" t="n">
        <f aca="false">K6*(1+L5/100)</f>
        <v>2548.491974402</v>
      </c>
    </row>
    <row r="7" customFormat="false" ht="15" hidden="false" customHeight="false" outlineLevel="0" collapsed="false">
      <c r="A7" s="0" t="s">
        <v>106</v>
      </c>
      <c r="C7" s="4" t="n">
        <f aca="false">Assumptions!C28</f>
        <v>54.7</v>
      </c>
      <c r="D7" s="4" t="n">
        <f aca="false">Assumptions!D28</f>
        <v>55</v>
      </c>
      <c r="E7" s="4" t="n">
        <f aca="false">Assumptions!E28</f>
        <v>55.3</v>
      </c>
      <c r="F7" s="4" t="n">
        <f aca="false">Assumptions!F28</f>
        <v>55.5</v>
      </c>
      <c r="G7" s="4" t="n">
        <f aca="false">Assumptions!G28</f>
        <v>55.6</v>
      </c>
      <c r="H7" s="4" t="n">
        <f aca="false">Assumptions!H28</f>
        <v>55.7</v>
      </c>
      <c r="I7" s="4" t="n">
        <f aca="false">Assumptions!I28</f>
        <v>55.8</v>
      </c>
      <c r="J7" s="4" t="n">
        <f aca="false">Assumptions!J28</f>
        <v>55.8</v>
      </c>
      <c r="K7" s="4" t="n">
        <f aca="false">Assumptions!K28</f>
        <v>55.8</v>
      </c>
      <c r="L7" s="4" t="n">
        <f aca="false">Assumptions!L28</f>
        <v>55.8</v>
      </c>
    </row>
    <row r="8" customFormat="false" ht="15" hidden="false" customHeight="false" outlineLevel="0" collapsed="false">
      <c r="A8" s="0" t="s">
        <v>43</v>
      </c>
      <c r="C8" s="0" t="n">
        <f aca="false">C6*C7/100</f>
        <v>1073.6728236</v>
      </c>
      <c r="D8" s="0" t="n">
        <f aca="false">D6*D7/100</f>
        <v>1117.3459869</v>
      </c>
      <c r="E8" s="0" t="n">
        <f aca="false">E6*E7/100</f>
        <v>1162.76102242209</v>
      </c>
      <c r="F8" s="0" t="n">
        <f aca="false">F6*F7/100</f>
        <v>1204.89271136745</v>
      </c>
      <c r="G8" s="0" t="n">
        <f aca="false">G6*G7/100</f>
        <v>1243.27559990254</v>
      </c>
      <c r="H8" s="0" t="n">
        <f aca="false">H6*H7/100</f>
        <v>1282.87705830951</v>
      </c>
      <c r="I8" s="0" t="n">
        <f aca="false">I6*I7/100</f>
        <v>1320.52270555918</v>
      </c>
      <c r="J8" s="0" t="n">
        <f aca="false">J6*J7/100</f>
        <v>1353.53577319816</v>
      </c>
      <c r="K8" s="0" t="n">
        <f aca="false">K6*K7/100</f>
        <v>1387.37416752812</v>
      </c>
      <c r="L8" s="0" t="n">
        <f aca="false">L6*L7/100</f>
        <v>1422.05852171632</v>
      </c>
    </row>
    <row r="9" customFormat="false" ht="15" hidden="false" customHeight="false" outlineLevel="0" collapsed="false">
      <c r="A9" s="0" t="s">
        <v>107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1073.6728236</v>
      </c>
      <c r="D11" s="0" t="n">
        <f aca="false">D8+D10+D24</f>
        <v>1117.3459869</v>
      </c>
      <c r="E11" s="0" t="n">
        <f aca="false">E8+E10+E24</f>
        <v>1162.76102242209</v>
      </c>
      <c r="F11" s="0" t="n">
        <f aca="false">F8+F10+F24</f>
        <v>1204.89271136745</v>
      </c>
      <c r="G11" s="0" t="n">
        <f aca="false">G8+G10+G24</f>
        <v>1243.27559990254</v>
      </c>
      <c r="H11" s="0" t="n">
        <f aca="false">H8+H10+H24</f>
        <v>1282.87705830951</v>
      </c>
      <c r="I11" s="0" t="n">
        <f aca="false">I8+I10+I24</f>
        <v>1320.52270555918</v>
      </c>
      <c r="J11" s="0" t="n">
        <f aca="false">J8+J10+J24</f>
        <v>1353.53577319816</v>
      </c>
      <c r="K11" s="0" t="n">
        <f aca="false">K8+K10+K24</f>
        <v>1387.37416752812</v>
      </c>
      <c r="L11" s="0" t="n">
        <f aca="false">L8+L10+L24</f>
        <v>1422.05852171632</v>
      </c>
    </row>
    <row r="12" customFormat="false" ht="15" hidden="false" customHeight="false" outlineLevel="0" collapsed="false">
      <c r="A12" s="0" t="s">
        <v>124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125</v>
      </c>
      <c r="C13" s="0" t="n">
        <f aca="false">C11+C12</f>
        <v>1073.6728236</v>
      </c>
      <c r="D13" s="0" t="n">
        <f aca="false">D11+D12</f>
        <v>1117.3459869</v>
      </c>
      <c r="E13" s="0" t="n">
        <f aca="false">E11+E12</f>
        <v>1162.76102242209</v>
      </c>
      <c r="F13" s="0" t="n">
        <f aca="false">F11+F12</f>
        <v>1204.89271136745</v>
      </c>
      <c r="G13" s="0" t="n">
        <f aca="false">G11+G12</f>
        <v>1243.27559990254</v>
      </c>
      <c r="H13" s="0" t="n">
        <f aca="false">H11+H12</f>
        <v>1282.87705830951</v>
      </c>
      <c r="I13" s="0" t="n">
        <f aca="false">I11+I12</f>
        <v>1320.52270555918</v>
      </c>
      <c r="J13" s="0" t="n">
        <f aca="false">J11+J12</f>
        <v>1353.53577319816</v>
      </c>
      <c r="K13" s="0" t="n">
        <f aca="false">K11+K12</f>
        <v>1387.37416752812</v>
      </c>
      <c r="L13" s="0" t="n">
        <f aca="false">L11+L12</f>
        <v>1422.05852171632</v>
      </c>
    </row>
    <row r="14" customFormat="false" ht="15" hidden="false" customHeight="false" outlineLevel="0" collapsed="false">
      <c r="A14" s="0" t="s">
        <v>111</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126</v>
      </c>
      <c r="C15" s="0" t="n">
        <f aca="false">C13-MAX(0,C13)*C14/100</f>
        <v>1073.6728236</v>
      </c>
      <c r="D15" s="0" t="n">
        <f aca="false">D13-MAX(0,D13)*D14/100</f>
        <v>1117.3459869</v>
      </c>
      <c r="E15" s="0" t="n">
        <f aca="false">E13-MAX(0,E13)*E14/100</f>
        <v>1162.76102242209</v>
      </c>
      <c r="F15" s="0" t="n">
        <f aca="false">F13-MAX(0,F13)*F14/100</f>
        <v>1204.89271136745</v>
      </c>
      <c r="G15" s="0" t="n">
        <f aca="false">G13-MAX(0,G13)*G14/100</f>
        <v>1243.27559990254</v>
      </c>
      <c r="H15" s="0" t="n">
        <f aca="false">H13-MAX(0,H13)*H14/100</f>
        <v>1282.87705830951</v>
      </c>
      <c r="I15" s="0" t="n">
        <f aca="false">I13-MAX(0,I13)*I14/100</f>
        <v>1320.52270555918</v>
      </c>
      <c r="J15" s="0" t="n">
        <f aca="false">J13-MAX(0,J13)*J14/100</f>
        <v>1353.53577319816</v>
      </c>
      <c r="K15" s="0" t="n">
        <f aca="false">K13-MAX(0,K13)*K14/100</f>
        <v>1387.37416752812</v>
      </c>
      <c r="L15" s="0" t="n">
        <f aca="false">L13-MAX(0,L13)*L14/100</f>
        <v>1422.05852171632</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-C6*Assumptions!C32/100</f>
        <v>-117.770328</v>
      </c>
      <c r="D17" s="4" t="n">
        <f aca="false">-D6*Assumptions!D32/100</f>
        <v>-121.89228948</v>
      </c>
      <c r="E17" s="4" t="n">
        <f aca="false">-E6*Assumptions!E32/100</f>
        <v>-128.26116160533</v>
      </c>
      <c r="F17" s="4" t="n">
        <f aca="false">-F6*Assumptions!F32/100</f>
        <v>-132.429649357503</v>
      </c>
      <c r="G17" s="4" t="n">
        <f aca="false">-G6*Assumptions!G32/100</f>
        <v>-138.638646032298</v>
      </c>
      <c r="H17" s="4" t="n">
        <f aca="false">-H6*Assumptions!H32/100</f>
        <v>-142.797805413267</v>
      </c>
      <c r="I17" s="4" t="n">
        <f aca="false">-I6*Assumptions!I32/100</f>
        <v>-146.724745062131</v>
      </c>
      <c r="J17" s="4" t="n">
        <f aca="false">-J6*Assumptions!J32/100</f>
        <v>-150.392863688685</v>
      </c>
      <c r="K17" s="4" t="n">
        <f aca="false">-K6*Assumptions!K32/100</f>
        <v>-154.152685280902</v>
      </c>
      <c r="L17" s="4" t="n">
        <f aca="false">-L6*Assumptions!L32/100</f>
        <v>-158.006502412924</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955.9024956</v>
      </c>
      <c r="D19" s="0" t="n">
        <f aca="false">D15+D16+D17+D18</f>
        <v>995.45369742</v>
      </c>
      <c r="E19" s="0" t="n">
        <f aca="false">E15+E16+E17+E18</f>
        <v>1034.49986081676</v>
      </c>
      <c r="F19" s="0" t="n">
        <f aca="false">F15+F16+F17+F18</f>
        <v>1072.46306200994</v>
      </c>
      <c r="G19" s="0" t="n">
        <f aca="false">G15+G16+G17+G18</f>
        <v>1104.63695387024</v>
      </c>
      <c r="H19" s="0" t="n">
        <f aca="false">H15+H16+H17+H18</f>
        <v>1140.07925289624</v>
      </c>
      <c r="I19" s="0" t="n">
        <f aca="false">I15+I16+I17+I18</f>
        <v>1173.79796049705</v>
      </c>
      <c r="J19" s="0" t="n">
        <f aca="false">J15+J16+J17+J18</f>
        <v>1203.14290950948</v>
      </c>
      <c r="K19" s="0" t="n">
        <f aca="false">K15+K16+K17+K18</f>
        <v>1233.22148224721</v>
      </c>
      <c r="L19" s="0" t="n">
        <f aca="false">L15+L16+L17+L18</f>
        <v>1264.05201930339</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872.970315616439</v>
      </c>
      <c r="D21" s="0" t="n">
        <f aca="false">D19*D20</f>
        <v>830.219301032088</v>
      </c>
      <c r="E21" s="0" t="n">
        <f aca="false">E19*E20</f>
        <v>787.930803227211</v>
      </c>
      <c r="F21" s="0" t="n">
        <f aca="false">F19*F20</f>
        <v>745.977736644866</v>
      </c>
      <c r="G21" s="0" t="n">
        <f aca="false">G19*G20</f>
        <v>701.695953191061</v>
      </c>
      <c r="H21" s="0" t="n">
        <f aca="false">H19*H20</f>
        <v>661.378887720154</v>
      </c>
      <c r="I21" s="0" t="n">
        <f aca="false">I19*I20</f>
        <v>621.862711752593</v>
      </c>
      <c r="J21" s="0" t="n">
        <f aca="false">J19*J20</f>
        <v>582.10893109261</v>
      </c>
      <c r="K21" s="0" t="n">
        <f aca="false">K19*K20</f>
        <v>544.896488009064</v>
      </c>
      <c r="L21" s="0" t="n">
        <f aca="false">L19*L20</f>
        <v>510.062922565562</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6859.10405085165</v>
      </c>
    </row>
    <row r="31" customFormat="false" ht="15" hidden="false" customHeight="false" outlineLevel="0" collapsed="false">
      <c r="A31" s="0" t="s">
        <v>136</v>
      </c>
      <c r="B31" s="0" t="n">
        <f aca="false">L19</f>
        <v>1264.05201930339</v>
      </c>
    </row>
    <row r="32" customFormat="false" ht="15" hidden="false" customHeight="false" outlineLevel="0" collapsed="false">
      <c r="A32" s="0" t="s">
        <v>137</v>
      </c>
      <c r="B32" s="0" t="n">
        <f aca="false">IF(B27&gt;B28,B31*(1+B28/100)/((B27-B28)/100),B31*B29)</f>
        <v>18509.3331397997</v>
      </c>
    </row>
    <row r="33" customFormat="false" ht="15" hidden="false" customHeight="false" outlineLevel="0" collapsed="false">
      <c r="A33" s="0" t="s">
        <v>138</v>
      </c>
      <c r="B33" s="0" t="n">
        <f aca="false">B31*B29</f>
        <v>22752.9363474611</v>
      </c>
    </row>
    <row r="34" customFormat="false" ht="15" hidden="false" customHeight="false" outlineLevel="0" collapsed="false">
      <c r="A34" s="0" t="s">
        <v>139</v>
      </c>
      <c r="B34" s="0" t="n">
        <f aca="false">MAX(0,MIN(B32,B33))</f>
        <v>18509.3331397997</v>
      </c>
    </row>
    <row r="35" customFormat="false" ht="15" hidden="false" customHeight="false" outlineLevel="0" collapsed="false">
      <c r="A35" s="0" t="s">
        <v>140</v>
      </c>
      <c r="B35" s="0" t="n">
        <f aca="false">B34/(1+B27/100)^L4</f>
        <v>7468.77850899573</v>
      </c>
    </row>
    <row r="36" customFormat="false" ht="15" hidden="false" customHeight="false" outlineLevel="0" collapsed="false">
      <c r="A36" s="0" t="s">
        <v>141</v>
      </c>
      <c r="B36" s="0" t="n">
        <f aca="false">B30+B35</f>
        <v>14327.8825598474</v>
      </c>
    </row>
    <row r="37" customFormat="false" ht="15" hidden="false" customHeight="false" outlineLevel="0" collapsed="false">
      <c r="A37" s="0" t="s">
        <v>142</v>
      </c>
      <c r="B37" s="0" t="n">
        <f aca="false">B36+Assumptions!$B$5-Assumptions!$B$4</f>
        <v>14327.8825598474</v>
      </c>
    </row>
    <row r="38" customFormat="false" ht="15" hidden="false" customHeight="false" outlineLevel="0" collapsed="false">
      <c r="A38" s="0" t="s">
        <v>143</v>
      </c>
      <c r="B38" s="0" t="n">
        <f aca="false">B37/Assumptions!$B$3*Assumptions!$B$10</f>
        <v>215.375912211159</v>
      </c>
    </row>
    <row r="39" customFormat="false" ht="15" hidden="false" customHeight="false" outlineLevel="0" collapsed="false">
      <c r="A39" s="0" t="s">
        <v>144</v>
      </c>
      <c r="B39" s="4" t="n">
        <f aca="false">B38/Assumptions!$B$2-1</f>
        <v>-0.207039828389385</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215.375912211159</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10365.2265582878</v>
      </c>
    </row>
    <row r="47" customFormat="false" ht="15" hidden="false" customHeight="false" outlineLevel="0" collapsed="false">
      <c r="A47" s="0" t="s">
        <v>149</v>
      </c>
      <c r="B47" s="0" t="n">
        <f aca="false">(SUMPRODUCT(C19:L19/(1+B45/100)^C4:L4)+B46/(1+B45/100)^L4+Assumptions!$B$5-Assumptions!$B$4)/Assumptions!$B$3*Assumptions!$B$10</f>
        <v>119.941672723789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5</v>
      </c>
      <c r="D5" s="4" t="n">
        <f aca="false">Assumptions!D41</f>
        <v>4.5</v>
      </c>
      <c r="E5" s="4" t="n">
        <f aca="false">Assumptions!E41</f>
        <v>4.5</v>
      </c>
      <c r="F5" s="4" t="n">
        <f aca="false">Assumptions!F41</f>
        <v>4</v>
      </c>
      <c r="G5" s="4" t="n">
        <f aca="false">Assumptions!G41</f>
        <v>4</v>
      </c>
      <c r="H5" s="4" t="n">
        <f aca="false">Assumptions!H41</f>
        <v>3.5</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1887.345</v>
      </c>
      <c r="C6" s="0" t="n">
        <f aca="false">B6*(1+C5/100)</f>
        <v>1981.71225</v>
      </c>
      <c r="D6" s="0" t="n">
        <f aca="false">C6*(1+D5/100)</f>
        <v>2070.88930125</v>
      </c>
      <c r="E6" s="0" t="n">
        <f aca="false">D6*(1+E5/100)</f>
        <v>2164.07931980625</v>
      </c>
      <c r="F6" s="0" t="n">
        <f aca="false">E6*(1+F5/100)</f>
        <v>2250.6424925985</v>
      </c>
      <c r="G6" s="0" t="n">
        <f aca="false">F6*(1+G5/100)</f>
        <v>2340.66819230244</v>
      </c>
      <c r="H6" s="0" t="n">
        <f aca="false">G6*(1+H5/100)</f>
        <v>2422.59157903303</v>
      </c>
      <c r="I6" s="0" t="n">
        <f aca="false">H6*(1+I5/100)</f>
        <v>2507.38228429918</v>
      </c>
      <c r="J6" s="0" t="n">
        <f aca="false">I6*(1+J5/100)</f>
        <v>2582.60375282816</v>
      </c>
      <c r="K6" s="0" t="n">
        <f aca="false">J6*(1+K5/100)</f>
        <v>2660.081865413</v>
      </c>
      <c r="L6" s="0" t="n">
        <f aca="false">K6*(1+L5/100)</f>
        <v>2739.88432137539</v>
      </c>
    </row>
    <row r="7" customFormat="false" ht="15" hidden="false" customHeight="false" outlineLevel="0" collapsed="false">
      <c r="A7" s="0" t="s">
        <v>106</v>
      </c>
      <c r="C7" s="4" t="n">
        <f aca="false">Assumptions!C42</f>
        <v>55</v>
      </c>
      <c r="D7" s="4" t="n">
        <f aca="false">Assumptions!D42</f>
        <v>55.8</v>
      </c>
      <c r="E7" s="4" t="n">
        <f aca="false">Assumptions!E42</f>
        <v>56.5</v>
      </c>
      <c r="F7" s="4" t="n">
        <f aca="false">Assumptions!F42</f>
        <v>57</v>
      </c>
      <c r="G7" s="4" t="n">
        <f aca="false">Assumptions!G42</f>
        <v>57.3</v>
      </c>
      <c r="H7" s="4" t="n">
        <f aca="false">Assumptions!H42</f>
        <v>57.5</v>
      </c>
      <c r="I7" s="4" t="n">
        <f aca="false">Assumptions!I42</f>
        <v>57.5</v>
      </c>
      <c r="J7" s="4" t="n">
        <f aca="false">Assumptions!J42</f>
        <v>57.5</v>
      </c>
      <c r="K7" s="4" t="n">
        <f aca="false">Assumptions!K42</f>
        <v>57.5</v>
      </c>
      <c r="L7" s="4" t="n">
        <f aca="false">Assumptions!L42</f>
        <v>57.5</v>
      </c>
    </row>
    <row r="8" customFormat="false" ht="15" hidden="false" customHeight="false" outlineLevel="0" collapsed="false">
      <c r="A8" s="0" t="s">
        <v>43</v>
      </c>
      <c r="C8" s="0" t="n">
        <f aca="false">C6*C7/100</f>
        <v>1089.9417375</v>
      </c>
      <c r="D8" s="0" t="n">
        <f aca="false">D6*D7/100</f>
        <v>1155.5562300975</v>
      </c>
      <c r="E8" s="0" t="n">
        <f aca="false">E6*E7/100</f>
        <v>1222.70481569053</v>
      </c>
      <c r="F8" s="0" t="n">
        <f aca="false">F6*F7/100</f>
        <v>1282.86622078114</v>
      </c>
      <c r="G8" s="0" t="n">
        <f aca="false">G6*G7/100</f>
        <v>1341.2028741893</v>
      </c>
      <c r="H8" s="0" t="n">
        <f aca="false">H6*H7/100</f>
        <v>1392.99015794399</v>
      </c>
      <c r="I8" s="0" t="n">
        <f aca="false">I6*I7/100</f>
        <v>1441.74481347203</v>
      </c>
      <c r="J8" s="0" t="n">
        <f aca="false">J6*J7/100</f>
        <v>1484.99715787619</v>
      </c>
      <c r="K8" s="0" t="n">
        <f aca="false">K6*K7/100</f>
        <v>1529.54707261248</v>
      </c>
      <c r="L8" s="0" t="n">
        <f aca="false">L6*L7/100</f>
        <v>1575.43348479085</v>
      </c>
    </row>
    <row r="9" customFormat="false" ht="15" hidden="false" customHeight="false" outlineLevel="0" collapsed="false">
      <c r="A9" s="0" t="s">
        <v>107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1089.9417375</v>
      </c>
      <c r="D11" s="0" t="n">
        <f aca="false">D8+D10+D24</f>
        <v>1155.5562300975</v>
      </c>
      <c r="E11" s="0" t="n">
        <f aca="false">E8+E10+E24</f>
        <v>1222.70481569053</v>
      </c>
      <c r="F11" s="0" t="n">
        <f aca="false">F8+F10+F24</f>
        <v>1282.86622078114</v>
      </c>
      <c r="G11" s="0" t="n">
        <f aca="false">G8+G10+G24</f>
        <v>1341.2028741893</v>
      </c>
      <c r="H11" s="0" t="n">
        <f aca="false">H8+H10+H24</f>
        <v>1392.99015794399</v>
      </c>
      <c r="I11" s="0" t="n">
        <f aca="false">I8+I10+I24</f>
        <v>1441.74481347203</v>
      </c>
      <c r="J11" s="0" t="n">
        <f aca="false">J8+J10+J24</f>
        <v>1484.99715787619</v>
      </c>
      <c r="K11" s="0" t="n">
        <f aca="false">K8+K10+K24</f>
        <v>1529.54707261248</v>
      </c>
      <c r="L11" s="0" t="n">
        <f aca="false">L8+L10+L24</f>
        <v>1575.43348479085</v>
      </c>
    </row>
    <row r="12" customFormat="false" ht="15" hidden="false" customHeight="false" outlineLevel="0" collapsed="false">
      <c r="A12" s="0" t="s">
        <v>124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125</v>
      </c>
      <c r="C13" s="0" t="n">
        <f aca="false">C11+C12</f>
        <v>1089.9417375</v>
      </c>
      <c r="D13" s="0" t="n">
        <f aca="false">D11+D12</f>
        <v>1155.5562300975</v>
      </c>
      <c r="E13" s="0" t="n">
        <f aca="false">E11+E12</f>
        <v>1222.70481569053</v>
      </c>
      <c r="F13" s="0" t="n">
        <f aca="false">F11+F12</f>
        <v>1282.86622078114</v>
      </c>
      <c r="G13" s="0" t="n">
        <f aca="false">G11+G12</f>
        <v>1341.2028741893</v>
      </c>
      <c r="H13" s="0" t="n">
        <f aca="false">H11+H12</f>
        <v>1392.99015794399</v>
      </c>
      <c r="I13" s="0" t="n">
        <f aca="false">I11+I12</f>
        <v>1441.74481347203</v>
      </c>
      <c r="J13" s="0" t="n">
        <f aca="false">J11+J12</f>
        <v>1484.99715787619</v>
      </c>
      <c r="K13" s="0" t="n">
        <f aca="false">K11+K12</f>
        <v>1529.54707261248</v>
      </c>
      <c r="L13" s="0" t="n">
        <f aca="false">L11+L12</f>
        <v>1575.43348479085</v>
      </c>
    </row>
    <row r="14" customFormat="false" ht="15" hidden="false" customHeight="false" outlineLevel="0" collapsed="false">
      <c r="A14" s="0" t="s">
        <v>111</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126</v>
      </c>
      <c r="C15" s="0" t="n">
        <f aca="false">C13-MAX(0,C13)*C14/100</f>
        <v>1089.9417375</v>
      </c>
      <c r="D15" s="0" t="n">
        <f aca="false">D13-MAX(0,D13)*D14/100</f>
        <v>1155.5562300975</v>
      </c>
      <c r="E15" s="0" t="n">
        <f aca="false">E13-MAX(0,E13)*E14/100</f>
        <v>1222.70481569053</v>
      </c>
      <c r="F15" s="0" t="n">
        <f aca="false">F13-MAX(0,F13)*F14/100</f>
        <v>1282.86622078114</v>
      </c>
      <c r="G15" s="0" t="n">
        <f aca="false">G13-MAX(0,G13)*G14/100</f>
        <v>1341.2028741893</v>
      </c>
      <c r="H15" s="0" t="n">
        <f aca="false">H13-MAX(0,H13)*H14/100</f>
        <v>1392.99015794399</v>
      </c>
      <c r="I15" s="0" t="n">
        <f aca="false">I13-MAX(0,I13)*I14/100</f>
        <v>1441.74481347203</v>
      </c>
      <c r="J15" s="0" t="n">
        <f aca="false">J13-MAX(0,J13)*J14/100</f>
        <v>1484.99715787619</v>
      </c>
      <c r="K15" s="0" t="n">
        <f aca="false">K13-MAX(0,K13)*K14/100</f>
        <v>1529.54707261248</v>
      </c>
      <c r="L15" s="0" t="n">
        <f aca="false">L13-MAX(0,L13)*L14/100</f>
        <v>1575.43348479085</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-C6*Assumptions!C46/100</f>
        <v>-114.9393105</v>
      </c>
      <c r="D17" s="4" t="n">
        <f aca="false">-D6*Assumptions!D46/100</f>
        <v>-120.1115794725</v>
      </c>
      <c r="E17" s="4" t="n">
        <f aca="false">-E6*Assumptions!E46/100</f>
        <v>-125.516600548762</v>
      </c>
      <c r="F17" s="4" t="n">
        <f aca="false">-F6*Assumptions!F46/100</f>
        <v>-130.537264570713</v>
      </c>
      <c r="G17" s="4" t="n">
        <f aca="false">-G6*Assumptions!G46/100</f>
        <v>-135.758755153542</v>
      </c>
      <c r="H17" s="4" t="n">
        <f aca="false">-H6*Assumptions!H46/100</f>
        <v>-140.510311583915</v>
      </c>
      <c r="I17" s="4" t="n">
        <f aca="false">-I6*Assumptions!I46/100</f>
        <v>-145.428172489353</v>
      </c>
      <c r="J17" s="4" t="n">
        <f aca="false">-J6*Assumptions!J46/100</f>
        <v>-149.791017664033</v>
      </c>
      <c r="K17" s="4" t="n">
        <f aca="false">-K6*Assumptions!K46/100</f>
        <v>-154.284748193954</v>
      </c>
      <c r="L17" s="4" t="n">
        <f aca="false">-L6*Assumptions!L46/100</f>
        <v>-158.913290639773</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975.002427</v>
      </c>
      <c r="D19" s="0" t="n">
        <f aca="false">D15+D16+D17+D18</f>
        <v>1035.444650625</v>
      </c>
      <c r="E19" s="0" t="n">
        <f aca="false">E15+E16+E17+E18</f>
        <v>1097.18821514177</v>
      </c>
      <c r="F19" s="0" t="n">
        <f aca="false">F15+F16+F17+F18</f>
        <v>1152.32895621043</v>
      </c>
      <c r="G19" s="0" t="n">
        <f aca="false">G15+G16+G17+G18</f>
        <v>1205.44411903576</v>
      </c>
      <c r="H19" s="0" t="n">
        <f aca="false">H15+H16+H17+H18</f>
        <v>1252.47984636007</v>
      </c>
      <c r="I19" s="0" t="n">
        <f aca="false">I15+I16+I17+I18</f>
        <v>1296.31664098268</v>
      </c>
      <c r="J19" s="0" t="n">
        <f aca="false">J15+J16+J17+J18</f>
        <v>1335.20614021216</v>
      </c>
      <c r="K19" s="0" t="n">
        <f aca="false">K15+K16+K17+K18</f>
        <v>1375.26232441852</v>
      </c>
      <c r="L19" s="0" t="n">
        <f aca="false">L15+L16+L17+L18</f>
        <v>1416.52019415108</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890.413175342466</v>
      </c>
      <c r="D21" s="0" t="n">
        <f aca="false">D19*D20</f>
        <v>863.572194595609</v>
      </c>
      <c r="E21" s="0" t="n">
        <f aca="false">E19*E20</f>
        <v>835.677629734562</v>
      </c>
      <c r="F21" s="0" t="n">
        <f aca="false">F19*F20</f>
        <v>801.53039957681</v>
      </c>
      <c r="G21" s="0" t="n">
        <f aca="false">G19*G20</f>
        <v>765.731453362834</v>
      </c>
      <c r="H21" s="0" t="n">
        <f aca="false">H19*H20</f>
        <v>726.58433663552</v>
      </c>
      <c r="I21" s="0" t="n">
        <f aca="false">I19*I20</f>
        <v>686.77149627193</v>
      </c>
      <c r="J21" s="0" t="n">
        <f aca="false">J19*J20</f>
        <v>646.004238502363</v>
      </c>
      <c r="K21" s="0" t="n">
        <f aca="false">K19*K20</f>
        <v>607.656954938296</v>
      </c>
      <c r="L21" s="0" t="n">
        <f aca="false">L19*L20</f>
        <v>571.585994142872</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7395.52787310326</v>
      </c>
    </row>
    <row r="31" customFormat="false" ht="15" hidden="false" customHeight="false" outlineLevel="0" collapsed="false">
      <c r="A31" s="0" t="s">
        <v>136</v>
      </c>
      <c r="B31" s="0" t="n">
        <f aca="false">L19</f>
        <v>1416.52019415108</v>
      </c>
    </row>
    <row r="32" customFormat="false" ht="15" hidden="false" customHeight="false" outlineLevel="0" collapsed="false">
      <c r="A32" s="0" t="s">
        <v>137</v>
      </c>
      <c r="B32" s="0" t="n">
        <f aca="false">IF(B27&gt;B28,B31*(1+B28/100)/((B27-B28)/100),B31*B29)</f>
        <v>22446.3969227017</v>
      </c>
    </row>
    <row r="33" customFormat="false" ht="15" hidden="false" customHeight="false" outlineLevel="0" collapsed="false">
      <c r="A33" s="0" t="s">
        <v>138</v>
      </c>
      <c r="B33" s="0" t="n">
        <f aca="false">B31*B29</f>
        <v>28330.4038830215</v>
      </c>
    </row>
    <row r="34" customFormat="false" ht="15" hidden="false" customHeight="false" outlineLevel="0" collapsed="false">
      <c r="A34" s="0" t="s">
        <v>139</v>
      </c>
      <c r="B34" s="0" t="n">
        <f aca="false">MAX(0,MIN(B32,B33))</f>
        <v>22446.3969227017</v>
      </c>
    </row>
    <row r="35" customFormat="false" ht="15" hidden="false" customHeight="false" outlineLevel="0" collapsed="false">
      <c r="A35" s="0" t="s">
        <v>140</v>
      </c>
      <c r="B35" s="0" t="n">
        <f aca="false">B34/(1+B27/100)^L4</f>
        <v>9057.43959949474</v>
      </c>
    </row>
    <row r="36" customFormat="false" ht="15" hidden="false" customHeight="false" outlineLevel="0" collapsed="false">
      <c r="A36" s="0" t="s">
        <v>141</v>
      </c>
      <c r="B36" s="0" t="n">
        <f aca="false">B30+B35</f>
        <v>16452.967472598</v>
      </c>
    </row>
    <row r="37" customFormat="false" ht="15" hidden="false" customHeight="false" outlineLevel="0" collapsed="false">
      <c r="A37" s="0" t="s">
        <v>142</v>
      </c>
      <c r="B37" s="0" t="n">
        <f aca="false">B36+Assumptions!$B$5-Assumptions!$B$4</f>
        <v>16452.967472598</v>
      </c>
    </row>
    <row r="38" customFormat="false" ht="15" hidden="false" customHeight="false" outlineLevel="0" collapsed="false">
      <c r="A38" s="0" t="s">
        <v>143</v>
      </c>
      <c r="B38" s="0" t="n">
        <f aca="false">B37/Assumptions!$B$3*Assumptions!$B$10</f>
        <v>247.320067231838</v>
      </c>
    </row>
    <row r="39" customFormat="false" ht="15" hidden="false" customHeight="false" outlineLevel="0" collapsed="false">
      <c r="A39" s="0" t="s">
        <v>144</v>
      </c>
      <c r="B39" s="4" t="n">
        <f aca="false">B38/Assumptions!$B$2-1</f>
        <v>-0.0894294494612213</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247.320067231838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12158.4649997967</v>
      </c>
    </row>
    <row r="47" customFormat="false" ht="15" hidden="false" customHeight="false" outlineLevel="0" collapsed="false">
      <c r="A47" s="0" t="s">
        <v>149</v>
      </c>
      <c r="B47" s="0" t="n">
        <f aca="false">(SUMPRODUCT(C19:L19/(1+B45/100)^C4:L4)+B46/(1+B45/100)^L4+Assumptions!$B$5-Assumptions!$B$4)/Assumptions!$B$3*Assumptions!$B$10</f>
        <v>132.613591512716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158.616885188051</v>
      </c>
      <c r="C4" s="0" t="n">
        <f aca="false">B4/Assumptions!$B$2-1</f>
        <v>-0.41601235157744</v>
      </c>
      <c r="D4" s="4" t="n">
        <f aca="false">Assumptions!$B$24</f>
        <v>0.25</v>
      </c>
      <c r="E4" s="4" t="n">
        <f aca="false">DCF_Bear!$B$43</f>
        <v>158.616885188051</v>
      </c>
      <c r="F4" s="4" t="n">
        <f aca="false">DCF_Bear!$B$47</f>
        <v>94.6338230886126</v>
      </c>
    </row>
    <row r="5" customFormat="false" ht="15" hidden="false" customHeight="false" outlineLevel="0" collapsed="false">
      <c r="A5" s="0" t="s">
        <v>158</v>
      </c>
      <c r="B5" s="4" t="n">
        <f aca="false">DCF_Base!$B$38</f>
        <v>215.375912211159</v>
      </c>
      <c r="C5" s="0" t="n">
        <f aca="false">B5/Assumptions!$B$2-1</f>
        <v>-0.207039828389385</v>
      </c>
      <c r="D5" s="4" t="n">
        <f aca="false">Assumptions!$B$38</f>
        <v>0.5</v>
      </c>
      <c r="E5" s="4" t="n">
        <f aca="false">DCF_Base!$B$43</f>
        <v>215.375912211159</v>
      </c>
      <c r="F5" s="4" t="n">
        <f aca="false">DCF_Base!$B$47</f>
        <v>119.941672723789</v>
      </c>
    </row>
    <row r="6" customFormat="false" ht="15" hidden="false" customHeight="false" outlineLevel="0" collapsed="false">
      <c r="A6" s="0" t="s">
        <v>159</v>
      </c>
      <c r="B6" s="4" t="n">
        <f aca="false">DCF_Bull!$B$38</f>
        <v>247.320067231838</v>
      </c>
      <c r="C6" s="0" t="n">
        <f aca="false">B6/Assumptions!$B$2-1</f>
        <v>-0.0894294494612213</v>
      </c>
      <c r="D6" s="4" t="n">
        <f aca="false">Assumptions!$B$52</f>
        <v>0.25</v>
      </c>
      <c r="E6" s="4" t="n">
        <f aca="false">DCF_Bull!$B$43</f>
        <v>247.320067231838</v>
      </c>
      <c r="F6" s="4" t="n">
        <f aca="false">DCF_Bull!$B$47</f>
        <v>132.613591512716</v>
      </c>
    </row>
    <row r="8" customFormat="false" ht="15" hidden="false" customHeight="false" outlineLevel="0" collapsed="false">
      <c r="A8" s="0" t="s">
        <v>160</v>
      </c>
      <c r="B8" s="0" t="n">
        <f aca="false">SUMPRODUCT(B4:B6,D4:D6)</f>
        <v>209.172194210552</v>
      </c>
    </row>
    <row r="9" customFormat="false" ht="15" hidden="false" customHeight="false" outlineLevel="0" collapsed="false">
      <c r="A9" s="0" t="s">
        <v>161</v>
      </c>
      <c r="B9" s="0" t="n">
        <f aca="false">SUMPRODUCT(E4:E6,D4:D6)</f>
        <v>209.172194210552</v>
      </c>
    </row>
    <row r="10" customFormat="false" ht="15" hidden="false" customHeight="false" outlineLevel="0" collapsed="false">
      <c r="A10" s="0" t="s">
        <v>162</v>
      </c>
      <c r="B10" s="0" t="n">
        <f aca="false">1-Assumptions!$B$2/B8</f>
        <v>-0.298499549737469</v>
      </c>
    </row>
    <row r="11" customFormat="false" ht="15" hidden="false" customHeight="false" outlineLevel="0" collapsed="false">
      <c r="A11" s="0" t="s">
        <v>163</v>
      </c>
      <c r="B11" s="0" t="str">
        <f aca="false">IF(ABS(B9-B8)&gt;0.01*ABS(B8),(Assumptions!$B$2-B8)/(B9-B8)*100,"n/a")</f>
        <v>n/a</v>
      </c>
    </row>
    <row r="12" customFormat="false" ht="15" hidden="false" customHeight="false" outlineLevel="0" collapsed="false">
      <c r="A12" s="0" t="s">
        <v>164</v>
      </c>
      <c r="B12" s="0" t="n">
        <f aca="false">SUMPRODUCT(F4:F6,D4:D6)</f>
        <v>116.782690012227</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232.075068275505</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215.375912211159</v>
      </c>
      <c r="C16" s="3" t="n">
        <v>9.5</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200.905654419449</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177.078268426843</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158.273988676927</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119.941672723789</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269.198004827183</v>
      </c>
      <c r="C24" s="0" t="n">
        <f aca="false">(SUMPRODUCT(DCF_Base!$C$19:$L$19/(1+$A$24/100)^DCF_Base!$C$4:$L$4)+MAX(0,MIN(IF($A$24&gt;$C$23,DCF_Base!$L$19*(1+$C$23/100)/(($A$24-$C$23)/100),DCF_Base!$L$19*DCF_Base!$B$29),DCF_Base!$L$19*DCF_Base!$B$29))/(1+$A$24/100)^DCF_Base!$L$4+Assumptions!$B$5-Assumptions!$B$4)/Assumptions!$B$3*Assumptions!$B$10</f>
        <v>279.185521728977</v>
      </c>
      <c r="D24" s="0" t="n">
        <f aca="false">(SUMPRODUCT(DCF_Base!$C$19:$L$19/(1+$A$24/100)^DCF_Base!$C$4:$L$4)+MAX(0,MIN(IF($A$24&gt;$D$23,DCF_Base!$L$19*(1+$D$23/100)/(($A$24-$D$23)/100),DCF_Base!$L$19*DCF_Base!$B$29),DCF_Base!$L$19*DCF_Base!$B$29))/(1+$A$24/100)^DCF_Base!$L$4+Assumptions!$B$5-Assumptions!$B$4)/Assumptions!$B$3*Assumptions!$B$10</f>
        <v>279.185521728977</v>
      </c>
      <c r="E24" s="0" t="n">
        <f aca="false">(SUMPRODUCT(DCF_Base!$C$19:$L$19/(1+$A$24/100)^DCF_Base!$C$4:$L$4)+MAX(0,MIN(IF($A$24&gt;$E$23,DCF_Base!$L$19*(1+$E$23/100)/(($A$24-$E$23)/100),DCF_Base!$L$19*DCF_Base!$B$29),DCF_Base!$L$19*DCF_Base!$B$29))/(1+$A$24/100)^DCF_Base!$L$4+Assumptions!$B$5-Assumptions!$B$4)/Assumptions!$B$3*Assumptions!$B$10</f>
        <v>279.185521728977</v>
      </c>
      <c r="F24" s="0" t="n">
        <f aca="false">(SUMPRODUCT(DCF_Base!$C$19:$L$19/(1+$A$24/100)^DCF_Base!$C$4:$L$4)+MAX(0,MIN(IF($A$24&gt;$F$23,DCF_Base!$L$19*(1+$F$23/100)/(($A$24-$F$23)/100),DCF_Base!$L$19*DCF_Base!$B$29),DCF_Base!$L$19*DCF_Base!$B$29))/(1+$A$24/100)^DCF_Base!$L$4+Assumptions!$B$5-Assumptions!$B$4)/Assumptions!$B$3*Assumptions!$B$10</f>
        <v>279.185521728977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229.850265172724</v>
      </c>
      <c r="C25" s="0" t="n">
        <f aca="false">(SUMPRODUCT(DCF_Base!$C$19:$L$19/(1+$A$25/100)^DCF_Base!$C$4:$L$4)+MAX(0,MIN(IF($A$25&gt;$C$23,DCF_Base!$L$19*(1+$C$23/100)/(($A$25-$C$23)/100),DCF_Base!$L$19*DCF_Base!$B$29),DCF_Base!$L$19*DCF_Base!$B$29))/(1+$A$25/100)^DCF_Base!$L$4+Assumptions!$B$5-Assumptions!$B$4)/Assumptions!$B$3*Assumptions!$B$10</f>
        <v>239.870341449173</v>
      </c>
      <c r="D25" s="0" t="n">
        <f aca="false">(SUMPRODUCT(DCF_Base!$C$19:$L$19/(1+$A$25/100)^DCF_Base!$C$4:$L$4)+MAX(0,MIN(IF($A$25&gt;$D$23,DCF_Base!$L$19*(1+$D$23/100)/(($A$25-$D$23)/100),DCF_Base!$L$19*DCF_Base!$B$29),DCF_Base!$L$19*DCF_Base!$B$29))/(1+$A$25/100)^DCF_Base!$L$4+Assumptions!$B$5-Assumptions!$B$4)/Assumptions!$B$3*Assumptions!$B$10</f>
        <v>251.560430438364</v>
      </c>
      <c r="E25" s="0" t="n">
        <f aca="false">(SUMPRODUCT(DCF_Base!$C$19:$L$19/(1+$A$25/100)^DCF_Base!$C$4:$L$4)+MAX(0,MIN(IF($A$25&gt;$E$23,DCF_Base!$L$19*(1+$E$23/100)/(($A$25-$E$23)/100),DCF_Base!$L$19*DCF_Base!$B$29),DCF_Base!$L$19*DCF_Base!$B$29))/(1+$A$25/100)^DCF_Base!$L$4+Assumptions!$B$5-Assumptions!$B$4)/Assumptions!$B$3*Assumptions!$B$10</f>
        <v>259.264037468107</v>
      </c>
      <c r="F25" s="0" t="n">
        <f aca="false">(SUMPRODUCT(DCF_Base!$C$19:$L$19/(1+$A$25/100)^DCF_Base!$C$4:$L$4)+MAX(0,MIN(IF($A$25&gt;$F$23,DCF_Base!$L$19*(1+$F$23/100)/(($A$25-$F$23)/100),DCF_Base!$L$19*DCF_Base!$B$29),DCF_Base!$L$19*DCF_Base!$B$29))/(1+$A$25/100)^DCF_Base!$L$4+Assumptions!$B$5-Assumptions!$B$4)/Assumptions!$B$3*Assumptions!$B$10</f>
        <v>259.264037468107</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200.383726131563</v>
      </c>
      <c r="C26" s="0" t="n">
        <f aca="false">(SUMPRODUCT(DCF_Base!$C$19:$L$19/(1+$A$26/100)^DCF_Base!$C$4:$L$4)+MAX(0,MIN(IF($A$26&gt;$C$23,DCF_Base!$L$19*(1+$C$23/100)/(($A$26-$C$23)/100),DCF_Base!$L$19*DCF_Base!$B$29),DCF_Base!$L$19*DCF_Base!$B$29))/(1+$A$26/100)^DCF_Base!$L$4+Assumptions!$B$5-Assumptions!$B$4)/Assumptions!$B$3*Assumptions!$B$10</f>
        <v>207.380079635374</v>
      </c>
      <c r="D26" s="0" t="n">
        <f aca="false">(SUMPRODUCT(DCF_Base!$C$19:$L$19/(1+$A$26/100)^DCF_Base!$C$4:$L$4)+MAX(0,MIN(IF($A$26&gt;$D$23,DCF_Base!$L$19*(1+$D$23/100)/(($A$26-$D$23)/100),DCF_Base!$L$19*DCF_Base!$B$29),DCF_Base!$L$19*DCF_Base!$B$29))/(1+$A$26/100)^DCF_Base!$L$4+Assumptions!$B$5-Assumptions!$B$4)/Assumptions!$B$3*Assumptions!$B$10</f>
        <v>215.375912211159</v>
      </c>
      <c r="E26" s="0" t="n">
        <f aca="false">(SUMPRODUCT(DCF_Base!$C$19:$L$19/(1+$A$26/100)^DCF_Base!$C$4:$L$4)+MAX(0,MIN(IF($A$26&gt;$E$23,DCF_Base!$L$19*(1+$E$23/100)/(($A$26-$E$23)/100),DCF_Base!$L$19*DCF_Base!$B$29),DCF_Base!$L$19*DCF_Base!$B$29))/(1+$A$26/100)^DCF_Base!$L$4+Assumptions!$B$5-Assumptions!$B$4)/Assumptions!$B$3*Assumptions!$B$10</f>
        <v>224.601872875526</v>
      </c>
      <c r="F26" s="0" t="n">
        <f aca="false">(SUMPRODUCT(DCF_Base!$C$19:$L$19/(1+$A$26/100)^DCF_Base!$C$4:$L$4)+MAX(0,MIN(IF($A$26&gt;$F$23,DCF_Base!$L$19*(1+$F$23/100)/(($A$26-$F$23)/100),DCF_Base!$L$19*DCF_Base!$B$29),DCF_Base!$L$19*DCF_Base!$B$29))/(1+$A$26/100)^DCF_Base!$L$4+Assumptions!$B$5-Assumptions!$B$4)/Assumptions!$B$3*Assumptions!$B$10</f>
        <v>235.365493650621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177.501794986836</v>
      </c>
      <c r="C27" s="0" t="n">
        <f aca="false">(SUMPRODUCT(DCF_Base!$C$19:$L$19/(1+$A$27/100)^DCF_Base!$C$4:$L$4)+MAX(0,MIN(IF($A$27&gt;$C$23,DCF_Base!$L$19*(1+$C$23/100)/(($A$27-$C$23)/100),DCF_Base!$L$19*DCF_Base!$B$29),DCF_Base!$L$19*DCF_Base!$B$29))/(1+$A$27/100)^DCF_Base!$L$4+Assumptions!$B$5-Assumptions!$B$4)/Assumptions!$B$3*Assumptions!$B$10</f>
        <v>182.558040231698</v>
      </c>
      <c r="D27" s="0" t="n">
        <f aca="false">(SUMPRODUCT(DCF_Base!$C$19:$L$19/(1+$A$27/100)^DCF_Base!$C$4:$L$4)+MAX(0,MIN(IF($A$27&gt;$D$23,DCF_Base!$L$19*(1+$D$23/100)/(($A$27-$D$23)/100),DCF_Base!$L$19*DCF_Base!$B$29),DCF_Base!$L$19*DCF_Base!$B$29))/(1+$A$27/100)^DCF_Base!$L$4+Assumptions!$B$5-Assumptions!$B$4)/Assumptions!$B$3*Assumptions!$B$10</f>
        <v>188.246316132167</v>
      </c>
      <c r="E27" s="0" t="n">
        <f aca="false">(SUMPRODUCT(DCF_Base!$C$19:$L$19/(1+$A$27/100)^DCF_Base!$C$4:$L$4)+MAX(0,MIN(IF($A$27&gt;$E$23,DCF_Base!$L$19*(1+$E$23/100)/(($A$27-$E$23)/100),DCF_Base!$L$19*DCF_Base!$B$29),DCF_Base!$L$19*DCF_Base!$B$29))/(1+$A$27/100)^DCF_Base!$L$4+Assumptions!$B$5-Assumptions!$B$4)/Assumptions!$B$3*Assumptions!$B$10</f>
        <v>194.693028819366</v>
      </c>
      <c r="F27" s="0" t="n">
        <f aca="false">(SUMPRODUCT(DCF_Base!$C$19:$L$19/(1+$A$27/100)^DCF_Base!$C$4:$L$4)+MAX(0,MIN(IF($A$27&gt;$F$23,DCF_Base!$L$19*(1+$F$23/100)/(($A$27-$F$23)/100),DCF_Base!$L$19*DCF_Base!$B$29),DCF_Base!$L$19*DCF_Base!$B$29))/(1+$A$27/100)^DCF_Base!$L$4+Assumptions!$B$5-Assumptions!$B$4)/Assumptions!$B$3*Assumptions!$B$10</f>
        <v>202.060700461879</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159.226736097196</v>
      </c>
      <c r="C28" s="0" t="n">
        <f aca="false">(SUMPRODUCT(DCF_Base!$C$19:$L$19/(1+$A$28/100)^DCF_Base!$C$4:$L$4)+MAX(0,MIN(IF($A$28&gt;$C$23,DCF_Base!$L$19*(1+$C$23/100)/(($A$28-$C$23)/100),DCF_Base!$L$19*DCF_Base!$B$29),DCF_Base!$L$19*DCF_Base!$B$29))/(1+$A$28/100)^DCF_Base!$L$4+Assumptions!$B$5-Assumptions!$B$4)/Assumptions!$B$3*Assumptions!$B$10</f>
        <v>162.981240830007</v>
      </c>
      <c r="D28" s="0" t="n">
        <f aca="false">(SUMPRODUCT(DCF_Base!$C$19:$L$19/(1+$A$28/100)^DCF_Base!$C$4:$L$4)+MAX(0,MIN(IF($A$28&gt;$D$23,DCF_Base!$L$19*(1+$D$23/100)/(($A$28-$D$23)/100),DCF_Base!$L$19*DCF_Base!$B$29),DCF_Base!$L$19*DCF_Base!$B$29))/(1+$A$28/100)^DCF_Base!$L$4+Assumptions!$B$5-Assumptions!$B$4)/Assumptions!$B$3*Assumptions!$B$10</f>
        <v>167.152912755353</v>
      </c>
      <c r="E28" s="0" t="n">
        <f aca="false">(SUMPRODUCT(DCF_Base!$C$19:$L$19/(1+$A$28/100)^DCF_Base!$C$4:$L$4)+MAX(0,MIN(IF($A$28&gt;$E$23,DCF_Base!$L$19*(1+$E$23/100)/(($A$28-$E$23)/100),DCF_Base!$L$19*DCF_Base!$B$29),DCF_Base!$L$19*DCF_Base!$B$29))/(1+$A$28/100)^DCF_Base!$L$4+Assumptions!$B$5-Assumptions!$B$4)/Assumptions!$B$3*Assumptions!$B$10</f>
        <v>171.815369613092</v>
      </c>
      <c r="F28" s="0" t="n">
        <f aca="false">(SUMPRODUCT(DCF_Base!$C$19:$L$19/(1+$A$28/100)^DCF_Base!$C$4:$L$4)+MAX(0,MIN(IF($A$28&gt;$F$23,DCF_Base!$L$19*(1+$F$23/100)/(($A$28-$F$23)/100),DCF_Base!$L$19*DCF_Base!$B$29),DCF_Base!$L$19*DCF_Base!$B$29))/(1+$A$28/100)^DCF_Base!$L$4+Assumptions!$B$5-Assumptions!$B$4)/Assumptions!$B$3*Assumptions!$B$10</f>
        <v>177.060633578049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2026-09-28T07:47:05Z</dcterms:created>
  <dc:creator>openpyxl</dc:creator>
  <dc:description/>
  <dc:language>en-NZ</dc:language>
  <cp:lastModifiedBy/>
  <dcterms:modified xsi:type="dcterms:W3CDTF">2026-09-28T07:47:05Z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