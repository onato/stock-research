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<sst xmlns="http://schemas.openxmlformats.org/spreadsheetml/2006/main" count="364" uniqueCount="169">
  <si>
    <t xml:space="preserve">Ticker</t>
  </si>
  <si>
    <t xml:space="preserve">ALO.PA</t>
  </si>
  <si>
    <t xml:space="preserve">Company</t>
  </si>
  <si>
    <t xml:space="preserve">Alstom SA</t>
  </si>
  <si>
    <t xml:space="preserve">Valuation date</t>
  </si>
  <si>
    <t xml:space="preserve">2026-10-25</t>
  </si>
  <si>
    <t xml:space="preserve">Current price</t>
  </si>
  <si>
    <t xml:space="preserve">Price as of</t>
  </si>
  <si>
    <t xml:space="preserve">2026-10-23T15:35:05Z (Euronext Paris regular close, Friday)</t>
  </si>
  <si>
    <t xml:space="preserve">Balance sheet date</t>
  </si>
  <si>
    <t xml:space="preserve">2026-03-31</t>
  </si>
  <si>
    <t xml:space="preserve">Model</t>
  </si>
  <si>
    <t xml:space="preserve">owner_fcf_dcf_component</t>
  </si>
  <si>
    <t xml:space="preserve">Currency (model)</t>
  </si>
  <si>
    <t xml:space="preserve">EUR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</si>
  <si>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</si>
  <si>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</si>
  <si>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</si>
  <si>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</si>
  <si>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</si>
  <si>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</si>
  <si>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2026-10-25T09:39:54Z</t>
  </si>
  <si>
    <t xml:space="preserve">Drivers file</t>
  </si>
  <si>
    <t xml:space="preserve">ALO.PA_Drivers.json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</si>
  <si>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</si>
  <si>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</si>
  <si>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</si>
  <si>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Alstom is valued as a long-cycle rail OEM whose equity value hinges almost entirely on converting a record, higher-margin backlog into cash at a margin it has so far failed to reach. The flows are unlevered owner FCF anchored on the company's own cash EBITDA (EBIT before PPA + D&amp;A + JV dividends, 1,502 in FY26, not the 1,728 that aEBIT + D&amp;A would imply): SBC expensed, lease cash charged inside EBITDA (so leases are not in net debt), restructuring/integration/other and the non-cash JV pick-up treated as recurring, and cash tax ramped to a normal rate. Debt-like claims the IFRS statements keep out of net debt - the EUR750m hybrid, EUR635m pension deficit, NCI at fair value - are deducted in the bridge. One EUR WACC of 8.5% across scenarios, with execution risk carried by the driver paths and a 30% bear weight, and a 15x terminal cap because this is a cyclical, thin-margin manufacturer, not a compounder.
key_risks_to_valuation: Margin path: every 1pt of terminal aEBIT margin is worth roughly EUR4-5/share; the base assumes 7.8% against a FY26 actual of 6.1% and guidance of ~6.5%; Working capital: contract WC swung -290 in FY26 and H1 FY27 is guided at -1.5bn; a structural rather than seasonal consumption would pull every scenario toward the bear; Below-aEBIT leakage: restructuring, integration and 'other' have cost EUR160-220m/yr every year since 2021 and the JV pick-up exceeds JV dividends by ~70m; the base tapers the former to 0.4% of sales but a company that keeps reporting 'non-recurring' items is worth the bear path; Project charges: a single large fixed-price contract overrun (FY24-style) can erase a year of FCF; the model carries restructuring but no explicit charge provision; Bridge judgments: NCI at 10x earnings (410) rather than book (121), pensions at 635, and the 656 net DTA not credited together move the value ~EUR1.5/share; all are stated; Lease approximation: ROU depreciation is proxied by the 172 principal repayment; a materially different split would move the tax line, not the cash flows; Bombardier PPA amortisation (~250m/yr) is non-cash and excluded; if the market keeps valuing on reported EPS the re-rating may lag the cash</t>
  </si>
  <si>
    <t xml:space="preserve">Data sources</t>
  </si>
  <si>
    <t xml:space="preserve">price: Yahoo Finance chart API at inputs.price_as_of; 52-week range 14.475-30.23 EUR
financials: research/ALO.PA/Reports/ALO.PA_Metrics.csv and the kpis table (AdjustedEBIT, ReportedFreeCashFlow, Backlog, OrderIntake, CashTaxesPaid), both derived from ALO.PA_Annual_FY2017-FY2026.txt (Universal Registration Documents); FY2025/26 URD sections 2.10.9 (net debt), 2.10.13 (EV-to-equity bridge), notes 10 (diluted shares), 27 (lease obligations and interest), 30 (share-based payments), cash flow statement (capex incl. capitalised R&amp;D, lease principal); ALO.PA_Quarterly_Q1-2027.txt (July 2026 outlook confirmation)
qualitative: research/ALO.PA/Reports/ALO.PA_Analysis.json (2026-10-25)</t>
  </si>
  <si>
    <t xml:space="preserve">Scenario narrative: bear</t>
  </si>
  <si>
    <t xml:space="preserve">The FY2025/26 pattern repeats: industrialisation of flagship platforms and homologation slip again, a further project charge takes FY2026/27 aEBIT to ~6.0% and the margin never clears 6.5%; restructuring stays a permanent ~EUR70m/yr line. FX (USD, CAD, GBP, INR), Middle East backlog (2-3% of sales) and public-budget delays hold growth to ~2%, and working capital absorbs 25 cents of every euro of growth as the FY27 H1 EUR1.5bn consumption proves less seasonal than guided. The balance sheet survives - net debt 404m, Baa3 stable - so this is a value-trap outcome, not a distress one; a Moody's downgrade constraining bonding capacity is the tail beyond this path.</t>
  </si>
  <si>
    <t xml:space="preserve">Scenario narrative: base</t>
  </si>
  <si>
    <t xml:space="preserve">Alstom delivers FY2026/27 roughly as guided - ~5% organic growth, aEBIT margin ~6.5%, positive FCF after the ~EUR1.5bn H1 seasonal consumption - and the new CEO's operational plan then lifts the margin about 30bp a year to 7.8% by FY2032, the bottom of the old 8-10% ambition but never its midpoint. Growth decelerates from the EUR104bn backlog (5.4x sales) toward 2.5% as book-to-bill normalises to ~1.0-1.1x. Capex, including capitalised R&amp;D, runs 3.1% of sales on the car-production ramp (4,400-4,500 cars) and settles at 2.7%; working capital consumes 10% of each euro of growth because milestone cash lags production. Restructuring cash tapers from 0.35% to 0.2% of sales as the German footprint consolidation completes. Cash tax ramps from 24% to 27%. The axes that matter: whether the 18.0% gross margin in backlog converts at the project level, and whether contract working capital stops absorbing cash as the ramp matures.</t>
  </si>
  <si>
    <t xml:space="preserve">Scenario narrative: bull</t>
  </si>
  <si>
    <t xml:space="preserve">The early-2027 Capital Markets Day re-validates an 8-10% aEBIT margin with a credible site-by-site industrialisation plan and the market gives Martin Sion the benefit of the doubt. Record FY26 order intake (EUR27.6bn, +90% rolling stock, US wins at LIRR/Metro-North and NJ Transit) lifts growth to 6-6.5% for two years; the margin reaches 9.2% by FY2033 as the Services/Signalling mix rises and PPA-era footprint costs roll off; down payments on new orders fund the ramp so working capital is neutral to growth. Terminal growth 2.5% on the secular rail/decarbonisation tailwind. Value is in the flows; the WACC is unchanged.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</si>
  <si>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</si>
  <si>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</si>
  <si>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</si>
  <si>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</si>
  <si>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</si>
  <si>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</si>
  <si>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</si>
  <si>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</si>
  <si>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</si>
  <si>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</si>
  <si>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</si>
  <si>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</si>
  <si>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</si>
  <si>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</si>
  <si>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</si>
  <si>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</si>
  <si>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</si>
  <si>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</si>
  <si>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</si>
  <si>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</si>
  <si>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</si>
  <si>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</si>
  <si>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</si>
  <si>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</si>
  <si>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</si>
  <si>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</si>
  <si>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</si>
  <si>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AdjustedEBIT</t>
  </si>
  <si>
    <t xml:space="preserve">Backlog</t>
  </si>
  <si>
    <t xml:space="preserve">BookToBill</t>
  </si>
  <si>
    <t xml:space="preserve">OrderIntake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</si>
  <si>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</si>
  <si>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</si>
  <si>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</si>
  <si>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</si>
  <si>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</si>
  <si>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</si>
  <si>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</si>
  <si>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</si>
  <si>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</si>
  <si>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</si>
  <si>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</si>
  <si>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</si>
  <si>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</si>
  <si>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</si>
  <si>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</si>
  <si>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</si>
  <si>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</si>
  <si>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</si>
  <si>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</si>
  <si>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</si>
  <si>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EUR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</si>
  <si>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</si>
  <si>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</si>
  <si>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</si>
  <si>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</si>
  <si>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</si>
  <si>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</si>
  <si>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</si>
  <si>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</si>
  <si>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</si>
  <si>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</si>
  <si>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</si>
  <si>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</si>
  <si>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</si>
  <si>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</si>
  <si>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</si>
  <si>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</si>
  <si>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</si>
  <si>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</si>
  <si>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</si>
  <si>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</si>
  <si>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</si>
  <si>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</si>
  <si>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</si>
  <si>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</si>
  <si>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</si>
  <si>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</si>
  <si>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ALO.PA owner-FCF component DCF: bear case (millions, EUR)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</si>
  <si>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</si>
  <si>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</si>
  <si>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</si>
  <si>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</si>
  <si>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</si>
  <si>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</si>
  <si>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</si>
  <si>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</si>
  <si>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</si>
  <si>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</si>
  <si>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</si>
  <si>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</si>
  <si>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</si>
  <si>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</si>
  <si>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</si>
  <si>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</si>
  <si>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</si>
  <si>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</si>
  <si>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</si>
  <si>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</si>
  <si>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</si>
  <si>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</si>
  <si>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</si>
  <si>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</si>
  <si>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</si>
  <si>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</si>
  <si>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</si>
  <si>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</si>
  <si>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</si>
  <si>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</si>
  <si>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ALO.PA owner-FCF component DCF: base case (millions, EUR)</t>
  </si>
  <si>
    <t xml:space="preserve">ALO.PA owner-FCF component DCF: bull case (millions, EUR)</t>
  </si>
  <si>
    <t xml:space="preserve">ALO.PA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</si>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</sst>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16.095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</row>
    <row r="2" customFormat="false" ht="15" hidden="false" customHeight="false" outlineLevel="0" collapsed="false">
      <c r="A2" s="0" t="s">
        <v>67</v>
      </c>
      <c r="B2" s="0" t="n">
        <v>7306</v>
      </c>
      <c r="C2" s="0" t="n">
        <v>6171</v>
      </c>
      <c r="D2" s="0" t="n">
        <v>1135</v>
      </c>
      <c r="E2" s="0" t="n">
        <v>15.5</v>
      </c>
      <c r="F2" s="0" t="n">
        <v>358</v>
      </c>
      <c r="G2" s="0" t="n">
        <v>4.9</v>
      </c>
      <c r="H2" s="0" t="n">
        <v>515</v>
      </c>
      <c r="I2" s="0" t="n">
        <v>289</v>
      </c>
      <c r="J2" s="0" t="n">
        <v>4</v>
      </c>
      <c r="K2" s="0" t="n">
        <v>1.3</v>
      </c>
      <c r="L2" s="0" t="n">
        <v>401</v>
      </c>
      <c r="M2" s="0" t="n">
        <v>220</v>
      </c>
      <c r="N2" s="0" t="n">
        <v>181</v>
      </c>
      <c r="O2" s="0" t="n">
        <v>3661</v>
      </c>
      <c r="P2" s="0" t="n">
        <v>14361</v>
      </c>
      <c r="Q2" s="0" t="n">
        <v>10648</v>
      </c>
      <c r="R2" s="0" t="n">
        <v>1778</v>
      </c>
      <c r="S2" s="0" t="n">
        <v>1563</v>
      </c>
      <c r="T2" s="0" t="n">
        <v>223.14</v>
      </c>
      <c r="U2" s="0" t="n">
        <v>10</v>
      </c>
      <c r="V2" s="0" t="n">
        <v>0.25</v>
      </c>
      <c r="AA2" s="0" t="s">
        <v>17</v>
      </c>
      <c r="AB2" s="0" t="s">
        <v>14</v>
      </c>
      <c r="AC2" s="0" t="n">
        <v>421</v>
      </c>
      <c r="AD2" s="0" t="n">
        <v>34781</v>
      </c>
      <c r="AE2" s="0" t="n">
        <v>1.37</v>
      </c>
      <c r="AF2" s="0" t="n">
        <v>10008</v>
      </c>
    </row>
    <row r="3" customFormat="false" ht="15" hidden="false" customHeight="false" outlineLevel="0" collapsed="false">
      <c r="A3" s="0" t="s">
        <v>68</v>
      </c>
      <c r="B3" s="0" t="n">
        <v>7951</v>
      </c>
      <c r="C3" s="0" t="n">
        <v>6686</v>
      </c>
      <c r="D3" s="0" t="n">
        <v>1265</v>
      </c>
      <c r="E3" s="0" t="n">
        <v>15.9</v>
      </c>
      <c r="F3" s="0" t="n">
        <v>381</v>
      </c>
      <c r="G3" s="0" t="n">
        <v>4.8</v>
      </c>
      <c r="H3" s="0" t="n">
        <v>542</v>
      </c>
      <c r="I3" s="0" t="n">
        <v>475</v>
      </c>
      <c r="J3" s="0" t="n">
        <v>6</v>
      </c>
      <c r="K3" s="0" t="n">
        <v>2.11</v>
      </c>
      <c r="L3" s="0" t="n">
        <v>408</v>
      </c>
      <c r="M3" s="0" t="n">
        <v>283</v>
      </c>
      <c r="N3" s="0" t="n">
        <v>125</v>
      </c>
      <c r="O3" s="0" t="n">
        <v>3966</v>
      </c>
      <c r="P3" s="0" t="n">
        <v>14122</v>
      </c>
      <c r="Q3" s="0" t="n">
        <v>10095</v>
      </c>
      <c r="R3" s="0" t="n">
        <v>1477</v>
      </c>
      <c r="S3" s="0" t="n">
        <v>1231</v>
      </c>
      <c r="T3" s="0" t="n">
        <v>225.03</v>
      </c>
      <c r="U3" s="0" t="n">
        <v>18</v>
      </c>
      <c r="V3" s="0" t="n">
        <v>0.35</v>
      </c>
      <c r="AA3" s="0" t="s">
        <v>17</v>
      </c>
      <c r="AB3" s="0" t="s">
        <v>14</v>
      </c>
      <c r="AC3" s="0" t="n">
        <v>514</v>
      </c>
      <c r="AD3" s="0" t="n">
        <v>35239</v>
      </c>
      <c r="AE3" s="0" t="n">
        <v>0.9</v>
      </c>
      <c r="AF3" s="0" t="n">
        <v>7183</v>
      </c>
    </row>
    <row r="4" customFormat="false" ht="15" hidden="false" customHeight="false" outlineLevel="0" collapsed="false">
      <c r="A4" s="0" t="s">
        <v>69</v>
      </c>
      <c r="B4" s="0" t="n">
        <v>8072</v>
      </c>
      <c r="C4" s="0" t="n">
        <v>6641</v>
      </c>
      <c r="D4" s="0" t="n">
        <v>1431</v>
      </c>
      <c r="E4" s="0" t="n">
        <v>17.7</v>
      </c>
      <c r="F4" s="0" t="n">
        <v>408</v>
      </c>
      <c r="G4" s="0" t="n">
        <v>5.1</v>
      </c>
      <c r="H4" s="0" t="n">
        <v>603</v>
      </c>
      <c r="I4" s="0" t="n">
        <v>681</v>
      </c>
      <c r="J4" s="0" t="n">
        <v>8.4</v>
      </c>
      <c r="K4" s="0" t="n">
        <v>3.03</v>
      </c>
      <c r="L4" s="0" t="n">
        <v>425</v>
      </c>
      <c r="M4" s="0" t="n">
        <v>275</v>
      </c>
      <c r="N4" s="0" t="n">
        <v>150</v>
      </c>
      <c r="O4" s="0" t="n">
        <v>4091</v>
      </c>
      <c r="P4" s="0" t="n">
        <v>13410</v>
      </c>
      <c r="Q4" s="0" t="n">
        <v>9251</v>
      </c>
      <c r="R4" s="0" t="n">
        <v>1102</v>
      </c>
      <c r="S4" s="0" t="n">
        <v>3432</v>
      </c>
      <c r="T4" s="0" t="n">
        <v>224.99</v>
      </c>
      <c r="U4" s="0" t="n">
        <v>20</v>
      </c>
      <c r="V4" s="0" t="n">
        <v>5.5</v>
      </c>
      <c r="AA4" s="0" t="s">
        <v>17</v>
      </c>
      <c r="AB4" s="0" t="s">
        <v>14</v>
      </c>
      <c r="AC4" s="0" t="n">
        <v>606</v>
      </c>
      <c r="AD4" s="0" t="n">
        <v>40481</v>
      </c>
      <c r="AE4" s="0" t="n">
        <v>1.5</v>
      </c>
      <c r="AF4" s="0" t="n">
        <v>12107</v>
      </c>
    </row>
    <row r="5" customFormat="false" ht="15" hidden="false" customHeight="false" outlineLevel="0" collapsed="false">
      <c r="A5" s="0" t="s">
        <v>70</v>
      </c>
      <c r="B5" s="0" t="n">
        <v>8201</v>
      </c>
      <c r="C5" s="0" t="n">
        <v>6740</v>
      </c>
      <c r="D5" s="0" t="n">
        <v>1461</v>
      </c>
      <c r="E5" s="0" t="n">
        <v>17.8</v>
      </c>
      <c r="F5" s="0" t="n">
        <v>545</v>
      </c>
      <c r="G5" s="0" t="n">
        <v>6.6</v>
      </c>
      <c r="H5" s="0" t="n">
        <v>838</v>
      </c>
      <c r="I5" s="0" t="n">
        <v>467</v>
      </c>
      <c r="J5" s="0" t="n">
        <v>5.7</v>
      </c>
      <c r="K5" s="0" t="n">
        <v>2.06</v>
      </c>
      <c r="L5" s="0" t="n">
        <v>476</v>
      </c>
      <c r="M5" s="0" t="n">
        <v>274</v>
      </c>
      <c r="N5" s="0" t="n">
        <v>202</v>
      </c>
      <c r="O5" s="0" t="n">
        <v>3271</v>
      </c>
      <c r="P5" s="0" t="n">
        <v>13008</v>
      </c>
      <c r="Q5" s="0" t="n">
        <v>9680</v>
      </c>
      <c r="R5" s="0" t="n">
        <v>1042</v>
      </c>
      <c r="S5" s="0" t="n">
        <v>2175</v>
      </c>
      <c r="T5" s="0" t="n">
        <v>226.57</v>
      </c>
      <c r="U5" s="0" t="n">
        <v>25</v>
      </c>
      <c r="V5" s="0" t="n">
        <v>0</v>
      </c>
      <c r="AA5" s="0" t="s">
        <v>17</v>
      </c>
      <c r="AB5" s="0" t="s">
        <v>14</v>
      </c>
      <c r="AC5" s="0" t="n">
        <v>630</v>
      </c>
      <c r="AD5" s="0" t="n">
        <v>40903</v>
      </c>
      <c r="AE5" s="0" t="n">
        <v>1.21</v>
      </c>
      <c r="AF5" s="0" t="n">
        <v>9900</v>
      </c>
    </row>
    <row r="6" customFormat="false" ht="15" hidden="false" customHeight="false" outlineLevel="0" collapsed="false">
      <c r="A6" s="0" t="s">
        <v>71</v>
      </c>
      <c r="B6" s="0" t="n">
        <v>8785</v>
      </c>
      <c r="C6" s="0" t="n">
        <v>7400</v>
      </c>
      <c r="D6" s="0" t="n">
        <v>1385</v>
      </c>
      <c r="E6" s="0" t="n">
        <v>15.8</v>
      </c>
      <c r="F6" s="0" t="n">
        <v>300</v>
      </c>
      <c r="G6" s="0" t="n">
        <v>3.4</v>
      </c>
      <c r="H6" s="0" t="n">
        <v>691</v>
      </c>
      <c r="I6" s="0" t="n">
        <v>247</v>
      </c>
      <c r="J6" s="0" t="n">
        <v>2.8</v>
      </c>
      <c r="K6" s="0" t="n">
        <v>0.94</v>
      </c>
      <c r="L6" s="0" t="n">
        <v>-455</v>
      </c>
      <c r="M6" s="0" t="n">
        <v>265</v>
      </c>
      <c r="N6" s="0" t="n">
        <v>-720</v>
      </c>
      <c r="O6" s="0" t="n">
        <v>9039</v>
      </c>
      <c r="P6" s="0" t="n">
        <v>28566</v>
      </c>
      <c r="Q6" s="0" t="n">
        <v>19449</v>
      </c>
      <c r="R6" s="0" t="n">
        <v>2177</v>
      </c>
      <c r="S6" s="0" t="n">
        <v>1250</v>
      </c>
      <c r="T6" s="0" t="n">
        <v>263.6</v>
      </c>
      <c r="U6" s="0" t="n">
        <v>10</v>
      </c>
      <c r="V6" s="0" t="n">
        <v>0.25</v>
      </c>
      <c r="AA6" s="0" t="s">
        <v>17</v>
      </c>
      <c r="AB6" s="0" t="s">
        <v>14</v>
      </c>
      <c r="AC6" s="0" t="n">
        <v>646</v>
      </c>
      <c r="AD6" s="0" t="n">
        <v>74537</v>
      </c>
      <c r="AE6" s="0" t="n">
        <v>1.04</v>
      </c>
      <c r="AF6" s="0" t="n">
        <v>9100</v>
      </c>
    </row>
    <row r="7" customFormat="false" ht="15" hidden="false" customHeight="false" outlineLevel="0" collapsed="false">
      <c r="A7" s="0" t="s">
        <v>72</v>
      </c>
      <c r="B7" s="0" t="n">
        <v>15471</v>
      </c>
      <c r="C7" s="0" t="n">
        <v>13746</v>
      </c>
      <c r="D7" s="0" t="n">
        <v>1725</v>
      </c>
      <c r="E7" s="0" t="n">
        <v>11.1</v>
      </c>
      <c r="F7" s="0" t="n">
        <v>-156</v>
      </c>
      <c r="G7" s="0" t="n">
        <v>-1</v>
      </c>
      <c r="H7" s="0" t="n">
        <v>720</v>
      </c>
      <c r="I7" s="0" t="n">
        <v>-581</v>
      </c>
      <c r="J7" s="0" t="n">
        <v>-3.8</v>
      </c>
      <c r="K7" s="0" t="n">
        <v>-1.55</v>
      </c>
      <c r="L7" s="0" t="n">
        <v>-577</v>
      </c>
      <c r="M7" s="0" t="n">
        <v>428</v>
      </c>
      <c r="N7" s="0" t="n">
        <v>-1005</v>
      </c>
      <c r="O7" s="0" t="n">
        <v>8911</v>
      </c>
      <c r="P7" s="0" t="n">
        <v>30515</v>
      </c>
      <c r="Q7" s="0" t="n">
        <v>21491</v>
      </c>
      <c r="R7" s="0" t="n">
        <v>2976</v>
      </c>
      <c r="S7" s="0" t="n">
        <v>810</v>
      </c>
      <c r="T7" s="0" t="n">
        <v>374.41</v>
      </c>
      <c r="U7" s="0" t="n">
        <v>42</v>
      </c>
      <c r="V7" s="0" t="n">
        <v>0.25</v>
      </c>
      <c r="AA7" s="0" t="s">
        <v>17</v>
      </c>
      <c r="AB7" s="0" t="s">
        <v>14</v>
      </c>
      <c r="AC7" s="0" t="n">
        <v>767</v>
      </c>
      <c r="AD7" s="0" t="n">
        <v>81013</v>
      </c>
      <c r="AE7" s="0" t="n">
        <v>1.25</v>
      </c>
      <c r="AF7" s="0" t="n">
        <v>19262</v>
      </c>
    </row>
    <row r="8" customFormat="false" ht="15" hidden="false" customHeight="false" outlineLevel="0" collapsed="false">
      <c r="A8" s="0" t="s">
        <v>73</v>
      </c>
      <c r="B8" s="0" t="n">
        <v>16507</v>
      </c>
      <c r="C8" s="0" t="n">
        <v>14541</v>
      </c>
      <c r="D8" s="0" t="n">
        <v>1966</v>
      </c>
      <c r="E8" s="0" t="n">
        <v>11.9</v>
      </c>
      <c r="F8" s="0" t="n">
        <v>-79</v>
      </c>
      <c r="G8" s="0" t="n">
        <v>-0.5</v>
      </c>
      <c r="H8" s="0" t="n">
        <v>807</v>
      </c>
      <c r="I8" s="0" t="n">
        <v>-132</v>
      </c>
      <c r="J8" s="0" t="n">
        <v>-0.8</v>
      </c>
      <c r="K8" s="0" t="n">
        <v>-0.35</v>
      </c>
      <c r="L8" s="0" t="n">
        <v>606</v>
      </c>
      <c r="M8" s="0" t="n">
        <v>431</v>
      </c>
      <c r="N8" s="0" t="n">
        <v>175</v>
      </c>
      <c r="O8" s="0" t="n">
        <v>8997</v>
      </c>
      <c r="P8" s="0" t="n">
        <v>31396</v>
      </c>
      <c r="Q8" s="0" t="n">
        <v>22294</v>
      </c>
      <c r="R8" s="0" t="n">
        <v>3053</v>
      </c>
      <c r="S8" s="0" t="n">
        <v>826</v>
      </c>
      <c r="T8" s="0" t="n">
        <v>377.85</v>
      </c>
      <c r="U8" s="0" t="n">
        <v>66</v>
      </c>
      <c r="V8" s="0" t="n">
        <v>0.25</v>
      </c>
      <c r="AA8" s="0" t="s">
        <v>17</v>
      </c>
      <c r="AB8" s="0" t="s">
        <v>14</v>
      </c>
      <c r="AC8" s="0" t="n">
        <v>852</v>
      </c>
      <c r="AD8" s="0" t="n">
        <v>87387</v>
      </c>
      <c r="AE8" s="0" t="n">
        <v>1.25</v>
      </c>
      <c r="AF8" s="0" t="n">
        <v>20694</v>
      </c>
    </row>
    <row r="9" customFormat="false" ht="15" hidden="false" customHeight="false" outlineLevel="0" collapsed="false">
      <c r="A9" s="0" t="s">
        <v>74</v>
      </c>
      <c r="B9" s="0" t="n">
        <v>17619</v>
      </c>
      <c r="C9" s="0" t="n">
        <v>15406</v>
      </c>
      <c r="D9" s="0" t="n">
        <v>2213</v>
      </c>
      <c r="E9" s="0" t="n">
        <v>12.6</v>
      </c>
      <c r="F9" s="0" t="n">
        <v>-12</v>
      </c>
      <c r="G9" s="0" t="n">
        <v>-0.1</v>
      </c>
      <c r="H9" s="0" t="n">
        <v>824</v>
      </c>
      <c r="I9" s="0" t="n">
        <v>-309</v>
      </c>
      <c r="J9" s="0" t="n">
        <v>-1.8</v>
      </c>
      <c r="K9" s="0" t="n">
        <v>-0.8</v>
      </c>
      <c r="L9" s="0" t="n">
        <v>-82</v>
      </c>
      <c r="M9" s="0" t="n">
        <v>485</v>
      </c>
      <c r="N9" s="0" t="n">
        <v>-567</v>
      </c>
      <c r="O9" s="0" t="n">
        <v>8672</v>
      </c>
      <c r="P9" s="0" t="n">
        <v>33253</v>
      </c>
      <c r="Q9" s="0" t="n">
        <v>24475</v>
      </c>
      <c r="R9" s="0" t="n">
        <v>4010</v>
      </c>
      <c r="S9" s="0" t="n">
        <v>976</v>
      </c>
      <c r="T9" s="0" t="n">
        <v>384.62</v>
      </c>
      <c r="U9" s="0" t="n">
        <v>19</v>
      </c>
      <c r="V9" s="0" t="n">
        <v>0</v>
      </c>
      <c r="AA9" s="0" t="s">
        <v>17</v>
      </c>
      <c r="AB9" s="0" t="s">
        <v>14</v>
      </c>
      <c r="AC9" s="0" t="n">
        <v>997</v>
      </c>
      <c r="AD9" s="0" t="n">
        <v>91900</v>
      </c>
      <c r="AE9" s="0" t="n">
        <v>1.08</v>
      </c>
      <c r="AF9" s="0" t="n">
        <v>18947</v>
      </c>
    </row>
    <row r="10" customFormat="false" ht="15" hidden="false" customHeight="false" outlineLevel="0" collapsed="false">
      <c r="A10" s="0" t="s">
        <v>75</v>
      </c>
      <c r="B10" s="0" t="n">
        <v>18489</v>
      </c>
      <c r="C10" s="0" t="n">
        <v>16185</v>
      </c>
      <c r="D10" s="0" t="n">
        <v>2304</v>
      </c>
      <c r="E10" s="0" t="n">
        <v>12.5</v>
      </c>
      <c r="F10" s="0" t="n">
        <v>463</v>
      </c>
      <c r="G10" s="0" t="n">
        <v>2.5</v>
      </c>
      <c r="H10" s="0" t="n">
        <v>1337</v>
      </c>
      <c r="I10" s="0" t="n">
        <v>149</v>
      </c>
      <c r="J10" s="0" t="n">
        <v>0.8</v>
      </c>
      <c r="K10" s="0" t="n">
        <v>0.31</v>
      </c>
      <c r="L10" s="0" t="n">
        <v>972</v>
      </c>
      <c r="M10" s="0" t="n">
        <v>482</v>
      </c>
      <c r="N10" s="0" t="n">
        <v>490</v>
      </c>
      <c r="O10" s="0" t="n">
        <v>10464</v>
      </c>
      <c r="P10" s="0" t="n">
        <v>34586</v>
      </c>
      <c r="Q10" s="0" t="n">
        <v>24009</v>
      </c>
      <c r="R10" s="0" t="n">
        <v>2796</v>
      </c>
      <c r="S10" s="0" t="n">
        <v>2274</v>
      </c>
      <c r="T10" s="0" t="n">
        <v>451.62</v>
      </c>
      <c r="U10" s="0" t="n">
        <v>20</v>
      </c>
      <c r="V10" s="0" t="n">
        <v>0</v>
      </c>
      <c r="AA10" s="0" t="s">
        <v>17</v>
      </c>
      <c r="AB10" s="0" t="s">
        <v>14</v>
      </c>
      <c r="AC10" s="0" t="n">
        <v>1177</v>
      </c>
      <c r="AD10" s="0" t="n">
        <v>94960</v>
      </c>
      <c r="AE10" s="0" t="n">
        <v>1.07</v>
      </c>
      <c r="AF10" s="0" t="n">
        <v>19845</v>
      </c>
    </row>
    <row r="11" customFormat="false" ht="15" hidden="false" customHeight="false" outlineLevel="0" collapsed="false">
      <c r="A11" s="0" t="s">
        <v>76</v>
      </c>
      <c r="B11" s="0" t="n">
        <v>19171</v>
      </c>
      <c r="C11" s="0" t="n">
        <v>16819</v>
      </c>
      <c r="D11" s="0" t="n">
        <v>2352</v>
      </c>
      <c r="E11" s="0" t="n">
        <v>12.3</v>
      </c>
      <c r="F11" s="0" t="n">
        <v>544</v>
      </c>
      <c r="G11" s="0" t="n">
        <v>2.8</v>
      </c>
      <c r="H11" s="0" t="n">
        <v>1357</v>
      </c>
      <c r="I11" s="0" t="n">
        <v>324</v>
      </c>
      <c r="J11" s="0" t="n">
        <v>1.7</v>
      </c>
      <c r="K11" s="0" t="n">
        <v>0.6</v>
      </c>
      <c r="L11" s="0" t="n">
        <v>891</v>
      </c>
      <c r="M11" s="0" t="n">
        <v>567</v>
      </c>
      <c r="N11" s="0" t="n">
        <v>324</v>
      </c>
      <c r="O11" s="0" t="n">
        <v>10663</v>
      </c>
      <c r="P11" s="0" t="n">
        <v>35005</v>
      </c>
      <c r="Q11" s="0" t="n">
        <v>24221</v>
      </c>
      <c r="R11" s="0" t="n">
        <v>2761</v>
      </c>
      <c r="S11" s="0" t="n">
        <v>2297</v>
      </c>
      <c r="T11" s="0" t="n">
        <v>465.36</v>
      </c>
      <c r="U11" s="0" t="n">
        <v>12</v>
      </c>
      <c r="V11" s="0" t="n">
        <v>0</v>
      </c>
      <c r="AA11" s="0" t="s">
        <v>17</v>
      </c>
      <c r="AB11" s="0" t="s">
        <v>14</v>
      </c>
      <c r="AC11" s="0" t="n">
        <v>1168</v>
      </c>
      <c r="AD11" s="0" t="n">
        <v>104412</v>
      </c>
      <c r="AE11" s="0" t="n">
        <v>1.44</v>
      </c>
      <c r="AF11" s="0" t="n">
        <v>27628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77</v>
      </c>
      <c r="B1" s="2" t="s">
        <v>78</v>
      </c>
    </row>
    <row r="2" customFormat="false" ht="15" hidden="false" customHeight="false" outlineLevel="0" collapsed="false">
      <c r="A2" s="0" t="s">
        <v>79</v>
      </c>
      <c r="B2" s="3" t="n">
        <v>16.095</v>
      </c>
    </row>
    <row r="3" customFormat="false" ht="15" hidden="false" customHeight="false" outlineLevel="0" collapsed="false">
      <c r="A3" s="0" t="s">
        <v>80</v>
      </c>
      <c r="B3" s="3" t="n">
        <v>465.5</v>
      </c>
    </row>
    <row r="4" customFormat="false" ht="15" hidden="false" customHeight="false" outlineLevel="0" collapsed="false">
      <c r="A4" s="0" t="s">
        <v>81</v>
      </c>
      <c r="B4" s="3" t="n">
        <v>404</v>
      </c>
    </row>
    <row r="5" customFormat="false" ht="15" hidden="false" customHeight="false" outlineLevel="0" collapsed="false">
      <c r="A5" s="0" t="s">
        <v>82</v>
      </c>
      <c r="B5" s="3" t="n">
        <v>-1567</v>
      </c>
    </row>
    <row r="6" customFormat="false" ht="15" hidden="false" customHeight="false" outlineLevel="0" collapsed="false">
      <c r="A6" s="0" t="s">
        <v>83</v>
      </c>
      <c r="B6" s="3" t="n">
        <v>15</v>
      </c>
    </row>
    <row r="7" customFormat="false" ht="15" hidden="false" customHeight="false" outlineLevel="0" collapsed="false">
      <c r="A7" s="0" t="s">
        <v>84</v>
      </c>
      <c r="B7" s="3" t="n">
        <v>19171</v>
      </c>
    </row>
    <row r="8" customFormat="false" ht="15" hidden="false" customHeight="false" outlineLevel="0" collapsed="false">
      <c r="A8" s="0" t="s">
        <v>85</v>
      </c>
      <c r="B8" s="3" t="s">
        <v>76</v>
      </c>
    </row>
    <row r="9" customFormat="false" ht="15" hidden="false" customHeight="false" outlineLevel="0" collapsed="false">
      <c r="A9" s="0" t="s">
        <v>86</v>
      </c>
      <c r="B9" s="3" t="s">
        <v>87</v>
      </c>
    </row>
    <row r="10" customFormat="false" ht="15" hidden="false" customHeight="false" outlineLevel="0" collapsed="false">
      <c r="A10" s="0" t="s">
        <v>88</v>
      </c>
      <c r="B10" s="3" t="n">
        <v>1</v>
      </c>
    </row>
    <row r="12" customFormat="false" ht="15" hidden="false" customHeight="false" outlineLevel="0" collapsed="false">
      <c r="A12" s="2" t="s">
        <v>89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94</v>
      </c>
      <c r="H12" s="2" t="s">
        <v>95</v>
      </c>
      <c r="I12" s="2" t="s">
        <v>96</v>
      </c>
      <c r="J12" s="2" t="s">
        <v>97</v>
      </c>
      <c r="K12" s="2" t="s">
        <v>98</v>
      </c>
      <c r="L12" s="2" t="s">
        <v>99</v>
      </c>
    </row>
    <row r="13" customFormat="false" ht="15" hidden="false" customHeight="false" outlineLevel="0" collapsed="false">
      <c r="A13" s="0" t="s">
        <v>100</v>
      </c>
      <c r="C13" s="3" t="n">
        <v>3</v>
      </c>
      <c r="D13" s="3" t="n">
        <v>2</v>
      </c>
      <c r="E13" s="3" t="n">
        <v>2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101</v>
      </c>
      <c r="C14" s="3" t="n">
        <v>7.9</v>
      </c>
      <c r="D14" s="3" t="n">
        <v>7.8</v>
      </c>
      <c r="E14" s="3" t="n">
        <v>8.1</v>
      </c>
      <c r="F14" s="3" t="n">
        <v>8.4</v>
      </c>
      <c r="G14" s="3" t="n">
        <v>8.55</v>
      </c>
      <c r="H14" s="3" t="n">
        <v>8.8</v>
      </c>
      <c r="I14" s="3" t="n">
        <v>8.8</v>
      </c>
      <c r="J14" s="3" t="n">
        <v>8.8</v>
      </c>
      <c r="K14" s="3" t="n">
        <v>8.8</v>
      </c>
      <c r="L14" s="3" t="n">
        <v>8.8</v>
      </c>
    </row>
    <row r="15" customFormat="false" ht="15" hidden="false" customHeight="false" outlineLevel="0" collapsed="false">
      <c r="A15" s="0" t="s">
        <v>102</v>
      </c>
      <c r="C15" s="3" t="n">
        <v>0.07</v>
      </c>
      <c r="D15" s="3" t="n">
        <v>0.07</v>
      </c>
      <c r="E15" s="3" t="n">
        <v>0.07</v>
      </c>
      <c r="F15" s="3" t="n">
        <v>0.07</v>
      </c>
      <c r="G15" s="3" t="n">
        <v>0.07</v>
      </c>
      <c r="H15" s="3" t="n">
        <v>0.07</v>
      </c>
      <c r="I15" s="3" t="n">
        <v>0.07</v>
      </c>
      <c r="J15" s="3" t="n">
        <v>0.07</v>
      </c>
      <c r="K15" s="3" t="n">
        <v>0.07</v>
      </c>
      <c r="L15" s="3" t="n">
        <v>0.07</v>
      </c>
    </row>
    <row r="16" customFormat="false" ht="15" hidden="false" customHeight="false" outlineLevel="0" collapsed="false">
      <c r="A16" s="0" t="s">
        <v>103</v>
      </c>
      <c r="C16" s="3" t="n">
        <v>1.05</v>
      </c>
      <c r="D16" s="3" t="n">
        <v>1.05</v>
      </c>
      <c r="E16" s="3" t="n">
        <v>1.05</v>
      </c>
      <c r="F16" s="3" t="n">
        <v>1.05</v>
      </c>
      <c r="G16" s="3" t="n">
        <v>1.05</v>
      </c>
      <c r="H16" s="3" t="n">
        <v>1.05</v>
      </c>
      <c r="I16" s="3" t="n">
        <v>1.05</v>
      </c>
      <c r="J16" s="3" t="n">
        <v>1.05</v>
      </c>
      <c r="K16" s="3" t="n">
        <v>1.05</v>
      </c>
      <c r="L16" s="3" t="n">
        <v>1.05</v>
      </c>
    </row>
    <row r="17" customFormat="false" ht="15" hidden="false" customHeight="false" outlineLevel="0" collapsed="false">
      <c r="A17" s="0" t="s">
        <v>104</v>
      </c>
      <c r="C17" s="3" t="n">
        <v>2.1</v>
      </c>
      <c r="D17" s="3" t="n">
        <v>2.2</v>
      </c>
      <c r="E17" s="3" t="n">
        <v>2.3</v>
      </c>
      <c r="F17" s="3" t="n">
        <v>2.4</v>
      </c>
      <c r="G17" s="3" t="n">
        <v>2.45</v>
      </c>
      <c r="H17" s="3" t="n">
        <v>2.5</v>
      </c>
      <c r="I17" s="3" t="n">
        <v>2.5</v>
      </c>
      <c r="J17" s="3" t="n">
        <v>2.5</v>
      </c>
      <c r="K17" s="3" t="n">
        <v>2.5</v>
      </c>
      <c r="L17" s="3" t="n">
        <v>2.5</v>
      </c>
    </row>
    <row r="18" customFormat="false" ht="15" hidden="false" customHeight="false" outlineLevel="0" collapsed="false">
      <c r="A18" s="0" t="s">
        <v>105</v>
      </c>
      <c r="C18" s="3" t="n">
        <v>3.1</v>
      </c>
      <c r="D18" s="3" t="n">
        <v>3.1</v>
      </c>
      <c r="E18" s="3" t="n">
        <v>3</v>
      </c>
      <c r="F18" s="3" t="n">
        <v>3</v>
      </c>
      <c r="G18" s="3" t="n">
        <v>2.9</v>
      </c>
      <c r="H18" s="3" t="n">
        <v>2.9</v>
      </c>
      <c r="I18" s="3" t="n">
        <v>2.9</v>
      </c>
      <c r="J18" s="3" t="n">
        <v>2.9</v>
      </c>
      <c r="K18" s="3" t="n">
        <v>2.9</v>
      </c>
      <c r="L18" s="3" t="n">
        <v>2.9</v>
      </c>
    </row>
    <row r="19" customFormat="false" ht="15" hidden="false" customHeight="false" outlineLevel="0" collapsed="false">
      <c r="A19" s="0" t="s">
        <v>106</v>
      </c>
      <c r="C19" s="3" t="n">
        <v>26</v>
      </c>
      <c r="D19" s="3" t="n">
        <v>27</v>
      </c>
      <c r="E19" s="3" t="n">
        <v>28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</row>
    <row r="20" customFormat="false" ht="15" hidden="false" customHeight="false" outlineLevel="0" collapsed="false">
      <c r="A20" s="0" t="s">
        <v>107</v>
      </c>
      <c r="B20" s="3" t="n">
        <v>8.5</v>
      </c>
    </row>
    <row r="21" customFormat="false" ht="15" hidden="false" customHeight="false" outlineLevel="0" collapsed="false">
      <c r="A21" s="0" t="s">
        <v>108</v>
      </c>
      <c r="B21" s="3" t="n">
        <v>1.5</v>
      </c>
    </row>
    <row r="22" customFormat="false" ht="15" hidden="false" customHeight="false" outlineLevel="0" collapsed="false">
      <c r="A22" s="0" t="s">
        <v>109</v>
      </c>
      <c r="B22" s="3" t="n">
        <v>15</v>
      </c>
    </row>
    <row r="23" customFormat="false" ht="15" hidden="false" customHeight="false" outlineLevel="0" collapsed="false">
      <c r="A23" s="0" t="s">
        <v>110</v>
      </c>
      <c r="B23" s="3" t="n">
        <v>-25</v>
      </c>
    </row>
    <row r="24" customFormat="false" ht="15" hidden="false" customHeight="false" outlineLevel="0" collapsed="false">
      <c r="A24" s="0" t="s">
        <v>111</v>
      </c>
      <c r="B24" s="3" t="n">
        <v>0.3</v>
      </c>
    </row>
    <row r="26" customFormat="false" ht="15" hidden="false" customHeight="false" outlineLevel="0" collapsed="false">
      <c r="A26" s="2" t="s">
        <v>112</v>
      </c>
      <c r="C26" s="2" t="s">
        <v>90</v>
      </c>
      <c r="D26" s="2" t="s">
        <v>91</v>
      </c>
      <c r="E26" s="2" t="s">
        <v>92</v>
      </c>
      <c r="F26" s="2" t="s">
        <v>93</v>
      </c>
      <c r="G26" s="2" t="s">
        <v>94</v>
      </c>
      <c r="H26" s="2" t="s">
        <v>95</v>
      </c>
      <c r="I26" s="2" t="s">
        <v>96</v>
      </c>
      <c r="J26" s="2" t="s">
        <v>97</v>
      </c>
      <c r="K26" s="2" t="s">
        <v>98</v>
      </c>
      <c r="L26" s="2" t="s">
        <v>99</v>
      </c>
    </row>
    <row r="27" customFormat="false" ht="15" hidden="false" customHeight="false" outlineLevel="0" collapsed="false">
      <c r="A27" s="0" t="s">
        <v>100</v>
      </c>
      <c r="C27" s="3" t="n">
        <v>5</v>
      </c>
      <c r="D27" s="3" t="n">
        <v>5</v>
      </c>
      <c r="E27" s="3" t="n">
        <v>4.5</v>
      </c>
      <c r="F27" s="3" t="n">
        <v>4</v>
      </c>
      <c r="G27" s="3" t="n">
        <v>3.5</v>
      </c>
      <c r="H27" s="3" t="n">
        <v>3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101</v>
      </c>
      <c r="C28" s="3" t="n">
        <v>8.45</v>
      </c>
      <c r="D28" s="3" t="n">
        <v>8.95</v>
      </c>
      <c r="E28" s="3" t="n">
        <v>9.45</v>
      </c>
      <c r="F28" s="3" t="n">
        <v>9.9</v>
      </c>
      <c r="G28" s="3" t="n">
        <v>10.2</v>
      </c>
      <c r="H28" s="3" t="n">
        <v>10.5</v>
      </c>
      <c r="I28" s="3" t="n">
        <v>10.55</v>
      </c>
      <c r="J28" s="3" t="n">
        <v>10.55</v>
      </c>
      <c r="K28" s="3" t="n">
        <v>10.55</v>
      </c>
      <c r="L28" s="3" t="n">
        <v>10.55</v>
      </c>
    </row>
    <row r="29" customFormat="false" ht="15" hidden="false" customHeight="false" outlineLevel="0" collapsed="false">
      <c r="A29" s="0" t="s">
        <v>102</v>
      </c>
      <c r="C29" s="3" t="n">
        <v>0.07</v>
      </c>
      <c r="D29" s="3" t="n">
        <v>0.07</v>
      </c>
      <c r="E29" s="3" t="n">
        <v>0.07</v>
      </c>
      <c r="F29" s="3" t="n">
        <v>0.07</v>
      </c>
      <c r="G29" s="3" t="n">
        <v>0.07</v>
      </c>
      <c r="H29" s="3" t="n">
        <v>0.07</v>
      </c>
      <c r="I29" s="3" t="n">
        <v>0.07</v>
      </c>
      <c r="J29" s="3" t="n">
        <v>0.07</v>
      </c>
      <c r="K29" s="3" t="n">
        <v>0.07</v>
      </c>
      <c r="L29" s="3" t="n">
        <v>0.07</v>
      </c>
    </row>
    <row r="30" customFormat="false" ht="15" hidden="false" customHeight="false" outlineLevel="0" collapsed="false">
      <c r="A30" s="0" t="s">
        <v>103</v>
      </c>
      <c r="C30" s="3" t="n">
        <v>1.05</v>
      </c>
      <c r="D30" s="3" t="n">
        <v>1.05</v>
      </c>
      <c r="E30" s="3" t="n">
        <v>1.05</v>
      </c>
      <c r="F30" s="3" t="n">
        <v>1.05</v>
      </c>
      <c r="G30" s="3" t="n">
        <v>1.05</v>
      </c>
      <c r="H30" s="3" t="n">
        <v>1.05</v>
      </c>
      <c r="I30" s="3" t="n">
        <v>1.05</v>
      </c>
      <c r="J30" s="3" t="n">
        <v>1.05</v>
      </c>
      <c r="K30" s="3" t="n">
        <v>1.05</v>
      </c>
      <c r="L30" s="3" t="n">
        <v>1.05</v>
      </c>
    </row>
    <row r="31" customFormat="false" ht="15" hidden="false" customHeight="false" outlineLevel="0" collapsed="false">
      <c r="A31" s="0" t="s">
        <v>104</v>
      </c>
      <c r="C31" s="3" t="n">
        <v>2.1</v>
      </c>
      <c r="D31" s="3" t="n">
        <v>2.2</v>
      </c>
      <c r="E31" s="3" t="n">
        <v>2.3</v>
      </c>
      <c r="F31" s="3" t="n">
        <v>2.35</v>
      </c>
      <c r="G31" s="3" t="n">
        <v>2.4</v>
      </c>
      <c r="H31" s="3" t="n">
        <v>2.45</v>
      </c>
      <c r="I31" s="3" t="n">
        <v>2.5</v>
      </c>
      <c r="J31" s="3" t="n">
        <v>2.5</v>
      </c>
      <c r="K31" s="3" t="n">
        <v>2.5</v>
      </c>
      <c r="L31" s="3" t="n">
        <v>2.5</v>
      </c>
    </row>
    <row r="32" customFormat="false" ht="15" hidden="false" customHeight="false" outlineLevel="0" collapsed="false">
      <c r="A32" s="0" t="s">
        <v>105</v>
      </c>
      <c r="C32" s="3" t="n">
        <v>3.1</v>
      </c>
      <c r="D32" s="3" t="n">
        <v>3</v>
      </c>
      <c r="E32" s="3" t="n">
        <v>2.9</v>
      </c>
      <c r="F32" s="3" t="n">
        <v>2.8</v>
      </c>
      <c r="G32" s="3" t="n">
        <v>2.8</v>
      </c>
      <c r="H32" s="3" t="n">
        <v>2.7</v>
      </c>
      <c r="I32" s="3" t="n">
        <v>2.7</v>
      </c>
      <c r="J32" s="3" t="n">
        <v>2.7</v>
      </c>
      <c r="K32" s="3" t="n">
        <v>2.7</v>
      </c>
      <c r="L32" s="3" t="n">
        <v>2.7</v>
      </c>
    </row>
    <row r="33" customFormat="false" ht="15" hidden="false" customHeight="false" outlineLevel="0" collapsed="false">
      <c r="A33" s="0" t="s">
        <v>106</v>
      </c>
      <c r="C33" s="3" t="n">
        <v>25</v>
      </c>
      <c r="D33" s="3" t="n">
        <v>26</v>
      </c>
      <c r="E33" s="3" t="n">
        <v>27</v>
      </c>
      <c r="F33" s="3" t="n">
        <v>27</v>
      </c>
      <c r="G33" s="3" t="n">
        <v>27</v>
      </c>
      <c r="H33" s="3" t="n">
        <v>27</v>
      </c>
      <c r="I33" s="3" t="n">
        <v>27</v>
      </c>
      <c r="J33" s="3" t="n">
        <v>27</v>
      </c>
      <c r="K33" s="3" t="n">
        <v>27</v>
      </c>
      <c r="L33" s="3" t="n">
        <v>27</v>
      </c>
    </row>
    <row r="34" customFormat="false" ht="15" hidden="false" customHeight="false" outlineLevel="0" collapsed="false">
      <c r="A34" s="0" t="s">
        <v>107</v>
      </c>
      <c r="B34" s="3" t="n">
        <v>8.5</v>
      </c>
    </row>
    <row r="35" customFormat="false" ht="15" hidden="false" customHeight="false" outlineLevel="0" collapsed="false">
      <c r="A35" s="0" t="s">
        <v>108</v>
      </c>
      <c r="B35" s="3" t="n">
        <v>2</v>
      </c>
    </row>
    <row r="36" customFormat="false" ht="15" hidden="false" customHeight="false" outlineLevel="0" collapsed="false">
      <c r="A36" s="0" t="s">
        <v>109</v>
      </c>
      <c r="B36" s="3" t="n">
        <v>15</v>
      </c>
    </row>
    <row r="37" customFormat="false" ht="15" hidden="false" customHeight="false" outlineLevel="0" collapsed="false">
      <c r="A37" s="0" t="s">
        <v>110</v>
      </c>
      <c r="B37" s="3" t="n">
        <v>-10</v>
      </c>
    </row>
    <row r="38" customFormat="false" ht="15" hidden="false" customHeight="false" outlineLevel="0" collapsed="false">
      <c r="A38" s="0" t="s">
        <v>111</v>
      </c>
      <c r="B38" s="3" t="n">
        <v>0.5</v>
      </c>
    </row>
    <row r="40" customFormat="false" ht="15" hidden="false" customHeight="false" outlineLevel="0" collapsed="false">
      <c r="A40" s="2" t="s">
        <v>113</v>
      </c>
      <c r="C40" s="2" t="s">
        <v>90</v>
      </c>
      <c r="D40" s="2" t="s">
        <v>91</v>
      </c>
      <c r="E40" s="2" t="s">
        <v>92</v>
      </c>
      <c r="F40" s="2" t="s">
        <v>93</v>
      </c>
      <c r="G40" s="2" t="s">
        <v>94</v>
      </c>
      <c r="H40" s="2" t="s">
        <v>95</v>
      </c>
      <c r="I40" s="2" t="s">
        <v>96</v>
      </c>
      <c r="J40" s="2" t="s">
        <v>97</v>
      </c>
      <c r="K40" s="2" t="s">
        <v>98</v>
      </c>
      <c r="L40" s="2" t="s">
        <v>99</v>
      </c>
    </row>
    <row r="41" customFormat="false" ht="15" hidden="false" customHeight="false" outlineLevel="0" collapsed="false">
      <c r="A41" s="0" t="s">
        <v>100</v>
      </c>
      <c r="C41" s="3" t="n">
        <v>6</v>
      </c>
      <c r="D41" s="3" t="n">
        <v>6.5</v>
      </c>
      <c r="E41" s="3" t="n">
        <v>6</v>
      </c>
      <c r="F41" s="3" t="n">
        <v>5</v>
      </c>
      <c r="G41" s="3" t="n">
        <v>4.5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101</v>
      </c>
      <c r="C42" s="3" t="n">
        <v>8.55</v>
      </c>
      <c r="D42" s="3" t="n">
        <v>9.4</v>
      </c>
      <c r="E42" s="3" t="n">
        <v>10.25</v>
      </c>
      <c r="F42" s="3" t="n">
        <v>11</v>
      </c>
      <c r="G42" s="3" t="n">
        <v>11.5</v>
      </c>
      <c r="H42" s="3" t="n">
        <v>11.8</v>
      </c>
      <c r="I42" s="3" t="n">
        <v>12.05</v>
      </c>
      <c r="J42" s="3" t="n">
        <v>12.05</v>
      </c>
      <c r="K42" s="3" t="n">
        <v>12.05</v>
      </c>
      <c r="L42" s="3" t="n">
        <v>12.05</v>
      </c>
    </row>
    <row r="43" customFormat="false" ht="15" hidden="false" customHeight="false" outlineLevel="0" collapsed="false">
      <c r="A43" s="0" t="s">
        <v>102</v>
      </c>
      <c r="C43" s="3" t="n">
        <v>0.07</v>
      </c>
      <c r="D43" s="3" t="n">
        <v>0.07</v>
      </c>
      <c r="E43" s="3" t="n">
        <v>0.07</v>
      </c>
      <c r="F43" s="3" t="n">
        <v>0.07</v>
      </c>
      <c r="G43" s="3" t="n">
        <v>0.07</v>
      </c>
      <c r="H43" s="3" t="n">
        <v>0.07</v>
      </c>
      <c r="I43" s="3" t="n">
        <v>0.07</v>
      </c>
      <c r="J43" s="3" t="n">
        <v>0.07</v>
      </c>
      <c r="K43" s="3" t="n">
        <v>0.07</v>
      </c>
      <c r="L43" s="3" t="n">
        <v>0.07</v>
      </c>
    </row>
    <row r="44" customFormat="false" ht="15" hidden="false" customHeight="false" outlineLevel="0" collapsed="false">
      <c r="A44" s="0" t="s">
        <v>103</v>
      </c>
      <c r="C44" s="3" t="n">
        <v>1.05</v>
      </c>
      <c r="D44" s="3" t="n">
        <v>1.05</v>
      </c>
      <c r="E44" s="3" t="n">
        <v>1.05</v>
      </c>
      <c r="F44" s="3" t="n">
        <v>1.05</v>
      </c>
      <c r="G44" s="3" t="n">
        <v>1.05</v>
      </c>
      <c r="H44" s="3" t="n">
        <v>1.05</v>
      </c>
      <c r="I44" s="3" t="n">
        <v>1.05</v>
      </c>
      <c r="J44" s="3" t="n">
        <v>1.05</v>
      </c>
      <c r="K44" s="3" t="n">
        <v>1.05</v>
      </c>
      <c r="L44" s="3" t="n">
        <v>1.05</v>
      </c>
    </row>
    <row r="45" customFormat="false" ht="15" hidden="false" customHeight="false" outlineLevel="0" collapsed="false">
      <c r="A45" s="0" t="s">
        <v>104</v>
      </c>
      <c r="C45" s="3" t="n">
        <v>2.1</v>
      </c>
      <c r="D45" s="3" t="n">
        <v>2.2</v>
      </c>
      <c r="E45" s="3" t="n">
        <v>2.3</v>
      </c>
      <c r="F45" s="3" t="n">
        <v>2.35</v>
      </c>
      <c r="G45" s="3" t="n">
        <v>2.4</v>
      </c>
      <c r="H45" s="3" t="n">
        <v>2.45</v>
      </c>
      <c r="I45" s="3" t="n">
        <v>2.5</v>
      </c>
      <c r="J45" s="3" t="n">
        <v>2.5</v>
      </c>
      <c r="K45" s="3" t="n">
        <v>2.5</v>
      </c>
      <c r="L45" s="3" t="n">
        <v>2.5</v>
      </c>
    </row>
    <row r="46" customFormat="false" ht="15" hidden="false" customHeight="false" outlineLevel="0" collapsed="false">
      <c r="A46" s="0" t="s">
        <v>105</v>
      </c>
      <c r="C46" s="3" t="n">
        <v>3</v>
      </c>
      <c r="D46" s="3" t="n">
        <v>2.9</v>
      </c>
      <c r="E46" s="3" t="n">
        <v>2.8</v>
      </c>
      <c r="F46" s="3" t="n">
        <v>2.7</v>
      </c>
      <c r="G46" s="3" t="n">
        <v>2.7</v>
      </c>
      <c r="H46" s="3" t="n">
        <v>2.6</v>
      </c>
      <c r="I46" s="3" t="n">
        <v>2.6</v>
      </c>
      <c r="J46" s="3" t="n">
        <v>2.6</v>
      </c>
      <c r="K46" s="3" t="n">
        <v>2.6</v>
      </c>
      <c r="L46" s="3" t="n">
        <v>2.6</v>
      </c>
    </row>
    <row r="47" customFormat="false" ht="15" hidden="false" customHeight="false" outlineLevel="0" collapsed="false">
      <c r="A47" s="0" t="s">
        <v>106</v>
      </c>
      <c r="C47" s="3" t="n">
        <v>25</v>
      </c>
      <c r="D47" s="3" t="n">
        <v>26</v>
      </c>
      <c r="E47" s="3" t="n">
        <v>26</v>
      </c>
      <c r="F47" s="3" t="n">
        <v>26</v>
      </c>
      <c r="G47" s="3" t="n">
        <v>26</v>
      </c>
      <c r="H47" s="3" t="n">
        <v>26</v>
      </c>
      <c r="I47" s="3" t="n">
        <v>26</v>
      </c>
      <c r="J47" s="3" t="n">
        <v>26</v>
      </c>
      <c r="K47" s="3" t="n">
        <v>26</v>
      </c>
      <c r="L47" s="3" t="n">
        <v>26</v>
      </c>
    </row>
    <row r="48" customFormat="false" ht="15" hidden="false" customHeight="false" outlineLevel="0" collapsed="false">
      <c r="A48" s="0" t="s">
        <v>107</v>
      </c>
      <c r="B48" s="3" t="n">
        <v>8.5</v>
      </c>
    </row>
    <row r="49" customFormat="false" ht="15" hidden="false" customHeight="false" outlineLevel="0" collapsed="false">
      <c r="A49" s="0" t="s">
        <v>108</v>
      </c>
      <c r="B49" s="3" t="n">
        <v>2.5</v>
      </c>
    </row>
    <row r="50" customFormat="false" ht="15" hidden="false" customHeight="false" outlineLevel="0" collapsed="false">
      <c r="A50" s="0" t="s">
        <v>109</v>
      </c>
      <c r="B50" s="3" t="n">
        <v>15</v>
      </c>
    </row>
    <row r="51" customFormat="false" ht="15" hidden="false" customHeight="false" outlineLevel="0" collapsed="false">
      <c r="A51" s="0" t="s">
        <v>110</v>
      </c>
      <c r="B51" s="3" t="n">
        <v>0</v>
      </c>
    </row>
    <row r="52" customFormat="false" ht="15" hidden="false" customHeight="false" outlineLevel="0" collapsed="false">
      <c r="A52" s="0" t="s">
        <v>111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114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Assumptions!C13</f>
        <v>3</v>
      </c>
      <c r="D5" s="4" t="n">
        <f aca="false">Assumptions!D13</f>
        <v>2</v>
      </c>
      <c r="E5" s="4" t="n">
        <f aca="false">Assumptions!E13</f>
        <v>2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19171</v>
      </c>
      <c r="C6" s="0" t="n">
        <f aca="false">B6*(1+C5/100)</f>
        <v>19746.13</v>
      </c>
      <c r="D6" s="0" t="n">
        <f aca="false">C6*(1+D5/100)</f>
        <v>20141.0526</v>
      </c>
      <c r="E6" s="0" t="n">
        <f aca="false">D6*(1+E5/100)</f>
        <v>20543.873652</v>
      </c>
      <c r="F6" s="0" t="n">
        <f aca="false">E6*(1+F5/100)</f>
        <v>20954.75112504</v>
      </c>
      <c r="G6" s="0" t="n">
        <f aca="false">F6*(1+G5/100)</f>
        <v>21373.8461475408</v>
      </c>
      <c r="H6" s="0" t="n">
        <f aca="false">G6*(1+H5/100)</f>
        <v>21801.3230704916</v>
      </c>
      <c r="I6" s="0" t="n">
        <f aca="false">H6*(1+I5/100)</f>
        <v>22237.3495319015</v>
      </c>
      <c r="J6" s="0" t="n">
        <f aca="false">I6*(1+J5/100)</f>
        <v>22682.0965225395</v>
      </c>
      <c r="K6" s="0" t="n">
        <f aca="false">J6*(1+K5/100)</f>
        <v>23135.7384529903</v>
      </c>
      <c r="L6" s="0" t="n">
        <f aca="false">K6*(1+L5/100)</f>
        <v>23598.4532220501</v>
      </c>
    </row>
    <row r="7" customFormat="false" ht="15" hidden="false" customHeight="false" outlineLevel="0" collapsed="false">
      <c r="A7" s="0" t="s">
        <v>101</v>
      </c>
      <c r="C7" s="4" t="n">
        <f aca="false">Assumptions!C14</f>
        <v>7.9</v>
      </c>
      <c r="D7" s="4" t="n">
        <f aca="false">Assumptions!D14</f>
        <v>7.8</v>
      </c>
      <c r="E7" s="4" t="n">
        <f aca="false">Assumptions!E14</f>
        <v>8.1</v>
      </c>
      <c r="F7" s="4" t="n">
        <f aca="false">Assumptions!F14</f>
        <v>8.4</v>
      </c>
      <c r="G7" s="4" t="n">
        <f aca="false">Assumptions!G14</f>
        <v>8.55</v>
      </c>
      <c r="H7" s="4" t="n">
        <f aca="false">Assumptions!H14</f>
        <v>8.8</v>
      </c>
      <c r="I7" s="4" t="n">
        <f aca="false">Assumptions!I14</f>
        <v>8.8</v>
      </c>
      <c r="J7" s="4" t="n">
        <f aca="false">Assumptions!J14</f>
        <v>8.8</v>
      </c>
      <c r="K7" s="4" t="n">
        <f aca="false">Assumptions!K14</f>
        <v>8.8</v>
      </c>
      <c r="L7" s="4" t="n">
        <f aca="false">Assumptions!L14</f>
        <v>8.8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1559.94427</v>
      </c>
      <c r="D8" s="0" t="n">
        <f aca="false">D6*D7/100</f>
        <v>1571.0021028</v>
      </c>
      <c r="E8" s="0" t="n">
        <f aca="false">E6*E7/100</f>
        <v>1664.053765812</v>
      </c>
      <c r="F8" s="0" t="n">
        <f aca="false">F6*F7/100</f>
        <v>1760.19909450336</v>
      </c>
      <c r="G8" s="0" t="n">
        <f aca="false">G6*G7/100</f>
        <v>1827.46384561474</v>
      </c>
      <c r="H8" s="0" t="n">
        <f aca="false">H6*H7/100</f>
        <v>1918.51643020326</v>
      </c>
      <c r="I8" s="0" t="n">
        <f aca="false">I6*I7/100</f>
        <v>1956.88675880733</v>
      </c>
      <c r="J8" s="0" t="n">
        <f aca="false">J6*J7/100</f>
        <v>1996.02449398347</v>
      </c>
      <c r="K8" s="0" t="n">
        <f aca="false">K6*K7/100</f>
        <v>2035.94498386314</v>
      </c>
      <c r="L8" s="0" t="n">
        <f aca="false">L6*L7/100</f>
        <v>2076.66388354041</v>
      </c>
    </row>
    <row r="9" customFormat="false" ht="15" hidden="false" customHeight="false" outlineLevel="0" collapsed="false">
      <c r="A9" s="0" t="s">
        <v>102</v>
      </c>
      <c r="C9" s="4" t="n">
        <f aca="false">Assumptions!C15</f>
        <v>0.07</v>
      </c>
      <c r="D9" s="4" t="n">
        <f aca="false">Assumptions!D15</f>
        <v>0.07</v>
      </c>
      <c r="E9" s="4" t="n">
        <f aca="false">Assumptions!E15</f>
        <v>0.07</v>
      </c>
      <c r="F9" s="4" t="n">
        <f aca="false">Assumptions!F15</f>
        <v>0.07</v>
      </c>
      <c r="G9" s="4" t="n">
        <f aca="false">Assumptions!G15</f>
        <v>0.07</v>
      </c>
      <c r="H9" s="4" t="n">
        <f aca="false">Assumptions!H15</f>
        <v>0.07</v>
      </c>
      <c r="I9" s="4" t="n">
        <f aca="false">Assumptions!I15</f>
        <v>0.07</v>
      </c>
      <c r="J9" s="4" t="n">
        <f aca="false">Assumptions!J15</f>
        <v>0.07</v>
      </c>
      <c r="K9" s="4" t="n">
        <f aca="false">Assumptions!K15</f>
        <v>0.07</v>
      </c>
      <c r="L9" s="4" t="n">
        <f aca="false">Assumptions!L15</f>
        <v>0.07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-13.822291</v>
      </c>
      <c r="D10" s="0" t="n">
        <f aca="false">-D6*D9/100</f>
        <v>-14.09873682</v>
      </c>
      <c r="E10" s="0" t="n">
        <f aca="false">-E6*E9/100</f>
        <v>-14.3807115564</v>
      </c>
      <c r="F10" s="0" t="n">
        <f aca="false">-F6*F9/100</f>
        <v>-14.668325787528</v>
      </c>
      <c r="G10" s="0" t="n">
        <f aca="false">-G6*G9/100</f>
        <v>-14.9616923032786</v>
      </c>
      <c r="H10" s="0" t="n">
        <f aca="false">-H6*H9/100</f>
        <v>-15.2609261493441</v>
      </c>
      <c r="I10" s="0" t="n">
        <f aca="false">-I6*I9/100</f>
        <v>-15.566144672331</v>
      </c>
      <c r="J10" s="0" t="n">
        <f aca="false">-J6*J9/100</f>
        <v>-15.8774675657776</v>
      </c>
      <c r="K10" s="0" t="n">
        <f aca="false">-K6*K9/100</f>
        <v>-16.1950169170932</v>
      </c>
      <c r="L10" s="0" t="n">
        <f aca="false">-L6*L9/100</f>
        <v>-16.5189172554351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1338.787614</v>
      </c>
      <c r="D11" s="0" t="n">
        <f aca="false">D8+D10+D24</f>
        <v>1345.42231368</v>
      </c>
      <c r="E11" s="0" t="n">
        <f aca="false">E8+E10+E24</f>
        <v>1433.9623809096</v>
      </c>
      <c r="F11" s="0" t="n">
        <f aca="false">F8+F10+F24</f>
        <v>1525.50588190291</v>
      </c>
      <c r="G11" s="0" t="n">
        <f aca="false">G8+G10+G24</f>
        <v>1588.07676876228</v>
      </c>
      <c r="H11" s="0" t="n">
        <f aca="false">H8+H10+H24</f>
        <v>1674.34161181376</v>
      </c>
      <c r="I11" s="0" t="n">
        <f aca="false">I8+I10+I24</f>
        <v>1707.82844405003</v>
      </c>
      <c r="J11" s="0" t="n">
        <f aca="false">J8+J10+J24</f>
        <v>1741.98501293103</v>
      </c>
      <c r="K11" s="0" t="n">
        <f aca="false">K8+K10+K24</f>
        <v>1776.82471318965</v>
      </c>
      <c r="L11" s="0" t="n">
        <f aca="false">L8+L10+L24</f>
        <v>1812.36120745345</v>
      </c>
    </row>
    <row r="12" customFormat="false" ht="15" hidden="false" customHeight="false" outlineLevel="0" collapsed="false">
      <c r="A12" s="0" t="s">
        <v>119</v>
      </c>
      <c r="C12" s="4" t="n">
        <f aca="false">-C6*Assumptions!C17/100</f>
        <v>-414.66873</v>
      </c>
      <c r="D12" s="4" t="n">
        <f aca="false">-D6*Assumptions!D17/100</f>
        <v>-443.1031572</v>
      </c>
      <c r="E12" s="4" t="n">
        <f aca="false">-E6*Assumptions!E17/100</f>
        <v>-472.509093996</v>
      </c>
      <c r="F12" s="4" t="n">
        <f aca="false">-F6*Assumptions!F17/100</f>
        <v>-502.91402700096</v>
      </c>
      <c r="G12" s="4" t="n">
        <f aca="false">-G6*Assumptions!G17/100</f>
        <v>-523.65923061475</v>
      </c>
      <c r="H12" s="4" t="n">
        <f aca="false">-H6*Assumptions!H17/100</f>
        <v>-545.033076762291</v>
      </c>
      <c r="I12" s="4" t="n">
        <f aca="false">-I6*Assumptions!I17/100</f>
        <v>-555.933738297536</v>
      </c>
      <c r="J12" s="4" t="n">
        <f aca="false">-J6*Assumptions!J17/100</f>
        <v>-567.052413063487</v>
      </c>
      <c r="K12" s="4" t="n">
        <f aca="false">-K6*Assumptions!K17/100</f>
        <v>-578.393461324757</v>
      </c>
      <c r="L12" s="4" t="n">
        <f aca="false">-L6*Assumptions!L17/100</f>
        <v>-589.961330551252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924.118884</v>
      </c>
      <c r="D13" s="0" t="n">
        <f aca="false">D11+D12</f>
        <v>902.31915648</v>
      </c>
      <c r="E13" s="0" t="n">
        <f aca="false">E11+E12</f>
        <v>961.4532869136</v>
      </c>
      <c r="F13" s="0" t="n">
        <f aca="false">F11+F12</f>
        <v>1022.59185490195</v>
      </c>
      <c r="G13" s="0" t="n">
        <f aca="false">G11+G12</f>
        <v>1064.41753814753</v>
      </c>
      <c r="H13" s="0" t="n">
        <f aca="false">H11+H12</f>
        <v>1129.30853505147</v>
      </c>
      <c r="I13" s="0" t="n">
        <f aca="false">I11+I12</f>
        <v>1151.8947057525</v>
      </c>
      <c r="J13" s="0" t="n">
        <f aca="false">J11+J12</f>
        <v>1174.93259986755</v>
      </c>
      <c r="K13" s="0" t="n">
        <f aca="false">K11+K12</f>
        <v>1198.4312518649</v>
      </c>
      <c r="L13" s="0" t="n">
        <f aca="false">L11+L12</f>
        <v>1222.39987690219</v>
      </c>
    </row>
    <row r="14" customFormat="false" ht="15" hidden="false" customHeight="false" outlineLevel="0" collapsed="false">
      <c r="A14" s="0" t="s">
        <v>106</v>
      </c>
      <c r="C14" s="4" t="n">
        <f aca="false">Assumptions!C19</f>
        <v>26</v>
      </c>
      <c r="D14" s="4" t="n">
        <f aca="false">Assumptions!D19</f>
        <v>27</v>
      </c>
      <c r="E14" s="4" t="n">
        <f aca="false">Assumptions!E19</f>
        <v>28</v>
      </c>
      <c r="F14" s="4" t="n">
        <f aca="false">Assumptions!F19</f>
        <v>28</v>
      </c>
      <c r="G14" s="4" t="n">
        <f aca="false">Assumptions!G19</f>
        <v>28</v>
      </c>
      <c r="H14" s="4" t="n">
        <f aca="false">Assumptions!H19</f>
        <v>28</v>
      </c>
      <c r="I14" s="4" t="n">
        <f aca="false">Assumptions!I19</f>
        <v>28</v>
      </c>
      <c r="J14" s="4" t="n">
        <f aca="false">Assumptions!J19</f>
        <v>28</v>
      </c>
      <c r="K14" s="4" t="n">
        <f aca="false">Assumptions!K19</f>
        <v>28</v>
      </c>
      <c r="L14" s="4" t="n">
        <f aca="false">Assumptions!L19</f>
        <v>28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683.84797416</v>
      </c>
      <c r="D15" s="0" t="n">
        <f aca="false">D13-MAX(0,D13)*D14/100</f>
        <v>658.6929842304</v>
      </c>
      <c r="E15" s="0" t="n">
        <f aca="false">E13-MAX(0,E13)*E14/100</f>
        <v>692.246366577792</v>
      </c>
      <c r="F15" s="0" t="n">
        <f aca="false">F13-MAX(0,F13)*F14/100</f>
        <v>736.266135529406</v>
      </c>
      <c r="G15" s="0" t="n">
        <f aca="false">G13-MAX(0,G13)*G14/100</f>
        <v>766.380627466223</v>
      </c>
      <c r="H15" s="0" t="n">
        <f aca="false">H13-MAX(0,H13)*H14/100</f>
        <v>813.102145237055</v>
      </c>
      <c r="I15" s="0" t="n">
        <f aca="false">I13-MAX(0,I13)*I14/100</f>
        <v>829.364188141797</v>
      </c>
      <c r="J15" s="0" t="n">
        <f aca="false">J13-MAX(0,J13)*J14/100</f>
        <v>845.951471904633</v>
      </c>
      <c r="K15" s="0" t="n">
        <f aca="false">K13-MAX(0,K13)*K14/100</f>
        <v>862.870501342725</v>
      </c>
      <c r="L15" s="0" t="n">
        <f aca="false">L13-MAX(0,L13)*L14/100</f>
        <v>880.12791136958</v>
      </c>
    </row>
    <row r="16" customFormat="false" ht="15" hidden="false" customHeight="false" outlineLevel="0" collapsed="false">
      <c r="A16" s="0" t="s">
        <v>122</v>
      </c>
      <c r="C16" s="0" t="n">
        <f aca="false">-C12</f>
        <v>414.66873</v>
      </c>
      <c r="D16" s="0" t="n">
        <f aca="false">-D12</f>
        <v>443.1031572</v>
      </c>
      <c r="E16" s="0" t="n">
        <f aca="false">-E12</f>
        <v>472.509093996</v>
      </c>
      <c r="F16" s="0" t="n">
        <f aca="false">-F12</f>
        <v>502.91402700096</v>
      </c>
      <c r="G16" s="0" t="n">
        <f aca="false">-G12</f>
        <v>523.65923061475</v>
      </c>
      <c r="H16" s="0" t="n">
        <f aca="false">-H12</f>
        <v>545.033076762291</v>
      </c>
      <c r="I16" s="0" t="n">
        <f aca="false">-I12</f>
        <v>555.933738297536</v>
      </c>
      <c r="J16" s="0" t="n">
        <f aca="false">-J12</f>
        <v>567.052413063487</v>
      </c>
      <c r="K16" s="0" t="n">
        <f aca="false">-K12</f>
        <v>578.393461324757</v>
      </c>
      <c r="L16" s="0" t="n">
        <f aca="false">-L12</f>
        <v>589.961330551252</v>
      </c>
    </row>
    <row r="17" customFormat="false" ht="15" hidden="false" customHeight="false" outlineLevel="0" collapsed="false">
      <c r="A17" s="0" t="s">
        <v>123</v>
      </c>
      <c r="C17" s="4" t="n">
        <f aca="false">-C6*Assumptions!C18/100</f>
        <v>-612.13003</v>
      </c>
      <c r="D17" s="4" t="n">
        <f aca="false">-D6*Assumptions!D18/100</f>
        <v>-624.3726306</v>
      </c>
      <c r="E17" s="4" t="n">
        <f aca="false">-E6*Assumptions!E18/100</f>
        <v>-616.31620956</v>
      </c>
      <c r="F17" s="4" t="n">
        <f aca="false">-F6*Assumptions!F18/100</f>
        <v>-628.6425337512</v>
      </c>
      <c r="G17" s="4" t="n">
        <f aca="false">-G6*Assumptions!G18/100</f>
        <v>-619.841538278683</v>
      </c>
      <c r="H17" s="4" t="n">
        <f aca="false">-H6*Assumptions!H18/100</f>
        <v>-632.238369044257</v>
      </c>
      <c r="I17" s="4" t="n">
        <f aca="false">-I6*Assumptions!I18/100</f>
        <v>-644.883136425142</v>
      </c>
      <c r="J17" s="4" t="n">
        <f aca="false">-J6*Assumptions!J18/100</f>
        <v>-657.780799153645</v>
      </c>
      <c r="K17" s="4" t="n">
        <f aca="false">-K6*Assumptions!K18/100</f>
        <v>-670.936415136718</v>
      </c>
      <c r="L17" s="4" t="n">
        <f aca="false">-L6*Assumptions!L18/100</f>
        <v>-684.355143439452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(C6-B6)*Assumptions!$B$23/100</f>
        <v>-143.7825</v>
      </c>
      <c r="D18" s="4" t="n">
        <f aca="false">(D6-C6)*Assumptions!$B$23/100</f>
        <v>-98.7306500000004</v>
      </c>
      <c r="E18" s="4" t="n">
        <f aca="false">(E6-D6)*Assumptions!$B$23/100</f>
        <v>-100.705263</v>
      </c>
      <c r="F18" s="4" t="n">
        <f aca="false">(F6-E6)*Assumptions!$B$23/100</f>
        <v>-102.71936826</v>
      </c>
      <c r="G18" s="4" t="n">
        <f aca="false">(G6-F6)*Assumptions!$B$23/100</f>
        <v>-104.7737556252</v>
      </c>
      <c r="H18" s="4" t="n">
        <f aca="false">(H6-G6)*Assumptions!$B$23/100</f>
        <v>-106.869230737704</v>
      </c>
      <c r="I18" s="4" t="n">
        <f aca="false">(I6-H6)*Assumptions!$B$23/100</f>
        <v>-109.006615352459</v>
      </c>
      <c r="J18" s="4" t="n">
        <f aca="false">(J6-I6)*Assumptions!$B$23/100</f>
        <v>-111.186747659507</v>
      </c>
      <c r="K18" s="4" t="n">
        <f aca="false">(K6-J6)*Assumptions!$B$23/100</f>
        <v>-113.410482612698</v>
      </c>
      <c r="L18" s="4" t="n">
        <f aca="false">(L6-K6)*Assumptions!$B$23/100</f>
        <v>-115.678692264952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342.60417416</v>
      </c>
      <c r="D19" s="0" t="n">
        <f aca="false">D15+D16+D17+D18</f>
        <v>378.692860830399</v>
      </c>
      <c r="E19" s="0" t="n">
        <f aca="false">E15+E16+E17+E18</f>
        <v>447.733988013792</v>
      </c>
      <c r="F19" s="0" t="n">
        <f aca="false">F15+F16+F17+F18</f>
        <v>507.818260519166</v>
      </c>
      <c r="G19" s="0" t="n">
        <f aca="false">G15+G16+G17+G18</f>
        <v>565.424564177089</v>
      </c>
      <c r="H19" s="0" t="n">
        <f aca="false">H15+H16+H17+H18</f>
        <v>619.027622217385</v>
      </c>
      <c r="I19" s="0" t="n">
        <f aca="false">I15+I16+I17+I18</f>
        <v>631.408174661733</v>
      </c>
      <c r="J19" s="0" t="n">
        <f aca="false">J15+J16+J17+J18</f>
        <v>644.036338154967</v>
      </c>
      <c r="K19" s="0" t="n">
        <f aca="false">K15+K16+K17+K18</f>
        <v>656.917064918067</v>
      </c>
      <c r="L19" s="0" t="n">
        <f aca="false">L15+L16+L17+L18</f>
        <v>670.055406216428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315.764215815668</v>
      </c>
      <c r="D21" s="0" t="n">
        <f aca="false">D19*D20</f>
        <v>321.682652704793</v>
      </c>
      <c r="E21" s="0" t="n">
        <f aca="false">E19*E20</f>
        <v>350.534565158685</v>
      </c>
      <c r="F21" s="0" t="n">
        <f aca="false">F19*F20</f>
        <v>366.428597872314</v>
      </c>
      <c r="G21" s="0" t="n">
        <f aca="false">G19*G20</f>
        <v>376.033018620832</v>
      </c>
      <c r="H21" s="0" t="n">
        <f aca="false">H19*H20</f>
        <v>379.42994197677</v>
      </c>
      <c r="I21" s="0" t="n">
        <f aca="false">I19*I20</f>
        <v>356.699115959728</v>
      </c>
      <c r="J21" s="0" t="n">
        <f aca="false">J19*J20</f>
        <v>335.330044496703</v>
      </c>
      <c r="K21" s="0" t="n">
        <f aca="false">K19*K20</f>
        <v>315.241147821785</v>
      </c>
      <c r="L21" s="0" t="n">
        <f aca="false">L19*L20</f>
        <v>296.355733436148</v>
      </c>
    </row>
    <row r="23" customFormat="false" ht="15" hidden="false" customHeight="false" outlineLevel="0" collapsed="false">
      <c r="A23" s="0" t="s">
        <v>103</v>
      </c>
      <c r="C23" s="4" t="n">
        <f aca="false">Assumptions!C16</f>
        <v>1.05</v>
      </c>
      <c r="D23" s="4" t="n">
        <f aca="false">Assumptions!D16</f>
        <v>1.05</v>
      </c>
      <c r="E23" s="4" t="n">
        <f aca="false">Assumptions!E16</f>
        <v>1.05</v>
      </c>
      <c r="F23" s="4" t="n">
        <f aca="false">Assumptions!F16</f>
        <v>1.05</v>
      </c>
      <c r="G23" s="4" t="n">
        <f aca="false">Assumptions!G16</f>
        <v>1.05</v>
      </c>
      <c r="H23" s="4" t="n">
        <f aca="false">Assumptions!H16</f>
        <v>1.05</v>
      </c>
      <c r="I23" s="4" t="n">
        <f aca="false">Assumptions!I16</f>
        <v>1.05</v>
      </c>
      <c r="J23" s="4" t="n">
        <f aca="false">Assumptions!J16</f>
        <v>1.05</v>
      </c>
      <c r="K23" s="4" t="n">
        <f aca="false">Assumptions!K16</f>
        <v>1.05</v>
      </c>
      <c r="L23" s="4" t="n">
        <f aca="false">Assumptions!L16</f>
        <v>1.05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-207.334365</v>
      </c>
      <c r="D24" s="0" t="n">
        <f aca="false">-D6*D23/100</f>
        <v>-211.4810523</v>
      </c>
      <c r="E24" s="0" t="n">
        <f aca="false">-E6*E23/100</f>
        <v>-215.710673346</v>
      </c>
      <c r="F24" s="0" t="n">
        <f aca="false">-F6*F23/100</f>
        <v>-220.02488681292</v>
      </c>
      <c r="G24" s="0" t="n">
        <f aca="false">-G6*G23/100</f>
        <v>-224.425384549178</v>
      </c>
      <c r="H24" s="0" t="n">
        <f aca="false">-H6*H23/100</f>
        <v>-228.913892240162</v>
      </c>
      <c r="I24" s="0" t="n">
        <f aca="false">-I6*I23/100</f>
        <v>-233.492170084965</v>
      </c>
      <c r="J24" s="0" t="n">
        <f aca="false">-J6*J23/100</f>
        <v>-238.162013486665</v>
      </c>
      <c r="K24" s="0" t="n">
        <f aca="false">-K6*K23/100</f>
        <v>-242.925253756398</v>
      </c>
      <c r="L24" s="0" t="n">
        <f aca="false">-L6*L23/100</f>
        <v>-247.783758831526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108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109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3413.49903386343</v>
      </c>
    </row>
    <row r="31" customFormat="false" ht="15" hidden="false" customHeight="false" outlineLevel="0" collapsed="false">
      <c r="A31" s="0" t="s">
        <v>131</v>
      </c>
      <c r="B31" s="0" t="n">
        <f aca="false">L19</f>
        <v>670.055406216428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9715.8033901382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10050.8310932464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9715.8033901382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4297.15813482415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7710.65716868757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5739.65716868757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12.3300905879432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-0.233917950422912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98.0014354189873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105.938104527063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12.7681991592559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5037.82398007166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3.85023481737356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Assumptions!C27</f>
        <v>5</v>
      </c>
      <c r="D5" s="4" t="n">
        <f aca="false">Assumptions!D27</f>
        <v>5</v>
      </c>
      <c r="E5" s="4" t="n">
        <f aca="false">Assumptions!E27</f>
        <v>4.5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19171</v>
      </c>
      <c r="C6" s="0" t="n">
        <f aca="false">B6*(1+C5/100)</f>
        <v>20129.55</v>
      </c>
      <c r="D6" s="0" t="n">
        <f aca="false">C6*(1+D5/100)</f>
        <v>21136.0275</v>
      </c>
      <c r="E6" s="0" t="n">
        <f aca="false">D6*(1+E5/100)</f>
        <v>22087.1487375</v>
      </c>
      <c r="F6" s="0" t="n">
        <f aca="false">E6*(1+F5/100)</f>
        <v>22970.634687</v>
      </c>
      <c r="G6" s="0" t="n">
        <f aca="false">F6*(1+G5/100)</f>
        <v>23774.606901045</v>
      </c>
      <c r="H6" s="0" t="n">
        <f aca="false">G6*(1+H5/100)</f>
        <v>24487.8451080764</v>
      </c>
      <c r="I6" s="0" t="n">
        <f aca="false">H6*(1+I5/100)</f>
        <v>25222.4804613186</v>
      </c>
      <c r="J6" s="0" t="n">
        <f aca="false">I6*(1+J5/100)</f>
        <v>25853.0424728516</v>
      </c>
      <c r="K6" s="0" t="n">
        <f aca="false">J6*(1+K5/100)</f>
        <v>26499.3685346729</v>
      </c>
      <c r="L6" s="0" t="n">
        <f aca="false">K6*(1+L5/100)</f>
        <v>27161.8527480397</v>
      </c>
    </row>
    <row r="7" customFormat="false" ht="15" hidden="false" customHeight="false" outlineLevel="0" collapsed="false">
      <c r="A7" s="0" t="s">
        <v>101</v>
      </c>
      <c r="C7" s="4" t="n">
        <f aca="false">Assumptions!C28</f>
        <v>8.45</v>
      </c>
      <c r="D7" s="4" t="n">
        <f aca="false">Assumptions!D28</f>
        <v>8.95</v>
      </c>
      <c r="E7" s="4" t="n">
        <f aca="false">Assumptions!E28</f>
        <v>9.45</v>
      </c>
      <c r="F7" s="4" t="n">
        <f aca="false">Assumptions!F28</f>
        <v>9.9</v>
      </c>
      <c r="G7" s="4" t="n">
        <f aca="false">Assumptions!G28</f>
        <v>10.2</v>
      </c>
      <c r="H7" s="4" t="n">
        <f aca="false">Assumptions!H28</f>
        <v>10.5</v>
      </c>
      <c r="I7" s="4" t="n">
        <f aca="false">Assumptions!I28</f>
        <v>10.55</v>
      </c>
      <c r="J7" s="4" t="n">
        <f aca="false">Assumptions!J28</f>
        <v>10.55</v>
      </c>
      <c r="K7" s="4" t="n">
        <f aca="false">Assumptions!K28</f>
        <v>10.55</v>
      </c>
      <c r="L7" s="4" t="n">
        <f aca="false">Assumptions!L28</f>
        <v>10.55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1700.946975</v>
      </c>
      <c r="D8" s="0" t="n">
        <f aca="false">D6*D7/100</f>
        <v>1891.67446125</v>
      </c>
      <c r="E8" s="0" t="n">
        <f aca="false">E6*E7/100</f>
        <v>2087.23555569375</v>
      </c>
      <c r="F8" s="0" t="n">
        <f aca="false">F6*F7/100</f>
        <v>2274.092834013</v>
      </c>
      <c r="G8" s="0" t="n">
        <f aca="false">G6*G7/100</f>
        <v>2425.00990390659</v>
      </c>
      <c r="H8" s="0" t="n">
        <f aca="false">H6*H7/100</f>
        <v>2571.22373634802</v>
      </c>
      <c r="I8" s="0" t="n">
        <f aca="false">I6*I7/100</f>
        <v>2660.97168866912</v>
      </c>
      <c r="J8" s="0" t="n">
        <f aca="false">J6*J7/100</f>
        <v>2727.49598088584</v>
      </c>
      <c r="K8" s="0" t="n">
        <f aca="false">K6*K7/100</f>
        <v>2795.68338040799</v>
      </c>
      <c r="L8" s="0" t="n">
        <f aca="false">L6*L7/100</f>
        <v>2865.57546491819</v>
      </c>
    </row>
    <row r="9" customFormat="false" ht="15" hidden="false" customHeight="false" outlineLevel="0" collapsed="false">
      <c r="A9" s="0" t="s">
        <v>102</v>
      </c>
      <c r="C9" s="4" t="n">
        <f aca="false">Assumptions!C29</f>
        <v>0.07</v>
      </c>
      <c r="D9" s="4" t="n">
        <f aca="false">Assumptions!D29</f>
        <v>0.07</v>
      </c>
      <c r="E9" s="4" t="n">
        <f aca="false">Assumptions!E29</f>
        <v>0.07</v>
      </c>
      <c r="F9" s="4" t="n">
        <f aca="false">Assumptions!F29</f>
        <v>0.07</v>
      </c>
      <c r="G9" s="4" t="n">
        <f aca="false">Assumptions!G29</f>
        <v>0.07</v>
      </c>
      <c r="H9" s="4" t="n">
        <f aca="false">Assumptions!H29</f>
        <v>0.07</v>
      </c>
      <c r="I9" s="4" t="n">
        <f aca="false">Assumptions!I29</f>
        <v>0.07</v>
      </c>
      <c r="J9" s="4" t="n">
        <f aca="false">Assumptions!J29</f>
        <v>0.07</v>
      </c>
      <c r="K9" s="4" t="n">
        <f aca="false">Assumptions!K29</f>
        <v>0.07</v>
      </c>
      <c r="L9" s="4" t="n">
        <f aca="false">Assumptions!L29</f>
        <v>0.07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-14.090685</v>
      </c>
      <c r="D10" s="0" t="n">
        <f aca="false">-D6*D9/100</f>
        <v>-14.79521925</v>
      </c>
      <c r="E10" s="0" t="n">
        <f aca="false">-E6*E9/100</f>
        <v>-15.46100411625</v>
      </c>
      <c r="F10" s="0" t="n">
        <f aca="false">-F6*F9/100</f>
        <v>-16.0794442809</v>
      </c>
      <c r="G10" s="0" t="n">
        <f aca="false">-G6*G9/100</f>
        <v>-16.6422248307315</v>
      </c>
      <c r="H10" s="0" t="n">
        <f aca="false">-H6*H9/100</f>
        <v>-17.1414915756534</v>
      </c>
      <c r="I10" s="0" t="n">
        <f aca="false">-I6*I9/100</f>
        <v>-17.6557363229231</v>
      </c>
      <c r="J10" s="0" t="n">
        <f aca="false">-J6*J9/100</f>
        <v>-18.0971297309961</v>
      </c>
      <c r="K10" s="0" t="n">
        <f aca="false">-K6*K9/100</f>
        <v>-18.549557974271</v>
      </c>
      <c r="L10" s="0" t="n">
        <f aca="false">-L6*L9/100</f>
        <v>-19.0132969236278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1475.496015</v>
      </c>
      <c r="D11" s="0" t="n">
        <f aca="false">D8+D10+D24</f>
        <v>1654.95095325</v>
      </c>
      <c r="E11" s="0" t="n">
        <f aca="false">E8+E10+E24</f>
        <v>1839.85948983375</v>
      </c>
      <c r="F11" s="0" t="n">
        <f aca="false">F8+F10+F24</f>
        <v>2016.8217255186</v>
      </c>
      <c r="G11" s="0" t="n">
        <f aca="false">G8+G10+G24</f>
        <v>2158.73430661489</v>
      </c>
      <c r="H11" s="0" t="n">
        <f aca="false">H8+H10+H24</f>
        <v>2296.95987113756</v>
      </c>
      <c r="I11" s="0" t="n">
        <f aca="false">I8+I10+I24</f>
        <v>2378.47990750235</v>
      </c>
      <c r="J11" s="0" t="n">
        <f aca="false">J8+J10+J24</f>
        <v>2437.94190518991</v>
      </c>
      <c r="K11" s="0" t="n">
        <f aca="false">K8+K10+K24</f>
        <v>2498.89045281965</v>
      </c>
      <c r="L11" s="0" t="n">
        <f aca="false">L8+L10+L24</f>
        <v>2561.36271414015</v>
      </c>
    </row>
    <row r="12" customFormat="false" ht="15" hidden="false" customHeight="false" outlineLevel="0" collapsed="false">
      <c r="A12" s="0" t="s">
        <v>119</v>
      </c>
      <c r="C12" s="4" t="n">
        <f aca="false">-C6*Assumptions!C31/100</f>
        <v>-422.72055</v>
      </c>
      <c r="D12" s="4" t="n">
        <f aca="false">-D6*Assumptions!D31/100</f>
        <v>-464.992605</v>
      </c>
      <c r="E12" s="4" t="n">
        <f aca="false">-E6*Assumptions!E31/100</f>
        <v>-508.0044209625</v>
      </c>
      <c r="F12" s="4" t="n">
        <f aca="false">-F6*Assumptions!F31/100</f>
        <v>-539.8099151445</v>
      </c>
      <c r="G12" s="4" t="n">
        <f aca="false">-G6*Assumptions!G31/100</f>
        <v>-570.59056562508</v>
      </c>
      <c r="H12" s="4" t="n">
        <f aca="false">-H6*Assumptions!H31/100</f>
        <v>-599.952205147871</v>
      </c>
      <c r="I12" s="4" t="n">
        <f aca="false">-I6*Assumptions!I31/100</f>
        <v>-630.562011532966</v>
      </c>
      <c r="J12" s="4" t="n">
        <f aca="false">-J6*Assumptions!J31/100</f>
        <v>-646.32606182129</v>
      </c>
      <c r="K12" s="4" t="n">
        <f aca="false">-K6*Assumptions!K31/100</f>
        <v>-662.484213366822</v>
      </c>
      <c r="L12" s="4" t="n">
        <f aca="false">-L6*Assumptions!L31/100</f>
        <v>-679.046318700993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1052.775465</v>
      </c>
      <c r="D13" s="0" t="n">
        <f aca="false">D11+D12</f>
        <v>1189.95834825</v>
      </c>
      <c r="E13" s="0" t="n">
        <f aca="false">E11+E12</f>
        <v>1331.85506887125</v>
      </c>
      <c r="F13" s="0" t="n">
        <f aca="false">F11+F12</f>
        <v>1477.0118103741</v>
      </c>
      <c r="G13" s="0" t="n">
        <f aca="false">G11+G12</f>
        <v>1588.14374098981</v>
      </c>
      <c r="H13" s="0" t="n">
        <f aca="false">H11+H12</f>
        <v>1697.00766598969</v>
      </c>
      <c r="I13" s="0" t="n">
        <f aca="false">I11+I12</f>
        <v>1747.91789596938</v>
      </c>
      <c r="J13" s="0" t="n">
        <f aca="false">J11+J12</f>
        <v>1791.61584336862</v>
      </c>
      <c r="K13" s="0" t="n">
        <f aca="false">K11+K12</f>
        <v>1836.40623945283</v>
      </c>
      <c r="L13" s="0" t="n">
        <f aca="false">L11+L12</f>
        <v>1882.31639543915</v>
      </c>
    </row>
    <row r="14" customFormat="false" ht="15" hidden="false" customHeight="false" outlineLevel="0" collapsed="false">
      <c r="A14" s="0" t="s">
        <v>106</v>
      </c>
      <c r="C14" s="4" t="n">
        <f aca="false">Assumptions!C33</f>
        <v>25</v>
      </c>
      <c r="D14" s="4" t="n">
        <f aca="false">Assumptions!D33</f>
        <v>26</v>
      </c>
      <c r="E14" s="4" t="n">
        <f aca="false">Assumptions!E33</f>
        <v>27</v>
      </c>
      <c r="F14" s="4" t="n">
        <f aca="false">Assumptions!F33</f>
        <v>27</v>
      </c>
      <c r="G14" s="4" t="n">
        <f aca="false">Assumptions!G33</f>
        <v>27</v>
      </c>
      <c r="H14" s="4" t="n">
        <f aca="false">Assumptions!H33</f>
        <v>27</v>
      </c>
      <c r="I14" s="4" t="n">
        <f aca="false">Assumptions!I33</f>
        <v>27</v>
      </c>
      <c r="J14" s="4" t="n">
        <f aca="false">Assumptions!J33</f>
        <v>27</v>
      </c>
      <c r="K14" s="4" t="n">
        <f aca="false">Assumptions!K33</f>
        <v>27</v>
      </c>
      <c r="L14" s="4" t="n">
        <f aca="false">Assumptions!L33</f>
        <v>27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789.58159875</v>
      </c>
      <c r="D15" s="0" t="n">
        <f aca="false">D13-MAX(0,D13)*D14/100</f>
        <v>880.569177705</v>
      </c>
      <c r="E15" s="0" t="n">
        <f aca="false">E13-MAX(0,E13)*E14/100</f>
        <v>972.254200276013</v>
      </c>
      <c r="F15" s="0" t="n">
        <f aca="false">F13-MAX(0,F13)*F14/100</f>
        <v>1078.21862157309</v>
      </c>
      <c r="G15" s="0" t="n">
        <f aca="false">G13-MAX(0,G13)*G14/100</f>
        <v>1159.34493092256</v>
      </c>
      <c r="H15" s="0" t="n">
        <f aca="false">H13-MAX(0,H13)*H14/100</f>
        <v>1238.81559617247</v>
      </c>
      <c r="I15" s="0" t="n">
        <f aca="false">I13-MAX(0,I13)*I14/100</f>
        <v>1275.98006405765</v>
      </c>
      <c r="J15" s="0" t="n">
        <f aca="false">J13-MAX(0,J13)*J14/100</f>
        <v>1307.87956565909</v>
      </c>
      <c r="K15" s="0" t="n">
        <f aca="false">K13-MAX(0,K13)*K14/100</f>
        <v>1340.57655480057</v>
      </c>
      <c r="L15" s="0" t="n">
        <f aca="false">L13-MAX(0,L13)*L14/100</f>
        <v>1374.09096867058</v>
      </c>
    </row>
    <row r="16" customFormat="false" ht="15" hidden="false" customHeight="false" outlineLevel="0" collapsed="false">
      <c r="A16" s="0" t="s">
        <v>122</v>
      </c>
      <c r="C16" s="0" t="n">
        <f aca="false">-C12</f>
        <v>422.72055</v>
      </c>
      <c r="D16" s="0" t="n">
        <f aca="false">-D12</f>
        <v>464.992605</v>
      </c>
      <c r="E16" s="0" t="n">
        <f aca="false">-E12</f>
        <v>508.0044209625</v>
      </c>
      <c r="F16" s="0" t="n">
        <f aca="false">-F12</f>
        <v>539.8099151445</v>
      </c>
      <c r="G16" s="0" t="n">
        <f aca="false">-G12</f>
        <v>570.59056562508</v>
      </c>
      <c r="H16" s="0" t="n">
        <f aca="false">-H12</f>
        <v>599.952205147871</v>
      </c>
      <c r="I16" s="0" t="n">
        <f aca="false">-I12</f>
        <v>630.562011532966</v>
      </c>
      <c r="J16" s="0" t="n">
        <f aca="false">-J12</f>
        <v>646.32606182129</v>
      </c>
      <c r="K16" s="0" t="n">
        <f aca="false">-K12</f>
        <v>662.484213366822</v>
      </c>
      <c r="L16" s="0" t="n">
        <f aca="false">-L12</f>
        <v>679.046318700993</v>
      </c>
    </row>
    <row r="17" customFormat="false" ht="15" hidden="false" customHeight="false" outlineLevel="0" collapsed="false">
      <c r="A17" s="0" t="s">
        <v>123</v>
      </c>
      <c r="C17" s="4" t="n">
        <f aca="false">-C6*Assumptions!C32/100</f>
        <v>-624.01605</v>
      </c>
      <c r="D17" s="4" t="n">
        <f aca="false">-D6*Assumptions!D32/100</f>
        <v>-634.080825</v>
      </c>
      <c r="E17" s="4" t="n">
        <f aca="false">-E6*Assumptions!E32/100</f>
        <v>-640.5273133875</v>
      </c>
      <c r="F17" s="4" t="n">
        <f aca="false">-F6*Assumptions!F32/100</f>
        <v>-643.177771236</v>
      </c>
      <c r="G17" s="4" t="n">
        <f aca="false">-G6*Assumptions!G32/100</f>
        <v>-665.68899322926</v>
      </c>
      <c r="H17" s="4" t="n">
        <f aca="false">-H6*Assumptions!H32/100</f>
        <v>-661.171817918062</v>
      </c>
      <c r="I17" s="4" t="n">
        <f aca="false">-I6*Assumptions!I32/100</f>
        <v>-681.006972455603</v>
      </c>
      <c r="J17" s="4" t="n">
        <f aca="false">-J6*Assumptions!J32/100</f>
        <v>-698.032146766993</v>
      </c>
      <c r="K17" s="4" t="n">
        <f aca="false">-K6*Assumptions!K32/100</f>
        <v>-715.482950436168</v>
      </c>
      <c r="L17" s="4" t="n">
        <f aca="false">-L6*Assumptions!L32/100</f>
        <v>-733.370024197072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(C6-B6)*Assumptions!$B$37/100</f>
        <v>-95.8549999999999</v>
      </c>
      <c r="D18" s="4" t="n">
        <f aca="false">(D6-C6)*Assumptions!$B$37/100</f>
        <v>-100.64775</v>
      </c>
      <c r="E18" s="4" t="n">
        <f aca="false">(E6-D6)*Assumptions!$B$37/100</f>
        <v>-95.11212375</v>
      </c>
      <c r="F18" s="4" t="n">
        <f aca="false">(F6-E6)*Assumptions!$B$37/100</f>
        <v>-88.3485949500002</v>
      </c>
      <c r="G18" s="4" t="n">
        <f aca="false">(G6-F6)*Assumptions!$B$37/100</f>
        <v>-80.3972214044999</v>
      </c>
      <c r="H18" s="4" t="n">
        <f aca="false">(H6-G6)*Assumptions!$B$37/100</f>
        <v>-71.3238207031351</v>
      </c>
      <c r="I18" s="4" t="n">
        <f aca="false">(I6-H6)*Assumptions!$B$37/100</f>
        <v>-73.4635353242291</v>
      </c>
      <c r="J18" s="4" t="n">
        <f aca="false">(J6-I6)*Assumptions!$B$37/100</f>
        <v>-63.0562011532962</v>
      </c>
      <c r="K18" s="4" t="n">
        <f aca="false">(K6-J6)*Assumptions!$B$37/100</f>
        <v>-64.6326061821288</v>
      </c>
      <c r="L18" s="4" t="n">
        <f aca="false">(L6-K6)*Assumptions!$B$37/100</f>
        <v>-66.2484213366821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492.43109875</v>
      </c>
      <c r="D19" s="0" t="n">
        <f aca="false">D15+D16+D17+D18</f>
        <v>610.833207705</v>
      </c>
      <c r="E19" s="0" t="n">
        <f aca="false">E15+E16+E17+E18</f>
        <v>744.619184101013</v>
      </c>
      <c r="F19" s="0" t="n">
        <f aca="false">F15+F16+F17+F18</f>
        <v>886.502170531593</v>
      </c>
      <c r="G19" s="0" t="n">
        <f aca="false">G15+G16+G17+G18</f>
        <v>983.849281913878</v>
      </c>
      <c r="H19" s="0" t="n">
        <f aca="false">H15+H16+H17+H18</f>
        <v>1106.27216269915</v>
      </c>
      <c r="I19" s="0" t="n">
        <f aca="false">I15+I16+I17+I18</f>
        <v>1152.07156781078</v>
      </c>
      <c r="J19" s="0" t="n">
        <f aca="false">J15+J16+J17+J18</f>
        <v>1193.11727956009</v>
      </c>
      <c r="K19" s="0" t="n">
        <f aca="false">K15+K16+K17+K18</f>
        <v>1222.94521154909</v>
      </c>
      <c r="L19" s="0" t="n">
        <f aca="false">L15+L16+L17+L18</f>
        <v>1253.51884183782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453.853547235023</v>
      </c>
      <c r="D21" s="0" t="n">
        <f aca="false">D19*D20</f>
        <v>518.875497636391</v>
      </c>
      <c r="E21" s="0" t="n">
        <f aca="false">E19*E20</f>
        <v>582.968389479565</v>
      </c>
      <c r="F21" s="0" t="n">
        <f aca="false">F19*F20</f>
        <v>639.677169203321</v>
      </c>
      <c r="G21" s="0" t="n">
        <f aca="false">G19*G20</f>
        <v>654.304462142439</v>
      </c>
      <c r="H21" s="0" t="n">
        <f aca="false">H19*H20</f>
        <v>678.084090981077</v>
      </c>
      <c r="I21" s="0" t="n">
        <f aca="false">I19*I20</f>
        <v>650.835586632372</v>
      </c>
      <c r="J21" s="0" t="n">
        <f aca="false">J19*J20</f>
        <v>621.219715009934</v>
      </c>
      <c r="K21" s="0" t="n">
        <f aca="false">K19*K20</f>
        <v>586.866551046251</v>
      </c>
      <c r="L21" s="0" t="n">
        <f aca="false">L19*L20</f>
        <v>554.413101218809</v>
      </c>
    </row>
    <row r="23" customFormat="false" ht="15" hidden="false" customHeight="false" outlineLevel="0" collapsed="false">
      <c r="A23" s="0" t="s">
        <v>103</v>
      </c>
      <c r="C23" s="4" t="n">
        <f aca="false">Assumptions!C30</f>
        <v>1.05</v>
      </c>
      <c r="D23" s="4" t="n">
        <f aca="false">Assumptions!D30</f>
        <v>1.05</v>
      </c>
      <c r="E23" s="4" t="n">
        <f aca="false">Assumptions!E30</f>
        <v>1.05</v>
      </c>
      <c r="F23" s="4" t="n">
        <f aca="false">Assumptions!F30</f>
        <v>1.05</v>
      </c>
      <c r="G23" s="4" t="n">
        <f aca="false">Assumptions!G30</f>
        <v>1.05</v>
      </c>
      <c r="H23" s="4" t="n">
        <f aca="false">Assumptions!H30</f>
        <v>1.05</v>
      </c>
      <c r="I23" s="4" t="n">
        <f aca="false">Assumptions!I30</f>
        <v>1.05</v>
      </c>
      <c r="J23" s="4" t="n">
        <f aca="false">Assumptions!J30</f>
        <v>1.05</v>
      </c>
      <c r="K23" s="4" t="n">
        <f aca="false">Assumptions!K30</f>
        <v>1.05</v>
      </c>
      <c r="L23" s="4" t="n">
        <f aca="false">Assumptions!L30</f>
        <v>1.05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-211.360275</v>
      </c>
      <c r="D24" s="0" t="n">
        <f aca="false">-D6*D23/100</f>
        <v>-221.92828875</v>
      </c>
      <c r="E24" s="0" t="n">
        <f aca="false">-E6*E23/100</f>
        <v>-231.91506174375</v>
      </c>
      <c r="F24" s="0" t="n">
        <f aca="false">-F6*F23/100</f>
        <v>-241.1916642135</v>
      </c>
      <c r="G24" s="0" t="n">
        <f aca="false">-G6*G23/100</f>
        <v>-249.633372460973</v>
      </c>
      <c r="H24" s="0" t="n">
        <f aca="false">-H6*H23/100</f>
        <v>-257.122373634802</v>
      </c>
      <c r="I24" s="0" t="n">
        <f aca="false">-I6*I23/100</f>
        <v>-264.836044843846</v>
      </c>
      <c r="J24" s="0" t="n">
        <f aca="false">-J6*J23/100</f>
        <v>-271.456945964942</v>
      </c>
      <c r="K24" s="0" t="n">
        <f aca="false">-K6*K23/100</f>
        <v>-278.243369614065</v>
      </c>
      <c r="L24" s="0" t="n">
        <f aca="false">-L6*L23/100</f>
        <v>-285.199453854417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108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109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5941.09811058518</v>
      </c>
    </row>
    <row r="31" customFormat="false" ht="15" hidden="false" customHeight="false" outlineLevel="0" collapsed="false">
      <c r="A31" s="0" t="s">
        <v>131</v>
      </c>
      <c r="B31" s="0" t="n">
        <f aca="false">L19</f>
        <v>1253.51884183782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19670.6033642242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18802.7826275673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18802.7826275673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8316.19651828213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14257.2946288673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12286.2946288673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26.3937586012187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0.639873165655092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107.544044069855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131.961384607818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26.9082708003115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9835.30168211212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10.3001503709036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Assumptions!C41</f>
        <v>6</v>
      </c>
      <c r="D5" s="4" t="n">
        <f aca="false">Assumptions!D41</f>
        <v>6.5</v>
      </c>
      <c r="E5" s="4" t="n">
        <f aca="false">Assumptions!E41</f>
        <v>6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19171</v>
      </c>
      <c r="C6" s="0" t="n">
        <f aca="false">B6*(1+C5/100)</f>
        <v>20321.26</v>
      </c>
      <c r="D6" s="0" t="n">
        <f aca="false">C6*(1+D5/100)</f>
        <v>21642.1419</v>
      </c>
      <c r="E6" s="0" t="n">
        <f aca="false">D6*(1+E5/100)</f>
        <v>22940.670414</v>
      </c>
      <c r="F6" s="0" t="n">
        <f aca="false">E6*(1+F5/100)</f>
        <v>24087.7039347</v>
      </c>
      <c r="G6" s="0" t="n">
        <f aca="false">F6*(1+G5/100)</f>
        <v>25171.6506117615</v>
      </c>
      <c r="H6" s="0" t="n">
        <f aca="false">G6*(1+H5/100)</f>
        <v>26178.516636232</v>
      </c>
      <c r="I6" s="0" t="n">
        <f aca="false">H6*(1+I5/100)</f>
        <v>27094.7647185001</v>
      </c>
      <c r="J6" s="0" t="n">
        <f aca="false">I6*(1+J5/100)</f>
        <v>27907.6076600551</v>
      </c>
      <c r="K6" s="0" t="n">
        <f aca="false">J6*(1+K5/100)</f>
        <v>28744.8358898567</v>
      </c>
      <c r="L6" s="0" t="n">
        <f aca="false">K6*(1+L5/100)</f>
        <v>29607.1809665524</v>
      </c>
    </row>
    <row r="7" customFormat="false" ht="15" hidden="false" customHeight="false" outlineLevel="0" collapsed="false">
      <c r="A7" s="0" t="s">
        <v>101</v>
      </c>
      <c r="C7" s="4" t="n">
        <f aca="false">Assumptions!C42</f>
        <v>8.55</v>
      </c>
      <c r="D7" s="4" t="n">
        <f aca="false">Assumptions!D42</f>
        <v>9.4</v>
      </c>
      <c r="E7" s="4" t="n">
        <f aca="false">Assumptions!E42</f>
        <v>10.25</v>
      </c>
      <c r="F7" s="4" t="n">
        <f aca="false">Assumptions!F42</f>
        <v>11</v>
      </c>
      <c r="G7" s="4" t="n">
        <f aca="false">Assumptions!G42</f>
        <v>11.5</v>
      </c>
      <c r="H7" s="4" t="n">
        <f aca="false">Assumptions!H42</f>
        <v>11.8</v>
      </c>
      <c r="I7" s="4" t="n">
        <f aca="false">Assumptions!I42</f>
        <v>12.05</v>
      </c>
      <c r="J7" s="4" t="n">
        <f aca="false">Assumptions!J42</f>
        <v>12.05</v>
      </c>
      <c r="K7" s="4" t="n">
        <f aca="false">Assumptions!K42</f>
        <v>12.05</v>
      </c>
      <c r="L7" s="4" t="n">
        <f aca="false">Assumptions!L42</f>
        <v>12.05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1737.46773</v>
      </c>
      <c r="D8" s="0" t="n">
        <f aca="false">D6*D7/100</f>
        <v>2034.3613386</v>
      </c>
      <c r="E8" s="0" t="n">
        <f aca="false">E6*E7/100</f>
        <v>2351.418717435</v>
      </c>
      <c r="F8" s="0" t="n">
        <f aca="false">F6*F7/100</f>
        <v>2649.647432817</v>
      </c>
      <c r="G8" s="0" t="n">
        <f aca="false">G6*G7/100</f>
        <v>2894.73982035257</v>
      </c>
      <c r="H8" s="0" t="n">
        <f aca="false">H6*H7/100</f>
        <v>3089.06496307537</v>
      </c>
      <c r="I8" s="0" t="n">
        <f aca="false">I6*I7/100</f>
        <v>3264.91914857926</v>
      </c>
      <c r="J8" s="0" t="n">
        <f aca="false">J6*J7/100</f>
        <v>3362.86672303664</v>
      </c>
      <c r="K8" s="0" t="n">
        <f aca="false">K6*K7/100</f>
        <v>3463.75272472774</v>
      </c>
      <c r="L8" s="0" t="n">
        <f aca="false">L6*L7/100</f>
        <v>3567.66530646957</v>
      </c>
    </row>
    <row r="9" customFormat="false" ht="15" hidden="false" customHeight="false" outlineLevel="0" collapsed="false">
      <c r="A9" s="0" t="s">
        <v>102</v>
      </c>
      <c r="C9" s="4" t="n">
        <f aca="false">Assumptions!C43</f>
        <v>0.07</v>
      </c>
      <c r="D9" s="4" t="n">
        <f aca="false">Assumptions!D43</f>
        <v>0.07</v>
      </c>
      <c r="E9" s="4" t="n">
        <f aca="false">Assumptions!E43</f>
        <v>0.07</v>
      </c>
      <c r="F9" s="4" t="n">
        <f aca="false">Assumptions!F43</f>
        <v>0.07</v>
      </c>
      <c r="G9" s="4" t="n">
        <f aca="false">Assumptions!G43</f>
        <v>0.07</v>
      </c>
      <c r="H9" s="4" t="n">
        <f aca="false">Assumptions!H43</f>
        <v>0.07</v>
      </c>
      <c r="I9" s="4" t="n">
        <f aca="false">Assumptions!I43</f>
        <v>0.07</v>
      </c>
      <c r="J9" s="4" t="n">
        <f aca="false">Assumptions!J43</f>
        <v>0.07</v>
      </c>
      <c r="K9" s="4" t="n">
        <f aca="false">Assumptions!K43</f>
        <v>0.07</v>
      </c>
      <c r="L9" s="4" t="n">
        <f aca="false">Assumptions!L43</f>
        <v>0.07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-14.224882</v>
      </c>
      <c r="D10" s="0" t="n">
        <f aca="false">-D6*D9/100</f>
        <v>-15.14949933</v>
      </c>
      <c r="E10" s="0" t="n">
        <f aca="false">-E6*E9/100</f>
        <v>-16.0584692898</v>
      </c>
      <c r="F10" s="0" t="n">
        <f aca="false">-F6*F9/100</f>
        <v>-16.86139275429</v>
      </c>
      <c r="G10" s="0" t="n">
        <f aca="false">-G6*G9/100</f>
        <v>-17.6201554282331</v>
      </c>
      <c r="H10" s="0" t="n">
        <f aca="false">-H6*H9/100</f>
        <v>-18.3249616453624</v>
      </c>
      <c r="I10" s="0" t="n">
        <f aca="false">-I6*I9/100</f>
        <v>-18.9663353029501</v>
      </c>
      <c r="J10" s="0" t="n">
        <f aca="false">-J6*J9/100</f>
        <v>-19.5353253620386</v>
      </c>
      <c r="K10" s="0" t="n">
        <f aca="false">-K6*K9/100</f>
        <v>-20.1213851228997</v>
      </c>
      <c r="L10" s="0" t="n">
        <f aca="false">-L6*L9/100</f>
        <v>-20.7250266765867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1509.869618</v>
      </c>
      <c r="D11" s="0" t="n">
        <f aca="false">D8+D10+D24</f>
        <v>1791.96934932</v>
      </c>
      <c r="E11" s="0" t="n">
        <f aca="false">E8+E10+E24</f>
        <v>2094.4832087982</v>
      </c>
      <c r="F11" s="0" t="n">
        <f aca="false">F8+F10+F24</f>
        <v>2379.86514874836</v>
      </c>
      <c r="G11" s="0" t="n">
        <f aca="false">G8+G10+G24</f>
        <v>2612.81733350084</v>
      </c>
      <c r="H11" s="0" t="n">
        <f aca="false">H8+H10+H24</f>
        <v>2795.86557674957</v>
      </c>
      <c r="I11" s="0" t="n">
        <f aca="false">I8+I10+I24</f>
        <v>2961.45778373206</v>
      </c>
      <c r="J11" s="0" t="n">
        <f aca="false">J8+J10+J24</f>
        <v>3050.30151724402</v>
      </c>
      <c r="K11" s="0" t="n">
        <f aca="false">K8+K10+K24</f>
        <v>3141.81056276134</v>
      </c>
      <c r="L11" s="0" t="n">
        <f aca="false">L8+L10+L24</f>
        <v>3236.06487964418</v>
      </c>
    </row>
    <row r="12" customFormat="false" ht="15" hidden="false" customHeight="false" outlineLevel="0" collapsed="false">
      <c r="A12" s="0" t="s">
        <v>119</v>
      </c>
      <c r="C12" s="4" t="n">
        <f aca="false">-C6*Assumptions!C45/100</f>
        <v>-426.74646</v>
      </c>
      <c r="D12" s="4" t="n">
        <f aca="false">-D6*Assumptions!D45/100</f>
        <v>-476.1271218</v>
      </c>
      <c r="E12" s="4" t="n">
        <f aca="false">-E6*Assumptions!E45/100</f>
        <v>-527.635419522</v>
      </c>
      <c r="F12" s="4" t="n">
        <f aca="false">-F6*Assumptions!F45/100</f>
        <v>-566.06104246545</v>
      </c>
      <c r="G12" s="4" t="n">
        <f aca="false">-G6*Assumptions!G45/100</f>
        <v>-604.119614682276</v>
      </c>
      <c r="H12" s="4" t="n">
        <f aca="false">-H6*Assumptions!H45/100</f>
        <v>-641.373657587683</v>
      </c>
      <c r="I12" s="4" t="n">
        <f aca="false">-I6*Assumptions!I45/100</f>
        <v>-677.369117962502</v>
      </c>
      <c r="J12" s="4" t="n">
        <f aca="false">-J6*Assumptions!J45/100</f>
        <v>-697.690191501377</v>
      </c>
      <c r="K12" s="4" t="n">
        <f aca="false">-K6*Assumptions!K45/100</f>
        <v>-718.620897246419</v>
      </c>
      <c r="L12" s="4" t="n">
        <f aca="false">-L6*Assumptions!L45/100</f>
        <v>-740.179524163811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1083.123158</v>
      </c>
      <c r="D13" s="0" t="n">
        <f aca="false">D11+D12</f>
        <v>1315.84222752</v>
      </c>
      <c r="E13" s="0" t="n">
        <f aca="false">E11+E12</f>
        <v>1566.8477892762</v>
      </c>
      <c r="F13" s="0" t="n">
        <f aca="false">F11+F12</f>
        <v>1813.80410628291</v>
      </c>
      <c r="G13" s="0" t="n">
        <f aca="false">G11+G12</f>
        <v>2008.69771881857</v>
      </c>
      <c r="H13" s="0" t="n">
        <f aca="false">H11+H12</f>
        <v>2154.49191916189</v>
      </c>
      <c r="I13" s="0" t="n">
        <f aca="false">I11+I12</f>
        <v>2284.08866576956</v>
      </c>
      <c r="J13" s="0" t="n">
        <f aca="false">J11+J12</f>
        <v>2352.61132574264</v>
      </c>
      <c r="K13" s="0" t="n">
        <f aca="false">K11+K12</f>
        <v>2423.18966551492</v>
      </c>
      <c r="L13" s="0" t="n">
        <f aca="false">L11+L12</f>
        <v>2495.88535548037</v>
      </c>
    </row>
    <row r="14" customFormat="false" ht="15" hidden="false" customHeight="false" outlineLevel="0" collapsed="false">
      <c r="A14" s="0" t="s">
        <v>106</v>
      </c>
      <c r="C14" s="4" t="n">
        <f aca="false">Assumptions!C47</f>
        <v>25</v>
      </c>
      <c r="D14" s="4" t="n">
        <f aca="false">Assumptions!D47</f>
        <v>26</v>
      </c>
      <c r="E14" s="4" t="n">
        <f aca="false">Assumptions!E47</f>
        <v>26</v>
      </c>
      <c r="F14" s="4" t="n">
        <f aca="false">Assumptions!F47</f>
        <v>26</v>
      </c>
      <c r="G14" s="4" t="n">
        <f aca="false">Assumptions!G47</f>
        <v>26</v>
      </c>
      <c r="H14" s="4" t="n">
        <f aca="false">Assumptions!H47</f>
        <v>26</v>
      </c>
      <c r="I14" s="4" t="n">
        <f aca="false">Assumptions!I47</f>
        <v>26</v>
      </c>
      <c r="J14" s="4" t="n">
        <f aca="false">Assumptions!J47</f>
        <v>26</v>
      </c>
      <c r="K14" s="4" t="n">
        <f aca="false">Assumptions!K47</f>
        <v>26</v>
      </c>
      <c r="L14" s="4" t="n">
        <f aca="false">Assumptions!L47</f>
        <v>26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812.342368500001</v>
      </c>
      <c r="D15" s="0" t="n">
        <f aca="false">D13-MAX(0,D13)*D14/100</f>
        <v>973.7232483648</v>
      </c>
      <c r="E15" s="0" t="n">
        <f aca="false">E13-MAX(0,E13)*E14/100</f>
        <v>1159.46736406439</v>
      </c>
      <c r="F15" s="0" t="n">
        <f aca="false">F13-MAX(0,F13)*F14/100</f>
        <v>1342.21503864935</v>
      </c>
      <c r="G15" s="0" t="n">
        <f aca="false">G13-MAX(0,G13)*G14/100</f>
        <v>1486.43631192574</v>
      </c>
      <c r="H15" s="0" t="n">
        <f aca="false">H13-MAX(0,H13)*H14/100</f>
        <v>1594.3240201798</v>
      </c>
      <c r="I15" s="0" t="n">
        <f aca="false">I13-MAX(0,I13)*I14/100</f>
        <v>1690.22561266947</v>
      </c>
      <c r="J15" s="0" t="n">
        <f aca="false">J13-MAX(0,J13)*J14/100</f>
        <v>1740.93238104956</v>
      </c>
      <c r="K15" s="0" t="n">
        <f aca="false">K13-MAX(0,K13)*K14/100</f>
        <v>1793.16035248104</v>
      </c>
      <c r="L15" s="0" t="n">
        <f aca="false">L13-MAX(0,L13)*L14/100</f>
        <v>1846.95516305547</v>
      </c>
    </row>
    <row r="16" customFormat="false" ht="15" hidden="false" customHeight="false" outlineLevel="0" collapsed="false">
      <c r="A16" s="0" t="s">
        <v>122</v>
      </c>
      <c r="C16" s="0" t="n">
        <f aca="false">-C12</f>
        <v>426.74646</v>
      </c>
      <c r="D16" s="0" t="n">
        <f aca="false">-D12</f>
        <v>476.1271218</v>
      </c>
      <c r="E16" s="0" t="n">
        <f aca="false">-E12</f>
        <v>527.635419522</v>
      </c>
      <c r="F16" s="0" t="n">
        <f aca="false">-F12</f>
        <v>566.06104246545</v>
      </c>
      <c r="G16" s="0" t="n">
        <f aca="false">-G12</f>
        <v>604.119614682276</v>
      </c>
      <c r="H16" s="0" t="n">
        <f aca="false">-H12</f>
        <v>641.373657587683</v>
      </c>
      <c r="I16" s="0" t="n">
        <f aca="false">-I12</f>
        <v>677.369117962502</v>
      </c>
      <c r="J16" s="0" t="n">
        <f aca="false">-J12</f>
        <v>697.690191501377</v>
      </c>
      <c r="K16" s="0" t="n">
        <f aca="false">-K12</f>
        <v>718.620897246419</v>
      </c>
      <c r="L16" s="0" t="n">
        <f aca="false">-L12</f>
        <v>740.179524163811</v>
      </c>
    </row>
    <row r="17" customFormat="false" ht="15" hidden="false" customHeight="false" outlineLevel="0" collapsed="false">
      <c r="A17" s="0" t="s">
        <v>123</v>
      </c>
      <c r="C17" s="4" t="n">
        <f aca="false">-C6*Assumptions!C46/100</f>
        <v>-609.6378</v>
      </c>
      <c r="D17" s="4" t="n">
        <f aca="false">-D6*Assumptions!D46/100</f>
        <v>-627.6221151</v>
      </c>
      <c r="E17" s="4" t="n">
        <f aca="false">-E6*Assumptions!E46/100</f>
        <v>-642.338771592</v>
      </c>
      <c r="F17" s="4" t="n">
        <f aca="false">-F6*Assumptions!F46/100</f>
        <v>-650.3680062369</v>
      </c>
      <c r="G17" s="4" t="n">
        <f aca="false">-G6*Assumptions!G46/100</f>
        <v>-679.634566517561</v>
      </c>
      <c r="H17" s="4" t="n">
        <f aca="false">-H6*Assumptions!H46/100</f>
        <v>-680.641432542031</v>
      </c>
      <c r="I17" s="4" t="n">
        <f aca="false">-I6*Assumptions!I46/100</f>
        <v>-704.463882681002</v>
      </c>
      <c r="J17" s="4" t="n">
        <f aca="false">-J6*Assumptions!J46/100</f>
        <v>-725.597799161432</v>
      </c>
      <c r="K17" s="4" t="n">
        <f aca="false">-K6*Assumptions!K46/100</f>
        <v>-747.365733136275</v>
      </c>
      <c r="L17" s="4" t="n">
        <f aca="false">-L6*Assumptions!L46/100</f>
        <v>-769.786705130364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629.451028500001</v>
      </c>
      <c r="D19" s="0" t="n">
        <f aca="false">D15+D16+D17+D18</f>
        <v>822.2282550648</v>
      </c>
      <c r="E19" s="0" t="n">
        <f aca="false">E15+E16+E17+E18</f>
        <v>1044.76401199439</v>
      </c>
      <c r="F19" s="0" t="n">
        <f aca="false">F15+F16+F17+F18</f>
        <v>1257.9080748779</v>
      </c>
      <c r="G19" s="0" t="n">
        <f aca="false">G15+G16+G17+G18</f>
        <v>1410.92136009046</v>
      </c>
      <c r="H19" s="0" t="n">
        <f aca="false">H15+H16+H17+H18</f>
        <v>1555.05624522545</v>
      </c>
      <c r="I19" s="0" t="n">
        <f aca="false">I15+I16+I17+I18</f>
        <v>1663.13084795097</v>
      </c>
      <c r="J19" s="0" t="n">
        <f aca="false">J15+J16+J17+J18</f>
        <v>1713.0247733895</v>
      </c>
      <c r="K19" s="0" t="n">
        <f aca="false">K15+K16+K17+K18</f>
        <v>1764.41551659119</v>
      </c>
      <c r="L19" s="0" t="n">
        <f aca="false">L15+L16+L17+L18</f>
        <v>1817.34798208892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580.139196774194</v>
      </c>
      <c r="D21" s="0" t="n">
        <f aca="false">D19*D20</f>
        <v>698.446138218947</v>
      </c>
      <c r="E21" s="0" t="n">
        <f aca="false">E19*E20</f>
        <v>817.954205939386</v>
      </c>
      <c r="F21" s="0" t="n">
        <f aca="false">F19*F20</f>
        <v>907.674118804902</v>
      </c>
      <c r="G21" s="0" t="n">
        <f aca="false">G19*G20</f>
        <v>938.326793148053</v>
      </c>
      <c r="H21" s="0" t="n">
        <f aca="false">H19*H20</f>
        <v>953.164091099803</v>
      </c>
      <c r="I21" s="0" t="n">
        <f aca="false">I19*I20</f>
        <v>939.546440790512</v>
      </c>
      <c r="J21" s="0" t="n">
        <f aca="false">J19*J20</f>
        <v>891.919662685924</v>
      </c>
      <c r="K21" s="0" t="n">
        <f aca="false">K19*K20</f>
        <v>846.707145222582</v>
      </c>
      <c r="L21" s="0" t="n">
        <f aca="false">L19*L20</f>
        <v>803.786506524663</v>
      </c>
    </row>
    <row r="23" customFormat="false" ht="15" hidden="false" customHeight="false" outlineLevel="0" collapsed="false">
      <c r="A23" s="0" t="s">
        <v>103</v>
      </c>
      <c r="C23" s="4" t="n">
        <f aca="false">Assumptions!C44</f>
        <v>1.05</v>
      </c>
      <c r="D23" s="4" t="n">
        <f aca="false">Assumptions!D44</f>
        <v>1.05</v>
      </c>
      <c r="E23" s="4" t="n">
        <f aca="false">Assumptions!E44</f>
        <v>1.05</v>
      </c>
      <c r="F23" s="4" t="n">
        <f aca="false">Assumptions!F44</f>
        <v>1.05</v>
      </c>
      <c r="G23" s="4" t="n">
        <f aca="false">Assumptions!G44</f>
        <v>1.05</v>
      </c>
      <c r="H23" s="4" t="n">
        <f aca="false">Assumptions!H44</f>
        <v>1.05</v>
      </c>
      <c r="I23" s="4" t="n">
        <f aca="false">Assumptions!I44</f>
        <v>1.05</v>
      </c>
      <c r="J23" s="4" t="n">
        <f aca="false">Assumptions!J44</f>
        <v>1.05</v>
      </c>
      <c r="K23" s="4" t="n">
        <f aca="false">Assumptions!K44</f>
        <v>1.05</v>
      </c>
      <c r="L23" s="4" t="n">
        <f aca="false">Assumptions!L44</f>
        <v>1.05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-213.37323</v>
      </c>
      <c r="D24" s="0" t="n">
        <f aca="false">-D6*D23/100</f>
        <v>-227.24248995</v>
      </c>
      <c r="E24" s="0" t="n">
        <f aca="false">-E6*E23/100</f>
        <v>-240.877039347</v>
      </c>
      <c r="F24" s="0" t="n">
        <f aca="false">-F6*F23/100</f>
        <v>-252.92089131435</v>
      </c>
      <c r="G24" s="0" t="n">
        <f aca="false">-G6*G23/100</f>
        <v>-264.302331423496</v>
      </c>
      <c r="H24" s="0" t="n">
        <f aca="false">-H6*H23/100</f>
        <v>-274.874424680436</v>
      </c>
      <c r="I24" s="0" t="n">
        <f aca="false">-I6*I23/100</f>
        <v>-284.495029544251</v>
      </c>
      <c r="J24" s="0" t="n">
        <f aca="false">-J6*J23/100</f>
        <v>-293.029880430578</v>
      </c>
      <c r="K24" s="0" t="n">
        <f aca="false">-K6*K23/100</f>
        <v>-301.820776843496</v>
      </c>
      <c r="L24" s="0" t="n">
        <f aca="false">-L6*L23/100</f>
        <v>-310.875400148801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108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109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8377.66429920897</v>
      </c>
    </row>
    <row r="31" customFormat="false" ht="15" hidden="false" customHeight="false" outlineLevel="0" collapsed="false">
      <c r="A31" s="0" t="s">
        <v>131</v>
      </c>
      <c r="B31" s="0" t="n">
        <f aca="false">L19</f>
        <v>1817.34798208892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31046.3613606858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27260.2197313338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27260.2197313338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12056.7975978699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20434.4618970789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18463.4618970789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39.6637205092995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1.46435045102824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113.377015127948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156.592274182292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40.2436760180218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14902.2534531292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16.7510522802191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2" t="s">
        <v>148</v>
      </c>
      <c r="B3" s="2" t="s">
        <v>149</v>
      </c>
      <c r="C3" s="2" t="s">
        <v>139</v>
      </c>
      <c r="D3" s="2" t="s">
        <v>150</v>
      </c>
      <c r="E3" s="2" t="s">
        <v>142</v>
      </c>
      <c r="F3" s="2" t="s">
        <v>151</v>
      </c>
    </row>
    <row r="4" customFormat="false" ht="15" hidden="false" customHeight="false" outlineLevel="0" collapsed="false">
      <c r="A4" s="0" t="s">
        <v>152</v>
      </c>
      <c r="B4" s="4" t="n">
        <f aca="false">DCF_Bear!$B$38</f>
        <v>12.3300905879432</v>
      </c>
      <c r="C4" s="0" t="n">
        <f aca="false">B4/Assumptions!$B$2-1</f>
        <v>-0.233917950422912</v>
      </c>
      <c r="D4" s="4" t="n">
        <f aca="false">Assumptions!$B$24</f>
        <v>0.3</v>
      </c>
      <c r="E4" s="4" t="n">
        <f aca="false">DCF_Bear!$B$43</f>
        <v>12.7681991592559</v>
      </c>
      <c r="F4" s="4" t="n">
        <f aca="false">DCF_Bear!$B$47</f>
        <v>3.85023481737356</v>
      </c>
    </row>
    <row r="5" customFormat="false" ht="15" hidden="false" customHeight="false" outlineLevel="0" collapsed="false">
      <c r="A5" s="0" t="s">
        <v>153</v>
      </c>
      <c r="B5" s="4" t="n">
        <f aca="false">DCF_Base!$B$38</f>
        <v>26.3937586012187</v>
      </c>
      <c r="C5" s="0" t="n">
        <f aca="false">B5/Assumptions!$B$2-1</f>
        <v>0.639873165655092</v>
      </c>
      <c r="D5" s="4" t="n">
        <f aca="false">Assumptions!$B$38</f>
        <v>0.5</v>
      </c>
      <c r="E5" s="4" t="n">
        <f aca="false">DCF_Base!$B$43</f>
        <v>26.9082708003115</v>
      </c>
      <c r="F5" s="4" t="n">
        <f aca="false">DCF_Base!$B$47</f>
        <v>10.3001503709036</v>
      </c>
    </row>
    <row r="6" customFormat="false" ht="15" hidden="false" customHeight="false" outlineLevel="0" collapsed="false">
      <c r="A6" s="0" t="s">
        <v>154</v>
      </c>
      <c r="B6" s="4" t="n">
        <f aca="false">DCF_Bull!$B$38</f>
        <v>39.6637205092995</v>
      </c>
      <c r="C6" s="0" t="n">
        <f aca="false">B6/Assumptions!$B$2-1</f>
        <v>1.46435045102824</v>
      </c>
      <c r="D6" s="4" t="n">
        <f aca="false">Assumptions!$B$52</f>
        <v>0.2</v>
      </c>
      <c r="E6" s="4" t="n">
        <f aca="false">DCF_Bull!$B$43</f>
        <v>40.2436760180218</v>
      </c>
      <c r="F6" s="4" t="n">
        <f aca="false">DCF_Bull!$B$47</f>
        <v>16.7510522802191</v>
      </c>
    </row>
    <row r="8" customFormat="false" ht="15" hidden="false" customHeight="false" outlineLevel="0" collapsed="false">
      <c r="A8" s="0" t="s">
        <v>155</v>
      </c>
      <c r="B8" s="0" t="n">
        <f aca="false">SUMPRODUCT(B4:B6,D4:D6)</f>
        <v>24.8286505788522</v>
      </c>
    </row>
    <row r="9" customFormat="false" ht="15" hidden="false" customHeight="false" outlineLevel="0" collapsed="false">
      <c r="A9" s="0" t="s">
        <v>156</v>
      </c>
      <c r="B9" s="0" t="n">
        <f aca="false">SUMPRODUCT(E4:E6,D4:D6)</f>
        <v>25.3333303515369</v>
      </c>
    </row>
    <row r="10" customFormat="false" ht="15" hidden="false" customHeight="false" outlineLevel="0" collapsed="false">
      <c r="A10" s="0" t="s">
        <v>157</v>
      </c>
      <c r="B10" s="0" t="n">
        <f aca="false">1-Assumptions!$B$2/B8</f>
        <v>0.351756957194085</v>
      </c>
    </row>
    <row r="11" customFormat="false" ht="15" hidden="false" customHeight="false" outlineLevel="0" collapsed="false">
      <c r="A11" s="0" t="s">
        <v>158</v>
      </c>
      <c r="B11" s="0" t="n">
        <f aca="false">IF(ABS(B9-B8)&gt;0.01*ABS(B8),(Assumptions!$B$2-B8)/(B9-B8)*100,"n/a")</f>
        <v>-1730.53311259013</v>
      </c>
    </row>
    <row r="12" customFormat="false" ht="15" hidden="false" customHeight="false" outlineLevel="0" collapsed="false">
      <c r="A12" s="0" t="s">
        <v>159</v>
      </c>
      <c r="B12" s="0" t="n">
        <f aca="false">SUMPRODUCT(F4:F6,D4:D6)</f>
        <v>9.65535608670768</v>
      </c>
    </row>
    <row r="14" customFormat="false" ht="15" hidden="false" customHeight="false" outlineLevel="0" collapsed="false">
      <c r="A14" s="2" t="s">
        <v>160</v>
      </c>
      <c r="C14" s="0" t="s">
        <v>161</v>
      </c>
    </row>
    <row r="15" customFormat="false" ht="15" hidden="false" customHeight="false" outlineLevel="0" collapsed="false">
      <c r="A15" s="0" t="s">
        <v>162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26.3937586012187</v>
      </c>
      <c r="C15" s="3" t="n">
        <v>8.5</v>
      </c>
    </row>
    <row r="16" customFormat="false" ht="15" hidden="false" customHeight="false" outlineLevel="0" collapsed="false">
      <c r="A16" s="0" t="s">
        <v>163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24.7779273217322</v>
      </c>
      <c r="C16" s="3" t="n">
        <v>9</v>
      </c>
    </row>
    <row r="17" customFormat="false" ht="15" hidden="false" customHeight="false" outlineLevel="0" collapsed="false">
      <c r="A17" s="0" t="s">
        <v>164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20.8236242199331</v>
      </c>
      <c r="C17" s="3" t="n">
        <v>10</v>
      </c>
    </row>
    <row r="18" customFormat="false" ht="15" hidden="false" customHeight="false" outlineLevel="0" collapsed="false">
      <c r="A18" s="0" t="s">
        <v>165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17.7608012559452</v>
      </c>
      <c r="C18" s="3" t="n">
        <v>11</v>
      </c>
    </row>
    <row r="19" customFormat="false" ht="15" hidden="false" customHeight="false" outlineLevel="0" collapsed="false">
      <c r="A19" s="0" t="s">
        <v>166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15.3213545674628</v>
      </c>
      <c r="C19" s="3" t="n">
        <v>12</v>
      </c>
    </row>
    <row r="20" customFormat="false" ht="15" hidden="false" customHeight="false" outlineLevel="0" collapsed="false">
      <c r="A20" s="0" t="s">
        <v>167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10.3001503709036</v>
      </c>
      <c r="C20" s="3" t="n">
        <v>15</v>
      </c>
    </row>
    <row r="22" customFormat="false" ht="15" hidden="false" customHeight="false" outlineLevel="0" collapsed="false">
      <c r="A22" s="2" t="s">
        <v>168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31.4765904843467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31.4765904843467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31.4765904843467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31.4765904843467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31.4765904843467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28.8151369040418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28.8151369040418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28.8151369040418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28.8151369040418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28.8151369040418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24.5675500329362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25.7982558072135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26.3937586012187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26.3937586012187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26.3937586012187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20.8005996860472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21.6754730613699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22.6669962200689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23.8001655442964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24.1882372306757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17.8427790283978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18.4839215314655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19.2004925643058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20.0066349762512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20.9202630431227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2026-10-25T09:39:54Z</dcterms:created>
  <dc:creator>openpyxl</dc:creator>
  <dc:description/>
  <dc:language>en-NZ</dc:language>
  <cp:lastModifiedBy/>
  <dcterms:modified xsi:type="dcterms:W3CDTF">2026-10-25T09:39:54Z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