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<sst xmlns="http://schemas.openxmlformats.org/spreadsheetml/2006/main" count="383" uniqueCount="172">
  <si>
    <t xml:space="preserve">Ticker</t>
  </si>
  <si>
    <t xml:space="preserve">TYL</t>
  </si>
  <si>
    <t xml:space="preserve">Company</t>
  </si>
  <si>
    <t xml:space="preserve">Tyler Technologies,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</si>
  <si>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</si>
  <si>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</si>
  <si>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</si>
  <si>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</si>
  <si>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</si>
  <si>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</si>
  <si>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</si>
  <si>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</si>
  <si>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</si>
  <si>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</si>
  <si>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</si>
  <si>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</si>
  <si>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</si>
  <si>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</si>
  <si>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</si>
  <si>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</si>
  <si>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</si>
  <si>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2026-10-02T10:00:05Z</t>
  </si>
  <si>
    <t xml:space="preserve">Drivers file</t>
  </si>
  <si>
    <t xml:space="preserve">TYL_Drivers.json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</si>
  <si>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</si>
  <si>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</si>
  <si>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</si>
  <si>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Tyler is a high-quality, low-churn public-sector software franchise mid-way through an on-premises-to-SaaS migration. The house valuation charges SBC plus net-share-settlement taxes in full (~8.5% of revenue) and strips interest income on the cash pile, and builds margins from components rather than carrying the FY2026 26-28% (street-basis) FCF margin forward. On that basis the value rests on whether management's 2030 margin target is delivered on time; the street (SBC-as-non-cash) basis sits much higher and is the regime most sell-side targets use.
key_risks_to_valuation: Margin path: ~60% of value is terminal, and the terminal margin is a ~8pp expansion from today - a two-year slip in the 2030 mid-30s operating-margin target moves base value materially; SBC treatment: SBC plus withholding is ~8.5% of revenue; the house/street band is wide and the price sits inside it; Convertible notes ($1.4375B) are treated as debt at face; a large share-price recovery above the conversion price would turn them into dilution instead; State/local budget cycle and federal-transfer cuts hit 100% of revenue at once; Cash-tax normalisation: the ~10% cash rate of FY2025-H1 2026 is a Section 174 timing benefit, not a permanent rate</t>
  </si>
  <si>
    <t xml:space="preserve">Data sources</t>
  </si>
  <si>
    <t xml:space="preserve">price: Yahoo Finance chart API at inputs.price_as_of; 52-week range 270.71-524.43
financials: SEC XBRL companyfacts (CIK 0000860731): FY2019-FY2025 10-Ks and Q1/Q2 2026 10-Qs; TYL_Metrics.csv
qualitative: TYL_Analysis.json (Q2 2026 results, FY2026 guidance, June 2026 Investor Day 2030 targets, For The Record acquisition)</t>
  </si>
  <si>
    <t xml:space="preserve">Scenario narrative: bear</t>
  </si>
  <si>
    <t xml:space="preserve">State and local budgets tighten (reduced federal transfers, a recession) and multi-year migration and new-logo projects slip; maintenance attrition runs ahead of SaaS conversion, lower-cost point solutions (OpenGov, BS&amp;A, Edmunds) cap pricing in small municipalities, and AI monetisation proves a feature rather than a revenue line. Growth decelerates to ~5-6% after FY2026, EBITDA margin expansion stalls near 31%, SBC stays ~8% of revenue, and the incremental cyber risk on sensitive court/law-enforcement data adds cost. The business remains highly cash-generative and the franchise is intact - this is a de-rating case, not an impairment case.</t>
  </si>
  <si>
    <t xml:space="preserve">Scenario narrative: base</t>
  </si>
  <si>
    <t xml:space="preserve">Tyler executes the cloud migration broadly on plan but slower than the June 2026 Investor Day targets: SaaS keeps growing high-teens to ~20% while on-premises maintenance runs off 5-7% a year, so total revenue compounds ~8.5% to 2030 (~$3.5B vs the ~$3.6-3.7B implied by management's recurring target) and then fades to 3.5%. The ~1.7x revenue uplift per flipped client and hosting-cost leverage (AWS) push pre-SBC EBITDA from 27.8% to ~33% by 2030 and ~36% at maturity. Agentic-AI products contribute from 2028 but are not a separate growth leg. SBC including withholding taxes eases only from 8.5% to 7% of revenue; cash taxes normalise from the Section-174-depressed ~10% to 23%.</t>
  </si>
  <si>
    <t xml:space="preserve">Scenario narrative: bull</t>
  </si>
  <si>
    <t xml:space="preserve">The 2030 plan is met or beaten: peak 'flips' in 2027-2029 land at the 85% migration target, AI monetisation starting H2-2027 adds an upsell layer on the 13,000-customer installed base, and transaction revenue grows low-teens once the Texas payments contract laps. Revenue compounds ~10% to 2030 (~$3.75B), pre-SBC EBITDA reaches the mid-30s non-GAAP operating margin target (~36% EBITDA) in 2030 and 39% at maturity, and SBC drifts down to 6.5% as the stock-heavy hiring phase of the cloud build ends.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</si>
  <si>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</si>
  <si>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</si>
  <si>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</si>
  <si>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</si>
  <si>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</si>
  <si>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</si>
  <si>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</si>
  <si>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</si>
  <si>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</si>
  <si>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</si>
  <si>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</si>
  <si>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</si>
  <si>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</si>
  <si>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</si>
  <si>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</si>
  <si>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</si>
  <si>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</si>
  <si>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</si>
  <si>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</si>
  <si>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</si>
  <si>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</si>
  <si>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</si>
  <si>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</si>
  <si>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</si>
  <si>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</si>
  <si>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</si>
  <si>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</si>
  <si>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</si>
  <si>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</si>
  <si>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</si>
  <si>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</si>
  <si>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</si>
  <si>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</si>
  <si>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</si>
  <si>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</si>
  <si>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</si>
  <si>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</si>
  <si>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</si>
  <si>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</si>
  <si>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</si>
  <si>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</si>
  <si>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</si>
  <si>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</si>
  <si>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</si>
  <si>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</si>
  <si>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</si>
  <si>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</si>
  <si>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</si>
  <si>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</si>
  <si>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</si>
  <si>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</si>
  <si>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</si>
  <si>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</si>
  <si>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</si>
  <si>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</si>
  <si>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</si>
  <si>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</si>
  <si>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</si>
  <si>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</si>
  <si>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</si>
  <si>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</si>
  <si>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</si>
  <si>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</si>
  <si>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</si>
  <si>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</si>
  <si>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</si>
  <si>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</si>
  <si>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</si>
  <si>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</si>
  <si>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</si>
  <si>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</si>
  <si>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</si>
  <si>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</si>
  <si>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</si>
  <si>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</si>
  <si>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</si>
  <si>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</si>
  <si>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</si>
  <si>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</si>
  <si>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</si>
  <si>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</si>
  <si>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</si>
  <si>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TYL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</si>
  <si>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</si>
  <si>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</si>
  <si>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</si>
  <si>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</si>
  <si>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</si>
  <si>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</si>
  <si>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</si>
  <si>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</si>
  <si>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</si>
  <si>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</si>
  <si>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</si>
  <si>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</si>
  <si>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</si>
  <si>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</si>
  <si>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</si>
  <si>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</si>
  <si>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</si>
  <si>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</si>
  <si>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</si>
  <si>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</si>
  <si>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</si>
  <si>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</si>
  <si>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</si>
  <si>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</si>
  <si>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</si>
  <si>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</si>
  <si>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</si>
  <si>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</si>
  <si>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</si>
  <si>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</si>
  <si>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TYL owner-FCF component DCF: base case (millions, USD)</t>
  </si>
  <si>
    <t xml:space="preserve">TYL owner-FCF component DCF: bull case (millions, USD)</t>
  </si>
  <si>
    <t xml:space="preserve">TYL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</si>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</sst>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330.18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114.262</v>
      </c>
      <c r="S2" s="0" t="n">
        <v>1.762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290.286</v>
      </c>
      <c r="C3" s="0" t="n">
        <v>161.523</v>
      </c>
      <c r="D3" s="0" t="n">
        <v>128.763</v>
      </c>
      <c r="E3" s="0" t="n">
        <v>44.3572890184163</v>
      </c>
      <c r="F3" s="0" t="n">
        <v>44.784</v>
      </c>
      <c r="G3" s="0" t="n">
        <v>15.4275438705277</v>
      </c>
      <c r="H3" s="0" t="n">
        <v>54.281</v>
      </c>
      <c r="I3" s="0" t="n">
        <v>27.01</v>
      </c>
      <c r="J3" s="0" t="n">
        <v>9.30461682616454</v>
      </c>
      <c r="K3" s="0" t="n">
        <v>0.77</v>
      </c>
      <c r="L3" s="0" t="n">
        <v>42.941</v>
      </c>
      <c r="M3" s="0" t="n">
        <v>12.352</v>
      </c>
      <c r="N3" s="0" t="n">
        <v>30.589</v>
      </c>
      <c r="O3" s="0" t="n">
        <v>134.358</v>
      </c>
      <c r="P3" s="0" t="n">
        <v>270.67</v>
      </c>
      <c r="S3" s="0" t="n">
        <v>9.696</v>
      </c>
      <c r="T3" s="0" t="n">
        <v>36.624</v>
      </c>
      <c r="U3" s="0" t="n">
        <v>5.045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288.628</v>
      </c>
      <c r="C4" s="0" t="n">
        <v>160.311</v>
      </c>
      <c r="D4" s="0" t="n">
        <v>128.317</v>
      </c>
      <c r="E4" s="0" t="n">
        <v>44.4575716839669</v>
      </c>
      <c r="F4" s="0" t="n">
        <v>41.641</v>
      </c>
      <c r="G4" s="0" t="n">
        <v>14.4272211982206</v>
      </c>
      <c r="H4" s="0" t="n">
        <v>52.429</v>
      </c>
      <c r="I4" s="0" t="n">
        <v>25.054</v>
      </c>
      <c r="J4" s="0" t="n">
        <v>8.68037751015148</v>
      </c>
      <c r="K4" s="0" t="n">
        <v>0.74</v>
      </c>
      <c r="L4" s="0" t="n">
        <v>35.35</v>
      </c>
      <c r="M4" s="0" t="n">
        <v>4.93</v>
      </c>
      <c r="N4" s="0" t="n">
        <v>30.42</v>
      </c>
      <c r="O4" s="0" t="n">
        <v>106.972</v>
      </c>
      <c r="P4" s="0" t="n">
        <v>264.032</v>
      </c>
      <c r="S4" s="0" t="n">
        <v>2.114</v>
      </c>
      <c r="T4" s="0" t="n">
        <v>35.528</v>
      </c>
      <c r="U4" s="0" t="n">
        <v>6.132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309.391</v>
      </c>
      <c r="C5" s="0" t="n">
        <v>167.479</v>
      </c>
      <c r="D5" s="0" t="n">
        <v>141.912</v>
      </c>
      <c r="E5" s="0" t="n">
        <v>45.8681732823515</v>
      </c>
      <c r="F5" s="0" t="n">
        <v>46.517</v>
      </c>
      <c r="G5" s="0" t="n">
        <v>15.0350204110656</v>
      </c>
      <c r="H5" s="0" t="n">
        <v>57.193</v>
      </c>
      <c r="I5" s="0" t="n">
        <v>27.557</v>
      </c>
      <c r="J5" s="0" t="n">
        <v>8.90685249409324</v>
      </c>
      <c r="K5" s="0" t="n">
        <v>0.88</v>
      </c>
      <c r="L5" s="0" t="n">
        <v>56.435</v>
      </c>
      <c r="M5" s="0" t="n">
        <v>12.278</v>
      </c>
      <c r="N5" s="0" t="n">
        <v>44.157</v>
      </c>
      <c r="O5" s="0" t="n">
        <v>78.11</v>
      </c>
      <c r="P5" s="0" t="n">
        <v>295.391</v>
      </c>
      <c r="S5" s="0" t="n">
        <v>1.326</v>
      </c>
      <c r="T5" s="0" t="n">
        <v>33.154</v>
      </c>
      <c r="U5" s="0" t="n">
        <v>6.253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363.304</v>
      </c>
      <c r="C6" s="0" t="n">
        <v>195.602</v>
      </c>
      <c r="D6" s="0" t="n">
        <v>167.702</v>
      </c>
      <c r="E6" s="0" t="n">
        <v>46.1602404597802</v>
      </c>
      <c r="F6" s="0" t="n">
        <v>56.577</v>
      </c>
      <c r="G6" s="0" t="n">
        <v>15.5729086384956</v>
      </c>
      <c r="H6" s="0" t="n">
        <v>69.288</v>
      </c>
      <c r="I6" s="0" t="n">
        <v>32.994</v>
      </c>
      <c r="J6" s="0" t="n">
        <v>9.08165062867461</v>
      </c>
      <c r="K6" s="0" t="n">
        <v>1.09</v>
      </c>
      <c r="L6" s="0" t="n">
        <v>58.668</v>
      </c>
      <c r="M6" s="0" t="n">
        <v>9.102</v>
      </c>
      <c r="N6" s="0" t="n">
        <v>49.566</v>
      </c>
      <c r="O6" s="0" t="n">
        <v>145.299</v>
      </c>
      <c r="P6" s="0" t="n">
        <v>338.666</v>
      </c>
      <c r="S6" s="0" t="n">
        <v>6.406</v>
      </c>
      <c r="T6" s="0" t="n">
        <v>32.916</v>
      </c>
      <c r="U6" s="0" t="n">
        <v>7.411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416.643</v>
      </c>
      <c r="C7" s="0" t="n">
        <v>223.44</v>
      </c>
      <c r="D7" s="0" t="n">
        <v>193.203</v>
      </c>
      <c r="E7" s="0" t="n">
        <v>46.3713538929011</v>
      </c>
      <c r="F7" s="0" t="n">
        <v>67.128</v>
      </c>
      <c r="G7" s="0" t="n">
        <v>16.111635140876</v>
      </c>
      <c r="H7" s="0" t="n">
        <v>80.914</v>
      </c>
      <c r="I7" s="0" t="n">
        <v>39.101</v>
      </c>
      <c r="J7" s="0" t="n">
        <v>9.38477305510953</v>
      </c>
      <c r="K7" s="0" t="n">
        <v>1.23</v>
      </c>
      <c r="M7" s="0" t="n">
        <v>26.858</v>
      </c>
      <c r="O7" s="0" t="n">
        <v>246.319</v>
      </c>
      <c r="P7" s="0" t="n">
        <v>444.488</v>
      </c>
      <c r="S7" s="0" t="n">
        <v>78.876</v>
      </c>
      <c r="T7" s="0" t="n">
        <v>34.59</v>
      </c>
      <c r="U7" s="0" t="n">
        <v>11.653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493.101</v>
      </c>
      <c r="C8" s="0" t="n">
        <v>259.73</v>
      </c>
      <c r="D8" s="0" t="n">
        <v>233.371</v>
      </c>
      <c r="E8" s="0" t="n">
        <v>47.3272209952931</v>
      </c>
      <c r="F8" s="0" t="n">
        <v>94.822</v>
      </c>
      <c r="G8" s="0" t="n">
        <v>19.2297318399273</v>
      </c>
      <c r="H8" s="0" t="n">
        <v>109.427</v>
      </c>
      <c r="I8" s="0" t="n">
        <v>58.94</v>
      </c>
      <c r="J8" s="0" t="n">
        <v>11.952926479565</v>
      </c>
      <c r="K8" s="0" t="n">
        <v>1.79</v>
      </c>
      <c r="M8" s="0" t="n">
        <v>9.343</v>
      </c>
      <c r="O8" s="0" t="n">
        <v>336.973</v>
      </c>
      <c r="P8" s="0" t="n">
        <v>569.812</v>
      </c>
      <c r="S8" s="0" t="n">
        <v>206.167</v>
      </c>
      <c r="T8" s="0" t="n">
        <v>35.401</v>
      </c>
      <c r="U8" s="0" t="n">
        <v>14.819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591.022</v>
      </c>
      <c r="C9" s="0" t="n">
        <v>313.835</v>
      </c>
      <c r="D9" s="0" t="n">
        <v>277.187</v>
      </c>
      <c r="E9" s="0" t="n">
        <v>46.8996077980177</v>
      </c>
      <c r="F9" s="0" t="n">
        <v>108.043</v>
      </c>
      <c r="G9" s="0" t="n">
        <v>18.2807069787588</v>
      </c>
      <c r="H9" s="0" t="n">
        <v>127.617</v>
      </c>
      <c r="I9" s="0" t="n">
        <v>64.869</v>
      </c>
      <c r="J9" s="0" t="n">
        <v>10.9757335598336</v>
      </c>
      <c r="K9" s="0" t="n">
        <v>1.9</v>
      </c>
      <c r="L9" s="0" t="n">
        <v>134.327</v>
      </c>
      <c r="M9" s="0" t="n">
        <v>12.501</v>
      </c>
      <c r="N9" s="0" t="n">
        <v>121.826</v>
      </c>
      <c r="O9" s="0" t="n">
        <v>874.029</v>
      </c>
      <c r="P9" s="0" t="n">
        <v>1356.57</v>
      </c>
      <c r="S9" s="0" t="n">
        <v>33.087</v>
      </c>
      <c r="T9" s="0" t="n">
        <v>36.552</v>
      </c>
      <c r="U9" s="0" t="n">
        <v>20.182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759.88</v>
      </c>
      <c r="C10" s="0" t="n">
        <v>400.692</v>
      </c>
      <c r="D10" s="0" t="n">
        <v>359.188</v>
      </c>
      <c r="E10" s="0" t="n">
        <v>47.2690424803916</v>
      </c>
      <c r="F10" s="0" t="n">
        <v>137.656</v>
      </c>
      <c r="G10" s="0" t="n">
        <v>18.1154919197768</v>
      </c>
      <c r="H10" s="0" t="n">
        <v>187.429</v>
      </c>
      <c r="I10" s="0" t="n">
        <v>113.701</v>
      </c>
      <c r="J10" s="0" t="n">
        <v>14.9630204769174</v>
      </c>
      <c r="K10" s="0" t="n">
        <v>3.12</v>
      </c>
      <c r="L10" s="0" t="n">
        <v>191.859</v>
      </c>
      <c r="M10" s="0" t="n">
        <v>37.726</v>
      </c>
      <c r="N10" s="0" t="n">
        <v>154.133</v>
      </c>
      <c r="O10" s="0" t="n">
        <v>934.541</v>
      </c>
      <c r="P10" s="0" t="n">
        <v>1378.503</v>
      </c>
      <c r="S10" s="0" t="n">
        <v>36.151</v>
      </c>
      <c r="T10" s="0" t="n">
        <v>38.961</v>
      </c>
      <c r="U10" s="0" t="n">
        <v>29.747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840.899</v>
      </c>
      <c r="C11" s="0" t="n">
        <v>441.522</v>
      </c>
      <c r="D11" s="0" t="n">
        <v>399.377</v>
      </c>
      <c r="E11" s="0" t="n">
        <v>47.4940510096932</v>
      </c>
      <c r="F11" s="0" t="n">
        <v>162.758</v>
      </c>
      <c r="G11" s="0" t="n">
        <v>19.3552376682574</v>
      </c>
      <c r="H11" s="0" t="n">
        <v>216.153</v>
      </c>
      <c r="I11" s="0" t="n">
        <v>169.571</v>
      </c>
      <c r="J11" s="0" t="n">
        <v>20.1654419853038</v>
      </c>
      <c r="K11" s="0" t="n">
        <v>4.55</v>
      </c>
      <c r="L11" s="0" t="n">
        <v>195.755</v>
      </c>
      <c r="M11" s="0" t="n">
        <v>43.057</v>
      </c>
      <c r="N11" s="0" t="n">
        <v>152.698</v>
      </c>
      <c r="O11" s="0" t="n">
        <v>1191.736</v>
      </c>
      <c r="P11" s="0" t="n">
        <v>1611.351</v>
      </c>
      <c r="S11" s="0" t="n">
        <v>185.926</v>
      </c>
      <c r="T11" s="0" t="n">
        <v>39.246</v>
      </c>
      <c r="U11" s="0" t="n">
        <v>37.348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935.282</v>
      </c>
      <c r="C12" s="0" t="n">
        <v>495.704</v>
      </c>
      <c r="D12" s="0" t="n">
        <v>439.578</v>
      </c>
      <c r="E12" s="0" t="n">
        <v>46.9995145849059</v>
      </c>
      <c r="F12" s="0" t="n">
        <v>152.492</v>
      </c>
      <c r="G12" s="0" t="n">
        <v>16.3043873398611</v>
      </c>
      <c r="H12" s="0" t="n">
        <v>214.251</v>
      </c>
      <c r="I12" s="0" t="n">
        <v>147.462</v>
      </c>
      <c r="J12" s="0" t="n">
        <v>15.7665816299255</v>
      </c>
      <c r="K12" s="0" t="n">
        <v>3.84</v>
      </c>
      <c r="L12" s="0" t="n">
        <v>250.203</v>
      </c>
      <c r="M12" s="0" t="n">
        <v>27.424</v>
      </c>
      <c r="N12" s="0" t="n">
        <v>222.779</v>
      </c>
      <c r="O12" s="0" t="n">
        <v>1324.846</v>
      </c>
      <c r="P12" s="0" t="n">
        <v>1790.963</v>
      </c>
      <c r="S12" s="0" t="n">
        <v>134.279</v>
      </c>
      <c r="T12" s="0" t="n">
        <v>40.123</v>
      </c>
      <c r="U12" s="0" t="n">
        <v>52.74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1086.427</v>
      </c>
      <c r="C13" s="0" t="n">
        <v>569.527</v>
      </c>
      <c r="D13" s="0" t="n">
        <v>516.9</v>
      </c>
      <c r="E13" s="0" t="n">
        <v>47.5779780878053</v>
      </c>
      <c r="F13" s="0" t="n">
        <v>156.367</v>
      </c>
      <c r="G13" s="0" t="n">
        <v>14.3927755845538</v>
      </c>
      <c r="H13" s="0" t="n">
        <v>233.039</v>
      </c>
      <c r="I13" s="0" t="n">
        <v>146.527</v>
      </c>
      <c r="J13" s="0" t="n">
        <v>13.4870543533988</v>
      </c>
      <c r="K13" s="0" t="n">
        <v>3.79</v>
      </c>
      <c r="L13" s="0" t="n">
        <v>254.72</v>
      </c>
      <c r="M13" s="0" t="n">
        <v>37.236</v>
      </c>
      <c r="N13" s="0" t="n">
        <v>217.484</v>
      </c>
      <c r="O13" s="0" t="n">
        <v>1617.058</v>
      </c>
      <c r="P13" s="0" t="n">
        <v>2191.614</v>
      </c>
      <c r="S13" s="0" t="n">
        <v>232.682</v>
      </c>
      <c r="T13" s="0" t="n">
        <v>40.105</v>
      </c>
      <c r="U13" s="0" t="n">
        <v>59.967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1116.663</v>
      </c>
      <c r="C14" s="0" t="n">
        <v>574.151</v>
      </c>
      <c r="D14" s="0" t="n">
        <v>542.512</v>
      </c>
      <c r="E14" s="0" t="n">
        <v>48.583323706436</v>
      </c>
      <c r="F14" s="0" t="n">
        <v>172.926</v>
      </c>
      <c r="G14" s="0" t="n">
        <v>15.4859612971864</v>
      </c>
      <c r="H14" s="0" t="n">
        <v>254.583</v>
      </c>
      <c r="I14" s="0" t="n">
        <v>194.82</v>
      </c>
      <c r="J14" s="0" t="n">
        <v>17.4466244516027</v>
      </c>
      <c r="K14" s="0" t="n">
        <v>4.87</v>
      </c>
      <c r="L14" s="0" t="n">
        <v>355.089</v>
      </c>
      <c r="M14" s="0" t="n">
        <v>22.69</v>
      </c>
      <c r="N14" s="0" t="n">
        <v>332.399</v>
      </c>
      <c r="O14" s="0" t="n">
        <v>1986.111</v>
      </c>
      <c r="P14" s="0" t="n">
        <v>2607.274</v>
      </c>
      <c r="Q14" s="0" t="n">
        <v>621.163</v>
      </c>
      <c r="S14" s="0" t="n">
        <v>603.623</v>
      </c>
      <c r="T14" s="0" t="n">
        <v>41.526</v>
      </c>
      <c r="U14" s="0" t="n">
        <v>67.365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1592.287</v>
      </c>
      <c r="C15" s="0" t="n">
        <v>882.643</v>
      </c>
      <c r="D15" s="0" t="n">
        <v>709.644</v>
      </c>
      <c r="E15" s="0" t="n">
        <v>44.5675936561688</v>
      </c>
      <c r="F15" s="0" t="n">
        <v>180.735</v>
      </c>
      <c r="G15" s="0" t="n">
        <v>11.3506547500545</v>
      </c>
      <c r="H15" s="0" t="n">
        <v>316.359</v>
      </c>
      <c r="I15" s="0" t="n">
        <v>161.458</v>
      </c>
      <c r="J15" s="0" t="n">
        <v>10.1400061672299</v>
      </c>
      <c r="K15" s="0" t="n">
        <v>3.95</v>
      </c>
      <c r="L15" s="0" t="n">
        <v>371.753</v>
      </c>
      <c r="M15" s="0" t="n">
        <v>33.919</v>
      </c>
      <c r="N15" s="0" t="n">
        <v>337.834</v>
      </c>
      <c r="O15" s="0" t="n">
        <v>2324.032</v>
      </c>
      <c r="P15" s="0" t="n">
        <v>4732.161</v>
      </c>
      <c r="Q15" s="0" t="n">
        <v>2408.129</v>
      </c>
      <c r="R15" s="0" t="n">
        <v>1371.276</v>
      </c>
      <c r="S15" s="0" t="n">
        <v>309.171</v>
      </c>
      <c r="T15" s="0" t="n">
        <v>42.244</v>
      </c>
      <c r="U15" s="0" t="n">
        <v>104.726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1850.204</v>
      </c>
      <c r="C16" s="0" t="n">
        <v>1066.341</v>
      </c>
      <c r="D16" s="0" t="n">
        <v>783.863</v>
      </c>
      <c r="E16" s="0" t="n">
        <v>42.3663012294861</v>
      </c>
      <c r="F16" s="0" t="n">
        <v>214.249</v>
      </c>
      <c r="G16" s="0" t="n">
        <v>11.5797501248511</v>
      </c>
      <c r="H16" s="0" t="n">
        <v>373.321</v>
      </c>
      <c r="I16" s="0" t="n">
        <v>164.24</v>
      </c>
      <c r="J16" s="0" t="n">
        <v>8.8768589841985</v>
      </c>
      <c r="K16" s="0" t="n">
        <v>3.95</v>
      </c>
      <c r="L16" s="0" t="n">
        <v>381.455</v>
      </c>
      <c r="M16" s="0" t="n">
        <v>22.529</v>
      </c>
      <c r="N16" s="0" t="n">
        <v>358.926</v>
      </c>
      <c r="O16" s="0" t="n">
        <v>2624.389</v>
      </c>
      <c r="P16" s="0" t="n">
        <v>4687.417</v>
      </c>
      <c r="Q16" s="0" t="n">
        <v>2063.028</v>
      </c>
      <c r="R16" s="0" t="n">
        <v>1017.389</v>
      </c>
      <c r="S16" s="0" t="n">
        <v>173.857</v>
      </c>
      <c r="T16" s="0" t="n">
        <v>42.399</v>
      </c>
      <c r="U16" s="0" t="n">
        <v>102.985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1951.751</v>
      </c>
      <c r="C17" s="0" t="n">
        <v>1090.652</v>
      </c>
      <c r="D17" s="0" t="n">
        <v>861.099</v>
      </c>
      <c r="E17" s="0" t="n">
        <v>44.1193062024818</v>
      </c>
      <c r="F17" s="0" t="n">
        <v>218.537</v>
      </c>
      <c r="G17" s="0" t="n">
        <v>11.1969713349705</v>
      </c>
      <c r="H17" s="0" t="n">
        <v>372.616</v>
      </c>
      <c r="I17" s="0" t="n">
        <v>165.919</v>
      </c>
      <c r="J17" s="0" t="n">
        <v>8.50103317482609</v>
      </c>
      <c r="K17" s="0" t="n">
        <v>3.95</v>
      </c>
      <c r="L17" s="0" t="n">
        <v>380.44</v>
      </c>
      <c r="M17" s="0" t="n">
        <v>20.519</v>
      </c>
      <c r="N17" s="0" t="n">
        <v>359.921</v>
      </c>
      <c r="O17" s="0" t="n">
        <v>2937.995</v>
      </c>
      <c r="P17" s="0" t="n">
        <v>4676.663</v>
      </c>
      <c r="Q17" s="0" t="n">
        <v>1738.668</v>
      </c>
      <c r="R17" s="0" t="n">
        <v>695.808</v>
      </c>
      <c r="S17" s="0" t="n">
        <v>165.493</v>
      </c>
      <c r="T17" s="0" t="n">
        <v>42.769</v>
      </c>
      <c r="U17" s="0" t="n">
        <v>108.338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2137.803</v>
      </c>
      <c r="C18" s="0" t="n">
        <v>1202.042</v>
      </c>
      <c r="D18" s="0" t="n">
        <v>935.761</v>
      </c>
      <c r="E18" s="0" t="n">
        <v>43.7720875122731</v>
      </c>
      <c r="F18" s="0" t="n">
        <v>299.526</v>
      </c>
      <c r="G18" s="0" t="n">
        <v>14.0109261704657</v>
      </c>
      <c r="H18" s="0" t="n">
        <v>442.963</v>
      </c>
      <c r="I18" s="0" t="n">
        <v>263.026</v>
      </c>
      <c r="J18" s="0" t="n">
        <v>12.3035658570972</v>
      </c>
      <c r="K18" s="0" t="n">
        <v>6.17</v>
      </c>
      <c r="L18" s="0" t="n">
        <v>624.633</v>
      </c>
      <c r="M18" s="0" t="n">
        <v>20.535</v>
      </c>
      <c r="N18" s="0" t="n">
        <v>604.098</v>
      </c>
      <c r="O18" s="0" t="n">
        <v>3388.422</v>
      </c>
      <c r="P18" s="0" t="n">
        <v>5180.015</v>
      </c>
      <c r="Q18" s="0" t="n">
        <v>1791.593</v>
      </c>
      <c r="R18" s="0" t="n">
        <v>597.934</v>
      </c>
      <c r="S18" s="0" t="n">
        <v>744.721</v>
      </c>
      <c r="T18" s="0" t="n">
        <v>43.497</v>
      </c>
      <c r="U18" s="0" t="n">
        <v>122.813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2332.34</v>
      </c>
      <c r="C19" s="0" t="n">
        <v>1248.64</v>
      </c>
      <c r="D19" s="0" t="n">
        <v>1083.7</v>
      </c>
      <c r="E19" s="0" t="n">
        <v>46.4640661310101</v>
      </c>
      <c r="F19" s="0" t="n">
        <v>357.676</v>
      </c>
      <c r="G19" s="0" t="n">
        <v>15.3354999699872</v>
      </c>
      <c r="H19" s="0" t="n">
        <v>496.034</v>
      </c>
      <c r="I19" s="0" t="n">
        <v>315.603</v>
      </c>
      <c r="J19" s="0" t="n">
        <v>13.5316034540419</v>
      </c>
      <c r="K19" s="0" t="n">
        <v>7.32</v>
      </c>
      <c r="L19" s="0" t="n">
        <v>653.543</v>
      </c>
      <c r="M19" s="0" t="n">
        <v>16.015</v>
      </c>
      <c r="N19" s="0" t="n">
        <v>637.528</v>
      </c>
      <c r="O19" s="0" t="n">
        <v>3702.789</v>
      </c>
      <c r="P19" s="0" t="n">
        <v>5638.908</v>
      </c>
      <c r="Q19" s="0" t="n">
        <v>1936.119</v>
      </c>
      <c r="R19" s="0" t="n">
        <v>599.663</v>
      </c>
      <c r="S19" s="0" t="n">
        <v>1015.4</v>
      </c>
      <c r="T19" s="0" t="n">
        <v>43.812</v>
      </c>
      <c r="U19" s="0" t="n">
        <v>151.276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330.18</v>
      </c>
    </row>
    <row r="3" customFormat="false" ht="15" hidden="false" customHeight="false" outlineLevel="0" collapsed="false">
      <c r="A3" s="0" t="s">
        <v>84</v>
      </c>
      <c r="B3" s="3" t="n">
        <v>41.24</v>
      </c>
    </row>
    <row r="4" customFormat="false" ht="15" hidden="false" customHeight="false" outlineLevel="0" collapsed="false">
      <c r="A4" s="0" t="s">
        <v>85</v>
      </c>
      <c r="B4" s="3" t="n">
        <v>422.2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2332.34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8.5</v>
      </c>
      <c r="D13" s="3" t="n">
        <v>6.5</v>
      </c>
      <c r="E13" s="3" t="n">
        <v>6</v>
      </c>
      <c r="F13" s="3" t="n">
        <v>5.5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105</v>
      </c>
      <c r="C14" s="3" t="n">
        <v>28</v>
      </c>
      <c r="D14" s="3" t="n">
        <v>28.6</v>
      </c>
      <c r="E14" s="3" t="n">
        <v>29.2</v>
      </c>
      <c r="F14" s="3" t="n">
        <v>29.8</v>
      </c>
      <c r="G14" s="3" t="n">
        <v>30.3</v>
      </c>
      <c r="H14" s="3" t="n">
        <v>30.7</v>
      </c>
      <c r="I14" s="3" t="n">
        <v>31</v>
      </c>
      <c r="J14" s="3" t="n">
        <v>31.2</v>
      </c>
      <c r="K14" s="3" t="n">
        <v>31.3</v>
      </c>
      <c r="L14" s="3" t="n">
        <v>31.3</v>
      </c>
    </row>
    <row r="15" customFormat="false" ht="15" hidden="false" customHeight="false" outlineLevel="0" collapsed="false">
      <c r="A15" s="0" t="s">
        <v>106</v>
      </c>
      <c r="C15" s="3" t="n">
        <v>8.6</v>
      </c>
      <c r="D15" s="3" t="n">
        <v>8.6</v>
      </c>
      <c r="E15" s="3" t="n">
        <v>8.5</v>
      </c>
      <c r="F15" s="3" t="n">
        <v>8.4</v>
      </c>
      <c r="G15" s="3" t="n">
        <v>8.3</v>
      </c>
      <c r="H15" s="3" t="n">
        <v>8.2</v>
      </c>
      <c r="I15" s="3" t="n">
        <v>8.1</v>
      </c>
      <c r="J15" s="3" t="n">
        <v>8</v>
      </c>
      <c r="K15" s="3" t="n">
        <v>8</v>
      </c>
      <c r="L15" s="3" t="n">
        <v>8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5.6</v>
      </c>
      <c r="D17" s="3" t="n">
        <v>5.3</v>
      </c>
      <c r="E17" s="3" t="n">
        <v>5</v>
      </c>
      <c r="F17" s="3" t="n">
        <v>4.5</v>
      </c>
      <c r="G17" s="3" t="n">
        <v>4</v>
      </c>
      <c r="H17" s="3" t="n">
        <v>3.5</v>
      </c>
      <c r="I17" s="3" t="n">
        <v>3.1</v>
      </c>
      <c r="J17" s="3" t="n">
        <v>2.7</v>
      </c>
      <c r="K17" s="3" t="n">
        <v>2.4</v>
      </c>
      <c r="L17" s="3" t="n">
        <v>2.2</v>
      </c>
    </row>
    <row r="18" customFormat="false" ht="15" hidden="false" customHeight="false" outlineLevel="0" collapsed="false">
      <c r="A18" s="0" t="s">
        <v>109</v>
      </c>
      <c r="C18" s="3" t="n">
        <v>1.6</v>
      </c>
      <c r="D18" s="3" t="n">
        <v>1.6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110</v>
      </c>
      <c r="C19" s="3" t="n">
        <v>12</v>
      </c>
      <c r="D19" s="3" t="n">
        <v>18</v>
      </c>
      <c r="E19" s="3" t="n">
        <v>21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18</v>
      </c>
    </row>
    <row r="23" customFormat="false" ht="15" hidden="false" customHeight="false" outlineLevel="0" collapsed="false">
      <c r="A23" s="0" t="s">
        <v>114</v>
      </c>
      <c r="B23" s="3" t="n">
        <v>12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9.5</v>
      </c>
      <c r="D27" s="3" t="n">
        <v>9</v>
      </c>
      <c r="E27" s="3" t="n">
        <v>8.5</v>
      </c>
      <c r="F27" s="3" t="n">
        <v>8</v>
      </c>
      <c r="G27" s="3" t="n">
        <v>7.5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105</v>
      </c>
      <c r="C28" s="3" t="n">
        <v>28.5</v>
      </c>
      <c r="D28" s="3" t="n">
        <v>29.8</v>
      </c>
      <c r="E28" s="3" t="n">
        <v>31</v>
      </c>
      <c r="F28" s="3" t="n">
        <v>32.2</v>
      </c>
      <c r="G28" s="3" t="n">
        <v>33.2</v>
      </c>
      <c r="H28" s="3" t="n">
        <v>34</v>
      </c>
      <c r="I28" s="3" t="n">
        <v>34.8</v>
      </c>
      <c r="J28" s="3" t="n">
        <v>35.3</v>
      </c>
      <c r="K28" s="3" t="n">
        <v>35.6</v>
      </c>
      <c r="L28" s="3" t="n">
        <v>35.8</v>
      </c>
    </row>
    <row r="29" customFormat="false" ht="15" hidden="false" customHeight="false" outlineLevel="0" collapsed="false">
      <c r="A29" s="0" t="s">
        <v>106</v>
      </c>
      <c r="C29" s="3" t="n">
        <v>8.5</v>
      </c>
      <c r="D29" s="3" t="n">
        <v>8.3</v>
      </c>
      <c r="E29" s="3" t="n">
        <v>8.1</v>
      </c>
      <c r="F29" s="3" t="n">
        <v>7.9</v>
      </c>
      <c r="G29" s="3" t="n">
        <v>7.7</v>
      </c>
      <c r="H29" s="3" t="n">
        <v>7.5</v>
      </c>
      <c r="I29" s="3" t="n">
        <v>7.3</v>
      </c>
      <c r="J29" s="3" t="n">
        <v>7.2</v>
      </c>
      <c r="K29" s="3" t="n">
        <v>7.1</v>
      </c>
      <c r="L29" s="3" t="n">
        <v>7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5.6</v>
      </c>
      <c r="D31" s="3" t="n">
        <v>5.2</v>
      </c>
      <c r="E31" s="3" t="n">
        <v>4.9</v>
      </c>
      <c r="F31" s="3" t="n">
        <v>4.3</v>
      </c>
      <c r="G31" s="3" t="n">
        <v>3.8</v>
      </c>
      <c r="H31" s="3" t="n">
        <v>3.3</v>
      </c>
      <c r="I31" s="3" t="n">
        <v>2.9</v>
      </c>
      <c r="J31" s="3" t="n">
        <v>2.5</v>
      </c>
      <c r="K31" s="3" t="n">
        <v>2.2</v>
      </c>
      <c r="L31" s="3" t="n">
        <v>2</v>
      </c>
    </row>
    <row r="32" customFormat="false" ht="15" hidden="false" customHeight="false" outlineLevel="0" collapsed="false">
      <c r="A32" s="0" t="s">
        <v>109</v>
      </c>
      <c r="C32" s="3" t="n">
        <v>1.5</v>
      </c>
      <c r="D32" s="3" t="n">
        <v>1.5</v>
      </c>
      <c r="E32" s="3" t="n">
        <v>1.5</v>
      </c>
      <c r="F32" s="3" t="n">
        <v>1.5</v>
      </c>
      <c r="G32" s="3" t="n">
        <v>1.5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110</v>
      </c>
      <c r="C33" s="3" t="n">
        <v>12</v>
      </c>
      <c r="D33" s="3" t="n">
        <v>17</v>
      </c>
      <c r="E33" s="3" t="n">
        <v>20</v>
      </c>
      <c r="F33" s="3" t="n">
        <v>22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15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10</v>
      </c>
      <c r="D41" s="3" t="n">
        <v>10.5</v>
      </c>
      <c r="E41" s="3" t="n">
        <v>10.5</v>
      </c>
      <c r="F41" s="3" t="n">
        <v>10</v>
      </c>
      <c r="G41" s="3" t="n">
        <v>9.5</v>
      </c>
      <c r="H41" s="3" t="n">
        <v>8.5</v>
      </c>
      <c r="I41" s="3" t="n">
        <v>7.5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105</v>
      </c>
      <c r="C42" s="3" t="n">
        <v>28.8</v>
      </c>
      <c r="D42" s="3" t="n">
        <v>30.8</v>
      </c>
      <c r="E42" s="3" t="n">
        <v>32.8</v>
      </c>
      <c r="F42" s="3" t="n">
        <v>34.6</v>
      </c>
      <c r="G42" s="3" t="n">
        <v>36.2</v>
      </c>
      <c r="H42" s="3" t="n">
        <v>37.2</v>
      </c>
      <c r="I42" s="3" t="n">
        <v>38</v>
      </c>
      <c r="J42" s="3" t="n">
        <v>38.5</v>
      </c>
      <c r="K42" s="3" t="n">
        <v>38.8</v>
      </c>
      <c r="L42" s="3" t="n">
        <v>39</v>
      </c>
    </row>
    <row r="43" customFormat="false" ht="15" hidden="false" customHeight="false" outlineLevel="0" collapsed="false">
      <c r="A43" s="0" t="s">
        <v>106</v>
      </c>
      <c r="C43" s="3" t="n">
        <v>8.4</v>
      </c>
      <c r="D43" s="3" t="n">
        <v>8.1</v>
      </c>
      <c r="E43" s="3" t="n">
        <v>7.8</v>
      </c>
      <c r="F43" s="3" t="n">
        <v>7.5</v>
      </c>
      <c r="G43" s="3" t="n">
        <v>7.2</v>
      </c>
      <c r="H43" s="3" t="n">
        <v>7</v>
      </c>
      <c r="I43" s="3" t="n">
        <v>6.8</v>
      </c>
      <c r="J43" s="3" t="n">
        <v>6.6</v>
      </c>
      <c r="K43" s="3" t="n">
        <v>6.5</v>
      </c>
      <c r="L43" s="3" t="n">
        <v>6.5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5.6</v>
      </c>
      <c r="D45" s="3" t="n">
        <v>5.2</v>
      </c>
      <c r="E45" s="3" t="n">
        <v>4.9</v>
      </c>
      <c r="F45" s="3" t="n">
        <v>4.3</v>
      </c>
      <c r="G45" s="3" t="n">
        <v>3.8</v>
      </c>
      <c r="H45" s="3" t="n">
        <v>3.3</v>
      </c>
      <c r="I45" s="3" t="n">
        <v>2.9</v>
      </c>
      <c r="J45" s="3" t="n">
        <v>2.5</v>
      </c>
      <c r="K45" s="3" t="n">
        <v>2.2</v>
      </c>
      <c r="L45" s="3" t="n">
        <v>2</v>
      </c>
    </row>
    <row r="46" customFormat="false" ht="15" hidden="false" customHeight="false" outlineLevel="0" collapsed="false">
      <c r="A46" s="0" t="s">
        <v>109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1.5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110</v>
      </c>
      <c r="C47" s="3" t="n">
        <v>12</v>
      </c>
      <c r="D47" s="3" t="n">
        <v>17</v>
      </c>
      <c r="E47" s="3" t="n">
        <v>20</v>
      </c>
      <c r="F47" s="3" t="n">
        <v>22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3.5</v>
      </c>
    </row>
    <row r="50" customFormat="false" ht="15" hidden="false" customHeight="false" outlineLevel="0" collapsed="false">
      <c r="A50" s="0" t="s">
        <v>113</v>
      </c>
      <c r="B50" s="3" t="n">
        <v>20</v>
      </c>
    </row>
    <row r="51" customFormat="false" ht="15" hidden="false" customHeight="false" outlineLevel="0" collapsed="false">
      <c r="A51" s="0" t="s">
        <v>114</v>
      </c>
      <c r="B51" s="3" t="n">
        <v>15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8.5</v>
      </c>
      <c r="D5" s="4" t="n">
        <f aca="false">Assumptions!D13</f>
        <v>6.5</v>
      </c>
      <c r="E5" s="4" t="n">
        <f aca="false">Assumptions!E13</f>
        <v>6</v>
      </c>
      <c r="F5" s="4" t="n">
        <f aca="false">Assumptions!F13</f>
        <v>5.5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2332.34</v>
      </c>
      <c r="C6" s="0" t="n">
        <f aca="false">B6*(1+C5/100)</f>
        <v>2530.5889</v>
      </c>
      <c r="D6" s="0" t="n">
        <f aca="false">C6*(1+D5/100)</f>
        <v>2695.0771785</v>
      </c>
      <c r="E6" s="0" t="n">
        <f aca="false">D6*(1+E5/100)</f>
        <v>2856.78180921</v>
      </c>
      <c r="F6" s="0" t="n">
        <f aca="false">E6*(1+F5/100)</f>
        <v>3013.90480871655</v>
      </c>
      <c r="G6" s="0" t="n">
        <f aca="false">F6*(1+G5/100)</f>
        <v>3164.60004915238</v>
      </c>
      <c r="H6" s="0" t="n">
        <f aca="false">G6*(1+H5/100)</f>
        <v>3307.00705136423</v>
      </c>
      <c r="I6" s="0" t="n">
        <f aca="false">H6*(1+I5/100)</f>
        <v>3439.2873334188</v>
      </c>
      <c r="J6" s="0" t="n">
        <f aca="false">I6*(1+J5/100)</f>
        <v>3559.66239008846</v>
      </c>
      <c r="K6" s="0" t="n">
        <f aca="false">J6*(1+K5/100)</f>
        <v>3666.45226179112</v>
      </c>
      <c r="L6" s="0" t="n">
        <f aca="false">K6*(1+L5/100)</f>
        <v>3776.44582964485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28</v>
      </c>
      <c r="D7" s="4" t="n">
        <f aca="false">Assumptions!D14</f>
        <v>28.6</v>
      </c>
      <c r="E7" s="4" t="n">
        <f aca="false">Assumptions!E14</f>
        <v>29.2</v>
      </c>
      <c r="F7" s="4" t="n">
        <f aca="false">Assumptions!F14</f>
        <v>29.8</v>
      </c>
      <c r="G7" s="4" t="n">
        <f aca="false">Assumptions!G14</f>
        <v>30.3</v>
      </c>
      <c r="H7" s="4" t="n">
        <f aca="false">Assumptions!H14</f>
        <v>30.7</v>
      </c>
      <c r="I7" s="4" t="n">
        <f aca="false">Assumptions!I14</f>
        <v>31</v>
      </c>
      <c r="J7" s="4" t="n">
        <f aca="false">Assumptions!J14</f>
        <v>31.2</v>
      </c>
      <c r="K7" s="4" t="n">
        <f aca="false">Assumptions!K14</f>
        <v>31.3</v>
      </c>
      <c r="L7" s="4" t="n">
        <f aca="false">Assumptions!L14</f>
        <v>31.3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708.564892</v>
      </c>
      <c r="D8" s="0" t="n">
        <f aca="false">D6*D7/100</f>
        <v>770.792073051</v>
      </c>
      <c r="E8" s="0" t="n">
        <f aca="false">E6*E7/100</f>
        <v>834.18028828932</v>
      </c>
      <c r="F8" s="0" t="n">
        <f aca="false">F6*F7/100</f>
        <v>898.143632997532</v>
      </c>
      <c r="G8" s="0" t="n">
        <f aca="false">G6*G7/100</f>
        <v>958.87381489317</v>
      </c>
      <c r="H8" s="0" t="n">
        <f aca="false">H6*H7/100</f>
        <v>1015.25116476882</v>
      </c>
      <c r="I8" s="0" t="n">
        <f aca="false">I6*I7/100</f>
        <v>1066.17907335983</v>
      </c>
      <c r="J8" s="0" t="n">
        <f aca="false">J6*J7/100</f>
        <v>1110.6146657076</v>
      </c>
      <c r="K8" s="0" t="n">
        <f aca="false">K6*K7/100</f>
        <v>1147.59955794062</v>
      </c>
      <c r="L8" s="0" t="n">
        <f aca="false">L6*L7/100</f>
        <v>1182.02754467884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8.6</v>
      </c>
      <c r="D9" s="4" t="n">
        <f aca="false">Assumptions!D15</f>
        <v>8.6</v>
      </c>
      <c r="E9" s="4" t="n">
        <f aca="false">Assumptions!E15</f>
        <v>8.5</v>
      </c>
      <c r="F9" s="4" t="n">
        <f aca="false">Assumptions!F15</f>
        <v>8.4</v>
      </c>
      <c r="G9" s="4" t="n">
        <f aca="false">Assumptions!G15</f>
        <v>8.3</v>
      </c>
      <c r="H9" s="4" t="n">
        <f aca="false">Assumptions!H15</f>
        <v>8.2</v>
      </c>
      <c r="I9" s="4" t="n">
        <f aca="false">Assumptions!I15</f>
        <v>8.1</v>
      </c>
      <c r="J9" s="4" t="n">
        <f aca="false">Assumptions!J15</f>
        <v>8</v>
      </c>
      <c r="K9" s="4" t="n">
        <f aca="false">Assumptions!K15</f>
        <v>8</v>
      </c>
      <c r="L9" s="4" t="n">
        <f aca="false">Assumptions!L15</f>
        <v>8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-217.6306454</v>
      </c>
      <c r="D10" s="0" t="n">
        <f aca="false">-D6*D9/100</f>
        <v>-231.776637351</v>
      </c>
      <c r="E10" s="0" t="n">
        <f aca="false">-E6*E9/100</f>
        <v>-242.82645378285</v>
      </c>
      <c r="F10" s="0" t="n">
        <f aca="false">-F6*F9/100</f>
        <v>-253.16800393219</v>
      </c>
      <c r="G10" s="0" t="n">
        <f aca="false">-G6*G9/100</f>
        <v>-262.661804079647</v>
      </c>
      <c r="H10" s="0" t="n">
        <f aca="false">-H6*H9/100</f>
        <v>-271.174578211867</v>
      </c>
      <c r="I10" s="0" t="n">
        <f aca="false">-I6*I9/100</f>
        <v>-278.582274006923</v>
      </c>
      <c r="J10" s="0" t="n">
        <f aca="false">-J6*J9/100</f>
        <v>-284.772991207077</v>
      </c>
      <c r="K10" s="0" t="n">
        <f aca="false">-K6*K9/100</f>
        <v>-293.316180943289</v>
      </c>
      <c r="L10" s="0" t="n">
        <f aca="false">-L6*L9/100</f>
        <v>-302.115666371588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490.9342466</v>
      </c>
      <c r="D11" s="0" t="n">
        <f aca="false">D8+D10+D24</f>
        <v>539.0154357</v>
      </c>
      <c r="E11" s="0" t="n">
        <f aca="false">E8+E10+E24</f>
        <v>591.35383450647</v>
      </c>
      <c r="F11" s="0" t="n">
        <f aca="false">F8+F10+F24</f>
        <v>644.975629065342</v>
      </c>
      <c r="G11" s="0" t="n">
        <f aca="false">G8+G10+G24</f>
        <v>696.212010813523</v>
      </c>
      <c r="H11" s="0" t="n">
        <f aca="false">H8+H10+H24</f>
        <v>744.076586556953</v>
      </c>
      <c r="I11" s="0" t="n">
        <f aca="false">I8+I10+I24</f>
        <v>787.596799352906</v>
      </c>
      <c r="J11" s="0" t="n">
        <f aca="false">J8+J10+J24</f>
        <v>825.841674500523</v>
      </c>
      <c r="K11" s="0" t="n">
        <f aca="false">K8+K10+K24</f>
        <v>854.28337699733</v>
      </c>
      <c r="L11" s="0" t="n">
        <f aca="false">L8+L10+L24</f>
        <v>879.91187830725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-141.7129784</v>
      </c>
      <c r="D12" s="4" t="n">
        <f aca="false">-D6*Assumptions!D17/100</f>
        <v>-142.8390904605</v>
      </c>
      <c r="E12" s="4" t="n">
        <f aca="false">-E6*Assumptions!E17/100</f>
        <v>-142.8390904605</v>
      </c>
      <c r="F12" s="4" t="n">
        <f aca="false">-F6*Assumptions!F17/100</f>
        <v>-135.625716392245</v>
      </c>
      <c r="G12" s="4" t="n">
        <f aca="false">-G6*Assumptions!G17/100</f>
        <v>-126.584001966095</v>
      </c>
      <c r="H12" s="4" t="n">
        <f aca="false">-H6*Assumptions!H17/100</f>
        <v>-115.745246797748</v>
      </c>
      <c r="I12" s="4" t="n">
        <f aca="false">-I6*Assumptions!I17/100</f>
        <v>-106.617907335983</v>
      </c>
      <c r="J12" s="4" t="n">
        <f aca="false">-J6*Assumptions!J17/100</f>
        <v>-96.1108845323885</v>
      </c>
      <c r="K12" s="4" t="n">
        <f aca="false">-K6*Assumptions!K17/100</f>
        <v>-87.9948542829868</v>
      </c>
      <c r="L12" s="4" t="n">
        <f aca="false">-L6*Assumptions!L17/100</f>
        <v>-83.0818082521867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349.2212682</v>
      </c>
      <c r="D13" s="0" t="n">
        <f aca="false">D11+D12</f>
        <v>396.1763452395</v>
      </c>
      <c r="E13" s="0" t="n">
        <f aca="false">E11+E12</f>
        <v>448.51474404597</v>
      </c>
      <c r="F13" s="0" t="n">
        <f aca="false">F11+F12</f>
        <v>509.349912673097</v>
      </c>
      <c r="G13" s="0" t="n">
        <f aca="false">G11+G12</f>
        <v>569.628008847428</v>
      </c>
      <c r="H13" s="0" t="n">
        <f aca="false">H11+H12</f>
        <v>628.331339759205</v>
      </c>
      <c r="I13" s="0" t="n">
        <f aca="false">I11+I12</f>
        <v>680.978892016923</v>
      </c>
      <c r="J13" s="0" t="n">
        <f aca="false">J11+J12</f>
        <v>729.730789968134</v>
      </c>
      <c r="K13" s="0" t="n">
        <f aca="false">K11+K12</f>
        <v>766.288522714343</v>
      </c>
      <c r="L13" s="0" t="n">
        <f aca="false">L11+L12</f>
        <v>796.830070055063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12</v>
      </c>
      <c r="D14" s="4" t="n">
        <f aca="false">Assumptions!D19</f>
        <v>18</v>
      </c>
      <c r="E14" s="4" t="n">
        <f aca="false">Assumptions!E19</f>
        <v>21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307.314716016</v>
      </c>
      <c r="D15" s="0" t="n">
        <f aca="false">D13-MAX(0,D13)*D14/100</f>
        <v>324.86460309639</v>
      </c>
      <c r="E15" s="0" t="n">
        <f aca="false">E13-MAX(0,E13)*E14/100</f>
        <v>354.326647796316</v>
      </c>
      <c r="F15" s="0" t="n">
        <f aca="false">F13-MAX(0,F13)*F14/100</f>
        <v>392.199432758285</v>
      </c>
      <c r="G15" s="0" t="n">
        <f aca="false">G13-MAX(0,G13)*G14/100</f>
        <v>432.917286724045</v>
      </c>
      <c r="H15" s="0" t="n">
        <f aca="false">H13-MAX(0,H13)*H14/100</f>
        <v>477.531818216996</v>
      </c>
      <c r="I15" s="0" t="n">
        <f aca="false">I13-MAX(0,I13)*I14/100</f>
        <v>517.543957932862</v>
      </c>
      <c r="J15" s="0" t="n">
        <f aca="false">J13-MAX(0,J13)*J14/100</f>
        <v>554.595400375782</v>
      </c>
      <c r="K15" s="0" t="n">
        <f aca="false">K13-MAX(0,K13)*K14/100</f>
        <v>582.379277262901</v>
      </c>
      <c r="L15" s="0" t="n">
        <f aca="false">L13-MAX(0,L13)*L14/100</f>
        <v>605.590853241848</v>
      </c>
    </row>
    <row r="16" customFormat="false" ht="15" hidden="false" customHeight="false" outlineLevel="0" collapsed="false">
      <c r="A16" s="0" t="s">
        <v>126</v>
      </c>
      <c r="C16" s="0" t="n">
        <f aca="false">-C12</f>
        <v>141.7129784</v>
      </c>
      <c r="D16" s="0" t="n">
        <f aca="false">-D12</f>
        <v>142.8390904605</v>
      </c>
      <c r="E16" s="0" t="n">
        <f aca="false">-E12</f>
        <v>142.8390904605</v>
      </c>
      <c r="F16" s="0" t="n">
        <f aca="false">-F12</f>
        <v>135.625716392245</v>
      </c>
      <c r="G16" s="0" t="n">
        <f aca="false">-G12</f>
        <v>126.584001966095</v>
      </c>
      <c r="H16" s="0" t="n">
        <f aca="false">-H12</f>
        <v>115.745246797748</v>
      </c>
      <c r="I16" s="0" t="n">
        <f aca="false">-I12</f>
        <v>106.617907335983</v>
      </c>
      <c r="J16" s="0" t="n">
        <f aca="false">-J12</f>
        <v>96.1108845323885</v>
      </c>
      <c r="K16" s="0" t="n">
        <f aca="false">-K12</f>
        <v>87.9948542829868</v>
      </c>
      <c r="L16" s="0" t="n">
        <f aca="false">-L12</f>
        <v>83.0818082521867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-40.4894224</v>
      </c>
      <c r="D17" s="4" t="n">
        <f aca="false">-D6*Assumptions!D18/100</f>
        <v>-43.121234856</v>
      </c>
      <c r="E17" s="4" t="n">
        <f aca="false">-E6*Assumptions!E18/100</f>
        <v>-45.70850894736</v>
      </c>
      <c r="F17" s="4" t="n">
        <f aca="false">-F6*Assumptions!F18/100</f>
        <v>-48.2224769394648</v>
      </c>
      <c r="G17" s="4" t="n">
        <f aca="false">-G6*Assumptions!G18/100</f>
        <v>-50.633600786438</v>
      </c>
      <c r="H17" s="4" t="n">
        <f aca="false">-H6*Assumptions!H18/100</f>
        <v>-52.9121128218278</v>
      </c>
      <c r="I17" s="4" t="n">
        <f aca="false">-I6*Assumptions!I18/100</f>
        <v>-55.0285973347009</v>
      </c>
      <c r="J17" s="4" t="n">
        <f aca="false">-J6*Assumptions!J18/100</f>
        <v>-56.9545982414154</v>
      </c>
      <c r="K17" s="4" t="n">
        <f aca="false">-K6*Assumptions!K18/100</f>
        <v>-58.6632361886578</v>
      </c>
      <c r="L17" s="4" t="n">
        <f aca="false">-L6*Assumptions!L18/100</f>
        <v>-60.4231332743176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23.789868</v>
      </c>
      <c r="D18" s="4" t="n">
        <f aca="false">(D6-C6)*Assumptions!$B$23/100</f>
        <v>19.73859342</v>
      </c>
      <c r="E18" s="4" t="n">
        <f aca="false">(E6-D6)*Assumptions!$B$23/100</f>
        <v>19.4045556852</v>
      </c>
      <c r="F18" s="4" t="n">
        <f aca="false">(F6-E6)*Assumptions!$B$23/100</f>
        <v>18.854759940786</v>
      </c>
      <c r="G18" s="4" t="n">
        <f aca="false">(G6-F6)*Assumptions!$B$23/100</f>
        <v>18.0834288522993</v>
      </c>
      <c r="H18" s="4" t="n">
        <f aca="false">(H6-G6)*Assumptions!$B$23/100</f>
        <v>17.0888402654228</v>
      </c>
      <c r="I18" s="4" t="n">
        <f aca="false">(I6-H6)*Assumptions!$B$23/100</f>
        <v>15.8736338465483</v>
      </c>
      <c r="J18" s="4" t="n">
        <f aca="false">(J6-I6)*Assumptions!$B$23/100</f>
        <v>14.4450068003589</v>
      </c>
      <c r="K18" s="4" t="n">
        <f aca="false">(K6-J6)*Assumptions!$B$23/100</f>
        <v>12.8147846043184</v>
      </c>
      <c r="L18" s="4" t="n">
        <f aca="false">(L6-K6)*Assumptions!$B$23/100</f>
        <v>13.199228142448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432.328140016</v>
      </c>
      <c r="D19" s="0" t="n">
        <f aca="false">D15+D16+D17+D18</f>
        <v>444.32105212089</v>
      </c>
      <c r="E19" s="0" t="n">
        <f aca="false">E15+E16+E17+E18</f>
        <v>470.861784994656</v>
      </c>
      <c r="F19" s="0" t="n">
        <f aca="false">F15+F16+F17+F18</f>
        <v>498.457432151851</v>
      </c>
      <c r="G19" s="0" t="n">
        <f aca="false">G15+G16+G17+G18</f>
        <v>526.951116756002</v>
      </c>
      <c r="H19" s="0" t="n">
        <f aca="false">H15+H16+H17+H18</f>
        <v>557.453792458339</v>
      </c>
      <c r="I19" s="0" t="n">
        <f aca="false">I15+I16+I17+I18</f>
        <v>585.006901780692</v>
      </c>
      <c r="J19" s="0" t="n">
        <f aca="false">J15+J16+J17+J18</f>
        <v>608.196693467114</v>
      </c>
      <c r="K19" s="0" t="n">
        <f aca="false">K15+K16+K17+K18</f>
        <v>624.525679961548</v>
      </c>
      <c r="L19" s="0" t="n">
        <f aca="false">L15+L16+L17+L18</f>
        <v>641.448756362165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396.631321115596</v>
      </c>
      <c r="D21" s="0" t="n">
        <f aca="false">D19*D20</f>
        <v>373.976140157302</v>
      </c>
      <c r="E21" s="0" t="n">
        <f aca="false">E19*E20</f>
        <v>363.591691764938</v>
      </c>
      <c r="F21" s="0" t="n">
        <f aca="false">F19*F20</f>
        <v>353.11981157919</v>
      </c>
      <c r="G21" s="0" t="n">
        <f aca="false">G19*G20</f>
        <v>342.482069824689</v>
      </c>
      <c r="H21" s="0" t="n">
        <f aca="false">H19*H20</f>
        <v>332.391482687815</v>
      </c>
      <c r="I21" s="0" t="n">
        <f aca="false">I19*I20</f>
        <v>320.018808743729</v>
      </c>
      <c r="J21" s="0" t="n">
        <f aca="false">J19*J20</f>
        <v>305.233411859619</v>
      </c>
      <c r="K21" s="0" t="n">
        <f aca="false">K19*K20</f>
        <v>287.548972075604</v>
      </c>
      <c r="L21" s="0" t="n">
        <f aca="false">L19*L20</f>
        <v>270.954886757178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3345.94859656566</v>
      </c>
    </row>
    <row r="31" customFormat="false" ht="15" hidden="false" customHeight="false" outlineLevel="0" collapsed="false">
      <c r="A31" s="0" t="s">
        <v>135</v>
      </c>
      <c r="B31" s="0" t="n">
        <f aca="false">L19</f>
        <v>641.448756362165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10115.1534657111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11546.077614519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10115.1534657111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4272.75013732473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7618.6987338904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7196.4987338904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174.502879095305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-0.471491673949648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1651.98461104065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2012.42069950842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263.358487983498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5259.87980216975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83.4695965261326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9.5</v>
      </c>
      <c r="D5" s="4" t="n">
        <f aca="false">Assumptions!D27</f>
        <v>9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7.5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2332.34</v>
      </c>
      <c r="C6" s="0" t="n">
        <f aca="false">B6*(1+C5/100)</f>
        <v>2553.9123</v>
      </c>
      <c r="D6" s="0" t="n">
        <f aca="false">C6*(1+D5/100)</f>
        <v>2783.764407</v>
      </c>
      <c r="E6" s="0" t="n">
        <f aca="false">D6*(1+E5/100)</f>
        <v>3020.384381595</v>
      </c>
      <c r="F6" s="0" t="n">
        <f aca="false">E6*(1+F5/100)</f>
        <v>3262.0151321226</v>
      </c>
      <c r="G6" s="0" t="n">
        <f aca="false">F6*(1+G5/100)</f>
        <v>3506.6662670318</v>
      </c>
      <c r="H6" s="0" t="n">
        <f aca="false">G6*(1+H5/100)</f>
        <v>3752.13290572402</v>
      </c>
      <c r="I6" s="0" t="n">
        <f aca="false">H6*(1+I5/100)</f>
        <v>3977.26088006746</v>
      </c>
      <c r="J6" s="0" t="n">
        <f aca="false">I6*(1+J5/100)</f>
        <v>4176.12392407084</v>
      </c>
      <c r="K6" s="0" t="n">
        <f aca="false">J6*(1+K5/100)</f>
        <v>4343.16888103367</v>
      </c>
      <c r="L6" s="0" t="n">
        <f aca="false">K6*(1+L5/100)</f>
        <v>4495.17979186985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28.5</v>
      </c>
      <c r="D7" s="4" t="n">
        <f aca="false">Assumptions!D28</f>
        <v>29.8</v>
      </c>
      <c r="E7" s="4" t="n">
        <f aca="false">Assumptions!E28</f>
        <v>31</v>
      </c>
      <c r="F7" s="4" t="n">
        <f aca="false">Assumptions!F28</f>
        <v>32.2</v>
      </c>
      <c r="G7" s="4" t="n">
        <f aca="false">Assumptions!G28</f>
        <v>33.2</v>
      </c>
      <c r="H7" s="4" t="n">
        <f aca="false">Assumptions!H28</f>
        <v>34</v>
      </c>
      <c r="I7" s="4" t="n">
        <f aca="false">Assumptions!I28</f>
        <v>34.8</v>
      </c>
      <c r="J7" s="4" t="n">
        <f aca="false">Assumptions!J28</f>
        <v>35.3</v>
      </c>
      <c r="K7" s="4" t="n">
        <f aca="false">Assumptions!K28</f>
        <v>35.6</v>
      </c>
      <c r="L7" s="4" t="n">
        <f aca="false">Assumptions!L28</f>
        <v>35.8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727.8650055</v>
      </c>
      <c r="D8" s="0" t="n">
        <f aca="false">D6*D7/100</f>
        <v>829.561793286</v>
      </c>
      <c r="E8" s="0" t="n">
        <f aca="false">E6*E7/100</f>
        <v>936.31915829445</v>
      </c>
      <c r="F8" s="0" t="n">
        <f aca="false">F6*F7/100</f>
        <v>1050.36887254348</v>
      </c>
      <c r="G8" s="0" t="n">
        <f aca="false">G6*G7/100</f>
        <v>1164.21320065456</v>
      </c>
      <c r="H8" s="0" t="n">
        <f aca="false">H6*H7/100</f>
        <v>1275.72518794617</v>
      </c>
      <c r="I8" s="0" t="n">
        <f aca="false">I6*I7/100</f>
        <v>1384.08678626348</v>
      </c>
      <c r="J8" s="0" t="n">
        <f aca="false">J6*J7/100</f>
        <v>1474.171745197</v>
      </c>
      <c r="K8" s="0" t="n">
        <f aca="false">K6*K7/100</f>
        <v>1546.16812164799</v>
      </c>
      <c r="L8" s="0" t="n">
        <f aca="false">L6*L7/100</f>
        <v>1609.27436548941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8.5</v>
      </c>
      <c r="D9" s="4" t="n">
        <f aca="false">Assumptions!D29</f>
        <v>8.3</v>
      </c>
      <c r="E9" s="4" t="n">
        <f aca="false">Assumptions!E29</f>
        <v>8.1</v>
      </c>
      <c r="F9" s="4" t="n">
        <f aca="false">Assumptions!F29</f>
        <v>7.9</v>
      </c>
      <c r="G9" s="4" t="n">
        <f aca="false">Assumptions!G29</f>
        <v>7.7</v>
      </c>
      <c r="H9" s="4" t="n">
        <f aca="false">Assumptions!H29</f>
        <v>7.5</v>
      </c>
      <c r="I9" s="4" t="n">
        <f aca="false">Assumptions!I29</f>
        <v>7.3</v>
      </c>
      <c r="J9" s="4" t="n">
        <f aca="false">Assumptions!J29</f>
        <v>7.2</v>
      </c>
      <c r="K9" s="4" t="n">
        <f aca="false">Assumptions!K29</f>
        <v>7.1</v>
      </c>
      <c r="L9" s="4" t="n">
        <f aca="false">Assumptions!L29</f>
        <v>7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-217.0825455</v>
      </c>
      <c r="D10" s="0" t="n">
        <f aca="false">-D6*D9/100</f>
        <v>-231.052445781</v>
      </c>
      <c r="E10" s="0" t="n">
        <f aca="false">-E6*E9/100</f>
        <v>-244.651134909195</v>
      </c>
      <c r="F10" s="0" t="n">
        <f aca="false">-F6*F9/100</f>
        <v>-257.699195437685</v>
      </c>
      <c r="G10" s="0" t="n">
        <f aca="false">-G6*G9/100</f>
        <v>-270.013302561448</v>
      </c>
      <c r="H10" s="0" t="n">
        <f aca="false">-H6*H9/100</f>
        <v>-281.409967929302</v>
      </c>
      <c r="I10" s="0" t="n">
        <f aca="false">-I6*I9/100</f>
        <v>-290.340044244925</v>
      </c>
      <c r="J10" s="0" t="n">
        <f aca="false">-J6*J9/100</f>
        <v>-300.6809225331</v>
      </c>
      <c r="K10" s="0" t="n">
        <f aca="false">-K6*K9/100</f>
        <v>-308.364990553391</v>
      </c>
      <c r="L10" s="0" t="n">
        <f aca="false">-L6*L9/100</f>
        <v>-314.662585430889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510.78246</v>
      </c>
      <c r="D11" s="0" t="n">
        <f aca="false">D8+D10+D24</f>
        <v>598.509347505</v>
      </c>
      <c r="E11" s="0" t="n">
        <f aca="false">E8+E10+E24</f>
        <v>691.668023385255</v>
      </c>
      <c r="F11" s="0" t="n">
        <f aca="false">F8+F10+F24</f>
        <v>792.669677105792</v>
      </c>
      <c r="G11" s="0" t="n">
        <f aca="false">G8+G10+G24</f>
        <v>894.199898093108</v>
      </c>
      <c r="H11" s="0" t="n">
        <f aca="false">H8+H10+H24</f>
        <v>994.315220016866</v>
      </c>
      <c r="I11" s="0" t="n">
        <f aca="false">I8+I10+I24</f>
        <v>1093.74674201855</v>
      </c>
      <c r="J11" s="0" t="n">
        <f aca="false">J8+J10+J24</f>
        <v>1173.4908226639</v>
      </c>
      <c r="K11" s="0" t="n">
        <f aca="false">K8+K10+K24</f>
        <v>1237.8031310946</v>
      </c>
      <c r="L11" s="0" t="n">
        <f aca="false">L8+L10+L24</f>
        <v>1294.61178005852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-143.0190888</v>
      </c>
      <c r="D12" s="4" t="n">
        <f aca="false">-D6*Assumptions!D31/100</f>
        <v>-144.755749164</v>
      </c>
      <c r="E12" s="4" t="n">
        <f aca="false">-E6*Assumptions!E31/100</f>
        <v>-147.998834698155</v>
      </c>
      <c r="F12" s="4" t="n">
        <f aca="false">-F6*Assumptions!F31/100</f>
        <v>-140.266650681272</v>
      </c>
      <c r="G12" s="4" t="n">
        <f aca="false">-G6*Assumptions!G31/100</f>
        <v>-133.253318147208</v>
      </c>
      <c r="H12" s="4" t="n">
        <f aca="false">-H6*Assumptions!H31/100</f>
        <v>-123.820385888893</v>
      </c>
      <c r="I12" s="4" t="n">
        <f aca="false">-I6*Assumptions!I31/100</f>
        <v>-115.340565521956</v>
      </c>
      <c r="J12" s="4" t="n">
        <f aca="false">-J6*Assumptions!J31/100</f>
        <v>-104.403098101771</v>
      </c>
      <c r="K12" s="4" t="n">
        <f aca="false">-K6*Assumptions!K31/100</f>
        <v>-95.5497153827407</v>
      </c>
      <c r="L12" s="4" t="n">
        <f aca="false">-L6*Assumptions!L31/100</f>
        <v>-89.903595837397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367.7633712</v>
      </c>
      <c r="D13" s="0" t="n">
        <f aca="false">D11+D12</f>
        <v>453.753598341</v>
      </c>
      <c r="E13" s="0" t="n">
        <f aca="false">E11+E12</f>
        <v>543.6691886871</v>
      </c>
      <c r="F13" s="0" t="n">
        <f aca="false">F11+F12</f>
        <v>652.40302642452</v>
      </c>
      <c r="G13" s="0" t="n">
        <f aca="false">G11+G12</f>
        <v>760.9465799459</v>
      </c>
      <c r="H13" s="0" t="n">
        <f aca="false">H11+H12</f>
        <v>870.494834127973</v>
      </c>
      <c r="I13" s="0" t="n">
        <f aca="false">I11+I12</f>
        <v>978.406176496596</v>
      </c>
      <c r="J13" s="0" t="n">
        <f aca="false">J11+J12</f>
        <v>1069.08772456213</v>
      </c>
      <c r="K13" s="0" t="n">
        <f aca="false">K11+K12</f>
        <v>1142.25341571185</v>
      </c>
      <c r="L13" s="0" t="n">
        <f aca="false">L11+L12</f>
        <v>1204.70818422112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12</v>
      </c>
      <c r="D14" s="4" t="n">
        <f aca="false">Assumptions!D33</f>
        <v>17</v>
      </c>
      <c r="E14" s="4" t="n">
        <f aca="false">Assumptions!E33</f>
        <v>20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323.631766656</v>
      </c>
      <c r="D15" s="0" t="n">
        <f aca="false">D13-MAX(0,D13)*D14/100</f>
        <v>376.61548662303</v>
      </c>
      <c r="E15" s="0" t="n">
        <f aca="false">E13-MAX(0,E13)*E14/100</f>
        <v>434.93535094968</v>
      </c>
      <c r="F15" s="0" t="n">
        <f aca="false">F13-MAX(0,F13)*F14/100</f>
        <v>508.874360611126</v>
      </c>
      <c r="G15" s="0" t="n">
        <f aca="false">G13-MAX(0,G13)*G14/100</f>
        <v>585.928866558343</v>
      </c>
      <c r="H15" s="0" t="n">
        <f aca="false">H13-MAX(0,H13)*H14/100</f>
        <v>670.281022278539</v>
      </c>
      <c r="I15" s="0" t="n">
        <f aca="false">I13-MAX(0,I13)*I14/100</f>
        <v>753.372755902379</v>
      </c>
      <c r="J15" s="0" t="n">
        <f aca="false">J13-MAX(0,J13)*J14/100</f>
        <v>823.197547912843</v>
      </c>
      <c r="K15" s="0" t="n">
        <f aca="false">K13-MAX(0,K13)*K14/100</f>
        <v>879.535130098128</v>
      </c>
      <c r="L15" s="0" t="n">
        <f aca="false">L13-MAX(0,L13)*L14/100</f>
        <v>927.625301850262</v>
      </c>
    </row>
    <row r="16" customFormat="false" ht="15" hidden="false" customHeight="false" outlineLevel="0" collapsed="false">
      <c r="A16" s="0" t="s">
        <v>126</v>
      </c>
      <c r="C16" s="0" t="n">
        <f aca="false">-C12</f>
        <v>143.0190888</v>
      </c>
      <c r="D16" s="0" t="n">
        <f aca="false">-D12</f>
        <v>144.755749164</v>
      </c>
      <c r="E16" s="0" t="n">
        <f aca="false">-E12</f>
        <v>147.998834698155</v>
      </c>
      <c r="F16" s="0" t="n">
        <f aca="false">-F12</f>
        <v>140.266650681272</v>
      </c>
      <c r="G16" s="0" t="n">
        <f aca="false">-G12</f>
        <v>133.253318147208</v>
      </c>
      <c r="H16" s="0" t="n">
        <f aca="false">-H12</f>
        <v>123.820385888893</v>
      </c>
      <c r="I16" s="0" t="n">
        <f aca="false">-I12</f>
        <v>115.340565521956</v>
      </c>
      <c r="J16" s="0" t="n">
        <f aca="false">-J12</f>
        <v>104.403098101771</v>
      </c>
      <c r="K16" s="0" t="n">
        <f aca="false">-K12</f>
        <v>95.5497153827407</v>
      </c>
      <c r="L16" s="0" t="n">
        <f aca="false">-L12</f>
        <v>89.903595837397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-38.3086845</v>
      </c>
      <c r="D17" s="4" t="n">
        <f aca="false">-D6*Assumptions!D32/100</f>
        <v>-41.756466105</v>
      </c>
      <c r="E17" s="4" t="n">
        <f aca="false">-E6*Assumptions!E32/100</f>
        <v>-45.305765723925</v>
      </c>
      <c r="F17" s="4" t="n">
        <f aca="false">-F6*Assumptions!F32/100</f>
        <v>-48.930226981839</v>
      </c>
      <c r="G17" s="4" t="n">
        <f aca="false">-G6*Assumptions!G32/100</f>
        <v>-52.5999940054769</v>
      </c>
      <c r="H17" s="4" t="n">
        <f aca="false">-H6*Assumptions!H32/100</f>
        <v>-56.2819935858603</v>
      </c>
      <c r="I17" s="4" t="n">
        <f aca="false">-I6*Assumptions!I32/100</f>
        <v>-59.6589132010119</v>
      </c>
      <c r="J17" s="4" t="n">
        <f aca="false">-J6*Assumptions!J32/100</f>
        <v>-62.6418588610625</v>
      </c>
      <c r="K17" s="4" t="n">
        <f aca="false">-K6*Assumptions!K32/100</f>
        <v>-65.147533215505</v>
      </c>
      <c r="L17" s="4" t="n">
        <f aca="false">-L6*Assumptions!L32/100</f>
        <v>-67.4276968780477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33.235845</v>
      </c>
      <c r="D18" s="4" t="n">
        <f aca="false">(D6-C6)*Assumptions!$B$37/100</f>
        <v>34.47781605</v>
      </c>
      <c r="E18" s="4" t="n">
        <f aca="false">(E6-D6)*Assumptions!$B$37/100</f>
        <v>35.49299618925</v>
      </c>
      <c r="F18" s="4" t="n">
        <f aca="false">(F6-E6)*Assumptions!$B$37/100</f>
        <v>36.2446125791401</v>
      </c>
      <c r="G18" s="4" t="n">
        <f aca="false">(G6-F6)*Assumptions!$B$37/100</f>
        <v>36.6976702363792</v>
      </c>
      <c r="H18" s="4" t="n">
        <f aca="false">(H6-G6)*Assumptions!$B$37/100</f>
        <v>36.8199958038339</v>
      </c>
      <c r="I18" s="4" t="n">
        <f aca="false">(I6-H6)*Assumptions!$B$37/100</f>
        <v>33.7691961515162</v>
      </c>
      <c r="J18" s="4" t="n">
        <f aca="false">(J6-I6)*Assumptions!$B$37/100</f>
        <v>29.829456600506</v>
      </c>
      <c r="K18" s="4" t="n">
        <f aca="false">(K6-J6)*Assumptions!$B$37/100</f>
        <v>25.056743544425</v>
      </c>
      <c r="L18" s="4" t="n">
        <f aca="false">(L6-K6)*Assumptions!$B$37/100</f>
        <v>22.8016366254268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461.578015956</v>
      </c>
      <c r="D19" s="0" t="n">
        <f aca="false">D15+D16+D17+D18</f>
        <v>514.09258573203</v>
      </c>
      <c r="E19" s="0" t="n">
        <f aca="false">E15+E16+E17+E18</f>
        <v>573.12141611316</v>
      </c>
      <c r="F19" s="0" t="n">
        <f aca="false">F15+F16+F17+F18</f>
        <v>636.455396889699</v>
      </c>
      <c r="G19" s="0" t="n">
        <f aca="false">G15+G16+G17+G18</f>
        <v>703.279860936453</v>
      </c>
      <c r="H19" s="0" t="n">
        <f aca="false">H15+H16+H17+H18</f>
        <v>774.639410385405</v>
      </c>
      <c r="I19" s="0" t="n">
        <f aca="false">I15+I16+I17+I18</f>
        <v>842.823604374839</v>
      </c>
      <c r="J19" s="0" t="n">
        <f aca="false">J15+J16+J17+J18</f>
        <v>894.788243754057</v>
      </c>
      <c r="K19" s="0" t="n">
        <f aca="false">K15+K16+K17+K18</f>
        <v>934.994055809789</v>
      </c>
      <c r="L19" s="0" t="n">
        <f aca="false">L15+L16+L17+L18</f>
        <v>972.902837435038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423.466069684404</v>
      </c>
      <c r="D21" s="0" t="n">
        <f aca="false">D19*D20</f>
        <v>432.701444097324</v>
      </c>
      <c r="E21" s="0" t="n">
        <f aca="false">E19*E20</f>
        <v>442.554889591785</v>
      </c>
      <c r="F21" s="0" t="n">
        <f aca="false">F19*F20</f>
        <v>450.881048875168</v>
      </c>
      <c r="G21" s="0" t="n">
        <f aca="false">G19*G20</f>
        <v>457.083654974137</v>
      </c>
      <c r="H21" s="0" t="n">
        <f aca="false">H19*H20</f>
        <v>461.892170525798</v>
      </c>
      <c r="I21" s="0" t="n">
        <f aca="false">I19*I20</f>
        <v>461.053373955313</v>
      </c>
      <c r="J21" s="0" t="n">
        <f aca="false">J19*J20</f>
        <v>449.064046987779</v>
      </c>
      <c r="K21" s="0" t="n">
        <f aca="false">K19*K20</f>
        <v>430.497236977441</v>
      </c>
      <c r="L21" s="0" t="n">
        <f aca="false">L19*L20</f>
        <v>410.964672592039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4420.15860826119</v>
      </c>
    </row>
    <row r="31" customFormat="false" ht="15" hidden="false" customHeight="false" outlineLevel="0" collapsed="false">
      <c r="A31" s="0" t="s">
        <v>135</v>
      </c>
      <c r="B31" s="0" t="n">
        <f aca="false">L19</f>
        <v>972.902837435038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16701.4987093015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19458.0567487008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16701.4987093015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7054.89354616335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11475.0521544245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11052.8521544245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268.012903841526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-0.18828244036124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1693.01662799887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2281.7397151683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364.393998486705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8350.74935465074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120.586538820987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10</v>
      </c>
      <c r="D5" s="4" t="n">
        <f aca="false">Assumptions!D41</f>
        <v>10.5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9.5</v>
      </c>
      <c r="H5" s="4" t="n">
        <f aca="false">Assumptions!H41</f>
        <v>8.5</v>
      </c>
      <c r="I5" s="4" t="n">
        <f aca="false">Assumptions!I41</f>
        <v>7.5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2332.34</v>
      </c>
      <c r="C6" s="0" t="n">
        <f aca="false">B6*(1+C5/100)</f>
        <v>2565.574</v>
      </c>
      <c r="D6" s="0" t="n">
        <f aca="false">C6*(1+D5/100)</f>
        <v>2834.95927</v>
      </c>
      <c r="E6" s="0" t="n">
        <f aca="false">D6*(1+E5/100)</f>
        <v>3132.62999335</v>
      </c>
      <c r="F6" s="0" t="n">
        <f aca="false">E6*(1+F5/100)</f>
        <v>3445.892992685</v>
      </c>
      <c r="G6" s="0" t="n">
        <f aca="false">F6*(1+G5/100)</f>
        <v>3773.25282699008</v>
      </c>
      <c r="H6" s="0" t="n">
        <f aca="false">G6*(1+H5/100)</f>
        <v>4093.97931728423</v>
      </c>
      <c r="I6" s="0" t="n">
        <f aca="false">H6*(1+I5/100)</f>
        <v>4401.02776608055</v>
      </c>
      <c r="J6" s="0" t="n">
        <f aca="false">I6*(1+J5/100)</f>
        <v>4665.08943204538</v>
      </c>
      <c r="K6" s="0" t="n">
        <f aca="false">J6*(1+K5/100)</f>
        <v>4898.34390364765</v>
      </c>
      <c r="L6" s="0" t="n">
        <f aca="false">K6*(1+L5/100)</f>
        <v>5094.27765979356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28.8</v>
      </c>
      <c r="D7" s="4" t="n">
        <f aca="false">Assumptions!D42</f>
        <v>30.8</v>
      </c>
      <c r="E7" s="4" t="n">
        <f aca="false">Assumptions!E42</f>
        <v>32.8</v>
      </c>
      <c r="F7" s="4" t="n">
        <f aca="false">Assumptions!F42</f>
        <v>34.6</v>
      </c>
      <c r="G7" s="4" t="n">
        <f aca="false">Assumptions!G42</f>
        <v>36.2</v>
      </c>
      <c r="H7" s="4" t="n">
        <f aca="false">Assumptions!H42</f>
        <v>37.2</v>
      </c>
      <c r="I7" s="4" t="n">
        <f aca="false">Assumptions!I42</f>
        <v>38</v>
      </c>
      <c r="J7" s="4" t="n">
        <f aca="false">Assumptions!J42</f>
        <v>38.5</v>
      </c>
      <c r="K7" s="4" t="n">
        <f aca="false">Assumptions!K42</f>
        <v>38.8</v>
      </c>
      <c r="L7" s="4" t="n">
        <f aca="false">Assumptions!L42</f>
        <v>39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738.885312</v>
      </c>
      <c r="D8" s="0" t="n">
        <f aca="false">D6*D7/100</f>
        <v>873.16745516</v>
      </c>
      <c r="E8" s="0" t="n">
        <f aca="false">E6*E7/100</f>
        <v>1027.5026378188</v>
      </c>
      <c r="F8" s="0" t="n">
        <f aca="false">F6*F7/100</f>
        <v>1192.27897546901</v>
      </c>
      <c r="G8" s="0" t="n">
        <f aca="false">G6*G7/100</f>
        <v>1365.91752337041</v>
      </c>
      <c r="H8" s="0" t="n">
        <f aca="false">H6*H7/100</f>
        <v>1522.96030602973</v>
      </c>
      <c r="I8" s="0" t="n">
        <f aca="false">I6*I7/100</f>
        <v>1672.39055111061</v>
      </c>
      <c r="J8" s="0" t="n">
        <f aca="false">J6*J7/100</f>
        <v>1796.05943133747</v>
      </c>
      <c r="K8" s="0" t="n">
        <f aca="false">K6*K7/100</f>
        <v>1900.55743461529</v>
      </c>
      <c r="L8" s="0" t="n">
        <f aca="false">L6*L7/100</f>
        <v>1986.76828731949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8.4</v>
      </c>
      <c r="D9" s="4" t="n">
        <f aca="false">Assumptions!D43</f>
        <v>8.1</v>
      </c>
      <c r="E9" s="4" t="n">
        <f aca="false">Assumptions!E43</f>
        <v>7.8</v>
      </c>
      <c r="F9" s="4" t="n">
        <f aca="false">Assumptions!F43</f>
        <v>7.5</v>
      </c>
      <c r="G9" s="4" t="n">
        <f aca="false">Assumptions!G43</f>
        <v>7.2</v>
      </c>
      <c r="H9" s="4" t="n">
        <f aca="false">Assumptions!H43</f>
        <v>7</v>
      </c>
      <c r="I9" s="4" t="n">
        <f aca="false">Assumptions!I43</f>
        <v>6.8</v>
      </c>
      <c r="J9" s="4" t="n">
        <f aca="false">Assumptions!J43</f>
        <v>6.6</v>
      </c>
      <c r="K9" s="4" t="n">
        <f aca="false">Assumptions!K43</f>
        <v>6.5</v>
      </c>
      <c r="L9" s="4" t="n">
        <f aca="false">Assumptions!L43</f>
        <v>6.5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-215.508216</v>
      </c>
      <c r="D10" s="0" t="n">
        <f aca="false">-D6*D9/100</f>
        <v>-229.63170087</v>
      </c>
      <c r="E10" s="0" t="n">
        <f aca="false">-E6*E9/100</f>
        <v>-244.3451394813</v>
      </c>
      <c r="F10" s="0" t="n">
        <f aca="false">-F6*F9/100</f>
        <v>-258.441974451375</v>
      </c>
      <c r="G10" s="0" t="n">
        <f aca="false">-G6*G9/100</f>
        <v>-271.674203543286</v>
      </c>
      <c r="H10" s="0" t="n">
        <f aca="false">-H6*H9/100</f>
        <v>-286.578552209896</v>
      </c>
      <c r="I10" s="0" t="n">
        <f aca="false">-I6*I9/100</f>
        <v>-299.269888093477</v>
      </c>
      <c r="J10" s="0" t="n">
        <f aca="false">-J6*J9/100</f>
        <v>-307.895902514995</v>
      </c>
      <c r="K10" s="0" t="n">
        <f aca="false">-K6*K9/100</f>
        <v>-318.392353737097</v>
      </c>
      <c r="L10" s="0" t="n">
        <f aca="false">-L6*L9/100</f>
        <v>-331.128047886581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523.377096</v>
      </c>
      <c r="D11" s="0" t="n">
        <f aca="false">D8+D10+D24</f>
        <v>643.53575429</v>
      </c>
      <c r="E11" s="0" t="n">
        <f aca="false">E8+E10+E24</f>
        <v>783.1574983375</v>
      </c>
      <c r="F11" s="0" t="n">
        <f aca="false">F8+F10+F24</f>
        <v>933.837001017636</v>
      </c>
      <c r="G11" s="0" t="n">
        <f aca="false">G8+G10+G24</f>
        <v>1094.24331982712</v>
      </c>
      <c r="H11" s="0" t="n">
        <f aca="false">H8+H10+H24</f>
        <v>1236.38175381984</v>
      </c>
      <c r="I11" s="0" t="n">
        <f aca="false">I8+I10+I24</f>
        <v>1373.12066301713</v>
      </c>
      <c r="J11" s="0" t="n">
        <f aca="false">J8+J10+J24</f>
        <v>1488.16352882248</v>
      </c>
      <c r="K11" s="0" t="n">
        <f aca="false">K8+K10+K24</f>
        <v>1582.16508087819</v>
      </c>
      <c r="L11" s="0" t="n">
        <f aca="false">L8+L10+L24</f>
        <v>1655.64023943291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-143.672144</v>
      </c>
      <c r="D12" s="4" t="n">
        <f aca="false">-D6*Assumptions!D45/100</f>
        <v>-147.41788204</v>
      </c>
      <c r="E12" s="4" t="n">
        <f aca="false">-E6*Assumptions!E45/100</f>
        <v>-153.49886967415</v>
      </c>
      <c r="F12" s="4" t="n">
        <f aca="false">-F6*Assumptions!F45/100</f>
        <v>-148.173398685455</v>
      </c>
      <c r="G12" s="4" t="n">
        <f aca="false">-G6*Assumptions!G45/100</f>
        <v>-143.383607425623</v>
      </c>
      <c r="H12" s="4" t="n">
        <f aca="false">-H6*Assumptions!H45/100</f>
        <v>-135.10131747038</v>
      </c>
      <c r="I12" s="4" t="n">
        <f aca="false">-I6*Assumptions!I45/100</f>
        <v>-127.629805216336</v>
      </c>
      <c r="J12" s="4" t="n">
        <f aca="false">-J6*Assumptions!J45/100</f>
        <v>-116.627235801135</v>
      </c>
      <c r="K12" s="4" t="n">
        <f aca="false">-K6*Assumptions!K45/100</f>
        <v>-107.763565880248</v>
      </c>
      <c r="L12" s="4" t="n">
        <f aca="false">-L6*Assumptions!L45/100</f>
        <v>-101.885553195871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379.704952</v>
      </c>
      <c r="D13" s="0" t="n">
        <f aca="false">D11+D12</f>
        <v>496.11787225</v>
      </c>
      <c r="E13" s="0" t="n">
        <f aca="false">E11+E12</f>
        <v>629.65862866335</v>
      </c>
      <c r="F13" s="0" t="n">
        <f aca="false">F11+F12</f>
        <v>785.663602332181</v>
      </c>
      <c r="G13" s="0" t="n">
        <f aca="false">G11+G12</f>
        <v>950.8597124015</v>
      </c>
      <c r="H13" s="0" t="n">
        <f aca="false">H11+H12</f>
        <v>1101.28043634946</v>
      </c>
      <c r="I13" s="0" t="n">
        <f aca="false">I11+I12</f>
        <v>1245.4908578008</v>
      </c>
      <c r="J13" s="0" t="n">
        <f aca="false">J11+J12</f>
        <v>1371.53629302134</v>
      </c>
      <c r="K13" s="0" t="n">
        <f aca="false">K11+K12</f>
        <v>1474.40151499794</v>
      </c>
      <c r="L13" s="0" t="n">
        <f aca="false">L11+L12</f>
        <v>1553.75468623704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12</v>
      </c>
      <c r="D14" s="4" t="n">
        <f aca="false">Assumptions!D47</f>
        <v>17</v>
      </c>
      <c r="E14" s="4" t="n">
        <f aca="false">Assumptions!E47</f>
        <v>20</v>
      </c>
      <c r="F14" s="4" t="n">
        <f aca="false">Assumptions!F47</f>
        <v>22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334.14035776</v>
      </c>
      <c r="D15" s="0" t="n">
        <f aca="false">D13-MAX(0,D13)*D14/100</f>
        <v>411.7778339675</v>
      </c>
      <c r="E15" s="0" t="n">
        <f aca="false">E13-MAX(0,E13)*E14/100</f>
        <v>503.72690293068</v>
      </c>
      <c r="F15" s="0" t="n">
        <f aca="false">F13-MAX(0,F13)*F14/100</f>
        <v>612.817609819101</v>
      </c>
      <c r="G15" s="0" t="n">
        <f aca="false">G13-MAX(0,G13)*G14/100</f>
        <v>732.161978549155</v>
      </c>
      <c r="H15" s="0" t="n">
        <f aca="false">H13-MAX(0,H13)*H14/100</f>
        <v>847.985935989083</v>
      </c>
      <c r="I15" s="0" t="n">
        <f aca="false">I13-MAX(0,I13)*I14/100</f>
        <v>959.027960506613</v>
      </c>
      <c r="J15" s="0" t="n">
        <f aca="false">J13-MAX(0,J13)*J14/100</f>
        <v>1056.08294562643</v>
      </c>
      <c r="K15" s="0" t="n">
        <f aca="false">K13-MAX(0,K13)*K14/100</f>
        <v>1135.28916654842</v>
      </c>
      <c r="L15" s="0" t="n">
        <f aca="false">L13-MAX(0,L13)*L14/100</f>
        <v>1196.39110840252</v>
      </c>
    </row>
    <row r="16" customFormat="false" ht="15" hidden="false" customHeight="false" outlineLevel="0" collapsed="false">
      <c r="A16" s="0" t="s">
        <v>126</v>
      </c>
      <c r="C16" s="0" t="n">
        <f aca="false">-C12</f>
        <v>143.672144</v>
      </c>
      <c r="D16" s="0" t="n">
        <f aca="false">-D12</f>
        <v>147.41788204</v>
      </c>
      <c r="E16" s="0" t="n">
        <f aca="false">-E12</f>
        <v>153.49886967415</v>
      </c>
      <c r="F16" s="0" t="n">
        <f aca="false">-F12</f>
        <v>148.173398685455</v>
      </c>
      <c r="G16" s="0" t="n">
        <f aca="false">-G12</f>
        <v>143.383607425623</v>
      </c>
      <c r="H16" s="0" t="n">
        <f aca="false">-H12</f>
        <v>135.10131747038</v>
      </c>
      <c r="I16" s="0" t="n">
        <f aca="false">-I12</f>
        <v>127.629805216336</v>
      </c>
      <c r="J16" s="0" t="n">
        <f aca="false">-J12</f>
        <v>116.627235801135</v>
      </c>
      <c r="K16" s="0" t="n">
        <f aca="false">-K12</f>
        <v>107.763565880248</v>
      </c>
      <c r="L16" s="0" t="n">
        <f aca="false">-L12</f>
        <v>101.885553195871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-38.48361</v>
      </c>
      <c r="D17" s="4" t="n">
        <f aca="false">-D6*Assumptions!D46/100</f>
        <v>-42.52438905</v>
      </c>
      <c r="E17" s="4" t="n">
        <f aca="false">-E6*Assumptions!E46/100</f>
        <v>-46.98944990025</v>
      </c>
      <c r="F17" s="4" t="n">
        <f aca="false">-F6*Assumptions!F46/100</f>
        <v>-51.688394890275</v>
      </c>
      <c r="G17" s="4" t="n">
        <f aca="false">-G6*Assumptions!G46/100</f>
        <v>-56.5987924048511</v>
      </c>
      <c r="H17" s="4" t="n">
        <f aca="false">-H6*Assumptions!H46/100</f>
        <v>-61.4096897592635</v>
      </c>
      <c r="I17" s="4" t="n">
        <f aca="false">-I6*Assumptions!I46/100</f>
        <v>-66.0154164912083</v>
      </c>
      <c r="J17" s="4" t="n">
        <f aca="false">-J6*Assumptions!J46/100</f>
        <v>-69.9763414806807</v>
      </c>
      <c r="K17" s="4" t="n">
        <f aca="false">-K6*Assumptions!K46/100</f>
        <v>-73.4751585547148</v>
      </c>
      <c r="L17" s="4" t="n">
        <f aca="false">-L6*Assumptions!L46/100</f>
        <v>-76.4141648969034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34.9851000000001</v>
      </c>
      <c r="D18" s="4" t="n">
        <f aca="false">(D6-C6)*Assumptions!$B$51/100</f>
        <v>40.4077905</v>
      </c>
      <c r="E18" s="4" t="n">
        <f aca="false">(E6-D6)*Assumptions!$B$51/100</f>
        <v>44.6506085025</v>
      </c>
      <c r="F18" s="4" t="n">
        <f aca="false">(F6-E6)*Assumptions!$B$51/100</f>
        <v>46.9894499002501</v>
      </c>
      <c r="G18" s="4" t="n">
        <f aca="false">(G6-F6)*Assumptions!$B$51/100</f>
        <v>49.1039751457612</v>
      </c>
      <c r="H18" s="4" t="n">
        <f aca="false">(H6-G6)*Assumptions!$B$51/100</f>
        <v>48.1089735441235</v>
      </c>
      <c r="I18" s="4" t="n">
        <f aca="false">(I6-H6)*Assumptions!$B$51/100</f>
        <v>46.0572673194477</v>
      </c>
      <c r="J18" s="4" t="n">
        <f aca="false">(J6-I6)*Assumptions!$B$51/100</f>
        <v>39.609249894725</v>
      </c>
      <c r="K18" s="4" t="n">
        <f aca="false">(K6-J6)*Assumptions!$B$51/100</f>
        <v>34.9881707403404</v>
      </c>
      <c r="L18" s="4" t="n">
        <f aca="false">(L6-K6)*Assumptions!$B$51/100</f>
        <v>29.3900634218859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474.31399176</v>
      </c>
      <c r="D19" s="0" t="n">
        <f aca="false">D15+D16+D17+D18</f>
        <v>557.0791174575</v>
      </c>
      <c r="E19" s="0" t="n">
        <f aca="false">E15+E16+E17+E18</f>
        <v>654.88693120708</v>
      </c>
      <c r="F19" s="0" t="n">
        <f aca="false">F15+F16+F17+F18</f>
        <v>756.292063514531</v>
      </c>
      <c r="G19" s="0" t="n">
        <f aca="false">G15+G16+G17+G18</f>
        <v>868.050768715688</v>
      </c>
      <c r="H19" s="0" t="n">
        <f aca="false">H15+H16+H17+H18</f>
        <v>969.786537244323</v>
      </c>
      <c r="I19" s="0" t="n">
        <f aca="false">I15+I16+I17+I18</f>
        <v>1066.69961655119</v>
      </c>
      <c r="J19" s="0" t="n">
        <f aca="false">J15+J16+J17+J18</f>
        <v>1142.34308984161</v>
      </c>
      <c r="K19" s="0" t="n">
        <f aca="false">K15+K16+K17+K18</f>
        <v>1204.56574461429</v>
      </c>
      <c r="L19" s="0" t="n">
        <f aca="false">L15+L16+L17+L18</f>
        <v>1251.25256012337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435.150451155963</v>
      </c>
      <c r="D21" s="0" t="n">
        <f aca="false">D19*D20</f>
        <v>468.88234783057</v>
      </c>
      <c r="E21" s="0" t="n">
        <f aca="false">E19*E20</f>
        <v>505.692869585994</v>
      </c>
      <c r="F21" s="0" t="n">
        <f aca="false">F19*F20</f>
        <v>535.776364722215</v>
      </c>
      <c r="G21" s="0" t="n">
        <f aca="false">G19*G20</f>
        <v>564.173439488731</v>
      </c>
      <c r="H21" s="0" t="n">
        <f aca="false">H19*H20</f>
        <v>578.252026206124</v>
      </c>
      <c r="I21" s="0" t="n">
        <f aca="false">I19*I20</f>
        <v>583.521219214735</v>
      </c>
      <c r="J21" s="0" t="n">
        <f aca="false">J19*J20</f>
        <v>573.303476608705</v>
      </c>
      <c r="K21" s="0" t="n">
        <f aca="false">K19*K20</f>
        <v>554.615531074157</v>
      </c>
      <c r="L21" s="0" t="n">
        <f aca="false">L19*L20</f>
        <v>528.54260355201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5327.9103294392</v>
      </c>
    </row>
    <row r="31" customFormat="false" ht="15" hidden="false" customHeight="false" outlineLevel="0" collapsed="false">
      <c r="A31" s="0" t="s">
        <v>135</v>
      </c>
      <c r="B31" s="0" t="n">
        <f aca="false">L19</f>
        <v>1251.25256012337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23546.2981768671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25025.0512024674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23546.2981768671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9946.21081229691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15274.1211417361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14851.9211417361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360.133878315619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0.0907198446775048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1714.90567621103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2632.13796726982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465.542308079946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11261.2730411103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153.615270650374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174.502879095305</v>
      </c>
      <c r="C4" s="0" t="n">
        <f aca="false">B4/Assumptions!$B$2-1</f>
        <v>-0.471491673949648</v>
      </c>
      <c r="D4" s="4" t="n">
        <f aca="false">Assumptions!$B$24</f>
        <v>0.2</v>
      </c>
      <c r="E4" s="4" t="n">
        <f aca="false">DCF_Bear!$B$43</f>
        <v>263.358487983498</v>
      </c>
      <c r="F4" s="4" t="n">
        <f aca="false">DCF_Bear!$B$47</f>
        <v>83.4695965261326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268.012903841526</v>
      </c>
      <c r="C5" s="0" t="n">
        <f aca="false">B5/Assumptions!$B$2-1</f>
        <v>-0.18828244036124</v>
      </c>
      <c r="D5" s="4" t="n">
        <f aca="false">Assumptions!$B$38</f>
        <v>0.5</v>
      </c>
      <c r="E5" s="4" t="n">
        <f aca="false">DCF_Base!$B$43</f>
        <v>364.393998486705</v>
      </c>
      <c r="F5" s="4" t="n">
        <f aca="false">DCF_Base!$B$47</f>
        <v>120.586538820987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360.133878315619</v>
      </c>
      <c r="C6" s="0" t="n">
        <f aca="false">B6/Assumptions!$B$2-1</f>
        <v>0.0907198446775048</v>
      </c>
      <c r="D6" s="4" t="n">
        <f aca="false">Assumptions!$B$52</f>
        <v>0.3</v>
      </c>
      <c r="E6" s="4" t="n">
        <f aca="false">DCF_Bull!$B$43</f>
        <v>465.542308079946</v>
      </c>
      <c r="F6" s="4" t="n">
        <f aca="false">DCF_Bull!$B$47</f>
        <v>153.615270650374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276.94719123451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374.531389264036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-0.192212849417977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54.5506443055296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123.071769910832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268.012903841526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225.566386496385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193.855508335862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169.294397360654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120.586538820987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348.435542730569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348.435542730569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348.435542730569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348.435542730569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348.435542730569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288.312449955127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306.193502461745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321.094379550594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321.094379550594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321.094379550594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242.150848213303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254.087181580175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268.012903841526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284.470575604941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296.247625123714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207.70033341581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216.037824853412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225.566386496385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236.560880699816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249.387790603818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181.046617986777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187.074331092229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193.855508335862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201.540842545312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210.324081641827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2026-10-02T10:00:05Z</dcterms:created>
  <dc:creator>openpyxl</dc:creator>
  <dc:description/>
  <dc:language>en-NZ</dc:language>
  <cp:lastModifiedBy/>
  <dcterms:modified xsi:type="dcterms:W3CDTF">2026-10-02T10:00:05Z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