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<sst xmlns="http://schemas.openxmlformats.org/spreadsheetml/2006/main" count="359" uniqueCount="167">
  <si>
    <t xml:space="preserve">Ticker</t>
  </si>
  <si>
    <t xml:space="preserve">2128.HK</t>
  </si>
  <si>
    <t xml:space="preserve">Company</t>
  </si>
  <si>
    <t xml:space="preserve">China Lesso Group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</si>
  <si>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</si>
  <si>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</si>
  <si>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</si>
  <si>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</si>
  <si>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(Yahoo chart API regularMarketTime 1792138094)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</si>
  <si>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</si>
  <si>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</si>
  <si>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</si>
  <si>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</si>
  <si>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</si>
  <si>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</si>
  <si>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</si>
  <si>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</si>
  <si>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</si>
  <si>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</si>
  <si>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</si>
  <si>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</si>
  <si>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</si>
  <si>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2026-10-17T03:35:07Z</t>
  </si>
  <si>
    <t xml:space="preserve">Drivers file</t>
  </si>
  <si>
    <t xml:space="preserve">2128.HK_Drivers.json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</si>
  <si>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</si>
  <si>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</si>
  <si>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</si>
  <si>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of the pipe/building-materials operating business in CNY at an 8% CNY WACC, plus a haircut sum-of-parts of the non-operating balance sheet (investment properties at 50%, listed associates Keda and Xingfa marked to market, unlisted associates at 50%, financial assets at 75%), less net debt and NCI, converted to HKD at 1.1724. At HK$3.07 the market values the whole group at roughly the operating DCF alone and gives close to nothing for ~RMB9bn of investment property and ~RMB7bn of associates and financial assets; the base-case upside therefore rests heavily on whether those assets are worth anything to a minority holder of a family-controlled company.
key_risks_to_valuation: Leverage amplifies the operating case: ~RMB12-13bn net debt against an operating EV of ~RMB15-22bn, so each 1pp of EBITDA margin moves equity by a large fraction of the market cap; Investment properties (RMB9.1bn book, ~0.2% rental yield) are carried at 50%; at zero, the base value falls by ~RMB1.46/share (~HK$1.71); Recurring credit losses on developer/contractor receivables (RMB260m FY2025, RMB547m FY2024) are kept in EBITDA; a developer default wave would exceed that run-rate; Year-1 working-capital sign: a shrinking manufacturer releases cash (FY2023-25 OCF exceeded EBITDA-based expectations); the -5% capture rate on falling revenue credits a small inflow in FY2026 and the bear case; FX: per-share values are CNY converted at 1.1724 HKD/CNY; refresh_price.py does not update fx_rate</t>
  </si>
  <si>
    <t xml:space="preserve">Data sources</t>
  </si>
  <si>
    <t xml:space="preserve">price: Yahoo Finance chart API (2128.HK) at inputs.price_as_of; 52-week range HK$2.98-7.14; FY2025 final dividend HK$0.20 went ex in June 2026
fx: Yahoo CNYHKD=X, cross-checked against HKD=X and CNY=X, 2026-10-17
financials: FY2017-FY2025 annual reports and H1 FY2024-FY2026 interim reports (HKEX), via 2128.HK_Metrics.csv / core_metrics, with operating-EBITDA adjustments, investing cash-flow lines and note 7 / note 12-14 / note 17 items read from 2128.HK_Annual_FY2025.txt and 2128.HK_HalfYear_H1-2026.txt
associates: Keda 600499.SS and Xingfa 0098.HK last prices from Yahoo, 2026-10-17; Keda share capital RMB1,917,856,400 from FY2025 AR principal-associates table
qualitative: 2128.HK_Analysis.json (qualitative-analyst, run in parallel) for bull/bear axes; interim MD&amp;A for regional and segment mix</t>
  </si>
  <si>
    <t xml:space="preserve">Scenario narrative: bear</t>
  </si>
  <si>
    <t xml:space="preserve">The property 'deep adjustment' runs on: residential starts keep falling, PVC resin swings squeeze a commoditised product, receivable and settlement-property impairments recur, and the overseas plants (Nigeria, Bangladesh, Texas, SE Asia) stay a drag. Revenue falls another ~12% to ~RMB21bn before stabilising, margin settles at 12.5%, and with ~RMB12bn of seasonal-adjusted net debt most of the operating equity disappears; what is left is largely the haircut non-operating assets, which the market already refuses to credit.</t>
  </si>
  <si>
    <t xml:space="preserve">Scenario narrative: base</t>
  </si>
  <si>
    <t xml:space="preserve">China Lesso's revenue has fallen four straight years (RMB32.1bn FY2021 to RMB24.3bn FY2025, H1 FY2026 -4.5%) as the residential property downturn and pipe-industry overcapacity hit volume and price. The base case has FY2026 down ~4% and flat in FY2027, then 2-3% growth as municipal underground-pipe renewal under the 15th Five-Year Plan and the overseas build-out (12.1% of H1 FY2026 revenue, +36%) offset residential weakness. Operating EBITDA margin (ex associates, interest income and fair-value items) recovers from ~14.5% to 15.5%, net capex runs slightly above D&amp;A for the overseas plants, and the cap of 12x terminal FCF binds over Gordon.</t>
  </si>
  <si>
    <t xml:space="preserve">Scenario narrative: bull</t>
  </si>
  <si>
    <t xml:space="preserve">Consolidation: as the largest Chinese plastic-pipe maker with ~3,200 exclusive first-tier distributors, Lesso takes share from smaller players squeezed out by price competition; overseas distribution grows 20%+ a year and becomes accretive; falling CNY rates keep cutting finance cost. Revenue returns to 5% growth by FY2028 and margin to 17.5% -- still below the 19-21% of FY2019-20.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</si>
  <si>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</si>
  <si>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</si>
  <si>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</si>
  <si>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</si>
  <si>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</si>
  <si>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</si>
  <si>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</si>
  <si>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</si>
  <si>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</si>
  <si>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</si>
  <si>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</si>
  <si>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</si>
  <si>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</si>
  <si>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</si>
  <si>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</si>
  <si>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</si>
  <si>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</si>
  <si>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</si>
  <si>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</si>
  <si>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</si>
  <si>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</si>
  <si>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</si>
  <si>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</si>
  <si>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</si>
  <si>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</si>
  <si>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</si>
  <si>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</si>
  <si>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NonControllingInterests</t>
  </si>
  <si>
    <t xml:space="preserve">TotalEquity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</si>
  <si>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</si>
  <si>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</si>
  <si>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</si>
  <si>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</si>
  <si>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</si>
  <si>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</si>
  <si>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</si>
  <si>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</si>
  <si>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</si>
  <si>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</si>
  <si>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</si>
  <si>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</si>
  <si>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</si>
  <si>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</si>
  <si>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</si>
  <si>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</si>
  <si>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</si>
  <si>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</si>
  <si>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</si>
  <si>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</si>
  <si>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</si>
  <si>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</si>
  <si>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</si>
  <si>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</si>
  <si>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</si>
  <si>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</si>
  <si>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</si>
  <si>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</si>
  <si>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</si>
  <si>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</si>
  <si>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</si>
  <si>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</si>
  <si>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</si>
  <si>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</si>
  <si>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</si>
  <si>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</si>
  <si>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</si>
  <si>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</si>
  <si>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</si>
  <si>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</si>
  <si>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</si>
  <si>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</si>
  <si>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</si>
  <si>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</si>
  <si>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</si>
  <si>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</si>
  <si>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2128.HK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</si>
  <si>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</si>
  <si>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</si>
  <si>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</si>
  <si>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</si>
  <si>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</si>
  <si>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</si>
  <si>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</si>
  <si>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</si>
  <si>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</si>
  <si>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</si>
  <si>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</si>
  <si>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</si>
  <si>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</si>
  <si>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</si>
  <si>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</si>
  <si>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</si>
  <si>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</si>
  <si>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</si>
  <si>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</si>
  <si>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</si>
  <si>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</si>
  <si>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</si>
  <si>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</si>
  <si>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</si>
  <si>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</si>
  <si>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</si>
  <si>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</si>
  <si>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</si>
  <si>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</si>
  <si>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</si>
  <si>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2128.HK owner-FCF component DCF: base case (millions, CNY)</t>
  </si>
  <si>
    <t xml:space="preserve">2128.HK owner-FCF component DCF: bull case (millions, CNY)</t>
  </si>
  <si>
    <t xml:space="preserve">2128.HK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</si>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</sst>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3.07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57.4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20360</v>
      </c>
      <c r="C2" s="0" t="n">
        <v>15043.217</v>
      </c>
      <c r="D2" s="0" t="n">
        <v>5316.783</v>
      </c>
      <c r="E2" s="0" t="n">
        <v>26.1</v>
      </c>
      <c r="F2" s="0" t="n">
        <v>3183.895</v>
      </c>
      <c r="G2" s="0" t="n">
        <v>15.6</v>
      </c>
      <c r="H2" s="0" t="n">
        <v>3830.72</v>
      </c>
      <c r="I2" s="0" t="n">
        <v>2293.055</v>
      </c>
      <c r="J2" s="0" t="n">
        <v>11.3</v>
      </c>
      <c r="K2" s="0" t="n">
        <v>0.74</v>
      </c>
      <c r="L2" s="0" t="n">
        <v>927.04</v>
      </c>
      <c r="M2" s="0" t="n">
        <v>1472.51</v>
      </c>
      <c r="N2" s="0" t="n">
        <v>-545.47</v>
      </c>
      <c r="O2" s="0" t="n">
        <v>13489.915</v>
      </c>
      <c r="P2" s="0" t="n">
        <v>27973.625</v>
      </c>
      <c r="Q2" s="0" t="n">
        <v>14190.134</v>
      </c>
      <c r="R2" s="0" t="n">
        <v>8319.375</v>
      </c>
      <c r="S2" s="0" t="n">
        <v>4452.37</v>
      </c>
      <c r="T2" s="0" t="n">
        <v>3102.4184</v>
      </c>
      <c r="U2" s="0" t="n">
        <v>0</v>
      </c>
      <c r="AA2" s="0" t="s">
        <v>18</v>
      </c>
      <c r="AB2" s="0" t="s">
        <v>14</v>
      </c>
      <c r="AC2" s="0" t="n">
        <v>293.576</v>
      </c>
      <c r="AD2" s="0" t="n">
        <v>13783.491</v>
      </c>
    </row>
    <row r="3" customFormat="false" ht="15" hidden="false" customHeight="false" outlineLevel="0" collapsed="false">
      <c r="A3" s="0" t="s">
        <v>67</v>
      </c>
      <c r="B3" s="0" t="n">
        <v>23733.517</v>
      </c>
      <c r="C3" s="0" t="n">
        <v>17505.068</v>
      </c>
      <c r="D3" s="0" t="n">
        <v>6228.449</v>
      </c>
      <c r="E3" s="0" t="n">
        <v>26.2</v>
      </c>
      <c r="F3" s="0" t="n">
        <v>3650.942</v>
      </c>
      <c r="G3" s="0" t="n">
        <v>15.4</v>
      </c>
      <c r="H3" s="0" t="n">
        <v>4409.1</v>
      </c>
      <c r="I3" s="0" t="n">
        <v>2491.774</v>
      </c>
      <c r="J3" s="0" t="n">
        <v>10.5</v>
      </c>
      <c r="K3" s="0" t="n">
        <v>0.8</v>
      </c>
      <c r="L3" s="0" t="n">
        <v>4409.737</v>
      </c>
      <c r="M3" s="0" t="n">
        <v>1309.966</v>
      </c>
      <c r="N3" s="0" t="n">
        <v>3099.771</v>
      </c>
      <c r="O3" s="0" t="n">
        <v>14803.329</v>
      </c>
      <c r="P3" s="0" t="n">
        <v>34636.277</v>
      </c>
      <c r="Q3" s="0" t="n">
        <v>19563.412</v>
      </c>
      <c r="R3" s="0" t="n">
        <v>11731.058</v>
      </c>
      <c r="S3" s="0" t="n">
        <v>6451.791</v>
      </c>
      <c r="T3" s="0" t="n">
        <v>3102.4184</v>
      </c>
      <c r="U3" s="0" t="n">
        <v>0</v>
      </c>
      <c r="AA3" s="0" t="s">
        <v>18</v>
      </c>
      <c r="AB3" s="0" t="s">
        <v>14</v>
      </c>
      <c r="AC3" s="0" t="n">
        <v>269.536</v>
      </c>
      <c r="AD3" s="0" t="n">
        <v>15072.865</v>
      </c>
    </row>
    <row r="4" customFormat="false" ht="15" hidden="false" customHeight="false" outlineLevel="0" collapsed="false">
      <c r="A4" s="0" t="s">
        <v>68</v>
      </c>
      <c r="B4" s="0" t="n">
        <v>26344.523</v>
      </c>
      <c r="C4" s="0" t="n">
        <v>18807.404</v>
      </c>
      <c r="D4" s="0" t="n">
        <v>7537.119</v>
      </c>
      <c r="E4" s="0" t="n">
        <v>28.6</v>
      </c>
      <c r="F4" s="0" t="n">
        <v>4559.115</v>
      </c>
      <c r="G4" s="0" t="n">
        <v>17.3</v>
      </c>
      <c r="H4" s="0" t="n">
        <v>5555.87</v>
      </c>
      <c r="I4" s="0" t="n">
        <v>3024.701</v>
      </c>
      <c r="J4" s="0" t="n">
        <v>11.5</v>
      </c>
      <c r="K4" s="0" t="n">
        <v>0.98</v>
      </c>
      <c r="L4" s="0" t="n">
        <v>5312.192</v>
      </c>
      <c r="M4" s="0" t="n">
        <v>1781.326</v>
      </c>
      <c r="N4" s="0" t="n">
        <v>3530.866</v>
      </c>
      <c r="O4" s="0" t="n">
        <v>16576.245</v>
      </c>
      <c r="P4" s="0" t="n">
        <v>40784.797</v>
      </c>
      <c r="Q4" s="0" t="n">
        <v>23690.401</v>
      </c>
      <c r="R4" s="0" t="n">
        <v>12884.504</v>
      </c>
      <c r="S4" s="0" t="n">
        <v>7604.221</v>
      </c>
      <c r="T4" s="0" t="n">
        <v>3102.4184</v>
      </c>
      <c r="U4" s="0" t="n">
        <v>0</v>
      </c>
      <c r="AA4" s="0" t="s">
        <v>18</v>
      </c>
      <c r="AB4" s="0" t="s">
        <v>14</v>
      </c>
      <c r="AC4" s="0" t="n">
        <v>518.151</v>
      </c>
      <c r="AD4" s="0" t="n">
        <v>17094.396</v>
      </c>
    </row>
    <row r="5" customFormat="false" ht="15" hidden="false" customHeight="false" outlineLevel="0" collapsed="false">
      <c r="A5" s="0" t="s">
        <v>69</v>
      </c>
      <c r="B5" s="0" t="n">
        <v>28073.065</v>
      </c>
      <c r="C5" s="0" t="n">
        <v>19689.086</v>
      </c>
      <c r="D5" s="0" t="n">
        <v>8383.979</v>
      </c>
      <c r="E5" s="0" t="n">
        <v>29.9</v>
      </c>
      <c r="F5" s="0" t="n">
        <v>5189.452</v>
      </c>
      <c r="G5" s="0" t="n">
        <v>18.5</v>
      </c>
      <c r="H5" s="0" t="n">
        <v>6195.37</v>
      </c>
      <c r="I5" s="0" t="n">
        <v>3750.829</v>
      </c>
      <c r="J5" s="0" t="n">
        <v>13.4</v>
      </c>
      <c r="K5" s="0" t="n">
        <v>1.22</v>
      </c>
      <c r="L5" s="0" t="n">
        <v>2837.324</v>
      </c>
      <c r="M5" s="0" t="n">
        <v>2089.657</v>
      </c>
      <c r="N5" s="0" t="n">
        <v>747.667</v>
      </c>
      <c r="O5" s="0" t="n">
        <v>19841.127</v>
      </c>
      <c r="P5" s="0" t="n">
        <v>46527.562</v>
      </c>
      <c r="Q5" s="0" t="n">
        <v>26173.44</v>
      </c>
      <c r="R5" s="0" t="n">
        <v>15608.801</v>
      </c>
      <c r="S5" s="0" t="n">
        <v>7447.436</v>
      </c>
      <c r="T5" s="0" t="n">
        <v>3102.4184</v>
      </c>
      <c r="U5" s="0" t="n">
        <v>0</v>
      </c>
      <c r="AA5" s="0" t="s">
        <v>18</v>
      </c>
      <c r="AB5" s="0" t="s">
        <v>14</v>
      </c>
      <c r="AC5" s="0" t="n">
        <v>512.995</v>
      </c>
      <c r="AD5" s="0" t="n">
        <v>20354.122</v>
      </c>
    </row>
    <row r="6" customFormat="false" ht="15" hidden="false" customHeight="false" outlineLevel="0" collapsed="false">
      <c r="A6" s="0" t="s">
        <v>70</v>
      </c>
      <c r="B6" s="0" t="n">
        <v>32057.584</v>
      </c>
      <c r="C6" s="0" t="n">
        <v>23609.891</v>
      </c>
      <c r="D6" s="0" t="n">
        <v>8447.693</v>
      </c>
      <c r="E6" s="0" t="n">
        <v>26.4</v>
      </c>
      <c r="F6" s="0" t="n">
        <v>4353.431</v>
      </c>
      <c r="G6" s="0" t="n">
        <v>13.6</v>
      </c>
      <c r="H6" s="0" t="n">
        <v>5719.55</v>
      </c>
      <c r="I6" s="0" t="n">
        <v>3044.159</v>
      </c>
      <c r="J6" s="0" t="n">
        <v>9.5</v>
      </c>
      <c r="K6" s="0" t="n">
        <v>0.99</v>
      </c>
      <c r="L6" s="0" t="n">
        <v>5173.171</v>
      </c>
      <c r="M6" s="0" t="n">
        <v>3261.176</v>
      </c>
      <c r="N6" s="0" t="n">
        <v>1911.995</v>
      </c>
      <c r="O6" s="0" t="n">
        <v>20771.141</v>
      </c>
      <c r="P6" s="0" t="n">
        <v>54483.189</v>
      </c>
      <c r="Q6" s="0" t="n">
        <v>32676.426</v>
      </c>
      <c r="R6" s="0" t="n">
        <v>17651.473</v>
      </c>
      <c r="S6" s="0" t="n">
        <v>7646.249</v>
      </c>
      <c r="T6" s="0" t="n">
        <v>3102.4184</v>
      </c>
      <c r="U6" s="0" t="n">
        <v>7.092</v>
      </c>
      <c r="AA6" s="0" t="s">
        <v>18</v>
      </c>
      <c r="AB6" s="0" t="s">
        <v>14</v>
      </c>
      <c r="AC6" s="0" t="n">
        <v>1035.622</v>
      </c>
      <c r="AD6" s="0" t="n">
        <v>21806.763</v>
      </c>
    </row>
    <row r="7" customFormat="false" ht="15" hidden="false" customHeight="false" outlineLevel="0" collapsed="false">
      <c r="A7" s="0" t="s">
        <v>71</v>
      </c>
      <c r="B7" s="0" t="n">
        <v>30767.211</v>
      </c>
      <c r="C7" s="0" t="n">
        <v>22525.788</v>
      </c>
      <c r="D7" s="0" t="n">
        <v>8241.423</v>
      </c>
      <c r="E7" s="0" t="n">
        <v>26.8</v>
      </c>
      <c r="F7" s="0" t="n">
        <v>3871.508</v>
      </c>
      <c r="G7" s="0" t="n">
        <v>12.6</v>
      </c>
      <c r="H7" s="0" t="n">
        <v>5785.63</v>
      </c>
      <c r="I7" s="0" t="n">
        <v>2517.322</v>
      </c>
      <c r="J7" s="0" t="n">
        <v>8.2</v>
      </c>
      <c r="K7" s="0" t="n">
        <v>0.82</v>
      </c>
      <c r="L7" s="0" t="n">
        <v>4572.69</v>
      </c>
      <c r="M7" s="0" t="n">
        <v>2846.573</v>
      </c>
      <c r="N7" s="0" t="n">
        <v>1726.117</v>
      </c>
      <c r="O7" s="0" t="n">
        <v>21794.253</v>
      </c>
      <c r="P7" s="0" t="n">
        <v>58952.604</v>
      </c>
      <c r="Q7" s="0" t="n">
        <v>36362.809</v>
      </c>
      <c r="R7" s="0" t="n">
        <v>20614.088</v>
      </c>
      <c r="S7" s="0" t="n">
        <v>7361.77</v>
      </c>
      <c r="T7" s="0" t="n">
        <v>3102.4184</v>
      </c>
      <c r="U7" s="0" t="n">
        <v>47.85</v>
      </c>
      <c r="AA7" s="0" t="s">
        <v>18</v>
      </c>
      <c r="AB7" s="0" t="s">
        <v>14</v>
      </c>
      <c r="AC7" s="0" t="n">
        <v>795.542</v>
      </c>
      <c r="AD7" s="0" t="n">
        <v>22589.795</v>
      </c>
    </row>
    <row r="8" customFormat="false" ht="15" hidden="false" customHeight="false" outlineLevel="0" collapsed="false">
      <c r="A8" s="0" t="s">
        <v>72</v>
      </c>
      <c r="B8" s="0" t="n">
        <v>30868.289</v>
      </c>
      <c r="C8" s="0" t="n">
        <v>22747.275</v>
      </c>
      <c r="D8" s="0" t="n">
        <v>8121.014</v>
      </c>
      <c r="E8" s="0" t="n">
        <v>26.3</v>
      </c>
      <c r="F8" s="0" t="n">
        <v>3776.93</v>
      </c>
      <c r="G8" s="0" t="n">
        <v>12.2</v>
      </c>
      <c r="H8" s="0" t="n">
        <v>5612.53</v>
      </c>
      <c r="I8" s="0" t="n">
        <v>2368.062</v>
      </c>
      <c r="J8" s="0" t="n">
        <v>7.7</v>
      </c>
      <c r="K8" s="0" t="n">
        <v>0.77</v>
      </c>
      <c r="L8" s="0" t="n">
        <v>6701.468</v>
      </c>
      <c r="M8" s="0" t="n">
        <v>3754.047</v>
      </c>
      <c r="N8" s="0" t="n">
        <v>2947.421</v>
      </c>
      <c r="O8" s="0" t="n">
        <v>23503.483</v>
      </c>
      <c r="P8" s="0" t="n">
        <v>60031.27</v>
      </c>
      <c r="Q8" s="0" t="n">
        <v>35720.192</v>
      </c>
      <c r="R8" s="0" t="n">
        <v>20695.637</v>
      </c>
      <c r="S8" s="0" t="n">
        <v>6552.984</v>
      </c>
      <c r="T8" s="0" t="n">
        <v>3102.4184</v>
      </c>
      <c r="U8" s="0" t="n">
        <v>0</v>
      </c>
      <c r="AA8" s="0" t="s">
        <v>18</v>
      </c>
      <c r="AB8" s="0" t="s">
        <v>14</v>
      </c>
      <c r="AC8" s="0" t="n">
        <v>807.595</v>
      </c>
      <c r="AD8" s="0" t="n">
        <v>24311.078</v>
      </c>
    </row>
    <row r="9" customFormat="false" ht="15" hidden="false" customHeight="false" outlineLevel="0" collapsed="false">
      <c r="A9" s="0" t="s">
        <v>73</v>
      </c>
      <c r="B9" s="0" t="n">
        <v>27026.49</v>
      </c>
      <c r="C9" s="0" t="n">
        <v>19733.192</v>
      </c>
      <c r="D9" s="0" t="n">
        <v>7293.298</v>
      </c>
      <c r="E9" s="0" t="n">
        <v>27</v>
      </c>
      <c r="F9" s="0" t="n">
        <v>3075.354</v>
      </c>
      <c r="G9" s="0" t="n">
        <v>11.4</v>
      </c>
      <c r="H9" s="0" t="n">
        <v>4731.553</v>
      </c>
      <c r="I9" s="0" t="n">
        <v>1683.9</v>
      </c>
      <c r="J9" s="0" t="n">
        <v>6.2</v>
      </c>
      <c r="K9" s="0" t="n">
        <v>0.55</v>
      </c>
      <c r="L9" s="0" t="n">
        <v>3753.716</v>
      </c>
      <c r="M9" s="0" t="n">
        <v>1619.585</v>
      </c>
      <c r="N9" s="0" t="n">
        <v>2134.131</v>
      </c>
      <c r="O9" s="0" t="n">
        <v>23844.324</v>
      </c>
      <c r="P9" s="0" t="n">
        <v>58329.059</v>
      </c>
      <c r="Q9" s="0" t="n">
        <v>33913.684</v>
      </c>
      <c r="R9" s="0" t="n">
        <v>19645.705</v>
      </c>
      <c r="S9" s="0" t="n">
        <v>6642.551</v>
      </c>
      <c r="T9" s="0" t="n">
        <v>3102.4184</v>
      </c>
      <c r="U9" s="0" t="n">
        <v>7.289</v>
      </c>
      <c r="AA9" s="0" t="s">
        <v>18</v>
      </c>
      <c r="AB9" s="0" t="s">
        <v>14</v>
      </c>
      <c r="AC9" s="0" t="n">
        <v>571.051</v>
      </c>
      <c r="AD9" s="0" t="n">
        <v>24415.375</v>
      </c>
    </row>
    <row r="10" customFormat="false" ht="15" hidden="false" customHeight="false" outlineLevel="0" collapsed="false">
      <c r="A10" s="0" t="s">
        <v>74</v>
      </c>
      <c r="B10" s="0" t="n">
        <v>24314.932</v>
      </c>
      <c r="C10" s="0" t="n">
        <v>17631.698</v>
      </c>
      <c r="D10" s="0" t="n">
        <v>6683.234</v>
      </c>
      <c r="E10" s="0" t="n">
        <v>27.5</v>
      </c>
      <c r="F10" s="0" t="n">
        <v>2370.294</v>
      </c>
      <c r="G10" s="0" t="n">
        <v>9.7</v>
      </c>
      <c r="H10" s="0" t="n">
        <v>3948.356</v>
      </c>
      <c r="I10" s="0" t="n">
        <v>1261.64</v>
      </c>
      <c r="J10" s="0" t="n">
        <v>5.2</v>
      </c>
      <c r="K10" s="0" t="n">
        <v>0.41</v>
      </c>
      <c r="L10" s="0" t="n">
        <v>4335.756</v>
      </c>
      <c r="M10" s="0" t="n">
        <v>2096.531</v>
      </c>
      <c r="N10" s="0" t="n">
        <v>2239.225</v>
      </c>
      <c r="O10" s="0" t="n">
        <v>24637.507</v>
      </c>
      <c r="P10" s="0" t="n">
        <v>57346.701</v>
      </c>
      <c r="Q10" s="0" t="n">
        <v>32186.388</v>
      </c>
      <c r="R10" s="0" t="n">
        <v>18088.021</v>
      </c>
      <c r="S10" s="0" t="n">
        <v>6516.467</v>
      </c>
      <c r="T10" s="0" t="n">
        <v>3102.4184</v>
      </c>
      <c r="U10" s="0" t="n">
        <v>0</v>
      </c>
      <c r="AA10" s="0" t="s">
        <v>18</v>
      </c>
      <c r="AB10" s="0" t="s">
        <v>14</v>
      </c>
      <c r="AC10" s="0" t="n">
        <v>522.806</v>
      </c>
      <c r="AD10" s="0" t="n">
        <v>25160.313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3.07</v>
      </c>
    </row>
    <row r="3" customFormat="false" ht="15" hidden="false" customHeight="false" outlineLevel="0" collapsed="false">
      <c r="A3" s="0" t="s">
        <v>78</v>
      </c>
      <c r="B3" s="3" t="n">
        <v>3102.418</v>
      </c>
    </row>
    <row r="4" customFormat="false" ht="15" hidden="false" customHeight="false" outlineLevel="0" collapsed="false">
      <c r="A4" s="0" t="s">
        <v>79</v>
      </c>
      <c r="B4" s="3" t="n">
        <v>13416.01</v>
      </c>
    </row>
    <row r="5" customFormat="false" ht="15" hidden="false" customHeight="false" outlineLevel="0" collapsed="false">
      <c r="A5" s="0" t="s">
        <v>80</v>
      </c>
      <c r="B5" s="3" t="n">
        <v>9643.64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24314.932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1.1724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-6</v>
      </c>
      <c r="D13" s="3" t="n">
        <v>-4</v>
      </c>
      <c r="E13" s="3" t="n">
        <v>-2</v>
      </c>
      <c r="F13" s="3" t="n">
        <v>0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13.5</v>
      </c>
      <c r="D14" s="3" t="n">
        <v>13</v>
      </c>
      <c r="E14" s="3" t="n">
        <v>12.5</v>
      </c>
      <c r="F14" s="3" t="n">
        <v>12.5</v>
      </c>
      <c r="G14" s="3" t="n">
        <v>12.5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6.6</v>
      </c>
      <c r="D17" s="3" t="n">
        <v>6.6</v>
      </c>
      <c r="E17" s="3" t="n">
        <v>6.5</v>
      </c>
      <c r="F17" s="3" t="n">
        <v>6.4</v>
      </c>
      <c r="G17" s="3" t="n">
        <v>6.3</v>
      </c>
      <c r="H17" s="3" t="n">
        <v>6.2</v>
      </c>
      <c r="I17" s="3" t="n">
        <v>6.2</v>
      </c>
      <c r="J17" s="3" t="n">
        <v>6.2</v>
      </c>
      <c r="K17" s="3" t="n">
        <v>6.2</v>
      </c>
      <c r="L17" s="3" t="n">
        <v>6.2</v>
      </c>
    </row>
    <row r="18" customFormat="false" ht="15" hidden="false" customHeight="false" outlineLevel="0" collapsed="false">
      <c r="A18" s="0" t="s">
        <v>103</v>
      </c>
      <c r="C18" s="3" t="n">
        <v>6.5</v>
      </c>
      <c r="D18" s="3" t="n">
        <v>6.4</v>
      </c>
      <c r="E18" s="3" t="n">
        <v>6.3</v>
      </c>
      <c r="F18" s="3" t="n">
        <v>6.2</v>
      </c>
      <c r="G18" s="3" t="n">
        <v>6.2</v>
      </c>
      <c r="H18" s="3" t="n">
        <v>6.2</v>
      </c>
      <c r="I18" s="3" t="n">
        <v>6.2</v>
      </c>
      <c r="J18" s="3" t="n">
        <v>6.2</v>
      </c>
      <c r="K18" s="3" t="n">
        <v>6.2</v>
      </c>
      <c r="L18" s="3" t="n">
        <v>6.2</v>
      </c>
    </row>
    <row r="19" customFormat="false" ht="15" hidden="false" customHeight="false" outlineLevel="0" collapsed="false">
      <c r="A19" s="0" t="s">
        <v>104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8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-5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-4</v>
      </c>
      <c r="D27" s="3" t="n">
        <v>0</v>
      </c>
      <c r="E27" s="3" t="n">
        <v>2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14.5</v>
      </c>
      <c r="D28" s="3" t="n">
        <v>14.8</v>
      </c>
      <c r="E28" s="3" t="n">
        <v>15</v>
      </c>
      <c r="F28" s="3" t="n">
        <v>15.3</v>
      </c>
      <c r="G28" s="3" t="n">
        <v>15.5</v>
      </c>
      <c r="H28" s="3" t="n">
        <v>15.5</v>
      </c>
      <c r="I28" s="3" t="n">
        <v>15.5</v>
      </c>
      <c r="J28" s="3" t="n">
        <v>15.5</v>
      </c>
      <c r="K28" s="3" t="n">
        <v>15.5</v>
      </c>
      <c r="L28" s="3" t="n">
        <v>15.5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6.5</v>
      </c>
      <c r="D31" s="3" t="n">
        <v>6.4</v>
      </c>
      <c r="E31" s="3" t="n">
        <v>6.3</v>
      </c>
      <c r="F31" s="3" t="n">
        <v>6.2</v>
      </c>
      <c r="G31" s="3" t="n">
        <v>6.1</v>
      </c>
      <c r="H31" s="3" t="n">
        <v>6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103</v>
      </c>
      <c r="C32" s="3" t="n">
        <v>6.6</v>
      </c>
      <c r="D32" s="3" t="n">
        <v>6.6</v>
      </c>
      <c r="E32" s="3" t="n">
        <v>6.5</v>
      </c>
      <c r="F32" s="3" t="n">
        <v>6.5</v>
      </c>
      <c r="G32" s="3" t="n">
        <v>6.4</v>
      </c>
      <c r="H32" s="3" t="n">
        <v>6.3</v>
      </c>
      <c r="I32" s="3" t="n">
        <v>6.3</v>
      </c>
      <c r="J32" s="3" t="n">
        <v>6.3</v>
      </c>
      <c r="K32" s="3" t="n">
        <v>6.3</v>
      </c>
      <c r="L32" s="3" t="n">
        <v>6.3</v>
      </c>
    </row>
    <row r="33" customFormat="false" ht="15" hidden="false" customHeight="false" outlineLevel="0" collapsed="false">
      <c r="A33" s="0" t="s">
        <v>104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105</v>
      </c>
      <c r="B34" s="3" t="n">
        <v>8</v>
      </c>
    </row>
    <row r="35" customFormat="false" ht="15" hidden="false" customHeight="false" outlineLevel="0" collapsed="false">
      <c r="A35" s="0" t="s">
        <v>106</v>
      </c>
      <c r="B35" s="3" t="n">
        <v>1.5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-5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-3</v>
      </c>
      <c r="D41" s="3" t="n">
        <v>3</v>
      </c>
      <c r="E41" s="3" t="n">
        <v>5</v>
      </c>
      <c r="F41" s="3" t="n">
        <v>5</v>
      </c>
      <c r="G41" s="3" t="n">
        <v>5</v>
      </c>
      <c r="H41" s="3" t="n">
        <v>4</v>
      </c>
      <c r="I41" s="3" t="n">
        <v>4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15</v>
      </c>
      <c r="D42" s="3" t="n">
        <v>15.8</v>
      </c>
      <c r="E42" s="3" t="n">
        <v>16.5</v>
      </c>
      <c r="F42" s="3" t="n">
        <v>17</v>
      </c>
      <c r="G42" s="3" t="n">
        <v>17.5</v>
      </c>
      <c r="H42" s="3" t="n">
        <v>17.5</v>
      </c>
      <c r="I42" s="3" t="n">
        <v>17.5</v>
      </c>
      <c r="J42" s="3" t="n">
        <v>17.5</v>
      </c>
      <c r="K42" s="3" t="n">
        <v>17.5</v>
      </c>
      <c r="L42" s="3" t="n">
        <v>17.5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6.5</v>
      </c>
      <c r="D45" s="3" t="n">
        <v>6.4</v>
      </c>
      <c r="E45" s="3" t="n">
        <v>6.3</v>
      </c>
      <c r="F45" s="3" t="n">
        <v>6.2</v>
      </c>
      <c r="G45" s="3" t="n">
        <v>6.1</v>
      </c>
      <c r="H45" s="3" t="n">
        <v>6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103</v>
      </c>
      <c r="C46" s="3" t="n">
        <v>6.8</v>
      </c>
      <c r="D46" s="3" t="n">
        <v>6.8</v>
      </c>
      <c r="E46" s="3" t="n">
        <v>6.7</v>
      </c>
      <c r="F46" s="3" t="n">
        <v>6.6</v>
      </c>
      <c r="G46" s="3" t="n">
        <v>6.5</v>
      </c>
      <c r="H46" s="3" t="n">
        <v>6.4</v>
      </c>
      <c r="I46" s="3" t="n">
        <v>6.4</v>
      </c>
      <c r="J46" s="3" t="n">
        <v>6.4</v>
      </c>
      <c r="K46" s="3" t="n">
        <v>6.4</v>
      </c>
      <c r="L46" s="3" t="n">
        <v>6.4</v>
      </c>
    </row>
    <row r="47" customFormat="false" ht="15" hidden="false" customHeight="false" outlineLevel="0" collapsed="false">
      <c r="A47" s="0" t="s">
        <v>104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105</v>
      </c>
      <c r="B48" s="3" t="n">
        <v>8</v>
      </c>
    </row>
    <row r="49" customFormat="false" ht="15" hidden="false" customHeight="false" outlineLevel="0" collapsed="false">
      <c r="A49" s="0" t="s">
        <v>106</v>
      </c>
      <c r="B49" s="3" t="n">
        <v>2</v>
      </c>
    </row>
    <row r="50" customFormat="false" ht="15" hidden="false" customHeight="false" outlineLevel="0" collapsed="false">
      <c r="A50" s="0" t="s">
        <v>107</v>
      </c>
      <c r="B50" s="3" t="n">
        <v>12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-6</v>
      </c>
      <c r="D5" s="4" t="n">
        <f aca="false">Assumptions!D13</f>
        <v>-4</v>
      </c>
      <c r="E5" s="4" t="n">
        <f aca="false">Assumptions!E13</f>
        <v>-2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24314.932</v>
      </c>
      <c r="C6" s="0" t="n">
        <f aca="false">B6*(1+C5/100)</f>
        <v>22856.03608</v>
      </c>
      <c r="D6" s="0" t="n">
        <f aca="false">C6*(1+D5/100)</f>
        <v>21941.7946368</v>
      </c>
      <c r="E6" s="0" t="n">
        <f aca="false">D6*(1+E5/100)</f>
        <v>21502.958744064</v>
      </c>
      <c r="F6" s="0" t="n">
        <f aca="false">E6*(1+F5/100)</f>
        <v>21502.958744064</v>
      </c>
      <c r="G6" s="0" t="n">
        <f aca="false">F6*(1+G5/100)</f>
        <v>21717.9883315046</v>
      </c>
      <c r="H6" s="0" t="n">
        <f aca="false">G6*(1+H5/100)</f>
        <v>22043.7581564772</v>
      </c>
      <c r="I6" s="0" t="n">
        <f aca="false">H6*(1+I5/100)</f>
        <v>22374.4145288244</v>
      </c>
      <c r="J6" s="0" t="n">
        <f aca="false">I6*(1+J5/100)</f>
        <v>22710.0307467567</v>
      </c>
      <c r="K6" s="0" t="n">
        <f aca="false">J6*(1+K5/100)</f>
        <v>23050.6812079581</v>
      </c>
      <c r="L6" s="0" t="n">
        <f aca="false">K6*(1+L5/100)</f>
        <v>23396.4414260774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13.5</v>
      </c>
      <c r="D7" s="4" t="n">
        <f aca="false">Assumptions!D14</f>
        <v>13</v>
      </c>
      <c r="E7" s="4" t="n">
        <f aca="false">Assumptions!E14</f>
        <v>12.5</v>
      </c>
      <c r="F7" s="4" t="n">
        <f aca="false">Assumptions!F14</f>
        <v>12.5</v>
      </c>
      <c r="G7" s="4" t="n">
        <f aca="false">Assumptions!G14</f>
        <v>12.5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3085.5648708</v>
      </c>
      <c r="D8" s="0" t="n">
        <f aca="false">D6*D7/100</f>
        <v>2852.433302784</v>
      </c>
      <c r="E8" s="0" t="n">
        <f aca="false">E6*E7/100</f>
        <v>2687.869843008</v>
      </c>
      <c r="F8" s="0" t="n">
        <f aca="false">F6*F7/100</f>
        <v>2687.869843008</v>
      </c>
      <c r="G8" s="0" t="n">
        <f aca="false">G6*G7/100</f>
        <v>2714.74854143808</v>
      </c>
      <c r="H8" s="0" t="n">
        <f aca="false">H6*H7/100</f>
        <v>2755.46976955965</v>
      </c>
      <c r="I8" s="0" t="n">
        <f aca="false">I6*I7/100</f>
        <v>2796.80181610305</v>
      </c>
      <c r="J8" s="0" t="n">
        <f aca="false">J6*J7/100</f>
        <v>2838.75384334459</v>
      </c>
      <c r="K8" s="0" t="n">
        <f aca="false">K6*K7/100</f>
        <v>2881.33515099476</v>
      </c>
      <c r="L8" s="0" t="n">
        <f aca="false">L6*L7/100</f>
        <v>2924.55517825968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3085.5648708</v>
      </c>
      <c r="D11" s="0" t="n">
        <f aca="false">D8+D10+D24</f>
        <v>2852.433302784</v>
      </c>
      <c r="E11" s="0" t="n">
        <f aca="false">E8+E10+E24</f>
        <v>2687.869843008</v>
      </c>
      <c r="F11" s="0" t="n">
        <f aca="false">F8+F10+F24</f>
        <v>2687.869843008</v>
      </c>
      <c r="G11" s="0" t="n">
        <f aca="false">G8+G10+G24</f>
        <v>2714.74854143808</v>
      </c>
      <c r="H11" s="0" t="n">
        <f aca="false">H8+H10+H24</f>
        <v>2755.46976955965</v>
      </c>
      <c r="I11" s="0" t="n">
        <f aca="false">I8+I10+I24</f>
        <v>2796.80181610305</v>
      </c>
      <c r="J11" s="0" t="n">
        <f aca="false">J8+J10+J24</f>
        <v>2838.75384334459</v>
      </c>
      <c r="K11" s="0" t="n">
        <f aca="false">K8+K10+K24</f>
        <v>2881.33515099476</v>
      </c>
      <c r="L11" s="0" t="n">
        <f aca="false">L8+L10+L24</f>
        <v>2924.55517825968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-1508.49838128</v>
      </c>
      <c r="D12" s="4" t="n">
        <f aca="false">-D6*Assumptions!D17/100</f>
        <v>-1448.1584460288</v>
      </c>
      <c r="E12" s="4" t="n">
        <f aca="false">-E6*Assumptions!E17/100</f>
        <v>-1397.69231836416</v>
      </c>
      <c r="F12" s="4" t="n">
        <f aca="false">-F6*Assumptions!F17/100</f>
        <v>-1376.1893596201</v>
      </c>
      <c r="G12" s="4" t="n">
        <f aca="false">-G6*Assumptions!G17/100</f>
        <v>-1368.23326488479</v>
      </c>
      <c r="H12" s="4" t="n">
        <f aca="false">-H6*Assumptions!H17/100</f>
        <v>-1366.71300570159</v>
      </c>
      <c r="I12" s="4" t="n">
        <f aca="false">-I6*Assumptions!I17/100</f>
        <v>-1387.21370078711</v>
      </c>
      <c r="J12" s="4" t="n">
        <f aca="false">-J6*Assumptions!J17/100</f>
        <v>-1408.02190629892</v>
      </c>
      <c r="K12" s="4" t="n">
        <f aca="false">-K6*Assumptions!K17/100</f>
        <v>-1429.1422348934</v>
      </c>
      <c r="L12" s="4" t="n">
        <f aca="false">-L6*Assumptions!L17/100</f>
        <v>-1450.5793684168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1577.06648952</v>
      </c>
      <c r="D13" s="0" t="n">
        <f aca="false">D11+D12</f>
        <v>1404.2748567552</v>
      </c>
      <c r="E13" s="0" t="n">
        <f aca="false">E11+E12</f>
        <v>1290.17752464384</v>
      </c>
      <c r="F13" s="0" t="n">
        <f aca="false">F11+F12</f>
        <v>1311.6804833879</v>
      </c>
      <c r="G13" s="0" t="n">
        <f aca="false">G11+G12</f>
        <v>1346.51527655329</v>
      </c>
      <c r="H13" s="0" t="n">
        <f aca="false">H11+H12</f>
        <v>1388.75676385806</v>
      </c>
      <c r="I13" s="0" t="n">
        <f aca="false">I11+I12</f>
        <v>1409.58811531594</v>
      </c>
      <c r="J13" s="0" t="n">
        <f aca="false">J11+J12</f>
        <v>1430.73193704567</v>
      </c>
      <c r="K13" s="0" t="n">
        <f aca="false">K11+K12</f>
        <v>1452.19291610136</v>
      </c>
      <c r="L13" s="0" t="n">
        <f aca="false">L11+L12</f>
        <v>1473.97580984288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1182.79986714</v>
      </c>
      <c r="D15" s="0" t="n">
        <f aca="false">D13-MAX(0,D13)*D14/100</f>
        <v>1053.2061425664</v>
      </c>
      <c r="E15" s="0" t="n">
        <f aca="false">E13-MAX(0,E13)*E14/100</f>
        <v>967.63314348288</v>
      </c>
      <c r="F15" s="0" t="n">
        <f aca="false">F13-MAX(0,F13)*F14/100</f>
        <v>983.760362540928</v>
      </c>
      <c r="G15" s="0" t="n">
        <f aca="false">G13-MAX(0,G13)*G14/100</f>
        <v>1009.88645741497</v>
      </c>
      <c r="H15" s="0" t="n">
        <f aca="false">H13-MAX(0,H13)*H14/100</f>
        <v>1041.56757289355</v>
      </c>
      <c r="I15" s="0" t="n">
        <f aca="false">I13-MAX(0,I13)*I14/100</f>
        <v>1057.19108648695</v>
      </c>
      <c r="J15" s="0" t="n">
        <f aca="false">J13-MAX(0,J13)*J14/100</f>
        <v>1073.04895278426</v>
      </c>
      <c r="K15" s="0" t="n">
        <f aca="false">K13-MAX(0,K13)*K14/100</f>
        <v>1089.14468707602</v>
      </c>
      <c r="L15" s="0" t="n">
        <f aca="false">L13-MAX(0,L13)*L14/100</f>
        <v>1105.48185738216</v>
      </c>
    </row>
    <row r="16" customFormat="false" ht="15" hidden="false" customHeight="false" outlineLevel="0" collapsed="false">
      <c r="A16" s="0" t="s">
        <v>120</v>
      </c>
      <c r="C16" s="0" t="n">
        <f aca="false">-C12</f>
        <v>1508.49838128</v>
      </c>
      <c r="D16" s="0" t="n">
        <f aca="false">-D12</f>
        <v>1448.1584460288</v>
      </c>
      <c r="E16" s="0" t="n">
        <f aca="false">-E12</f>
        <v>1397.69231836416</v>
      </c>
      <c r="F16" s="0" t="n">
        <f aca="false">-F12</f>
        <v>1376.1893596201</v>
      </c>
      <c r="G16" s="0" t="n">
        <f aca="false">-G12</f>
        <v>1368.23326488479</v>
      </c>
      <c r="H16" s="0" t="n">
        <f aca="false">-H12</f>
        <v>1366.71300570159</v>
      </c>
      <c r="I16" s="0" t="n">
        <f aca="false">-I12</f>
        <v>1387.21370078711</v>
      </c>
      <c r="J16" s="0" t="n">
        <f aca="false">-J12</f>
        <v>1408.02190629892</v>
      </c>
      <c r="K16" s="0" t="n">
        <f aca="false">-K12</f>
        <v>1429.1422348934</v>
      </c>
      <c r="L16" s="0" t="n">
        <f aca="false">-L12</f>
        <v>1450.5793684168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-1485.6423452</v>
      </c>
      <c r="D17" s="4" t="n">
        <f aca="false">-D6*Assumptions!D18/100</f>
        <v>-1404.2748567552</v>
      </c>
      <c r="E17" s="4" t="n">
        <f aca="false">-E6*Assumptions!E18/100</f>
        <v>-1354.68640087603</v>
      </c>
      <c r="F17" s="4" t="n">
        <f aca="false">-F6*Assumptions!F18/100</f>
        <v>-1333.18344213197</v>
      </c>
      <c r="G17" s="4" t="n">
        <f aca="false">-G6*Assumptions!G18/100</f>
        <v>-1346.51527655329</v>
      </c>
      <c r="H17" s="4" t="n">
        <f aca="false">-H6*Assumptions!H18/100</f>
        <v>-1366.71300570159</v>
      </c>
      <c r="I17" s="4" t="n">
        <f aca="false">-I6*Assumptions!I18/100</f>
        <v>-1387.21370078711</v>
      </c>
      <c r="J17" s="4" t="n">
        <f aca="false">-J6*Assumptions!J18/100</f>
        <v>-1408.02190629892</v>
      </c>
      <c r="K17" s="4" t="n">
        <f aca="false">-K6*Assumptions!K18/100</f>
        <v>-1429.1422348934</v>
      </c>
      <c r="L17" s="4" t="n">
        <f aca="false">-L6*Assumptions!L18/100</f>
        <v>-1450.5793684168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72.9447960000001</v>
      </c>
      <c r="D18" s="4" t="n">
        <f aca="false">(D6-C6)*Assumptions!$B$23/100</f>
        <v>45.71207216</v>
      </c>
      <c r="E18" s="4" t="n">
        <f aca="false">(E6-D6)*Assumptions!$B$23/100</f>
        <v>21.9417946367999</v>
      </c>
      <c r="F18" s="4" t="n">
        <f aca="false">(F6-E6)*Assumptions!$B$23/100</f>
        <v>-0</v>
      </c>
      <c r="G18" s="4" t="n">
        <f aca="false">(G6-F6)*Assumptions!$B$23/100</f>
        <v>-10.751479372032</v>
      </c>
      <c r="H18" s="4" t="n">
        <f aca="false">(H6-G6)*Assumptions!$B$23/100</f>
        <v>-16.2884912486285</v>
      </c>
      <c r="I18" s="4" t="n">
        <f aca="false">(I6-H6)*Assumptions!$B$23/100</f>
        <v>-16.5328186173578</v>
      </c>
      <c r="J18" s="4" t="n">
        <f aca="false">(J6-I6)*Assumptions!$B$23/100</f>
        <v>-16.7808108966181</v>
      </c>
      <c r="K18" s="4" t="n">
        <f aca="false">(K6-J6)*Assumptions!$B$23/100</f>
        <v>-17.0325230600674</v>
      </c>
      <c r="L18" s="4" t="n">
        <f aca="false">(L6-K6)*Assumptions!$B$23/100</f>
        <v>-17.2880109059684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1278.60069922</v>
      </c>
      <c r="D19" s="0" t="n">
        <f aca="false">D15+D16+D17+D18</f>
        <v>1142.801804</v>
      </c>
      <c r="E19" s="0" t="n">
        <f aca="false">E15+E16+E17+E18</f>
        <v>1032.58085560781</v>
      </c>
      <c r="F19" s="0" t="n">
        <f aca="false">F15+F16+F17+F18</f>
        <v>1026.76628002906</v>
      </c>
      <c r="G19" s="0" t="n">
        <f aca="false">G15+G16+G17+G18</f>
        <v>1020.85296637444</v>
      </c>
      <c r="H19" s="0" t="n">
        <f aca="false">H15+H16+H17+H18</f>
        <v>1025.27908164492</v>
      </c>
      <c r="I19" s="0" t="n">
        <f aca="false">I15+I16+I17+I18</f>
        <v>1040.65826786959</v>
      </c>
      <c r="J19" s="0" t="n">
        <f aca="false">J15+J16+J17+J18</f>
        <v>1056.26814188764</v>
      </c>
      <c r="K19" s="0" t="n">
        <f aca="false">K15+K16+K17+K18</f>
        <v>1072.11216401595</v>
      </c>
      <c r="L19" s="0" t="n">
        <f aca="false">L15+L16+L17+L18</f>
        <v>1088.19384647619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1183.88953631481</v>
      </c>
      <c r="D21" s="0" t="n">
        <f aca="false">D19*D20</f>
        <v>979.76835048011</v>
      </c>
      <c r="E21" s="0" t="n">
        <f aca="false">E19*E20</f>
        <v>819.69597464167</v>
      </c>
      <c r="F21" s="0" t="n">
        <f aca="false">F19*F20</f>
        <v>754.703867666119</v>
      </c>
      <c r="G21" s="0" t="n">
        <f aca="false">G19*G20</f>
        <v>694.775375556505</v>
      </c>
      <c r="H21" s="0" t="n">
        <f aca="false">H19*H20</f>
        <v>646.099736331231</v>
      </c>
      <c r="I21" s="0" t="n">
        <f aca="false">I19*I20</f>
        <v>607.214104052037</v>
      </c>
      <c r="J21" s="0" t="n">
        <f aca="false">J19*J20</f>
        <v>570.668810752608</v>
      </c>
      <c r="K21" s="0" t="n">
        <f aca="false">K19*K20</f>
        <v>536.323002698053</v>
      </c>
      <c r="L21" s="0" t="n">
        <f aca="false">L19*L20</f>
        <v>504.044303461596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7297.18306195474</v>
      </c>
    </row>
    <row r="31" customFormat="false" ht="15" hidden="false" customHeight="false" outlineLevel="0" collapsed="false">
      <c r="A31" s="0" t="s">
        <v>129</v>
      </c>
      <c r="B31" s="0" t="n">
        <f aca="false">L19</f>
        <v>1088.19384647619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15701.0826420136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10881.9384647619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10881.9384647619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5040.44303461596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12337.6260965707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8565.2560965707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3.23679989209046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0.0543322124073151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3.23679989209046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7850.54132100681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1.38733189574197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-4</v>
      </c>
      <c r="D5" s="4" t="n">
        <f aca="false">Assumptions!D27</f>
        <v>0</v>
      </c>
      <c r="E5" s="4" t="n">
        <f aca="false">Assumptions!E27</f>
        <v>2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24314.932</v>
      </c>
      <c r="C6" s="0" t="n">
        <f aca="false">B6*(1+C5/100)</f>
        <v>23342.33472</v>
      </c>
      <c r="D6" s="0" t="n">
        <f aca="false">C6*(1+D5/100)</f>
        <v>23342.33472</v>
      </c>
      <c r="E6" s="0" t="n">
        <f aca="false">D6*(1+E5/100)</f>
        <v>23809.1814144</v>
      </c>
      <c r="F6" s="0" t="n">
        <f aca="false">E6*(1+F5/100)</f>
        <v>24523.456856832</v>
      </c>
      <c r="G6" s="0" t="n">
        <f aca="false">F6*(1+G5/100)</f>
        <v>25259.160562537</v>
      </c>
      <c r="H6" s="0" t="n">
        <f aca="false">G6*(1+H5/100)</f>
        <v>26016.9353794131</v>
      </c>
      <c r="I6" s="0" t="n">
        <f aca="false">H6*(1+I5/100)</f>
        <v>26667.3587638984</v>
      </c>
      <c r="J6" s="0" t="n">
        <f aca="false">I6*(1+J5/100)</f>
        <v>27334.0427329959</v>
      </c>
      <c r="K6" s="0" t="n">
        <f aca="false">J6*(1+K5/100)</f>
        <v>27880.7235876558</v>
      </c>
      <c r="L6" s="0" t="n">
        <f aca="false">K6*(1+L5/100)</f>
        <v>28438.3380594089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14.5</v>
      </c>
      <c r="D7" s="4" t="n">
        <f aca="false">Assumptions!D28</f>
        <v>14.8</v>
      </c>
      <c r="E7" s="4" t="n">
        <f aca="false">Assumptions!E28</f>
        <v>15</v>
      </c>
      <c r="F7" s="4" t="n">
        <f aca="false">Assumptions!F28</f>
        <v>15.3</v>
      </c>
      <c r="G7" s="4" t="n">
        <f aca="false">Assumptions!G28</f>
        <v>15.5</v>
      </c>
      <c r="H7" s="4" t="n">
        <f aca="false">Assumptions!H28</f>
        <v>15.5</v>
      </c>
      <c r="I7" s="4" t="n">
        <f aca="false">Assumptions!I28</f>
        <v>15.5</v>
      </c>
      <c r="J7" s="4" t="n">
        <f aca="false">Assumptions!J28</f>
        <v>15.5</v>
      </c>
      <c r="K7" s="4" t="n">
        <f aca="false">Assumptions!K28</f>
        <v>15.5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3384.6385344</v>
      </c>
      <c r="D8" s="0" t="n">
        <f aca="false">D6*D7/100</f>
        <v>3454.66553856</v>
      </c>
      <c r="E8" s="0" t="n">
        <f aca="false">E6*E7/100</f>
        <v>3571.37721216</v>
      </c>
      <c r="F8" s="0" t="n">
        <f aca="false">F6*F7/100</f>
        <v>3752.0888990953</v>
      </c>
      <c r="G8" s="0" t="n">
        <f aca="false">G6*G7/100</f>
        <v>3915.16988719323</v>
      </c>
      <c r="H8" s="0" t="n">
        <f aca="false">H6*H7/100</f>
        <v>4032.62498380903</v>
      </c>
      <c r="I8" s="0" t="n">
        <f aca="false">I6*I7/100</f>
        <v>4133.44060840425</v>
      </c>
      <c r="J8" s="0" t="n">
        <f aca="false">J6*J7/100</f>
        <v>4236.77662361436</v>
      </c>
      <c r="K8" s="0" t="n">
        <f aca="false">K6*K7/100</f>
        <v>4321.51215608664</v>
      </c>
      <c r="L8" s="0" t="n">
        <f aca="false">L6*L7/100</f>
        <v>4407.94239920838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3384.6385344</v>
      </c>
      <c r="D11" s="0" t="n">
        <f aca="false">D8+D10+D24</f>
        <v>3454.66553856</v>
      </c>
      <c r="E11" s="0" t="n">
        <f aca="false">E8+E10+E24</f>
        <v>3571.37721216</v>
      </c>
      <c r="F11" s="0" t="n">
        <f aca="false">F8+F10+F24</f>
        <v>3752.0888990953</v>
      </c>
      <c r="G11" s="0" t="n">
        <f aca="false">G8+G10+G24</f>
        <v>3915.16988719323</v>
      </c>
      <c r="H11" s="0" t="n">
        <f aca="false">H8+H10+H24</f>
        <v>4032.62498380903</v>
      </c>
      <c r="I11" s="0" t="n">
        <f aca="false">I8+I10+I24</f>
        <v>4133.44060840425</v>
      </c>
      <c r="J11" s="0" t="n">
        <f aca="false">J8+J10+J24</f>
        <v>4236.77662361436</v>
      </c>
      <c r="K11" s="0" t="n">
        <f aca="false">K8+K10+K24</f>
        <v>4321.51215608664</v>
      </c>
      <c r="L11" s="0" t="n">
        <f aca="false">L8+L10+L24</f>
        <v>4407.94239920838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-1517.2517568</v>
      </c>
      <c r="D12" s="4" t="n">
        <f aca="false">-D6*Assumptions!D31/100</f>
        <v>-1493.90942208</v>
      </c>
      <c r="E12" s="4" t="n">
        <f aca="false">-E6*Assumptions!E31/100</f>
        <v>-1499.9784291072</v>
      </c>
      <c r="F12" s="4" t="n">
        <f aca="false">-F6*Assumptions!F31/100</f>
        <v>-1520.45432512358</v>
      </c>
      <c r="G12" s="4" t="n">
        <f aca="false">-G6*Assumptions!G31/100</f>
        <v>-1540.80879431475</v>
      </c>
      <c r="H12" s="4" t="n">
        <f aca="false">-H6*Assumptions!H31/100</f>
        <v>-1561.01612276478</v>
      </c>
      <c r="I12" s="4" t="n">
        <f aca="false">-I6*Assumptions!I31/100</f>
        <v>-1600.0415258339</v>
      </c>
      <c r="J12" s="4" t="n">
        <f aca="false">-J6*Assumptions!J31/100</f>
        <v>-1640.04256397975</v>
      </c>
      <c r="K12" s="4" t="n">
        <f aca="false">-K6*Assumptions!K31/100</f>
        <v>-1672.84341525935</v>
      </c>
      <c r="L12" s="4" t="n">
        <f aca="false">-L6*Assumptions!L31/100</f>
        <v>-1706.30028356453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1867.3867776</v>
      </c>
      <c r="D13" s="0" t="n">
        <f aca="false">D11+D12</f>
        <v>1960.75611648</v>
      </c>
      <c r="E13" s="0" t="n">
        <f aca="false">E11+E12</f>
        <v>2071.3987830528</v>
      </c>
      <c r="F13" s="0" t="n">
        <f aca="false">F11+F12</f>
        <v>2231.63457397171</v>
      </c>
      <c r="G13" s="0" t="n">
        <f aca="false">G11+G12</f>
        <v>2374.36109287847</v>
      </c>
      <c r="H13" s="0" t="n">
        <f aca="false">H11+H12</f>
        <v>2471.60886104424</v>
      </c>
      <c r="I13" s="0" t="n">
        <f aca="false">I11+I12</f>
        <v>2533.39908257035</v>
      </c>
      <c r="J13" s="0" t="n">
        <f aca="false">J11+J12</f>
        <v>2596.73405963461</v>
      </c>
      <c r="K13" s="0" t="n">
        <f aca="false">K11+K12</f>
        <v>2648.6687408273</v>
      </c>
      <c r="L13" s="0" t="n">
        <f aca="false">L11+L12</f>
        <v>2701.64211564384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1437.887818752</v>
      </c>
      <c r="D15" s="0" t="n">
        <f aca="false">D13-MAX(0,D13)*D14/100</f>
        <v>1509.7822096896</v>
      </c>
      <c r="E15" s="0" t="n">
        <f aca="false">E13-MAX(0,E13)*E14/100</f>
        <v>1594.97706295066</v>
      </c>
      <c r="F15" s="0" t="n">
        <f aca="false">F13-MAX(0,F13)*F14/100</f>
        <v>1718.35862195822</v>
      </c>
      <c r="G15" s="0" t="n">
        <f aca="false">G13-MAX(0,G13)*G14/100</f>
        <v>1828.25804151643</v>
      </c>
      <c r="H15" s="0" t="n">
        <f aca="false">H13-MAX(0,H13)*H14/100</f>
        <v>1903.13882300407</v>
      </c>
      <c r="I15" s="0" t="n">
        <f aca="false">I13-MAX(0,I13)*I14/100</f>
        <v>1950.71729357917</v>
      </c>
      <c r="J15" s="0" t="n">
        <f aca="false">J13-MAX(0,J13)*J14/100</f>
        <v>1999.48522591865</v>
      </c>
      <c r="K15" s="0" t="n">
        <f aca="false">K13-MAX(0,K13)*K14/100</f>
        <v>2039.47493043702</v>
      </c>
      <c r="L15" s="0" t="n">
        <f aca="false">L13-MAX(0,L13)*L14/100</f>
        <v>2080.26442904576</v>
      </c>
    </row>
    <row r="16" customFormat="false" ht="15" hidden="false" customHeight="false" outlineLevel="0" collapsed="false">
      <c r="A16" s="0" t="s">
        <v>120</v>
      </c>
      <c r="C16" s="0" t="n">
        <f aca="false">-C12</f>
        <v>1517.2517568</v>
      </c>
      <c r="D16" s="0" t="n">
        <f aca="false">-D12</f>
        <v>1493.90942208</v>
      </c>
      <c r="E16" s="0" t="n">
        <f aca="false">-E12</f>
        <v>1499.9784291072</v>
      </c>
      <c r="F16" s="0" t="n">
        <f aca="false">-F12</f>
        <v>1520.45432512358</v>
      </c>
      <c r="G16" s="0" t="n">
        <f aca="false">-G12</f>
        <v>1540.80879431475</v>
      </c>
      <c r="H16" s="0" t="n">
        <f aca="false">-H12</f>
        <v>1561.01612276478</v>
      </c>
      <c r="I16" s="0" t="n">
        <f aca="false">-I12</f>
        <v>1600.0415258339</v>
      </c>
      <c r="J16" s="0" t="n">
        <f aca="false">-J12</f>
        <v>1640.04256397975</v>
      </c>
      <c r="K16" s="0" t="n">
        <f aca="false">-K12</f>
        <v>1672.84341525935</v>
      </c>
      <c r="L16" s="0" t="n">
        <f aca="false">-L12</f>
        <v>1706.30028356453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-1540.59409152</v>
      </c>
      <c r="D17" s="4" t="n">
        <f aca="false">-D6*Assumptions!D32/100</f>
        <v>-1540.59409152</v>
      </c>
      <c r="E17" s="4" t="n">
        <f aca="false">-E6*Assumptions!E32/100</f>
        <v>-1547.596791936</v>
      </c>
      <c r="F17" s="4" t="n">
        <f aca="false">-F6*Assumptions!F32/100</f>
        <v>-1594.02469569408</v>
      </c>
      <c r="G17" s="4" t="n">
        <f aca="false">-G6*Assumptions!G32/100</f>
        <v>-1616.58627600237</v>
      </c>
      <c r="H17" s="4" t="n">
        <f aca="false">-H6*Assumptions!H32/100</f>
        <v>-1639.06692890302</v>
      </c>
      <c r="I17" s="4" t="n">
        <f aca="false">-I6*Assumptions!I32/100</f>
        <v>-1680.0436021256</v>
      </c>
      <c r="J17" s="4" t="n">
        <f aca="false">-J6*Assumptions!J32/100</f>
        <v>-1722.04469217874</v>
      </c>
      <c r="K17" s="4" t="n">
        <f aca="false">-K6*Assumptions!K32/100</f>
        <v>-1756.48558602231</v>
      </c>
      <c r="L17" s="4" t="n">
        <f aca="false">-L6*Assumptions!L32/100</f>
        <v>-1791.61529774276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48.6298640000001</v>
      </c>
      <c r="D18" s="4" t="n">
        <f aca="false">(D6-C6)*Assumptions!$B$37/100</f>
        <v>-0</v>
      </c>
      <c r="E18" s="4" t="n">
        <f aca="false">(E6-D6)*Assumptions!$B$37/100</f>
        <v>-23.34233472</v>
      </c>
      <c r="F18" s="4" t="n">
        <f aca="false">(F6-E6)*Assumptions!$B$37/100</f>
        <v>-35.7137721216001</v>
      </c>
      <c r="G18" s="4" t="n">
        <f aca="false">(G6-F6)*Assumptions!$B$37/100</f>
        <v>-36.785185285248</v>
      </c>
      <c r="H18" s="4" t="n">
        <f aca="false">(H6-G6)*Assumptions!$B$37/100</f>
        <v>-37.8887408438055</v>
      </c>
      <c r="I18" s="4" t="n">
        <f aca="false">(I6-H6)*Assumptions!$B$37/100</f>
        <v>-32.5211692242663</v>
      </c>
      <c r="J18" s="4" t="n">
        <f aca="false">(J6-I6)*Assumptions!$B$37/100</f>
        <v>-33.3341984548728</v>
      </c>
      <c r="K18" s="4" t="n">
        <f aca="false">(K6-J6)*Assumptions!$B$37/100</f>
        <v>-27.3340427329958</v>
      </c>
      <c r="L18" s="4" t="n">
        <f aca="false">(L6-K6)*Assumptions!$B$37/100</f>
        <v>-27.8807235876558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1463.175348032</v>
      </c>
      <c r="D19" s="0" t="n">
        <f aca="false">D15+D16+D17+D18</f>
        <v>1463.0975402496</v>
      </c>
      <c r="E19" s="0" t="n">
        <f aca="false">E15+E16+E17+E18</f>
        <v>1524.01636540186</v>
      </c>
      <c r="F19" s="0" t="n">
        <f aca="false">F15+F16+F17+F18</f>
        <v>1609.07447926612</v>
      </c>
      <c r="G19" s="0" t="n">
        <f aca="false">G15+G16+G17+G18</f>
        <v>1715.69537454357</v>
      </c>
      <c r="H19" s="0" t="n">
        <f aca="false">H15+H16+H17+H18</f>
        <v>1787.19927602202</v>
      </c>
      <c r="I19" s="0" t="n">
        <f aca="false">I15+I16+I17+I18</f>
        <v>1838.19404806321</v>
      </c>
      <c r="J19" s="0" t="n">
        <f aca="false">J15+J16+J17+J18</f>
        <v>1884.14889926479</v>
      </c>
      <c r="K19" s="0" t="n">
        <f aca="false">K15+K16+K17+K18</f>
        <v>1928.49871694106</v>
      </c>
      <c r="L19" s="0" t="n">
        <f aca="false">L15+L16+L17+L18</f>
        <v>1967.06869127988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1354.79198891852</v>
      </c>
      <c r="D21" s="0" t="n">
        <f aca="false">D19*D20</f>
        <v>1254.37031914403</v>
      </c>
      <c r="E21" s="0" t="n">
        <f aca="false">E19*E20</f>
        <v>1209.81332669837</v>
      </c>
      <c r="F21" s="0" t="n">
        <f aca="false">F19*F20</f>
        <v>1182.71777763351</v>
      </c>
      <c r="G21" s="0" t="n">
        <f aca="false">G19*G20</f>
        <v>1167.67344314288</v>
      </c>
      <c r="H21" s="0" t="n">
        <f aca="false">H19*H20</f>
        <v>1126.23870093655</v>
      </c>
      <c r="I21" s="0" t="n">
        <f aca="false">I19*I20</f>
        <v>1072.5685716729</v>
      </c>
      <c r="J21" s="0" t="n">
        <f aca="false">J19*J20</f>
        <v>1017.94702404141</v>
      </c>
      <c r="K21" s="0" t="n">
        <f aca="false">K19*K20</f>
        <v>964.729491264107</v>
      </c>
      <c r="L21" s="0" t="n">
        <f aca="false">L19*L20</f>
        <v>911.133408416101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11261.9840518684</v>
      </c>
    </row>
    <row r="31" customFormat="false" ht="15" hidden="false" customHeight="false" outlineLevel="0" collapsed="false">
      <c r="A31" s="0" t="s">
        <v>129</v>
      </c>
      <c r="B31" s="0" t="n">
        <f aca="false">L19</f>
        <v>1967.06869127988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30716.5341792165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23604.8242953585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23604.8242953585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10933.6009009932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22195.5849528616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18423.2149528616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6.96211058946117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1.26778846562253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6.96211058946117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14789.4423825857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3.08029707264053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-3</v>
      </c>
      <c r="D5" s="4" t="n">
        <f aca="false">Assumptions!D41</f>
        <v>3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24314.932</v>
      </c>
      <c r="C6" s="0" t="n">
        <f aca="false">B6*(1+C5/100)</f>
        <v>23585.48404</v>
      </c>
      <c r="D6" s="0" t="n">
        <f aca="false">C6*(1+D5/100)</f>
        <v>24293.0485612</v>
      </c>
      <c r="E6" s="0" t="n">
        <f aca="false">D6*(1+E5/100)</f>
        <v>25507.70098926</v>
      </c>
      <c r="F6" s="0" t="n">
        <f aca="false">E6*(1+F5/100)</f>
        <v>26783.086038723</v>
      </c>
      <c r="G6" s="0" t="n">
        <f aca="false">F6*(1+G5/100)</f>
        <v>28122.2403406592</v>
      </c>
      <c r="H6" s="0" t="n">
        <f aca="false">G6*(1+H5/100)</f>
        <v>29247.1299542855</v>
      </c>
      <c r="I6" s="0" t="n">
        <f aca="false">H6*(1+I5/100)</f>
        <v>30417.015152457</v>
      </c>
      <c r="J6" s="0" t="n">
        <f aca="false">I6*(1+J5/100)</f>
        <v>31329.5256070307</v>
      </c>
      <c r="K6" s="0" t="n">
        <f aca="false">J6*(1+K5/100)</f>
        <v>32269.4113752416</v>
      </c>
      <c r="L6" s="0" t="n">
        <f aca="false">K6*(1+L5/100)</f>
        <v>33237.4937164988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15</v>
      </c>
      <c r="D7" s="4" t="n">
        <f aca="false">Assumptions!D42</f>
        <v>15.8</v>
      </c>
      <c r="E7" s="4" t="n">
        <f aca="false">Assumptions!E42</f>
        <v>16.5</v>
      </c>
      <c r="F7" s="4" t="n">
        <f aca="false">Assumptions!F42</f>
        <v>17</v>
      </c>
      <c r="G7" s="4" t="n">
        <f aca="false">Assumptions!G42</f>
        <v>17.5</v>
      </c>
      <c r="H7" s="4" t="n">
        <f aca="false">Assumptions!H42</f>
        <v>17.5</v>
      </c>
      <c r="I7" s="4" t="n">
        <f aca="false">Assumptions!I42</f>
        <v>17.5</v>
      </c>
      <c r="J7" s="4" t="n">
        <f aca="false">Assumptions!J42</f>
        <v>17.5</v>
      </c>
      <c r="K7" s="4" t="n">
        <f aca="false">Assumptions!K42</f>
        <v>17.5</v>
      </c>
      <c r="L7" s="4" t="n">
        <f aca="false">Assumptions!L42</f>
        <v>17.5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3537.822606</v>
      </c>
      <c r="D8" s="0" t="n">
        <f aca="false">D6*D7/100</f>
        <v>3838.3016726696</v>
      </c>
      <c r="E8" s="0" t="n">
        <f aca="false">E6*E7/100</f>
        <v>4208.7706632279</v>
      </c>
      <c r="F8" s="0" t="n">
        <f aca="false">F6*F7/100</f>
        <v>4553.12462658291</v>
      </c>
      <c r="G8" s="0" t="n">
        <f aca="false">G6*G7/100</f>
        <v>4921.39205961535</v>
      </c>
      <c r="H8" s="0" t="n">
        <f aca="false">H6*H7/100</f>
        <v>5118.24774199997</v>
      </c>
      <c r="I8" s="0" t="n">
        <f aca="false">I6*I7/100</f>
        <v>5322.97765167997</v>
      </c>
      <c r="J8" s="0" t="n">
        <f aca="false">J6*J7/100</f>
        <v>5482.66698123037</v>
      </c>
      <c r="K8" s="0" t="n">
        <f aca="false">K6*K7/100</f>
        <v>5647.14699066728</v>
      </c>
      <c r="L8" s="0" t="n">
        <f aca="false">L6*L7/100</f>
        <v>5816.56140038729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3537.822606</v>
      </c>
      <c r="D11" s="0" t="n">
        <f aca="false">D8+D10+D24</f>
        <v>3838.3016726696</v>
      </c>
      <c r="E11" s="0" t="n">
        <f aca="false">E8+E10+E24</f>
        <v>4208.7706632279</v>
      </c>
      <c r="F11" s="0" t="n">
        <f aca="false">F8+F10+F24</f>
        <v>4553.12462658291</v>
      </c>
      <c r="G11" s="0" t="n">
        <f aca="false">G8+G10+G24</f>
        <v>4921.39205961535</v>
      </c>
      <c r="H11" s="0" t="n">
        <f aca="false">H8+H10+H24</f>
        <v>5118.24774199997</v>
      </c>
      <c r="I11" s="0" t="n">
        <f aca="false">I8+I10+I24</f>
        <v>5322.97765167997</v>
      </c>
      <c r="J11" s="0" t="n">
        <f aca="false">J8+J10+J24</f>
        <v>5482.66698123037</v>
      </c>
      <c r="K11" s="0" t="n">
        <f aca="false">K8+K10+K24</f>
        <v>5647.14699066728</v>
      </c>
      <c r="L11" s="0" t="n">
        <f aca="false">L8+L10+L24</f>
        <v>5816.56140038729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-1533.0564626</v>
      </c>
      <c r="D12" s="4" t="n">
        <f aca="false">-D6*Assumptions!D45/100</f>
        <v>-1554.7551079168</v>
      </c>
      <c r="E12" s="4" t="n">
        <f aca="false">-E6*Assumptions!E45/100</f>
        <v>-1606.98516232338</v>
      </c>
      <c r="F12" s="4" t="n">
        <f aca="false">-F6*Assumptions!F45/100</f>
        <v>-1660.55133440083</v>
      </c>
      <c r="G12" s="4" t="n">
        <f aca="false">-G6*Assumptions!G45/100</f>
        <v>-1715.45666078021</v>
      </c>
      <c r="H12" s="4" t="n">
        <f aca="false">-H6*Assumptions!H45/100</f>
        <v>-1754.82779725713</v>
      </c>
      <c r="I12" s="4" t="n">
        <f aca="false">-I6*Assumptions!I45/100</f>
        <v>-1825.02090914742</v>
      </c>
      <c r="J12" s="4" t="n">
        <f aca="false">-J6*Assumptions!J45/100</f>
        <v>-1879.77153642184</v>
      </c>
      <c r="K12" s="4" t="n">
        <f aca="false">-K6*Assumptions!K45/100</f>
        <v>-1936.16468251449</v>
      </c>
      <c r="L12" s="4" t="n">
        <f aca="false">-L6*Assumptions!L45/100</f>
        <v>-1994.24962298993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2004.7661434</v>
      </c>
      <c r="D13" s="0" t="n">
        <f aca="false">D11+D12</f>
        <v>2283.5465647528</v>
      </c>
      <c r="E13" s="0" t="n">
        <f aca="false">E11+E12</f>
        <v>2601.78550090452</v>
      </c>
      <c r="F13" s="0" t="n">
        <f aca="false">F11+F12</f>
        <v>2892.57329218209</v>
      </c>
      <c r="G13" s="0" t="n">
        <f aca="false">G11+G12</f>
        <v>3205.93539883514</v>
      </c>
      <c r="H13" s="0" t="n">
        <f aca="false">H11+H12</f>
        <v>3363.41994474284</v>
      </c>
      <c r="I13" s="0" t="n">
        <f aca="false">I11+I12</f>
        <v>3497.95674253255</v>
      </c>
      <c r="J13" s="0" t="n">
        <f aca="false">J11+J12</f>
        <v>3602.89544480853</v>
      </c>
      <c r="K13" s="0" t="n">
        <f aca="false">K11+K12</f>
        <v>3710.98230815278</v>
      </c>
      <c r="L13" s="0" t="n">
        <f aca="false">L11+L12</f>
        <v>3822.31177739737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1563.717591852</v>
      </c>
      <c r="D15" s="0" t="n">
        <f aca="false">D13-MAX(0,D13)*D14/100</f>
        <v>1781.16632050718</v>
      </c>
      <c r="E15" s="0" t="n">
        <f aca="false">E13-MAX(0,E13)*E14/100</f>
        <v>2029.39269070553</v>
      </c>
      <c r="F15" s="0" t="n">
        <f aca="false">F13-MAX(0,F13)*F14/100</f>
        <v>2256.20716790203</v>
      </c>
      <c r="G15" s="0" t="n">
        <f aca="false">G13-MAX(0,G13)*G14/100</f>
        <v>2500.62961109141</v>
      </c>
      <c r="H15" s="0" t="n">
        <f aca="false">H13-MAX(0,H13)*H14/100</f>
        <v>2623.46755689941</v>
      </c>
      <c r="I15" s="0" t="n">
        <f aca="false">I13-MAX(0,I13)*I14/100</f>
        <v>2728.40625917539</v>
      </c>
      <c r="J15" s="0" t="n">
        <f aca="false">J13-MAX(0,J13)*J14/100</f>
        <v>2810.25844695065</v>
      </c>
      <c r="K15" s="0" t="n">
        <f aca="false">K13-MAX(0,K13)*K14/100</f>
        <v>2894.56620035917</v>
      </c>
      <c r="L15" s="0" t="n">
        <f aca="false">L13-MAX(0,L13)*L14/100</f>
        <v>2981.40318636994</v>
      </c>
    </row>
    <row r="16" customFormat="false" ht="15" hidden="false" customHeight="false" outlineLevel="0" collapsed="false">
      <c r="A16" s="0" t="s">
        <v>120</v>
      </c>
      <c r="C16" s="0" t="n">
        <f aca="false">-C12</f>
        <v>1533.0564626</v>
      </c>
      <c r="D16" s="0" t="n">
        <f aca="false">-D12</f>
        <v>1554.7551079168</v>
      </c>
      <c r="E16" s="0" t="n">
        <f aca="false">-E12</f>
        <v>1606.98516232338</v>
      </c>
      <c r="F16" s="0" t="n">
        <f aca="false">-F12</f>
        <v>1660.55133440083</v>
      </c>
      <c r="G16" s="0" t="n">
        <f aca="false">-G12</f>
        <v>1715.45666078021</v>
      </c>
      <c r="H16" s="0" t="n">
        <f aca="false">-H12</f>
        <v>1754.82779725713</v>
      </c>
      <c r="I16" s="0" t="n">
        <f aca="false">-I12</f>
        <v>1825.02090914742</v>
      </c>
      <c r="J16" s="0" t="n">
        <f aca="false">-J12</f>
        <v>1879.77153642184</v>
      </c>
      <c r="K16" s="0" t="n">
        <f aca="false">-K12</f>
        <v>1936.16468251449</v>
      </c>
      <c r="L16" s="0" t="n">
        <f aca="false">-L12</f>
        <v>1994.24962298993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-1603.81291472</v>
      </c>
      <c r="D17" s="4" t="n">
        <f aca="false">-D6*Assumptions!D46/100</f>
        <v>-1651.9273021616</v>
      </c>
      <c r="E17" s="4" t="n">
        <f aca="false">-E6*Assumptions!E46/100</f>
        <v>-1709.01596628042</v>
      </c>
      <c r="F17" s="4" t="n">
        <f aca="false">-F6*Assumptions!F46/100</f>
        <v>-1767.68367855572</v>
      </c>
      <c r="G17" s="4" t="n">
        <f aca="false">-G6*Assumptions!G46/100</f>
        <v>-1827.94562214285</v>
      </c>
      <c r="H17" s="4" t="n">
        <f aca="false">-H6*Assumptions!H46/100</f>
        <v>-1871.81631707427</v>
      </c>
      <c r="I17" s="4" t="n">
        <f aca="false">-I6*Assumptions!I46/100</f>
        <v>-1946.68896975724</v>
      </c>
      <c r="J17" s="4" t="n">
        <f aca="false">-J6*Assumptions!J46/100</f>
        <v>-2005.08963884996</v>
      </c>
      <c r="K17" s="4" t="n">
        <f aca="false">-K6*Assumptions!K46/100</f>
        <v>-2065.24232801546</v>
      </c>
      <c r="L17" s="4" t="n">
        <f aca="false">-L6*Assumptions!L46/100</f>
        <v>-2127.19959785593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36.4723980000001</v>
      </c>
      <c r="D18" s="4" t="n">
        <f aca="false">(D6-C6)*Assumptions!$B$51/100</f>
        <v>-35.3782260600001</v>
      </c>
      <c r="E18" s="4" t="n">
        <f aca="false">(E6-D6)*Assumptions!$B$51/100</f>
        <v>-60.7326214030001</v>
      </c>
      <c r="F18" s="4" t="n">
        <f aca="false">(F6-E6)*Assumptions!$B$51/100</f>
        <v>-63.7692524731501</v>
      </c>
      <c r="G18" s="4" t="n">
        <f aca="false">(G6-F6)*Assumptions!$B$51/100</f>
        <v>-66.9577150968076</v>
      </c>
      <c r="H18" s="4" t="n">
        <f aca="false">(H6-G6)*Assumptions!$B$51/100</f>
        <v>-56.2444806813184</v>
      </c>
      <c r="I18" s="4" t="n">
        <f aca="false">(I6-H6)*Assumptions!$B$51/100</f>
        <v>-58.4942599085711</v>
      </c>
      <c r="J18" s="4" t="n">
        <f aca="false">(J6-I6)*Assumptions!$B$51/100</f>
        <v>-45.6255227286854</v>
      </c>
      <c r="K18" s="4" t="n">
        <f aca="false">(K6-J6)*Assumptions!$B$51/100</f>
        <v>-46.994288410546</v>
      </c>
      <c r="L18" s="4" t="n">
        <f aca="false">(L6-K6)*Assumptions!$B$51/100</f>
        <v>-48.4041170628623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1529.433537732</v>
      </c>
      <c r="D19" s="0" t="n">
        <f aca="false">D15+D16+D17+D18</f>
        <v>1648.61590020238</v>
      </c>
      <c r="E19" s="0" t="n">
        <f aca="false">E15+E16+E17+E18</f>
        <v>1866.62926534549</v>
      </c>
      <c r="F19" s="0" t="n">
        <f aca="false">F15+F16+F17+F18</f>
        <v>2085.30557127398</v>
      </c>
      <c r="G19" s="0" t="n">
        <f aca="false">G15+G16+G17+G18</f>
        <v>2321.18293463197</v>
      </c>
      <c r="H19" s="0" t="n">
        <f aca="false">H15+H16+H17+H18</f>
        <v>2450.23455640095</v>
      </c>
      <c r="I19" s="0" t="n">
        <f aca="false">I15+I16+I17+I18</f>
        <v>2548.24393865699</v>
      </c>
      <c r="J19" s="0" t="n">
        <f aca="false">J15+J16+J17+J18</f>
        <v>2639.31482179384</v>
      </c>
      <c r="K19" s="0" t="n">
        <f aca="false">K15+K16+K17+K18</f>
        <v>2718.49426644766</v>
      </c>
      <c r="L19" s="0" t="n">
        <f aca="false">L15+L16+L17+L18</f>
        <v>2800.04909444109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1416.14216456667</v>
      </c>
      <c r="D21" s="0" t="n">
        <f aca="false">D19*D20</f>
        <v>1413.42241101027</v>
      </c>
      <c r="E21" s="0" t="n">
        <f aca="false">E19*E20</f>
        <v>1481.79049286304</v>
      </c>
      <c r="F21" s="0" t="n">
        <f aca="false">F19*F20</f>
        <v>1532.76184708914</v>
      </c>
      <c r="G21" s="0" t="n">
        <f aca="false">G19*G20</f>
        <v>1579.75810255201</v>
      </c>
      <c r="H21" s="0" t="n">
        <f aca="false">H19*H20</f>
        <v>1544.06339618328</v>
      </c>
      <c r="I21" s="0" t="n">
        <f aca="false">I19*I20</f>
        <v>1486.8758629913</v>
      </c>
      <c r="J21" s="0" t="n">
        <f aca="false">J19*J20</f>
        <v>1425.93967462009</v>
      </c>
      <c r="K21" s="0" t="n">
        <f aca="false">K19*K20</f>
        <v>1359.92394894323</v>
      </c>
      <c r="L21" s="0" t="n">
        <f aca="false">L19*L20</f>
        <v>1296.96450686253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14537.6424076816</v>
      </c>
    </row>
    <row r="31" customFormat="false" ht="15" hidden="false" customHeight="false" outlineLevel="0" collapsed="false">
      <c r="A31" s="0" t="s">
        <v>129</v>
      </c>
      <c r="B31" s="0" t="n">
        <f aca="false">L19</f>
        <v>2800.04909444109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47600.8346054985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33600.589133293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33600.589133293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15563.5740823503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30101.2164900319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26328.8464900319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9.94963916045917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2.24092480796716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9.94963916045917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21969.6159717685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4.59273555292253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3.23679989209046</v>
      </c>
      <c r="C4" s="0" t="n">
        <f aca="false">B4/Assumptions!$B$2-1</f>
        <v>0.0543322124073151</v>
      </c>
      <c r="D4" s="4" t="n">
        <f aca="false">Assumptions!$B$24</f>
        <v>0.3</v>
      </c>
      <c r="E4" s="4" t="n">
        <f aca="false">DCF_Bear!$B$43</f>
        <v>3.23679989209046</v>
      </c>
      <c r="F4" s="4" t="n">
        <f aca="false">DCF_Bear!$B$47</f>
        <v>1.38733189574197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6.96211058946117</v>
      </c>
      <c r="C5" s="0" t="n">
        <f aca="false">B5/Assumptions!$B$2-1</f>
        <v>1.26778846562253</v>
      </c>
      <c r="D5" s="4" t="n">
        <f aca="false">Assumptions!$B$38</f>
        <v>0.5</v>
      </c>
      <c r="E5" s="4" t="n">
        <f aca="false">DCF_Base!$B$43</f>
        <v>6.96211058946117</v>
      </c>
      <c r="F5" s="4" t="n">
        <f aca="false">DCF_Base!$B$47</f>
        <v>3.08029707264053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9.94963916045917</v>
      </c>
      <c r="C6" s="0" t="n">
        <f aca="false">B6/Assumptions!$B$2-1</f>
        <v>2.24092480796716</v>
      </c>
      <c r="D6" s="4" t="n">
        <f aca="false">Assumptions!$B$52</f>
        <v>0.2</v>
      </c>
      <c r="E6" s="4" t="n">
        <f aca="false">DCF_Bull!$B$43</f>
        <v>9.94963916045917</v>
      </c>
      <c r="F6" s="4" t="n">
        <f aca="false">DCF_Bull!$B$47</f>
        <v>4.59273555292253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6.44202309444956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6.44202309444956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0.523441633941811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2.87489521562736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6.96211058946117</v>
      </c>
      <c r="C15" s="3" t="n">
        <v>8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6.40154456003527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5.87244193850131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5.0761706673175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4.43287880189842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3.08029707264053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8.25012328173257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8.25012328173257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8.25012328173257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8.25012328173257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8.25012328173257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7.57631348430995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7.57631348430995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7.57631348430995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7.57631348430995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7.57631348430995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6.96211058946117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6.96211058946117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6.96211058946117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6.96211058946117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6.96211058946117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6.34613274469873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6.40154456003527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6.40154456003527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6.40154456003527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6.40154456003527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5.48203428145533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5.66639345283816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5.87244193850131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5.88930045096466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5.88930045096466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2026-10-17T03:35:07Z</dcterms:created>
  <dc:creator>openpyxl</dc:creator>
  <dc:description/>
  <dc:language>en-NZ</dc:language>
  <cp:lastModifiedBy/>
  <dcterms:modified xsi:type="dcterms:W3CDTF">2026-10-17T03:35:07Z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