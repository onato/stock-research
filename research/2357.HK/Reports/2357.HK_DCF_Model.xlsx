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<sst xmlns="http://schemas.openxmlformats.org/spreadsheetml/2006/main" count="354" uniqueCount="164">
  <si>
    <t xml:space="preserve">Ticker</t>
  </si>
  <si>
    <t xml:space="preserve">2357.HK</t>
  </si>
  <si>
    <t xml:space="preserve">Company</t>
  </si>
  <si>
    <t xml:space="preserve">AviChina Industry &amp; Technology Company Limited</t>
  </si>
  <si>
    <t xml:space="preserve">Valuation date</t>
  </si>
  <si>
    <t xml:space="preserve">2026-10-18</t>
  </si>
  <si>
    <t xml:space="preserve">Current price</t>
  </si>
  <si>
    <t xml:space="preserve">Price as of</t>
  </si>
  <si>
    <t xml:space="preserve">2026-10-16T08:08:14Z regular close (HKEX), Yahoo Finance chart API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</si>
  <si>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</si>
  <si>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</si>
  <si>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</si>
  <si>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</si>
  <si>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</si>
  <si>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</si>
  <si>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</si>
  <si>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</si>
  <si>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</si>
  <si>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</si>
  <si>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</si>
  <si>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</si>
  <si>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</si>
  <si>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2026-10-18T02:51:43Z</t>
  </si>
  <si>
    <t xml:space="preserve">Drivers file</t>
  </si>
  <si>
    <t xml:space="preserve">2357.HK_Drivers.json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</si>
  <si>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</si>
  <si>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</si>
  <si>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</si>
  <si>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AviChina is valued as its 37% look-through of a consolidated operating group, on owner FCF, not on its reported earnings. The reported P/E (~12x) and P/B (~0.6x) look cheap, but the group has turned almost none of its profit into cash for eight years -- PLA/AVIC receivables and inventory absorb it -- and ~63% of what it does earn belongs to minority shareholders of JONHON, AVICOPTER and others. The valuation therefore hinges on working-capital conversion, which is modelled explicitly per scenario rather than smoothed away.
key_risks_to_valuation: Working-capital capture is the dominant lever: each 10pp of wc_capture moves value materially; the FY2023-25 record is far worse than even the bear's -60%.; Attributable share (37%) drifts with subsidiary placements and AVIC asset injections; further JONHON/AVICOPTER equity raises would lower it.; AVIC OFAC NS-CMIC and DoD 1260H designations: index exclusion, US-investor access, and escalation risk.; Tax: FY2025 ETR rose to 9.4% on supplementary subsidiary tax; loss of high-tech 15% status or R&amp;D super-deductions lifts the path.; SOTP: market value of listed subsidiary stakes may exceed this DCF; a holdco restructuring or privatisation would be a catalyst the cash-flow model ignores.</t>
  </si>
  <si>
    <t xml:space="preserve">Data sources</t>
  </si>
  <si>
    <t xml:space="preserve">price: Yahoo Finance chart API at inputs.price_as_of; 52-week range 2.775-4.66 HKD
financials: 2357.HK_Metrics.csv (core_metrics) FY2018-FY2025 and H1 FY2026; FY2025 Annual Report consolidated income statement (net profit 4,843 / attributable 1,765 / minority 3,078), cash-flow supplementary note (D&amp;A, working capital), balance sheet and parent-only balance sheet; H1 FY2026 interim balance sheet for cash, borrowings and shares.
qualitative: 2357.HK_Analysis.json (2026-10-18)</t>
  </si>
  <si>
    <t xml:space="preserve">Scenario narrative: bear</t>
  </si>
  <si>
    <t xml:space="preserve">The FY2025 pattern persists: product-mix compression, lapsing VAT/tax benefits and supplementary tax payments, near-zero growth in helicopters, and a customer that pays late. Working capital absorbs 60% of incremental revenue, minorities keep ~63% of what is left, and the AVIC OFAC/1260H designations block any foreign commercial upside.</t>
  </si>
  <si>
    <t xml:space="preserve">Scenario narrative: base</t>
  </si>
  <si>
    <t xml:space="preserve">Defence-anchored mid-single-digit growth: helicopters bottom out after the FY2025/H1 FY2026 volume declines, JONHON's connector business (57% of revenue with ancillary systems) carries growth, and policy support under the 15th Five-Year Plan keeps orders flowing. Margin recovers modestly from the FY2025 low but not to FY2023 levels. The decisive assumption is working capital: receivables stop outgrowing revenue, so the group converts a thin slice of profit into cash for the first time in years.</t>
  </si>
  <si>
    <t xml:space="preserve">Scenario narrative: bull</t>
  </si>
  <si>
    <t xml:space="preserve">The low-altitude-economy and domestic-airliner narrative becomes revenue: new helicopter and eVTOL certifications convert to orders, Hongdu and Airborne scale into the C919/C929 ramp, JONHON's EV and data-centre connectors grow double digits. Margin recovers to ~11% and PLA payment timing normalises, so working capital consumes 30% of incremental revenue rather than all of the profit.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</si>
  <si>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</si>
  <si>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</si>
  <si>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</si>
  <si>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</si>
  <si>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</si>
  <si>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</si>
  <si>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</si>
  <si>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</si>
  <si>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</si>
  <si>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</si>
  <si>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</si>
  <si>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</si>
  <si>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</si>
  <si>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</si>
  <si>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</si>
  <si>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</si>
  <si>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</si>
  <si>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</si>
  <si>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</si>
  <si>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</si>
  <si>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</si>
  <si>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</si>
  <si>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</si>
  <si>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</si>
  <si>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</si>
  <si>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</si>
  <si>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</si>
  <si>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</si>
  <si>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</si>
  <si>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</si>
  <si>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</si>
  <si>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</si>
  <si>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</si>
  <si>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</si>
  <si>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</si>
  <si>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</si>
  <si>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</si>
  <si>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</si>
  <si>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</si>
  <si>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</si>
  <si>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</si>
  <si>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</si>
  <si>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</si>
  <si>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</si>
  <si>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</si>
  <si>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</si>
  <si>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</si>
  <si>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</si>
  <si>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</si>
  <si>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</si>
  <si>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</si>
  <si>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</si>
  <si>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</si>
  <si>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</si>
  <si>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</si>
  <si>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</si>
  <si>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</si>
  <si>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</si>
  <si>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</si>
  <si>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</si>
  <si>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</si>
  <si>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</si>
  <si>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</si>
  <si>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</si>
  <si>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</si>
  <si>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</si>
  <si>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</si>
  <si>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</si>
  <si>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</si>
  <si>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</si>
  <si>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</si>
  <si>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</si>
  <si>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2357.HK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</si>
  <si>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</si>
  <si>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</si>
  <si>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</si>
  <si>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</si>
  <si>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</si>
  <si>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</si>
  <si>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</si>
  <si>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</si>
  <si>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</si>
  <si>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</si>
  <si>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</si>
  <si>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</si>
  <si>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</si>
  <si>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</si>
  <si>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</si>
  <si>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</si>
  <si>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</si>
  <si>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</si>
  <si>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</si>
  <si>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</si>
  <si>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</si>
  <si>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</si>
  <si>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</si>
  <si>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</si>
  <si>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</si>
  <si>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</si>
  <si>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</si>
  <si>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</si>
  <si>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</si>
  <si>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</si>
  <si>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2357.HK owner-FCF component DCF: base case (millions, CNY)</t>
  </si>
  <si>
    <t xml:space="preserve">2357.HK owner-FCF component DCF: bull case (millions, CNY)</t>
  </si>
  <si>
    <t xml:space="preserve">2357.HK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</si>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</sst>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3.165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</row>
    <row r="2" customFormat="false" ht="15" hidden="false" customHeight="false" outlineLevel="0" collapsed="false">
      <c r="A2" s="0" t="s">
        <v>64</v>
      </c>
      <c r="B2" s="0" t="n">
        <v>35153.264</v>
      </c>
      <c r="C2" s="0" t="n">
        <v>27376.806</v>
      </c>
      <c r="D2" s="0" t="n">
        <v>7776.458</v>
      </c>
      <c r="E2" s="0" t="n">
        <v>22.1</v>
      </c>
      <c r="F2" s="0" t="n">
        <v>3098.921</v>
      </c>
      <c r="G2" s="0" t="n">
        <v>8.8</v>
      </c>
      <c r="I2" s="0" t="n">
        <v>1287.942</v>
      </c>
      <c r="J2" s="0" t="n">
        <v>3.7</v>
      </c>
      <c r="K2" s="0" t="n">
        <v>0.215</v>
      </c>
      <c r="L2" s="0" t="n">
        <v>507.733</v>
      </c>
      <c r="M2" s="0" t="n">
        <v>1736.223</v>
      </c>
      <c r="N2" s="0" t="n">
        <v>-1228.49</v>
      </c>
      <c r="O2" s="0" t="n">
        <v>16804.375</v>
      </c>
      <c r="P2" s="0" t="n">
        <v>86720.289</v>
      </c>
      <c r="Q2" s="0" t="n">
        <v>51747.651</v>
      </c>
      <c r="R2" s="0" t="n">
        <v>13246.632</v>
      </c>
      <c r="S2" s="0" t="n">
        <v>12122.364</v>
      </c>
      <c r="T2" s="0" t="n">
        <v>6245.122</v>
      </c>
      <c r="U2" s="0" t="n">
        <v>22.82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65</v>
      </c>
      <c r="B3" s="0" t="n">
        <v>42119.126</v>
      </c>
      <c r="C3" s="0" t="n">
        <v>33104.168</v>
      </c>
      <c r="D3" s="0" t="n">
        <v>9014.958</v>
      </c>
      <c r="E3" s="0" t="n">
        <v>21.4</v>
      </c>
      <c r="F3" s="0" t="n">
        <v>3396.771</v>
      </c>
      <c r="G3" s="0" t="n">
        <v>8.1</v>
      </c>
      <c r="I3" s="0" t="n">
        <v>1376.856</v>
      </c>
      <c r="J3" s="0" t="n">
        <v>3.3</v>
      </c>
      <c r="K3" s="0" t="n">
        <v>0.22</v>
      </c>
      <c r="L3" s="0" t="n">
        <v>2663.859</v>
      </c>
      <c r="M3" s="0" t="n">
        <v>1870.34</v>
      </c>
      <c r="N3" s="0" t="n">
        <v>793.519</v>
      </c>
      <c r="O3" s="0" t="n">
        <v>18480.904</v>
      </c>
      <c r="P3" s="0" t="n">
        <v>90744.026</v>
      </c>
      <c r="Q3" s="0" t="n">
        <v>52194.448</v>
      </c>
      <c r="R3" s="0" t="n">
        <v>10837.062</v>
      </c>
      <c r="S3" s="0" t="n">
        <v>13059.64</v>
      </c>
      <c r="T3" s="0" t="n">
        <v>6245.122</v>
      </c>
      <c r="U3" s="0" t="n">
        <v>14.859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66</v>
      </c>
      <c r="B4" s="0" t="n">
        <v>50117.15</v>
      </c>
      <c r="C4" s="0" t="n">
        <v>39654.402</v>
      </c>
      <c r="D4" s="0" t="n">
        <v>10462.748</v>
      </c>
      <c r="E4" s="0" t="n">
        <v>20.9</v>
      </c>
      <c r="F4" s="0" t="n">
        <v>4293.667</v>
      </c>
      <c r="G4" s="0" t="n">
        <v>8.6</v>
      </c>
      <c r="I4" s="0" t="n">
        <v>1994.86</v>
      </c>
      <c r="J4" s="0" t="n">
        <v>4</v>
      </c>
      <c r="K4" s="0" t="n">
        <v>0.258</v>
      </c>
      <c r="L4" s="0" t="n">
        <v>464.888</v>
      </c>
      <c r="M4" s="0" t="n">
        <v>2388.982</v>
      </c>
      <c r="N4" s="0" t="n">
        <v>-1924.094</v>
      </c>
      <c r="O4" s="0" t="n">
        <v>22555.08</v>
      </c>
      <c r="P4" s="0" t="n">
        <v>116047.74</v>
      </c>
      <c r="Q4" s="0" t="n">
        <v>70338.723</v>
      </c>
      <c r="R4" s="0" t="n">
        <v>11667.362</v>
      </c>
      <c r="S4" s="0" t="n">
        <v>22809.125</v>
      </c>
      <c r="T4" s="0" t="n">
        <v>7711.332</v>
      </c>
      <c r="U4" s="0" t="n">
        <v>164.562</v>
      </c>
      <c r="AA4" s="0" t="s">
        <v>18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60296.285</v>
      </c>
      <c r="C5" s="0" t="n">
        <v>47597.965</v>
      </c>
      <c r="D5" s="0" t="n">
        <v>12698.32</v>
      </c>
      <c r="E5" s="0" t="n">
        <v>21.1</v>
      </c>
      <c r="F5" s="0" t="n">
        <v>5262.323</v>
      </c>
      <c r="G5" s="0" t="n">
        <v>8.7</v>
      </c>
      <c r="I5" s="0" t="n">
        <v>2369.276</v>
      </c>
      <c r="J5" s="0" t="n">
        <v>3.9</v>
      </c>
      <c r="K5" s="0" t="n">
        <v>0.307</v>
      </c>
      <c r="L5" s="0" t="n">
        <v>2244.588</v>
      </c>
      <c r="M5" s="0" t="n">
        <v>2857.822</v>
      </c>
      <c r="N5" s="0" t="n">
        <v>-613.234</v>
      </c>
      <c r="O5" s="0" t="n">
        <v>26907.309</v>
      </c>
      <c r="P5" s="0" t="n">
        <v>133889.135</v>
      </c>
      <c r="Q5" s="0" t="n">
        <v>79122.632</v>
      </c>
      <c r="R5" s="0" t="n">
        <v>8567.824</v>
      </c>
      <c r="S5" s="0" t="n">
        <v>23538.722</v>
      </c>
      <c r="T5" s="0" t="n">
        <v>7711.332</v>
      </c>
      <c r="U5" s="0" t="n">
        <v>169.635</v>
      </c>
      <c r="AA5" s="0" t="s">
        <v>18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63639.428</v>
      </c>
      <c r="C6" s="0" t="n">
        <v>49253.92</v>
      </c>
      <c r="D6" s="0" t="n">
        <v>14385.508</v>
      </c>
      <c r="E6" s="0" t="n">
        <v>22.6</v>
      </c>
      <c r="F6" s="0" t="n">
        <v>5189.575</v>
      </c>
      <c r="G6" s="0" t="n">
        <v>8.2</v>
      </c>
      <c r="I6" s="0" t="n">
        <v>2216.402</v>
      </c>
      <c r="J6" s="0" t="n">
        <v>3.5</v>
      </c>
      <c r="K6" s="0" t="n">
        <v>0.287</v>
      </c>
      <c r="L6" s="0" t="n">
        <v>10357.773</v>
      </c>
      <c r="M6" s="0" t="n">
        <v>3183.115</v>
      </c>
      <c r="N6" s="0" t="n">
        <v>7174.658</v>
      </c>
      <c r="O6" s="0" t="n">
        <v>28123.579</v>
      </c>
      <c r="P6" s="0" t="n">
        <v>144005.887</v>
      </c>
      <c r="Q6" s="0" t="n">
        <v>85853.329</v>
      </c>
      <c r="R6" s="0" t="n">
        <v>10560.629</v>
      </c>
      <c r="S6" s="0" t="n">
        <v>34890.353</v>
      </c>
      <c r="T6" s="0" t="n">
        <v>7711.332</v>
      </c>
      <c r="U6" s="0" t="n">
        <v>438.853</v>
      </c>
      <c r="AA6" s="0" t="s">
        <v>18</v>
      </c>
      <c r="AB6" s="0" t="s">
        <v>14</v>
      </c>
    </row>
    <row r="7" customFormat="false" ht="15" hidden="false" customHeight="false" outlineLevel="0" collapsed="false">
      <c r="A7" s="0" t="s">
        <v>69</v>
      </c>
      <c r="B7" s="0" t="n">
        <v>84724.891</v>
      </c>
      <c r="C7" s="0" t="n">
        <v>63387.208</v>
      </c>
      <c r="D7" s="0" t="n">
        <v>21337.683</v>
      </c>
      <c r="E7" s="0" t="n">
        <v>25.2</v>
      </c>
      <c r="F7" s="0" t="n">
        <v>6989.28</v>
      </c>
      <c r="G7" s="0" t="n">
        <v>8.2</v>
      </c>
      <c r="I7" s="0" t="n">
        <v>2446.953</v>
      </c>
      <c r="J7" s="0" t="n">
        <v>2.9</v>
      </c>
      <c r="K7" s="0" t="n">
        <v>0.311</v>
      </c>
      <c r="L7" s="0" t="n">
        <v>-4083.495</v>
      </c>
      <c r="M7" s="0" t="n">
        <v>4729.115</v>
      </c>
      <c r="N7" s="0" t="n">
        <v>-8812.61</v>
      </c>
      <c r="O7" s="0" t="n">
        <v>31572.205</v>
      </c>
      <c r="P7" s="0" t="n">
        <v>185018.196</v>
      </c>
      <c r="Q7" s="0" t="n">
        <v>96962.393</v>
      </c>
      <c r="R7" s="0" t="n">
        <v>12319.276</v>
      </c>
      <c r="S7" s="0" t="n">
        <v>37159.302</v>
      </c>
      <c r="T7" s="0" t="n">
        <v>7972.854</v>
      </c>
      <c r="U7" s="0" t="n">
        <v>502.554</v>
      </c>
      <c r="AA7" s="0" t="s">
        <v>18</v>
      </c>
      <c r="AB7" s="0" t="s">
        <v>14</v>
      </c>
    </row>
    <row r="8" customFormat="false" ht="15" hidden="false" customHeight="false" outlineLevel="0" collapsed="false">
      <c r="A8" s="0" t="s">
        <v>70</v>
      </c>
      <c r="B8" s="0" t="n">
        <v>86970.764</v>
      </c>
      <c r="C8" s="0" t="n">
        <v>68122.458</v>
      </c>
      <c r="D8" s="0" t="n">
        <v>18848.306</v>
      </c>
      <c r="E8" s="0" t="n">
        <v>21.7</v>
      </c>
      <c r="F8" s="0" t="n">
        <v>6042.377</v>
      </c>
      <c r="G8" s="0" t="n">
        <v>6.9</v>
      </c>
      <c r="I8" s="0" t="n">
        <v>2187.432</v>
      </c>
      <c r="J8" s="0" t="n">
        <v>2.5</v>
      </c>
      <c r="K8" s="0" t="n">
        <v>0.274</v>
      </c>
      <c r="L8" s="0" t="n">
        <v>2170.477</v>
      </c>
      <c r="M8" s="0" t="n">
        <v>4280.371</v>
      </c>
      <c r="N8" s="0" t="n">
        <v>-2109.894</v>
      </c>
      <c r="O8" s="0" t="n">
        <v>34147.968</v>
      </c>
      <c r="P8" s="0" t="n">
        <v>202044.107</v>
      </c>
      <c r="Q8" s="0" t="n">
        <v>105395.895</v>
      </c>
      <c r="R8" s="0" t="n">
        <v>17600.314</v>
      </c>
      <c r="S8" s="0" t="n">
        <v>39334.724</v>
      </c>
      <c r="T8" s="0" t="n">
        <v>7972.854</v>
      </c>
      <c r="U8" s="0" t="n">
        <v>1017.579</v>
      </c>
      <c r="AA8" s="0" t="s">
        <v>18</v>
      </c>
      <c r="AB8" s="0" t="s">
        <v>14</v>
      </c>
    </row>
    <row r="9" customFormat="false" ht="15" hidden="false" customHeight="false" outlineLevel="0" collapsed="false">
      <c r="A9" s="0" t="s">
        <v>71</v>
      </c>
      <c r="B9" s="0" t="n">
        <v>89442.249</v>
      </c>
      <c r="C9" s="0" t="n">
        <v>71997.879</v>
      </c>
      <c r="D9" s="0" t="n">
        <v>17444.37</v>
      </c>
      <c r="E9" s="0" t="n">
        <v>19.5</v>
      </c>
      <c r="F9" s="0" t="n">
        <v>5367.097</v>
      </c>
      <c r="G9" s="0" t="n">
        <v>6</v>
      </c>
      <c r="I9" s="0" t="n">
        <v>1765.127</v>
      </c>
      <c r="J9" s="0" t="n">
        <v>2</v>
      </c>
      <c r="K9" s="0" t="n">
        <v>0.221</v>
      </c>
      <c r="L9" s="0" t="n">
        <v>-8121.337</v>
      </c>
      <c r="M9" s="0" t="n">
        <v>4621.396</v>
      </c>
      <c r="N9" s="0" t="n">
        <v>-12742.733</v>
      </c>
      <c r="O9" s="0" t="n">
        <v>35014.102</v>
      </c>
      <c r="P9" s="0" t="n">
        <v>206602.5</v>
      </c>
      <c r="Q9" s="0" t="n">
        <v>107222.848</v>
      </c>
      <c r="R9" s="0" t="n">
        <v>20290.471</v>
      </c>
      <c r="S9" s="0" t="n">
        <v>29053.961</v>
      </c>
      <c r="T9" s="0" t="n">
        <v>7972.854</v>
      </c>
      <c r="U9" s="0" t="n">
        <v>19.861</v>
      </c>
      <c r="AA9" s="0" t="s">
        <v>18</v>
      </c>
      <c r="AB9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72</v>
      </c>
      <c r="B1" s="2" t="s">
        <v>73</v>
      </c>
    </row>
    <row r="2" customFormat="false" ht="15" hidden="false" customHeight="false" outlineLevel="0" collapsed="false">
      <c r="A2" s="0" t="s">
        <v>74</v>
      </c>
      <c r="B2" s="3" t="n">
        <v>3.165</v>
      </c>
    </row>
    <row r="3" customFormat="false" ht="15" hidden="false" customHeight="false" outlineLevel="0" collapsed="false">
      <c r="A3" s="0" t="s">
        <v>75</v>
      </c>
      <c r="B3" s="3" t="n">
        <v>7972.854</v>
      </c>
    </row>
    <row r="4" customFormat="false" ht="15" hidden="false" customHeight="false" outlineLevel="0" collapsed="false">
      <c r="A4" s="0" t="s">
        <v>76</v>
      </c>
      <c r="B4" s="3" t="n">
        <v>-2737.2</v>
      </c>
    </row>
    <row r="5" customFormat="false" ht="15" hidden="false" customHeight="false" outlineLevel="0" collapsed="false">
      <c r="A5" s="0" t="s">
        <v>77</v>
      </c>
      <c r="B5" s="3" t="n">
        <v>1059.6</v>
      </c>
    </row>
    <row r="6" customFormat="false" ht="15" hidden="false" customHeight="false" outlineLevel="0" collapsed="false">
      <c r="A6" s="0" t="s">
        <v>78</v>
      </c>
      <c r="B6" s="3" t="n">
        <v>15</v>
      </c>
    </row>
    <row r="7" customFormat="false" ht="15" hidden="false" customHeight="false" outlineLevel="0" collapsed="false">
      <c r="A7" s="0" t="s">
        <v>79</v>
      </c>
      <c r="B7" s="3" t="n">
        <v>33093.6</v>
      </c>
    </row>
    <row r="8" customFormat="false" ht="15" hidden="false" customHeight="false" outlineLevel="0" collapsed="false">
      <c r="A8" s="0" t="s">
        <v>80</v>
      </c>
      <c r="B8" s="3" t="s">
        <v>71</v>
      </c>
    </row>
    <row r="9" customFormat="false" ht="15" hidden="false" customHeight="false" outlineLevel="0" collapsed="false">
      <c r="A9" s="0" t="s">
        <v>81</v>
      </c>
      <c r="B9" s="3" t="s">
        <v>82</v>
      </c>
    </row>
    <row r="10" customFormat="false" ht="15" hidden="false" customHeight="false" outlineLevel="0" collapsed="false">
      <c r="A10" s="0" t="s">
        <v>83</v>
      </c>
      <c r="B10" s="3" t="n">
        <v>1.1724</v>
      </c>
    </row>
    <row r="12" customFormat="false" ht="15" hidden="false" customHeight="false" outlineLevel="0" collapsed="false">
      <c r="A12" s="2" t="s">
        <v>84</v>
      </c>
      <c r="C12" s="2" t="s">
        <v>85</v>
      </c>
      <c r="D12" s="2" t="s">
        <v>86</v>
      </c>
      <c r="E12" s="2" t="s">
        <v>87</v>
      </c>
      <c r="F12" s="2" t="s">
        <v>88</v>
      </c>
      <c r="G12" s="2" t="s">
        <v>89</v>
      </c>
      <c r="H12" s="2" t="s">
        <v>90</v>
      </c>
      <c r="I12" s="2" t="s">
        <v>91</v>
      </c>
      <c r="J12" s="2" t="s">
        <v>92</v>
      </c>
      <c r="K12" s="2" t="s">
        <v>93</v>
      </c>
      <c r="L12" s="2" t="s">
        <v>94</v>
      </c>
    </row>
    <row r="13" customFormat="false" ht="15" hidden="false" customHeight="false" outlineLevel="0" collapsed="false">
      <c r="A13" s="0" t="s">
        <v>95</v>
      </c>
      <c r="C13" s="3" t="n">
        <v>0</v>
      </c>
      <c r="D13" s="3" t="n">
        <v>1</v>
      </c>
      <c r="E13" s="3" t="n">
        <v>2</v>
      </c>
      <c r="F13" s="3" t="n">
        <v>2.5</v>
      </c>
      <c r="G13" s="3" t="n">
        <v>2.5</v>
      </c>
      <c r="H13" s="3" t="n">
        <v>2.5</v>
      </c>
      <c r="I13" s="3" t="n">
        <v>2.5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96</v>
      </c>
      <c r="C14" s="3" t="n">
        <v>8.2</v>
      </c>
      <c r="D14" s="3" t="n">
        <v>8.2</v>
      </c>
      <c r="E14" s="3" t="n">
        <v>8.3</v>
      </c>
      <c r="F14" s="3" t="n">
        <v>8.4</v>
      </c>
      <c r="G14" s="3" t="n">
        <v>8.5</v>
      </c>
      <c r="H14" s="3" t="n">
        <v>8.5</v>
      </c>
      <c r="I14" s="3" t="n">
        <v>8.5</v>
      </c>
      <c r="J14" s="3" t="n">
        <v>8.5</v>
      </c>
      <c r="K14" s="3" t="n">
        <v>8.5</v>
      </c>
      <c r="L14" s="3" t="n">
        <v>8.5</v>
      </c>
    </row>
    <row r="15" customFormat="false" ht="15" hidden="false" customHeight="false" outlineLevel="0" collapsed="false">
      <c r="A15" s="0" t="s">
        <v>97</v>
      </c>
      <c r="C15" s="3" t="n">
        <v>0.3</v>
      </c>
      <c r="D15" s="3" t="n">
        <v>0.3</v>
      </c>
      <c r="E15" s="3" t="n">
        <v>0.3</v>
      </c>
      <c r="F15" s="3" t="n">
        <v>0.3</v>
      </c>
      <c r="G15" s="3" t="n">
        <v>0.3</v>
      </c>
      <c r="H15" s="3" t="n">
        <v>0.3</v>
      </c>
      <c r="I15" s="3" t="n">
        <v>0.3</v>
      </c>
      <c r="J15" s="3" t="n">
        <v>0.3</v>
      </c>
      <c r="K15" s="3" t="n">
        <v>0.3</v>
      </c>
      <c r="L15" s="3" t="n">
        <v>0.3</v>
      </c>
    </row>
    <row r="16" customFormat="false" ht="15" hidden="false" customHeight="false" outlineLevel="0" collapsed="false">
      <c r="A16" s="0" t="s">
        <v>98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99</v>
      </c>
      <c r="C17" s="3" t="n">
        <v>3.7</v>
      </c>
      <c r="D17" s="3" t="n">
        <v>3.7</v>
      </c>
      <c r="E17" s="3" t="n">
        <v>3.7</v>
      </c>
      <c r="F17" s="3" t="n">
        <v>3.7</v>
      </c>
      <c r="G17" s="3" t="n">
        <v>3.7</v>
      </c>
      <c r="H17" s="3" t="n">
        <v>3.7</v>
      </c>
      <c r="I17" s="3" t="n">
        <v>3.7</v>
      </c>
      <c r="J17" s="3" t="n">
        <v>3.7</v>
      </c>
      <c r="K17" s="3" t="n">
        <v>3.7</v>
      </c>
      <c r="L17" s="3" t="n">
        <v>3.7</v>
      </c>
    </row>
    <row r="18" customFormat="false" ht="15" hidden="false" customHeight="false" outlineLevel="0" collapsed="false">
      <c r="A18" s="0" t="s">
        <v>100</v>
      </c>
      <c r="C18" s="3" t="n">
        <v>5.4</v>
      </c>
      <c r="D18" s="3" t="n">
        <v>5.4</v>
      </c>
      <c r="E18" s="3" t="n">
        <v>5.3</v>
      </c>
      <c r="F18" s="3" t="n">
        <v>5.3</v>
      </c>
      <c r="G18" s="3" t="n">
        <v>5.2</v>
      </c>
      <c r="H18" s="3" t="n">
        <v>5.2</v>
      </c>
      <c r="I18" s="3" t="n">
        <v>5.2</v>
      </c>
      <c r="J18" s="3" t="n">
        <v>5.2</v>
      </c>
      <c r="K18" s="3" t="n">
        <v>5.2</v>
      </c>
      <c r="L18" s="3" t="n">
        <v>5.2</v>
      </c>
    </row>
    <row r="19" customFormat="false" ht="15" hidden="false" customHeight="false" outlineLevel="0" collapsed="false">
      <c r="A19" s="0" t="s">
        <v>101</v>
      </c>
      <c r="C19" s="3" t="n">
        <v>13</v>
      </c>
      <c r="D19" s="3" t="n">
        <v>13.5</v>
      </c>
      <c r="E19" s="3" t="n">
        <v>14</v>
      </c>
      <c r="F19" s="3" t="n">
        <v>14.5</v>
      </c>
      <c r="G19" s="3" t="n">
        <v>15</v>
      </c>
      <c r="H19" s="3" t="n">
        <v>15</v>
      </c>
      <c r="I19" s="3" t="n">
        <v>15</v>
      </c>
      <c r="J19" s="3" t="n">
        <v>15</v>
      </c>
      <c r="K19" s="3" t="n">
        <v>15</v>
      </c>
      <c r="L19" s="3" t="n">
        <v>15</v>
      </c>
    </row>
    <row r="20" customFormat="false" ht="15" hidden="false" customHeight="false" outlineLevel="0" collapsed="false">
      <c r="A20" s="0" t="s">
        <v>102</v>
      </c>
      <c r="B20" s="3" t="n">
        <v>9.5</v>
      </c>
    </row>
    <row r="21" customFormat="false" ht="15" hidden="false" customHeight="false" outlineLevel="0" collapsed="false">
      <c r="A21" s="0" t="s">
        <v>103</v>
      </c>
      <c r="B21" s="3" t="n">
        <v>2.5</v>
      </c>
    </row>
    <row r="22" customFormat="false" ht="15" hidden="false" customHeight="false" outlineLevel="0" collapsed="false">
      <c r="A22" s="0" t="s">
        <v>104</v>
      </c>
      <c r="B22" s="3" t="n">
        <v>12</v>
      </c>
    </row>
    <row r="23" customFormat="false" ht="15" hidden="false" customHeight="false" outlineLevel="0" collapsed="false">
      <c r="A23" s="0" t="s">
        <v>105</v>
      </c>
      <c r="B23" s="3" t="n">
        <v>-60</v>
      </c>
    </row>
    <row r="24" customFormat="false" ht="15" hidden="false" customHeight="false" outlineLevel="0" collapsed="false">
      <c r="A24" s="0" t="s">
        <v>106</v>
      </c>
      <c r="B24" s="3" t="n">
        <v>0.3</v>
      </c>
    </row>
    <row r="26" customFormat="false" ht="15" hidden="false" customHeight="false" outlineLevel="0" collapsed="false">
      <c r="A26" s="2" t="s">
        <v>107</v>
      </c>
      <c r="C26" s="2" t="s">
        <v>85</v>
      </c>
      <c r="D26" s="2" t="s">
        <v>86</v>
      </c>
      <c r="E26" s="2" t="s">
        <v>87</v>
      </c>
      <c r="F26" s="2" t="s">
        <v>88</v>
      </c>
      <c r="G26" s="2" t="s">
        <v>89</v>
      </c>
      <c r="H26" s="2" t="s">
        <v>90</v>
      </c>
      <c r="I26" s="2" t="s">
        <v>91</v>
      </c>
      <c r="J26" s="2" t="s">
        <v>92</v>
      </c>
      <c r="K26" s="2" t="s">
        <v>93</v>
      </c>
      <c r="L26" s="2" t="s">
        <v>94</v>
      </c>
    </row>
    <row r="27" customFormat="false" ht="15" hidden="false" customHeight="false" outlineLevel="0" collapsed="false">
      <c r="A27" s="0" t="s">
        <v>95</v>
      </c>
      <c r="C27" s="3" t="n">
        <v>2</v>
      </c>
      <c r="D27" s="3" t="n">
        <v>4</v>
      </c>
      <c r="E27" s="3" t="n">
        <v>5</v>
      </c>
      <c r="F27" s="3" t="n">
        <v>5</v>
      </c>
      <c r="G27" s="3" t="n">
        <v>5</v>
      </c>
      <c r="H27" s="3" t="n">
        <v>4.5</v>
      </c>
      <c r="I27" s="3" t="n">
        <v>4</v>
      </c>
      <c r="J27" s="3" t="n">
        <v>3.5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96</v>
      </c>
      <c r="C28" s="3" t="n">
        <v>8.6</v>
      </c>
      <c r="D28" s="3" t="n">
        <v>9</v>
      </c>
      <c r="E28" s="3" t="n">
        <v>9.3</v>
      </c>
      <c r="F28" s="3" t="n">
        <v>9.5</v>
      </c>
      <c r="G28" s="3" t="n">
        <v>9.7</v>
      </c>
      <c r="H28" s="3" t="n">
        <v>9.8</v>
      </c>
      <c r="I28" s="3" t="n">
        <v>9.8</v>
      </c>
      <c r="J28" s="3" t="n">
        <v>9.8</v>
      </c>
      <c r="K28" s="3" t="n">
        <v>9.8</v>
      </c>
      <c r="L28" s="3" t="n">
        <v>9.8</v>
      </c>
    </row>
    <row r="29" customFormat="false" ht="15" hidden="false" customHeight="false" outlineLevel="0" collapsed="false">
      <c r="A29" s="0" t="s">
        <v>97</v>
      </c>
      <c r="C29" s="3" t="n">
        <v>0.3</v>
      </c>
      <c r="D29" s="3" t="n">
        <v>0.3</v>
      </c>
      <c r="E29" s="3" t="n">
        <v>0.3</v>
      </c>
      <c r="F29" s="3" t="n">
        <v>0.3</v>
      </c>
      <c r="G29" s="3" t="n">
        <v>0.3</v>
      </c>
      <c r="H29" s="3" t="n">
        <v>0.3</v>
      </c>
      <c r="I29" s="3" t="n">
        <v>0.3</v>
      </c>
      <c r="J29" s="3" t="n">
        <v>0.3</v>
      </c>
      <c r="K29" s="3" t="n">
        <v>0.3</v>
      </c>
      <c r="L29" s="3" t="n">
        <v>0.3</v>
      </c>
    </row>
    <row r="30" customFormat="false" ht="15" hidden="false" customHeight="false" outlineLevel="0" collapsed="false">
      <c r="A30" s="0" t="s">
        <v>98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99</v>
      </c>
      <c r="C31" s="3" t="n">
        <v>3.7</v>
      </c>
      <c r="D31" s="3" t="n">
        <v>3.7</v>
      </c>
      <c r="E31" s="3" t="n">
        <v>3.7</v>
      </c>
      <c r="F31" s="3" t="n">
        <v>3.7</v>
      </c>
      <c r="G31" s="3" t="n">
        <v>3.7</v>
      </c>
      <c r="H31" s="3" t="n">
        <v>3.7</v>
      </c>
      <c r="I31" s="3" t="n">
        <v>3.7</v>
      </c>
      <c r="J31" s="3" t="n">
        <v>3.7</v>
      </c>
      <c r="K31" s="3" t="n">
        <v>3.7</v>
      </c>
      <c r="L31" s="3" t="n">
        <v>3.7</v>
      </c>
    </row>
    <row r="32" customFormat="false" ht="15" hidden="false" customHeight="false" outlineLevel="0" collapsed="false">
      <c r="A32" s="0" t="s">
        <v>100</v>
      </c>
      <c r="C32" s="3" t="n">
        <v>5.2</v>
      </c>
      <c r="D32" s="3" t="n">
        <v>5.1</v>
      </c>
      <c r="E32" s="3" t="n">
        <v>5</v>
      </c>
      <c r="F32" s="3" t="n">
        <v>4.9</v>
      </c>
      <c r="G32" s="3" t="n">
        <v>4.8</v>
      </c>
      <c r="H32" s="3" t="n">
        <v>4.7</v>
      </c>
      <c r="I32" s="3" t="n">
        <v>4.6</v>
      </c>
      <c r="J32" s="3" t="n">
        <v>4.5</v>
      </c>
      <c r="K32" s="3" t="n">
        <v>4.5</v>
      </c>
      <c r="L32" s="3" t="n">
        <v>4.5</v>
      </c>
    </row>
    <row r="33" customFormat="false" ht="15" hidden="false" customHeight="false" outlineLevel="0" collapsed="false">
      <c r="A33" s="0" t="s">
        <v>101</v>
      </c>
      <c r="C33" s="3" t="n">
        <v>11</v>
      </c>
      <c r="D33" s="3" t="n">
        <v>11.5</v>
      </c>
      <c r="E33" s="3" t="n">
        <v>12</v>
      </c>
      <c r="F33" s="3" t="n">
        <v>12.5</v>
      </c>
      <c r="G33" s="3" t="n">
        <v>13</v>
      </c>
      <c r="H33" s="3" t="n">
        <v>13</v>
      </c>
      <c r="I33" s="3" t="n">
        <v>13</v>
      </c>
      <c r="J33" s="3" t="n">
        <v>13</v>
      </c>
      <c r="K33" s="3" t="n">
        <v>13</v>
      </c>
      <c r="L33" s="3" t="n">
        <v>13</v>
      </c>
    </row>
    <row r="34" customFormat="false" ht="15" hidden="false" customHeight="false" outlineLevel="0" collapsed="false">
      <c r="A34" s="0" t="s">
        <v>102</v>
      </c>
      <c r="B34" s="3" t="n">
        <v>9.5</v>
      </c>
    </row>
    <row r="35" customFormat="false" ht="15" hidden="false" customHeight="false" outlineLevel="0" collapsed="false">
      <c r="A35" s="0" t="s">
        <v>103</v>
      </c>
      <c r="B35" s="3" t="n">
        <v>2.5</v>
      </c>
    </row>
    <row r="36" customFormat="false" ht="15" hidden="false" customHeight="false" outlineLevel="0" collapsed="false">
      <c r="A36" s="0" t="s">
        <v>104</v>
      </c>
      <c r="B36" s="3" t="n">
        <v>12</v>
      </c>
    </row>
    <row r="37" customFormat="false" ht="15" hidden="false" customHeight="false" outlineLevel="0" collapsed="false">
      <c r="A37" s="0" t="s">
        <v>105</v>
      </c>
      <c r="B37" s="3" t="n">
        <v>-40</v>
      </c>
    </row>
    <row r="38" customFormat="false" ht="15" hidden="false" customHeight="false" outlineLevel="0" collapsed="false">
      <c r="A38" s="0" t="s">
        <v>106</v>
      </c>
      <c r="B38" s="3" t="n">
        <v>0.5</v>
      </c>
    </row>
    <row r="40" customFormat="false" ht="15" hidden="false" customHeight="false" outlineLevel="0" collapsed="false">
      <c r="A40" s="2" t="s">
        <v>108</v>
      </c>
      <c r="C40" s="2" t="s">
        <v>85</v>
      </c>
      <c r="D40" s="2" t="s">
        <v>86</v>
      </c>
      <c r="E40" s="2" t="s">
        <v>87</v>
      </c>
      <c r="F40" s="2" t="s">
        <v>88</v>
      </c>
      <c r="G40" s="2" t="s">
        <v>89</v>
      </c>
      <c r="H40" s="2" t="s">
        <v>90</v>
      </c>
      <c r="I40" s="2" t="s">
        <v>91</v>
      </c>
      <c r="J40" s="2" t="s">
        <v>92</v>
      </c>
      <c r="K40" s="2" t="s">
        <v>93</v>
      </c>
      <c r="L40" s="2" t="s">
        <v>94</v>
      </c>
    </row>
    <row r="41" customFormat="false" ht="15" hidden="false" customHeight="false" outlineLevel="0" collapsed="false">
      <c r="A41" s="0" t="s">
        <v>95</v>
      </c>
      <c r="C41" s="3" t="n">
        <v>4</v>
      </c>
      <c r="D41" s="3" t="n">
        <v>7</v>
      </c>
      <c r="E41" s="3" t="n">
        <v>8</v>
      </c>
      <c r="F41" s="3" t="n">
        <v>8</v>
      </c>
      <c r="G41" s="3" t="n">
        <v>7</v>
      </c>
      <c r="H41" s="3" t="n">
        <v>6</v>
      </c>
      <c r="I41" s="3" t="n">
        <v>5</v>
      </c>
      <c r="J41" s="3" t="n">
        <v>4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96</v>
      </c>
      <c r="C42" s="3" t="n">
        <v>9</v>
      </c>
      <c r="D42" s="3" t="n">
        <v>9.6</v>
      </c>
      <c r="E42" s="3" t="n">
        <v>10.2</v>
      </c>
      <c r="F42" s="3" t="n">
        <v>10.6</v>
      </c>
      <c r="G42" s="3" t="n">
        <v>11</v>
      </c>
      <c r="H42" s="3" t="n">
        <v>11</v>
      </c>
      <c r="I42" s="3" t="n">
        <v>11</v>
      </c>
      <c r="J42" s="3" t="n">
        <v>11</v>
      </c>
      <c r="K42" s="3" t="n">
        <v>11</v>
      </c>
      <c r="L42" s="3" t="n">
        <v>11</v>
      </c>
    </row>
    <row r="43" customFormat="false" ht="15" hidden="false" customHeight="false" outlineLevel="0" collapsed="false">
      <c r="A43" s="0" t="s">
        <v>97</v>
      </c>
      <c r="C43" s="3" t="n">
        <v>0.3</v>
      </c>
      <c r="D43" s="3" t="n">
        <v>0.3</v>
      </c>
      <c r="E43" s="3" t="n">
        <v>0.3</v>
      </c>
      <c r="F43" s="3" t="n">
        <v>0.3</v>
      </c>
      <c r="G43" s="3" t="n">
        <v>0.3</v>
      </c>
      <c r="H43" s="3" t="n">
        <v>0.3</v>
      </c>
      <c r="I43" s="3" t="n">
        <v>0.3</v>
      </c>
      <c r="J43" s="3" t="n">
        <v>0.3</v>
      </c>
      <c r="K43" s="3" t="n">
        <v>0.3</v>
      </c>
      <c r="L43" s="3" t="n">
        <v>0.3</v>
      </c>
    </row>
    <row r="44" customFormat="false" ht="15" hidden="false" customHeight="false" outlineLevel="0" collapsed="false">
      <c r="A44" s="0" t="s">
        <v>98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99</v>
      </c>
      <c r="C45" s="3" t="n">
        <v>3.7</v>
      </c>
      <c r="D45" s="3" t="n">
        <v>3.7</v>
      </c>
      <c r="E45" s="3" t="n">
        <v>3.7</v>
      </c>
      <c r="F45" s="3" t="n">
        <v>3.7</v>
      </c>
      <c r="G45" s="3" t="n">
        <v>3.7</v>
      </c>
      <c r="H45" s="3" t="n">
        <v>3.7</v>
      </c>
      <c r="I45" s="3" t="n">
        <v>3.7</v>
      </c>
      <c r="J45" s="3" t="n">
        <v>3.7</v>
      </c>
      <c r="K45" s="3" t="n">
        <v>3.7</v>
      </c>
      <c r="L45" s="3" t="n">
        <v>3.7</v>
      </c>
    </row>
    <row r="46" customFormat="false" ht="15" hidden="false" customHeight="false" outlineLevel="0" collapsed="false">
      <c r="A46" s="0" t="s">
        <v>100</v>
      </c>
      <c r="C46" s="3" t="n">
        <v>5</v>
      </c>
      <c r="D46" s="3" t="n">
        <v>4.9</v>
      </c>
      <c r="E46" s="3" t="n">
        <v>4.8</v>
      </c>
      <c r="F46" s="3" t="n">
        <v>4.7</v>
      </c>
      <c r="G46" s="3" t="n">
        <v>4.6</v>
      </c>
      <c r="H46" s="3" t="n">
        <v>4.5</v>
      </c>
      <c r="I46" s="3" t="n">
        <v>4.5</v>
      </c>
      <c r="J46" s="3" t="n">
        <v>4.5</v>
      </c>
      <c r="K46" s="3" t="n">
        <v>4.5</v>
      </c>
      <c r="L46" s="3" t="n">
        <v>4.5</v>
      </c>
    </row>
    <row r="47" customFormat="false" ht="15" hidden="false" customHeight="false" outlineLevel="0" collapsed="false">
      <c r="A47" s="0" t="s">
        <v>101</v>
      </c>
      <c r="C47" s="3" t="n">
        <v>10</v>
      </c>
      <c r="D47" s="3" t="n">
        <v>10.5</v>
      </c>
      <c r="E47" s="3" t="n">
        <v>11</v>
      </c>
      <c r="F47" s="3" t="n">
        <v>11.5</v>
      </c>
      <c r="G47" s="3" t="n">
        <v>12</v>
      </c>
      <c r="H47" s="3" t="n">
        <v>12</v>
      </c>
      <c r="I47" s="3" t="n">
        <v>12</v>
      </c>
      <c r="J47" s="3" t="n">
        <v>12</v>
      </c>
      <c r="K47" s="3" t="n">
        <v>12</v>
      </c>
      <c r="L47" s="3" t="n">
        <v>12</v>
      </c>
    </row>
    <row r="48" customFormat="false" ht="15" hidden="false" customHeight="false" outlineLevel="0" collapsed="false">
      <c r="A48" s="0" t="s">
        <v>102</v>
      </c>
      <c r="B48" s="3" t="n">
        <v>9.5</v>
      </c>
    </row>
    <row r="49" customFormat="false" ht="15" hidden="false" customHeight="false" outlineLevel="0" collapsed="false">
      <c r="A49" s="0" t="s">
        <v>103</v>
      </c>
      <c r="B49" s="3" t="n">
        <v>2.5</v>
      </c>
    </row>
    <row r="50" customFormat="false" ht="15" hidden="false" customHeight="false" outlineLevel="0" collapsed="false">
      <c r="A50" s="0" t="s">
        <v>104</v>
      </c>
      <c r="B50" s="3" t="n">
        <v>12</v>
      </c>
    </row>
    <row r="51" customFormat="false" ht="15" hidden="false" customHeight="false" outlineLevel="0" collapsed="false">
      <c r="A51" s="0" t="s">
        <v>105</v>
      </c>
      <c r="B51" s="3" t="n">
        <v>-30</v>
      </c>
    </row>
    <row r="52" customFormat="false" ht="15" hidden="false" customHeight="false" outlineLevel="0" collapsed="false">
      <c r="A52" s="0" t="s">
        <v>106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109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Assumptions!C13</f>
        <v>0</v>
      </c>
      <c r="D5" s="4" t="n">
        <f aca="false">Assumptions!D13</f>
        <v>1</v>
      </c>
      <c r="E5" s="4" t="n">
        <f aca="false">Assumptions!E13</f>
        <v>2</v>
      </c>
      <c r="F5" s="4" t="n">
        <f aca="false">Assumptions!F13</f>
        <v>2.5</v>
      </c>
      <c r="G5" s="4" t="n">
        <f aca="false">Assumptions!G13</f>
        <v>2.5</v>
      </c>
      <c r="H5" s="4" t="n">
        <f aca="false">Assumptions!H13</f>
        <v>2.5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38</v>
      </c>
      <c r="B6" s="3" t="n">
        <v>33093.6</v>
      </c>
      <c r="C6" s="0" t="n">
        <f aca="false">B6*(1+C5/100)</f>
        <v>33093.6</v>
      </c>
      <c r="D6" s="0" t="n">
        <f aca="false">C6*(1+D5/100)</f>
        <v>33424.536</v>
      </c>
      <c r="E6" s="0" t="n">
        <f aca="false">D6*(1+E5/100)</f>
        <v>34093.02672</v>
      </c>
      <c r="F6" s="0" t="n">
        <f aca="false">E6*(1+F5/100)</f>
        <v>34945.352388</v>
      </c>
      <c r="G6" s="0" t="n">
        <f aca="false">F6*(1+G5/100)</f>
        <v>35818.9861977</v>
      </c>
      <c r="H6" s="0" t="n">
        <f aca="false">G6*(1+H5/100)</f>
        <v>36714.4608526425</v>
      </c>
      <c r="I6" s="0" t="n">
        <f aca="false">H6*(1+I5/100)</f>
        <v>37632.3223739586</v>
      </c>
      <c r="J6" s="0" t="n">
        <f aca="false">I6*(1+J5/100)</f>
        <v>38573.1304333075</v>
      </c>
      <c r="K6" s="0" t="n">
        <f aca="false">J6*(1+K5/100)</f>
        <v>39537.4586941402</v>
      </c>
      <c r="L6" s="0" t="n">
        <f aca="false">K6*(1+L5/100)</f>
        <v>40525.8951614937</v>
      </c>
    </row>
    <row r="7" customFormat="false" ht="15" hidden="false" customHeight="false" outlineLevel="0" collapsed="false">
      <c r="A7" s="0" t="s">
        <v>96</v>
      </c>
      <c r="C7" s="4" t="n">
        <f aca="false">Assumptions!C14</f>
        <v>8.2</v>
      </c>
      <c r="D7" s="4" t="n">
        <f aca="false">Assumptions!D14</f>
        <v>8.2</v>
      </c>
      <c r="E7" s="4" t="n">
        <f aca="false">Assumptions!E14</f>
        <v>8.3</v>
      </c>
      <c r="F7" s="4" t="n">
        <f aca="false">Assumptions!F14</f>
        <v>8.4</v>
      </c>
      <c r="G7" s="4" t="n">
        <f aca="false">Assumptions!G14</f>
        <v>8.5</v>
      </c>
      <c r="H7" s="4" t="n">
        <f aca="false">Assumptions!H14</f>
        <v>8.5</v>
      </c>
      <c r="I7" s="4" t="n">
        <f aca="false">Assumptions!I14</f>
        <v>8.5</v>
      </c>
      <c r="J7" s="4" t="n">
        <f aca="false">Assumptions!J14</f>
        <v>8.5</v>
      </c>
      <c r="K7" s="4" t="n">
        <f aca="false">Assumptions!K14</f>
        <v>8.5</v>
      </c>
      <c r="L7" s="4" t="n">
        <f aca="false">Assumptions!L14</f>
        <v>8.5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2713.6752</v>
      </c>
      <c r="D8" s="0" t="n">
        <f aca="false">D6*D7/100</f>
        <v>2740.811952</v>
      </c>
      <c r="E8" s="0" t="n">
        <f aca="false">E6*E7/100</f>
        <v>2829.72121776</v>
      </c>
      <c r="F8" s="0" t="n">
        <f aca="false">F6*F7/100</f>
        <v>2935.409600592</v>
      </c>
      <c r="G8" s="0" t="n">
        <f aca="false">G6*G7/100</f>
        <v>3044.6138268045</v>
      </c>
      <c r="H8" s="0" t="n">
        <f aca="false">H6*H7/100</f>
        <v>3120.72917247461</v>
      </c>
      <c r="I8" s="0" t="n">
        <f aca="false">I6*I7/100</f>
        <v>3198.74740178648</v>
      </c>
      <c r="J8" s="0" t="n">
        <f aca="false">J6*J7/100</f>
        <v>3278.71608683114</v>
      </c>
      <c r="K8" s="0" t="n">
        <f aca="false">K6*K7/100</f>
        <v>3360.68398900192</v>
      </c>
      <c r="L8" s="0" t="n">
        <f aca="false">L6*L7/100</f>
        <v>3444.70108872696</v>
      </c>
    </row>
    <row r="9" customFormat="false" ht="15" hidden="false" customHeight="false" outlineLevel="0" collapsed="false">
      <c r="A9" s="0" t="s">
        <v>97</v>
      </c>
      <c r="C9" s="4" t="n">
        <f aca="false">Assumptions!C15</f>
        <v>0.3</v>
      </c>
      <c r="D9" s="4" t="n">
        <f aca="false">Assumptions!D15</f>
        <v>0.3</v>
      </c>
      <c r="E9" s="4" t="n">
        <f aca="false">Assumptions!E15</f>
        <v>0.3</v>
      </c>
      <c r="F9" s="4" t="n">
        <f aca="false">Assumptions!F15</f>
        <v>0.3</v>
      </c>
      <c r="G9" s="4" t="n">
        <f aca="false">Assumptions!G15</f>
        <v>0.3</v>
      </c>
      <c r="H9" s="4" t="n">
        <f aca="false">Assumptions!H15</f>
        <v>0.3</v>
      </c>
      <c r="I9" s="4" t="n">
        <f aca="false">Assumptions!I15</f>
        <v>0.3</v>
      </c>
      <c r="J9" s="4" t="n">
        <f aca="false">Assumptions!J15</f>
        <v>0.3</v>
      </c>
      <c r="K9" s="4" t="n">
        <f aca="false">Assumptions!K15</f>
        <v>0.3</v>
      </c>
      <c r="L9" s="4" t="n">
        <f aca="false">Assumptions!L15</f>
        <v>0.3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-99.2808</v>
      </c>
      <c r="D10" s="0" t="n">
        <f aca="false">-D6*D9/100</f>
        <v>-100.273608</v>
      </c>
      <c r="E10" s="0" t="n">
        <f aca="false">-E6*E9/100</f>
        <v>-102.27908016</v>
      </c>
      <c r="F10" s="0" t="n">
        <f aca="false">-F6*F9/100</f>
        <v>-104.836057164</v>
      </c>
      <c r="G10" s="0" t="n">
        <f aca="false">-G6*G9/100</f>
        <v>-107.4569585931</v>
      </c>
      <c r="H10" s="0" t="n">
        <f aca="false">-H6*H9/100</f>
        <v>-110.143382557927</v>
      </c>
      <c r="I10" s="0" t="n">
        <f aca="false">-I6*I9/100</f>
        <v>-112.896967121876</v>
      </c>
      <c r="J10" s="0" t="n">
        <f aca="false">-J6*J9/100</f>
        <v>-115.719391299923</v>
      </c>
      <c r="K10" s="0" t="n">
        <f aca="false">-K6*K9/100</f>
        <v>-118.612376082421</v>
      </c>
      <c r="L10" s="0" t="n">
        <f aca="false">-L6*L9/100</f>
        <v>-121.577685484481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2614.3944</v>
      </c>
      <c r="D11" s="0" t="n">
        <f aca="false">D8+D10+D24</f>
        <v>2640.538344</v>
      </c>
      <c r="E11" s="0" t="n">
        <f aca="false">E8+E10+E24</f>
        <v>2727.4421376</v>
      </c>
      <c r="F11" s="0" t="n">
        <f aca="false">F8+F10+F24</f>
        <v>2830.573543428</v>
      </c>
      <c r="G11" s="0" t="n">
        <f aca="false">G8+G10+G24</f>
        <v>2937.1568682114</v>
      </c>
      <c r="H11" s="0" t="n">
        <f aca="false">H8+H10+H24</f>
        <v>3010.58578991668</v>
      </c>
      <c r="I11" s="0" t="n">
        <f aca="false">I8+I10+I24</f>
        <v>3085.8504346646</v>
      </c>
      <c r="J11" s="0" t="n">
        <f aca="false">J8+J10+J24</f>
        <v>3162.99669553122</v>
      </c>
      <c r="K11" s="0" t="n">
        <f aca="false">K8+K10+K24</f>
        <v>3242.0716129195</v>
      </c>
      <c r="L11" s="0" t="n">
        <f aca="false">L8+L10+L24</f>
        <v>3323.12340324248</v>
      </c>
    </row>
    <row r="12" customFormat="false" ht="15" hidden="false" customHeight="false" outlineLevel="0" collapsed="false">
      <c r="A12" s="0" t="s">
        <v>114</v>
      </c>
      <c r="C12" s="4" t="n">
        <f aca="false">-C6*Assumptions!C17/100</f>
        <v>-1224.4632</v>
      </c>
      <c r="D12" s="4" t="n">
        <f aca="false">-D6*Assumptions!D17/100</f>
        <v>-1236.707832</v>
      </c>
      <c r="E12" s="4" t="n">
        <f aca="false">-E6*Assumptions!E17/100</f>
        <v>-1261.44198864</v>
      </c>
      <c r="F12" s="4" t="n">
        <f aca="false">-F6*Assumptions!F17/100</f>
        <v>-1292.978038356</v>
      </c>
      <c r="G12" s="4" t="n">
        <f aca="false">-G6*Assumptions!G17/100</f>
        <v>-1325.3024893149</v>
      </c>
      <c r="H12" s="4" t="n">
        <f aca="false">-H6*Assumptions!H17/100</f>
        <v>-1358.43505154777</v>
      </c>
      <c r="I12" s="4" t="n">
        <f aca="false">-I6*Assumptions!I17/100</f>
        <v>-1392.39592783647</v>
      </c>
      <c r="J12" s="4" t="n">
        <f aca="false">-J6*Assumptions!J17/100</f>
        <v>-1427.20582603238</v>
      </c>
      <c r="K12" s="4" t="n">
        <f aca="false">-K6*Assumptions!K17/100</f>
        <v>-1462.88597168319</v>
      </c>
      <c r="L12" s="4" t="n">
        <f aca="false">-L6*Assumptions!L17/100</f>
        <v>-1499.45812097527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1389.9312</v>
      </c>
      <c r="D13" s="0" t="n">
        <f aca="false">D11+D12</f>
        <v>1403.830512</v>
      </c>
      <c r="E13" s="0" t="n">
        <f aca="false">E11+E12</f>
        <v>1466.00014896</v>
      </c>
      <c r="F13" s="0" t="n">
        <f aca="false">F11+F12</f>
        <v>1537.595505072</v>
      </c>
      <c r="G13" s="0" t="n">
        <f aca="false">G11+G12</f>
        <v>1611.8543788965</v>
      </c>
      <c r="H13" s="0" t="n">
        <f aca="false">H11+H12</f>
        <v>1652.15073836891</v>
      </c>
      <c r="I13" s="0" t="n">
        <f aca="false">I11+I12</f>
        <v>1693.45450682813</v>
      </c>
      <c r="J13" s="0" t="n">
        <f aca="false">J11+J12</f>
        <v>1735.79086949884</v>
      </c>
      <c r="K13" s="0" t="n">
        <f aca="false">K11+K12</f>
        <v>1779.18564123631</v>
      </c>
      <c r="L13" s="0" t="n">
        <f aca="false">L11+L12</f>
        <v>1823.66528226722</v>
      </c>
    </row>
    <row r="14" customFormat="false" ht="15" hidden="false" customHeight="false" outlineLevel="0" collapsed="false">
      <c r="A14" s="0" t="s">
        <v>101</v>
      </c>
      <c r="C14" s="4" t="n">
        <f aca="false">Assumptions!C19</f>
        <v>13</v>
      </c>
      <c r="D14" s="4" t="n">
        <f aca="false">Assumptions!D19</f>
        <v>13.5</v>
      </c>
      <c r="E14" s="4" t="n">
        <f aca="false">Assumptions!E19</f>
        <v>14</v>
      </c>
      <c r="F14" s="4" t="n">
        <f aca="false">Assumptions!F19</f>
        <v>14.5</v>
      </c>
      <c r="G14" s="4" t="n">
        <f aca="false">Assumptions!G19</f>
        <v>15</v>
      </c>
      <c r="H14" s="4" t="n">
        <f aca="false">Assumptions!H19</f>
        <v>15</v>
      </c>
      <c r="I14" s="4" t="n">
        <f aca="false">Assumptions!I19</f>
        <v>15</v>
      </c>
      <c r="J14" s="4" t="n">
        <f aca="false">Assumptions!J19</f>
        <v>15</v>
      </c>
      <c r="K14" s="4" t="n">
        <f aca="false">Assumptions!K19</f>
        <v>15</v>
      </c>
      <c r="L14" s="4" t="n">
        <f aca="false">Assumptions!L19</f>
        <v>15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1209.240144</v>
      </c>
      <c r="D15" s="0" t="n">
        <f aca="false">D13-MAX(0,D13)*D14/100</f>
        <v>1214.31339288</v>
      </c>
      <c r="E15" s="0" t="n">
        <f aca="false">E13-MAX(0,E13)*E14/100</f>
        <v>1260.7601281056</v>
      </c>
      <c r="F15" s="0" t="n">
        <f aca="false">F13-MAX(0,F13)*F14/100</f>
        <v>1314.64415683656</v>
      </c>
      <c r="G15" s="0" t="n">
        <f aca="false">G13-MAX(0,G13)*G14/100</f>
        <v>1370.07622206203</v>
      </c>
      <c r="H15" s="0" t="n">
        <f aca="false">H13-MAX(0,H13)*H14/100</f>
        <v>1404.32812761358</v>
      </c>
      <c r="I15" s="0" t="n">
        <f aca="false">I13-MAX(0,I13)*I14/100</f>
        <v>1439.43633080391</v>
      </c>
      <c r="J15" s="0" t="n">
        <f aca="false">J13-MAX(0,J13)*J14/100</f>
        <v>1475.42223907401</v>
      </c>
      <c r="K15" s="0" t="n">
        <f aca="false">K13-MAX(0,K13)*K14/100</f>
        <v>1512.30779505086</v>
      </c>
      <c r="L15" s="0" t="n">
        <f aca="false">L13-MAX(0,L13)*L14/100</f>
        <v>1550.11548992713</v>
      </c>
    </row>
    <row r="16" customFormat="false" ht="15" hidden="false" customHeight="false" outlineLevel="0" collapsed="false">
      <c r="A16" s="0" t="s">
        <v>117</v>
      </c>
      <c r="C16" s="0" t="n">
        <f aca="false">-C12</f>
        <v>1224.4632</v>
      </c>
      <c r="D16" s="0" t="n">
        <f aca="false">-D12</f>
        <v>1236.707832</v>
      </c>
      <c r="E16" s="0" t="n">
        <f aca="false">-E12</f>
        <v>1261.44198864</v>
      </c>
      <c r="F16" s="0" t="n">
        <f aca="false">-F12</f>
        <v>1292.978038356</v>
      </c>
      <c r="G16" s="0" t="n">
        <f aca="false">-G12</f>
        <v>1325.3024893149</v>
      </c>
      <c r="H16" s="0" t="n">
        <f aca="false">-H12</f>
        <v>1358.43505154777</v>
      </c>
      <c r="I16" s="0" t="n">
        <f aca="false">-I12</f>
        <v>1392.39592783647</v>
      </c>
      <c r="J16" s="0" t="n">
        <f aca="false">-J12</f>
        <v>1427.20582603238</v>
      </c>
      <c r="K16" s="0" t="n">
        <f aca="false">-K12</f>
        <v>1462.88597168319</v>
      </c>
      <c r="L16" s="0" t="n">
        <f aca="false">-L12</f>
        <v>1499.45812097527</v>
      </c>
    </row>
    <row r="17" customFormat="false" ht="15" hidden="false" customHeight="false" outlineLevel="0" collapsed="false">
      <c r="A17" s="0" t="s">
        <v>118</v>
      </c>
      <c r="C17" s="4" t="n">
        <f aca="false">-C6*Assumptions!C18/100</f>
        <v>-1787.0544</v>
      </c>
      <c r="D17" s="4" t="n">
        <f aca="false">-D6*Assumptions!D18/100</f>
        <v>-1804.924944</v>
      </c>
      <c r="E17" s="4" t="n">
        <f aca="false">-E6*Assumptions!E18/100</f>
        <v>-1806.93041616</v>
      </c>
      <c r="F17" s="4" t="n">
        <f aca="false">-F6*Assumptions!F18/100</f>
        <v>-1852.103676564</v>
      </c>
      <c r="G17" s="4" t="n">
        <f aca="false">-G6*Assumptions!G18/100</f>
        <v>-1862.5872822804</v>
      </c>
      <c r="H17" s="4" t="n">
        <f aca="false">-H6*Assumptions!H18/100</f>
        <v>-1909.15196433741</v>
      </c>
      <c r="I17" s="4" t="n">
        <f aca="false">-I6*Assumptions!I18/100</f>
        <v>-1956.88076344584</v>
      </c>
      <c r="J17" s="4" t="n">
        <f aca="false">-J6*Assumptions!J18/100</f>
        <v>-2005.80278253199</v>
      </c>
      <c r="K17" s="4" t="n">
        <f aca="false">-K6*Assumptions!K18/100</f>
        <v>-2055.94785209529</v>
      </c>
      <c r="L17" s="4" t="n">
        <f aca="false">-L6*Assumptions!L18/100</f>
        <v>-2107.34654839767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(C6-B6)*Assumptions!$B$23/100</f>
        <v>-0</v>
      </c>
      <c r="D18" s="4" t="n">
        <f aca="false">(D6-C6)*Assumptions!$B$23/100</f>
        <v>-198.561600000001</v>
      </c>
      <c r="E18" s="4" t="n">
        <f aca="false">(E6-D6)*Assumptions!$B$23/100</f>
        <v>-401.094432000001</v>
      </c>
      <c r="F18" s="4" t="n">
        <f aca="false">(F6-E6)*Assumptions!$B$23/100</f>
        <v>-511.395400799999</v>
      </c>
      <c r="G18" s="4" t="n">
        <f aca="false">(G6-F6)*Assumptions!$B$23/100</f>
        <v>-524.180285819998</v>
      </c>
      <c r="H18" s="4" t="n">
        <f aca="false">(H6-G6)*Assumptions!$B$23/100</f>
        <v>-537.284792965498</v>
      </c>
      <c r="I18" s="4" t="n">
        <f aca="false">(I6-H6)*Assumptions!$B$23/100</f>
        <v>-550.716912789636</v>
      </c>
      <c r="J18" s="4" t="n">
        <f aca="false">(J6-I6)*Assumptions!$B$23/100</f>
        <v>-564.484835609375</v>
      </c>
      <c r="K18" s="4" t="n">
        <f aca="false">(K6-J6)*Assumptions!$B$23/100</f>
        <v>-578.596956499611</v>
      </c>
      <c r="L18" s="4" t="n">
        <f aca="false">(L6-K6)*Assumptions!$B$23/100</f>
        <v>-593.061880412101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646.648944</v>
      </c>
      <c r="D19" s="0" t="n">
        <f aca="false">D15+D16+D17+D18</f>
        <v>447.534680879999</v>
      </c>
      <c r="E19" s="0" t="n">
        <f aca="false">E15+E16+E17+E18</f>
        <v>314.177268585599</v>
      </c>
      <c r="F19" s="0" t="n">
        <f aca="false">F15+F16+F17+F18</f>
        <v>244.123117828561</v>
      </c>
      <c r="G19" s="0" t="n">
        <f aca="false">G15+G16+G17+G18</f>
        <v>308.611143276527</v>
      </c>
      <c r="H19" s="0" t="n">
        <f aca="false">H15+H16+H17+H18</f>
        <v>316.32642185844</v>
      </c>
      <c r="I19" s="0" t="n">
        <f aca="false">I15+I16+I17+I18</f>
        <v>324.234582404901</v>
      </c>
      <c r="J19" s="0" t="n">
        <f aca="false">J15+J16+J17+J18</f>
        <v>332.340446965025</v>
      </c>
      <c r="K19" s="0" t="n">
        <f aca="false">K15+K16+K17+K18</f>
        <v>340.648958139149</v>
      </c>
      <c r="L19" s="0" t="n">
        <f aca="false">L15+L16+L17+L18</f>
        <v>349.165182092627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590.546980821918</v>
      </c>
      <c r="D21" s="0" t="n">
        <f aca="false">D19*D20</f>
        <v>373.248832076061</v>
      </c>
      <c r="E21" s="0" t="n">
        <f aca="false">E19*E20</f>
        <v>239.294326629427</v>
      </c>
      <c r="F21" s="0" t="n">
        <f aca="false">F19*F20</f>
        <v>169.805765206625</v>
      </c>
      <c r="G21" s="0" t="n">
        <f aca="false">G19*G20</f>
        <v>196.038336023514</v>
      </c>
      <c r="H21" s="0" t="n">
        <f aca="false">H19*H20</f>
        <v>183.506204953518</v>
      </c>
      <c r="I21" s="0" t="n">
        <f aca="false">I19*I20</f>
        <v>171.775214682517</v>
      </c>
      <c r="J21" s="0" t="n">
        <f aca="false">J19*J20</f>
        <v>160.79415073021</v>
      </c>
      <c r="K21" s="0" t="n">
        <f aca="false">K19*K20</f>
        <v>150.515072601338</v>
      </c>
      <c r="L21" s="0" t="n">
        <f aca="false">L19*L20</f>
        <v>140.893104489836</v>
      </c>
    </row>
    <row r="23" customFormat="false" ht="15" hidden="false" customHeight="false" outlineLevel="0" collapsed="false">
      <c r="A23" s="0" t="s">
        <v>98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103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104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2376.41798821496</v>
      </c>
    </row>
    <row r="31" customFormat="false" ht="15" hidden="false" customHeight="false" outlineLevel="0" collapsed="false">
      <c r="A31" s="0" t="s">
        <v>126</v>
      </c>
      <c r="B31" s="0" t="n">
        <f aca="false">L19</f>
        <v>349.165182092627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5112.77588064203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4189.98218511152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4189.98218511152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1690.71725387804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4067.135242093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7863.935242093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1.15638360840796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-0.634633930992746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674.540909872535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718.353984371896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1.36120737340004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2863.15449315954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0.949238501523281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Assumptions!C27</f>
        <v>2</v>
      </c>
      <c r="D5" s="4" t="n">
        <f aca="false">Assumptions!D27</f>
        <v>4</v>
      </c>
      <c r="E5" s="4" t="n">
        <f aca="false">Assumptions!E27</f>
        <v>5</v>
      </c>
      <c r="F5" s="4" t="n">
        <f aca="false">Assumptions!F27</f>
        <v>5</v>
      </c>
      <c r="G5" s="4" t="n">
        <f aca="false">Assumptions!G27</f>
        <v>5</v>
      </c>
      <c r="H5" s="4" t="n">
        <f aca="false">Assumptions!H27</f>
        <v>4.5</v>
      </c>
      <c r="I5" s="4" t="n">
        <f aca="false">Assumptions!I27</f>
        <v>4</v>
      </c>
      <c r="J5" s="4" t="n">
        <f aca="false">Assumptions!J27</f>
        <v>3.5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38</v>
      </c>
      <c r="B6" s="3" t="n">
        <v>33093.6</v>
      </c>
      <c r="C6" s="0" t="n">
        <f aca="false">B6*(1+C5/100)</f>
        <v>33755.472</v>
      </c>
      <c r="D6" s="0" t="n">
        <f aca="false">C6*(1+D5/100)</f>
        <v>35105.69088</v>
      </c>
      <c r="E6" s="0" t="n">
        <f aca="false">D6*(1+E5/100)</f>
        <v>36860.975424</v>
      </c>
      <c r="F6" s="0" t="n">
        <f aca="false">E6*(1+F5/100)</f>
        <v>38704.0241952</v>
      </c>
      <c r="G6" s="0" t="n">
        <f aca="false">F6*(1+G5/100)</f>
        <v>40639.22540496</v>
      </c>
      <c r="H6" s="0" t="n">
        <f aca="false">G6*(1+H5/100)</f>
        <v>42467.9905481832</v>
      </c>
      <c r="I6" s="0" t="n">
        <f aca="false">H6*(1+I5/100)</f>
        <v>44166.7101701105</v>
      </c>
      <c r="J6" s="0" t="n">
        <f aca="false">I6*(1+J5/100)</f>
        <v>45712.5450260644</v>
      </c>
      <c r="K6" s="0" t="n">
        <f aca="false">J6*(1+K5/100)</f>
        <v>47083.9213768463</v>
      </c>
      <c r="L6" s="0" t="n">
        <f aca="false">K6*(1+L5/100)</f>
        <v>48496.4390181517</v>
      </c>
    </row>
    <row r="7" customFormat="false" ht="15" hidden="false" customHeight="false" outlineLevel="0" collapsed="false">
      <c r="A7" s="0" t="s">
        <v>96</v>
      </c>
      <c r="C7" s="4" t="n">
        <f aca="false">Assumptions!C28</f>
        <v>8.6</v>
      </c>
      <c r="D7" s="4" t="n">
        <f aca="false">Assumptions!D28</f>
        <v>9</v>
      </c>
      <c r="E7" s="4" t="n">
        <f aca="false">Assumptions!E28</f>
        <v>9.3</v>
      </c>
      <c r="F7" s="4" t="n">
        <f aca="false">Assumptions!F28</f>
        <v>9.5</v>
      </c>
      <c r="G7" s="4" t="n">
        <f aca="false">Assumptions!G28</f>
        <v>9.7</v>
      </c>
      <c r="H7" s="4" t="n">
        <f aca="false">Assumptions!H28</f>
        <v>9.8</v>
      </c>
      <c r="I7" s="4" t="n">
        <f aca="false">Assumptions!I28</f>
        <v>9.8</v>
      </c>
      <c r="J7" s="4" t="n">
        <f aca="false">Assumptions!J28</f>
        <v>9.8</v>
      </c>
      <c r="K7" s="4" t="n">
        <f aca="false">Assumptions!K28</f>
        <v>9.8</v>
      </c>
      <c r="L7" s="4" t="n">
        <f aca="false">Assumptions!L28</f>
        <v>9.8</v>
      </c>
    </row>
    <row r="8" customFormat="false" ht="15" hidden="false" customHeight="false" outlineLevel="0" collapsed="false">
      <c r="A8" s="0" t="s">
        <v>44</v>
      </c>
      <c r="C8" s="0" t="n">
        <f aca="false">C6*C7/100</f>
        <v>2902.970592</v>
      </c>
      <c r="D8" s="0" t="n">
        <f aca="false">D6*D7/100</f>
        <v>3159.5121792</v>
      </c>
      <c r="E8" s="0" t="n">
        <f aca="false">E6*E7/100</f>
        <v>3428.070714432</v>
      </c>
      <c r="F8" s="0" t="n">
        <f aca="false">F6*F7/100</f>
        <v>3676.882298544</v>
      </c>
      <c r="G8" s="0" t="n">
        <f aca="false">G6*G7/100</f>
        <v>3942.00486428112</v>
      </c>
      <c r="H8" s="0" t="n">
        <f aca="false">H6*H7/100</f>
        <v>4161.86307372195</v>
      </c>
      <c r="I8" s="0" t="n">
        <f aca="false">I6*I7/100</f>
        <v>4328.33759667083</v>
      </c>
      <c r="J8" s="0" t="n">
        <f aca="false">J6*J7/100</f>
        <v>4479.82941255431</v>
      </c>
      <c r="K8" s="0" t="n">
        <f aca="false">K6*K7/100</f>
        <v>4614.22429493094</v>
      </c>
      <c r="L8" s="0" t="n">
        <f aca="false">L6*L7/100</f>
        <v>4752.65102377887</v>
      </c>
    </row>
    <row r="9" customFormat="false" ht="15" hidden="false" customHeight="false" outlineLevel="0" collapsed="false">
      <c r="A9" s="0" t="s">
        <v>97</v>
      </c>
      <c r="C9" s="4" t="n">
        <f aca="false">Assumptions!C29</f>
        <v>0.3</v>
      </c>
      <c r="D9" s="4" t="n">
        <f aca="false">Assumptions!D29</f>
        <v>0.3</v>
      </c>
      <c r="E9" s="4" t="n">
        <f aca="false">Assumptions!E29</f>
        <v>0.3</v>
      </c>
      <c r="F9" s="4" t="n">
        <f aca="false">Assumptions!F29</f>
        <v>0.3</v>
      </c>
      <c r="G9" s="4" t="n">
        <f aca="false">Assumptions!G29</f>
        <v>0.3</v>
      </c>
      <c r="H9" s="4" t="n">
        <f aca="false">Assumptions!H29</f>
        <v>0.3</v>
      </c>
      <c r="I9" s="4" t="n">
        <f aca="false">Assumptions!I29</f>
        <v>0.3</v>
      </c>
      <c r="J9" s="4" t="n">
        <f aca="false">Assumptions!J29</f>
        <v>0.3</v>
      </c>
      <c r="K9" s="4" t="n">
        <f aca="false">Assumptions!K29</f>
        <v>0.3</v>
      </c>
      <c r="L9" s="4" t="n">
        <f aca="false">Assumptions!L29</f>
        <v>0.3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-101.266416</v>
      </c>
      <c r="D10" s="0" t="n">
        <f aca="false">-D6*D9/100</f>
        <v>-105.31707264</v>
      </c>
      <c r="E10" s="0" t="n">
        <f aca="false">-E6*E9/100</f>
        <v>-110.582926272</v>
      </c>
      <c r="F10" s="0" t="n">
        <f aca="false">-F6*F9/100</f>
        <v>-116.1120725856</v>
      </c>
      <c r="G10" s="0" t="n">
        <f aca="false">-G6*G9/100</f>
        <v>-121.91767621488</v>
      </c>
      <c r="H10" s="0" t="n">
        <f aca="false">-H6*H9/100</f>
        <v>-127.40397164455</v>
      </c>
      <c r="I10" s="0" t="n">
        <f aca="false">-I6*I9/100</f>
        <v>-132.500130510332</v>
      </c>
      <c r="J10" s="0" t="n">
        <f aca="false">-J6*J9/100</f>
        <v>-137.137635078193</v>
      </c>
      <c r="K10" s="0" t="n">
        <f aca="false">-K6*K9/100</f>
        <v>-141.251764130539</v>
      </c>
      <c r="L10" s="0" t="n">
        <f aca="false">-L6*L9/100</f>
        <v>-145.489317054455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2801.704176</v>
      </c>
      <c r="D11" s="0" t="n">
        <f aca="false">D8+D10+D24</f>
        <v>3054.19510656</v>
      </c>
      <c r="E11" s="0" t="n">
        <f aca="false">E8+E10+E24</f>
        <v>3317.48778816</v>
      </c>
      <c r="F11" s="0" t="n">
        <f aca="false">F8+F10+F24</f>
        <v>3560.7702259584</v>
      </c>
      <c r="G11" s="0" t="n">
        <f aca="false">G8+G10+G24</f>
        <v>3820.08718806624</v>
      </c>
      <c r="H11" s="0" t="n">
        <f aca="false">H8+H10+H24</f>
        <v>4034.4591020774</v>
      </c>
      <c r="I11" s="0" t="n">
        <f aca="false">I8+I10+I24</f>
        <v>4195.8374661605</v>
      </c>
      <c r="J11" s="0" t="n">
        <f aca="false">J8+J10+J24</f>
        <v>4342.69177747612</v>
      </c>
      <c r="K11" s="0" t="n">
        <f aca="false">K8+K10+K24</f>
        <v>4472.9725308004</v>
      </c>
      <c r="L11" s="0" t="n">
        <f aca="false">L8+L10+L24</f>
        <v>4607.16170672441</v>
      </c>
    </row>
    <row r="12" customFormat="false" ht="15" hidden="false" customHeight="false" outlineLevel="0" collapsed="false">
      <c r="A12" s="0" t="s">
        <v>114</v>
      </c>
      <c r="C12" s="4" t="n">
        <f aca="false">-C6*Assumptions!C31/100</f>
        <v>-1248.952464</v>
      </c>
      <c r="D12" s="4" t="n">
        <f aca="false">-D6*Assumptions!D31/100</f>
        <v>-1298.91056256</v>
      </c>
      <c r="E12" s="4" t="n">
        <f aca="false">-E6*Assumptions!E31/100</f>
        <v>-1363.856090688</v>
      </c>
      <c r="F12" s="4" t="n">
        <f aca="false">-F6*Assumptions!F31/100</f>
        <v>-1432.0488952224</v>
      </c>
      <c r="G12" s="4" t="n">
        <f aca="false">-G6*Assumptions!G31/100</f>
        <v>-1503.65133998352</v>
      </c>
      <c r="H12" s="4" t="n">
        <f aca="false">-H6*Assumptions!H31/100</f>
        <v>-1571.31565028278</v>
      </c>
      <c r="I12" s="4" t="n">
        <f aca="false">-I6*Assumptions!I31/100</f>
        <v>-1634.16827629409</v>
      </c>
      <c r="J12" s="4" t="n">
        <f aca="false">-J6*Assumptions!J31/100</f>
        <v>-1691.36416596438</v>
      </c>
      <c r="K12" s="4" t="n">
        <f aca="false">-K6*Assumptions!K31/100</f>
        <v>-1742.10509094331</v>
      </c>
      <c r="L12" s="4" t="n">
        <f aca="false">-L6*Assumptions!L31/100</f>
        <v>-1794.36824367161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1552.751712</v>
      </c>
      <c r="D13" s="0" t="n">
        <f aca="false">D11+D12</f>
        <v>1755.284544</v>
      </c>
      <c r="E13" s="0" t="n">
        <f aca="false">E11+E12</f>
        <v>1953.631697472</v>
      </c>
      <c r="F13" s="0" t="n">
        <f aca="false">F11+F12</f>
        <v>2128.721330736</v>
      </c>
      <c r="G13" s="0" t="n">
        <f aca="false">G11+G12</f>
        <v>2316.43584808272</v>
      </c>
      <c r="H13" s="0" t="n">
        <f aca="false">H11+H12</f>
        <v>2463.14345179463</v>
      </c>
      <c r="I13" s="0" t="n">
        <f aca="false">I11+I12</f>
        <v>2561.66918986641</v>
      </c>
      <c r="J13" s="0" t="n">
        <f aca="false">J11+J12</f>
        <v>2651.32761151174</v>
      </c>
      <c r="K13" s="0" t="n">
        <f aca="false">K11+K12</f>
        <v>2730.86743985709</v>
      </c>
      <c r="L13" s="0" t="n">
        <f aca="false">L11+L12</f>
        <v>2812.7934630528</v>
      </c>
    </row>
    <row r="14" customFormat="false" ht="15" hidden="false" customHeight="false" outlineLevel="0" collapsed="false">
      <c r="A14" s="0" t="s">
        <v>101</v>
      </c>
      <c r="C14" s="4" t="n">
        <f aca="false">Assumptions!C33</f>
        <v>11</v>
      </c>
      <c r="D14" s="4" t="n">
        <f aca="false">Assumptions!D33</f>
        <v>11.5</v>
      </c>
      <c r="E14" s="4" t="n">
        <f aca="false">Assumptions!E33</f>
        <v>12</v>
      </c>
      <c r="F14" s="4" t="n">
        <f aca="false">Assumptions!F33</f>
        <v>12.5</v>
      </c>
      <c r="G14" s="4" t="n">
        <f aca="false">Assumptions!G33</f>
        <v>13</v>
      </c>
      <c r="H14" s="4" t="n">
        <f aca="false">Assumptions!H33</f>
        <v>13</v>
      </c>
      <c r="I14" s="4" t="n">
        <f aca="false">Assumptions!I33</f>
        <v>13</v>
      </c>
      <c r="J14" s="4" t="n">
        <f aca="false">Assumptions!J33</f>
        <v>13</v>
      </c>
      <c r="K14" s="4" t="n">
        <f aca="false">Assumptions!K33</f>
        <v>13</v>
      </c>
      <c r="L14" s="4" t="n">
        <f aca="false">Assumptions!L33</f>
        <v>13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1381.94902368</v>
      </c>
      <c r="D15" s="0" t="n">
        <f aca="false">D13-MAX(0,D13)*D14/100</f>
        <v>1553.42682144</v>
      </c>
      <c r="E15" s="0" t="n">
        <f aca="false">E13-MAX(0,E13)*E14/100</f>
        <v>1719.19589377536</v>
      </c>
      <c r="F15" s="0" t="n">
        <f aca="false">F13-MAX(0,F13)*F14/100</f>
        <v>1862.631164394</v>
      </c>
      <c r="G15" s="0" t="n">
        <f aca="false">G13-MAX(0,G13)*G14/100</f>
        <v>2015.29918783197</v>
      </c>
      <c r="H15" s="0" t="n">
        <f aca="false">H13-MAX(0,H13)*H14/100</f>
        <v>2142.93480306132</v>
      </c>
      <c r="I15" s="0" t="n">
        <f aca="false">I13-MAX(0,I13)*I14/100</f>
        <v>2228.65219518378</v>
      </c>
      <c r="J15" s="0" t="n">
        <f aca="false">J13-MAX(0,J13)*J14/100</f>
        <v>2306.65502201521</v>
      </c>
      <c r="K15" s="0" t="n">
        <f aca="false">K13-MAX(0,K13)*K14/100</f>
        <v>2375.85467267567</v>
      </c>
      <c r="L15" s="0" t="n">
        <f aca="false">L13-MAX(0,L13)*L14/100</f>
        <v>2447.13031285594</v>
      </c>
    </row>
    <row r="16" customFormat="false" ht="15" hidden="false" customHeight="false" outlineLevel="0" collapsed="false">
      <c r="A16" s="0" t="s">
        <v>117</v>
      </c>
      <c r="C16" s="0" t="n">
        <f aca="false">-C12</f>
        <v>1248.952464</v>
      </c>
      <c r="D16" s="0" t="n">
        <f aca="false">-D12</f>
        <v>1298.91056256</v>
      </c>
      <c r="E16" s="0" t="n">
        <f aca="false">-E12</f>
        <v>1363.856090688</v>
      </c>
      <c r="F16" s="0" t="n">
        <f aca="false">-F12</f>
        <v>1432.0488952224</v>
      </c>
      <c r="G16" s="0" t="n">
        <f aca="false">-G12</f>
        <v>1503.65133998352</v>
      </c>
      <c r="H16" s="0" t="n">
        <f aca="false">-H12</f>
        <v>1571.31565028278</v>
      </c>
      <c r="I16" s="0" t="n">
        <f aca="false">-I12</f>
        <v>1634.16827629409</v>
      </c>
      <c r="J16" s="0" t="n">
        <f aca="false">-J12</f>
        <v>1691.36416596438</v>
      </c>
      <c r="K16" s="0" t="n">
        <f aca="false">-K12</f>
        <v>1742.10509094331</v>
      </c>
      <c r="L16" s="0" t="n">
        <f aca="false">-L12</f>
        <v>1794.36824367161</v>
      </c>
    </row>
    <row r="17" customFormat="false" ht="15" hidden="false" customHeight="false" outlineLevel="0" collapsed="false">
      <c r="A17" s="0" t="s">
        <v>118</v>
      </c>
      <c r="C17" s="4" t="n">
        <f aca="false">-C6*Assumptions!C32/100</f>
        <v>-1755.284544</v>
      </c>
      <c r="D17" s="4" t="n">
        <f aca="false">-D6*Assumptions!D32/100</f>
        <v>-1790.39023488</v>
      </c>
      <c r="E17" s="4" t="n">
        <f aca="false">-E6*Assumptions!E32/100</f>
        <v>-1843.0487712</v>
      </c>
      <c r="F17" s="4" t="n">
        <f aca="false">-F6*Assumptions!F32/100</f>
        <v>-1896.4971855648</v>
      </c>
      <c r="G17" s="4" t="n">
        <f aca="false">-G6*Assumptions!G32/100</f>
        <v>-1950.68281943808</v>
      </c>
      <c r="H17" s="4" t="n">
        <f aca="false">-H6*Assumptions!H32/100</f>
        <v>-1995.99555576461</v>
      </c>
      <c r="I17" s="4" t="n">
        <f aca="false">-I6*Assumptions!I32/100</f>
        <v>-2031.66866782508</v>
      </c>
      <c r="J17" s="4" t="n">
        <f aca="false">-J6*Assumptions!J32/100</f>
        <v>-2057.0645261729</v>
      </c>
      <c r="K17" s="4" t="n">
        <f aca="false">-K6*Assumptions!K32/100</f>
        <v>-2118.77646195809</v>
      </c>
      <c r="L17" s="4" t="n">
        <f aca="false">-L6*Assumptions!L32/100</f>
        <v>-2182.33975581683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(C6-B6)*Assumptions!$B$37/100</f>
        <v>-264.748800000001</v>
      </c>
      <c r="D18" s="4" t="n">
        <f aca="false">(D6-C6)*Assumptions!$B$37/100</f>
        <v>-540.087552</v>
      </c>
      <c r="E18" s="4" t="n">
        <f aca="false">(E6-D6)*Assumptions!$B$37/100</f>
        <v>-702.113817600001</v>
      </c>
      <c r="F18" s="4" t="n">
        <f aca="false">(F6-E6)*Assumptions!$B$37/100</f>
        <v>-737.219508480001</v>
      </c>
      <c r="G18" s="4" t="n">
        <f aca="false">(G6-F6)*Assumptions!$B$37/100</f>
        <v>-774.080483904001</v>
      </c>
      <c r="H18" s="4" t="n">
        <f aca="false">(H6-G6)*Assumptions!$B$37/100</f>
        <v>-731.506057289278</v>
      </c>
      <c r="I18" s="4" t="n">
        <f aca="false">(I6-H6)*Assumptions!$B$37/100</f>
        <v>-679.487848770933</v>
      </c>
      <c r="J18" s="4" t="n">
        <f aca="false">(J6-I6)*Assumptions!$B$37/100</f>
        <v>-618.333942381546</v>
      </c>
      <c r="K18" s="4" t="n">
        <f aca="false">(K6-J6)*Assumptions!$B$37/100</f>
        <v>-548.550540312773</v>
      </c>
      <c r="L18" s="4" t="n">
        <f aca="false">(L6-K6)*Assumptions!$B$37/100</f>
        <v>-565.007056522157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610.868143679999</v>
      </c>
      <c r="D19" s="0" t="n">
        <f aca="false">D15+D16+D17+D18</f>
        <v>521.85959712</v>
      </c>
      <c r="E19" s="0" t="n">
        <f aca="false">E15+E16+E17+E18</f>
        <v>537.88939566336</v>
      </c>
      <c r="F19" s="0" t="n">
        <f aca="false">F15+F16+F17+F18</f>
        <v>660.963365571599</v>
      </c>
      <c r="G19" s="0" t="n">
        <f aca="false">G15+G16+G17+G18</f>
        <v>794.187224473406</v>
      </c>
      <c r="H19" s="0" t="n">
        <f aca="false">H15+H16+H17+H18</f>
        <v>986.748840290215</v>
      </c>
      <c r="I19" s="0" t="n">
        <f aca="false">I15+I16+I17+I18</f>
        <v>1151.66395488185</v>
      </c>
      <c r="J19" s="0" t="n">
        <f aca="false">J15+J16+J17+J18</f>
        <v>1322.62071942515</v>
      </c>
      <c r="K19" s="0" t="n">
        <f aca="false">K15+K16+K17+K18</f>
        <v>1450.63276134812</v>
      </c>
      <c r="L19" s="0" t="n">
        <f aca="false">L15+L16+L17+L18</f>
        <v>1494.15174418857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557.870450849314</v>
      </c>
      <c r="D21" s="0" t="n">
        <f aca="false">D19*D20</f>
        <v>435.23662735973</v>
      </c>
      <c r="E21" s="0" t="n">
        <f aca="false">E19*E20</f>
        <v>409.685529815166</v>
      </c>
      <c r="F21" s="0" t="n">
        <f aca="false">F19*F20</f>
        <v>459.749126026032</v>
      </c>
      <c r="G21" s="0" t="n">
        <f aca="false">G19*G20</f>
        <v>504.489696398923</v>
      </c>
      <c r="H21" s="0" t="n">
        <f aca="false">H19*H20</f>
        <v>572.429371723413</v>
      </c>
      <c r="I21" s="0" t="n">
        <f aca="false">I19*I20</f>
        <v>610.13640687131</v>
      </c>
      <c r="J21" s="0" t="n">
        <f aca="false">J19*J20</f>
        <v>639.915114937929</v>
      </c>
      <c r="K21" s="0" t="n">
        <f aca="false">K19*K20</f>
        <v>640.959234353516</v>
      </c>
      <c r="L21" s="0" t="n">
        <f aca="false">L19*L20</f>
        <v>602.911425921572</v>
      </c>
    </row>
    <row r="23" customFormat="false" ht="15" hidden="false" customHeight="false" outlineLevel="0" collapsed="false">
      <c r="A23" s="0" t="s">
        <v>98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103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104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5433.38298425691</v>
      </c>
    </row>
    <row r="31" customFormat="false" ht="15" hidden="false" customHeight="false" outlineLevel="0" collapsed="false">
      <c r="A31" s="0" t="s">
        <v>126</v>
      </c>
      <c r="B31" s="0" t="n">
        <f aca="false">L19</f>
        <v>1494.15174418857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21878.650539904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17929.8209302628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17929.8209302628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7234.93711105886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12668.3200953158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16465.1200953158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2.42117901566343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-0.235014529016295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754.327528852793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859.638264810976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2.65851102958108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12252.0443023462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1.61035531774286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0" t="s">
        <v>110</v>
      </c>
      <c r="B3" s="0" t="s">
        <v>71</v>
      </c>
      <c r="C3" s="2" t="s">
        <v>85</v>
      </c>
      <c r="D3" s="2" t="s">
        <v>86</v>
      </c>
      <c r="E3" s="2" t="s">
        <v>87</v>
      </c>
      <c r="F3" s="2" t="s">
        <v>88</v>
      </c>
      <c r="G3" s="2" t="s">
        <v>89</v>
      </c>
      <c r="H3" s="2" t="s">
        <v>90</v>
      </c>
      <c r="I3" s="2" t="s">
        <v>91</v>
      </c>
      <c r="J3" s="2" t="s">
        <v>92</v>
      </c>
      <c r="K3" s="2" t="s">
        <v>93</v>
      </c>
      <c r="L3" s="2" t="s">
        <v>94</v>
      </c>
    </row>
    <row r="4" customFormat="false" ht="15" hidden="false" customHeight="false" outlineLevel="0" collapsed="false">
      <c r="A4" s="0" t="s">
        <v>111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95</v>
      </c>
      <c r="C5" s="4" t="n">
        <f aca="false">Assumptions!C41</f>
        <v>4</v>
      </c>
      <c r="D5" s="4" t="n">
        <f aca="false">Assumptions!D41</f>
        <v>7</v>
      </c>
      <c r="E5" s="4" t="n">
        <f aca="false">Assumptions!E41</f>
        <v>8</v>
      </c>
      <c r="F5" s="4" t="n">
        <f aca="false">Assumptions!F41</f>
        <v>8</v>
      </c>
      <c r="G5" s="4" t="n">
        <f aca="false">Assumptions!G41</f>
        <v>7</v>
      </c>
      <c r="H5" s="4" t="n">
        <f aca="false">Assumptions!H41</f>
        <v>6</v>
      </c>
      <c r="I5" s="4" t="n">
        <f aca="false">Assumptions!I41</f>
        <v>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33093.6</v>
      </c>
      <c r="C6" s="0" t="n">
        <f aca="false">B6*(1+C5/100)</f>
        <v>34417.344</v>
      </c>
      <c r="D6" s="0" t="n">
        <f aca="false">C6*(1+D5/100)</f>
        <v>36826.55808</v>
      </c>
      <c r="E6" s="0" t="n">
        <f aca="false">D6*(1+E5/100)</f>
        <v>39772.6827264</v>
      </c>
      <c r="F6" s="0" t="n">
        <f aca="false">E6*(1+F5/100)</f>
        <v>42954.497344512</v>
      </c>
      <c r="G6" s="0" t="n">
        <f aca="false">F6*(1+G5/100)</f>
        <v>45961.3121586279</v>
      </c>
      <c r="H6" s="0" t="n">
        <f aca="false">G6*(1+H5/100)</f>
        <v>48718.9908881455</v>
      </c>
      <c r="I6" s="0" t="n">
        <f aca="false">H6*(1+I5/100)</f>
        <v>51154.9404325528</v>
      </c>
      <c r="J6" s="0" t="n">
        <f aca="false">I6*(1+J5/100)</f>
        <v>53201.1380498549</v>
      </c>
      <c r="K6" s="0" t="n">
        <f aca="false">J6*(1+K5/100)</f>
        <v>55063.1778815999</v>
      </c>
      <c r="L6" s="0" t="n">
        <f aca="false">K6*(1+L5/100)</f>
        <v>56715.0732180478</v>
      </c>
    </row>
    <row r="7" customFormat="false" ht="15" hidden="false" customHeight="false" outlineLevel="0" collapsed="false">
      <c r="A7" s="0" t="s">
        <v>96</v>
      </c>
      <c r="C7" s="4" t="n">
        <f aca="false">Assumptions!C42</f>
        <v>9</v>
      </c>
      <c r="D7" s="4" t="n">
        <f aca="false">Assumptions!D42</f>
        <v>9.6</v>
      </c>
      <c r="E7" s="4" t="n">
        <f aca="false">Assumptions!E42</f>
        <v>10.2</v>
      </c>
      <c r="F7" s="4" t="n">
        <f aca="false">Assumptions!F42</f>
        <v>10.6</v>
      </c>
      <c r="G7" s="4" t="n">
        <f aca="false">Assumptions!G42</f>
        <v>11</v>
      </c>
      <c r="H7" s="4" t="n">
        <f aca="false">Assumptions!H42</f>
        <v>11</v>
      </c>
      <c r="I7" s="4" t="n">
        <f aca="false">Assumptions!I42</f>
        <v>11</v>
      </c>
      <c r="J7" s="4" t="n">
        <f aca="false">Assumptions!J42</f>
        <v>11</v>
      </c>
      <c r="K7" s="4" t="n">
        <f aca="false">Assumptions!K42</f>
        <v>11</v>
      </c>
      <c r="L7" s="4" t="n">
        <f aca="false">Assumptions!L42</f>
        <v>11</v>
      </c>
    </row>
    <row r="8" customFormat="false" ht="15" hidden="false" customHeight="false" outlineLevel="0" collapsed="false">
      <c r="A8" s="0" t="s">
        <v>44</v>
      </c>
      <c r="C8" s="0" t="n">
        <f aca="false">C6*C7/100</f>
        <v>3097.56096</v>
      </c>
      <c r="D8" s="0" t="n">
        <f aca="false">D6*D7/100</f>
        <v>3535.34957568</v>
      </c>
      <c r="E8" s="0" t="n">
        <f aca="false">E6*E7/100</f>
        <v>4056.8136380928</v>
      </c>
      <c r="F8" s="0" t="n">
        <f aca="false">F6*F7/100</f>
        <v>4553.17671851827</v>
      </c>
      <c r="G8" s="0" t="n">
        <f aca="false">G6*G7/100</f>
        <v>5055.74433744906</v>
      </c>
      <c r="H8" s="0" t="n">
        <f aca="false">H6*H7/100</f>
        <v>5359.08899769601</v>
      </c>
      <c r="I8" s="0" t="n">
        <f aca="false">I6*I7/100</f>
        <v>5627.04344758081</v>
      </c>
      <c r="J8" s="0" t="n">
        <f aca="false">J6*J7/100</f>
        <v>5852.12518548404</v>
      </c>
      <c r="K8" s="0" t="n">
        <f aca="false">K6*K7/100</f>
        <v>6056.94956697598</v>
      </c>
      <c r="L8" s="0" t="n">
        <f aca="false">L6*L7/100</f>
        <v>6238.65805398526</v>
      </c>
    </row>
    <row r="9" customFormat="false" ht="15" hidden="false" customHeight="false" outlineLevel="0" collapsed="false">
      <c r="A9" s="0" t="s">
        <v>97</v>
      </c>
      <c r="C9" s="4" t="n">
        <f aca="false">Assumptions!C43</f>
        <v>0.3</v>
      </c>
      <c r="D9" s="4" t="n">
        <f aca="false">Assumptions!D43</f>
        <v>0.3</v>
      </c>
      <c r="E9" s="4" t="n">
        <f aca="false">Assumptions!E43</f>
        <v>0.3</v>
      </c>
      <c r="F9" s="4" t="n">
        <f aca="false">Assumptions!F43</f>
        <v>0.3</v>
      </c>
      <c r="G9" s="4" t="n">
        <f aca="false">Assumptions!G43</f>
        <v>0.3</v>
      </c>
      <c r="H9" s="4" t="n">
        <f aca="false">Assumptions!H43</f>
        <v>0.3</v>
      </c>
      <c r="I9" s="4" t="n">
        <f aca="false">Assumptions!I43</f>
        <v>0.3</v>
      </c>
      <c r="J9" s="4" t="n">
        <f aca="false">Assumptions!J43</f>
        <v>0.3</v>
      </c>
      <c r="K9" s="4" t="n">
        <f aca="false">Assumptions!K43</f>
        <v>0.3</v>
      </c>
      <c r="L9" s="4" t="n">
        <f aca="false">Assumptions!L43</f>
        <v>0.3</v>
      </c>
    </row>
    <row r="10" customFormat="false" ht="15" hidden="false" customHeight="false" outlineLevel="0" collapsed="false">
      <c r="A10" s="0" t="s">
        <v>112</v>
      </c>
      <c r="C10" s="0" t="n">
        <f aca="false">-C6*C9/100</f>
        <v>-103.252032</v>
      </c>
      <c r="D10" s="0" t="n">
        <f aca="false">-D6*D9/100</f>
        <v>-110.47967424</v>
      </c>
      <c r="E10" s="0" t="n">
        <f aca="false">-E6*E9/100</f>
        <v>-119.3180481792</v>
      </c>
      <c r="F10" s="0" t="n">
        <f aca="false">-F6*F9/100</f>
        <v>-128.863492033536</v>
      </c>
      <c r="G10" s="0" t="n">
        <f aca="false">-G6*G9/100</f>
        <v>-137.883936475884</v>
      </c>
      <c r="H10" s="0" t="n">
        <f aca="false">-H6*H9/100</f>
        <v>-146.156972664437</v>
      </c>
      <c r="I10" s="0" t="n">
        <f aca="false">-I6*I9/100</f>
        <v>-153.464821297658</v>
      </c>
      <c r="J10" s="0" t="n">
        <f aca="false">-J6*J9/100</f>
        <v>-159.603414149565</v>
      </c>
      <c r="K10" s="0" t="n">
        <f aca="false">-K6*K9/100</f>
        <v>-165.1895336448</v>
      </c>
      <c r="L10" s="0" t="n">
        <f aca="false">-L6*L9/100</f>
        <v>-170.145219654144</v>
      </c>
    </row>
    <row r="11" customFormat="false" ht="15" hidden="false" customHeight="false" outlineLevel="0" collapsed="false">
      <c r="A11" s="0" t="s">
        <v>113</v>
      </c>
      <c r="C11" s="0" t="n">
        <f aca="false">C8+C10+C24</f>
        <v>2994.308928</v>
      </c>
      <c r="D11" s="0" t="n">
        <f aca="false">D8+D10+D24</f>
        <v>3424.86990144</v>
      </c>
      <c r="E11" s="0" t="n">
        <f aca="false">E8+E10+E24</f>
        <v>3937.4955899136</v>
      </c>
      <c r="F11" s="0" t="n">
        <f aca="false">F8+F10+F24</f>
        <v>4424.31322648474</v>
      </c>
      <c r="G11" s="0" t="n">
        <f aca="false">G8+G10+G24</f>
        <v>4917.86040097318</v>
      </c>
      <c r="H11" s="0" t="n">
        <f aca="false">H8+H10+H24</f>
        <v>5212.93202503157</v>
      </c>
      <c r="I11" s="0" t="n">
        <f aca="false">I8+I10+I24</f>
        <v>5473.57862628315</v>
      </c>
      <c r="J11" s="0" t="n">
        <f aca="false">J8+J10+J24</f>
        <v>5692.52177133448</v>
      </c>
      <c r="K11" s="0" t="n">
        <f aca="false">K8+K10+K24</f>
        <v>5891.76003333118</v>
      </c>
      <c r="L11" s="0" t="n">
        <f aca="false">L8+L10+L24</f>
        <v>6068.51283433112</v>
      </c>
    </row>
    <row r="12" customFormat="false" ht="15" hidden="false" customHeight="false" outlineLevel="0" collapsed="false">
      <c r="A12" s="0" t="s">
        <v>114</v>
      </c>
      <c r="C12" s="4" t="n">
        <f aca="false">-C6*Assumptions!C45/100</f>
        <v>-1273.441728</v>
      </c>
      <c r="D12" s="4" t="n">
        <f aca="false">-D6*Assumptions!D45/100</f>
        <v>-1362.58264896</v>
      </c>
      <c r="E12" s="4" t="n">
        <f aca="false">-E6*Assumptions!E45/100</f>
        <v>-1471.5892608768</v>
      </c>
      <c r="F12" s="4" t="n">
        <f aca="false">-F6*Assumptions!F45/100</f>
        <v>-1589.31640174694</v>
      </c>
      <c r="G12" s="4" t="n">
        <f aca="false">-G6*Assumptions!G45/100</f>
        <v>-1700.56854986923</v>
      </c>
      <c r="H12" s="4" t="n">
        <f aca="false">-H6*Assumptions!H45/100</f>
        <v>-1802.60266286138</v>
      </c>
      <c r="I12" s="4" t="n">
        <f aca="false">-I6*Assumptions!I45/100</f>
        <v>-1892.73279600445</v>
      </c>
      <c r="J12" s="4" t="n">
        <f aca="false">-J6*Assumptions!J45/100</f>
        <v>-1968.44210784463</v>
      </c>
      <c r="K12" s="4" t="n">
        <f aca="false">-K6*Assumptions!K45/100</f>
        <v>-2037.33758161919</v>
      </c>
      <c r="L12" s="4" t="n">
        <f aca="false">-L6*Assumptions!L45/100</f>
        <v>-2098.45770906777</v>
      </c>
    </row>
    <row r="13" customFormat="false" ht="15" hidden="false" customHeight="false" outlineLevel="0" collapsed="false">
      <c r="A13" s="0" t="s">
        <v>115</v>
      </c>
      <c r="C13" s="0" t="n">
        <f aca="false">C11+C12</f>
        <v>1720.8672</v>
      </c>
      <c r="D13" s="0" t="n">
        <f aca="false">D11+D12</f>
        <v>2062.28725248</v>
      </c>
      <c r="E13" s="0" t="n">
        <f aca="false">E11+E12</f>
        <v>2465.9063290368</v>
      </c>
      <c r="F13" s="0" t="n">
        <f aca="false">F11+F12</f>
        <v>2834.99682473779</v>
      </c>
      <c r="G13" s="0" t="n">
        <f aca="false">G11+G12</f>
        <v>3217.29185110395</v>
      </c>
      <c r="H13" s="0" t="n">
        <f aca="false">H11+H12</f>
        <v>3410.32936217019</v>
      </c>
      <c r="I13" s="0" t="n">
        <f aca="false">I11+I12</f>
        <v>3580.8458302787</v>
      </c>
      <c r="J13" s="0" t="n">
        <f aca="false">J11+J12</f>
        <v>3724.07966348985</v>
      </c>
      <c r="K13" s="0" t="n">
        <f aca="false">K11+K12</f>
        <v>3854.42245171199</v>
      </c>
      <c r="L13" s="0" t="n">
        <f aca="false">L11+L12</f>
        <v>3970.05512526335</v>
      </c>
    </row>
    <row r="14" customFormat="false" ht="15" hidden="false" customHeight="false" outlineLevel="0" collapsed="false">
      <c r="A14" s="0" t="s">
        <v>101</v>
      </c>
      <c r="C14" s="4" t="n">
        <f aca="false">Assumptions!C47</f>
        <v>10</v>
      </c>
      <c r="D14" s="4" t="n">
        <f aca="false">Assumptions!D47</f>
        <v>10.5</v>
      </c>
      <c r="E14" s="4" t="n">
        <f aca="false">Assumptions!E47</f>
        <v>11</v>
      </c>
      <c r="F14" s="4" t="n">
        <f aca="false">Assumptions!F47</f>
        <v>11.5</v>
      </c>
      <c r="G14" s="4" t="n">
        <f aca="false">Assumptions!G47</f>
        <v>12</v>
      </c>
      <c r="H14" s="4" t="n">
        <f aca="false">Assumptions!H47</f>
        <v>12</v>
      </c>
      <c r="I14" s="4" t="n">
        <f aca="false">Assumptions!I47</f>
        <v>12</v>
      </c>
      <c r="J14" s="4" t="n">
        <f aca="false">Assumptions!J47</f>
        <v>12</v>
      </c>
      <c r="K14" s="4" t="n">
        <f aca="false">Assumptions!K47</f>
        <v>12</v>
      </c>
      <c r="L14" s="4" t="n">
        <f aca="false">Assumptions!L47</f>
        <v>12</v>
      </c>
    </row>
    <row r="15" customFormat="false" ht="15" hidden="false" customHeight="false" outlineLevel="0" collapsed="false">
      <c r="A15" s="0" t="s">
        <v>116</v>
      </c>
      <c r="C15" s="0" t="n">
        <f aca="false">C13-MAX(0,C13)*C14/100</f>
        <v>1548.78048</v>
      </c>
      <c r="D15" s="0" t="n">
        <f aca="false">D13-MAX(0,D13)*D14/100</f>
        <v>1845.7470909696</v>
      </c>
      <c r="E15" s="0" t="n">
        <f aca="false">E13-MAX(0,E13)*E14/100</f>
        <v>2194.65663284275</v>
      </c>
      <c r="F15" s="0" t="n">
        <f aca="false">F13-MAX(0,F13)*F14/100</f>
        <v>2508.97218989295</v>
      </c>
      <c r="G15" s="0" t="n">
        <f aca="false">G13-MAX(0,G13)*G14/100</f>
        <v>2831.21682897148</v>
      </c>
      <c r="H15" s="0" t="n">
        <f aca="false">H13-MAX(0,H13)*H14/100</f>
        <v>3001.08983870976</v>
      </c>
      <c r="I15" s="0" t="n">
        <f aca="false">I13-MAX(0,I13)*I14/100</f>
        <v>3151.14433064525</v>
      </c>
      <c r="J15" s="0" t="n">
        <f aca="false">J13-MAX(0,J13)*J14/100</f>
        <v>3277.19010387106</v>
      </c>
      <c r="K15" s="0" t="n">
        <f aca="false">K13-MAX(0,K13)*K14/100</f>
        <v>3391.89175750655</v>
      </c>
      <c r="L15" s="0" t="n">
        <f aca="false">L13-MAX(0,L13)*L14/100</f>
        <v>3493.64851023175</v>
      </c>
    </row>
    <row r="16" customFormat="false" ht="15" hidden="false" customHeight="false" outlineLevel="0" collapsed="false">
      <c r="A16" s="0" t="s">
        <v>117</v>
      </c>
      <c r="C16" s="0" t="n">
        <f aca="false">-C12</f>
        <v>1273.441728</v>
      </c>
      <c r="D16" s="0" t="n">
        <f aca="false">-D12</f>
        <v>1362.58264896</v>
      </c>
      <c r="E16" s="0" t="n">
        <f aca="false">-E12</f>
        <v>1471.5892608768</v>
      </c>
      <c r="F16" s="0" t="n">
        <f aca="false">-F12</f>
        <v>1589.31640174694</v>
      </c>
      <c r="G16" s="0" t="n">
        <f aca="false">-G12</f>
        <v>1700.56854986923</v>
      </c>
      <c r="H16" s="0" t="n">
        <f aca="false">-H12</f>
        <v>1802.60266286138</v>
      </c>
      <c r="I16" s="0" t="n">
        <f aca="false">-I12</f>
        <v>1892.73279600445</v>
      </c>
      <c r="J16" s="0" t="n">
        <f aca="false">-J12</f>
        <v>1968.44210784463</v>
      </c>
      <c r="K16" s="0" t="n">
        <f aca="false">-K12</f>
        <v>2037.33758161919</v>
      </c>
      <c r="L16" s="0" t="n">
        <f aca="false">-L12</f>
        <v>2098.45770906777</v>
      </c>
    </row>
    <row r="17" customFormat="false" ht="15" hidden="false" customHeight="false" outlineLevel="0" collapsed="false">
      <c r="A17" s="0" t="s">
        <v>118</v>
      </c>
      <c r="C17" s="4" t="n">
        <f aca="false">-C6*Assumptions!C46/100</f>
        <v>-1720.8672</v>
      </c>
      <c r="D17" s="4" t="n">
        <f aca="false">-D6*Assumptions!D46/100</f>
        <v>-1804.50134592</v>
      </c>
      <c r="E17" s="4" t="n">
        <f aca="false">-E6*Assumptions!E46/100</f>
        <v>-1909.0887708672</v>
      </c>
      <c r="F17" s="4" t="n">
        <f aca="false">-F6*Assumptions!F46/100</f>
        <v>-2018.86137519206</v>
      </c>
      <c r="G17" s="4" t="n">
        <f aca="false">-G6*Assumptions!G46/100</f>
        <v>-2114.22035929688</v>
      </c>
      <c r="H17" s="4" t="n">
        <f aca="false">-H6*Assumptions!H46/100</f>
        <v>-2192.35458996655</v>
      </c>
      <c r="I17" s="4" t="n">
        <f aca="false">-I6*Assumptions!I46/100</f>
        <v>-2301.97231946488</v>
      </c>
      <c r="J17" s="4" t="n">
        <f aca="false">-J6*Assumptions!J46/100</f>
        <v>-2394.05121224347</v>
      </c>
      <c r="K17" s="4" t="n">
        <f aca="false">-K6*Assumptions!K46/100</f>
        <v>-2477.84300467199</v>
      </c>
      <c r="L17" s="4" t="n">
        <f aca="false">-L6*Assumptions!L46/100</f>
        <v>-2552.17829481215</v>
      </c>
    </row>
    <row r="18" customFormat="false" ht="15" hidden="false" customHeight="false" outlineLevel="0" collapsed="false">
      <c r="A18" s="0" t="s">
        <v>119</v>
      </c>
      <c r="C18" s="4" t="n">
        <f aca="false">(C6-B6)*Assumptions!$B$51/100</f>
        <v>-397.1232</v>
      </c>
      <c r="D18" s="4" t="n">
        <f aca="false">(D6-C6)*Assumptions!$B$51/100</f>
        <v>-722.764224000002</v>
      </c>
      <c r="E18" s="4" t="n">
        <f aca="false">(E6-D6)*Assumptions!$B$51/100</f>
        <v>-883.83739392</v>
      </c>
      <c r="F18" s="4" t="n">
        <f aca="false">(F6-E6)*Assumptions!$B$51/100</f>
        <v>-954.544385433601</v>
      </c>
      <c r="G18" s="4" t="n">
        <f aca="false">(G6-F6)*Assumptions!$B$51/100</f>
        <v>-902.044444234754</v>
      </c>
      <c r="H18" s="4" t="n">
        <f aca="false">(H6-G6)*Assumptions!$B$51/100</f>
        <v>-827.303618855303</v>
      </c>
      <c r="I18" s="4" t="n">
        <f aca="false">(I6-H6)*Assumptions!$B$51/100</f>
        <v>-730.784863322185</v>
      </c>
      <c r="J18" s="4" t="n">
        <f aca="false">(J6-I6)*Assumptions!$B$51/100</f>
        <v>-613.859285190635</v>
      </c>
      <c r="K18" s="4" t="n">
        <f aca="false">(K6-J6)*Assumptions!$B$51/100</f>
        <v>-558.611949523477</v>
      </c>
      <c r="L18" s="4" t="n">
        <f aca="false">(L6-K6)*Assumptions!$B$51/100</f>
        <v>-495.568600934399</v>
      </c>
    </row>
    <row r="19" customFormat="false" ht="15" hidden="false" customHeight="false" outlineLevel="0" collapsed="false">
      <c r="A19" s="0" t="s">
        <v>120</v>
      </c>
      <c r="C19" s="0" t="n">
        <f aca="false">C15+C16+C17+C18</f>
        <v>704.231808000001</v>
      </c>
      <c r="D19" s="0" t="n">
        <f aca="false">D15+D16+D17+D18</f>
        <v>681.064170009599</v>
      </c>
      <c r="E19" s="0" t="n">
        <f aca="false">E15+E16+E17+E18</f>
        <v>873.319728932352</v>
      </c>
      <c r="F19" s="0" t="n">
        <f aca="false">F15+F16+F17+F18</f>
        <v>1124.88283101422</v>
      </c>
      <c r="G19" s="0" t="n">
        <f aca="false">G15+G16+G17+G18</f>
        <v>1515.52057530907</v>
      </c>
      <c r="H19" s="0" t="n">
        <f aca="false">H15+H16+H17+H18</f>
        <v>1784.0342927493</v>
      </c>
      <c r="I19" s="0" t="n">
        <f aca="false">I15+I16+I17+I18</f>
        <v>2011.11994386265</v>
      </c>
      <c r="J19" s="0" t="n">
        <f aca="false">J15+J16+J17+J18</f>
        <v>2237.72171428159</v>
      </c>
      <c r="K19" s="0" t="n">
        <f aca="false">K15+K16+K17+K18</f>
        <v>2392.77438493028</v>
      </c>
      <c r="L19" s="0" t="n">
        <f aca="false">L15+L16+L17+L18</f>
        <v>2544.35932355296</v>
      </c>
    </row>
    <row r="20" customFormat="false" ht="15" hidden="false" customHeight="false" outlineLevel="0" collapsed="false">
      <c r="A20" s="0" t="s">
        <v>121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122</v>
      </c>
      <c r="C21" s="0" t="n">
        <f aca="false">C19*C20</f>
        <v>643.134071232877</v>
      </c>
      <c r="D21" s="0" t="n">
        <f aca="false">D19*D20</f>
        <v>568.014987185087</v>
      </c>
      <c r="E21" s="0" t="n">
        <f aca="false">E19*E20</f>
        <v>665.167335014</v>
      </c>
      <c r="F21" s="0" t="n">
        <f aca="false">F19*F20</f>
        <v>782.439580434594</v>
      </c>
      <c r="G21" s="0" t="n">
        <f aca="false">G19*G20</f>
        <v>962.700596740205</v>
      </c>
      <c r="H21" s="0" t="n">
        <f aca="false">H19*H20</f>
        <v>1034.94788910129</v>
      </c>
      <c r="I21" s="0" t="n">
        <f aca="false">I19*I20</f>
        <v>1065.4648789989</v>
      </c>
      <c r="J21" s="0" t="n">
        <f aca="false">J19*J20</f>
        <v>1082.66257057879</v>
      </c>
      <c r="K21" s="0" t="n">
        <f aca="false">K19*K20</f>
        <v>1057.2426589348</v>
      </c>
      <c r="L21" s="0" t="n">
        <f aca="false">L19*L20</f>
        <v>1026.6850832164</v>
      </c>
    </row>
    <row r="23" customFormat="false" ht="15" hidden="false" customHeight="false" outlineLevel="0" collapsed="false">
      <c r="A23" s="0" t="s">
        <v>98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124</v>
      </c>
    </row>
    <row r="27" customFormat="false" ht="15" hidden="false" customHeight="false" outlineLevel="0" collapsed="false">
      <c r="A27" s="0" t="s">
        <v>102</v>
      </c>
      <c r="B27" s="4" t="n">
        <f aca="false">Assumptions!$B$48</f>
        <v>9.5</v>
      </c>
    </row>
    <row r="28" customFormat="false" ht="15" hidden="false" customHeight="false" outlineLevel="0" collapsed="false">
      <c r="A28" s="0" t="s">
        <v>103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104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125</v>
      </c>
      <c r="B30" s="0" t="n">
        <f aca="false">SUM(C21:L21)</f>
        <v>8888.45965143694</v>
      </c>
    </row>
    <row r="31" customFormat="false" ht="15" hidden="false" customHeight="false" outlineLevel="0" collapsed="false">
      <c r="A31" s="0" t="s">
        <v>126</v>
      </c>
      <c r="B31" s="0" t="n">
        <f aca="false">L19</f>
        <v>2544.35932355296</v>
      </c>
    </row>
    <row r="32" customFormat="false" ht="15" hidden="false" customHeight="false" outlineLevel="0" collapsed="false">
      <c r="A32" s="0" t="s">
        <v>127</v>
      </c>
      <c r="B32" s="0" t="n">
        <f aca="false">IF(B27&gt;B28,B31*(1+B28/100)/((B27-B28)/100),B31*B29)</f>
        <v>37256.6900948827</v>
      </c>
    </row>
    <row r="33" customFormat="false" ht="15" hidden="false" customHeight="false" outlineLevel="0" collapsed="false">
      <c r="A33" s="0" t="s">
        <v>128</v>
      </c>
      <c r="B33" s="0" t="n">
        <f aca="false">B31*B29</f>
        <v>30532.3118826356</v>
      </c>
    </row>
    <row r="34" customFormat="false" ht="15" hidden="false" customHeight="false" outlineLevel="0" collapsed="false">
      <c r="A34" s="0" t="s">
        <v>129</v>
      </c>
      <c r="B34" s="0" t="n">
        <f aca="false">MAX(0,MIN(B32,B33))</f>
        <v>30532.3118826356</v>
      </c>
    </row>
    <row r="35" customFormat="false" ht="15" hidden="false" customHeight="false" outlineLevel="0" collapsed="false">
      <c r="A35" s="0" t="s">
        <v>130</v>
      </c>
      <c r="B35" s="0" t="n">
        <f aca="false">B34/(1+B27/100)^L4</f>
        <v>12320.2209985968</v>
      </c>
    </row>
    <row r="36" customFormat="false" ht="15" hidden="false" customHeight="false" outlineLevel="0" collapsed="false">
      <c r="A36" s="0" t="s">
        <v>131</v>
      </c>
      <c r="B36" s="0" t="n">
        <f aca="false">B30+B35</f>
        <v>21208.6806500337</v>
      </c>
    </row>
    <row r="37" customFormat="false" ht="15" hidden="false" customHeight="false" outlineLevel="0" collapsed="false">
      <c r="A37" s="0" t="s">
        <v>132</v>
      </c>
      <c r="B37" s="0" t="n">
        <f aca="false">B36+Assumptions!$B$5-Assumptions!$B$4</f>
        <v>25005.4806500337</v>
      </c>
    </row>
    <row r="38" customFormat="false" ht="15" hidden="false" customHeight="false" outlineLevel="0" collapsed="false">
      <c r="A38" s="0" t="s">
        <v>133</v>
      </c>
      <c r="B38" s="0" t="n">
        <f aca="false">B37/Assumptions!$B$3*Assumptions!$B$10</f>
        <v>3.6770302722337</v>
      </c>
    </row>
    <row r="39" customFormat="false" ht="15" hidden="false" customHeight="false" outlineLevel="0" collapsed="false">
      <c r="A39" s="0" t="s">
        <v>134</v>
      </c>
      <c r="B39" s="4" t="n">
        <f aca="false">B38/Assumptions!$B$2-1</f>
        <v>0.161778916977472</v>
      </c>
    </row>
    <row r="41" customFormat="false" ht="15" hidden="false" customHeight="false" outlineLevel="0" collapsed="false">
      <c r="A41" s="0" t="s">
        <v>135</v>
      </c>
      <c r="B41" s="0" t="n">
        <f aca="false">SUMPRODUCT(-C10:L10/(1+$B$27/100)^C4:L4)</f>
        <v>839.492533414152</v>
      </c>
    </row>
    <row r="42" customFormat="false" ht="15" hidden="false" customHeight="false" outlineLevel="0" collapsed="false">
      <c r="A42" s="0" t="s">
        <v>136</v>
      </c>
      <c r="B42" s="0" t="n">
        <f aca="false">IF(B27&gt;B28,-L10*(1+B28/100)/((B27-B28)/100),-L10*20)/(1+B27/100)^L4</f>
        <v>1005.32014549649</v>
      </c>
    </row>
    <row r="43" customFormat="false" ht="15" hidden="false" customHeight="false" outlineLevel="0" collapsed="false">
      <c r="A43" s="0" t="s">
        <v>137</v>
      </c>
      <c r="B43" s="0" t="n">
        <f aca="false">(B37+B41+B42)/Assumptions!$B$3*Assumptions!$B$10</f>
        <v>3.94830808376202</v>
      </c>
    </row>
    <row r="45" customFormat="false" ht="15" hidden="false" customHeight="false" outlineLevel="0" collapsed="false">
      <c r="A45" s="0" t="s">
        <v>78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138</v>
      </c>
      <c r="B46" s="0" t="n">
        <f aca="false">MAX(0,MIN(IF(B45&gt;B28,B31*(1+B28/100)/((B45-B28)/100),B31*B29),B31*B29))</f>
        <v>20863.7464531343</v>
      </c>
    </row>
    <row r="47" customFormat="false" ht="15" hidden="false" customHeight="false" outlineLevel="0" collapsed="false">
      <c r="A47" s="0" t="s">
        <v>139</v>
      </c>
      <c r="B47" s="0" t="n">
        <f aca="false">(SUMPRODUCT(C19:L19/(1+B45/100)^C4:L4)+B46/(1+B45/100)^L4+Assumptions!$B$5-Assumptions!$B$4)/Assumptions!$B$3*Assumptions!$B$10</f>
        <v>2.29693073906394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2" t="s">
        <v>143</v>
      </c>
      <c r="B3" s="2" t="s">
        <v>144</v>
      </c>
      <c r="C3" s="2" t="s">
        <v>134</v>
      </c>
      <c r="D3" s="2" t="s">
        <v>145</v>
      </c>
      <c r="E3" s="2" t="s">
        <v>137</v>
      </c>
      <c r="F3" s="2" t="s">
        <v>146</v>
      </c>
    </row>
    <row r="4" customFormat="false" ht="15" hidden="false" customHeight="false" outlineLevel="0" collapsed="false">
      <c r="A4" s="0" t="s">
        <v>147</v>
      </c>
      <c r="B4" s="4" t="n">
        <f aca="false">DCF_Bear!$B$38</f>
        <v>1.15638360840796</v>
      </c>
      <c r="C4" s="0" t="n">
        <f aca="false">B4/Assumptions!$B$2-1</f>
        <v>-0.634633930992746</v>
      </c>
      <c r="D4" s="4" t="n">
        <f aca="false">Assumptions!$B$24</f>
        <v>0.3</v>
      </c>
      <c r="E4" s="4" t="n">
        <f aca="false">DCF_Bear!$B$43</f>
        <v>1.36120737340004</v>
      </c>
      <c r="F4" s="4" t="n">
        <f aca="false">DCF_Bear!$B$47</f>
        <v>0.949238501523281</v>
      </c>
    </row>
    <row r="5" customFormat="false" ht="15" hidden="false" customHeight="false" outlineLevel="0" collapsed="false">
      <c r="A5" s="0" t="s">
        <v>148</v>
      </c>
      <c r="B5" s="4" t="n">
        <f aca="false">DCF_Base!$B$38</f>
        <v>2.42117901566343</v>
      </c>
      <c r="C5" s="0" t="n">
        <f aca="false">B5/Assumptions!$B$2-1</f>
        <v>-0.235014529016295</v>
      </c>
      <c r="D5" s="4" t="n">
        <f aca="false">Assumptions!$B$38</f>
        <v>0.5</v>
      </c>
      <c r="E5" s="4" t="n">
        <f aca="false">DCF_Base!$B$43</f>
        <v>2.65851102958108</v>
      </c>
      <c r="F5" s="4" t="n">
        <f aca="false">DCF_Base!$B$47</f>
        <v>1.61035531774286</v>
      </c>
    </row>
    <row r="6" customFormat="false" ht="15" hidden="false" customHeight="false" outlineLevel="0" collapsed="false">
      <c r="A6" s="0" t="s">
        <v>149</v>
      </c>
      <c r="B6" s="4" t="n">
        <f aca="false">DCF_Bull!$B$38</f>
        <v>3.6770302722337</v>
      </c>
      <c r="C6" s="0" t="n">
        <f aca="false">B6/Assumptions!$B$2-1</f>
        <v>0.161778916977472</v>
      </c>
      <c r="D6" s="4" t="n">
        <f aca="false">Assumptions!$B$52</f>
        <v>0.2</v>
      </c>
      <c r="E6" s="4" t="n">
        <f aca="false">DCF_Bull!$B$43</f>
        <v>3.94830808376202</v>
      </c>
      <c r="F6" s="4" t="n">
        <f aca="false">DCF_Bull!$B$47</f>
        <v>2.29693073906394</v>
      </c>
    </row>
    <row r="8" customFormat="false" ht="15" hidden="false" customHeight="false" outlineLevel="0" collapsed="false">
      <c r="A8" s="0" t="s">
        <v>150</v>
      </c>
      <c r="B8" s="0" t="n">
        <f aca="false">SUMPRODUCT(B4:B6,D4:D6)</f>
        <v>2.29291064480084</v>
      </c>
    </row>
    <row r="9" customFormat="false" ht="15" hidden="false" customHeight="false" outlineLevel="0" collapsed="false">
      <c r="A9" s="0" t="s">
        <v>151</v>
      </c>
      <c r="B9" s="0" t="n">
        <f aca="false">SUMPRODUCT(E4:E6,D4:D6)</f>
        <v>2.52727934356296</v>
      </c>
    </row>
    <row r="10" customFormat="false" ht="15" hidden="false" customHeight="false" outlineLevel="0" collapsed="false">
      <c r="A10" s="0" t="s">
        <v>152</v>
      </c>
      <c r="B10" s="0" t="n">
        <f aca="false">1-Assumptions!$B$2/B8</f>
        <v>-0.380341622634365</v>
      </c>
    </row>
    <row r="11" customFormat="false" ht="15" hidden="false" customHeight="false" outlineLevel="0" collapsed="false">
      <c r="A11" s="0" t="s">
        <v>153</v>
      </c>
      <c r="B11" s="0" t="n">
        <f aca="false">IF(ABS(B9-B8)&gt;0.01*ABS(B8),(Assumptions!$B$2-B8)/(B9-B8)*100,"n/a")</f>
        <v>372.101462270921</v>
      </c>
    </row>
    <row r="12" customFormat="false" ht="15" hidden="false" customHeight="false" outlineLevel="0" collapsed="false">
      <c r="A12" s="0" t="s">
        <v>154</v>
      </c>
      <c r="B12" s="0" t="n">
        <f aca="false">SUMPRODUCT(F4:F6,D4:D6)</f>
        <v>1.5493353571412</v>
      </c>
    </row>
    <row r="14" customFormat="false" ht="15" hidden="false" customHeight="false" outlineLevel="0" collapsed="false">
      <c r="A14" s="2" t="s">
        <v>155</v>
      </c>
      <c r="C14" s="0" t="s">
        <v>156</v>
      </c>
    </row>
    <row r="15" customFormat="false" ht="15" hidden="false" customHeight="false" outlineLevel="0" collapsed="false">
      <c r="A15" s="0" t="s">
        <v>157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2.49265361702922</v>
      </c>
      <c r="C15" s="3" t="n">
        <v>9</v>
      </c>
    </row>
    <row r="16" customFormat="false" ht="15" hidden="false" customHeight="false" outlineLevel="0" collapsed="false">
      <c r="A16" s="0" t="s">
        <v>158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2.42117901566343</v>
      </c>
      <c r="C16" s="3" t="n">
        <v>9.5</v>
      </c>
    </row>
    <row r="17" customFormat="false" ht="15" hidden="false" customHeight="false" outlineLevel="0" collapsed="false">
      <c r="A17" s="0" t="s">
        <v>159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2.35294633175791</v>
      </c>
      <c r="C17" s="3" t="n">
        <v>10</v>
      </c>
    </row>
    <row r="18" customFormat="false" ht="15" hidden="false" customHeight="false" outlineLevel="0" collapsed="false">
      <c r="A18" s="0" t="s">
        <v>160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2.22555507764703</v>
      </c>
      <c r="C18" s="3" t="n">
        <v>11</v>
      </c>
    </row>
    <row r="19" customFormat="false" ht="15" hidden="false" customHeight="false" outlineLevel="0" collapsed="false">
      <c r="A19" s="0" t="s">
        <v>161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2.02363059636342</v>
      </c>
      <c r="C19" s="3" t="n">
        <v>12</v>
      </c>
    </row>
    <row r="20" customFormat="false" ht="15" hidden="false" customHeight="false" outlineLevel="0" collapsed="false">
      <c r="A20" s="0" t="s">
        <v>162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1.61035531774286</v>
      </c>
      <c r="C20" s="3" t="n">
        <v>15</v>
      </c>
    </row>
    <row r="22" customFormat="false" ht="15" hidden="false" customHeight="false" outlineLevel="0" collapsed="false">
      <c r="A22" s="2" t="s">
        <v>163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2.72833216972271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2.72833216972271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2.72833216972271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2.72833216972271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2.72833216972271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2.56754516611341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2.56754516611341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2.56754516611341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2.56754516611341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2.56754516611341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2.42117901566343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2.42117901566343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2.42117901566343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2.42117901566343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2.42117901566343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2.22932416348448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2.28779035052217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2.28779035052217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2.28779035052217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2.28779035052217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2.02923216715528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2.07264611669926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2.12088383841479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2.16609318298227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2.16609318298227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2026-10-18T02:51:43Z</dcterms:created>
  <dc:creator>openpyxl</dc:creator>
  <dc:description/>
  <dc:language>en-NZ</dc:language>
  <cp:lastModifiedBy/>
  <dcterms:modified xsi:type="dcterms:W3CDTF">2026-10-18T02:51:43Z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