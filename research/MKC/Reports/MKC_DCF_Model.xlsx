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<sst xmlns="http://schemas.openxmlformats.org/spreadsheetml/2006/main" count="387" uniqueCount="175">
  <si>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</si>
  <si>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MKC</t>
  </si>
  <si>
    <t xml:space="preserve">Company</t>
  </si>
  <si>
    <t xml:space="preserve">McCormick &amp; Company, Incorporated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</si>
  <si>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</si>
  <si>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</si>
  <si>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</si>
  <si>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</si>
  <si>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API); 52-week range 43.94-72.41; price sits at the 52-week low</t>
  </si>
  <si>
    <t xml:space="preserve">Balance sheet date</t>
  </si>
  <si>
    <t xml:space="preserve">2026-08-31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</si>
  <si>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</si>
  <si>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</si>
  <si>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</si>
  <si>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</si>
  <si>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</si>
  <si>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</si>
  <si>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</si>
  <si>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</si>
  <si>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</si>
  <si>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</si>
  <si>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2026-10-02T01:03:03Z</t>
  </si>
  <si>
    <t xml:space="preserve">Drivers file</t>
  </si>
  <si>
    <t xml:space="preserve">MKC_Drivers.json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</si>
  <si>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</si>
  <si>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</si>
  <si>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</si>
  <si>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the standalone, consolidated McCormick (incl. 75% of McCormick de Mexico), SBC fully expensed and the share count held flat, 10-year component build at a 7% USD WACC with the terminal value capped at 15-20x year-10 FCF. The FY2026 base deliberately excludes the 866.8m non-cash MdM remeasurement gain, the ~170m of Unilever transaction costs and the ~29m tariff refund. The Herdez 25% NCI is deducted once in the bridge. Because a signed Reverse Morris Trust with Unilever Foods will, if completed in mid-2027, dilute legacy holders to ~35% of a ~21bn-revenue company carrying ~21bn of net debt, the file also carries a hand-built deal-completes estimate and a 75/25 deal-weighted memo; the standalone number is the deal-breaks leg of that weighting.
key_risks_to_valuation: Unilever Foods RMT closes (expected mid-2027): legacy holders are diluted to ~35.0%, consolidated net leverage rises to ~3.6-4.0x EBITDA, and value per legacy share depends on a 600m synergy programme and the multiple the market grants a levered food conglomerate (46.8-61.7 across 10-12x in the memo) rather than on this standalone model; Deal breaks: 75m expense reimbursement (failed vote) or 420m termination fee (board change of recommendation / competing bid), plus the ~75m of bridge fees already paid and ~2 years of management distraction; Volume: three years of flat-to-negative Consumer volume; FY2026 organic growth is price-only (1-3%), so any further private-label trade-down turns the base case into the bear; Input costs: FY2026 cost inflation raised to 6-7% (pepper, garlic, vanilla, freight via the Middle East); tariff policy remains a swing factor after the IEEPA refund; Discount-rate sensitivity: ~70% of value is terminal; at a 7% WACC the Gordon value (22.8x) exceeds the 18x cap, so the cap binds and value is a multiple call; McCormick de Mexico: 25% remains with Grupo Herdez; peso translation now a larger exposure; the 866.8m gain is a fair-value mark, not cash</t>
  </si>
  <si>
    <t xml:space="preserve">Data sources</t>
  </si>
  <si>
    <t xml:space="preserve">price: Yahoo Finance chart API at inputs.price_as_of (regular close); 52-week range 43.94-72.41
financials: MKC_Metrics.csv / MKC.duckdb (core_metrics, XBRL-derived) for FY2008-Q3 FY2026; SEC XBRL companyfacts CIK 63754 for component tags (D&amp;A, SBC, equity-award withholding, interest expense, NCI, debt); Q3 FY2026 10-Q (filed 2026-10-01) for the balance sheet at 2026-08-31, Note 2 (McCormick de Mexico, Unilever merger) and MD&amp;A outlook; Q3 FY2026 earnings release (8-K 2026-10-01 Ex 99.1) for the reaffirmed FY2026 guide and non-GAAP reconciliation; 8-K filed 2026-04-01 for the merger agreement terms
qualitative: MKC_Analysis.json (2026-10-02) for business model, moat, bull/bear axes and guidance; 8-Ks of 2026-04-15, 2026-05-01, 2026-09-24 for integration, term-loan and auditor-change context</t>
  </si>
  <si>
    <t xml:space="preserve">Scenario narrative: bear</t>
  </si>
  <si>
    <t xml:space="preserve">Value-seeking consumers and retailer consolidation push private label; price realisation falls to ~1.5% with flat-to-down volume; 6-7% input inflation (raised at Q3 FY2026) and Middle-East freight costs outrun CCI, compressing the margin ~1.5pp; the Unilever process absorbs management for two years (and, if the vote fails, costs 75m of reimbursement or, on a board change of recommendation, a 420m fee). A slow-growth, ex-growth staple capped at 15x FCF.</t>
  </si>
  <si>
    <t xml:space="preserve">Scenario narrative: base</t>
  </si>
  <si>
    <t xml:space="preserve">Standalone McCormick as a 60%-share global spice leader with a newly controlled Mexican condiments platform: ~3% organic growth driven mostly by price, volumes roughly flat, gross margin expanding ~100bp on CCI, adjusted operating margin drifting from ~16.5% toward ~18% (pre-SBC EBITDA 21% -&gt; 22%). The FY2026 guide (sales +13-17%, adj OI +16-20%, adj EPS 3.05-3.13, tax 24%) is taken at its midpoint for the FY0 anchor. The Q1 FY2026 866.8m remeasurement gain and the ~170m of FY2026 Unilever transaction costs are both excluded as one-offs.</t>
  </si>
  <si>
    <t xml:space="preserve">Scenario narrative: bull</t>
  </si>
  <si>
    <t xml:space="preserve">Volume growth returns as brand marketing (+low-to-mid-teens spend) and Flavor Solutions' QSR/foodservice recovery lift organic growth to 4-4.5%; McCormick de Mexico compounds high single digits; CCI and mix take the pre-SBC EBITDA margin to 23%. The market re-rates a 23%-EBITDA-margin branded staple back toward its historical ~20x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</si>
  <si>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</si>
  <si>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</si>
  <si>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</si>
  <si>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</si>
  <si>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</si>
  <si>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</si>
  <si>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</si>
  <si>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</si>
  <si>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</si>
  <si>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</si>
  <si>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</si>
  <si>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</si>
  <si>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</si>
  <si>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</si>
  <si>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</si>
  <si>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</si>
  <si>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</si>
  <si>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</si>
  <si>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</si>
  <si>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</si>
  <si>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</si>
  <si>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</si>
  <si>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</si>
  <si>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</si>
  <si>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</si>
  <si>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</si>
  <si>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</si>
  <si>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</si>
  <si>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</si>
  <si>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</si>
  <si>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</si>
  <si>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</si>
  <si>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</si>
  <si>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</si>
  <si>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</si>
  <si>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</si>
  <si>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</si>
  <si>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</si>
  <si>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</si>
  <si>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</si>
  <si>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</si>
  <si>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</si>
  <si>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</si>
  <si>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</si>
  <si>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</si>
  <si>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</si>
  <si>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</si>
  <si>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</si>
  <si>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</si>
  <si>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</si>
  <si>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</si>
  <si>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</si>
  <si>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</si>
  <si>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</si>
  <si>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</si>
  <si>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</si>
  <si>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</si>
  <si>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</si>
  <si>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</si>
  <si>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</si>
  <si>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</si>
  <si>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</si>
  <si>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</si>
  <si>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</si>
  <si>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</si>
  <si>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</si>
  <si>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</si>
  <si>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</si>
  <si>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</si>
  <si>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</si>
  <si>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</si>
  <si>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</si>
  <si>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</si>
  <si>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</si>
  <si>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</si>
  <si>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</si>
  <si>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</si>
  <si>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</si>
  <si>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</si>
  <si>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</si>
  <si>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</si>
  <si>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</si>
  <si>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</si>
  <si>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</si>
  <si>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MKC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</si>
  <si>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</si>
  <si>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</si>
  <si>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</si>
  <si>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</si>
  <si>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</si>
  <si>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</si>
  <si>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</si>
  <si>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</si>
  <si>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</si>
  <si>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</si>
  <si>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</si>
  <si>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</si>
  <si>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</si>
  <si>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</si>
  <si>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</si>
  <si>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</si>
  <si>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</si>
  <si>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</si>
  <si>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</si>
  <si>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</si>
  <si>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</si>
  <si>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</si>
  <si>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</si>
  <si>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</si>
  <si>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</si>
  <si>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</si>
  <si>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</si>
  <si>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</si>
  <si>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</si>
  <si>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</si>
  <si>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MKC owner-FCF component DCF: base case (millions, USD)</t>
  </si>
  <si>
    <t xml:space="preserve">MKC owner-FCF component DCF: bull case (millions, USD)</t>
  </si>
  <si>
    <t xml:space="preserve">MKC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</si>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</sst>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1095</v>
      </c>
      <c r="S2" s="0" t="n">
        <v>45.9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3176.6</v>
      </c>
      <c r="D3" s="0" t="n">
        <v>1288.2</v>
      </c>
      <c r="E3" s="0" t="n">
        <v>40.5527922936473</v>
      </c>
      <c r="F3" s="0" t="n">
        <v>376.5</v>
      </c>
      <c r="G3" s="0" t="n">
        <v>11.8522949065038</v>
      </c>
      <c r="H3" s="0" t="n">
        <v>462.1</v>
      </c>
      <c r="I3" s="0" t="n">
        <v>255.8</v>
      </c>
      <c r="J3" s="0" t="n">
        <v>8.05263489265252</v>
      </c>
      <c r="K3" s="0" t="n">
        <v>1.98</v>
      </c>
      <c r="L3" s="0" t="n">
        <v>314.6</v>
      </c>
      <c r="M3" s="0" t="n">
        <v>85.8</v>
      </c>
      <c r="N3" s="0" t="n">
        <v>228.8</v>
      </c>
      <c r="O3" s="0" t="n">
        <v>1062.8</v>
      </c>
      <c r="S3" s="0" t="n">
        <v>38.9</v>
      </c>
      <c r="U3" s="0" t="n">
        <v>18.2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3192.1</v>
      </c>
      <c r="D4" s="0" t="n">
        <v>1327.2</v>
      </c>
      <c r="E4" s="0" t="n">
        <v>41.5776448106262</v>
      </c>
      <c r="F4" s="0" t="n">
        <v>466.9</v>
      </c>
      <c r="G4" s="0" t="n">
        <v>14.6267347514176</v>
      </c>
      <c r="H4" s="0" t="n">
        <v>561.2</v>
      </c>
      <c r="I4" s="0" t="n">
        <v>299.8</v>
      </c>
      <c r="J4" s="0" t="n">
        <v>9.3919363428464</v>
      </c>
      <c r="K4" s="0" t="n">
        <v>2.29</v>
      </c>
      <c r="L4" s="0" t="n">
        <v>415.8</v>
      </c>
      <c r="M4" s="0" t="n">
        <v>82.4</v>
      </c>
      <c r="N4" s="0" t="n">
        <v>333.4</v>
      </c>
      <c r="O4" s="0" t="n">
        <v>1343.5</v>
      </c>
      <c r="P4" s="0" t="n">
        <v>3387.8</v>
      </c>
      <c r="Q4" s="0" t="n">
        <v>2044.3</v>
      </c>
      <c r="R4" s="0" t="n">
        <v>889.9</v>
      </c>
      <c r="S4" s="0" t="n">
        <v>39.5</v>
      </c>
      <c r="T4" s="0" t="n">
        <v>132.3</v>
      </c>
      <c r="U4" s="0" t="n">
        <v>12.7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3336.8</v>
      </c>
      <c r="D5" s="0" t="n">
        <v>1417.7</v>
      </c>
      <c r="E5" s="0" t="n">
        <v>42.4868137137377</v>
      </c>
      <c r="F5" s="0" t="n">
        <v>509.8</v>
      </c>
      <c r="G5" s="0" t="n">
        <v>15.2781107648046</v>
      </c>
      <c r="H5" s="0" t="n">
        <v>604.9</v>
      </c>
      <c r="I5" s="0" t="n">
        <v>370.2</v>
      </c>
      <c r="J5" s="0" t="n">
        <v>11.0944617597698</v>
      </c>
      <c r="K5" s="0" t="n">
        <v>2.79</v>
      </c>
      <c r="L5" s="0" t="n">
        <v>387.5</v>
      </c>
      <c r="M5" s="0" t="n">
        <v>89</v>
      </c>
      <c r="N5" s="0" t="n">
        <v>298.5</v>
      </c>
      <c r="O5" s="0" t="n">
        <v>1462.7</v>
      </c>
      <c r="P5" s="0" t="n">
        <v>3419.7</v>
      </c>
      <c r="Q5" s="0" t="n">
        <v>1957</v>
      </c>
      <c r="R5" s="0" t="n">
        <v>980.3</v>
      </c>
      <c r="S5" s="0" t="n">
        <v>50.8</v>
      </c>
      <c r="T5" s="0" t="n">
        <v>134.7</v>
      </c>
      <c r="U5" s="0" t="n">
        <v>11.9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3697.6</v>
      </c>
      <c r="D6" s="0" t="n">
        <v>1522.5</v>
      </c>
      <c r="E6" s="0" t="n">
        <v>41.1753569883168</v>
      </c>
      <c r="F6" s="0" t="n">
        <v>540.3</v>
      </c>
      <c r="G6" s="0" t="n">
        <v>14.6121808740805</v>
      </c>
      <c r="H6" s="0" t="n">
        <v>638.6</v>
      </c>
      <c r="I6" s="0" t="n">
        <v>374.2</v>
      </c>
      <c r="J6" s="0" t="n">
        <v>10.12007788836</v>
      </c>
      <c r="K6" s="0" t="n">
        <v>2.82</v>
      </c>
      <c r="L6" s="0" t="n">
        <v>340</v>
      </c>
      <c r="M6" s="0" t="n">
        <v>96.7</v>
      </c>
      <c r="N6" s="0" t="n">
        <v>243.3</v>
      </c>
      <c r="O6" s="0" t="n">
        <v>1618.5</v>
      </c>
      <c r="P6" s="0" t="n">
        <v>4087.8</v>
      </c>
      <c r="Q6" s="0" t="n">
        <v>2469.3</v>
      </c>
      <c r="R6" s="0" t="n">
        <v>1040.5</v>
      </c>
      <c r="S6" s="0" t="n">
        <v>53.9</v>
      </c>
      <c r="T6" s="0" t="n">
        <v>134.3</v>
      </c>
      <c r="U6" s="0" t="n">
        <v>13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4014.2</v>
      </c>
      <c r="D7" s="0" t="n">
        <v>1617.8</v>
      </c>
      <c r="E7" s="0" t="n">
        <v>40.3019281550496</v>
      </c>
      <c r="F7" s="0" t="n">
        <v>578.3</v>
      </c>
      <c r="G7" s="0" t="n">
        <v>14.4063574311195</v>
      </c>
      <c r="H7" s="0" t="n">
        <v>681.1</v>
      </c>
      <c r="I7" s="0" t="n">
        <v>407.8</v>
      </c>
      <c r="J7" s="0" t="n">
        <v>10.1589357779881</v>
      </c>
      <c r="K7" s="0" t="n">
        <v>3.07</v>
      </c>
      <c r="L7" s="0" t="n">
        <v>455</v>
      </c>
      <c r="M7" s="0" t="n">
        <v>110.3</v>
      </c>
      <c r="N7" s="0" t="n">
        <v>344.7</v>
      </c>
      <c r="O7" s="0" t="n">
        <v>1700.2</v>
      </c>
      <c r="P7" s="0" t="n">
        <v>4165.4</v>
      </c>
      <c r="Q7" s="0" t="n">
        <v>2465.2</v>
      </c>
      <c r="R7" s="0" t="n">
        <v>1283.8</v>
      </c>
      <c r="S7" s="0" t="n">
        <v>79</v>
      </c>
      <c r="T7" s="0" t="n">
        <v>134.3</v>
      </c>
      <c r="U7" s="0" t="n">
        <v>20.2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4123.4</v>
      </c>
      <c r="D8" s="0" t="n">
        <v>1665.8</v>
      </c>
      <c r="E8" s="0" t="n">
        <v>40.3987001018577</v>
      </c>
      <c r="F8" s="0" t="n">
        <v>550.5</v>
      </c>
      <c r="G8" s="0" t="n">
        <v>13.3506329727895</v>
      </c>
      <c r="H8" s="0" t="n">
        <v>656.5</v>
      </c>
      <c r="I8" s="0" t="n">
        <v>389</v>
      </c>
      <c r="J8" s="0" t="n">
        <v>9.43396226415094</v>
      </c>
      <c r="K8" s="0" t="n">
        <v>2.94</v>
      </c>
      <c r="L8" s="0" t="n">
        <v>465.2</v>
      </c>
      <c r="M8" s="0" t="n">
        <v>99.9</v>
      </c>
      <c r="N8" s="0" t="n">
        <v>365.3</v>
      </c>
      <c r="O8" s="0" t="n">
        <v>1947.7</v>
      </c>
      <c r="P8" s="0" t="n">
        <v>4449.7</v>
      </c>
      <c r="Q8" s="0" t="n">
        <v>2502</v>
      </c>
      <c r="R8" s="0" t="n">
        <v>1024</v>
      </c>
      <c r="S8" s="0" t="n">
        <v>63</v>
      </c>
      <c r="T8" s="0" t="n">
        <v>133.6</v>
      </c>
      <c r="U8" s="0" t="n">
        <v>18.7</v>
      </c>
      <c r="V8" s="0" t="n">
        <v>1.39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4243.2</v>
      </c>
      <c r="D9" s="0" t="n">
        <v>1730.2</v>
      </c>
      <c r="E9" s="0" t="n">
        <v>40.7758295625943</v>
      </c>
      <c r="F9" s="0" t="n">
        <v>603</v>
      </c>
      <c r="G9" s="0" t="n">
        <v>14.2109728506787</v>
      </c>
      <c r="H9" s="0" t="n">
        <v>705.7</v>
      </c>
      <c r="I9" s="0" t="n">
        <v>437.9</v>
      </c>
      <c r="J9" s="0" t="n">
        <v>10.3200414781297</v>
      </c>
      <c r="K9" s="0" t="n">
        <v>3.37</v>
      </c>
      <c r="L9" s="0" t="n">
        <v>503.6</v>
      </c>
      <c r="M9" s="0" t="n">
        <v>132.7</v>
      </c>
      <c r="N9" s="0" t="n">
        <v>370.9</v>
      </c>
      <c r="O9" s="0" t="n">
        <v>1809.4</v>
      </c>
      <c r="P9" s="0" t="n">
        <v>4382.3</v>
      </c>
      <c r="Q9" s="0" t="n">
        <v>2604.9</v>
      </c>
      <c r="R9" s="0" t="n">
        <v>1016.5</v>
      </c>
      <c r="S9" s="0" t="n">
        <v>77.3</v>
      </c>
      <c r="T9" s="0" t="n">
        <v>131</v>
      </c>
      <c r="U9" s="0" t="n">
        <v>18.2</v>
      </c>
      <c r="V9" s="0" t="n">
        <v>1.51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4296.3</v>
      </c>
      <c r="D10" s="0" t="n">
        <v>1737.3</v>
      </c>
      <c r="E10" s="0" t="n">
        <v>40.4371203128273</v>
      </c>
      <c r="F10" s="0" t="n">
        <v>548.4</v>
      </c>
      <c r="G10" s="0" t="n">
        <v>12.7644717547657</v>
      </c>
      <c r="H10" s="0" t="n">
        <v>654.3</v>
      </c>
      <c r="I10" s="0" t="n">
        <v>401.6</v>
      </c>
      <c r="J10" s="0" t="n">
        <v>9.34757814863953</v>
      </c>
      <c r="K10" s="0" t="n">
        <v>3.14</v>
      </c>
      <c r="L10" s="0" t="n">
        <v>590</v>
      </c>
      <c r="M10" s="0" t="n">
        <v>128.4</v>
      </c>
      <c r="N10" s="0" t="n">
        <v>461.6</v>
      </c>
      <c r="O10" s="0" t="n">
        <v>1686.9</v>
      </c>
      <c r="P10" s="0" t="n">
        <v>4472.6</v>
      </c>
      <c r="Q10" s="0" t="n">
        <v>2785.7</v>
      </c>
      <c r="R10" s="0" t="n">
        <v>1458.4</v>
      </c>
      <c r="S10" s="0" t="n">
        <v>112.6</v>
      </c>
      <c r="T10" s="0" t="n">
        <v>129.2</v>
      </c>
      <c r="U10" s="0" t="n">
        <v>18.7</v>
      </c>
      <c r="V10" s="0" t="n">
        <v>1.63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4411.5</v>
      </c>
      <c r="C11" s="0" t="n">
        <v>2579.8</v>
      </c>
      <c r="D11" s="0" t="n">
        <v>1831.7</v>
      </c>
      <c r="E11" s="0" t="n">
        <v>41.521024594809</v>
      </c>
      <c r="F11" s="0" t="n">
        <v>641</v>
      </c>
      <c r="G11" s="0" t="n">
        <v>14.5302051456421</v>
      </c>
      <c r="H11" s="0" t="n">
        <v>749.7</v>
      </c>
      <c r="I11" s="0" t="n">
        <v>472.3</v>
      </c>
      <c r="J11" s="0" t="n">
        <v>10.7061090332087</v>
      </c>
      <c r="K11" s="0" t="n">
        <v>3.73</v>
      </c>
      <c r="L11" s="0" t="n">
        <v>658.1</v>
      </c>
      <c r="M11" s="0" t="n">
        <v>153.8</v>
      </c>
      <c r="N11" s="0" t="n">
        <v>504.3</v>
      </c>
      <c r="O11" s="0" t="n">
        <v>1638.1</v>
      </c>
      <c r="P11" s="0" t="n">
        <v>4635.9</v>
      </c>
      <c r="Q11" s="0" t="n">
        <v>2997.8</v>
      </c>
      <c r="R11" s="0" t="n">
        <v>1059.8</v>
      </c>
      <c r="S11" s="0" t="n">
        <v>118.4</v>
      </c>
      <c r="T11" s="0" t="n">
        <v>128</v>
      </c>
      <c r="U11" s="0" t="n">
        <v>25.6</v>
      </c>
      <c r="V11" s="0" t="n">
        <v>1.76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4730.3</v>
      </c>
      <c r="C12" s="0" t="n">
        <v>2936.3</v>
      </c>
      <c r="D12" s="0" t="n">
        <v>1794</v>
      </c>
      <c r="E12" s="0" t="n">
        <v>37.9257129568949</v>
      </c>
      <c r="F12" s="0" t="n">
        <v>699.8</v>
      </c>
      <c r="G12" s="0" t="n">
        <v>14.7939876963406</v>
      </c>
      <c r="H12" s="0" t="n">
        <v>825</v>
      </c>
      <c r="I12" s="0" t="n">
        <v>477.4</v>
      </c>
      <c r="J12" s="0" t="n">
        <v>10.0923831469463</v>
      </c>
      <c r="K12" s="0" t="n">
        <v>3.77</v>
      </c>
      <c r="L12" s="0" t="n">
        <v>815.3</v>
      </c>
      <c r="M12" s="0" t="n">
        <v>182.4</v>
      </c>
      <c r="N12" s="0" t="n">
        <v>632.9</v>
      </c>
      <c r="O12" s="0" t="n">
        <v>2570.9</v>
      </c>
      <c r="P12" s="0" t="n">
        <v>10385.8</v>
      </c>
      <c r="Q12" s="0" t="n">
        <v>7814.9</v>
      </c>
      <c r="R12" s="0" t="n">
        <v>5095.1</v>
      </c>
      <c r="S12" s="0" t="n">
        <v>186.8</v>
      </c>
      <c r="T12" s="0" t="n">
        <v>128.4</v>
      </c>
      <c r="U12" s="0" t="n">
        <v>23.9</v>
      </c>
      <c r="V12" s="0" t="n">
        <v>1.93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5302.8</v>
      </c>
      <c r="C13" s="0" t="n">
        <v>3209.5</v>
      </c>
      <c r="D13" s="0" t="n">
        <v>2093.3</v>
      </c>
      <c r="E13" s="0" t="n">
        <v>39.4753715018481</v>
      </c>
      <c r="F13" s="0" t="n">
        <v>891.1</v>
      </c>
      <c r="G13" s="0" t="n">
        <v>16.8043297880365</v>
      </c>
      <c r="H13" s="0" t="n">
        <v>1041.8</v>
      </c>
      <c r="I13" s="0" t="n">
        <v>933.4</v>
      </c>
      <c r="J13" s="0" t="n">
        <v>17.6020215735083</v>
      </c>
      <c r="K13" s="0" t="n">
        <v>3.55</v>
      </c>
      <c r="L13" s="0" t="n">
        <v>821.2</v>
      </c>
      <c r="M13" s="0" t="n">
        <v>169.1</v>
      </c>
      <c r="N13" s="0" t="n">
        <v>652.1</v>
      </c>
      <c r="O13" s="0" t="n">
        <v>3182.2</v>
      </c>
      <c r="P13" s="0" t="n">
        <v>10256.4</v>
      </c>
      <c r="Q13" s="0" t="n">
        <v>7074.2</v>
      </c>
      <c r="R13" s="0" t="n">
        <v>4219.9</v>
      </c>
      <c r="S13" s="0" t="n">
        <v>96.6</v>
      </c>
      <c r="T13" s="0" t="n">
        <v>266.5</v>
      </c>
      <c r="U13" s="0" t="n">
        <v>25.6</v>
      </c>
      <c r="V13" s="0" t="n">
        <v>1.07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5347.4</v>
      </c>
      <c r="C14" s="0" t="n">
        <v>3202.1</v>
      </c>
      <c r="D14" s="0" t="n">
        <v>2145.3</v>
      </c>
      <c r="E14" s="0" t="n">
        <v>40.118562291955</v>
      </c>
      <c r="F14" s="0" t="n">
        <v>957.7</v>
      </c>
      <c r="G14" s="0" t="n">
        <v>17.9096383289075</v>
      </c>
      <c r="H14" s="0" t="n">
        <v>1116.5</v>
      </c>
      <c r="I14" s="0" t="n">
        <v>702.7</v>
      </c>
      <c r="J14" s="0" t="n">
        <v>13.1409657029585</v>
      </c>
      <c r="K14" s="0" t="n">
        <v>2.65</v>
      </c>
      <c r="L14" s="0" t="n">
        <v>946.8</v>
      </c>
      <c r="M14" s="0" t="n">
        <v>173.7</v>
      </c>
      <c r="N14" s="0" t="n">
        <v>773.1</v>
      </c>
      <c r="O14" s="0" t="n">
        <v>3456.7</v>
      </c>
      <c r="P14" s="0" t="n">
        <v>10362.1</v>
      </c>
      <c r="Q14" s="0" t="n">
        <v>6905.4</v>
      </c>
      <c r="R14" s="0" t="n">
        <v>3821.2</v>
      </c>
      <c r="S14" s="0" t="n">
        <v>155.4</v>
      </c>
      <c r="T14" s="0" t="n">
        <v>268.1</v>
      </c>
      <c r="U14" s="0" t="n">
        <v>37.2</v>
      </c>
      <c r="V14" s="0" t="n">
        <v>1.17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5601.3</v>
      </c>
      <c r="C15" s="0" t="n">
        <v>3300.9</v>
      </c>
      <c r="D15" s="0" t="n">
        <v>2300.4</v>
      </c>
      <c r="E15" s="0" t="n">
        <v>41.0690375448557</v>
      </c>
      <c r="F15" s="0" t="n">
        <v>999.5</v>
      </c>
      <c r="G15" s="0" t="n">
        <v>17.8440719118776</v>
      </c>
      <c r="H15" s="0" t="n">
        <v>1164.5</v>
      </c>
      <c r="I15" s="0" t="n">
        <v>747.4</v>
      </c>
      <c r="J15" s="0" t="n">
        <v>13.3433310124435</v>
      </c>
      <c r="K15" s="0" t="n">
        <v>2.8</v>
      </c>
      <c r="L15" s="0" t="n">
        <v>1041.3</v>
      </c>
      <c r="M15" s="0" t="n">
        <v>225.3</v>
      </c>
      <c r="N15" s="0" t="n">
        <v>816</v>
      </c>
      <c r="O15" s="0" t="n">
        <v>3940</v>
      </c>
      <c r="P15" s="0" t="n">
        <v>12089.7</v>
      </c>
      <c r="Q15" s="0" t="n">
        <v>8149.7</v>
      </c>
      <c r="R15" s="0" t="n">
        <v>4281.6</v>
      </c>
      <c r="S15" s="0" t="n">
        <v>423.6</v>
      </c>
      <c r="T15" s="0" t="n">
        <v>269.1</v>
      </c>
      <c r="U15" s="0" t="n">
        <v>46</v>
      </c>
      <c r="V15" s="0" t="n">
        <v>1.27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6317.9</v>
      </c>
      <c r="C16" s="0" t="n">
        <v>3823.3</v>
      </c>
      <c r="D16" s="0" t="n">
        <v>2494.6</v>
      </c>
      <c r="E16" s="0" t="n">
        <v>39.4846388831732</v>
      </c>
      <c r="F16" s="0" t="n">
        <v>1015.1</v>
      </c>
      <c r="G16" s="0" t="n">
        <v>16.0670475949287</v>
      </c>
      <c r="H16" s="0" t="n">
        <v>1201.4</v>
      </c>
      <c r="I16" s="0" t="n">
        <v>755.3</v>
      </c>
      <c r="J16" s="0" t="n">
        <v>11.9549217303218</v>
      </c>
      <c r="K16" s="0" t="n">
        <v>2.83</v>
      </c>
      <c r="L16" s="0" t="n">
        <v>828.3</v>
      </c>
      <c r="M16" s="0" t="n">
        <v>278</v>
      </c>
      <c r="N16" s="0" t="n">
        <v>550.3</v>
      </c>
      <c r="O16" s="0" t="n">
        <v>4425.5</v>
      </c>
      <c r="P16" s="0" t="n">
        <v>12905.8</v>
      </c>
      <c r="Q16" s="0" t="n">
        <v>8480.3</v>
      </c>
      <c r="R16" s="0" t="n">
        <v>5513.9</v>
      </c>
      <c r="S16" s="0" t="n">
        <v>351.7</v>
      </c>
      <c r="T16" s="0" t="n">
        <v>269.9</v>
      </c>
      <c r="U16" s="0" t="n">
        <v>66.6</v>
      </c>
      <c r="V16" s="0" t="n">
        <v>1.39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6350.5</v>
      </c>
      <c r="C17" s="0" t="n">
        <v>4076</v>
      </c>
      <c r="D17" s="0" t="n">
        <v>2274.5</v>
      </c>
      <c r="E17" s="0" t="n">
        <v>35.8160774742146</v>
      </c>
      <c r="F17" s="0" t="n">
        <v>863.6</v>
      </c>
      <c r="G17" s="0" t="n">
        <v>13.5989292181718</v>
      </c>
      <c r="H17" s="0" t="n">
        <v>1064.2</v>
      </c>
      <c r="I17" s="0" t="n">
        <v>682</v>
      </c>
      <c r="J17" s="0" t="n">
        <v>10.7393118652075</v>
      </c>
      <c r="K17" s="0" t="n">
        <v>2.54</v>
      </c>
      <c r="L17" s="0" t="n">
        <v>651.5</v>
      </c>
      <c r="M17" s="0" t="n">
        <v>262</v>
      </c>
      <c r="N17" s="0" t="n">
        <v>389.5</v>
      </c>
      <c r="O17" s="0" t="n">
        <v>4699.2</v>
      </c>
      <c r="P17" s="0" t="n">
        <v>13124.9</v>
      </c>
      <c r="Q17" s="0" t="n">
        <v>8425.7</v>
      </c>
      <c r="R17" s="0" t="n">
        <v>4183.5</v>
      </c>
      <c r="S17" s="0" t="n">
        <v>334</v>
      </c>
      <c r="T17" s="0" t="n">
        <v>270.2</v>
      </c>
      <c r="U17" s="0" t="n">
        <v>60.3</v>
      </c>
      <c r="V17" s="0" t="n">
        <v>1.5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6662.2</v>
      </c>
      <c r="C18" s="0" t="n">
        <v>4159.7</v>
      </c>
      <c r="D18" s="0" t="n">
        <v>2502.5</v>
      </c>
      <c r="E18" s="0" t="n">
        <v>37.5626669868812</v>
      </c>
      <c r="F18" s="0" t="n">
        <v>963</v>
      </c>
      <c r="G18" s="0" t="n">
        <v>14.4546846387079</v>
      </c>
      <c r="H18" s="0" t="n">
        <v>1162.3</v>
      </c>
      <c r="I18" s="0" t="n">
        <v>680.6</v>
      </c>
      <c r="J18" s="0" t="n">
        <v>10.2158446158927</v>
      </c>
      <c r="K18" s="0" t="n">
        <v>2.54</v>
      </c>
      <c r="L18" s="0" t="n">
        <v>1237.3</v>
      </c>
      <c r="M18" s="0" t="n">
        <v>263.9</v>
      </c>
      <c r="N18" s="0" t="n">
        <v>973.4</v>
      </c>
      <c r="O18" s="0" t="n">
        <v>5083.5</v>
      </c>
      <c r="P18" s="0" t="n">
        <v>12862.3</v>
      </c>
      <c r="Q18" s="0" t="n">
        <v>7778.8</v>
      </c>
      <c r="R18" s="0" t="n">
        <v>4938.5</v>
      </c>
      <c r="S18" s="0" t="n">
        <v>166.6</v>
      </c>
      <c r="T18" s="0" t="n">
        <v>269.8</v>
      </c>
      <c r="U18" s="0" t="n">
        <v>63.4</v>
      </c>
      <c r="V18" s="0" t="n">
        <v>1.59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6723.7</v>
      </c>
      <c r="C19" s="0" t="n">
        <v>4132.7</v>
      </c>
      <c r="D19" s="0" t="n">
        <v>2591</v>
      </c>
      <c r="E19" s="0" t="n">
        <v>38.5353302497137</v>
      </c>
      <c r="F19" s="0" t="n">
        <v>1060.3</v>
      </c>
      <c r="G19" s="0" t="n">
        <v>15.7695911477312</v>
      </c>
      <c r="H19" s="0" t="n">
        <v>1269.1</v>
      </c>
      <c r="I19" s="0" t="n">
        <v>788.5</v>
      </c>
      <c r="J19" s="0" t="n">
        <v>11.7271740262058</v>
      </c>
      <c r="K19" s="0" t="n">
        <v>2.94</v>
      </c>
      <c r="L19" s="0" t="n">
        <v>921.9</v>
      </c>
      <c r="M19" s="0" t="n">
        <v>274.9</v>
      </c>
      <c r="N19" s="0" t="n">
        <v>647</v>
      </c>
      <c r="O19" s="0" t="n">
        <v>5316.8</v>
      </c>
      <c r="P19" s="0" t="n">
        <v>13070.3</v>
      </c>
      <c r="Q19" s="0" t="n">
        <v>7753.5</v>
      </c>
      <c r="R19" s="0" t="n">
        <v>4124</v>
      </c>
      <c r="S19" s="0" t="n">
        <v>186.1</v>
      </c>
      <c r="T19" s="0" t="n">
        <v>269.6</v>
      </c>
      <c r="U19" s="0" t="n">
        <v>47.4</v>
      </c>
      <c r="V19" s="0" t="n">
        <v>1.71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6840.3</v>
      </c>
      <c r="C20" s="0" t="n">
        <v>4248.1</v>
      </c>
      <c r="D20" s="0" t="n">
        <v>2592.2</v>
      </c>
      <c r="E20" s="0" t="n">
        <v>37.8959987135067</v>
      </c>
      <c r="F20" s="0" t="n">
        <v>1070.8</v>
      </c>
      <c r="G20" s="0" t="n">
        <v>15.654284168823</v>
      </c>
      <c r="H20" s="0" t="n">
        <v>1302.1</v>
      </c>
      <c r="I20" s="0" t="n">
        <v>789.4</v>
      </c>
      <c r="J20" s="0" t="n">
        <v>11.5404295133254</v>
      </c>
      <c r="K20" s="0" t="n">
        <v>2.94</v>
      </c>
      <c r="L20" s="0" t="n">
        <v>962.2</v>
      </c>
      <c r="M20" s="0" t="n">
        <v>221.8</v>
      </c>
      <c r="N20" s="0" t="n">
        <v>740.4</v>
      </c>
      <c r="O20" s="0" t="n">
        <v>5768.1</v>
      </c>
      <c r="P20" s="0" t="n">
        <v>13200.4</v>
      </c>
      <c r="Q20" s="0" t="n">
        <v>7432.3</v>
      </c>
      <c r="R20" s="0" t="n">
        <v>4124</v>
      </c>
      <c r="S20" s="0" t="n">
        <v>95.9</v>
      </c>
      <c r="T20" s="0" t="n">
        <v>269.4</v>
      </c>
      <c r="U20" s="0" t="n">
        <v>46.2</v>
      </c>
      <c r="V20" s="0" t="n">
        <v>1.83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44.14</v>
      </c>
    </row>
    <row r="3" customFormat="false" ht="15" hidden="false" customHeight="false" outlineLevel="0" collapsed="false">
      <c r="A3" s="0" t="s">
        <v>85</v>
      </c>
      <c r="B3" s="3" t="n">
        <v>269.4</v>
      </c>
    </row>
    <row r="4" customFormat="false" ht="15" hidden="false" customHeight="false" outlineLevel="0" collapsed="false">
      <c r="A4" s="0" t="s">
        <v>86</v>
      </c>
      <c r="B4" s="3" t="n">
        <v>4687.1</v>
      </c>
    </row>
    <row r="5" customFormat="false" ht="15" hidden="false" customHeight="false" outlineLevel="0" collapsed="false">
      <c r="A5" s="0" t="s">
        <v>87</v>
      </c>
      <c r="B5" s="3" t="n">
        <v>-483.8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7960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1.5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1.25</v>
      </c>
      <c r="I13" s="3" t="n">
        <v>1.25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20.5</v>
      </c>
      <c r="D14" s="3" t="n">
        <v>20.3</v>
      </c>
      <c r="E14" s="3" t="n">
        <v>20</v>
      </c>
      <c r="F14" s="3" t="n">
        <v>19.8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108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3.6</v>
      </c>
      <c r="D17" s="3" t="n">
        <v>3.6</v>
      </c>
      <c r="E17" s="3" t="n">
        <v>3.6</v>
      </c>
      <c r="F17" s="3" t="n">
        <v>3.6</v>
      </c>
      <c r="G17" s="3" t="n">
        <v>3.6</v>
      </c>
      <c r="H17" s="3" t="n">
        <v>3.6</v>
      </c>
      <c r="I17" s="3" t="n">
        <v>3.6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111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2.75</v>
      </c>
      <c r="I27" s="3" t="n">
        <v>2.75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21</v>
      </c>
      <c r="D28" s="3" t="n">
        <v>21.2</v>
      </c>
      <c r="E28" s="3" t="n">
        <v>21.4</v>
      </c>
      <c r="F28" s="3" t="n">
        <v>21.6</v>
      </c>
      <c r="G28" s="3" t="n">
        <v>21.8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108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3.6</v>
      </c>
      <c r="D31" s="3" t="n">
        <v>3.6</v>
      </c>
      <c r="E31" s="3" t="n">
        <v>3.6</v>
      </c>
      <c r="F31" s="3" t="n">
        <v>3.6</v>
      </c>
      <c r="G31" s="3" t="n">
        <v>3.6</v>
      </c>
      <c r="H31" s="3" t="n">
        <v>3.6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111</v>
      </c>
      <c r="C32" s="3" t="n">
        <v>3.4</v>
      </c>
      <c r="D32" s="3" t="n">
        <v>3.4</v>
      </c>
      <c r="E32" s="3" t="n">
        <v>3.4</v>
      </c>
      <c r="F32" s="3" t="n">
        <v>3.4</v>
      </c>
      <c r="G32" s="3" t="n">
        <v>3.4</v>
      </c>
      <c r="H32" s="3" t="n">
        <v>3.4</v>
      </c>
      <c r="I32" s="3" t="n">
        <v>3.4</v>
      </c>
      <c r="J32" s="3" t="n">
        <v>3.4</v>
      </c>
      <c r="K32" s="3" t="n">
        <v>3.4</v>
      </c>
      <c r="L32" s="3" t="n">
        <v>3.4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4.5</v>
      </c>
      <c r="D41" s="3" t="n">
        <v>4.5</v>
      </c>
      <c r="E41" s="3" t="n">
        <v>4</v>
      </c>
      <c r="F41" s="3" t="n">
        <v>4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21.3</v>
      </c>
      <c r="D42" s="3" t="n">
        <v>21.7</v>
      </c>
      <c r="E42" s="3" t="n">
        <v>22.1</v>
      </c>
      <c r="F42" s="3" t="n">
        <v>22.5</v>
      </c>
      <c r="G42" s="3" t="n">
        <v>22.8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108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3.6</v>
      </c>
      <c r="D45" s="3" t="n">
        <v>3.6</v>
      </c>
      <c r="E45" s="3" t="n">
        <v>3.6</v>
      </c>
      <c r="F45" s="3" t="n">
        <v>3.6</v>
      </c>
      <c r="G45" s="3" t="n">
        <v>3.6</v>
      </c>
      <c r="H45" s="3" t="n">
        <v>3.6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111</v>
      </c>
      <c r="C46" s="3" t="n">
        <v>3.4</v>
      </c>
      <c r="D46" s="3" t="n">
        <v>3.4</v>
      </c>
      <c r="E46" s="3" t="n">
        <v>3.4</v>
      </c>
      <c r="F46" s="3" t="n">
        <v>3.4</v>
      </c>
      <c r="G46" s="3" t="n">
        <v>3.4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-10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1.5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1.25</v>
      </c>
      <c r="I5" s="4" t="n">
        <f aca="false">Assumptions!I13</f>
        <v>1.25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7960</v>
      </c>
      <c r="C6" s="0" t="n">
        <f aca="false">B6*(1+C5/100)</f>
        <v>8079.4</v>
      </c>
      <c r="D6" s="0" t="n">
        <f aca="false">C6*(1+D5/100)</f>
        <v>8200.591</v>
      </c>
      <c r="E6" s="0" t="n">
        <f aca="false">D6*(1+E5/100)</f>
        <v>8323.599865</v>
      </c>
      <c r="F6" s="0" t="n">
        <f aca="false">E6*(1+F5/100)</f>
        <v>8448.453862975</v>
      </c>
      <c r="G6" s="0" t="n">
        <f aca="false">F6*(1+G5/100)</f>
        <v>8575.18067091962</v>
      </c>
      <c r="H6" s="0" t="n">
        <f aca="false">G6*(1+H5/100)</f>
        <v>8682.37042930612</v>
      </c>
      <c r="I6" s="0" t="n">
        <f aca="false">H6*(1+I5/100)</f>
        <v>8790.90005967244</v>
      </c>
      <c r="J6" s="0" t="n">
        <f aca="false">I6*(1+J5/100)</f>
        <v>8878.80906026917</v>
      </c>
      <c r="K6" s="0" t="n">
        <f aca="false">J6*(1+K5/100)</f>
        <v>8967.59715087186</v>
      </c>
      <c r="L6" s="0" t="n">
        <f aca="false">K6*(1+L5/100)</f>
        <v>9057.27312238058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20.5</v>
      </c>
      <c r="D7" s="4" t="n">
        <f aca="false">Assumptions!D14</f>
        <v>20.3</v>
      </c>
      <c r="E7" s="4" t="n">
        <f aca="false">Assumptions!E14</f>
        <v>20</v>
      </c>
      <c r="F7" s="4" t="n">
        <f aca="false">Assumptions!F14</f>
        <v>19.8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1656.277</v>
      </c>
      <c r="D8" s="0" t="n">
        <f aca="false">D6*D7/100</f>
        <v>1664.719973</v>
      </c>
      <c r="E8" s="0" t="n">
        <f aca="false">E6*E7/100</f>
        <v>1664.719973</v>
      </c>
      <c r="F8" s="0" t="n">
        <f aca="false">F6*F7/100</f>
        <v>1672.79386486905</v>
      </c>
      <c r="G8" s="0" t="n">
        <f aca="false">G6*G7/100</f>
        <v>1672.16023082933</v>
      </c>
      <c r="H8" s="0" t="n">
        <f aca="false">H6*H7/100</f>
        <v>1693.06223371469</v>
      </c>
      <c r="I8" s="0" t="n">
        <f aca="false">I6*I7/100</f>
        <v>1714.22551163613</v>
      </c>
      <c r="J8" s="0" t="n">
        <f aca="false">J6*J7/100</f>
        <v>1731.36776675249</v>
      </c>
      <c r="K8" s="0" t="n">
        <f aca="false">K6*K7/100</f>
        <v>1748.68144442001</v>
      </c>
      <c r="L8" s="0" t="n">
        <f aca="false">L6*L7/100</f>
        <v>1766.16825886421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-56.5558</v>
      </c>
      <c r="D10" s="0" t="n">
        <f aca="false">-D6*D9/100</f>
        <v>-57.404137</v>
      </c>
      <c r="E10" s="0" t="n">
        <f aca="false">-E6*E9/100</f>
        <v>-58.265199055</v>
      </c>
      <c r="F10" s="0" t="n">
        <f aca="false">-F6*F9/100</f>
        <v>-59.139177040825</v>
      </c>
      <c r="G10" s="0" t="n">
        <f aca="false">-G6*G9/100</f>
        <v>-60.0262646964373</v>
      </c>
      <c r="H10" s="0" t="n">
        <f aca="false">-H6*H9/100</f>
        <v>-60.7765930051428</v>
      </c>
      <c r="I10" s="0" t="n">
        <f aca="false">-I6*I9/100</f>
        <v>-61.5363004177071</v>
      </c>
      <c r="J10" s="0" t="n">
        <f aca="false">-J6*J9/100</f>
        <v>-62.1516634218842</v>
      </c>
      <c r="K10" s="0" t="n">
        <f aca="false">-K6*K9/100</f>
        <v>-62.773180056103</v>
      </c>
      <c r="L10" s="0" t="n">
        <f aca="false">-L6*L9/100</f>
        <v>-63.400911856664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1599.7212</v>
      </c>
      <c r="D11" s="0" t="n">
        <f aca="false">D8+D10+D24</f>
        <v>1607.315836</v>
      </c>
      <c r="E11" s="0" t="n">
        <f aca="false">E8+E10+E24</f>
        <v>1606.454773945</v>
      </c>
      <c r="F11" s="0" t="n">
        <f aca="false">F8+F10+F24</f>
        <v>1613.65468782822</v>
      </c>
      <c r="G11" s="0" t="n">
        <f aca="false">G8+G10+G24</f>
        <v>1612.13396613289</v>
      </c>
      <c r="H11" s="0" t="n">
        <f aca="false">H8+H10+H24</f>
        <v>1632.28564070955</v>
      </c>
      <c r="I11" s="0" t="n">
        <f aca="false">I8+I10+I24</f>
        <v>1652.68921121842</v>
      </c>
      <c r="J11" s="0" t="n">
        <f aca="false">J8+J10+J24</f>
        <v>1669.2161033306</v>
      </c>
      <c r="K11" s="0" t="n">
        <f aca="false">K8+K10+K24</f>
        <v>1685.90826436391</v>
      </c>
      <c r="L11" s="0" t="n">
        <f aca="false">L8+L10+L24</f>
        <v>1702.76734700755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-290.8584</v>
      </c>
      <c r="D12" s="4" t="n">
        <f aca="false">-D6*Assumptions!D17/100</f>
        <v>-295.221276</v>
      </c>
      <c r="E12" s="4" t="n">
        <f aca="false">-E6*Assumptions!E17/100</f>
        <v>-299.64959514</v>
      </c>
      <c r="F12" s="4" t="n">
        <f aca="false">-F6*Assumptions!F17/100</f>
        <v>-304.1443390671</v>
      </c>
      <c r="G12" s="4" t="n">
        <f aca="false">-G6*Assumptions!G17/100</f>
        <v>-308.706504153106</v>
      </c>
      <c r="H12" s="4" t="n">
        <f aca="false">-H6*Assumptions!H17/100</f>
        <v>-312.56533545502</v>
      </c>
      <c r="I12" s="4" t="n">
        <f aca="false">-I6*Assumptions!I17/100</f>
        <v>-316.472402148208</v>
      </c>
      <c r="J12" s="4" t="n">
        <f aca="false">-J6*Assumptions!J17/100</f>
        <v>-319.63712616969</v>
      </c>
      <c r="K12" s="4" t="n">
        <f aca="false">-K6*Assumptions!K17/100</f>
        <v>-322.833497431387</v>
      </c>
      <c r="L12" s="4" t="n">
        <f aca="false">-L6*Assumptions!L17/100</f>
        <v>-326.061832405701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1308.8628</v>
      </c>
      <c r="D13" s="0" t="n">
        <f aca="false">D11+D12</f>
        <v>1312.09456</v>
      </c>
      <c r="E13" s="0" t="n">
        <f aca="false">E11+E12</f>
        <v>1306.805178805</v>
      </c>
      <c r="F13" s="0" t="n">
        <f aca="false">F11+F12</f>
        <v>1309.51034876112</v>
      </c>
      <c r="G13" s="0" t="n">
        <f aca="false">G11+G12</f>
        <v>1303.42746197978</v>
      </c>
      <c r="H13" s="0" t="n">
        <f aca="false">H11+H12</f>
        <v>1319.72030525453</v>
      </c>
      <c r="I13" s="0" t="n">
        <f aca="false">I11+I12</f>
        <v>1336.21680907021</v>
      </c>
      <c r="J13" s="0" t="n">
        <f aca="false">J11+J12</f>
        <v>1349.57897716091</v>
      </c>
      <c r="K13" s="0" t="n">
        <f aca="false">K11+K12</f>
        <v>1363.07476693252</v>
      </c>
      <c r="L13" s="0" t="n">
        <f aca="false">L11+L12</f>
        <v>1376.70551460185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994.735728</v>
      </c>
      <c r="D15" s="0" t="n">
        <f aca="false">D13-MAX(0,D13)*D14/100</f>
        <v>990.6313928</v>
      </c>
      <c r="E15" s="0" t="n">
        <f aca="false">E13-MAX(0,E13)*E14/100</f>
        <v>980.10388410375</v>
      </c>
      <c r="F15" s="0" t="n">
        <f aca="false">F13-MAX(0,F13)*F14/100</f>
        <v>982.132761570843</v>
      </c>
      <c r="G15" s="0" t="n">
        <f aca="false">G13-MAX(0,G13)*G14/100</f>
        <v>977.570596484837</v>
      </c>
      <c r="H15" s="0" t="n">
        <f aca="false">H13-MAX(0,H13)*H14/100</f>
        <v>989.790228940897</v>
      </c>
      <c r="I15" s="0" t="n">
        <f aca="false">I13-MAX(0,I13)*I14/100</f>
        <v>1002.16260680266</v>
      </c>
      <c r="J15" s="0" t="n">
        <f aca="false">J13-MAX(0,J13)*J14/100</f>
        <v>1012.18423287069</v>
      </c>
      <c r="K15" s="0" t="n">
        <f aca="false">K13-MAX(0,K13)*K14/100</f>
        <v>1022.30607519939</v>
      </c>
      <c r="L15" s="0" t="n">
        <f aca="false">L13-MAX(0,L13)*L14/100</f>
        <v>1032.52913595139</v>
      </c>
    </row>
    <row r="16" customFormat="false" ht="15" hidden="false" customHeight="false" outlineLevel="0" collapsed="false">
      <c r="A16" s="0" t="s">
        <v>128</v>
      </c>
      <c r="C16" s="0" t="n">
        <f aca="false">-C12</f>
        <v>290.8584</v>
      </c>
      <c r="D16" s="0" t="n">
        <f aca="false">-D12</f>
        <v>295.221276</v>
      </c>
      <c r="E16" s="0" t="n">
        <f aca="false">-E12</f>
        <v>299.64959514</v>
      </c>
      <c r="F16" s="0" t="n">
        <f aca="false">-F12</f>
        <v>304.1443390671</v>
      </c>
      <c r="G16" s="0" t="n">
        <f aca="false">-G12</f>
        <v>308.706504153106</v>
      </c>
      <c r="H16" s="0" t="n">
        <f aca="false">-H12</f>
        <v>312.56533545502</v>
      </c>
      <c r="I16" s="0" t="n">
        <f aca="false">-I12</f>
        <v>316.472402148208</v>
      </c>
      <c r="J16" s="0" t="n">
        <f aca="false">-J12</f>
        <v>319.63712616969</v>
      </c>
      <c r="K16" s="0" t="n">
        <f aca="false">-K12</f>
        <v>322.833497431387</v>
      </c>
      <c r="L16" s="0" t="n">
        <f aca="false">-L12</f>
        <v>326.061832405701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-282.779</v>
      </c>
      <c r="D17" s="4" t="n">
        <f aca="false">-D6*Assumptions!D18/100</f>
        <v>-287.020685</v>
      </c>
      <c r="E17" s="4" t="n">
        <f aca="false">-E6*Assumptions!E18/100</f>
        <v>-291.325995275</v>
      </c>
      <c r="F17" s="4" t="n">
        <f aca="false">-F6*Assumptions!F18/100</f>
        <v>-295.695885204125</v>
      </c>
      <c r="G17" s="4" t="n">
        <f aca="false">-G6*Assumptions!G18/100</f>
        <v>-300.131323482187</v>
      </c>
      <c r="H17" s="4" t="n">
        <f aca="false">-H6*Assumptions!H18/100</f>
        <v>-303.882965025714</v>
      </c>
      <c r="I17" s="4" t="n">
        <f aca="false">-I6*Assumptions!I18/100</f>
        <v>-307.681502088535</v>
      </c>
      <c r="J17" s="4" t="n">
        <f aca="false">-J6*Assumptions!J18/100</f>
        <v>-310.758317109421</v>
      </c>
      <c r="K17" s="4" t="n">
        <f aca="false">-K6*Assumptions!K18/100</f>
        <v>-313.865900280515</v>
      </c>
      <c r="L17" s="4" t="n">
        <f aca="false">-L6*Assumptions!L18/100</f>
        <v>-317.00455928332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-11.94</v>
      </c>
      <c r="D18" s="4" t="n">
        <f aca="false">(D6-C6)*Assumptions!$B$23/100</f>
        <v>-12.1190999999999</v>
      </c>
      <c r="E18" s="4" t="n">
        <f aca="false">(E6-D6)*Assumptions!$B$23/100</f>
        <v>-12.3008865</v>
      </c>
      <c r="F18" s="4" t="n">
        <f aca="false">(F6-E6)*Assumptions!$B$23/100</f>
        <v>-12.4853997974998</v>
      </c>
      <c r="G18" s="4" t="n">
        <f aca="false">(G6-F6)*Assumptions!$B$23/100</f>
        <v>-12.6726807944624</v>
      </c>
      <c r="H18" s="4" t="n">
        <f aca="false">(H6-G6)*Assumptions!$B$23/100</f>
        <v>-10.7189758386496</v>
      </c>
      <c r="I18" s="4" t="n">
        <f aca="false">(I6-H6)*Assumptions!$B$23/100</f>
        <v>-10.8529630366325</v>
      </c>
      <c r="J18" s="4" t="n">
        <f aca="false">(J6-I6)*Assumptions!$B$23/100</f>
        <v>-8.79090005967246</v>
      </c>
      <c r="K18" s="4" t="n">
        <f aca="false">(K6-J6)*Assumptions!$B$23/100</f>
        <v>-8.87880906026912</v>
      </c>
      <c r="L18" s="4" t="n">
        <f aca="false">(L6-K6)*Assumptions!$B$23/100</f>
        <v>-8.96759715087192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990.875128</v>
      </c>
      <c r="D19" s="0" t="n">
        <f aca="false">D15+D16+D17+D18</f>
        <v>986.7128838</v>
      </c>
      <c r="E19" s="0" t="n">
        <f aca="false">E15+E16+E17+E18</f>
        <v>976.12659746875</v>
      </c>
      <c r="F19" s="0" t="n">
        <f aca="false">F15+F16+F17+F18</f>
        <v>978.095815636318</v>
      </c>
      <c r="G19" s="0" t="n">
        <f aca="false">G15+G16+G17+G18</f>
        <v>973.473096361294</v>
      </c>
      <c r="H19" s="0" t="n">
        <f aca="false">H15+H16+H17+H18</f>
        <v>987.753623531554</v>
      </c>
      <c r="I19" s="0" t="n">
        <f aca="false">I15+I16+I17+I18</f>
        <v>1000.1005438257</v>
      </c>
      <c r="J19" s="0" t="n">
        <f aca="false">J15+J16+J17+J18</f>
        <v>1012.27214187128</v>
      </c>
      <c r="K19" s="0" t="n">
        <f aca="false">K15+K16+K17+K18</f>
        <v>1022.39486328999</v>
      </c>
      <c r="L19" s="0" t="n">
        <f aca="false">L15+L16+L17+L18</f>
        <v>1032.61881192289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926.051521495327</v>
      </c>
      <c r="D21" s="0" t="n">
        <f aca="false">D19*D20</f>
        <v>861.833246397065</v>
      </c>
      <c r="E21" s="0" t="n">
        <f aca="false">E19*E20</f>
        <v>796.810069090432</v>
      </c>
      <c r="F21" s="0" t="n">
        <f aca="false">F19*F20</f>
        <v>746.184614672666</v>
      </c>
      <c r="G21" s="0" t="n">
        <f aca="false">G19*G20</f>
        <v>694.072863804776</v>
      </c>
      <c r="H21" s="0" t="n">
        <f aca="false">H19*H20</f>
        <v>658.181946086834</v>
      </c>
      <c r="I21" s="0" t="n">
        <f aca="false">I19*I20</f>
        <v>622.812355526093</v>
      </c>
      <c r="J21" s="0" t="n">
        <f aca="false">J19*J20</f>
        <v>589.151602866638</v>
      </c>
      <c r="K21" s="0" t="n">
        <f aca="false">K19*K20</f>
        <v>556.115064388135</v>
      </c>
      <c r="L21" s="0" t="n">
        <f aca="false">L19*L20</f>
        <v>524.931042085997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6976.14432641396</v>
      </c>
    </row>
    <row r="31" customFormat="false" ht="15" hidden="false" customHeight="false" outlineLevel="0" collapsed="false">
      <c r="A31" s="0" t="s">
        <v>137</v>
      </c>
      <c r="B31" s="0" t="n">
        <f aca="false">L19</f>
        <v>1032.61881192289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21065.4237632271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15489.2821788434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15489.2821788434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7873.96563128995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14850.1099577039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9679.20995770391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35.9287674747732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-0.186027016883252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419.838353439004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657.488096725828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39.9277520707823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8102.08606277964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6.69774787132682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2.75</v>
      </c>
      <c r="I5" s="4" t="n">
        <f aca="false">Assumptions!I27</f>
        <v>2.75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7960</v>
      </c>
      <c r="C6" s="0" t="n">
        <f aca="false">B6*(1+C5/100)</f>
        <v>8198.8</v>
      </c>
      <c r="D6" s="0" t="n">
        <f aca="false">C6*(1+D5/100)</f>
        <v>8444.764</v>
      </c>
      <c r="E6" s="0" t="n">
        <f aca="false">D6*(1+E5/100)</f>
        <v>8698.10692</v>
      </c>
      <c r="F6" s="0" t="n">
        <f aca="false">E6*(1+F5/100)</f>
        <v>8959.0501276</v>
      </c>
      <c r="G6" s="0" t="n">
        <f aca="false">F6*(1+G5/100)</f>
        <v>9227.821631428</v>
      </c>
      <c r="H6" s="0" t="n">
        <f aca="false">G6*(1+H5/100)</f>
        <v>9481.58672629228</v>
      </c>
      <c r="I6" s="0" t="n">
        <f aca="false">H6*(1+I5/100)</f>
        <v>9742.33036126531</v>
      </c>
      <c r="J6" s="0" t="n">
        <f aca="false">I6*(1+J5/100)</f>
        <v>9985.88862029694</v>
      </c>
      <c r="K6" s="0" t="n">
        <f aca="false">J6*(1+K5/100)</f>
        <v>10235.5358358044</v>
      </c>
      <c r="L6" s="0" t="n">
        <f aca="false">K6*(1+L5/100)</f>
        <v>10491.4242316995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21</v>
      </c>
      <c r="D7" s="4" t="n">
        <f aca="false">Assumptions!D28</f>
        <v>21.2</v>
      </c>
      <c r="E7" s="4" t="n">
        <f aca="false">Assumptions!E28</f>
        <v>21.4</v>
      </c>
      <c r="F7" s="4" t="n">
        <f aca="false">Assumptions!F28</f>
        <v>21.6</v>
      </c>
      <c r="G7" s="4" t="n">
        <f aca="false">Assumptions!G28</f>
        <v>21.8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1721.748</v>
      </c>
      <c r="D8" s="0" t="n">
        <f aca="false">D6*D7/100</f>
        <v>1790.289968</v>
      </c>
      <c r="E8" s="0" t="n">
        <f aca="false">E6*E7/100</f>
        <v>1861.39488088</v>
      </c>
      <c r="F8" s="0" t="n">
        <f aca="false">F6*F7/100</f>
        <v>1935.1548275616</v>
      </c>
      <c r="G8" s="0" t="n">
        <f aca="false">G6*G7/100</f>
        <v>2011.6651156513</v>
      </c>
      <c r="H8" s="0" t="n">
        <f aca="false">H6*H7/100</f>
        <v>2085.9490797843</v>
      </c>
      <c r="I8" s="0" t="n">
        <f aca="false">I6*I7/100</f>
        <v>2143.31267947837</v>
      </c>
      <c r="J8" s="0" t="n">
        <f aca="false">J6*J7/100</f>
        <v>2196.89549646533</v>
      </c>
      <c r="K8" s="0" t="n">
        <f aca="false">K6*K7/100</f>
        <v>2251.81788387696</v>
      </c>
      <c r="L8" s="0" t="n">
        <f aca="false">L6*L7/100</f>
        <v>2308.11333097388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-57.3916</v>
      </c>
      <c r="D10" s="0" t="n">
        <f aca="false">-D6*D9/100</f>
        <v>-59.113348</v>
      </c>
      <c r="E10" s="0" t="n">
        <f aca="false">-E6*E9/100</f>
        <v>-60.88674844</v>
      </c>
      <c r="F10" s="0" t="n">
        <f aca="false">-F6*F9/100</f>
        <v>-62.7133508932</v>
      </c>
      <c r="G10" s="0" t="n">
        <f aca="false">-G6*G9/100</f>
        <v>-64.594751419996</v>
      </c>
      <c r="H10" s="0" t="n">
        <f aca="false">-H6*H9/100</f>
        <v>-66.3711070840459</v>
      </c>
      <c r="I10" s="0" t="n">
        <f aca="false">-I6*I9/100</f>
        <v>-68.1963125288572</v>
      </c>
      <c r="J10" s="0" t="n">
        <f aca="false">-J6*J9/100</f>
        <v>-69.9012203420786</v>
      </c>
      <c r="K10" s="0" t="n">
        <f aca="false">-K6*K9/100</f>
        <v>-71.6487508506306</v>
      </c>
      <c r="L10" s="0" t="n">
        <f aca="false">-L6*L9/100</f>
        <v>-73.4399696218963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1664.3564</v>
      </c>
      <c r="D11" s="0" t="n">
        <f aca="false">D8+D10+D24</f>
        <v>1731.17662</v>
      </c>
      <c r="E11" s="0" t="n">
        <f aca="false">E8+E10+E24</f>
        <v>1800.50813244</v>
      </c>
      <c r="F11" s="0" t="n">
        <f aca="false">F8+F10+F24</f>
        <v>1872.4414766684</v>
      </c>
      <c r="G11" s="0" t="n">
        <f aca="false">G8+G10+G24</f>
        <v>1947.07036423131</v>
      </c>
      <c r="H11" s="0" t="n">
        <f aca="false">H8+H10+H24</f>
        <v>2019.57797270025</v>
      </c>
      <c r="I11" s="0" t="n">
        <f aca="false">I8+I10+I24</f>
        <v>2075.11636694951</v>
      </c>
      <c r="J11" s="0" t="n">
        <f aca="false">J8+J10+J24</f>
        <v>2126.99427612325</v>
      </c>
      <c r="K11" s="0" t="n">
        <f aca="false">K8+K10+K24</f>
        <v>2180.16913302633</v>
      </c>
      <c r="L11" s="0" t="n">
        <f aca="false">L8+L10+L24</f>
        <v>2234.67336135199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-295.1568</v>
      </c>
      <c r="D12" s="4" t="n">
        <f aca="false">-D6*Assumptions!D31/100</f>
        <v>-304.011504</v>
      </c>
      <c r="E12" s="4" t="n">
        <f aca="false">-E6*Assumptions!E31/100</f>
        <v>-313.13184912</v>
      </c>
      <c r="F12" s="4" t="n">
        <f aca="false">-F6*Assumptions!F31/100</f>
        <v>-322.5258045936</v>
      </c>
      <c r="G12" s="4" t="n">
        <f aca="false">-G6*Assumptions!G31/100</f>
        <v>-332.201578731408</v>
      </c>
      <c r="H12" s="4" t="n">
        <f aca="false">-H6*Assumptions!H31/100</f>
        <v>-341.337122146522</v>
      </c>
      <c r="I12" s="4" t="n">
        <f aca="false">-I6*Assumptions!I31/100</f>
        <v>-350.723893005551</v>
      </c>
      <c r="J12" s="4" t="n">
        <f aca="false">-J6*Assumptions!J31/100</f>
        <v>-359.49199033069</v>
      </c>
      <c r="K12" s="4" t="n">
        <f aca="false">-K6*Assumptions!K31/100</f>
        <v>-368.479290088957</v>
      </c>
      <c r="L12" s="4" t="n">
        <f aca="false">-L6*Assumptions!L31/100</f>
        <v>-377.691272341181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1369.1996</v>
      </c>
      <c r="D13" s="0" t="n">
        <f aca="false">D11+D12</f>
        <v>1427.165116</v>
      </c>
      <c r="E13" s="0" t="n">
        <f aca="false">E11+E12</f>
        <v>1487.37628332</v>
      </c>
      <c r="F13" s="0" t="n">
        <f aca="false">F11+F12</f>
        <v>1549.9156720748</v>
      </c>
      <c r="G13" s="0" t="n">
        <f aca="false">G11+G12</f>
        <v>1614.8687854999</v>
      </c>
      <c r="H13" s="0" t="n">
        <f aca="false">H11+H12</f>
        <v>1678.24085055373</v>
      </c>
      <c r="I13" s="0" t="n">
        <f aca="false">I11+I12</f>
        <v>1724.39247394396</v>
      </c>
      <c r="J13" s="0" t="n">
        <f aca="false">J11+J12</f>
        <v>1767.50228579256</v>
      </c>
      <c r="K13" s="0" t="n">
        <f aca="false">K11+K12</f>
        <v>1811.68984293737</v>
      </c>
      <c r="L13" s="0" t="n">
        <f aca="false">L11+L12</f>
        <v>1856.98208901081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1040.591696</v>
      </c>
      <c r="D15" s="0" t="n">
        <f aca="false">D13-MAX(0,D13)*D14/100</f>
        <v>1084.64548816</v>
      </c>
      <c r="E15" s="0" t="n">
        <f aca="false">E13-MAX(0,E13)*E14/100</f>
        <v>1130.4059753232</v>
      </c>
      <c r="F15" s="0" t="n">
        <f aca="false">F13-MAX(0,F13)*F14/100</f>
        <v>1177.93591077685</v>
      </c>
      <c r="G15" s="0" t="n">
        <f aca="false">G13-MAX(0,G13)*G14/100</f>
        <v>1227.30027697992</v>
      </c>
      <c r="H15" s="0" t="n">
        <f aca="false">H13-MAX(0,H13)*H14/100</f>
        <v>1275.46304642084</v>
      </c>
      <c r="I15" s="0" t="n">
        <f aca="false">I13-MAX(0,I13)*I14/100</f>
        <v>1310.53828019741</v>
      </c>
      <c r="J15" s="0" t="n">
        <f aca="false">J13-MAX(0,J13)*J14/100</f>
        <v>1343.30173720235</v>
      </c>
      <c r="K15" s="0" t="n">
        <f aca="false">K13-MAX(0,K13)*K14/100</f>
        <v>1376.8842806324</v>
      </c>
      <c r="L15" s="0" t="n">
        <f aca="false">L13-MAX(0,L13)*L14/100</f>
        <v>1411.30638764821</v>
      </c>
    </row>
    <row r="16" customFormat="false" ht="15" hidden="false" customHeight="false" outlineLevel="0" collapsed="false">
      <c r="A16" s="0" t="s">
        <v>128</v>
      </c>
      <c r="C16" s="0" t="n">
        <f aca="false">-C12</f>
        <v>295.1568</v>
      </c>
      <c r="D16" s="0" t="n">
        <f aca="false">-D12</f>
        <v>304.011504</v>
      </c>
      <c r="E16" s="0" t="n">
        <f aca="false">-E12</f>
        <v>313.13184912</v>
      </c>
      <c r="F16" s="0" t="n">
        <f aca="false">-F12</f>
        <v>322.5258045936</v>
      </c>
      <c r="G16" s="0" t="n">
        <f aca="false">-G12</f>
        <v>332.201578731408</v>
      </c>
      <c r="H16" s="0" t="n">
        <f aca="false">-H12</f>
        <v>341.337122146522</v>
      </c>
      <c r="I16" s="0" t="n">
        <f aca="false">-I12</f>
        <v>350.723893005551</v>
      </c>
      <c r="J16" s="0" t="n">
        <f aca="false">-J12</f>
        <v>359.49199033069</v>
      </c>
      <c r="K16" s="0" t="n">
        <f aca="false">-K12</f>
        <v>368.479290088957</v>
      </c>
      <c r="L16" s="0" t="n">
        <f aca="false">-L12</f>
        <v>377.691272341181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-278.7592</v>
      </c>
      <c r="D17" s="4" t="n">
        <f aca="false">-D6*Assumptions!D32/100</f>
        <v>-287.121976</v>
      </c>
      <c r="E17" s="4" t="n">
        <f aca="false">-E6*Assumptions!E32/100</f>
        <v>-295.73563528</v>
      </c>
      <c r="F17" s="4" t="n">
        <f aca="false">-F6*Assumptions!F32/100</f>
        <v>-304.6077043384</v>
      </c>
      <c r="G17" s="4" t="n">
        <f aca="false">-G6*Assumptions!G32/100</f>
        <v>-313.745935468552</v>
      </c>
      <c r="H17" s="4" t="n">
        <f aca="false">-H6*Assumptions!H32/100</f>
        <v>-322.373948693937</v>
      </c>
      <c r="I17" s="4" t="n">
        <f aca="false">-I6*Assumptions!I32/100</f>
        <v>-331.239232283021</v>
      </c>
      <c r="J17" s="4" t="n">
        <f aca="false">-J6*Assumptions!J32/100</f>
        <v>-339.520213090096</v>
      </c>
      <c r="K17" s="4" t="n">
        <f aca="false">-K6*Assumptions!K32/100</f>
        <v>-348.008218417349</v>
      </c>
      <c r="L17" s="4" t="n">
        <f aca="false">-L6*Assumptions!L32/100</f>
        <v>-356.708423877782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-23.8800000000001</v>
      </c>
      <c r="D18" s="4" t="n">
        <f aca="false">(D6-C6)*Assumptions!$B$37/100</f>
        <v>-24.5964</v>
      </c>
      <c r="E18" s="4" t="n">
        <f aca="false">(E6-D6)*Assumptions!$B$37/100</f>
        <v>-25.3342920000001</v>
      </c>
      <c r="F18" s="4" t="n">
        <f aca="false">(F6-E6)*Assumptions!$B$37/100</f>
        <v>-26.0943207600001</v>
      </c>
      <c r="G18" s="4" t="n">
        <f aca="false">(G6-F6)*Assumptions!$B$37/100</f>
        <v>-26.8771503828</v>
      </c>
      <c r="H18" s="4" t="n">
        <f aca="false">(H6-G6)*Assumptions!$B$37/100</f>
        <v>-25.3765094864271</v>
      </c>
      <c r="I18" s="4" t="n">
        <f aca="false">(I6-H6)*Assumptions!$B$37/100</f>
        <v>-26.0743634973038</v>
      </c>
      <c r="J18" s="4" t="n">
        <f aca="false">(J6-I6)*Assumptions!$B$37/100</f>
        <v>-24.3558259031632</v>
      </c>
      <c r="K18" s="4" t="n">
        <f aca="false">(K6-J6)*Assumptions!$B$37/100</f>
        <v>-24.9647215507423</v>
      </c>
      <c r="L18" s="4" t="n">
        <f aca="false">(L6-K6)*Assumptions!$B$37/100</f>
        <v>-25.5888395895108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1033.109296</v>
      </c>
      <c r="D19" s="0" t="n">
        <f aca="false">D15+D16+D17+D18</f>
        <v>1076.93861616</v>
      </c>
      <c r="E19" s="0" t="n">
        <f aca="false">E15+E16+E17+E18</f>
        <v>1122.4678971632</v>
      </c>
      <c r="F19" s="0" t="n">
        <f aca="false">F15+F16+F17+F18</f>
        <v>1169.75969027205</v>
      </c>
      <c r="G19" s="0" t="n">
        <f aca="false">G15+G16+G17+G18</f>
        <v>1218.87876985998</v>
      </c>
      <c r="H19" s="0" t="n">
        <f aca="false">H15+H16+H17+H18</f>
        <v>1269.04971038699</v>
      </c>
      <c r="I19" s="0" t="n">
        <f aca="false">I15+I16+I17+I18</f>
        <v>1303.94857742264</v>
      </c>
      <c r="J19" s="0" t="n">
        <f aca="false">J15+J16+J17+J18</f>
        <v>1338.91768853978</v>
      </c>
      <c r="K19" s="0" t="n">
        <f aca="false">K15+K16+K17+K18</f>
        <v>1372.39063075327</v>
      </c>
      <c r="L19" s="0" t="n">
        <f aca="false">L15+L16+L17+L18</f>
        <v>1406.7003965221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965.522706542056</v>
      </c>
      <c r="D21" s="0" t="n">
        <f aca="false">D19*D20</f>
        <v>940.639895327103</v>
      </c>
      <c r="E21" s="0" t="n">
        <f aca="false">E19*E20</f>
        <v>916.26816133246</v>
      </c>
      <c r="F21" s="0" t="n">
        <f aca="false">F19*F20</f>
        <v>892.404066954742</v>
      </c>
      <c r="G21" s="0" t="n">
        <f aca="false">G19*G20</f>
        <v>869.043717376221</v>
      </c>
      <c r="H21" s="0" t="n">
        <f aca="false">H19*H20</f>
        <v>845.621406152971</v>
      </c>
      <c r="I21" s="0" t="n">
        <f aca="false">I19*I20</f>
        <v>812.033640020727</v>
      </c>
      <c r="J21" s="0" t="n">
        <f aca="false">J19*J20</f>
        <v>779.262284993326</v>
      </c>
      <c r="K21" s="0" t="n">
        <f aca="false">K19*K20</f>
        <v>746.489572073046</v>
      </c>
      <c r="L21" s="0" t="n">
        <f aca="false">L19*L20</f>
        <v>715.095150817637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8482.38060159029</v>
      </c>
    </row>
    <row r="31" customFormat="false" ht="15" hidden="false" customHeight="false" outlineLevel="0" collapsed="false">
      <c r="A31" s="0" t="s">
        <v>137</v>
      </c>
      <c r="B31" s="0" t="n">
        <f aca="false">L19</f>
        <v>1406.7003965221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32041.5090318923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25320.6071373978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25320.6071373978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12871.7127147175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21354.0933163078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16183.1933163078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60.0712446782025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0.360925343865032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452.553084035784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850.366344132851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64.9076196899643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11534.9432514812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13.4382589199906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7960</v>
      </c>
      <c r="C6" s="0" t="n">
        <f aca="false">B6*(1+C5/100)</f>
        <v>8318.2</v>
      </c>
      <c r="D6" s="0" t="n">
        <f aca="false">C6*(1+D5/100)</f>
        <v>8692.519</v>
      </c>
      <c r="E6" s="0" t="n">
        <f aca="false">D6*(1+E5/100)</f>
        <v>9040.21976</v>
      </c>
      <c r="F6" s="0" t="n">
        <f aca="false">E6*(1+F5/100)</f>
        <v>9401.8285504</v>
      </c>
      <c r="G6" s="0" t="n">
        <f aca="false">F6*(1+G5/100)</f>
        <v>9730.892549664</v>
      </c>
      <c r="H6" s="0" t="n">
        <f aca="false">G6*(1+H5/100)</f>
        <v>10071.4737889022</v>
      </c>
      <c r="I6" s="0" t="n">
        <f aca="false">H6*(1+I5/100)</f>
        <v>10373.6180025693</v>
      </c>
      <c r="J6" s="0" t="n">
        <f aca="false">I6*(1+J5/100)</f>
        <v>10684.8265426464</v>
      </c>
      <c r="K6" s="0" t="n">
        <f aca="false">J6*(1+K5/100)</f>
        <v>11005.3713389258</v>
      </c>
      <c r="L6" s="0" t="n">
        <f aca="false">K6*(1+L5/100)</f>
        <v>11335.5324790935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21.3</v>
      </c>
      <c r="D7" s="4" t="n">
        <f aca="false">Assumptions!D42</f>
        <v>21.7</v>
      </c>
      <c r="E7" s="4" t="n">
        <f aca="false">Assumptions!E42</f>
        <v>22.1</v>
      </c>
      <c r="F7" s="4" t="n">
        <f aca="false">Assumptions!F42</f>
        <v>22.5</v>
      </c>
      <c r="G7" s="4" t="n">
        <f aca="false">Assumptions!G42</f>
        <v>22.8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1771.7766</v>
      </c>
      <c r="D8" s="0" t="n">
        <f aca="false">D6*D7/100</f>
        <v>1886.276623</v>
      </c>
      <c r="E8" s="0" t="n">
        <f aca="false">E6*E7/100</f>
        <v>1997.88856696</v>
      </c>
      <c r="F8" s="0" t="n">
        <f aca="false">F6*F7/100</f>
        <v>2115.41142384</v>
      </c>
      <c r="G8" s="0" t="n">
        <f aca="false">G6*G7/100</f>
        <v>2218.64350132339</v>
      </c>
      <c r="H8" s="0" t="n">
        <f aca="false">H6*H7/100</f>
        <v>2316.43897144751</v>
      </c>
      <c r="I8" s="0" t="n">
        <f aca="false">I6*I7/100</f>
        <v>2385.93214059094</v>
      </c>
      <c r="J8" s="0" t="n">
        <f aca="false">J6*J7/100</f>
        <v>2457.51010480867</v>
      </c>
      <c r="K8" s="0" t="n">
        <f aca="false">K6*K7/100</f>
        <v>2531.23540795293</v>
      </c>
      <c r="L8" s="0" t="n">
        <f aca="false">L6*L7/100</f>
        <v>2607.17247019152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-58.2274</v>
      </c>
      <c r="D10" s="0" t="n">
        <f aca="false">-D6*D9/100</f>
        <v>-60.847633</v>
      </c>
      <c r="E10" s="0" t="n">
        <f aca="false">-E6*E9/100</f>
        <v>-63.28153832</v>
      </c>
      <c r="F10" s="0" t="n">
        <f aca="false">-F6*F9/100</f>
        <v>-65.8127998528</v>
      </c>
      <c r="G10" s="0" t="n">
        <f aca="false">-G6*G9/100</f>
        <v>-68.116247847648</v>
      </c>
      <c r="H10" s="0" t="n">
        <f aca="false">-H6*H9/100</f>
        <v>-70.5003165223157</v>
      </c>
      <c r="I10" s="0" t="n">
        <f aca="false">-I6*I9/100</f>
        <v>-72.6153260179851</v>
      </c>
      <c r="J10" s="0" t="n">
        <f aca="false">-J6*J9/100</f>
        <v>-74.7937857985247</v>
      </c>
      <c r="K10" s="0" t="n">
        <f aca="false">-K6*K9/100</f>
        <v>-77.0375993724804</v>
      </c>
      <c r="L10" s="0" t="n">
        <f aca="false">-L6*L9/100</f>
        <v>-79.3487273536548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1713.5492</v>
      </c>
      <c r="D11" s="0" t="n">
        <f aca="false">D8+D10+D24</f>
        <v>1825.42899</v>
      </c>
      <c r="E11" s="0" t="n">
        <f aca="false">E8+E10+E24</f>
        <v>1934.60702864</v>
      </c>
      <c r="F11" s="0" t="n">
        <f aca="false">F8+F10+F24</f>
        <v>2049.5986239872</v>
      </c>
      <c r="G11" s="0" t="n">
        <f aca="false">G8+G10+G24</f>
        <v>2150.52725347574</v>
      </c>
      <c r="H11" s="0" t="n">
        <f aca="false">H8+H10+H24</f>
        <v>2245.9386549252</v>
      </c>
      <c r="I11" s="0" t="n">
        <f aca="false">I8+I10+I24</f>
        <v>2313.31681457295</v>
      </c>
      <c r="J11" s="0" t="n">
        <f aca="false">J8+J10+J24</f>
        <v>2382.71631901014</v>
      </c>
      <c r="K11" s="0" t="n">
        <f aca="false">K8+K10+K24</f>
        <v>2454.19780858045</v>
      </c>
      <c r="L11" s="0" t="n">
        <f aca="false">L8+L10+L24</f>
        <v>2527.82374283786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-299.4552</v>
      </c>
      <c r="D12" s="4" t="n">
        <f aca="false">-D6*Assumptions!D45/100</f>
        <v>-312.930684</v>
      </c>
      <c r="E12" s="4" t="n">
        <f aca="false">-E6*Assumptions!E45/100</f>
        <v>-325.44791136</v>
      </c>
      <c r="F12" s="4" t="n">
        <f aca="false">-F6*Assumptions!F45/100</f>
        <v>-338.4658278144</v>
      </c>
      <c r="G12" s="4" t="n">
        <f aca="false">-G6*Assumptions!G45/100</f>
        <v>-350.312131787904</v>
      </c>
      <c r="H12" s="4" t="n">
        <f aca="false">-H6*Assumptions!H45/100</f>
        <v>-362.573056400481</v>
      </c>
      <c r="I12" s="4" t="n">
        <f aca="false">-I6*Assumptions!I45/100</f>
        <v>-373.450248092495</v>
      </c>
      <c r="J12" s="4" t="n">
        <f aca="false">-J6*Assumptions!J45/100</f>
        <v>-384.65375553527</v>
      </c>
      <c r="K12" s="4" t="n">
        <f aca="false">-K6*Assumptions!K45/100</f>
        <v>-396.193368201328</v>
      </c>
      <c r="L12" s="4" t="n">
        <f aca="false">-L6*Assumptions!L45/100</f>
        <v>-408.079169247368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1414.094</v>
      </c>
      <c r="D13" s="0" t="n">
        <f aca="false">D11+D12</f>
        <v>1512.498306</v>
      </c>
      <c r="E13" s="0" t="n">
        <f aca="false">E11+E12</f>
        <v>1609.15911728</v>
      </c>
      <c r="F13" s="0" t="n">
        <f aca="false">F11+F12</f>
        <v>1711.1327961728</v>
      </c>
      <c r="G13" s="0" t="n">
        <f aca="false">G11+G12</f>
        <v>1800.21512168784</v>
      </c>
      <c r="H13" s="0" t="n">
        <f aca="false">H11+H12</f>
        <v>1883.36559852472</v>
      </c>
      <c r="I13" s="0" t="n">
        <f aca="false">I11+I12</f>
        <v>1939.86656648046</v>
      </c>
      <c r="J13" s="0" t="n">
        <f aca="false">J11+J12</f>
        <v>1998.06256347487</v>
      </c>
      <c r="K13" s="0" t="n">
        <f aca="false">K11+K12</f>
        <v>2058.00444037912</v>
      </c>
      <c r="L13" s="0" t="n">
        <f aca="false">L11+L12</f>
        <v>2119.74457359049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1074.71144</v>
      </c>
      <c r="D15" s="0" t="n">
        <f aca="false">D13-MAX(0,D13)*D14/100</f>
        <v>1149.49871256</v>
      </c>
      <c r="E15" s="0" t="n">
        <f aca="false">E13-MAX(0,E13)*E14/100</f>
        <v>1222.9609291328</v>
      </c>
      <c r="F15" s="0" t="n">
        <f aca="false">F13-MAX(0,F13)*F14/100</f>
        <v>1317.57225305306</v>
      </c>
      <c r="G15" s="0" t="n">
        <f aca="false">G13-MAX(0,G13)*G14/100</f>
        <v>1386.16564369964</v>
      </c>
      <c r="H15" s="0" t="n">
        <f aca="false">H13-MAX(0,H13)*H14/100</f>
        <v>1450.19151086403</v>
      </c>
      <c r="I15" s="0" t="n">
        <f aca="false">I13-MAX(0,I13)*I14/100</f>
        <v>1493.69725618995</v>
      </c>
      <c r="J15" s="0" t="n">
        <f aca="false">J13-MAX(0,J13)*J14/100</f>
        <v>1538.50817387565</v>
      </c>
      <c r="K15" s="0" t="n">
        <f aca="false">K13-MAX(0,K13)*K14/100</f>
        <v>1584.66341909192</v>
      </c>
      <c r="L15" s="0" t="n">
        <f aca="false">L13-MAX(0,L13)*L14/100</f>
        <v>1632.20332166468</v>
      </c>
    </row>
    <row r="16" customFormat="false" ht="15" hidden="false" customHeight="false" outlineLevel="0" collapsed="false">
      <c r="A16" s="0" t="s">
        <v>128</v>
      </c>
      <c r="C16" s="0" t="n">
        <f aca="false">-C12</f>
        <v>299.4552</v>
      </c>
      <c r="D16" s="0" t="n">
        <f aca="false">-D12</f>
        <v>312.930684</v>
      </c>
      <c r="E16" s="0" t="n">
        <f aca="false">-E12</f>
        <v>325.44791136</v>
      </c>
      <c r="F16" s="0" t="n">
        <f aca="false">-F12</f>
        <v>338.4658278144</v>
      </c>
      <c r="G16" s="0" t="n">
        <f aca="false">-G12</f>
        <v>350.312131787904</v>
      </c>
      <c r="H16" s="0" t="n">
        <f aca="false">-H12</f>
        <v>362.573056400481</v>
      </c>
      <c r="I16" s="0" t="n">
        <f aca="false">-I12</f>
        <v>373.450248092495</v>
      </c>
      <c r="J16" s="0" t="n">
        <f aca="false">-J12</f>
        <v>384.65375553527</v>
      </c>
      <c r="K16" s="0" t="n">
        <f aca="false">-K12</f>
        <v>396.193368201328</v>
      </c>
      <c r="L16" s="0" t="n">
        <f aca="false">-L12</f>
        <v>408.079169247368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-282.8188</v>
      </c>
      <c r="D17" s="4" t="n">
        <f aca="false">-D6*Assumptions!D46/100</f>
        <v>-295.545646</v>
      </c>
      <c r="E17" s="4" t="n">
        <f aca="false">-E6*Assumptions!E46/100</f>
        <v>-307.36747184</v>
      </c>
      <c r="F17" s="4" t="n">
        <f aca="false">-F6*Assumptions!F46/100</f>
        <v>-319.6621707136</v>
      </c>
      <c r="G17" s="4" t="n">
        <f aca="false">-G6*Assumptions!G46/100</f>
        <v>-330.850346688576</v>
      </c>
      <c r="H17" s="4" t="n">
        <f aca="false">-H6*Assumptions!H46/100</f>
        <v>-342.430108822676</v>
      </c>
      <c r="I17" s="4" t="n">
        <f aca="false">-I6*Assumptions!I46/100</f>
        <v>-352.703012087356</v>
      </c>
      <c r="J17" s="4" t="n">
        <f aca="false">-J6*Assumptions!J46/100</f>
        <v>-363.284102449977</v>
      </c>
      <c r="K17" s="4" t="n">
        <f aca="false">-K6*Assumptions!K46/100</f>
        <v>-374.182625523476</v>
      </c>
      <c r="L17" s="4" t="n">
        <f aca="false">-L6*Assumptions!L46/100</f>
        <v>-385.408104289181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-35.8199999999999</v>
      </c>
      <c r="D18" s="4" t="n">
        <f aca="false">(D6-C6)*Assumptions!$B$51/100</f>
        <v>-37.4319</v>
      </c>
      <c r="E18" s="4" t="n">
        <f aca="false">(E6-D6)*Assumptions!$B$51/100</f>
        <v>-34.770076</v>
      </c>
      <c r="F18" s="4" t="n">
        <f aca="false">(F6-E6)*Assumptions!$B$51/100</f>
        <v>-36.16087904</v>
      </c>
      <c r="G18" s="4" t="n">
        <f aca="false">(G6-F6)*Assumptions!$B$51/100</f>
        <v>-32.9063999263999</v>
      </c>
      <c r="H18" s="4" t="n">
        <f aca="false">(H6-G6)*Assumptions!$B$51/100</f>
        <v>-34.058123923824</v>
      </c>
      <c r="I18" s="4" t="n">
        <f aca="false">(I6-H6)*Assumptions!$B$51/100</f>
        <v>-30.2144213667067</v>
      </c>
      <c r="J18" s="4" t="n">
        <f aca="false">(J6-I6)*Assumptions!$B$51/100</f>
        <v>-31.1208540077079</v>
      </c>
      <c r="K18" s="4" t="n">
        <f aca="false">(K6-J6)*Assumptions!$B$51/100</f>
        <v>-32.0544796279391</v>
      </c>
      <c r="L18" s="4" t="n">
        <f aca="false">(L6-K6)*Assumptions!$B$51/100</f>
        <v>-33.0161140167773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1055.52784</v>
      </c>
      <c r="D19" s="0" t="n">
        <f aca="false">D15+D16+D17+D18</f>
        <v>1129.45185056</v>
      </c>
      <c r="E19" s="0" t="n">
        <f aca="false">E15+E16+E17+E18</f>
        <v>1206.2712926528</v>
      </c>
      <c r="F19" s="0" t="n">
        <f aca="false">F15+F16+F17+F18</f>
        <v>1300.21503111386</v>
      </c>
      <c r="G19" s="0" t="n">
        <f aca="false">G15+G16+G17+G18</f>
        <v>1372.72102887256</v>
      </c>
      <c r="H19" s="0" t="n">
        <f aca="false">H15+H16+H17+H18</f>
        <v>1436.27633451801</v>
      </c>
      <c r="I19" s="0" t="n">
        <f aca="false">I15+I16+I17+I18</f>
        <v>1484.23007082839</v>
      </c>
      <c r="J19" s="0" t="n">
        <f aca="false">J15+J16+J17+J18</f>
        <v>1528.75697295324</v>
      </c>
      <c r="K19" s="0" t="n">
        <f aca="false">K15+K16+K17+K18</f>
        <v>1574.61968214183</v>
      </c>
      <c r="L19" s="0" t="n">
        <f aca="false">L15+L16+L17+L18</f>
        <v>1621.85827260609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986.474616822429</v>
      </c>
      <c r="D21" s="0" t="n">
        <f aca="false">D19*D20</f>
        <v>986.506987998952</v>
      </c>
      <c r="E21" s="0" t="n">
        <f aca="false">E19*E20</f>
        <v>984.676695146864</v>
      </c>
      <c r="F21" s="0" t="n">
        <f aca="false">F19*F20</f>
        <v>991.927821868984</v>
      </c>
      <c r="G21" s="0" t="n">
        <f aca="false">G19*G20</f>
        <v>978.73112187274</v>
      </c>
      <c r="H21" s="0" t="n">
        <f aca="false">H19*H20</f>
        <v>957.051566757762</v>
      </c>
      <c r="I21" s="0" t="n">
        <f aca="false">I19*I20</f>
        <v>924.303893505726</v>
      </c>
      <c r="J21" s="0" t="n">
        <f aca="false">J19*J20</f>
        <v>889.750476926072</v>
      </c>
      <c r="K21" s="0" t="n">
        <f aca="false">K19*K20</f>
        <v>856.488776854069</v>
      </c>
      <c r="L21" s="0" t="n">
        <f aca="false">L19*L20</f>
        <v>824.470504822142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9380.38246257574</v>
      </c>
    </row>
    <row r="31" customFormat="false" ht="15" hidden="false" customHeight="false" outlineLevel="0" collapsed="false">
      <c r="A31" s="0" t="s">
        <v>137</v>
      </c>
      <c r="B31" s="0" t="n">
        <f aca="false">L19</f>
        <v>1621.85827260609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41762.8505196068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32437.1654521218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32437.1654521218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16489.4100964428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25869.7925590186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20698.8925590186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76.8333057127638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0.740672988508469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475.965005270715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1038.67438658704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82.4555751702908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13920.9501732023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17.7736833203348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35.9287674747732</v>
      </c>
      <c r="C4" s="0" t="n">
        <f aca="false">B4/Assumptions!$B$2-1</f>
        <v>-0.186027016883252</v>
      </c>
      <c r="D4" s="4" t="n">
        <f aca="false">Assumptions!$B$24</f>
        <v>0.25</v>
      </c>
      <c r="E4" s="4" t="n">
        <f aca="false">DCF_Bear!$B$43</f>
        <v>39.9277520707823</v>
      </c>
      <c r="F4" s="4" t="n">
        <f aca="false">DCF_Bear!$B$47</f>
        <v>6.69774787132682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60.0712446782025</v>
      </c>
      <c r="C5" s="0" t="n">
        <f aca="false">B5/Assumptions!$B$2-1</f>
        <v>0.360925343865032</v>
      </c>
      <c r="D5" s="4" t="n">
        <f aca="false">Assumptions!$B$38</f>
        <v>0.5</v>
      </c>
      <c r="E5" s="4" t="n">
        <f aca="false">DCF_Base!$B$43</f>
        <v>64.9076196899643</v>
      </c>
      <c r="F5" s="4" t="n">
        <f aca="false">DCF_Base!$B$47</f>
        <v>13.4382589199906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76.8333057127638</v>
      </c>
      <c r="C6" s="0" t="n">
        <f aca="false">B6/Assumptions!$B$2-1</f>
        <v>0.740672988508469</v>
      </c>
      <c r="D6" s="4" t="n">
        <f aca="false">Assumptions!$B$52</f>
        <v>0.25</v>
      </c>
      <c r="E6" s="4" t="n">
        <f aca="false">DCF_Bull!$B$43</f>
        <v>82.4555751702908</v>
      </c>
      <c r="F6" s="4" t="n">
        <f aca="false">DCF_Bull!$B$47</f>
        <v>17.7736833203348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58.2261406359855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63.0496416552504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0.241921248465502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-292.031463862574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12.8369872579107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60.0712446782025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44.206312151562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35.6493518324124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29.1096935448434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23.950103023545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13.4382589199906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73.309793472601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73.309793472601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73.309793472601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73.309793472601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73.309793472601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66.3719881220768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66.3719881220768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66.3719881220768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66.3719881220768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66.3719881220768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60.0712446782025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60.0712446782025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60.0712446782025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60.0712446782025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60.0712446782025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48.5746948868441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51.9235442787672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54.3421577284895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54.3421577284895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54.3421577284895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39.2746772552845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41.564364885699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44.206312151562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47.2885839617355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49.1266359586279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2026-10-02T01:03:03Z</dcterms:created>
  <dc:creator>openpyxl</dc:creator>
  <dc:description/>
  <dc:language>en-NZ</dc:language>
  <cp:lastModifiedBy/>
  <dcterms:modified xsi:type="dcterms:W3CDTF">2026-10-02T01:03:03Z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