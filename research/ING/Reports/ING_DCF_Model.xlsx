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<sst xmlns="http://schemas.openxmlformats.org/spreadsheetml/2006/main" count="376" uniqueCount="181">
  <si>
    <t xml:space="preserve">Ticker</t>
  </si>
  <si>
    <t xml:space="preserve">ING</t>
  </si>
  <si>
    <t xml:space="preserve">Company</t>
  </si>
  <si>
    <t xml:space="preserve">ING Groep N.V.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</si>
  <si>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</si>
  <si>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</si>
  <si>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</si>
  <si>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</si>
  <si>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NYSE regular close (Yahoo chart API)</t>
  </si>
  <si>
    <t xml:space="preserve">Balance sheet date</t>
  </si>
  <si>
    <t xml:space="preserve">2026-06-30</t>
  </si>
  <si>
    <t xml:space="preserve">Model</t>
  </si>
  <si>
    <t xml:space="preserve">Bank FCFE (distributable earnings after CET1 retention) at cost of equity (engine route)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</si>
  <si>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</si>
  <si>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</si>
  <si>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</si>
  <si>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</si>
  <si>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</si>
  <si>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</si>
  <si>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</si>
  <si>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</si>
  <si>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</si>
  <si>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2026-10-03T23:03:31Z</t>
  </si>
  <si>
    <t xml:space="preserve">Drivers file</t>
  </si>
  <si>
    <t xml:space="preserve">ING_Drivers.json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</si>
  <si>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</si>
  <si>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</si>
  <si>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</si>
  <si>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ING is valued on what it can distribute: attributable earnings less the CET1 needed to support RWA growth at its ~13% target, discounted at a 9.75% EUR cost of equity. Deposits and wholesale funding are operating liabilities (net_debt = 0); past earnings already reserved for distribution and the small CET1 surplus are added in the bridge. Per-share values are in EUR and converted to USD per ADS (1:1) at the dated EUR/USD rate.
key_risks_to_valuation: Credit cycle: risk costs at 2020 levels (EUR2.7bn) would remove ~EUR1.4bn of distributable profit in that year; ECB rate path: deposit/replicating-portfolio margins drive ~65% of income through NII; Cost of equity: each 0.5pp on the 9.75% CoE moves base value roughly 6-7%; Regulatory capital: Basel IV output floor phase-in or a higher Dutch systemic buffer could lift the CET1 target above 13% and cut buybacks; FX: USD value per ADS moves one-for-one with EUR/USD; the rate is pinned at 2026-10-02 and is not refreshed by refresh_price.py; Polish and Turkish subsidiary tax, FX and sovereign risk; Russia exposure run-off</t>
  </si>
  <si>
    <t xml:space="preserve">Data sources</t>
  </si>
  <si>
    <t xml:space="preserve">price: Yahoo Finance chart API (ING, NYSE) at inputs.price_as_of; 52-week range USD 23.64-37.52. INGA.AS and EURUSD=X from the same API for the parity check.
financials: ING_Metrics.csv / ING.duckdb (core_metrics + kpis, EUR millions), ING 2Q2026 press release (equity, reserved profit, intangibles, CET1, RWA, share table, buyback, outlook), ING FY2025 Annual Report / 20-F (ETR, buybacks, NCI, SBC note).
qualitative: ING 2Q2026 press release outlook for 2026/2027; FY2025 Annual Report outlook and IFRS 9 macroeconomic scenarios. ING_Analysis.json was not yet available at build time.</t>
  </si>
  <si>
    <t xml:space="preserve">Scenario narrative: bear</t>
  </si>
  <si>
    <t xml:space="preserve">Euro-area recession in 2027 (ING's own IFRS 9 downside scenario): risk costs roughly double to ~45-50bp with Wholesale Banking Stage 3 files and Dutch/German mortgage stress, ECB cuts toward 1% compress replicating-portfolio and savings margins, and income stalls; geopolitical/sanctions and Polish/Turkish tax or FX shocks add leakage. RWA still grows from rating migration, so retention eats a larger share of a smaller profit. ROTE falls to ~11-12% before partial recovery.</t>
  </si>
  <si>
    <t xml:space="preserve">Scenario narrative: base</t>
  </si>
  <si>
    <t xml:space="preserve">ING delivers its upgraded outlook: total income &gt;EUR24.5bn in 2026 and &gt;EUR26bn in 2027 as NII recovers on replicating-portfolio reinvestment and deposit/lending volume growth (mobile primary customers +377k in 2Q26) while fees compound high single digits toward EUR5.3-5.5bn. Opex held near EUR13bn and risk costs stay ~20-25bp, giving ROTE of ~16% and distributable earnings of ~EUR6.4bn in year one, paid out as ~50% cash dividend plus buybacks at a ~13% CET1. Growth fades to nominal-EUR 2.5% and margins drift back toward through-cycle levels.</t>
  </si>
  <si>
    <t xml:space="preserve">Scenario narrative: bull</t>
  </si>
  <si>
    <t xml:space="preserve">Fee franchise (investment products, insurance distribution, Wholesale Banking capital-markets) and deposit gathering in Germany/Spain outrun guidance; ECB rates stay ~2% so deposit margins hold while NII rides a growing balance sheet; cost discipline lifts the PBT margin to ~45.5% and ROTE toward 18%, with capital-light growth keeping retention modest.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</si>
  <si>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</si>
  <si>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</si>
  <si>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</si>
  <si>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</si>
  <si>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</si>
  <si>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</si>
  <si>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</si>
  <si>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</si>
  <si>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</si>
  <si>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</si>
  <si>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</si>
  <si>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</si>
  <si>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</si>
  <si>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</si>
  <si>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</si>
  <si>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</si>
  <si>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</si>
  <si>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</si>
  <si>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</si>
  <si>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</si>
  <si>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</si>
  <si>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</si>
  <si>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</si>
  <si>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</si>
  <si>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</si>
  <si>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</si>
  <si>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</si>
  <si>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</si>
  <si>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CET1Ratio</t>
  </si>
  <si>
    <t xml:space="preserve">CostToIncomeRatio</t>
  </si>
  <si>
    <t xml:space="preserve">CreditImpairmentCharge</t>
  </si>
  <si>
    <t xml:space="preserve">CustomerDeposits</t>
  </si>
  <si>
    <t xml:space="preserve">NIM</t>
  </si>
  <si>
    <t xml:space="preserve">NetInterestIncome</t>
  </si>
  <si>
    <t xml:space="preserve">NetLoansAndAdvances</t>
  </si>
  <si>
    <t xml:space="preserve">NonInterestIncome</t>
  </si>
  <si>
    <t xml:space="preserve">OperatingExpenses</t>
  </si>
  <si>
    <t xml:space="preserve">PrePCLProfit</t>
  </si>
  <si>
    <t xml:space="preserve">ROE</t>
  </si>
  <si>
    <t xml:space="preserve">RiskWeightedAssets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</si>
  <si>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</si>
  <si>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</si>
  <si>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</si>
  <si>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</si>
  <si>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</si>
  <si>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</si>
  <si>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</si>
  <si>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</si>
  <si>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</si>
  <si>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</si>
  <si>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</si>
  <si>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</si>
  <si>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</si>
  <si>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</si>
  <si>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</si>
  <si>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</si>
  <si>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</si>
  <si>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</si>
  <si>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</si>
  <si>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</si>
  <si>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30-Jun-2026 (3Q25-2Q26)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</si>
  <si>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</si>
  <si>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</si>
  <si>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</si>
  <si>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</si>
  <si>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TTM to 30-Jun-2027</t>
  </si>
  <si>
    <t xml:space="preserve">TTM to 30-Jun-2028</t>
  </si>
  <si>
    <t xml:space="preserve">TTM to 30-Jun-2029</t>
  </si>
  <si>
    <t xml:space="preserve">TTM to 30-Jun-2030</t>
  </si>
  <si>
    <t xml:space="preserve">TTM to 30-Jun-2031</t>
  </si>
  <si>
    <t xml:space="preserve">TTM to 30-Jun-2032</t>
  </si>
  <si>
    <t xml:space="preserve">TTM to 30-Jun-2033</t>
  </si>
  <si>
    <t xml:space="preserve">TTM to 30-Jun-2034</t>
  </si>
  <si>
    <t xml:space="preserve">TTM to 30-Jun-2035</t>
  </si>
  <si>
    <t xml:space="preserve">TTM to 30-Jun-2036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</si>
  <si>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</si>
  <si>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</si>
  <si>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</si>
  <si>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</si>
  <si>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</si>
  <si>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</si>
  <si>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</si>
  <si>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</si>
  <si>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</si>
  <si>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</si>
  <si>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</si>
  <si>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</si>
  <si>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</si>
  <si>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</si>
  <si>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ING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</si>
  <si>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</si>
  <si>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</si>
  <si>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</si>
  <si>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</si>
  <si>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</si>
  <si>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</si>
  <si>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</si>
  <si>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</si>
  <si>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</si>
  <si>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</si>
  <si>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</si>
  <si>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</si>
  <si>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</si>
  <si>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</si>
  <si>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</si>
  <si>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</si>
  <si>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</si>
  <si>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</si>
  <si>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</si>
  <si>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</si>
  <si>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</si>
  <si>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</si>
  <si>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</si>
  <si>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</si>
  <si>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</si>
  <si>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</si>
  <si>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</si>
  <si>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</si>
  <si>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</si>
  <si>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</si>
  <si>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ING owner-FCF component DCF: base case (millions, EUR)</t>
  </si>
  <si>
    <t xml:space="preserve">ING owner-FCF component DCF: bull case (millions, EUR)</t>
  </si>
  <si>
    <t xml:space="preserve">ING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</si>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</sst>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34.78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</row>
    <row r="2" customFormat="false" ht="15" hidden="false" customHeight="false" outlineLevel="0" collapsed="false">
      <c r="A2" s="0" t="s">
        <v>77</v>
      </c>
      <c r="B2" s="0" t="n">
        <v>18007</v>
      </c>
      <c r="I2" s="0" t="n">
        <v>4926</v>
      </c>
      <c r="J2" s="0" t="n">
        <v>27.4</v>
      </c>
      <c r="K2" s="0" t="n">
        <v>1.27</v>
      </c>
      <c r="O2" s="0" t="n">
        <v>44972</v>
      </c>
      <c r="P2" s="0" t="n">
        <v>837855</v>
      </c>
      <c r="Q2" s="0" t="n">
        <v>792245</v>
      </c>
      <c r="S2" s="0" t="n">
        <v>21458</v>
      </c>
      <c r="T2" s="0" t="n">
        <v>3868.7</v>
      </c>
      <c r="V2" s="0" t="n">
        <v>0.65</v>
      </c>
      <c r="AA2" s="0" t="s">
        <v>18</v>
      </c>
      <c r="AB2" s="0" t="s">
        <v>14</v>
      </c>
      <c r="AE2" s="0" t="n">
        <v>51.8</v>
      </c>
      <c r="AF2" s="0" t="n">
        <v>1347</v>
      </c>
      <c r="AG2" s="0" t="n">
        <v>500746</v>
      </c>
      <c r="AI2" s="0" t="n">
        <v>12561</v>
      </c>
      <c r="AJ2" s="0" t="n">
        <v>533429</v>
      </c>
      <c r="AK2" s="0" t="n">
        <v>5446</v>
      </c>
      <c r="AL2" s="0" t="n">
        <v>9326</v>
      </c>
      <c r="AM2" s="0" t="n">
        <v>8681</v>
      </c>
    </row>
    <row r="3" customFormat="false" ht="15" hidden="false" customHeight="false" outlineLevel="0" collapsed="false">
      <c r="A3" s="0" t="s">
        <v>78</v>
      </c>
      <c r="B3" s="0" t="n">
        <v>17458</v>
      </c>
      <c r="I3" s="0" t="n">
        <v>4651</v>
      </c>
      <c r="J3" s="0" t="n">
        <v>26.6</v>
      </c>
      <c r="K3" s="0" t="n">
        <v>1.2</v>
      </c>
      <c r="O3" s="0" t="n">
        <v>47257</v>
      </c>
      <c r="P3" s="0" t="n">
        <v>842216</v>
      </c>
      <c r="Q3" s="0" t="n">
        <v>794353</v>
      </c>
      <c r="T3" s="0" t="n">
        <v>3877.9</v>
      </c>
      <c r="V3" s="0" t="n">
        <v>0.66</v>
      </c>
      <c r="AA3" s="0" t="s">
        <v>18</v>
      </c>
      <c r="AB3" s="0" t="s">
        <v>14</v>
      </c>
      <c r="AE3" s="0" t="n">
        <v>54.2</v>
      </c>
      <c r="AF3" s="0" t="n">
        <v>974</v>
      </c>
      <c r="AG3" s="0" t="n">
        <v>522908</v>
      </c>
      <c r="AI3" s="0" t="n">
        <v>13241</v>
      </c>
      <c r="AJ3" s="0" t="n">
        <v>560154</v>
      </c>
      <c r="AK3" s="0" t="n">
        <v>4217</v>
      </c>
      <c r="AL3" s="0" t="n">
        <v>9456</v>
      </c>
      <c r="AM3" s="0" t="n">
        <v>8002</v>
      </c>
    </row>
    <row r="4" customFormat="false" ht="15" hidden="false" customHeight="false" outlineLevel="0" collapsed="false">
      <c r="A4" s="0" t="s">
        <v>79</v>
      </c>
      <c r="B4" s="0" t="n">
        <v>17704</v>
      </c>
      <c r="I4" s="0" t="n">
        <v>4905</v>
      </c>
      <c r="J4" s="0" t="n">
        <v>27.7</v>
      </c>
      <c r="K4" s="0" t="n">
        <v>1.26</v>
      </c>
      <c r="O4" s="0" t="n">
        <v>48429</v>
      </c>
      <c r="P4" s="0" t="n">
        <v>843878</v>
      </c>
      <c r="Q4" s="0" t="n">
        <v>794734</v>
      </c>
      <c r="S4" s="0" t="n">
        <v>21989</v>
      </c>
      <c r="T4" s="0" t="n">
        <v>3884.8</v>
      </c>
      <c r="V4" s="0" t="n">
        <v>0.67</v>
      </c>
      <c r="AA4" s="0" t="s">
        <v>18</v>
      </c>
      <c r="AB4" s="0" t="s">
        <v>14</v>
      </c>
      <c r="AE4" s="0" t="n">
        <v>55.5</v>
      </c>
      <c r="AF4" s="0" t="n">
        <v>676</v>
      </c>
      <c r="AG4" s="0" t="n">
        <v>539828</v>
      </c>
      <c r="AI4" s="0" t="n">
        <v>13714</v>
      </c>
      <c r="AJ4" s="0" t="n">
        <v>571909</v>
      </c>
      <c r="AK4" s="0" t="n">
        <v>3990</v>
      </c>
      <c r="AL4" s="0" t="n">
        <v>9829</v>
      </c>
      <c r="AM4" s="0" t="n">
        <v>7875</v>
      </c>
      <c r="AN4" s="0" t="n">
        <v>10.2</v>
      </c>
    </row>
    <row r="5" customFormat="false" ht="15" hidden="false" customHeight="false" outlineLevel="0" collapsed="false">
      <c r="A5" s="0" t="s">
        <v>80</v>
      </c>
      <c r="B5" s="0" t="n">
        <v>18088</v>
      </c>
      <c r="I5" s="0" t="n">
        <v>4703</v>
      </c>
      <c r="J5" s="0" t="n">
        <v>26</v>
      </c>
      <c r="K5" s="0" t="n">
        <v>1.21</v>
      </c>
      <c r="O5" s="0" t="n">
        <v>50932</v>
      </c>
      <c r="P5" s="0" t="n">
        <v>887030</v>
      </c>
      <c r="Q5" s="0" t="n">
        <v>835295</v>
      </c>
      <c r="S5" s="0" t="n">
        <v>49987</v>
      </c>
      <c r="T5" s="0" t="n">
        <v>3890.6</v>
      </c>
      <c r="V5" s="0" t="n">
        <v>0.68</v>
      </c>
      <c r="AA5" s="0" t="s">
        <v>18</v>
      </c>
      <c r="AB5" s="0" t="s">
        <v>14</v>
      </c>
      <c r="AC5" s="0" t="n">
        <v>13.09</v>
      </c>
      <c r="AE5" s="0" t="n">
        <v>54.8</v>
      </c>
      <c r="AF5" s="0" t="n">
        <v>656</v>
      </c>
      <c r="AG5" s="0" t="n">
        <v>555812</v>
      </c>
      <c r="AI5" s="0" t="n">
        <v>13916</v>
      </c>
      <c r="AJ5" s="0" t="n">
        <v>592196</v>
      </c>
      <c r="AK5" s="0" t="n">
        <v>4172</v>
      </c>
      <c r="AL5" s="0" t="n">
        <v>9907</v>
      </c>
      <c r="AM5" s="0" t="n">
        <v>8181</v>
      </c>
    </row>
    <row r="6" customFormat="false" ht="15" hidden="false" customHeight="false" outlineLevel="0" collapsed="false">
      <c r="A6" s="0" t="s">
        <v>81</v>
      </c>
      <c r="B6" s="0" t="n">
        <v>18306</v>
      </c>
      <c r="I6" s="0" t="n">
        <v>4781</v>
      </c>
      <c r="J6" s="0" t="n">
        <v>26.1</v>
      </c>
      <c r="K6" s="0" t="n">
        <v>1.23</v>
      </c>
      <c r="O6" s="0" t="n">
        <v>53769</v>
      </c>
      <c r="P6" s="0" t="n">
        <v>891744</v>
      </c>
      <c r="Q6" s="0" t="n">
        <v>837082</v>
      </c>
      <c r="S6" s="0" t="n">
        <v>53202</v>
      </c>
      <c r="T6" s="0" t="n">
        <v>3895.8</v>
      </c>
      <c r="AA6" s="0" t="s">
        <v>18</v>
      </c>
      <c r="AB6" s="0" t="s">
        <v>14</v>
      </c>
      <c r="AC6" s="0" t="n">
        <v>13.8</v>
      </c>
      <c r="AD6" s="0" t="n">
        <v>14.6</v>
      </c>
      <c r="AE6" s="0" t="n">
        <v>56.6</v>
      </c>
      <c r="AF6" s="0" t="n">
        <v>1120</v>
      </c>
      <c r="AG6" s="0" t="n">
        <v>574433</v>
      </c>
      <c r="AI6" s="0" t="n">
        <v>14079</v>
      </c>
      <c r="AJ6" s="0" t="n">
        <v>611765</v>
      </c>
      <c r="AK6" s="0" t="n">
        <v>4227</v>
      </c>
      <c r="AL6" s="0" t="n">
        <v>10353</v>
      </c>
      <c r="AM6" s="0" t="n">
        <v>7953</v>
      </c>
      <c r="AO6" s="0" t="n">
        <v>326400</v>
      </c>
    </row>
    <row r="7" customFormat="false" ht="15" hidden="false" customHeight="false" outlineLevel="0" collapsed="false">
      <c r="A7" s="0" t="s">
        <v>82</v>
      </c>
      <c r="B7" s="0" t="n">
        <v>17637</v>
      </c>
      <c r="I7" s="0" t="n">
        <v>2485</v>
      </c>
      <c r="J7" s="0" t="n">
        <v>14.1</v>
      </c>
      <c r="K7" s="0" t="n">
        <v>0.64</v>
      </c>
      <c r="O7" s="0" t="n">
        <v>54637</v>
      </c>
      <c r="P7" s="0" t="n">
        <v>937275</v>
      </c>
      <c r="Q7" s="0" t="n">
        <v>881616</v>
      </c>
      <c r="S7" s="0" t="n">
        <v>111087</v>
      </c>
      <c r="T7" s="0" t="n">
        <v>3900.1</v>
      </c>
      <c r="AA7" s="0" t="s">
        <v>18</v>
      </c>
      <c r="AB7" s="0" t="s">
        <v>14</v>
      </c>
      <c r="AC7" s="0" t="n">
        <v>14.01</v>
      </c>
      <c r="AD7" s="0" t="n">
        <v>15.5</v>
      </c>
      <c r="AE7" s="0" t="n">
        <v>63.2</v>
      </c>
      <c r="AF7" s="0" t="n">
        <v>2675</v>
      </c>
      <c r="AG7" s="0" t="n">
        <v>609642</v>
      </c>
      <c r="AI7" s="0" t="n">
        <v>13604</v>
      </c>
      <c r="AJ7" s="0" t="n">
        <v>598176</v>
      </c>
      <c r="AK7" s="0" t="n">
        <v>4033</v>
      </c>
      <c r="AL7" s="0" t="n">
        <v>11153</v>
      </c>
      <c r="AM7" s="0" t="n">
        <v>6484</v>
      </c>
      <c r="AN7" s="0" t="n">
        <v>4.8</v>
      </c>
      <c r="AO7" s="0" t="n">
        <v>306300</v>
      </c>
    </row>
    <row r="8" customFormat="false" ht="15" hidden="false" customHeight="false" outlineLevel="0" collapsed="false">
      <c r="A8" s="0" t="s">
        <v>83</v>
      </c>
      <c r="B8" s="0" t="n">
        <v>18490</v>
      </c>
      <c r="I8" s="0" t="n">
        <v>4776</v>
      </c>
      <c r="J8" s="0" t="n">
        <v>25.8</v>
      </c>
      <c r="K8" s="0" t="n">
        <v>1.23</v>
      </c>
      <c r="O8" s="0" t="n">
        <v>53919</v>
      </c>
      <c r="P8" s="0" t="n">
        <v>951290</v>
      </c>
      <c r="Q8" s="0" t="n">
        <v>896635</v>
      </c>
      <c r="S8" s="0" t="n">
        <v>106520</v>
      </c>
      <c r="T8" s="0" t="n">
        <v>3775.8</v>
      </c>
      <c r="AA8" s="0" t="s">
        <v>18</v>
      </c>
      <c r="AB8" s="0" t="s">
        <v>14</v>
      </c>
      <c r="AC8" s="0" t="n">
        <v>14.28</v>
      </c>
      <c r="AD8" s="0" t="n">
        <v>15.9</v>
      </c>
      <c r="AE8" s="0" t="n">
        <v>60.5</v>
      </c>
      <c r="AF8" s="0" t="n">
        <v>516</v>
      </c>
      <c r="AG8" s="0" t="n">
        <v>617296</v>
      </c>
      <c r="AI8" s="0" t="n">
        <v>13615</v>
      </c>
      <c r="AJ8" s="0" t="n">
        <v>627508</v>
      </c>
      <c r="AK8" s="0" t="n">
        <v>4875</v>
      </c>
      <c r="AL8" s="0" t="n">
        <v>11192</v>
      </c>
      <c r="AM8" s="0" t="n">
        <v>7298</v>
      </c>
      <c r="AN8" s="0" t="n">
        <v>9.2</v>
      </c>
      <c r="AO8" s="0" t="n">
        <v>313100</v>
      </c>
    </row>
    <row r="9" customFormat="false" ht="15" hidden="false" customHeight="false" outlineLevel="0" collapsed="false">
      <c r="A9" s="0" t="s">
        <v>84</v>
      </c>
      <c r="B9" s="0" t="n">
        <v>18561</v>
      </c>
      <c r="I9" s="0" t="n">
        <v>3674</v>
      </c>
      <c r="J9" s="0" t="n">
        <v>19.8</v>
      </c>
      <c r="K9" s="0" t="n">
        <v>0.98</v>
      </c>
      <c r="O9" s="0" t="n">
        <v>49909</v>
      </c>
      <c r="P9" s="0" t="n">
        <v>968310</v>
      </c>
      <c r="Q9" s="0" t="n">
        <v>917897</v>
      </c>
      <c r="S9" s="0" t="n">
        <v>87614</v>
      </c>
      <c r="T9" s="0" t="n">
        <v>3619.1</v>
      </c>
      <c r="V9" s="0" t="n">
        <v>0.56</v>
      </c>
      <c r="AA9" s="0" t="s">
        <v>18</v>
      </c>
      <c r="AB9" s="0" t="s">
        <v>14</v>
      </c>
      <c r="AC9" s="0" t="n">
        <v>13.79</v>
      </c>
      <c r="AD9" s="0" t="n">
        <v>14.5</v>
      </c>
      <c r="AE9" s="0" t="n">
        <v>60.3</v>
      </c>
      <c r="AF9" s="0" t="n">
        <v>1861</v>
      </c>
      <c r="AG9" s="0" t="n">
        <v>640770</v>
      </c>
      <c r="AI9" s="0" t="n">
        <v>13756</v>
      </c>
      <c r="AJ9" s="0" t="n">
        <v>635999</v>
      </c>
      <c r="AK9" s="0" t="n">
        <v>4805</v>
      </c>
      <c r="AL9" s="0" t="n">
        <v>11199</v>
      </c>
      <c r="AM9" s="0" t="n">
        <v>7362</v>
      </c>
      <c r="AN9" s="0" t="n">
        <v>7.2</v>
      </c>
      <c r="AO9" s="0" t="n">
        <v>331500</v>
      </c>
    </row>
    <row r="10" customFormat="false" ht="15" hidden="false" customHeight="false" outlineLevel="0" collapsed="false">
      <c r="A10" s="0" t="s">
        <v>85</v>
      </c>
      <c r="B10" s="0" t="n">
        <v>22575</v>
      </c>
      <c r="I10" s="0" t="n">
        <v>7287</v>
      </c>
      <c r="J10" s="0" t="n">
        <v>32.3</v>
      </c>
      <c r="K10" s="0" t="n">
        <v>2.05</v>
      </c>
      <c r="O10" s="0" t="n">
        <v>51240</v>
      </c>
      <c r="P10" s="0" t="n">
        <v>975583</v>
      </c>
      <c r="Q10" s="0" t="n">
        <v>923400</v>
      </c>
      <c r="S10" s="0" t="n">
        <v>90214</v>
      </c>
      <c r="T10" s="0" t="n">
        <v>3343.6</v>
      </c>
      <c r="V10" s="0" t="n">
        <v>1.106</v>
      </c>
      <c r="AA10" s="0" t="s">
        <v>18</v>
      </c>
      <c r="AB10" s="0" t="s">
        <v>14</v>
      </c>
      <c r="AD10" s="0" t="n">
        <v>14.7</v>
      </c>
      <c r="AE10" s="0" t="n">
        <v>51.2</v>
      </c>
      <c r="AF10" s="0" t="n">
        <v>520</v>
      </c>
      <c r="AG10" s="0" t="n">
        <v>650267</v>
      </c>
      <c r="AI10" s="0" t="n">
        <v>15976</v>
      </c>
      <c r="AJ10" s="0" t="n">
        <v>642402</v>
      </c>
      <c r="AK10" s="0" t="n">
        <v>6599</v>
      </c>
      <c r="AL10" s="0" t="n">
        <v>11564</v>
      </c>
      <c r="AM10" s="0" t="n">
        <v>11011</v>
      </c>
      <c r="AN10" s="0" t="n">
        <v>14.8</v>
      </c>
      <c r="AO10" s="0" t="n">
        <v>319200</v>
      </c>
    </row>
    <row r="11" customFormat="false" ht="15" hidden="false" customHeight="false" outlineLevel="0" collapsed="false">
      <c r="A11" s="0" t="s">
        <v>86</v>
      </c>
      <c r="B11" s="0" t="n">
        <v>22615</v>
      </c>
      <c r="I11" s="0" t="n">
        <v>6392</v>
      </c>
      <c r="J11" s="0" t="n">
        <v>28.3</v>
      </c>
      <c r="K11" s="0" t="n">
        <v>1.98</v>
      </c>
      <c r="O11" s="0" t="n">
        <v>50314</v>
      </c>
      <c r="P11" s="0" t="n">
        <v>1020545</v>
      </c>
      <c r="Q11" s="0" t="n">
        <v>969236</v>
      </c>
      <c r="S11" s="0" t="n">
        <v>70353</v>
      </c>
      <c r="T11" s="0" t="n">
        <v>3096.3</v>
      </c>
      <c r="V11" s="0" t="n">
        <v>1.06</v>
      </c>
      <c r="AA11" s="0" t="s">
        <v>18</v>
      </c>
      <c r="AB11" s="0" t="s">
        <v>14</v>
      </c>
      <c r="AD11" s="0" t="n">
        <v>13.6</v>
      </c>
      <c r="AE11" s="0" t="n">
        <v>53.6</v>
      </c>
      <c r="AF11" s="0" t="n">
        <v>1194</v>
      </c>
      <c r="AG11" s="0" t="n">
        <v>691661</v>
      </c>
      <c r="AH11" s="0" t="n">
        <v>1.45</v>
      </c>
      <c r="AI11" s="0" t="n">
        <v>15023</v>
      </c>
      <c r="AJ11" s="0" t="n">
        <v>680233</v>
      </c>
      <c r="AK11" s="0" t="n">
        <v>7592</v>
      </c>
      <c r="AL11" s="0" t="n">
        <v>12121</v>
      </c>
      <c r="AM11" s="0" t="n">
        <v>10494</v>
      </c>
      <c r="AN11" s="0" t="n">
        <v>13</v>
      </c>
      <c r="AO11" s="0" t="n">
        <v>333700</v>
      </c>
    </row>
    <row r="12" customFormat="false" ht="15" hidden="false" customHeight="false" outlineLevel="0" collapsed="false">
      <c r="A12" s="0" t="s">
        <v>87</v>
      </c>
      <c r="B12" s="0" t="n">
        <v>23035</v>
      </c>
      <c r="I12" s="0" t="n">
        <v>6327</v>
      </c>
      <c r="J12" s="0" t="n">
        <v>27.5</v>
      </c>
      <c r="K12" s="0" t="n">
        <v>2.12</v>
      </c>
      <c r="O12" s="0" t="n">
        <v>49698</v>
      </c>
      <c r="P12" s="0" t="n">
        <v>1054405</v>
      </c>
      <c r="Q12" s="0" t="n">
        <v>1003452</v>
      </c>
      <c r="S12" s="0" t="n">
        <v>52889</v>
      </c>
      <c r="T12" s="0" t="n">
        <v>2902.4</v>
      </c>
      <c r="V12" s="0" t="n">
        <v>1.086</v>
      </c>
      <c r="AA12" s="0" t="s">
        <v>18</v>
      </c>
      <c r="AB12" s="0" t="s">
        <v>14</v>
      </c>
      <c r="AD12" s="0" t="n">
        <v>13.1</v>
      </c>
      <c r="AE12" s="0" t="n">
        <v>54.6</v>
      </c>
      <c r="AF12" s="0" t="n">
        <v>1304</v>
      </c>
      <c r="AG12" s="0" t="n">
        <v>721367</v>
      </c>
      <c r="AH12" s="0" t="n">
        <v>1.36</v>
      </c>
      <c r="AI12" s="0" t="n">
        <v>14681</v>
      </c>
      <c r="AJ12" s="0" t="n">
        <v>721705</v>
      </c>
      <c r="AK12" s="0" t="n">
        <v>8354</v>
      </c>
      <c r="AL12" s="0" t="n">
        <v>12583</v>
      </c>
      <c r="AM12" s="0" t="n">
        <v>10452</v>
      </c>
      <c r="AN12" s="0" t="n">
        <v>13.2</v>
      </c>
      <c r="AO12" s="0" t="n">
        <v>340700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88</v>
      </c>
      <c r="B1" s="2" t="s">
        <v>89</v>
      </c>
    </row>
    <row r="2" customFormat="false" ht="15" hidden="false" customHeight="false" outlineLevel="0" collapsed="false">
      <c r="A2" s="0" t="s">
        <v>90</v>
      </c>
      <c r="B2" s="3" t="n">
        <v>34.78</v>
      </c>
    </row>
    <row r="3" customFormat="false" ht="15" hidden="false" customHeight="false" outlineLevel="0" collapsed="false">
      <c r="A3" s="0" t="s">
        <v>91</v>
      </c>
      <c r="B3" s="3" t="n">
        <v>2836.9</v>
      </c>
    </row>
    <row r="4" customFormat="false" ht="15" hidden="false" customHeight="false" outlineLevel="0" collapsed="false">
      <c r="A4" s="0" t="s">
        <v>92</v>
      </c>
      <c r="B4" s="3" t="n">
        <v>0</v>
      </c>
    </row>
    <row r="5" customFormat="false" ht="15" hidden="false" customHeight="false" outlineLevel="0" collapsed="false">
      <c r="A5" s="0" t="s">
        <v>93</v>
      </c>
      <c r="B5" s="3" t="n">
        <v>1924</v>
      </c>
    </row>
    <row r="6" customFormat="false" ht="15" hidden="false" customHeight="false" outlineLevel="0" collapsed="false">
      <c r="A6" s="0" t="s">
        <v>94</v>
      </c>
      <c r="B6" s="3" t="n">
        <v>15</v>
      </c>
    </row>
    <row r="7" customFormat="false" ht="15" hidden="false" customHeight="false" outlineLevel="0" collapsed="false">
      <c r="A7" s="0" t="s">
        <v>95</v>
      </c>
      <c r="B7" s="3" t="n">
        <v>23802</v>
      </c>
    </row>
    <row r="8" customFormat="false" ht="15" hidden="false" customHeight="false" outlineLevel="0" collapsed="false">
      <c r="A8" s="0" t="s">
        <v>96</v>
      </c>
      <c r="B8" s="3" t="s">
        <v>97</v>
      </c>
    </row>
    <row r="9" customFormat="false" ht="15" hidden="false" customHeight="false" outlineLevel="0" collapsed="false">
      <c r="A9" s="0" t="s">
        <v>98</v>
      </c>
      <c r="B9" s="3" t="s">
        <v>99</v>
      </c>
    </row>
    <row r="10" customFormat="false" ht="15" hidden="false" customHeight="false" outlineLevel="0" collapsed="false">
      <c r="A10" s="0" t="s">
        <v>100</v>
      </c>
      <c r="B10" s="3" t="n">
        <v>1.1257</v>
      </c>
    </row>
    <row r="12" customFormat="false" ht="15" hidden="false" customHeight="false" outlineLevel="0" collapsed="false">
      <c r="A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2" t="s">
        <v>111</v>
      </c>
    </row>
    <row r="13" customFormat="false" ht="15" hidden="false" customHeight="false" outlineLevel="0" collapsed="false">
      <c r="A13" s="0" t="s">
        <v>112</v>
      </c>
      <c r="C13" s="3" t="n">
        <v>4.5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113</v>
      </c>
      <c r="C14" s="3" t="n">
        <v>40</v>
      </c>
      <c r="D14" s="3" t="n">
        <v>37</v>
      </c>
      <c r="E14" s="3" t="n">
        <v>38.5</v>
      </c>
      <c r="F14" s="3" t="n">
        <v>39.5</v>
      </c>
      <c r="G14" s="3" t="n">
        <v>40</v>
      </c>
      <c r="H14" s="3" t="n">
        <v>40</v>
      </c>
      <c r="I14" s="3" t="n">
        <v>40</v>
      </c>
      <c r="J14" s="3" t="n">
        <v>40</v>
      </c>
      <c r="K14" s="3" t="n">
        <v>40</v>
      </c>
      <c r="L14" s="3" t="n">
        <v>40</v>
      </c>
    </row>
    <row r="15" customFormat="false" ht="15" hidden="false" customHeight="false" outlineLevel="0" collapsed="false">
      <c r="A15" s="0" t="s">
        <v>114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117</v>
      </c>
      <c r="C18" s="3" t="n">
        <v>5.36</v>
      </c>
      <c r="D18" s="3" t="n">
        <v>5.47</v>
      </c>
      <c r="E18" s="3" t="n">
        <v>3.68</v>
      </c>
      <c r="F18" s="3" t="n">
        <v>3.66</v>
      </c>
      <c r="G18" s="3" t="n">
        <v>3.65</v>
      </c>
      <c r="H18" s="3" t="n">
        <v>3.63</v>
      </c>
      <c r="I18" s="3" t="n">
        <v>3.63</v>
      </c>
      <c r="J18" s="3" t="n">
        <v>3.63</v>
      </c>
      <c r="K18" s="3" t="n">
        <v>3.63</v>
      </c>
      <c r="L18" s="3" t="n">
        <v>3.63</v>
      </c>
    </row>
    <row r="19" customFormat="false" ht="15" hidden="false" customHeight="false" outlineLevel="0" collapsed="false">
      <c r="A19" s="0" t="s">
        <v>118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119</v>
      </c>
      <c r="B20" s="3" t="n">
        <v>9.75</v>
      </c>
    </row>
    <row r="21" customFormat="false" ht="15" hidden="false" customHeight="false" outlineLevel="0" collapsed="false">
      <c r="A21" s="0" t="s">
        <v>120</v>
      </c>
      <c r="B21" s="3" t="n">
        <v>2</v>
      </c>
    </row>
    <row r="22" customFormat="false" ht="15" hidden="false" customHeight="false" outlineLevel="0" collapsed="false">
      <c r="A22" s="0" t="s">
        <v>121</v>
      </c>
      <c r="B22" s="3" t="n">
        <v>15</v>
      </c>
    </row>
    <row r="23" customFormat="false" ht="15" hidden="false" customHeight="false" outlineLevel="0" collapsed="false">
      <c r="A23" s="0" t="s">
        <v>122</v>
      </c>
      <c r="B23" s="3" t="n">
        <v>0</v>
      </c>
    </row>
    <row r="24" customFormat="false" ht="15" hidden="false" customHeight="false" outlineLevel="0" collapsed="false">
      <c r="A24" s="0" t="s">
        <v>123</v>
      </c>
      <c r="B24" s="3" t="n">
        <v>0.25</v>
      </c>
    </row>
    <row r="26" customFormat="false" ht="15" hidden="false" customHeight="false" outlineLevel="0" collapsed="false">
      <c r="A26" s="2" t="s">
        <v>124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106</v>
      </c>
      <c r="H26" s="2" t="s">
        <v>107</v>
      </c>
      <c r="I26" s="2" t="s">
        <v>108</v>
      </c>
      <c r="J26" s="2" t="s">
        <v>109</v>
      </c>
      <c r="K26" s="2" t="s">
        <v>110</v>
      </c>
      <c r="L26" s="2" t="s">
        <v>111</v>
      </c>
    </row>
    <row r="27" customFormat="false" ht="15" hidden="false" customHeight="false" outlineLevel="0" collapsed="false">
      <c r="A27" s="0" t="s">
        <v>112</v>
      </c>
      <c r="C27" s="3" t="n">
        <v>7</v>
      </c>
      <c r="D27" s="3" t="n">
        <v>4.5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113</v>
      </c>
      <c r="C28" s="3" t="n">
        <v>42.5</v>
      </c>
      <c r="D28" s="3" t="n">
        <v>43.5</v>
      </c>
      <c r="E28" s="3" t="n">
        <v>43.5</v>
      </c>
      <c r="F28" s="3" t="n">
        <v>43</v>
      </c>
      <c r="G28" s="3" t="n">
        <v>43</v>
      </c>
      <c r="H28" s="3" t="n">
        <v>42.5</v>
      </c>
      <c r="I28" s="3" t="n">
        <v>42.5</v>
      </c>
      <c r="J28" s="3" t="n">
        <v>42.5</v>
      </c>
      <c r="K28" s="3" t="n">
        <v>42.5</v>
      </c>
      <c r="L28" s="3" t="n">
        <v>42.5</v>
      </c>
    </row>
    <row r="29" customFormat="false" ht="15" hidden="false" customHeight="false" outlineLevel="0" collapsed="false">
      <c r="A29" s="0" t="s">
        <v>114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117</v>
      </c>
      <c r="C32" s="3" t="n">
        <v>6.11</v>
      </c>
      <c r="D32" s="3" t="n">
        <v>6.05</v>
      </c>
      <c r="E32" s="3" t="n">
        <v>6.02</v>
      </c>
      <c r="F32" s="3" t="n">
        <v>6.02</v>
      </c>
      <c r="G32" s="3" t="n">
        <v>6.02</v>
      </c>
      <c r="H32" s="3" t="n">
        <v>5.19</v>
      </c>
      <c r="I32" s="3" t="n">
        <v>5.19</v>
      </c>
      <c r="J32" s="3" t="n">
        <v>5.19</v>
      </c>
      <c r="K32" s="3" t="n">
        <v>4.34</v>
      </c>
      <c r="L32" s="3" t="n">
        <v>4.34</v>
      </c>
    </row>
    <row r="33" customFormat="false" ht="15" hidden="false" customHeight="false" outlineLevel="0" collapsed="false">
      <c r="A33" s="0" t="s">
        <v>118</v>
      </c>
      <c r="C33" s="3" t="n">
        <v>32.5</v>
      </c>
      <c r="D33" s="3" t="n">
        <v>32.5</v>
      </c>
      <c r="E33" s="3" t="n">
        <v>32.5</v>
      </c>
      <c r="F33" s="3" t="n">
        <v>32.5</v>
      </c>
      <c r="G33" s="3" t="n">
        <v>32.5</v>
      </c>
      <c r="H33" s="3" t="n">
        <v>32.5</v>
      </c>
      <c r="I33" s="3" t="n">
        <v>32.5</v>
      </c>
      <c r="J33" s="3" t="n">
        <v>32.5</v>
      </c>
      <c r="K33" s="3" t="n">
        <v>32.5</v>
      </c>
      <c r="L33" s="3" t="n">
        <v>32.5</v>
      </c>
    </row>
    <row r="34" customFormat="false" ht="15" hidden="false" customHeight="false" outlineLevel="0" collapsed="false">
      <c r="A34" s="0" t="s">
        <v>119</v>
      </c>
      <c r="B34" s="3" t="n">
        <v>9.75</v>
      </c>
    </row>
    <row r="35" customFormat="false" ht="15" hidden="false" customHeight="false" outlineLevel="0" collapsed="false">
      <c r="A35" s="0" t="s">
        <v>120</v>
      </c>
      <c r="B35" s="3" t="n">
        <v>2.5</v>
      </c>
    </row>
    <row r="36" customFormat="false" ht="15" hidden="false" customHeight="false" outlineLevel="0" collapsed="false">
      <c r="A36" s="0" t="s">
        <v>121</v>
      </c>
      <c r="B36" s="3" t="n">
        <v>15</v>
      </c>
    </row>
    <row r="37" customFormat="false" ht="15" hidden="false" customHeight="false" outlineLevel="0" collapsed="false">
      <c r="A37" s="0" t="s">
        <v>122</v>
      </c>
      <c r="B37" s="3" t="n">
        <v>0</v>
      </c>
    </row>
    <row r="38" customFormat="false" ht="15" hidden="false" customHeight="false" outlineLevel="0" collapsed="false">
      <c r="A38" s="0" t="s">
        <v>123</v>
      </c>
      <c r="B38" s="3" t="n">
        <v>0.5</v>
      </c>
    </row>
    <row r="40" customFormat="false" ht="15" hidden="false" customHeight="false" outlineLevel="0" collapsed="false">
      <c r="A40" s="2" t="s">
        <v>125</v>
      </c>
      <c r="C40" s="2" t="s">
        <v>102</v>
      </c>
      <c r="D40" s="2" t="s">
        <v>103</v>
      </c>
      <c r="E40" s="2" t="s">
        <v>104</v>
      </c>
      <c r="F40" s="2" t="s">
        <v>105</v>
      </c>
      <c r="G40" s="2" t="s">
        <v>106</v>
      </c>
      <c r="H40" s="2" t="s">
        <v>107</v>
      </c>
      <c r="I40" s="2" t="s">
        <v>108</v>
      </c>
      <c r="J40" s="2" t="s">
        <v>109</v>
      </c>
      <c r="K40" s="2" t="s">
        <v>110</v>
      </c>
      <c r="L40" s="2" t="s">
        <v>111</v>
      </c>
    </row>
    <row r="41" customFormat="false" ht="15" hidden="false" customHeight="false" outlineLevel="0" collapsed="false">
      <c r="A41" s="0" t="s">
        <v>112</v>
      </c>
      <c r="C41" s="3" t="n">
        <v>8.5</v>
      </c>
      <c r="D41" s="3" t="n">
        <v>6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113</v>
      </c>
      <c r="C42" s="3" t="n">
        <v>43.5</v>
      </c>
      <c r="D42" s="3" t="n">
        <v>45</v>
      </c>
      <c r="E42" s="3" t="n">
        <v>45.5</v>
      </c>
      <c r="F42" s="3" t="n">
        <v>45.5</v>
      </c>
      <c r="G42" s="3" t="n">
        <v>45.5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114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117</v>
      </c>
      <c r="C46" s="3" t="n">
        <v>7.75</v>
      </c>
      <c r="D46" s="3" t="n">
        <v>7.64</v>
      </c>
      <c r="E46" s="3" t="n">
        <v>6.76</v>
      </c>
      <c r="F46" s="3" t="n">
        <v>6.72</v>
      </c>
      <c r="G46" s="3" t="n">
        <v>6.72</v>
      </c>
      <c r="H46" s="3" t="n">
        <v>5.91</v>
      </c>
      <c r="I46" s="3" t="n">
        <v>5.91</v>
      </c>
      <c r="J46" s="3" t="n">
        <v>5.09</v>
      </c>
      <c r="K46" s="3" t="n">
        <v>5.09</v>
      </c>
      <c r="L46" s="3" t="n">
        <v>5.09</v>
      </c>
    </row>
    <row r="47" customFormat="false" ht="15" hidden="false" customHeight="false" outlineLevel="0" collapsed="false">
      <c r="A47" s="0" t="s">
        <v>118</v>
      </c>
      <c r="C47" s="3" t="n">
        <v>32</v>
      </c>
      <c r="D47" s="3" t="n">
        <v>32</v>
      </c>
      <c r="E47" s="3" t="n">
        <v>32</v>
      </c>
      <c r="F47" s="3" t="n">
        <v>32</v>
      </c>
      <c r="G47" s="3" t="n">
        <v>32</v>
      </c>
      <c r="H47" s="3" t="n">
        <v>32</v>
      </c>
      <c r="I47" s="3" t="n">
        <v>32</v>
      </c>
      <c r="J47" s="3" t="n">
        <v>32</v>
      </c>
      <c r="K47" s="3" t="n">
        <v>32</v>
      </c>
      <c r="L47" s="3" t="n">
        <v>32</v>
      </c>
    </row>
    <row r="48" customFormat="false" ht="15" hidden="false" customHeight="false" outlineLevel="0" collapsed="false">
      <c r="A48" s="0" t="s">
        <v>119</v>
      </c>
      <c r="B48" s="3" t="n">
        <v>9.75</v>
      </c>
    </row>
    <row r="49" customFormat="false" ht="15" hidden="false" customHeight="false" outlineLevel="0" collapsed="false">
      <c r="A49" s="0" t="s">
        <v>120</v>
      </c>
      <c r="B49" s="3" t="n">
        <v>3</v>
      </c>
    </row>
    <row r="50" customFormat="false" ht="15" hidden="false" customHeight="false" outlineLevel="0" collapsed="false">
      <c r="A50" s="0" t="s">
        <v>121</v>
      </c>
      <c r="B50" s="3" t="n">
        <v>15</v>
      </c>
    </row>
    <row r="51" customFormat="false" ht="15" hidden="false" customHeight="false" outlineLevel="0" collapsed="false">
      <c r="A51" s="0" t="s">
        <v>122</v>
      </c>
      <c r="B51" s="3" t="n">
        <v>0</v>
      </c>
    </row>
    <row r="52" customFormat="false" ht="15" hidden="false" customHeight="false" outlineLevel="0" collapsed="false">
      <c r="A52" s="0" t="s">
        <v>123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126</v>
      </c>
    </row>
    <row r="3" customFormat="false" ht="15" hidden="false" customHeight="false" outlineLevel="0" collapsed="false">
      <c r="A3" s="0" t="s">
        <v>127</v>
      </c>
      <c r="B3" s="0" t="s">
        <v>97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Assumptions!C13</f>
        <v>4.5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23802</v>
      </c>
      <c r="C6" s="0" t="n">
        <f aca="false">B6*(1+C5/100)</f>
        <v>24873.09</v>
      </c>
      <c r="D6" s="0" t="n">
        <f aca="false">C6*(1+D5/100)</f>
        <v>25121.8209</v>
      </c>
      <c r="E6" s="0" t="n">
        <f aca="false">D6*(1+E5/100)</f>
        <v>25624.257318</v>
      </c>
      <c r="F6" s="0" t="n">
        <f aca="false">E6*(1+F5/100)</f>
        <v>26264.86375095</v>
      </c>
      <c r="G6" s="0" t="n">
        <f aca="false">F6*(1+G5/100)</f>
        <v>26921.4853447237</v>
      </c>
      <c r="H6" s="0" t="n">
        <f aca="false">G6*(1+H5/100)</f>
        <v>27594.5224783418</v>
      </c>
      <c r="I6" s="0" t="n">
        <f aca="false">H6*(1+I5/100)</f>
        <v>28146.4129279087</v>
      </c>
      <c r="J6" s="0" t="n">
        <f aca="false">I6*(1+J5/100)</f>
        <v>28709.3411864668</v>
      </c>
      <c r="K6" s="0" t="n">
        <f aca="false">J6*(1+K5/100)</f>
        <v>29283.5280101962</v>
      </c>
      <c r="L6" s="0" t="n">
        <f aca="false">K6*(1+L5/100)</f>
        <v>29869.1985704001</v>
      </c>
    </row>
    <row r="7" customFormat="false" ht="15" hidden="false" customHeight="false" outlineLevel="0" collapsed="false">
      <c r="A7" s="0" t="s">
        <v>113</v>
      </c>
      <c r="C7" s="4" t="n">
        <f aca="false">Assumptions!C14</f>
        <v>40</v>
      </c>
      <c r="D7" s="4" t="n">
        <f aca="false">Assumptions!D14</f>
        <v>37</v>
      </c>
      <c r="E7" s="4" t="n">
        <f aca="false">Assumptions!E14</f>
        <v>38.5</v>
      </c>
      <c r="F7" s="4" t="n">
        <f aca="false">Assumptions!F14</f>
        <v>39.5</v>
      </c>
      <c r="G7" s="4" t="n">
        <f aca="false">Assumptions!G14</f>
        <v>40</v>
      </c>
      <c r="H7" s="4" t="n">
        <f aca="false">Assumptions!H14</f>
        <v>40</v>
      </c>
      <c r="I7" s="4" t="n">
        <f aca="false">Assumptions!I14</f>
        <v>40</v>
      </c>
      <c r="J7" s="4" t="n">
        <f aca="false">Assumptions!J14</f>
        <v>40</v>
      </c>
      <c r="K7" s="4" t="n">
        <f aca="false">Assumptions!K14</f>
        <v>40</v>
      </c>
      <c r="L7" s="4" t="n">
        <f aca="false">Assumptions!L14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9949.236</v>
      </c>
      <c r="D8" s="0" t="n">
        <f aca="false">D6*D7/100</f>
        <v>9295.073733</v>
      </c>
      <c r="E8" s="0" t="n">
        <f aca="false">E6*E7/100</f>
        <v>9865.33906743</v>
      </c>
      <c r="F8" s="0" t="n">
        <f aca="false">F6*F7/100</f>
        <v>10374.6211816252</v>
      </c>
      <c r="G8" s="0" t="n">
        <f aca="false">G6*G7/100</f>
        <v>10768.5941378895</v>
      </c>
      <c r="H8" s="0" t="n">
        <f aca="false">H6*H7/100</f>
        <v>11037.8089913367</v>
      </c>
      <c r="I8" s="0" t="n">
        <f aca="false">I6*I7/100</f>
        <v>11258.5651711635</v>
      </c>
      <c r="J8" s="0" t="n">
        <f aca="false">J6*J7/100</f>
        <v>11483.7364745867</v>
      </c>
      <c r="K8" s="0" t="n">
        <f aca="false">K6*K7/100</f>
        <v>11713.4112040785</v>
      </c>
      <c r="L8" s="0" t="n">
        <f aca="false">L6*L7/100</f>
        <v>11947.67942816</v>
      </c>
    </row>
    <row r="9" customFormat="false" ht="15" hidden="false" customHeight="false" outlineLevel="0" collapsed="false">
      <c r="A9" s="0" t="s">
        <v>114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9949.236</v>
      </c>
      <c r="D11" s="0" t="n">
        <f aca="false">D8+D10+D24</f>
        <v>9295.073733</v>
      </c>
      <c r="E11" s="0" t="n">
        <f aca="false">E8+E10+E24</f>
        <v>9865.33906743</v>
      </c>
      <c r="F11" s="0" t="n">
        <f aca="false">F8+F10+F24</f>
        <v>10374.6211816252</v>
      </c>
      <c r="G11" s="0" t="n">
        <f aca="false">G8+G10+G24</f>
        <v>10768.5941378895</v>
      </c>
      <c r="H11" s="0" t="n">
        <f aca="false">H8+H10+H24</f>
        <v>11037.8089913367</v>
      </c>
      <c r="I11" s="0" t="n">
        <f aca="false">I8+I10+I24</f>
        <v>11258.5651711635</v>
      </c>
      <c r="J11" s="0" t="n">
        <f aca="false">J8+J10+J24</f>
        <v>11483.7364745867</v>
      </c>
      <c r="K11" s="0" t="n">
        <f aca="false">K8+K10+K24</f>
        <v>11713.4112040785</v>
      </c>
      <c r="L11" s="0" t="n">
        <f aca="false">L8+L10+L24</f>
        <v>11947.67942816</v>
      </c>
    </row>
    <row r="12" customFormat="false" ht="15" hidden="false" customHeight="false" outlineLevel="0" collapsed="false">
      <c r="A12" s="0" t="s">
        <v>131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9949.236</v>
      </c>
      <c r="D13" s="0" t="n">
        <f aca="false">D11+D12</f>
        <v>9295.073733</v>
      </c>
      <c r="E13" s="0" t="n">
        <f aca="false">E11+E12</f>
        <v>9865.33906743</v>
      </c>
      <c r="F13" s="0" t="n">
        <f aca="false">F11+F12</f>
        <v>10374.6211816252</v>
      </c>
      <c r="G13" s="0" t="n">
        <f aca="false">G11+G12</f>
        <v>10768.5941378895</v>
      </c>
      <c r="H13" s="0" t="n">
        <f aca="false">H11+H12</f>
        <v>11037.8089913367</v>
      </c>
      <c r="I13" s="0" t="n">
        <f aca="false">I11+I12</f>
        <v>11258.5651711635</v>
      </c>
      <c r="J13" s="0" t="n">
        <f aca="false">J11+J12</f>
        <v>11483.7364745867</v>
      </c>
      <c r="K13" s="0" t="n">
        <f aca="false">K11+K12</f>
        <v>11713.4112040785</v>
      </c>
      <c r="L13" s="0" t="n">
        <f aca="false">L11+L12</f>
        <v>11947.67942816</v>
      </c>
    </row>
    <row r="14" customFormat="false" ht="15" hidden="false" customHeight="false" outlineLevel="0" collapsed="false">
      <c r="A14" s="0" t="s">
        <v>118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6665.98812</v>
      </c>
      <c r="D15" s="0" t="n">
        <f aca="false">D13-MAX(0,D13)*D14/100</f>
        <v>6227.69940111</v>
      </c>
      <c r="E15" s="0" t="n">
        <f aca="false">E13-MAX(0,E13)*E14/100</f>
        <v>6609.7771751781</v>
      </c>
      <c r="F15" s="0" t="n">
        <f aca="false">F13-MAX(0,F13)*F14/100</f>
        <v>6950.99619168892</v>
      </c>
      <c r="G15" s="0" t="n">
        <f aca="false">G13-MAX(0,G13)*G14/100</f>
        <v>7214.95807238596</v>
      </c>
      <c r="H15" s="0" t="n">
        <f aca="false">H13-MAX(0,H13)*H14/100</f>
        <v>7395.33202419561</v>
      </c>
      <c r="I15" s="0" t="n">
        <f aca="false">I13-MAX(0,I13)*I14/100</f>
        <v>7543.23866467952</v>
      </c>
      <c r="J15" s="0" t="n">
        <f aca="false">J13-MAX(0,J13)*J14/100</f>
        <v>7694.10343797311</v>
      </c>
      <c r="K15" s="0" t="n">
        <f aca="false">K13-MAX(0,K13)*K14/100</f>
        <v>7847.98550673258</v>
      </c>
      <c r="L15" s="0" t="n">
        <f aca="false">L13-MAX(0,L13)*L14/100</f>
        <v>8004.94521686723</v>
      </c>
    </row>
    <row r="16" customFormat="false" ht="15" hidden="false" customHeight="false" outlineLevel="0" collapsed="false">
      <c r="A16" s="0" t="s">
        <v>134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135</v>
      </c>
      <c r="C17" s="4" t="n">
        <f aca="false">-C6*Assumptions!C18/100</f>
        <v>-1333.197624</v>
      </c>
      <c r="D17" s="4" t="n">
        <f aca="false">-D6*Assumptions!D18/100</f>
        <v>-1374.16360323</v>
      </c>
      <c r="E17" s="4" t="n">
        <f aca="false">-E6*Assumptions!E18/100</f>
        <v>-942.9726693024</v>
      </c>
      <c r="F17" s="4" t="n">
        <f aca="false">-F6*Assumptions!F18/100</f>
        <v>-961.29401328477</v>
      </c>
      <c r="G17" s="4" t="n">
        <f aca="false">-G6*Assumptions!G18/100</f>
        <v>-982.634215082417</v>
      </c>
      <c r="H17" s="4" t="n">
        <f aca="false">-H6*Assumptions!H18/100</f>
        <v>-1001.68116596381</v>
      </c>
      <c r="I17" s="4" t="n">
        <f aca="false">-I6*Assumptions!I18/100</f>
        <v>-1021.71478928308</v>
      </c>
      <c r="J17" s="4" t="n">
        <f aca="false">-J6*Assumptions!J18/100</f>
        <v>-1042.14908506875</v>
      </c>
      <c r="K17" s="4" t="n">
        <f aca="false">-K6*Assumptions!K18/100</f>
        <v>-1062.99206677012</v>
      </c>
      <c r="L17" s="4" t="n">
        <f aca="false">-L6*Assumptions!L18/100</f>
        <v>-1084.25190810552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5332.790496</v>
      </c>
      <c r="D19" s="0" t="n">
        <f aca="false">D15+D16+D17+D18</f>
        <v>4853.53579788</v>
      </c>
      <c r="E19" s="0" t="n">
        <f aca="false">E15+E16+E17+E18</f>
        <v>5666.8045058757</v>
      </c>
      <c r="F19" s="0" t="n">
        <f aca="false">F15+F16+F17+F18</f>
        <v>5989.70217840415</v>
      </c>
      <c r="G19" s="0" t="n">
        <f aca="false">G15+G16+G17+G18</f>
        <v>6232.32385730355</v>
      </c>
      <c r="H19" s="0" t="n">
        <f aca="false">H15+H16+H17+H18</f>
        <v>6393.6508582318</v>
      </c>
      <c r="I19" s="0" t="n">
        <f aca="false">I15+I16+I17+I18</f>
        <v>6521.52387539644</v>
      </c>
      <c r="J19" s="0" t="n">
        <f aca="false">J15+J16+J17+J18</f>
        <v>6651.95435290437</v>
      </c>
      <c r="K19" s="0" t="n">
        <f aca="false">K15+K16+K17+K18</f>
        <v>6784.99343996246</v>
      </c>
      <c r="L19" s="0" t="n">
        <f aca="false">L15+L16+L17+L18</f>
        <v>6920.6933087617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4859.03462050114</v>
      </c>
      <c r="D21" s="0" t="n">
        <f aca="false">D19*D20</f>
        <v>4029.4816219343</v>
      </c>
      <c r="E21" s="0" t="n">
        <f aca="false">E19*E20</f>
        <v>4286.71532753522</v>
      </c>
      <c r="F21" s="0" t="n">
        <f aca="false">F19*F20</f>
        <v>4128.45079826777</v>
      </c>
      <c r="G21" s="0" t="n">
        <f aca="false">G19*G20</f>
        <v>3914.05900493973</v>
      </c>
      <c r="H21" s="0" t="n">
        <f aca="false">H19*H20</f>
        <v>3658.65739720904</v>
      </c>
      <c r="I21" s="0" t="n">
        <f aca="false">I19*I20</f>
        <v>3400.30118009405</v>
      </c>
      <c r="J21" s="0" t="n">
        <f aca="false">J19*J20</f>
        <v>3160.1887960783</v>
      </c>
      <c r="K21" s="0" t="n">
        <f aca="false">K19*K20</f>
        <v>2937.03195626412</v>
      </c>
      <c r="L21" s="0" t="n">
        <f aca="false">L19*L20</f>
        <v>2729.63334431836</v>
      </c>
    </row>
    <row r="23" customFormat="false" ht="15" hidden="false" customHeight="false" outlineLevel="0" collapsed="false">
      <c r="A23" s="0" t="s">
        <v>115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Assumptions!$B$20</f>
        <v>9.75</v>
      </c>
    </row>
    <row r="28" customFormat="false" ht="15" hidden="false" customHeight="false" outlineLevel="0" collapsed="false">
      <c r="A28" s="0" t="s">
        <v>120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121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37103.554047142</v>
      </c>
    </row>
    <row r="31" customFormat="false" ht="15" hidden="false" customHeight="false" outlineLevel="0" collapsed="false">
      <c r="A31" s="0" t="s">
        <v>143</v>
      </c>
      <c r="B31" s="0" t="n">
        <f aca="false">L19</f>
        <v>6920.6933087617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91085.253870154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103810.399631426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91085.253870154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35925.4969187707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73029.0509659127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74953.0509659127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29.7418483105953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-0.144857725399789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29.7418483105953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54300.8244225918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17.8295042488714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0" t="s">
        <v>127</v>
      </c>
      <c r="B3" s="0" t="s">
        <v>97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Assumptions!C27</f>
        <v>7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23802</v>
      </c>
      <c r="C6" s="0" t="n">
        <f aca="false">B6*(1+C5/100)</f>
        <v>25468.14</v>
      </c>
      <c r="D6" s="0" t="n">
        <f aca="false">C6*(1+D5/100)</f>
        <v>26614.2063</v>
      </c>
      <c r="E6" s="0" t="n">
        <f aca="false">D6*(1+E5/100)</f>
        <v>27678.774552</v>
      </c>
      <c r="F6" s="0" t="n">
        <f aca="false">E6*(1+F5/100)</f>
        <v>28647.53166132</v>
      </c>
      <c r="G6" s="0" t="n">
        <f aca="false">F6*(1+G5/100)</f>
        <v>29650.1952694662</v>
      </c>
      <c r="H6" s="0" t="n">
        <f aca="false">G6*(1+H5/100)</f>
        <v>30539.7011275502</v>
      </c>
      <c r="I6" s="0" t="n">
        <f aca="false">H6*(1+I5/100)</f>
        <v>31455.8921613767</v>
      </c>
      <c r="J6" s="0" t="n">
        <f aca="false">I6*(1+J5/100)</f>
        <v>32399.568926218</v>
      </c>
      <c r="K6" s="0" t="n">
        <f aca="false">J6*(1+K5/100)</f>
        <v>33209.5581493734</v>
      </c>
      <c r="L6" s="0" t="n">
        <f aca="false">K6*(1+L5/100)</f>
        <v>34039.7971031078</v>
      </c>
    </row>
    <row r="7" customFormat="false" ht="15" hidden="false" customHeight="false" outlineLevel="0" collapsed="false">
      <c r="A7" s="0" t="s">
        <v>113</v>
      </c>
      <c r="C7" s="4" t="n">
        <f aca="false">Assumptions!C28</f>
        <v>42.5</v>
      </c>
      <c r="D7" s="4" t="n">
        <f aca="false">Assumptions!D28</f>
        <v>43.5</v>
      </c>
      <c r="E7" s="4" t="n">
        <f aca="false">Assumptions!E28</f>
        <v>43.5</v>
      </c>
      <c r="F7" s="4" t="n">
        <f aca="false">Assumptions!F28</f>
        <v>43</v>
      </c>
      <c r="G7" s="4" t="n">
        <f aca="false">Assumptions!G28</f>
        <v>43</v>
      </c>
      <c r="H7" s="4" t="n">
        <f aca="false">Assumptions!H28</f>
        <v>42.5</v>
      </c>
      <c r="I7" s="4" t="n">
        <f aca="false">Assumptions!I28</f>
        <v>42.5</v>
      </c>
      <c r="J7" s="4" t="n">
        <f aca="false">Assumptions!J28</f>
        <v>42.5</v>
      </c>
      <c r="K7" s="4" t="n">
        <f aca="false">Assumptions!K28</f>
        <v>42.5</v>
      </c>
      <c r="L7" s="4" t="n">
        <f aca="false">Assumptions!L28</f>
        <v>42.5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10823.9595</v>
      </c>
      <c r="D8" s="0" t="n">
        <f aca="false">D6*D7/100</f>
        <v>11577.1797405</v>
      </c>
      <c r="E8" s="0" t="n">
        <f aca="false">E6*E7/100</f>
        <v>12040.26693012</v>
      </c>
      <c r="F8" s="0" t="n">
        <f aca="false">F6*F7/100</f>
        <v>12318.4386143676</v>
      </c>
      <c r="G8" s="0" t="n">
        <f aca="false">G6*G7/100</f>
        <v>12749.5839658705</v>
      </c>
      <c r="H8" s="0" t="n">
        <f aca="false">H6*H7/100</f>
        <v>12979.3729792088</v>
      </c>
      <c r="I8" s="0" t="n">
        <f aca="false">I6*I7/100</f>
        <v>13368.7541685851</v>
      </c>
      <c r="J8" s="0" t="n">
        <f aca="false">J6*J7/100</f>
        <v>13769.8167936426</v>
      </c>
      <c r="K8" s="0" t="n">
        <f aca="false">K6*K7/100</f>
        <v>14114.0622134837</v>
      </c>
      <c r="L8" s="0" t="n">
        <f aca="false">L6*L7/100</f>
        <v>14466.9137688208</v>
      </c>
    </row>
    <row r="9" customFormat="false" ht="15" hidden="false" customHeight="false" outlineLevel="0" collapsed="false">
      <c r="A9" s="0" t="s">
        <v>114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10823.9595</v>
      </c>
      <c r="D11" s="0" t="n">
        <f aca="false">D8+D10+D24</f>
        <v>11577.1797405</v>
      </c>
      <c r="E11" s="0" t="n">
        <f aca="false">E8+E10+E24</f>
        <v>12040.26693012</v>
      </c>
      <c r="F11" s="0" t="n">
        <f aca="false">F8+F10+F24</f>
        <v>12318.4386143676</v>
      </c>
      <c r="G11" s="0" t="n">
        <f aca="false">G8+G10+G24</f>
        <v>12749.5839658705</v>
      </c>
      <c r="H11" s="0" t="n">
        <f aca="false">H8+H10+H24</f>
        <v>12979.3729792088</v>
      </c>
      <c r="I11" s="0" t="n">
        <f aca="false">I8+I10+I24</f>
        <v>13368.7541685851</v>
      </c>
      <c r="J11" s="0" t="n">
        <f aca="false">J8+J10+J24</f>
        <v>13769.8167936426</v>
      </c>
      <c r="K11" s="0" t="n">
        <f aca="false">K8+K10+K24</f>
        <v>14114.0622134837</v>
      </c>
      <c r="L11" s="0" t="n">
        <f aca="false">L8+L10+L24</f>
        <v>14466.9137688208</v>
      </c>
    </row>
    <row r="12" customFormat="false" ht="15" hidden="false" customHeight="false" outlineLevel="0" collapsed="false">
      <c r="A12" s="0" t="s">
        <v>131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10823.9595</v>
      </c>
      <c r="D13" s="0" t="n">
        <f aca="false">D11+D12</f>
        <v>11577.1797405</v>
      </c>
      <c r="E13" s="0" t="n">
        <f aca="false">E11+E12</f>
        <v>12040.26693012</v>
      </c>
      <c r="F13" s="0" t="n">
        <f aca="false">F11+F12</f>
        <v>12318.4386143676</v>
      </c>
      <c r="G13" s="0" t="n">
        <f aca="false">G11+G12</f>
        <v>12749.5839658705</v>
      </c>
      <c r="H13" s="0" t="n">
        <f aca="false">H11+H12</f>
        <v>12979.3729792088</v>
      </c>
      <c r="I13" s="0" t="n">
        <f aca="false">I11+I12</f>
        <v>13368.7541685851</v>
      </c>
      <c r="J13" s="0" t="n">
        <f aca="false">J11+J12</f>
        <v>13769.8167936426</v>
      </c>
      <c r="K13" s="0" t="n">
        <f aca="false">K11+K12</f>
        <v>14114.0622134837</v>
      </c>
      <c r="L13" s="0" t="n">
        <f aca="false">L11+L12</f>
        <v>14466.9137688208</v>
      </c>
    </row>
    <row r="14" customFormat="false" ht="15" hidden="false" customHeight="false" outlineLevel="0" collapsed="false">
      <c r="A14" s="0" t="s">
        <v>118</v>
      </c>
      <c r="C14" s="4" t="n">
        <f aca="false">Assumptions!C33</f>
        <v>32.5</v>
      </c>
      <c r="D14" s="4" t="n">
        <f aca="false">Assumptions!D33</f>
        <v>32.5</v>
      </c>
      <c r="E14" s="4" t="n">
        <f aca="false">Assumptions!E33</f>
        <v>32.5</v>
      </c>
      <c r="F14" s="4" t="n">
        <f aca="false">Assumptions!F33</f>
        <v>32.5</v>
      </c>
      <c r="G14" s="4" t="n">
        <f aca="false">Assumptions!G33</f>
        <v>32.5</v>
      </c>
      <c r="H14" s="4" t="n">
        <f aca="false">Assumptions!H33</f>
        <v>32.5</v>
      </c>
      <c r="I14" s="4" t="n">
        <f aca="false">Assumptions!I33</f>
        <v>32.5</v>
      </c>
      <c r="J14" s="4" t="n">
        <f aca="false">Assumptions!J33</f>
        <v>32.5</v>
      </c>
      <c r="K14" s="4" t="n">
        <f aca="false">Assumptions!K33</f>
        <v>32.5</v>
      </c>
      <c r="L14" s="4" t="n">
        <f aca="false">Assumptions!L33</f>
        <v>32.5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7306.1726625</v>
      </c>
      <c r="D15" s="0" t="n">
        <f aca="false">D13-MAX(0,D13)*D14/100</f>
        <v>7814.5963248375</v>
      </c>
      <c r="E15" s="0" t="n">
        <f aca="false">E13-MAX(0,E13)*E14/100</f>
        <v>8127.180177831</v>
      </c>
      <c r="F15" s="0" t="n">
        <f aca="false">F13-MAX(0,F13)*F14/100</f>
        <v>8314.94606469813</v>
      </c>
      <c r="G15" s="0" t="n">
        <f aca="false">G13-MAX(0,G13)*G14/100</f>
        <v>8605.96917696256</v>
      </c>
      <c r="H15" s="0" t="n">
        <f aca="false">H13-MAX(0,H13)*H14/100</f>
        <v>8761.07676096596</v>
      </c>
      <c r="I15" s="0" t="n">
        <f aca="false">I13-MAX(0,I13)*I14/100</f>
        <v>9023.90906379494</v>
      </c>
      <c r="J15" s="0" t="n">
        <f aca="false">J13-MAX(0,J13)*J14/100</f>
        <v>9294.62633570879</v>
      </c>
      <c r="K15" s="0" t="n">
        <f aca="false">K13-MAX(0,K13)*K14/100</f>
        <v>9526.99199410151</v>
      </c>
      <c r="L15" s="0" t="n">
        <f aca="false">L13-MAX(0,L13)*L14/100</f>
        <v>9765.16679395404</v>
      </c>
    </row>
    <row r="16" customFormat="false" ht="15" hidden="false" customHeight="false" outlineLevel="0" collapsed="false">
      <c r="A16" s="0" t="s">
        <v>134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135</v>
      </c>
      <c r="C17" s="4" t="n">
        <f aca="false">-C6*Assumptions!C32/100</f>
        <v>-1556.103354</v>
      </c>
      <c r="D17" s="4" t="n">
        <f aca="false">-D6*Assumptions!D32/100</f>
        <v>-1610.15948115</v>
      </c>
      <c r="E17" s="4" t="n">
        <f aca="false">-E6*Assumptions!E32/100</f>
        <v>-1666.2622280304</v>
      </c>
      <c r="F17" s="4" t="n">
        <f aca="false">-F6*Assumptions!F32/100</f>
        <v>-1724.58140601146</v>
      </c>
      <c r="G17" s="4" t="n">
        <f aca="false">-G6*Assumptions!G32/100</f>
        <v>-1784.94175522187</v>
      </c>
      <c r="H17" s="4" t="n">
        <f aca="false">-H6*Assumptions!H32/100</f>
        <v>-1585.01048851985</v>
      </c>
      <c r="I17" s="4" t="n">
        <f aca="false">-I6*Assumptions!I32/100</f>
        <v>-1632.56080317545</v>
      </c>
      <c r="J17" s="4" t="n">
        <f aca="false">-J6*Assumptions!J32/100</f>
        <v>-1681.53762727071</v>
      </c>
      <c r="K17" s="4" t="n">
        <f aca="false">-K6*Assumptions!K32/100</f>
        <v>-1441.29482368281</v>
      </c>
      <c r="L17" s="4" t="n">
        <f aca="false">-L6*Assumptions!L32/100</f>
        <v>-1477.32719427488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5750.0693085</v>
      </c>
      <c r="D19" s="0" t="n">
        <f aca="false">D15+D16+D17+D18</f>
        <v>6204.4368436875</v>
      </c>
      <c r="E19" s="0" t="n">
        <f aca="false">E15+E16+E17+E18</f>
        <v>6460.9179498006</v>
      </c>
      <c r="F19" s="0" t="n">
        <f aca="false">F15+F16+F17+F18</f>
        <v>6590.36465868667</v>
      </c>
      <c r="G19" s="0" t="n">
        <f aca="false">G15+G16+G17+G18</f>
        <v>6821.0274217407</v>
      </c>
      <c r="H19" s="0" t="n">
        <f aca="false">H15+H16+H17+H18</f>
        <v>7176.06627244611</v>
      </c>
      <c r="I19" s="0" t="n">
        <f aca="false">I15+I16+I17+I18</f>
        <v>7391.34826061949</v>
      </c>
      <c r="J19" s="0" t="n">
        <f aca="false">J15+J16+J17+J18</f>
        <v>7613.08870843807</v>
      </c>
      <c r="K19" s="0" t="n">
        <f aca="false">K15+K16+K17+K18</f>
        <v>8085.6971704187</v>
      </c>
      <c r="L19" s="0" t="n">
        <f aca="false">L15+L16+L17+L18</f>
        <v>8287.83959967916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5239.24310569476</v>
      </c>
      <c r="D21" s="0" t="n">
        <f aca="false">D19*D20</f>
        <v>5151.02087987298</v>
      </c>
      <c r="E21" s="0" t="n">
        <f aca="false">E19*E20</f>
        <v>4887.43099865905</v>
      </c>
      <c r="F21" s="0" t="n">
        <f aca="false">F19*F20</f>
        <v>4542.4622837057</v>
      </c>
      <c r="G21" s="0" t="n">
        <f aca="false">G19*G20</f>
        <v>4283.77992130788</v>
      </c>
      <c r="H21" s="0" t="n">
        <f aca="false">H19*H20</f>
        <v>4106.38124175085</v>
      </c>
      <c r="I21" s="0" t="n">
        <f aca="false">I19*I20</f>
        <v>3853.82476446776</v>
      </c>
      <c r="J21" s="0" t="n">
        <f aca="false">J19*J20</f>
        <v>3616.80137348683</v>
      </c>
      <c r="K21" s="0" t="n">
        <f aca="false">K19*K20</f>
        <v>3500.06985096296</v>
      </c>
      <c r="L21" s="0" t="n">
        <f aca="false">L19*L20</f>
        <v>3268.8579473686</v>
      </c>
    </row>
    <row r="23" customFormat="false" ht="15" hidden="false" customHeight="false" outlineLevel="0" collapsed="false">
      <c r="A23" s="0" t="s">
        <v>115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120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121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42449.8723672774</v>
      </c>
    </row>
    <row r="31" customFormat="false" ht="15" hidden="false" customHeight="false" outlineLevel="0" collapsed="false">
      <c r="A31" s="0" t="s">
        <v>143</v>
      </c>
      <c r="B31" s="0" t="n">
        <f aca="false">L19</f>
        <v>8287.83959967916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117172.904685119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124317.593995187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117172.904685119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46214.8882214181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88664.7605886955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90588.7605886955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35.9461975376977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0.0335306940108582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35.9461975376977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67960.2847173691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20.847666436772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0" t="s">
        <v>127</v>
      </c>
      <c r="B3" s="0" t="s">
        <v>97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Assumptions!C41</f>
        <v>8.5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23802</v>
      </c>
      <c r="C6" s="0" t="n">
        <f aca="false">B6*(1+C5/100)</f>
        <v>25825.17</v>
      </c>
      <c r="D6" s="0" t="n">
        <f aca="false">C6*(1+D5/100)</f>
        <v>27374.6802</v>
      </c>
      <c r="E6" s="0" t="n">
        <f aca="false">D6*(1+E5/100)</f>
        <v>28743.41421</v>
      </c>
      <c r="F6" s="0" t="n">
        <f aca="false">E6*(1+F5/100)</f>
        <v>30036.86784945</v>
      </c>
      <c r="G6" s="0" t="n">
        <f aca="false">F6*(1+G5/100)</f>
        <v>31238.342563428</v>
      </c>
      <c r="H6" s="0" t="n">
        <f aca="false">G6*(1+H5/100)</f>
        <v>32331.684553148</v>
      </c>
      <c r="I6" s="0" t="n">
        <f aca="false">H6*(1+I5/100)</f>
        <v>33463.2935125082</v>
      </c>
      <c r="J6" s="0" t="n">
        <f aca="false">I6*(1+J5/100)</f>
        <v>34467.1923178834</v>
      </c>
      <c r="K6" s="0" t="n">
        <f aca="false">J6*(1+K5/100)</f>
        <v>35501.2080874199</v>
      </c>
      <c r="L6" s="0" t="n">
        <f aca="false">K6*(1+L5/100)</f>
        <v>36566.2443300425</v>
      </c>
    </row>
    <row r="7" customFormat="false" ht="15" hidden="false" customHeight="false" outlineLevel="0" collapsed="false">
      <c r="A7" s="0" t="s">
        <v>113</v>
      </c>
      <c r="C7" s="4" t="n">
        <f aca="false">Assumptions!C42</f>
        <v>43.5</v>
      </c>
      <c r="D7" s="4" t="n">
        <f aca="false">Assumptions!D42</f>
        <v>45</v>
      </c>
      <c r="E7" s="4" t="n">
        <f aca="false">Assumptions!E42</f>
        <v>45.5</v>
      </c>
      <c r="F7" s="4" t="n">
        <f aca="false">Assumptions!F42</f>
        <v>45.5</v>
      </c>
      <c r="G7" s="4" t="n">
        <f aca="false">Assumptions!G42</f>
        <v>45.5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11233.94895</v>
      </c>
      <c r="D8" s="0" t="n">
        <f aca="false">D6*D7/100</f>
        <v>12318.60609</v>
      </c>
      <c r="E8" s="0" t="n">
        <f aca="false">E6*E7/100</f>
        <v>13078.25346555</v>
      </c>
      <c r="F8" s="0" t="n">
        <f aca="false">F6*F7/100</f>
        <v>13666.7748714998</v>
      </c>
      <c r="G8" s="0" t="n">
        <f aca="false">G6*G7/100</f>
        <v>14213.4458663597</v>
      </c>
      <c r="H8" s="0" t="n">
        <f aca="false">H6*H7/100</f>
        <v>14549.2580489166</v>
      </c>
      <c r="I8" s="0" t="n">
        <f aca="false">I6*I7/100</f>
        <v>15058.4820806287</v>
      </c>
      <c r="J8" s="0" t="n">
        <f aca="false">J6*J7/100</f>
        <v>15510.2365430475</v>
      </c>
      <c r="K8" s="0" t="n">
        <f aca="false">K6*K7/100</f>
        <v>15975.543639339</v>
      </c>
      <c r="L8" s="0" t="n">
        <f aca="false">L6*L7/100</f>
        <v>16454.8099485191</v>
      </c>
    </row>
    <row r="9" customFormat="false" ht="15" hidden="false" customHeight="false" outlineLevel="0" collapsed="false">
      <c r="A9" s="0" t="s">
        <v>114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11233.94895</v>
      </c>
      <c r="D11" s="0" t="n">
        <f aca="false">D8+D10+D24</f>
        <v>12318.60609</v>
      </c>
      <c r="E11" s="0" t="n">
        <f aca="false">E8+E10+E24</f>
        <v>13078.25346555</v>
      </c>
      <c r="F11" s="0" t="n">
        <f aca="false">F8+F10+F24</f>
        <v>13666.7748714998</v>
      </c>
      <c r="G11" s="0" t="n">
        <f aca="false">G8+G10+G24</f>
        <v>14213.4458663597</v>
      </c>
      <c r="H11" s="0" t="n">
        <f aca="false">H8+H10+H24</f>
        <v>14549.2580489166</v>
      </c>
      <c r="I11" s="0" t="n">
        <f aca="false">I8+I10+I24</f>
        <v>15058.4820806287</v>
      </c>
      <c r="J11" s="0" t="n">
        <f aca="false">J8+J10+J24</f>
        <v>15510.2365430475</v>
      </c>
      <c r="K11" s="0" t="n">
        <f aca="false">K8+K10+K24</f>
        <v>15975.543639339</v>
      </c>
      <c r="L11" s="0" t="n">
        <f aca="false">L8+L10+L24</f>
        <v>16454.8099485191</v>
      </c>
    </row>
    <row r="12" customFormat="false" ht="15" hidden="false" customHeight="false" outlineLevel="0" collapsed="false">
      <c r="A12" s="0" t="s">
        <v>131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11233.94895</v>
      </c>
      <c r="D13" s="0" t="n">
        <f aca="false">D11+D12</f>
        <v>12318.60609</v>
      </c>
      <c r="E13" s="0" t="n">
        <f aca="false">E11+E12</f>
        <v>13078.25346555</v>
      </c>
      <c r="F13" s="0" t="n">
        <f aca="false">F11+F12</f>
        <v>13666.7748714998</v>
      </c>
      <c r="G13" s="0" t="n">
        <f aca="false">G11+G12</f>
        <v>14213.4458663597</v>
      </c>
      <c r="H13" s="0" t="n">
        <f aca="false">H11+H12</f>
        <v>14549.2580489166</v>
      </c>
      <c r="I13" s="0" t="n">
        <f aca="false">I11+I12</f>
        <v>15058.4820806287</v>
      </c>
      <c r="J13" s="0" t="n">
        <f aca="false">J11+J12</f>
        <v>15510.2365430475</v>
      </c>
      <c r="K13" s="0" t="n">
        <f aca="false">K11+K12</f>
        <v>15975.543639339</v>
      </c>
      <c r="L13" s="0" t="n">
        <f aca="false">L11+L12</f>
        <v>16454.8099485191</v>
      </c>
    </row>
    <row r="14" customFormat="false" ht="15" hidden="false" customHeight="false" outlineLevel="0" collapsed="false">
      <c r="A14" s="0" t="s">
        <v>118</v>
      </c>
      <c r="C14" s="4" t="n">
        <f aca="false">Assumptions!C47</f>
        <v>32</v>
      </c>
      <c r="D14" s="4" t="n">
        <f aca="false">Assumptions!D47</f>
        <v>32</v>
      </c>
      <c r="E14" s="4" t="n">
        <f aca="false">Assumptions!E47</f>
        <v>32</v>
      </c>
      <c r="F14" s="4" t="n">
        <f aca="false">Assumptions!F47</f>
        <v>32</v>
      </c>
      <c r="G14" s="4" t="n">
        <f aca="false">Assumptions!G47</f>
        <v>32</v>
      </c>
      <c r="H14" s="4" t="n">
        <f aca="false">Assumptions!H47</f>
        <v>32</v>
      </c>
      <c r="I14" s="4" t="n">
        <f aca="false">Assumptions!I47</f>
        <v>32</v>
      </c>
      <c r="J14" s="4" t="n">
        <f aca="false">Assumptions!J47</f>
        <v>32</v>
      </c>
      <c r="K14" s="4" t="n">
        <f aca="false">Assumptions!K47</f>
        <v>32</v>
      </c>
      <c r="L14" s="4" t="n">
        <f aca="false">Assumptions!L47</f>
        <v>32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7639.085286</v>
      </c>
      <c r="D15" s="0" t="n">
        <f aca="false">D13-MAX(0,D13)*D14/100</f>
        <v>8376.6521412</v>
      </c>
      <c r="E15" s="0" t="n">
        <f aca="false">E13-MAX(0,E13)*E14/100</f>
        <v>8893.212356574</v>
      </c>
      <c r="F15" s="0" t="n">
        <f aca="false">F13-MAX(0,F13)*F14/100</f>
        <v>9293.40691261983</v>
      </c>
      <c r="G15" s="0" t="n">
        <f aca="false">G13-MAX(0,G13)*G14/100</f>
        <v>9665.14318912462</v>
      </c>
      <c r="H15" s="0" t="n">
        <f aca="false">H13-MAX(0,H13)*H14/100</f>
        <v>9893.49547326328</v>
      </c>
      <c r="I15" s="0" t="n">
        <f aca="false">I13-MAX(0,I13)*I14/100</f>
        <v>10239.7678148275</v>
      </c>
      <c r="J15" s="0" t="n">
        <f aca="false">J13-MAX(0,J13)*J14/100</f>
        <v>10546.9608492723</v>
      </c>
      <c r="K15" s="0" t="n">
        <f aca="false">K13-MAX(0,K13)*K14/100</f>
        <v>10863.3696747505</v>
      </c>
      <c r="L15" s="0" t="n">
        <f aca="false">L13-MAX(0,L13)*L14/100</f>
        <v>11189.270764993</v>
      </c>
    </row>
    <row r="16" customFormat="false" ht="15" hidden="false" customHeight="false" outlineLevel="0" collapsed="false">
      <c r="A16" s="0" t="s">
        <v>134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135</v>
      </c>
      <c r="C17" s="4" t="n">
        <f aca="false">-C6*Assumptions!C46/100</f>
        <v>-2001.450675</v>
      </c>
      <c r="D17" s="4" t="n">
        <f aca="false">-D6*Assumptions!D46/100</f>
        <v>-2091.42556728</v>
      </c>
      <c r="E17" s="4" t="n">
        <f aca="false">-E6*Assumptions!E46/100</f>
        <v>-1943.054800596</v>
      </c>
      <c r="F17" s="4" t="n">
        <f aca="false">-F6*Assumptions!F46/100</f>
        <v>-2018.47751948304</v>
      </c>
      <c r="G17" s="4" t="n">
        <f aca="false">-G6*Assumptions!G46/100</f>
        <v>-2099.21662026236</v>
      </c>
      <c r="H17" s="4" t="n">
        <f aca="false">-H6*Assumptions!H46/100</f>
        <v>-1910.80255709105</v>
      </c>
      <c r="I17" s="4" t="n">
        <f aca="false">-I6*Assumptions!I46/100</f>
        <v>-1977.68064658923</v>
      </c>
      <c r="J17" s="4" t="n">
        <f aca="false">-J6*Assumptions!J46/100</f>
        <v>-1754.38008898027</v>
      </c>
      <c r="K17" s="4" t="n">
        <f aca="false">-K6*Assumptions!K46/100</f>
        <v>-1807.01149164967</v>
      </c>
      <c r="L17" s="4" t="n">
        <f aca="false">-L6*Assumptions!L46/100</f>
        <v>-1861.22183639916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5637.634611</v>
      </c>
      <c r="D19" s="0" t="n">
        <f aca="false">D15+D16+D17+D18</f>
        <v>6285.22657392</v>
      </c>
      <c r="E19" s="0" t="n">
        <f aca="false">E15+E16+E17+E18</f>
        <v>6950.157555978</v>
      </c>
      <c r="F19" s="0" t="n">
        <f aca="false">F15+F16+F17+F18</f>
        <v>7274.92939313679</v>
      </c>
      <c r="G19" s="0" t="n">
        <f aca="false">G15+G16+G17+G18</f>
        <v>7565.92656886226</v>
      </c>
      <c r="H19" s="0" t="n">
        <f aca="false">H15+H16+H17+H18</f>
        <v>7982.69291617224</v>
      </c>
      <c r="I19" s="0" t="n">
        <f aca="false">I15+I16+I17+I18</f>
        <v>8262.08716823826</v>
      </c>
      <c r="J19" s="0" t="n">
        <f aca="false">J15+J16+J17+J18</f>
        <v>8792.58076029206</v>
      </c>
      <c r="K19" s="0" t="n">
        <f aca="false">K15+K16+K17+K18</f>
        <v>9056.35818310082</v>
      </c>
      <c r="L19" s="0" t="n">
        <f aca="false">L15+L16+L17+L18</f>
        <v>9328.04892859384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5136.79691207289</v>
      </c>
      <c r="D21" s="0" t="n">
        <f aca="false">D19*D20</f>
        <v>5218.09378234443</v>
      </c>
      <c r="E21" s="0" t="n">
        <f aca="false">E19*E20</f>
        <v>5257.52157024369</v>
      </c>
      <c r="F21" s="0" t="n">
        <f aca="false">F19*F20</f>
        <v>5014.30407821034</v>
      </c>
      <c r="G21" s="0" t="n">
        <f aca="false">G19*G20</f>
        <v>4751.59566408998</v>
      </c>
      <c r="H21" s="0" t="n">
        <f aca="false">H19*H20</f>
        <v>4567.9595484635</v>
      </c>
      <c r="I21" s="0" t="n">
        <f aca="false">I19*I20</f>
        <v>4307.82517782207</v>
      </c>
      <c r="J21" s="0" t="n">
        <f aca="false">J19*J20</f>
        <v>4177.15061366238</v>
      </c>
      <c r="K21" s="0" t="n">
        <f aca="false">K19*K20</f>
        <v>3920.24157819795</v>
      </c>
      <c r="L21" s="0" t="n">
        <f aca="false">L19*L20</f>
        <v>3679.13332623589</v>
      </c>
    </row>
    <row r="23" customFormat="false" ht="15" hidden="false" customHeight="false" outlineLevel="0" collapsed="false">
      <c r="A23" s="0" t="s">
        <v>115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Assumptions!$B$48</f>
        <v>9.75</v>
      </c>
    </row>
    <row r="28" customFormat="false" ht="15" hidden="false" customHeight="false" outlineLevel="0" collapsed="false">
      <c r="A28" s="0" t="s">
        <v>120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121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46030.6222513431</v>
      </c>
    </row>
    <row r="31" customFormat="false" ht="15" hidden="false" customHeight="false" outlineLevel="0" collapsed="false">
      <c r="A31" s="0" t="s">
        <v>143</v>
      </c>
      <c r="B31" s="0" t="n">
        <f aca="false">L19</f>
        <v>9328.04892859384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142339.116984469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139920.733928908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139920.733928908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55186.9998935383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101217.622144881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103141.622144881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40.9272530045095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0.176746779888139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40.9272530045095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80065.7533037638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23.0831671753306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2" t="s">
        <v>160</v>
      </c>
      <c r="B3" s="2" t="s">
        <v>161</v>
      </c>
      <c r="C3" s="2" t="s">
        <v>151</v>
      </c>
      <c r="D3" s="2" t="s">
        <v>162</v>
      </c>
      <c r="E3" s="2" t="s">
        <v>154</v>
      </c>
      <c r="F3" s="2" t="s">
        <v>163</v>
      </c>
    </row>
    <row r="4" customFormat="false" ht="15" hidden="false" customHeight="false" outlineLevel="0" collapsed="false">
      <c r="A4" s="0" t="s">
        <v>164</v>
      </c>
      <c r="B4" s="4" t="n">
        <f aca="false">DCF_Bear!$B$38</f>
        <v>29.7418483105953</v>
      </c>
      <c r="C4" s="0" t="n">
        <f aca="false">B4/Assumptions!$B$2-1</f>
        <v>-0.144857725399789</v>
      </c>
      <c r="D4" s="4" t="n">
        <f aca="false">Assumptions!$B$24</f>
        <v>0.25</v>
      </c>
      <c r="E4" s="4" t="n">
        <f aca="false">DCF_Bear!$B$43</f>
        <v>29.7418483105953</v>
      </c>
      <c r="F4" s="4" t="n">
        <f aca="false">DCF_Bear!$B$47</f>
        <v>17.8295042488714</v>
      </c>
    </row>
    <row r="5" customFormat="false" ht="15" hidden="false" customHeight="false" outlineLevel="0" collapsed="false">
      <c r="A5" s="0" t="s">
        <v>165</v>
      </c>
      <c r="B5" s="4" t="n">
        <f aca="false">DCF_Base!$B$38</f>
        <v>35.9461975376977</v>
      </c>
      <c r="C5" s="0" t="n">
        <f aca="false">B5/Assumptions!$B$2-1</f>
        <v>0.0335306940108582</v>
      </c>
      <c r="D5" s="4" t="n">
        <f aca="false">Assumptions!$B$38</f>
        <v>0.5</v>
      </c>
      <c r="E5" s="4" t="n">
        <f aca="false">DCF_Base!$B$43</f>
        <v>35.9461975376977</v>
      </c>
      <c r="F5" s="4" t="n">
        <f aca="false">DCF_Base!$B$47</f>
        <v>20.847666436772</v>
      </c>
    </row>
    <row r="6" customFormat="false" ht="15" hidden="false" customHeight="false" outlineLevel="0" collapsed="false">
      <c r="A6" s="0" t="s">
        <v>166</v>
      </c>
      <c r="B6" s="4" t="n">
        <f aca="false">DCF_Bull!$B$38</f>
        <v>40.9272530045095</v>
      </c>
      <c r="C6" s="0" t="n">
        <f aca="false">B6/Assumptions!$B$2-1</f>
        <v>0.176746779888139</v>
      </c>
      <c r="D6" s="4" t="n">
        <f aca="false">Assumptions!$B$52</f>
        <v>0.25</v>
      </c>
      <c r="E6" s="4" t="n">
        <f aca="false">DCF_Bull!$B$43</f>
        <v>40.9272530045095</v>
      </c>
      <c r="F6" s="4" t="n">
        <f aca="false">DCF_Bull!$B$47</f>
        <v>23.0831671753306</v>
      </c>
    </row>
    <row r="8" customFormat="false" ht="15" hidden="false" customHeight="false" outlineLevel="0" collapsed="false">
      <c r="A8" s="0" t="s">
        <v>167</v>
      </c>
      <c r="B8" s="0" t="n">
        <f aca="false">SUMPRODUCT(B4:B6,D4:D6)</f>
        <v>35.640374097625</v>
      </c>
    </row>
    <row r="9" customFormat="false" ht="15" hidden="false" customHeight="false" outlineLevel="0" collapsed="false">
      <c r="A9" s="0" t="s">
        <v>168</v>
      </c>
      <c r="B9" s="0" t="n">
        <f aca="false">SUMPRODUCT(E4:E6,D4:D6)</f>
        <v>35.640374097625</v>
      </c>
    </row>
    <row r="10" customFormat="false" ht="15" hidden="false" customHeight="false" outlineLevel="0" collapsed="false">
      <c r="A10" s="0" t="s">
        <v>169</v>
      </c>
      <c r="B10" s="0" t="n">
        <f aca="false">1-Assumptions!$B$2/B8</f>
        <v>0.0241404339715493</v>
      </c>
    </row>
    <row r="11" customFormat="false" ht="15" hidden="false" customHeight="false" outlineLevel="0" collapsed="false">
      <c r="A11" s="0" t="s">
        <v>170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171</v>
      </c>
      <c r="B12" s="0" t="n">
        <f aca="false">SUMPRODUCT(F4:F6,D4:D6)</f>
        <v>20.6520010744365</v>
      </c>
    </row>
    <row r="14" customFormat="false" ht="15" hidden="false" customHeight="false" outlineLevel="0" collapsed="false">
      <c r="A14" s="2" t="s">
        <v>172</v>
      </c>
      <c r="C14" s="0" t="s">
        <v>173</v>
      </c>
    </row>
    <row r="15" customFormat="false" ht="15" hidden="false" customHeight="false" outlineLevel="0" collapsed="false">
      <c r="A15" s="0" t="s">
        <v>174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39.0426569752828</v>
      </c>
      <c r="C15" s="3" t="n">
        <v>9</v>
      </c>
    </row>
    <row r="16" customFormat="false" ht="15" hidden="false" customHeight="false" outlineLevel="0" collapsed="false">
      <c r="A16" s="0" t="s">
        <v>175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35.9461975376977</v>
      </c>
      <c r="C16" s="3" t="n">
        <v>9.75</v>
      </c>
    </row>
    <row r="17" customFormat="false" ht="15" hidden="false" customHeight="false" outlineLevel="0" collapsed="false">
      <c r="A17" s="0" t="s">
        <v>176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34.7438933186365</v>
      </c>
      <c r="C17" s="3" t="n">
        <v>10</v>
      </c>
    </row>
    <row r="18" customFormat="false" ht="15" hidden="false" customHeight="false" outlineLevel="0" collapsed="false">
      <c r="A18" s="0" t="s">
        <v>177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30.6458188004294</v>
      </c>
      <c r="C18" s="3" t="n">
        <v>11</v>
      </c>
    </row>
    <row r="19" customFormat="false" ht="15" hidden="false" customHeight="false" outlineLevel="0" collapsed="false">
      <c r="A19" s="0" t="s">
        <v>178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27.4157704001008</v>
      </c>
      <c r="C19" s="3" t="n">
        <v>12</v>
      </c>
    </row>
    <row r="20" customFormat="false" ht="15" hidden="false" customHeight="false" outlineLevel="0" collapsed="false">
      <c r="A20" s="0" t="s">
        <v>179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20.847666436772</v>
      </c>
      <c r="C20" s="3" t="n">
        <v>15</v>
      </c>
    </row>
    <row r="22" customFormat="false" ht="15" hidden="false" customHeight="false" outlineLevel="0" collapsed="false">
      <c r="A22" s="2" t="s">
        <v>180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42.6589886955024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42.6589886955024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42.6589886955024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42.6589886955024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42.6589886955024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38.3114449311739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39.7328809619411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39.7328809619411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39.7328809619411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39.7328809619411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33.5661410713584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34.6793932894848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35.9461975376977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37.0643903536031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37.0643903536031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29.8573945989867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30.6678825830815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31.5766115349454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32.6025958354369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33.7700952118583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26.8811003354084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27.4864882029281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28.1573234074769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28.9048254925456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29.742933890956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2026-10-03T23:03:31Z</dcterms:created>
  <dc:creator>openpyxl</dc:creator>
  <dc:description/>
  <dc:language>en-NZ</dc:language>
  <cp:lastModifiedBy/>
  <dcterms:modified xsi:type="dcterms:W3CDTF">2026-10-03T23:03:31Z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