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<sst xmlns="http://schemas.openxmlformats.org/spreadsheetml/2006/main" count="375" uniqueCount="170">
  <si>
    <t xml:space="preserve">Ticker</t>
  </si>
  <si>
    <t xml:space="preserve">ALLE</t>
  </si>
  <si>
    <t xml:space="preserve">Company</t>
  </si>
  <si>
    <t xml:space="preserve">Allegion plc</t>
  </si>
  <si>
    <t xml:space="preserve">Valuation date</t>
  </si>
  <si>
    <t xml:space="preserve">2026-09-25</t>
  </si>
  <si>
    <t xml:space="preserve">Current price</t>
  </si>
  <si>
    <t xml:space="preserve">Price as of</t>
  </si>
  <si>
    <t xml:space="preserve">2026-09-24T20:00:03Z regular close (NYSE)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</si>
  <si>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</si>
  <si>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</si>
  <si>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</si>
  <si>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</si>
  <si>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</si>
  <si>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</si>
  <si>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</si>
  <si>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</si>
  <si>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</si>
  <si>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</si>
  <si>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</si>
  <si>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</si>
  <si>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2026-09-25T09:49:01Z</t>
  </si>
  <si>
    <t xml:space="preserve">Drivers file</t>
  </si>
  <si>
    <t xml:space="preserve">ALLE_Drivers.json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</si>
  <si>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</si>
  <si>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</si>
  <si>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</si>
  <si>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Allegion is a mature, specification-driven security-hardware franchise with a large replacement installed base, valued on unlevered owner FCF (SBC expensed, share count flat) with a component-built margin and a moderate-cycle scenario spread. The value question is not survival but how much organic growth and margin expansion the price already assumes; the 16x base terminal cap keeps a long-duration, terminal-heavy valuation from depending on perpetuity maths.
key_risks_to_valuation: US non-residential construction downturn (majority of revenue) -- the bear path's -3% FY2027; Pre-buy ahead of the May 2026 price increase masking a Q3/Q4 2026 organic air pocket; European/German organic decline and lower International margins persisting; Integration risk across six-plus 2025-26 acquisitions; future M&amp;A spend is not modelled; Terminal value is ~57% of base enterprise value (50-61% across scenarios); implied exit 13-18x FCF sits below the ~20x EV/unlevered-FCF the market pays today, so no multiple expansion is assumed; Pillar Two / Irish domicile: cash tax rate could rise above the modelled 18.5%</t>
  </si>
  <si>
    <t xml:space="preserve">Data sources</t>
  </si>
  <si>
    <t xml:space="preserve">price: Yahoo Finance chart API at inputs.price_as_of (regular close); 52-week range 125.00-183.11
financials: SEC XBRL companyfacts (CIK 0001579241): FY2025 10-K and Q2 2026 10-Q; ALLE_Metrics.csv for history
qualitative: ALLE_Analysis.json (2026-09-25): Q2 2026 results and raised FY2026 guidance of 2026-07-23</t>
  </si>
  <si>
    <t xml:space="preserve">Scenario narrative: bear</t>
  </si>
  <si>
    <t xml:space="preserve">The US non-residential construction cycle turns under higher-for-longer rates: FY2026 finishes below the guide as the pre-buy ahead of the May price increase unwinds (the Q3 air pocket management itself flagged), and FY2027 revenue falls 3% with negative operating leverage taking the margin to 23.5%. Germany/Europe stays in decline, International integration of the six-plus bolt-ons disappoints, and recovery is slow -- growth never exceeds 3% and the margin settles at 24.5%, below today's. Debt-funded M&amp;A leaves less room to buy back through the trough. Terminal growth 2%, exit capped at 13x.</t>
  </si>
  <si>
    <t xml:space="preserve">Scenario narrative: base</t>
  </si>
  <si>
    <t xml:space="preserve">Allegion compounds as a specification-locked incumbent. FY2026 delivers the raised guide (7.5-8.5% reported, 3.5-4.5% organic) with H2 margin expansion as the May price increases catch up with tariffs. From FY2027 revenue grows 4-5% organically -- low-single-digit volume from US institutional/non-residential construction and aftermarket replacement, ~2% price, and electronics mix -- decelerating to 3% by year 10. The adjusted EBITDA margin (pre-SBC) edges from 25.1% to 26.5% as electronics/access control grows faster than mechanical and International's ERP and restructuring issues ($10m savings) wash out. Capex stays ~2.4% of sales; growth consumes ~12c of working capital per incremental dollar of revenue. Terminal at 2.5% growth, capped at 16x FCF.</t>
  </si>
  <si>
    <t xml:space="preserve">Scenario narrative: bull</t>
  </si>
  <si>
    <t xml:space="preserve">The spec pipeline management calls the strongest in the CEO's tenure converts into 6-7% organic growth for three years: data centres grow from ~5% of non-residential revenue, institutional (education, healthcare, government) spending holds, and ELATEC's brand-agnostic readers pull electronic lock and credential attach rates up. Europe recovers to flat-to-positive organic growth. Mix and pricing power in a top-five oligopoly lift the adjusted EBITDA margin to 28% by year 8. Terminal growth 3%, exit capped at 18x.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</si>
  <si>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</si>
  <si>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</si>
  <si>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</si>
  <si>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</si>
  <si>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</si>
  <si>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</si>
  <si>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</si>
  <si>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</si>
  <si>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</si>
  <si>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</si>
  <si>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</si>
  <si>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</si>
  <si>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</si>
  <si>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</si>
  <si>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</si>
  <si>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</si>
  <si>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</si>
  <si>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</si>
  <si>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</si>
  <si>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</si>
  <si>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</si>
  <si>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</si>
  <si>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</si>
  <si>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</si>
  <si>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</si>
  <si>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</si>
  <si>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</si>
  <si>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</si>
  <si>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</si>
  <si>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</si>
  <si>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</si>
  <si>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</si>
  <si>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</si>
  <si>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</si>
  <si>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</si>
  <si>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</si>
  <si>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</si>
  <si>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</si>
  <si>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</si>
  <si>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</si>
  <si>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</si>
  <si>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</si>
  <si>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</si>
  <si>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</si>
  <si>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</si>
  <si>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</si>
  <si>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</si>
  <si>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</si>
  <si>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</si>
  <si>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</si>
  <si>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</si>
  <si>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</si>
  <si>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</si>
  <si>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</si>
  <si>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</si>
  <si>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</si>
  <si>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</si>
  <si>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</si>
  <si>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</si>
  <si>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</si>
  <si>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</si>
  <si>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</si>
  <si>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</si>
  <si>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</si>
  <si>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</si>
  <si>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</si>
  <si>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</si>
  <si>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</si>
  <si>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</si>
  <si>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</si>
  <si>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</si>
  <si>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</si>
  <si>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</si>
  <si>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</si>
  <si>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</si>
  <si>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</si>
  <si>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</si>
  <si>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</si>
  <si>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</si>
  <si>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ALLE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</si>
  <si>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</si>
  <si>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</si>
  <si>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</si>
  <si>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</si>
  <si>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</si>
  <si>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</si>
  <si>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</si>
  <si>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</si>
  <si>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</si>
  <si>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</si>
  <si>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</si>
  <si>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</si>
  <si>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</si>
  <si>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</si>
  <si>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</si>
  <si>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</si>
  <si>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</si>
  <si>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</si>
  <si>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</si>
  <si>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</si>
  <si>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</si>
  <si>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</si>
  <si>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</si>
  <si>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</si>
  <si>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</si>
  <si>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</si>
  <si>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</si>
  <si>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</si>
  <si>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</si>
  <si>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</si>
  <si>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ALLE owner-FCF component DCF: base case (millions, USD)</t>
  </si>
  <si>
    <t xml:space="preserve">ALLE owner-FCF component DCF: bull case (millions, USD)</t>
  </si>
  <si>
    <t xml:space="preserve">ALLE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</si>
  <si>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</si>
  <si>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</si>
  <si>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</si>
  <si>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</si>
  <si>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</si>
  <si>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</si>
  <si>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</si>
  <si>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</si>
  <si>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</si>
  <si>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</si>
  <si>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</si>
  <si>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</si>
  <si>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</si>
  <si>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</si>
  <si>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8.5%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</si>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</sst>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152.48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O2" s="0" t="n">
        <v>1454.8</v>
      </c>
      <c r="S2" s="0" t="n">
        <v>376.8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2023.3</v>
      </c>
      <c r="C3" s="0" t="n">
        <v>1197.7</v>
      </c>
      <c r="F3" s="0" t="n">
        <v>371.3</v>
      </c>
      <c r="G3" s="0" t="n">
        <v>18.351208421885</v>
      </c>
      <c r="H3" s="0" t="n">
        <v>425</v>
      </c>
      <c r="I3" s="0" t="n">
        <v>220.1</v>
      </c>
      <c r="J3" s="0" t="n">
        <v>10.8782681757525</v>
      </c>
      <c r="K3" s="0" t="n">
        <v>2.29</v>
      </c>
      <c r="L3" s="0" t="n">
        <v>269.2</v>
      </c>
      <c r="M3" s="0" t="n">
        <v>19.6</v>
      </c>
      <c r="N3" s="0" t="n">
        <v>249.6</v>
      </c>
      <c r="O3" s="0" t="n">
        <v>1385.7</v>
      </c>
      <c r="S3" s="0" t="n">
        <v>317.5</v>
      </c>
      <c r="T3" s="0" t="n">
        <v>96</v>
      </c>
      <c r="U3" s="0" t="n">
        <v>0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2069.6</v>
      </c>
      <c r="C4" s="0" t="n">
        <v>1208.1</v>
      </c>
      <c r="F4" s="0" t="n">
        <v>240.8</v>
      </c>
      <c r="G4" s="0" t="n">
        <v>11.6350985697719</v>
      </c>
      <c r="H4" s="0" t="n">
        <v>286.5</v>
      </c>
      <c r="I4" s="0" t="n">
        <v>32.3</v>
      </c>
      <c r="J4" s="0" t="n">
        <v>1.56068805566293</v>
      </c>
      <c r="K4" s="0" t="n">
        <v>0.34</v>
      </c>
      <c r="L4" s="0" t="n">
        <v>223.9</v>
      </c>
      <c r="M4" s="0" t="n">
        <v>20.2</v>
      </c>
      <c r="N4" s="0" t="n">
        <v>203.7</v>
      </c>
      <c r="O4" s="0" t="n">
        <v>-35</v>
      </c>
      <c r="P4" s="0" t="n">
        <v>2000.6</v>
      </c>
      <c r="Q4" s="0" t="n">
        <v>2035.6</v>
      </c>
      <c r="R4" s="0" t="n">
        <v>1343.9</v>
      </c>
      <c r="S4" s="0" t="n">
        <v>227.4</v>
      </c>
      <c r="T4" s="0" t="n">
        <v>96.1</v>
      </c>
      <c r="U4" s="0" t="n">
        <v>0.8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2118.3</v>
      </c>
      <c r="C5" s="0" t="n">
        <v>1264.6</v>
      </c>
      <c r="F5" s="0" t="n">
        <v>326.3</v>
      </c>
      <c r="G5" s="0" t="n">
        <v>15.4038615871218</v>
      </c>
      <c r="H5" s="0" t="n">
        <v>370.5</v>
      </c>
      <c r="I5" s="0" t="n">
        <v>175.2</v>
      </c>
      <c r="J5" s="0" t="n">
        <v>8.27078317518765</v>
      </c>
      <c r="K5" s="0" t="n">
        <v>1.8</v>
      </c>
      <c r="L5" s="0" t="n">
        <v>255.9</v>
      </c>
      <c r="M5" s="0" t="n">
        <v>51.5</v>
      </c>
      <c r="N5" s="0" t="n">
        <v>204.4</v>
      </c>
      <c r="O5" s="0" t="n">
        <v>18.5</v>
      </c>
      <c r="P5" s="0" t="n">
        <v>2015.9</v>
      </c>
      <c r="Q5" s="0" t="n">
        <v>1997.4</v>
      </c>
      <c r="R5" s="0" t="n">
        <v>1264.6</v>
      </c>
      <c r="S5" s="0" t="n">
        <v>290.5</v>
      </c>
      <c r="T5" s="0" t="n">
        <v>97.2</v>
      </c>
      <c r="U5" s="0" t="n">
        <v>13.1</v>
      </c>
      <c r="V5" s="0" t="n">
        <v>0.32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2068.1</v>
      </c>
      <c r="C6" s="0" t="n">
        <v>1199</v>
      </c>
      <c r="F6" s="0" t="n">
        <v>358.6</v>
      </c>
      <c r="G6" s="0" t="n">
        <v>17.339587060587</v>
      </c>
      <c r="H6" s="0" t="n">
        <v>407.4</v>
      </c>
      <c r="I6" s="0" t="n">
        <v>153.9</v>
      </c>
      <c r="J6" s="0" t="n">
        <v>7.44161307480296</v>
      </c>
      <c r="K6" s="0" t="n">
        <v>1.59</v>
      </c>
      <c r="L6" s="0" t="n">
        <v>257</v>
      </c>
      <c r="M6" s="0" t="n">
        <v>35.2</v>
      </c>
      <c r="N6" s="0" t="n">
        <v>221.8</v>
      </c>
      <c r="O6" s="0" t="n">
        <v>29.7</v>
      </c>
      <c r="P6" s="0" t="n">
        <v>2263</v>
      </c>
      <c r="Q6" s="0" t="n">
        <v>2233.3</v>
      </c>
      <c r="R6" s="0" t="n">
        <v>1523.1</v>
      </c>
      <c r="S6" s="0" t="n">
        <v>199.7</v>
      </c>
      <c r="T6" s="0" t="n">
        <v>96.9</v>
      </c>
      <c r="U6" s="0" t="n">
        <v>14.6</v>
      </c>
      <c r="V6" s="0" t="n">
        <v>0.4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2238</v>
      </c>
      <c r="C7" s="0" t="n">
        <v>1248.3</v>
      </c>
      <c r="F7" s="0" t="n">
        <v>434.3</v>
      </c>
      <c r="G7" s="0" t="n">
        <v>19.4057193923146</v>
      </c>
      <c r="H7" s="0" t="n">
        <v>495.7</v>
      </c>
      <c r="I7" s="0" t="n">
        <v>229.1</v>
      </c>
      <c r="J7" s="0" t="n">
        <v>10.236818588025</v>
      </c>
      <c r="K7" s="0" t="n">
        <v>2.36</v>
      </c>
      <c r="L7" s="0" t="n">
        <v>377.5</v>
      </c>
      <c r="M7" s="0" t="n">
        <v>42.5</v>
      </c>
      <c r="N7" s="0" t="n">
        <v>335</v>
      </c>
      <c r="O7" s="0" t="n">
        <v>116.4</v>
      </c>
      <c r="P7" s="0" t="n">
        <v>2247.4</v>
      </c>
      <c r="Q7" s="0" t="n">
        <v>2131</v>
      </c>
      <c r="R7" s="0" t="n">
        <v>1463.8</v>
      </c>
      <c r="S7" s="0" t="n">
        <v>312.4</v>
      </c>
      <c r="T7" s="0" t="n">
        <v>96.9</v>
      </c>
      <c r="U7" s="0" t="n">
        <v>16.6</v>
      </c>
      <c r="V7" s="0" t="n">
        <v>0.48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2408.2</v>
      </c>
      <c r="C8" s="0" t="n">
        <v>1335.3</v>
      </c>
      <c r="F8" s="0" t="n">
        <v>492.5</v>
      </c>
      <c r="G8" s="0" t="n">
        <v>20.4509592226559</v>
      </c>
      <c r="H8" s="0" t="n">
        <v>554.1</v>
      </c>
      <c r="I8" s="0" t="n">
        <v>273.3</v>
      </c>
      <c r="J8" s="0" t="n">
        <v>11.3487251889378</v>
      </c>
      <c r="K8" s="0" t="n">
        <v>2.85</v>
      </c>
      <c r="L8" s="0" t="n">
        <v>347.2</v>
      </c>
      <c r="M8" s="0" t="n">
        <v>49.3</v>
      </c>
      <c r="N8" s="0" t="n">
        <v>297.9</v>
      </c>
      <c r="O8" s="0" t="n">
        <v>405.5</v>
      </c>
      <c r="P8" s="0" t="n">
        <v>2542</v>
      </c>
      <c r="Q8" s="0" t="n">
        <v>2136.5</v>
      </c>
      <c r="R8" s="0" t="n">
        <v>1477.3</v>
      </c>
      <c r="S8" s="0" t="n">
        <v>466.2</v>
      </c>
      <c r="T8" s="0" t="n">
        <v>96</v>
      </c>
      <c r="U8" s="0" t="n">
        <v>16.2</v>
      </c>
      <c r="V8" s="0" t="n">
        <v>0.64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2731.7</v>
      </c>
      <c r="C9" s="0" t="n">
        <v>1558.4</v>
      </c>
      <c r="F9" s="0" t="n">
        <v>525.8</v>
      </c>
      <c r="G9" s="0" t="n">
        <v>19.2480872716623</v>
      </c>
      <c r="H9" s="0" t="n">
        <v>608.1</v>
      </c>
      <c r="I9" s="0" t="n">
        <v>434.9</v>
      </c>
      <c r="J9" s="0" t="n">
        <v>15.9204890727386</v>
      </c>
      <c r="K9" s="0" t="n">
        <v>4.54</v>
      </c>
      <c r="L9" s="0" t="n">
        <v>457.8</v>
      </c>
      <c r="M9" s="0" t="n">
        <v>49.1</v>
      </c>
      <c r="N9" s="0" t="n">
        <v>408.7</v>
      </c>
      <c r="O9" s="0" t="n">
        <v>654</v>
      </c>
      <c r="P9" s="0" t="n">
        <v>2810.2</v>
      </c>
      <c r="Q9" s="0" t="n">
        <v>2156.2</v>
      </c>
      <c r="R9" s="0" t="n">
        <v>1444.8</v>
      </c>
      <c r="S9" s="0" t="n">
        <v>283.8</v>
      </c>
      <c r="T9" s="0" t="n">
        <v>95.7</v>
      </c>
      <c r="U9" s="0" t="n">
        <v>19.6</v>
      </c>
      <c r="V9" s="0" t="n">
        <v>0.84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2854</v>
      </c>
      <c r="C10" s="0" t="n">
        <v>1601.7</v>
      </c>
      <c r="F10" s="0" t="n">
        <v>565.1</v>
      </c>
      <c r="G10" s="0" t="n">
        <v>19.8002803083392</v>
      </c>
      <c r="H10" s="0" t="n">
        <v>643.2</v>
      </c>
      <c r="I10" s="0" t="n">
        <v>401.8</v>
      </c>
      <c r="J10" s="0" t="n">
        <v>14.0784863349685</v>
      </c>
      <c r="K10" s="0" t="n">
        <v>4.26</v>
      </c>
      <c r="L10" s="0" t="n">
        <v>488.2</v>
      </c>
      <c r="M10" s="0" t="n">
        <v>65.6</v>
      </c>
      <c r="N10" s="0" t="n">
        <v>422.6</v>
      </c>
      <c r="O10" s="0" t="n">
        <v>760.4</v>
      </c>
      <c r="P10" s="0" t="n">
        <v>2967.2</v>
      </c>
      <c r="Q10" s="0" t="n">
        <v>2206.8</v>
      </c>
      <c r="R10" s="0" t="n">
        <v>1427.7</v>
      </c>
      <c r="S10" s="0" t="n">
        <v>355.3</v>
      </c>
      <c r="T10" s="0" t="n">
        <v>94.3</v>
      </c>
      <c r="U10" s="0" t="n">
        <v>20.4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2719.9</v>
      </c>
      <c r="C11" s="0" t="n">
        <v>1541.1</v>
      </c>
      <c r="F11" s="0" t="n">
        <v>403.5</v>
      </c>
      <c r="G11" s="0" t="n">
        <v>14.8351042317732</v>
      </c>
      <c r="H11" s="0" t="n">
        <v>481.5</v>
      </c>
      <c r="I11" s="0" t="n">
        <v>314.3</v>
      </c>
      <c r="J11" s="0" t="n">
        <v>11.5555718960256</v>
      </c>
      <c r="K11" s="0" t="n">
        <v>3.39</v>
      </c>
      <c r="L11" s="0" t="n">
        <v>490.3</v>
      </c>
      <c r="M11" s="0" t="n">
        <v>47.1</v>
      </c>
      <c r="N11" s="0" t="n">
        <v>443.2</v>
      </c>
      <c r="O11" s="0" t="n">
        <v>832.6</v>
      </c>
      <c r="P11" s="0" t="n">
        <v>3069.4</v>
      </c>
      <c r="Q11" s="0" t="n">
        <v>2236.8</v>
      </c>
      <c r="R11" s="0" t="n">
        <v>1429.6</v>
      </c>
      <c r="S11" s="0" t="n">
        <v>480.4</v>
      </c>
      <c r="T11" s="0" t="n">
        <v>92.8</v>
      </c>
      <c r="U11" s="0" t="n">
        <v>20.8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2867.4</v>
      </c>
      <c r="C12" s="0" t="n">
        <v>1662.5</v>
      </c>
      <c r="F12" s="0" t="n">
        <v>530.2</v>
      </c>
      <c r="G12" s="0" t="n">
        <v>18.4906186789426</v>
      </c>
      <c r="H12" s="0" t="n">
        <v>609.4</v>
      </c>
      <c r="I12" s="0" t="n">
        <v>483</v>
      </c>
      <c r="J12" s="0" t="n">
        <v>16.8445281439632</v>
      </c>
      <c r="K12" s="0" t="n">
        <v>5.34</v>
      </c>
      <c r="L12" s="0" t="n">
        <v>488.6</v>
      </c>
      <c r="M12" s="0" t="n">
        <v>45.4</v>
      </c>
      <c r="N12" s="0" t="n">
        <v>443.2</v>
      </c>
      <c r="O12" s="0" t="n">
        <v>762.4</v>
      </c>
      <c r="P12" s="0" t="n">
        <v>3051</v>
      </c>
      <c r="Q12" s="0" t="n">
        <v>2288.6</v>
      </c>
      <c r="R12" s="0" t="n">
        <v>1454.7</v>
      </c>
      <c r="S12" s="0" t="n">
        <v>397.9</v>
      </c>
      <c r="T12" s="0" t="n">
        <v>90.5</v>
      </c>
      <c r="U12" s="0" t="n">
        <v>23.4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3271.9</v>
      </c>
      <c r="C13" s="0" t="n">
        <v>1949.5</v>
      </c>
      <c r="F13" s="0" t="n">
        <v>586.4</v>
      </c>
      <c r="G13" s="0" t="n">
        <v>17.9223081390018</v>
      </c>
      <c r="H13" s="0" t="n">
        <v>681.5</v>
      </c>
      <c r="I13" s="0" t="n">
        <v>458</v>
      </c>
      <c r="J13" s="0" t="n">
        <v>13.9979828234359</v>
      </c>
      <c r="K13" s="0" t="n">
        <v>5.19</v>
      </c>
      <c r="L13" s="0" t="n">
        <v>459.5</v>
      </c>
      <c r="M13" s="0" t="n">
        <v>64</v>
      </c>
      <c r="N13" s="0" t="n">
        <v>395.5</v>
      </c>
      <c r="O13" s="0" t="n">
        <v>944.5</v>
      </c>
      <c r="P13" s="0" t="n">
        <v>3991.2</v>
      </c>
      <c r="Q13" s="0" t="n">
        <v>3046.7</v>
      </c>
      <c r="R13" s="0" t="n">
        <v>2107.1</v>
      </c>
      <c r="S13" s="0" t="n">
        <v>288</v>
      </c>
      <c r="T13" s="0" t="n">
        <v>88.3</v>
      </c>
      <c r="U13" s="0" t="n">
        <v>24.5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3650.8</v>
      </c>
      <c r="C14" s="0" t="n">
        <v>2069.3</v>
      </c>
      <c r="F14" s="0" t="n">
        <v>708.4</v>
      </c>
      <c r="G14" s="0" t="n">
        <v>19.4039662539717</v>
      </c>
      <c r="H14" s="0" t="n">
        <v>817.4</v>
      </c>
      <c r="I14" s="0" t="n">
        <v>540.4</v>
      </c>
      <c r="J14" s="0" t="n">
        <v>14.8022351265476</v>
      </c>
      <c r="K14" s="0" t="n">
        <v>6.12</v>
      </c>
      <c r="L14" s="0" t="n">
        <v>600.6</v>
      </c>
      <c r="M14" s="0" t="n">
        <v>84.2</v>
      </c>
      <c r="N14" s="0" t="n">
        <v>516.4</v>
      </c>
      <c r="O14" s="0" t="n">
        <v>1318.3</v>
      </c>
      <c r="P14" s="0" t="n">
        <v>4311.5</v>
      </c>
      <c r="Q14" s="0" t="n">
        <v>2993.2</v>
      </c>
      <c r="R14" s="0" t="n">
        <v>2427.6</v>
      </c>
      <c r="S14" s="0" t="n">
        <v>468.1</v>
      </c>
      <c r="T14" s="0" t="n">
        <v>88.3</v>
      </c>
      <c r="U14" s="0" t="n">
        <v>26.4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3772.2</v>
      </c>
      <c r="C15" s="0" t="n">
        <v>2103.7</v>
      </c>
      <c r="F15" s="0" t="n">
        <v>780.7</v>
      </c>
      <c r="G15" s="0" t="n">
        <v>20.6961454853931</v>
      </c>
      <c r="H15" s="0" t="n">
        <v>896.9</v>
      </c>
      <c r="I15" s="0" t="n">
        <v>597.5</v>
      </c>
      <c r="J15" s="0" t="n">
        <v>15.8395631196649</v>
      </c>
      <c r="K15" s="0" t="n">
        <v>6.82</v>
      </c>
      <c r="L15" s="0" t="n">
        <v>675</v>
      </c>
      <c r="M15" s="0" t="n">
        <v>92.1</v>
      </c>
      <c r="N15" s="0" t="n">
        <v>582.9</v>
      </c>
      <c r="O15" s="0" t="n">
        <v>1500.7</v>
      </c>
      <c r="P15" s="0" t="n">
        <v>4487.8</v>
      </c>
      <c r="Q15" s="0" t="n">
        <v>2987.1</v>
      </c>
      <c r="R15" s="0" t="n">
        <v>2021.4</v>
      </c>
      <c r="S15" s="0" t="n">
        <v>503.8</v>
      </c>
      <c r="T15" s="0" t="n">
        <v>87.6</v>
      </c>
      <c r="U15" s="0" t="n">
        <v>28.2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4067.3</v>
      </c>
      <c r="C16" s="0" t="n">
        <v>2229</v>
      </c>
      <c r="F16" s="0" t="n">
        <v>859.5</v>
      </c>
      <c r="G16" s="0" t="n">
        <v>21.1319548594891</v>
      </c>
      <c r="H16" s="0" t="n">
        <v>989.2</v>
      </c>
      <c r="I16" s="0" t="n">
        <v>643.8</v>
      </c>
      <c r="J16" s="0" t="n">
        <v>15.8286824183119</v>
      </c>
      <c r="K16" s="0" t="n">
        <v>7.44</v>
      </c>
      <c r="L16" s="0" t="n">
        <v>783.8</v>
      </c>
      <c r="O16" s="0" t="n">
        <v>2067.6</v>
      </c>
      <c r="P16" s="0" t="n">
        <v>5223.7</v>
      </c>
      <c r="Q16" s="0" t="n">
        <v>3156.1</v>
      </c>
      <c r="R16" s="0" t="n">
        <v>1980.3</v>
      </c>
      <c r="S16" s="0" t="n">
        <v>356.2</v>
      </c>
      <c r="T16" s="0" t="n">
        <v>86.6</v>
      </c>
      <c r="U16" s="0" t="n">
        <v>29.8</v>
      </c>
      <c r="AA16" s="0" t="s">
        <v>17</v>
      </c>
      <c r="AB16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78</v>
      </c>
      <c r="B1" s="2" t="s">
        <v>79</v>
      </c>
    </row>
    <row r="2" customFormat="false" ht="15" hidden="false" customHeight="false" outlineLevel="0" collapsed="false">
      <c r="A2" s="0" t="s">
        <v>80</v>
      </c>
      <c r="B2" s="3" t="n">
        <v>152.48</v>
      </c>
    </row>
    <row r="3" customFormat="false" ht="15" hidden="false" customHeight="false" outlineLevel="0" collapsed="false">
      <c r="A3" s="0" t="s">
        <v>81</v>
      </c>
      <c r="B3" s="3" t="n">
        <v>85.4</v>
      </c>
    </row>
    <row r="4" customFormat="false" ht="15" hidden="false" customHeight="false" outlineLevel="0" collapsed="false">
      <c r="A4" s="0" t="s">
        <v>82</v>
      </c>
      <c r="B4" s="3" t="n">
        <v>1710.7</v>
      </c>
    </row>
    <row r="5" customFormat="false" ht="15" hidden="false" customHeight="false" outlineLevel="0" collapsed="false">
      <c r="A5" s="0" t="s">
        <v>83</v>
      </c>
      <c r="B5" s="3" t="n">
        <v>0</v>
      </c>
    </row>
    <row r="6" customFormat="false" ht="15" hidden="false" customHeight="false" outlineLevel="0" collapsed="false">
      <c r="A6" s="0" t="s">
        <v>84</v>
      </c>
      <c r="B6" s="3" t="n">
        <v>15</v>
      </c>
    </row>
    <row r="7" customFormat="false" ht="15" hidden="false" customHeight="false" outlineLevel="0" collapsed="false">
      <c r="A7" s="0" t="s">
        <v>85</v>
      </c>
      <c r="B7" s="3" t="n">
        <v>4067.3</v>
      </c>
    </row>
    <row r="8" customFormat="false" ht="15" hidden="false" customHeight="false" outlineLevel="0" collapsed="false">
      <c r="A8" s="0" t="s">
        <v>86</v>
      </c>
      <c r="B8" s="3" t="s">
        <v>77</v>
      </c>
    </row>
    <row r="9" customFormat="false" ht="15" hidden="false" customHeight="false" outlineLevel="0" collapsed="false">
      <c r="A9" s="0" t="s">
        <v>87</v>
      </c>
      <c r="B9" s="3" t="s">
        <v>88</v>
      </c>
    </row>
    <row r="10" customFormat="false" ht="15" hidden="false" customHeight="false" outlineLevel="0" collapsed="false">
      <c r="A10" s="0" t="s">
        <v>89</v>
      </c>
      <c r="B10" s="3" t="n">
        <v>1</v>
      </c>
    </row>
    <row r="12" customFormat="false" ht="15" hidden="false" customHeight="false" outlineLevel="0" collapsed="false">
      <c r="A12" s="2" t="s">
        <v>90</v>
      </c>
      <c r="C12" s="2" t="s">
        <v>91</v>
      </c>
      <c r="D12" s="2" t="s">
        <v>92</v>
      </c>
      <c r="E12" s="2" t="s">
        <v>93</v>
      </c>
      <c r="F12" s="2" t="s">
        <v>94</v>
      </c>
      <c r="G12" s="2" t="s">
        <v>95</v>
      </c>
      <c r="H12" s="2" t="s">
        <v>96</v>
      </c>
      <c r="I12" s="2" t="s">
        <v>97</v>
      </c>
      <c r="J12" s="2" t="s">
        <v>98</v>
      </c>
      <c r="K12" s="2" t="s">
        <v>99</v>
      </c>
      <c r="L12" s="2" t="s">
        <v>100</v>
      </c>
    </row>
    <row r="13" customFormat="false" ht="15" hidden="false" customHeight="false" outlineLevel="0" collapsed="false">
      <c r="A13" s="0" t="s">
        <v>101</v>
      </c>
      <c r="C13" s="3" t="n">
        <v>6.5</v>
      </c>
      <c r="D13" s="3" t="n">
        <v>-3</v>
      </c>
      <c r="E13" s="3" t="n">
        <v>1</v>
      </c>
      <c r="F13" s="3" t="n">
        <v>3</v>
      </c>
      <c r="G13" s="3" t="n">
        <v>3</v>
      </c>
      <c r="H13" s="3" t="n">
        <v>3</v>
      </c>
      <c r="I13" s="3" t="n">
        <v>2.5</v>
      </c>
      <c r="J13" s="3" t="n">
        <v>2.5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102</v>
      </c>
      <c r="C14" s="3" t="n">
        <v>24.8</v>
      </c>
      <c r="D14" s="3" t="n">
        <v>23.5</v>
      </c>
      <c r="E14" s="3" t="n">
        <v>23.8</v>
      </c>
      <c r="F14" s="3" t="n">
        <v>24.2</v>
      </c>
      <c r="G14" s="3" t="n">
        <v>24.5</v>
      </c>
      <c r="H14" s="3" t="n">
        <v>24.5</v>
      </c>
      <c r="I14" s="3" t="n">
        <v>24.5</v>
      </c>
      <c r="J14" s="3" t="n">
        <v>24.5</v>
      </c>
      <c r="K14" s="3" t="n">
        <v>24.5</v>
      </c>
      <c r="L14" s="3" t="n">
        <v>24.5</v>
      </c>
    </row>
    <row r="15" customFormat="false" ht="15" hidden="false" customHeight="false" outlineLevel="0" collapsed="false">
      <c r="A15" s="0" t="s">
        <v>103</v>
      </c>
      <c r="C15" s="3" t="n">
        <v>0.9</v>
      </c>
      <c r="D15" s="3" t="n">
        <v>0.9</v>
      </c>
      <c r="E15" s="3" t="n">
        <v>0.9</v>
      </c>
      <c r="F15" s="3" t="n">
        <v>0.9</v>
      </c>
      <c r="G15" s="3" t="n">
        <v>0.9</v>
      </c>
      <c r="H15" s="3" t="n">
        <v>0.9</v>
      </c>
      <c r="I15" s="3" t="n">
        <v>0.9</v>
      </c>
      <c r="J15" s="3" t="n">
        <v>0.9</v>
      </c>
      <c r="K15" s="3" t="n">
        <v>0.9</v>
      </c>
      <c r="L15" s="3" t="n">
        <v>0.9</v>
      </c>
    </row>
    <row r="16" customFormat="false" ht="15" hidden="false" customHeight="false" outlineLevel="0" collapsed="false">
      <c r="A16" s="0" t="s">
        <v>104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105</v>
      </c>
      <c r="C17" s="3" t="n">
        <v>3.3</v>
      </c>
      <c r="D17" s="3" t="n">
        <v>3.2</v>
      </c>
      <c r="E17" s="3" t="n">
        <v>3.1</v>
      </c>
      <c r="F17" s="3" t="n">
        <v>3</v>
      </c>
      <c r="G17" s="3" t="n">
        <v>2.9</v>
      </c>
      <c r="H17" s="3" t="n">
        <v>2.8</v>
      </c>
      <c r="I17" s="3" t="n">
        <v>2.7</v>
      </c>
      <c r="J17" s="3" t="n">
        <v>2.6</v>
      </c>
      <c r="K17" s="3" t="n">
        <v>2.6</v>
      </c>
      <c r="L17" s="3" t="n">
        <v>2.6</v>
      </c>
    </row>
    <row r="18" customFormat="false" ht="15" hidden="false" customHeight="false" outlineLevel="0" collapsed="false">
      <c r="A18" s="0" t="s">
        <v>106</v>
      </c>
      <c r="C18" s="3" t="n">
        <v>2.3</v>
      </c>
      <c r="D18" s="3" t="n">
        <v>2.4</v>
      </c>
      <c r="E18" s="3" t="n">
        <v>2.4</v>
      </c>
      <c r="F18" s="3" t="n">
        <v>2.4</v>
      </c>
      <c r="G18" s="3" t="n">
        <v>2.4</v>
      </c>
      <c r="H18" s="3" t="n">
        <v>2.4</v>
      </c>
      <c r="I18" s="3" t="n">
        <v>2.4</v>
      </c>
      <c r="J18" s="3" t="n">
        <v>2.4</v>
      </c>
      <c r="K18" s="3" t="n">
        <v>2.4</v>
      </c>
      <c r="L18" s="3" t="n">
        <v>2.4</v>
      </c>
    </row>
    <row r="19" customFormat="false" ht="15" hidden="false" customHeight="false" outlineLevel="0" collapsed="false">
      <c r="A19" s="0" t="s">
        <v>107</v>
      </c>
      <c r="C19" s="3" t="n">
        <v>17</v>
      </c>
      <c r="D19" s="3" t="n">
        <v>17.5</v>
      </c>
      <c r="E19" s="3" t="n">
        <v>18</v>
      </c>
      <c r="F19" s="3" t="n">
        <v>18</v>
      </c>
      <c r="G19" s="3" t="n">
        <v>18.5</v>
      </c>
      <c r="H19" s="3" t="n">
        <v>18.5</v>
      </c>
      <c r="I19" s="3" t="n">
        <v>18.5</v>
      </c>
      <c r="J19" s="3" t="n">
        <v>18.5</v>
      </c>
      <c r="K19" s="3" t="n">
        <v>18.5</v>
      </c>
      <c r="L19" s="3" t="n">
        <v>18.5</v>
      </c>
    </row>
    <row r="20" customFormat="false" ht="15" hidden="false" customHeight="false" outlineLevel="0" collapsed="false">
      <c r="A20" s="0" t="s">
        <v>108</v>
      </c>
      <c r="B20" s="3" t="n">
        <v>8.5</v>
      </c>
    </row>
    <row r="21" customFormat="false" ht="15" hidden="false" customHeight="false" outlineLevel="0" collapsed="false">
      <c r="A21" s="0" t="s">
        <v>109</v>
      </c>
      <c r="B21" s="3" t="n">
        <v>2</v>
      </c>
    </row>
    <row r="22" customFormat="false" ht="15" hidden="false" customHeight="false" outlineLevel="0" collapsed="false">
      <c r="A22" s="0" t="s">
        <v>110</v>
      </c>
      <c r="B22" s="3" t="n">
        <v>13</v>
      </c>
    </row>
    <row r="23" customFormat="false" ht="15" hidden="false" customHeight="false" outlineLevel="0" collapsed="false">
      <c r="A23" s="0" t="s">
        <v>111</v>
      </c>
      <c r="B23" s="3" t="n">
        <v>-12</v>
      </c>
    </row>
    <row r="24" customFormat="false" ht="15" hidden="false" customHeight="false" outlineLevel="0" collapsed="false">
      <c r="A24" s="0" t="s">
        <v>112</v>
      </c>
      <c r="B24" s="3" t="n">
        <v>0.2</v>
      </c>
    </row>
    <row r="26" customFormat="false" ht="15" hidden="false" customHeight="false" outlineLevel="0" collapsed="false">
      <c r="A26" s="2" t="s">
        <v>113</v>
      </c>
      <c r="C26" s="2" t="s">
        <v>91</v>
      </c>
      <c r="D26" s="2" t="s">
        <v>92</v>
      </c>
      <c r="E26" s="2" t="s">
        <v>93</v>
      </c>
      <c r="F26" s="2" t="s">
        <v>94</v>
      </c>
      <c r="G26" s="2" t="s">
        <v>95</v>
      </c>
      <c r="H26" s="2" t="s">
        <v>96</v>
      </c>
      <c r="I26" s="2" t="s">
        <v>97</v>
      </c>
      <c r="J26" s="2" t="s">
        <v>98</v>
      </c>
      <c r="K26" s="2" t="s">
        <v>99</v>
      </c>
      <c r="L26" s="2" t="s">
        <v>100</v>
      </c>
    </row>
    <row r="27" customFormat="false" ht="15" hidden="false" customHeight="false" outlineLevel="0" collapsed="false">
      <c r="A27" s="0" t="s">
        <v>101</v>
      </c>
      <c r="C27" s="3" t="n">
        <v>8</v>
      </c>
      <c r="D27" s="3" t="n">
        <v>5</v>
      </c>
      <c r="E27" s="3" t="n">
        <v>5</v>
      </c>
      <c r="F27" s="3" t="n">
        <v>4.5</v>
      </c>
      <c r="G27" s="3" t="n">
        <v>4.5</v>
      </c>
      <c r="H27" s="3" t="n">
        <v>4</v>
      </c>
      <c r="I27" s="3" t="n">
        <v>4</v>
      </c>
      <c r="J27" s="3" t="n">
        <v>3.5</v>
      </c>
      <c r="K27" s="3" t="n">
        <v>3</v>
      </c>
      <c r="L27" s="3" t="n">
        <v>3</v>
      </c>
    </row>
    <row r="28" customFormat="false" ht="15" hidden="false" customHeight="false" outlineLevel="0" collapsed="false">
      <c r="A28" s="0" t="s">
        <v>102</v>
      </c>
      <c r="C28" s="3" t="n">
        <v>25.3</v>
      </c>
      <c r="D28" s="3" t="n">
        <v>25.6</v>
      </c>
      <c r="E28" s="3" t="n">
        <v>25.8</v>
      </c>
      <c r="F28" s="3" t="n">
        <v>26</v>
      </c>
      <c r="G28" s="3" t="n">
        <v>26.2</v>
      </c>
      <c r="H28" s="3" t="n">
        <v>26.3</v>
      </c>
      <c r="I28" s="3" t="n">
        <v>26.4</v>
      </c>
      <c r="J28" s="3" t="n">
        <v>26.5</v>
      </c>
      <c r="K28" s="3" t="n">
        <v>26.5</v>
      </c>
      <c r="L28" s="3" t="n">
        <v>26.5</v>
      </c>
    </row>
    <row r="29" customFormat="false" ht="15" hidden="false" customHeight="false" outlineLevel="0" collapsed="false">
      <c r="A29" s="0" t="s">
        <v>103</v>
      </c>
      <c r="C29" s="3" t="n">
        <v>0.9</v>
      </c>
      <c r="D29" s="3" t="n">
        <v>0.9</v>
      </c>
      <c r="E29" s="3" t="n">
        <v>0.9</v>
      </c>
      <c r="F29" s="3" t="n">
        <v>0.9</v>
      </c>
      <c r="G29" s="3" t="n">
        <v>0.9</v>
      </c>
      <c r="H29" s="3" t="n">
        <v>0.9</v>
      </c>
      <c r="I29" s="3" t="n">
        <v>0.9</v>
      </c>
      <c r="J29" s="3" t="n">
        <v>0.9</v>
      </c>
      <c r="K29" s="3" t="n">
        <v>0.9</v>
      </c>
      <c r="L29" s="3" t="n">
        <v>0.9</v>
      </c>
    </row>
    <row r="30" customFormat="false" ht="15" hidden="false" customHeight="false" outlineLevel="0" collapsed="false">
      <c r="A30" s="0" t="s">
        <v>104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105</v>
      </c>
      <c r="C31" s="3" t="n">
        <v>3.3</v>
      </c>
      <c r="D31" s="3" t="n">
        <v>3.2</v>
      </c>
      <c r="E31" s="3" t="n">
        <v>3.1</v>
      </c>
      <c r="F31" s="3" t="n">
        <v>3</v>
      </c>
      <c r="G31" s="3" t="n">
        <v>2.9</v>
      </c>
      <c r="H31" s="3" t="n">
        <v>2.8</v>
      </c>
      <c r="I31" s="3" t="n">
        <v>2.7</v>
      </c>
      <c r="J31" s="3" t="n">
        <v>2.6</v>
      </c>
      <c r="K31" s="3" t="n">
        <v>2.6</v>
      </c>
      <c r="L31" s="3" t="n">
        <v>2.6</v>
      </c>
    </row>
    <row r="32" customFormat="false" ht="15" hidden="false" customHeight="false" outlineLevel="0" collapsed="false">
      <c r="A32" s="0" t="s">
        <v>106</v>
      </c>
      <c r="C32" s="3" t="n">
        <v>2.3</v>
      </c>
      <c r="D32" s="3" t="n">
        <v>2.4</v>
      </c>
      <c r="E32" s="3" t="n">
        <v>2.4</v>
      </c>
      <c r="F32" s="3" t="n">
        <v>2.4</v>
      </c>
      <c r="G32" s="3" t="n">
        <v>2.4</v>
      </c>
      <c r="H32" s="3" t="n">
        <v>2.4</v>
      </c>
      <c r="I32" s="3" t="n">
        <v>2.4</v>
      </c>
      <c r="J32" s="3" t="n">
        <v>2.4</v>
      </c>
      <c r="K32" s="3" t="n">
        <v>2.4</v>
      </c>
      <c r="L32" s="3" t="n">
        <v>2.4</v>
      </c>
    </row>
    <row r="33" customFormat="false" ht="15" hidden="false" customHeight="false" outlineLevel="0" collapsed="false">
      <c r="A33" s="0" t="s">
        <v>107</v>
      </c>
      <c r="C33" s="3" t="n">
        <v>17</v>
      </c>
      <c r="D33" s="3" t="n">
        <v>17.5</v>
      </c>
      <c r="E33" s="3" t="n">
        <v>18</v>
      </c>
      <c r="F33" s="3" t="n">
        <v>18</v>
      </c>
      <c r="G33" s="3" t="n">
        <v>18.5</v>
      </c>
      <c r="H33" s="3" t="n">
        <v>18.5</v>
      </c>
      <c r="I33" s="3" t="n">
        <v>18.5</v>
      </c>
      <c r="J33" s="3" t="n">
        <v>18.5</v>
      </c>
      <c r="K33" s="3" t="n">
        <v>18.5</v>
      </c>
      <c r="L33" s="3" t="n">
        <v>18.5</v>
      </c>
    </row>
    <row r="34" customFormat="false" ht="15" hidden="false" customHeight="false" outlineLevel="0" collapsed="false">
      <c r="A34" s="0" t="s">
        <v>108</v>
      </c>
      <c r="B34" s="3" t="n">
        <v>8.5</v>
      </c>
    </row>
    <row r="35" customFormat="false" ht="15" hidden="false" customHeight="false" outlineLevel="0" collapsed="false">
      <c r="A35" s="0" t="s">
        <v>109</v>
      </c>
      <c r="B35" s="3" t="n">
        <v>2.5</v>
      </c>
    </row>
    <row r="36" customFormat="false" ht="15" hidden="false" customHeight="false" outlineLevel="0" collapsed="false">
      <c r="A36" s="0" t="s">
        <v>110</v>
      </c>
      <c r="B36" s="3" t="n">
        <v>16</v>
      </c>
    </row>
    <row r="37" customFormat="false" ht="15" hidden="false" customHeight="false" outlineLevel="0" collapsed="false">
      <c r="A37" s="0" t="s">
        <v>111</v>
      </c>
      <c r="B37" s="3" t="n">
        <v>-12</v>
      </c>
    </row>
    <row r="38" customFormat="false" ht="15" hidden="false" customHeight="false" outlineLevel="0" collapsed="false">
      <c r="A38" s="0" t="s">
        <v>112</v>
      </c>
      <c r="B38" s="3" t="n">
        <v>0.5</v>
      </c>
    </row>
    <row r="40" customFormat="false" ht="15" hidden="false" customHeight="false" outlineLevel="0" collapsed="false">
      <c r="A40" s="2" t="s">
        <v>114</v>
      </c>
      <c r="C40" s="2" t="s">
        <v>91</v>
      </c>
      <c r="D40" s="2" t="s">
        <v>92</v>
      </c>
      <c r="E40" s="2" t="s">
        <v>93</v>
      </c>
      <c r="F40" s="2" t="s">
        <v>94</v>
      </c>
      <c r="G40" s="2" t="s">
        <v>95</v>
      </c>
      <c r="H40" s="2" t="s">
        <v>96</v>
      </c>
      <c r="I40" s="2" t="s">
        <v>97</v>
      </c>
      <c r="J40" s="2" t="s">
        <v>98</v>
      </c>
      <c r="K40" s="2" t="s">
        <v>99</v>
      </c>
      <c r="L40" s="2" t="s">
        <v>100</v>
      </c>
    </row>
    <row r="41" customFormat="false" ht="15" hidden="false" customHeight="false" outlineLevel="0" collapsed="false">
      <c r="A41" s="0" t="s">
        <v>101</v>
      </c>
      <c r="C41" s="3" t="n">
        <v>8.5</v>
      </c>
      <c r="D41" s="3" t="n">
        <v>7</v>
      </c>
      <c r="E41" s="3" t="n">
        <v>6.5</v>
      </c>
      <c r="F41" s="3" t="n">
        <v>6</v>
      </c>
      <c r="G41" s="3" t="n">
        <v>5.5</v>
      </c>
      <c r="H41" s="3" t="n">
        <v>5</v>
      </c>
      <c r="I41" s="3" t="n">
        <v>4.5</v>
      </c>
      <c r="J41" s="3" t="n">
        <v>4</v>
      </c>
      <c r="K41" s="3" t="n">
        <v>3.5</v>
      </c>
      <c r="L41" s="3" t="n">
        <v>3</v>
      </c>
    </row>
    <row r="42" customFormat="false" ht="15" hidden="false" customHeight="false" outlineLevel="0" collapsed="false">
      <c r="A42" s="0" t="s">
        <v>102</v>
      </c>
      <c r="C42" s="3" t="n">
        <v>25.5</v>
      </c>
      <c r="D42" s="3" t="n">
        <v>26</v>
      </c>
      <c r="E42" s="3" t="n">
        <v>26.5</v>
      </c>
      <c r="F42" s="3" t="n">
        <v>27</v>
      </c>
      <c r="G42" s="3" t="n">
        <v>27.3</v>
      </c>
      <c r="H42" s="3" t="n">
        <v>27.6</v>
      </c>
      <c r="I42" s="3" t="n">
        <v>27.8</v>
      </c>
      <c r="J42" s="3" t="n">
        <v>28</v>
      </c>
      <c r="K42" s="3" t="n">
        <v>28</v>
      </c>
      <c r="L42" s="3" t="n">
        <v>28</v>
      </c>
    </row>
    <row r="43" customFormat="false" ht="15" hidden="false" customHeight="false" outlineLevel="0" collapsed="false">
      <c r="A43" s="0" t="s">
        <v>103</v>
      </c>
      <c r="C43" s="3" t="n">
        <v>0.9</v>
      </c>
      <c r="D43" s="3" t="n">
        <v>0.9</v>
      </c>
      <c r="E43" s="3" t="n">
        <v>0.9</v>
      </c>
      <c r="F43" s="3" t="n">
        <v>0.9</v>
      </c>
      <c r="G43" s="3" t="n">
        <v>0.9</v>
      </c>
      <c r="H43" s="3" t="n">
        <v>0.9</v>
      </c>
      <c r="I43" s="3" t="n">
        <v>0.9</v>
      </c>
      <c r="J43" s="3" t="n">
        <v>0.9</v>
      </c>
      <c r="K43" s="3" t="n">
        <v>0.9</v>
      </c>
      <c r="L43" s="3" t="n">
        <v>0.9</v>
      </c>
    </row>
    <row r="44" customFormat="false" ht="15" hidden="false" customHeight="false" outlineLevel="0" collapsed="false">
      <c r="A44" s="0" t="s">
        <v>104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105</v>
      </c>
      <c r="C45" s="3" t="n">
        <v>3.3</v>
      </c>
      <c r="D45" s="3" t="n">
        <v>3.2</v>
      </c>
      <c r="E45" s="3" t="n">
        <v>3.1</v>
      </c>
      <c r="F45" s="3" t="n">
        <v>3</v>
      </c>
      <c r="G45" s="3" t="n">
        <v>2.9</v>
      </c>
      <c r="H45" s="3" t="n">
        <v>2.8</v>
      </c>
      <c r="I45" s="3" t="n">
        <v>2.7</v>
      </c>
      <c r="J45" s="3" t="n">
        <v>2.6</v>
      </c>
      <c r="K45" s="3" t="n">
        <v>2.6</v>
      </c>
      <c r="L45" s="3" t="n">
        <v>2.6</v>
      </c>
    </row>
    <row r="46" customFormat="false" ht="15" hidden="false" customHeight="false" outlineLevel="0" collapsed="false">
      <c r="A46" s="0" t="s">
        <v>106</v>
      </c>
      <c r="C46" s="3" t="n">
        <v>2.3</v>
      </c>
      <c r="D46" s="3" t="n">
        <v>2.4</v>
      </c>
      <c r="E46" s="3" t="n">
        <v>2.4</v>
      </c>
      <c r="F46" s="3" t="n">
        <v>2.4</v>
      </c>
      <c r="G46" s="3" t="n">
        <v>2.4</v>
      </c>
      <c r="H46" s="3" t="n">
        <v>2.4</v>
      </c>
      <c r="I46" s="3" t="n">
        <v>2.4</v>
      </c>
      <c r="J46" s="3" t="n">
        <v>2.4</v>
      </c>
      <c r="K46" s="3" t="n">
        <v>2.4</v>
      </c>
      <c r="L46" s="3" t="n">
        <v>2.4</v>
      </c>
    </row>
    <row r="47" customFormat="false" ht="15" hidden="false" customHeight="false" outlineLevel="0" collapsed="false">
      <c r="A47" s="0" t="s">
        <v>107</v>
      </c>
      <c r="C47" s="3" t="n">
        <v>17</v>
      </c>
      <c r="D47" s="3" t="n">
        <v>17.5</v>
      </c>
      <c r="E47" s="3" t="n">
        <v>18</v>
      </c>
      <c r="F47" s="3" t="n">
        <v>18</v>
      </c>
      <c r="G47" s="3" t="n">
        <v>18.5</v>
      </c>
      <c r="H47" s="3" t="n">
        <v>18.5</v>
      </c>
      <c r="I47" s="3" t="n">
        <v>18.5</v>
      </c>
      <c r="J47" s="3" t="n">
        <v>18.5</v>
      </c>
      <c r="K47" s="3" t="n">
        <v>18.5</v>
      </c>
      <c r="L47" s="3" t="n">
        <v>18.5</v>
      </c>
    </row>
    <row r="48" customFormat="false" ht="15" hidden="false" customHeight="false" outlineLevel="0" collapsed="false">
      <c r="A48" s="0" t="s">
        <v>108</v>
      </c>
      <c r="B48" s="3" t="n">
        <v>8.5</v>
      </c>
    </row>
    <row r="49" customFormat="false" ht="15" hidden="false" customHeight="false" outlineLevel="0" collapsed="false">
      <c r="A49" s="0" t="s">
        <v>109</v>
      </c>
      <c r="B49" s="3" t="n">
        <v>3</v>
      </c>
    </row>
    <row r="50" customFormat="false" ht="15" hidden="false" customHeight="false" outlineLevel="0" collapsed="false">
      <c r="A50" s="0" t="s">
        <v>110</v>
      </c>
      <c r="B50" s="3" t="n">
        <v>18</v>
      </c>
    </row>
    <row r="51" customFormat="false" ht="15" hidden="false" customHeight="false" outlineLevel="0" collapsed="false">
      <c r="A51" s="0" t="s">
        <v>111</v>
      </c>
      <c r="B51" s="3" t="n">
        <v>-12</v>
      </c>
    </row>
    <row r="52" customFormat="false" ht="15" hidden="false" customHeight="false" outlineLevel="0" collapsed="false">
      <c r="A52" s="0" t="s">
        <v>112</v>
      </c>
      <c r="B52" s="3" t="n">
        <v>0.3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115</v>
      </c>
    </row>
    <row r="3" customFormat="false" ht="15" hidden="false" customHeight="false" outlineLevel="0" collapsed="false">
      <c r="A3" s="0" t="s">
        <v>116</v>
      </c>
      <c r="B3" s="0" t="s">
        <v>77</v>
      </c>
      <c r="C3" s="2" t="s">
        <v>91</v>
      </c>
      <c r="D3" s="2" t="s">
        <v>92</v>
      </c>
      <c r="E3" s="2" t="s">
        <v>93</v>
      </c>
      <c r="F3" s="2" t="s">
        <v>94</v>
      </c>
      <c r="G3" s="2" t="s">
        <v>95</v>
      </c>
      <c r="H3" s="2" t="s">
        <v>96</v>
      </c>
      <c r="I3" s="2" t="s">
        <v>97</v>
      </c>
      <c r="J3" s="2" t="s">
        <v>98</v>
      </c>
      <c r="K3" s="2" t="s">
        <v>99</v>
      </c>
      <c r="L3" s="2" t="s">
        <v>100</v>
      </c>
    </row>
    <row r="4" customFormat="false" ht="15" hidden="false" customHeight="false" outlineLevel="0" collapsed="false">
      <c r="A4" s="0" t="s">
        <v>117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101</v>
      </c>
      <c r="C5" s="4" t="n">
        <f aca="false">Assumptions!C13</f>
        <v>6.5</v>
      </c>
      <c r="D5" s="4" t="n">
        <f aca="false">Assumptions!D13</f>
        <v>-3</v>
      </c>
      <c r="E5" s="4" t="n">
        <f aca="false">Assumptions!E13</f>
        <v>1</v>
      </c>
      <c r="F5" s="4" t="n">
        <f aca="false">Assumptions!F13</f>
        <v>3</v>
      </c>
      <c r="G5" s="4" t="n">
        <f aca="false">Assumptions!G13</f>
        <v>3</v>
      </c>
      <c r="H5" s="4" t="n">
        <f aca="false">Assumptions!H13</f>
        <v>3</v>
      </c>
      <c r="I5" s="4" t="n">
        <f aca="false">Assumptions!I13</f>
        <v>2.5</v>
      </c>
      <c r="J5" s="4" t="n">
        <f aca="false">Assumptions!J13</f>
        <v>2.5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37</v>
      </c>
      <c r="B6" s="3" t="n">
        <v>4067.3</v>
      </c>
      <c r="C6" s="0" t="n">
        <f aca="false">B6*(1+C5/100)</f>
        <v>4331.6745</v>
      </c>
      <c r="D6" s="0" t="n">
        <f aca="false">C6*(1+D5/100)</f>
        <v>4201.724265</v>
      </c>
      <c r="E6" s="0" t="n">
        <f aca="false">D6*(1+E5/100)</f>
        <v>4243.74150765</v>
      </c>
      <c r="F6" s="0" t="n">
        <f aca="false">E6*(1+F5/100)</f>
        <v>4371.0537528795</v>
      </c>
      <c r="G6" s="0" t="n">
        <f aca="false">F6*(1+G5/100)</f>
        <v>4502.18536546589</v>
      </c>
      <c r="H6" s="0" t="n">
        <f aca="false">G6*(1+H5/100)</f>
        <v>4637.25092642986</v>
      </c>
      <c r="I6" s="0" t="n">
        <f aca="false">H6*(1+I5/100)</f>
        <v>4753.18219959061</v>
      </c>
      <c r="J6" s="0" t="n">
        <f aca="false">I6*(1+J5/100)</f>
        <v>4872.01175458037</v>
      </c>
      <c r="K6" s="0" t="n">
        <f aca="false">J6*(1+K5/100)</f>
        <v>4969.45198967198</v>
      </c>
      <c r="L6" s="0" t="n">
        <f aca="false">K6*(1+L5/100)</f>
        <v>5068.84102946542</v>
      </c>
    </row>
    <row r="7" customFormat="false" ht="15" hidden="false" customHeight="false" outlineLevel="0" collapsed="false">
      <c r="A7" s="0" t="s">
        <v>102</v>
      </c>
      <c r="C7" s="4" t="n">
        <f aca="false">Assumptions!C14</f>
        <v>24.8</v>
      </c>
      <c r="D7" s="4" t="n">
        <f aca="false">Assumptions!D14</f>
        <v>23.5</v>
      </c>
      <c r="E7" s="4" t="n">
        <f aca="false">Assumptions!E14</f>
        <v>23.8</v>
      </c>
      <c r="F7" s="4" t="n">
        <f aca="false">Assumptions!F14</f>
        <v>24.2</v>
      </c>
      <c r="G7" s="4" t="n">
        <f aca="false">Assumptions!G14</f>
        <v>24.5</v>
      </c>
      <c r="H7" s="4" t="n">
        <f aca="false">Assumptions!H14</f>
        <v>24.5</v>
      </c>
      <c r="I7" s="4" t="n">
        <f aca="false">Assumptions!I14</f>
        <v>24.5</v>
      </c>
      <c r="J7" s="4" t="n">
        <f aca="false">Assumptions!J14</f>
        <v>24.5</v>
      </c>
      <c r="K7" s="4" t="n">
        <f aca="false">Assumptions!K14</f>
        <v>24.5</v>
      </c>
      <c r="L7" s="4" t="n">
        <f aca="false">Assumptions!L14</f>
        <v>24.5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1074.255276</v>
      </c>
      <c r="D8" s="0" t="n">
        <f aca="false">D6*D7/100</f>
        <v>987.405202275</v>
      </c>
      <c r="E8" s="0" t="n">
        <f aca="false">E6*E7/100</f>
        <v>1010.0104788207</v>
      </c>
      <c r="F8" s="0" t="n">
        <f aca="false">F6*F7/100</f>
        <v>1057.79500819684</v>
      </c>
      <c r="G8" s="0" t="n">
        <f aca="false">G6*G7/100</f>
        <v>1103.03541453914</v>
      </c>
      <c r="H8" s="0" t="n">
        <f aca="false">H6*H7/100</f>
        <v>1136.12647697532</v>
      </c>
      <c r="I8" s="0" t="n">
        <f aca="false">I6*I7/100</f>
        <v>1164.5296388997</v>
      </c>
      <c r="J8" s="0" t="n">
        <f aca="false">J6*J7/100</f>
        <v>1193.64287987219</v>
      </c>
      <c r="K8" s="0" t="n">
        <f aca="false">K6*K7/100</f>
        <v>1217.51573746964</v>
      </c>
      <c r="L8" s="0" t="n">
        <f aca="false">L6*L7/100</f>
        <v>1241.86605221903</v>
      </c>
    </row>
    <row r="9" customFormat="false" ht="15" hidden="false" customHeight="false" outlineLevel="0" collapsed="false">
      <c r="A9" s="0" t="s">
        <v>103</v>
      </c>
      <c r="C9" s="4" t="n">
        <f aca="false">Assumptions!C15</f>
        <v>0.9</v>
      </c>
      <c r="D9" s="4" t="n">
        <f aca="false">Assumptions!D15</f>
        <v>0.9</v>
      </c>
      <c r="E9" s="4" t="n">
        <f aca="false">Assumptions!E15</f>
        <v>0.9</v>
      </c>
      <c r="F9" s="4" t="n">
        <f aca="false">Assumptions!F15</f>
        <v>0.9</v>
      </c>
      <c r="G9" s="4" t="n">
        <f aca="false">Assumptions!G15</f>
        <v>0.9</v>
      </c>
      <c r="H9" s="4" t="n">
        <f aca="false">Assumptions!H15</f>
        <v>0.9</v>
      </c>
      <c r="I9" s="4" t="n">
        <f aca="false">Assumptions!I15</f>
        <v>0.9</v>
      </c>
      <c r="J9" s="4" t="n">
        <f aca="false">Assumptions!J15</f>
        <v>0.9</v>
      </c>
      <c r="K9" s="4" t="n">
        <f aca="false">Assumptions!K15</f>
        <v>0.9</v>
      </c>
      <c r="L9" s="4" t="n">
        <f aca="false">Assumptions!L15</f>
        <v>0.9</v>
      </c>
    </row>
    <row r="10" customFormat="false" ht="15" hidden="false" customHeight="false" outlineLevel="0" collapsed="false">
      <c r="A10" s="0" t="s">
        <v>118</v>
      </c>
      <c r="C10" s="0" t="n">
        <f aca="false">-C6*C9/100</f>
        <v>-38.9850705</v>
      </c>
      <c r="D10" s="0" t="n">
        <f aca="false">-D6*D9/100</f>
        <v>-37.815518385</v>
      </c>
      <c r="E10" s="0" t="n">
        <f aca="false">-E6*E9/100</f>
        <v>-38.19367356885</v>
      </c>
      <c r="F10" s="0" t="n">
        <f aca="false">-F6*F9/100</f>
        <v>-39.3394837759155</v>
      </c>
      <c r="G10" s="0" t="n">
        <f aca="false">-G6*G9/100</f>
        <v>-40.519668289193</v>
      </c>
      <c r="H10" s="0" t="n">
        <f aca="false">-H6*H9/100</f>
        <v>-41.7352583378688</v>
      </c>
      <c r="I10" s="0" t="n">
        <f aca="false">-I6*I9/100</f>
        <v>-42.7786397963155</v>
      </c>
      <c r="J10" s="0" t="n">
        <f aca="false">-J6*J9/100</f>
        <v>-43.8481057912234</v>
      </c>
      <c r="K10" s="0" t="n">
        <f aca="false">-K6*K9/100</f>
        <v>-44.7250679070478</v>
      </c>
      <c r="L10" s="0" t="n">
        <f aca="false">-L6*L9/100</f>
        <v>-45.6195692651888</v>
      </c>
    </row>
    <row r="11" customFormat="false" ht="15" hidden="false" customHeight="false" outlineLevel="0" collapsed="false">
      <c r="A11" s="0" t="s">
        <v>119</v>
      </c>
      <c r="C11" s="0" t="n">
        <f aca="false">C8+C10+C24</f>
        <v>1035.2702055</v>
      </c>
      <c r="D11" s="0" t="n">
        <f aca="false">D8+D10+D24</f>
        <v>949.58968389</v>
      </c>
      <c r="E11" s="0" t="n">
        <f aca="false">E8+E10+E24</f>
        <v>971.81680525185</v>
      </c>
      <c r="F11" s="0" t="n">
        <f aca="false">F8+F10+F24</f>
        <v>1018.45552442092</v>
      </c>
      <c r="G11" s="0" t="n">
        <f aca="false">G8+G10+G24</f>
        <v>1062.51574624995</v>
      </c>
      <c r="H11" s="0" t="n">
        <f aca="false">H8+H10+H24</f>
        <v>1094.39121863745</v>
      </c>
      <c r="I11" s="0" t="n">
        <f aca="false">I8+I10+I24</f>
        <v>1121.75099910338</v>
      </c>
      <c r="J11" s="0" t="n">
        <f aca="false">J8+J10+J24</f>
        <v>1149.79477408097</v>
      </c>
      <c r="K11" s="0" t="n">
        <f aca="false">K8+K10+K24</f>
        <v>1172.79066956259</v>
      </c>
      <c r="L11" s="0" t="n">
        <f aca="false">L8+L10+L24</f>
        <v>1196.24648295384</v>
      </c>
    </row>
    <row r="12" customFormat="false" ht="15" hidden="false" customHeight="false" outlineLevel="0" collapsed="false">
      <c r="A12" s="0" t="s">
        <v>120</v>
      </c>
      <c r="C12" s="4" t="n">
        <f aca="false">-C6*Assumptions!C17/100</f>
        <v>-142.9452585</v>
      </c>
      <c r="D12" s="4" t="n">
        <f aca="false">-D6*Assumptions!D17/100</f>
        <v>-134.45517648</v>
      </c>
      <c r="E12" s="4" t="n">
        <f aca="false">-E6*Assumptions!E17/100</f>
        <v>-131.55598673715</v>
      </c>
      <c r="F12" s="4" t="n">
        <f aca="false">-F6*Assumptions!F17/100</f>
        <v>-131.131612586385</v>
      </c>
      <c r="G12" s="4" t="n">
        <f aca="false">-G6*Assumptions!G17/100</f>
        <v>-130.563375598511</v>
      </c>
      <c r="H12" s="4" t="n">
        <f aca="false">-H6*Assumptions!H17/100</f>
        <v>-129.843025940036</v>
      </c>
      <c r="I12" s="4" t="n">
        <f aca="false">-I6*Assumptions!I17/100</f>
        <v>-128.335919388946</v>
      </c>
      <c r="J12" s="4" t="n">
        <f aca="false">-J6*Assumptions!J17/100</f>
        <v>-126.67230561909</v>
      </c>
      <c r="K12" s="4" t="n">
        <f aca="false">-K6*Assumptions!K17/100</f>
        <v>-129.205751731472</v>
      </c>
      <c r="L12" s="4" t="n">
        <f aca="false">-L6*Assumptions!L17/100</f>
        <v>-131.789866766101</v>
      </c>
    </row>
    <row r="13" customFormat="false" ht="15" hidden="false" customHeight="false" outlineLevel="0" collapsed="false">
      <c r="A13" s="0" t="s">
        <v>121</v>
      </c>
      <c r="C13" s="0" t="n">
        <f aca="false">C11+C12</f>
        <v>892.324947</v>
      </c>
      <c r="D13" s="0" t="n">
        <f aca="false">D11+D12</f>
        <v>815.13450741</v>
      </c>
      <c r="E13" s="0" t="n">
        <f aca="false">E11+E12</f>
        <v>840.2608185147</v>
      </c>
      <c r="F13" s="0" t="n">
        <f aca="false">F11+F12</f>
        <v>887.323911834539</v>
      </c>
      <c r="G13" s="0" t="n">
        <f aca="false">G11+G12</f>
        <v>931.952370651438</v>
      </c>
      <c r="H13" s="0" t="n">
        <f aca="false">H11+H12</f>
        <v>964.548192697411</v>
      </c>
      <c r="I13" s="0" t="n">
        <f aca="false">I11+I12</f>
        <v>993.415079714437</v>
      </c>
      <c r="J13" s="0" t="n">
        <f aca="false">J11+J12</f>
        <v>1023.12246846188</v>
      </c>
      <c r="K13" s="0" t="n">
        <f aca="false">K11+K12</f>
        <v>1043.58491783112</v>
      </c>
      <c r="L13" s="0" t="n">
        <f aca="false">L11+L12</f>
        <v>1064.45661618774</v>
      </c>
    </row>
    <row r="14" customFormat="false" ht="15" hidden="false" customHeight="false" outlineLevel="0" collapsed="false">
      <c r="A14" s="0" t="s">
        <v>107</v>
      </c>
      <c r="C14" s="4" t="n">
        <f aca="false">Assumptions!C19</f>
        <v>17</v>
      </c>
      <c r="D14" s="4" t="n">
        <f aca="false">Assumptions!D19</f>
        <v>17.5</v>
      </c>
      <c r="E14" s="4" t="n">
        <f aca="false">Assumptions!E19</f>
        <v>18</v>
      </c>
      <c r="F14" s="4" t="n">
        <f aca="false">Assumptions!F19</f>
        <v>18</v>
      </c>
      <c r="G14" s="4" t="n">
        <f aca="false">Assumptions!G19</f>
        <v>18.5</v>
      </c>
      <c r="H14" s="4" t="n">
        <f aca="false">Assumptions!H19</f>
        <v>18.5</v>
      </c>
      <c r="I14" s="4" t="n">
        <f aca="false">Assumptions!I19</f>
        <v>18.5</v>
      </c>
      <c r="J14" s="4" t="n">
        <f aca="false">Assumptions!J19</f>
        <v>18.5</v>
      </c>
      <c r="K14" s="4" t="n">
        <f aca="false">Assumptions!K19</f>
        <v>18.5</v>
      </c>
      <c r="L14" s="4" t="n">
        <f aca="false">Assumptions!L19</f>
        <v>18.5</v>
      </c>
    </row>
    <row r="15" customFormat="false" ht="15" hidden="false" customHeight="false" outlineLevel="0" collapsed="false">
      <c r="A15" s="0" t="s">
        <v>122</v>
      </c>
      <c r="C15" s="0" t="n">
        <f aca="false">C13-MAX(0,C13)*C14/100</f>
        <v>740.62970601</v>
      </c>
      <c r="D15" s="0" t="n">
        <f aca="false">D13-MAX(0,D13)*D14/100</f>
        <v>672.48596861325</v>
      </c>
      <c r="E15" s="0" t="n">
        <f aca="false">E13-MAX(0,E13)*E14/100</f>
        <v>689.013871182054</v>
      </c>
      <c r="F15" s="0" t="n">
        <f aca="false">F13-MAX(0,F13)*F14/100</f>
        <v>727.605607704322</v>
      </c>
      <c r="G15" s="0" t="n">
        <f aca="false">G13-MAX(0,G13)*G14/100</f>
        <v>759.541182080922</v>
      </c>
      <c r="H15" s="0" t="n">
        <f aca="false">H13-MAX(0,H13)*H14/100</f>
        <v>786.10677704839</v>
      </c>
      <c r="I15" s="0" t="n">
        <f aca="false">I13-MAX(0,I13)*I14/100</f>
        <v>809.633289967266</v>
      </c>
      <c r="J15" s="0" t="n">
        <f aca="false">J13-MAX(0,J13)*J14/100</f>
        <v>833.844811796431</v>
      </c>
      <c r="K15" s="0" t="n">
        <f aca="false">K13-MAX(0,K13)*K14/100</f>
        <v>850.52170803236</v>
      </c>
      <c r="L15" s="0" t="n">
        <f aca="false">L13-MAX(0,L13)*L14/100</f>
        <v>867.532142193007</v>
      </c>
    </row>
    <row r="16" customFormat="false" ht="15" hidden="false" customHeight="false" outlineLevel="0" collapsed="false">
      <c r="A16" s="0" t="s">
        <v>123</v>
      </c>
      <c r="C16" s="0" t="n">
        <f aca="false">-C12</f>
        <v>142.9452585</v>
      </c>
      <c r="D16" s="0" t="n">
        <f aca="false">-D12</f>
        <v>134.45517648</v>
      </c>
      <c r="E16" s="0" t="n">
        <f aca="false">-E12</f>
        <v>131.55598673715</v>
      </c>
      <c r="F16" s="0" t="n">
        <f aca="false">-F12</f>
        <v>131.131612586385</v>
      </c>
      <c r="G16" s="0" t="n">
        <f aca="false">-G12</f>
        <v>130.563375598511</v>
      </c>
      <c r="H16" s="0" t="n">
        <f aca="false">-H12</f>
        <v>129.843025940036</v>
      </c>
      <c r="I16" s="0" t="n">
        <f aca="false">-I12</f>
        <v>128.335919388946</v>
      </c>
      <c r="J16" s="0" t="n">
        <f aca="false">-J12</f>
        <v>126.67230561909</v>
      </c>
      <c r="K16" s="0" t="n">
        <f aca="false">-K12</f>
        <v>129.205751731472</v>
      </c>
      <c r="L16" s="0" t="n">
        <f aca="false">-L12</f>
        <v>131.789866766101</v>
      </c>
    </row>
    <row r="17" customFormat="false" ht="15" hidden="false" customHeight="false" outlineLevel="0" collapsed="false">
      <c r="A17" s="0" t="s">
        <v>124</v>
      </c>
      <c r="C17" s="4" t="n">
        <f aca="false">-C6*Assumptions!C18/100</f>
        <v>-99.6285135</v>
      </c>
      <c r="D17" s="4" t="n">
        <f aca="false">-D6*Assumptions!D18/100</f>
        <v>-100.84138236</v>
      </c>
      <c r="E17" s="4" t="n">
        <f aca="false">-E6*Assumptions!E18/100</f>
        <v>-101.8497961836</v>
      </c>
      <c r="F17" s="4" t="n">
        <f aca="false">-F6*Assumptions!F18/100</f>
        <v>-104.905290069108</v>
      </c>
      <c r="G17" s="4" t="n">
        <f aca="false">-G6*Assumptions!G18/100</f>
        <v>-108.052448771181</v>
      </c>
      <c r="H17" s="4" t="n">
        <f aca="false">-H6*Assumptions!H18/100</f>
        <v>-111.294022234317</v>
      </c>
      <c r="I17" s="4" t="n">
        <f aca="false">-I6*Assumptions!I18/100</f>
        <v>-114.076372790175</v>
      </c>
      <c r="J17" s="4" t="n">
        <f aca="false">-J6*Assumptions!J18/100</f>
        <v>-116.928282109929</v>
      </c>
      <c r="K17" s="4" t="n">
        <f aca="false">-K6*Assumptions!K18/100</f>
        <v>-119.266847752128</v>
      </c>
      <c r="L17" s="4" t="n">
        <f aca="false">-L6*Assumptions!L18/100</f>
        <v>-121.65218470717</v>
      </c>
    </row>
    <row r="18" customFormat="false" ht="15" hidden="false" customHeight="false" outlineLevel="0" collapsed="false">
      <c r="A18" s="0" t="s">
        <v>125</v>
      </c>
      <c r="C18" s="4" t="n">
        <f aca="false">(C6-B6)*Assumptions!$B$23/100</f>
        <v>-31.72494</v>
      </c>
      <c r="D18" s="4" t="n">
        <f aca="false">(D6-C6)*Assumptions!$B$23/100</f>
        <v>15.5940282</v>
      </c>
      <c r="E18" s="4" t="n">
        <f aca="false">(E6-D6)*Assumptions!$B$23/100</f>
        <v>-5.04206911800004</v>
      </c>
      <c r="F18" s="4" t="n">
        <f aca="false">(F6-E6)*Assumptions!$B$23/100</f>
        <v>-15.27746942754</v>
      </c>
      <c r="G18" s="4" t="n">
        <f aca="false">(G6-F6)*Assumptions!$B$23/100</f>
        <v>-15.7357935103662</v>
      </c>
      <c r="H18" s="4" t="n">
        <f aca="false">(H6-G6)*Assumptions!$B$23/100</f>
        <v>-16.2078673156772</v>
      </c>
      <c r="I18" s="4" t="n">
        <f aca="false">(I6-H6)*Assumptions!$B$23/100</f>
        <v>-13.9117527792895</v>
      </c>
      <c r="J18" s="4" t="n">
        <f aca="false">(J6-I6)*Assumptions!$B$23/100</f>
        <v>-14.2595465987718</v>
      </c>
      <c r="K18" s="4" t="n">
        <f aca="false">(K6-J6)*Assumptions!$B$23/100</f>
        <v>-11.692828210993</v>
      </c>
      <c r="L18" s="4" t="n">
        <f aca="false">(L6-K6)*Assumptions!$B$23/100</f>
        <v>-11.9266847752128</v>
      </c>
    </row>
    <row r="19" customFormat="false" ht="15" hidden="false" customHeight="false" outlineLevel="0" collapsed="false">
      <c r="A19" s="0" t="s">
        <v>126</v>
      </c>
      <c r="C19" s="0" t="n">
        <f aca="false">C15+C16+C17+C18</f>
        <v>752.22151101</v>
      </c>
      <c r="D19" s="0" t="n">
        <f aca="false">D15+D16+D17+D18</f>
        <v>721.69379093325</v>
      </c>
      <c r="E19" s="0" t="n">
        <f aca="false">E15+E16+E17+E18</f>
        <v>713.677992617604</v>
      </c>
      <c r="F19" s="0" t="n">
        <f aca="false">F15+F16+F17+F18</f>
        <v>738.554460794059</v>
      </c>
      <c r="G19" s="0" t="n">
        <f aca="false">G15+G16+G17+G18</f>
        <v>766.316315397885</v>
      </c>
      <c r="H19" s="0" t="n">
        <f aca="false">H15+H16+H17+H18</f>
        <v>788.447913438433</v>
      </c>
      <c r="I19" s="0" t="n">
        <f aca="false">I15+I16+I17+I18</f>
        <v>809.981083786749</v>
      </c>
      <c r="J19" s="0" t="n">
        <f aca="false">J15+J16+J17+J18</f>
        <v>829.32928870682</v>
      </c>
      <c r="K19" s="0" t="n">
        <f aca="false">K15+K16+K17+K18</f>
        <v>848.767783800711</v>
      </c>
      <c r="L19" s="0" t="n">
        <f aca="false">L15+L16+L17+L18</f>
        <v>865.743139476725</v>
      </c>
    </row>
    <row r="20" customFormat="false" ht="15" hidden="false" customHeight="false" outlineLevel="0" collapsed="false">
      <c r="A20" s="0" t="s">
        <v>127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128</v>
      </c>
      <c r="C21" s="0" t="n">
        <f aca="false">C19*C20</f>
        <v>693.29171521659</v>
      </c>
      <c r="D21" s="0" t="n">
        <f aca="false">D19*D20</f>
        <v>613.046606157064</v>
      </c>
      <c r="E21" s="0" t="n">
        <f aca="false">E19*E20</f>
        <v>558.744280092109</v>
      </c>
      <c r="F21" s="0" t="n">
        <f aca="false">F19*F20</f>
        <v>532.921906440377</v>
      </c>
      <c r="G21" s="0" t="n">
        <f aca="false">G19*G20</f>
        <v>509.635158346622</v>
      </c>
      <c r="H21" s="0" t="n">
        <f aca="false">H19*H20</f>
        <v>483.275277726771</v>
      </c>
      <c r="I21" s="0" t="n">
        <f aca="false">I19*I20</f>
        <v>457.579657858595</v>
      </c>
      <c r="J21" s="0" t="n">
        <f aca="false">J19*J20</f>
        <v>431.806422726354</v>
      </c>
      <c r="K21" s="0" t="n">
        <f aca="false">K19*K20</f>
        <v>407.306408508144</v>
      </c>
      <c r="L21" s="0" t="n">
        <f aca="false">L19*L20</f>
        <v>382.905563758808</v>
      </c>
    </row>
    <row r="23" customFormat="false" ht="15" hidden="false" customHeight="false" outlineLevel="0" collapsed="false">
      <c r="A23" s="0" t="s">
        <v>104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129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130</v>
      </c>
    </row>
    <row r="27" customFormat="false" ht="15" hidden="false" customHeight="false" outlineLevel="0" collapsed="false">
      <c r="A27" s="0" t="s">
        <v>108</v>
      </c>
      <c r="B27" s="4" t="n">
        <f aca="false">Assumptions!$B$20</f>
        <v>8.5</v>
      </c>
    </row>
    <row r="28" customFormat="false" ht="15" hidden="false" customHeight="false" outlineLevel="0" collapsed="false">
      <c r="A28" s="0" t="s">
        <v>109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110</v>
      </c>
      <c r="B29" s="4" t="n">
        <f aca="false">Assumptions!$B$22</f>
        <v>13</v>
      </c>
    </row>
    <row r="30" customFormat="false" ht="15" hidden="false" customHeight="false" outlineLevel="0" collapsed="false">
      <c r="A30" s="0" t="s">
        <v>131</v>
      </c>
      <c r="B30" s="0" t="n">
        <f aca="false">SUM(C21:L21)</f>
        <v>5070.51299683143</v>
      </c>
    </row>
    <row r="31" customFormat="false" ht="15" hidden="false" customHeight="false" outlineLevel="0" collapsed="false">
      <c r="A31" s="0" t="s">
        <v>132</v>
      </c>
      <c r="B31" s="0" t="n">
        <f aca="false">L19</f>
        <v>865.743139476725</v>
      </c>
    </row>
    <row r="32" customFormat="false" ht="15" hidden="false" customHeight="false" outlineLevel="0" collapsed="false">
      <c r="A32" s="0" t="s">
        <v>133</v>
      </c>
      <c r="B32" s="0" t="n">
        <f aca="false">IF(B27&gt;B28,B31*(1+B28/100)/((B27-B28)/100),B31*B29)</f>
        <v>13585.5077271732</v>
      </c>
    </row>
    <row r="33" customFormat="false" ht="15" hidden="false" customHeight="false" outlineLevel="0" collapsed="false">
      <c r="A33" s="0" t="s">
        <v>134</v>
      </c>
      <c r="B33" s="0" t="n">
        <f aca="false">B31*B29</f>
        <v>11254.6608131974</v>
      </c>
    </row>
    <row r="34" customFormat="false" ht="15" hidden="false" customHeight="false" outlineLevel="0" collapsed="false">
      <c r="A34" s="0" t="s">
        <v>135</v>
      </c>
      <c r="B34" s="0" t="n">
        <f aca="false">MAX(0,MIN(B32,B33))</f>
        <v>11254.6608131974</v>
      </c>
    </row>
    <row r="35" customFormat="false" ht="15" hidden="false" customHeight="false" outlineLevel="0" collapsed="false">
      <c r="A35" s="0" t="s">
        <v>136</v>
      </c>
      <c r="B35" s="0" t="n">
        <f aca="false">B34/(1+B27/100)^L4</f>
        <v>4977.77232886451</v>
      </c>
    </row>
    <row r="36" customFormat="false" ht="15" hidden="false" customHeight="false" outlineLevel="0" collapsed="false">
      <c r="A36" s="0" t="s">
        <v>137</v>
      </c>
      <c r="B36" s="0" t="n">
        <f aca="false">B30+B35</f>
        <v>10048.2853256959</v>
      </c>
    </row>
    <row r="37" customFormat="false" ht="15" hidden="false" customHeight="false" outlineLevel="0" collapsed="false">
      <c r="A37" s="0" t="s">
        <v>138</v>
      </c>
      <c r="B37" s="0" t="n">
        <f aca="false">B36+Assumptions!$B$5-Assumptions!$B$4</f>
        <v>8337.58532569594</v>
      </c>
    </row>
    <row r="38" customFormat="false" ht="15" hidden="false" customHeight="false" outlineLevel="0" collapsed="false">
      <c r="A38" s="0" t="s">
        <v>139</v>
      </c>
      <c r="B38" s="0" t="n">
        <f aca="false">B37/Assumptions!$B$3*Assumptions!$B$10</f>
        <v>97.6298047505379</v>
      </c>
    </row>
    <row r="39" customFormat="false" ht="15" hidden="false" customHeight="false" outlineLevel="0" collapsed="false">
      <c r="A39" s="0" t="s">
        <v>140</v>
      </c>
      <c r="B39" s="4" t="n">
        <f aca="false">B38/Assumptions!$B$2-1</f>
        <v>-0.359720587942432</v>
      </c>
    </row>
    <row r="41" customFormat="false" ht="15" hidden="false" customHeight="false" outlineLevel="0" collapsed="false">
      <c r="A41" s="0" t="s">
        <v>141</v>
      </c>
      <c r="B41" s="0" t="n">
        <f aca="false">SUMPRODUCT(-C10:L10/(1+$B$27/100)^C4:L4)</f>
        <v>267.507541503428</v>
      </c>
    </row>
    <row r="42" customFormat="false" ht="15" hidden="false" customHeight="false" outlineLevel="0" collapsed="false">
      <c r="A42" s="0" t="s">
        <v>142</v>
      </c>
      <c r="B42" s="0" t="n">
        <f aca="false">IF(B27&gt;B28,-L10*(1+B28/100)/((B27-B28)/100),-L10*20)/(1+B27/100)^L4</f>
        <v>316.621654288978</v>
      </c>
    </row>
    <row r="43" customFormat="false" ht="15" hidden="false" customHeight="false" outlineLevel="0" collapsed="false">
      <c r="A43" s="0" t="s">
        <v>143</v>
      </c>
      <c r="B43" s="0" t="n">
        <f aca="false">(B37+B41+B42)/Assumptions!$B$3*Assumptions!$B$10</f>
        <v>104.469725075976</v>
      </c>
    </row>
    <row r="45" customFormat="false" ht="15" hidden="false" customHeight="false" outlineLevel="0" collapsed="false">
      <c r="A45" s="0" t="s">
        <v>84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144</v>
      </c>
      <c r="B46" s="0" t="n">
        <f aca="false">MAX(0,MIN(IF(B45&gt;B28,B31*(1+B28/100)/((B45-B28)/100),B31*B29),B31*B29))</f>
        <v>6792.75386358661</v>
      </c>
    </row>
    <row r="47" customFormat="false" ht="15" hidden="false" customHeight="false" outlineLevel="0" collapsed="false">
      <c r="A47" s="0" t="s">
        <v>145</v>
      </c>
      <c r="B47" s="0" t="n">
        <f aca="false">(SUMPRODUCT(C19:L19/(1+B45/100)^C4:L4)+B46/(1+B45/100)^L4+Assumptions!$B$5-Assumptions!$B$4)/Assumptions!$B$3*Assumptions!$B$10</f>
        <v>44.6422163503598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146</v>
      </c>
    </row>
    <row r="3" customFormat="false" ht="15" hidden="false" customHeight="false" outlineLevel="0" collapsed="false">
      <c r="A3" s="0" t="s">
        <v>116</v>
      </c>
      <c r="B3" s="0" t="s">
        <v>77</v>
      </c>
      <c r="C3" s="2" t="s">
        <v>91</v>
      </c>
      <c r="D3" s="2" t="s">
        <v>92</v>
      </c>
      <c r="E3" s="2" t="s">
        <v>93</v>
      </c>
      <c r="F3" s="2" t="s">
        <v>94</v>
      </c>
      <c r="G3" s="2" t="s">
        <v>95</v>
      </c>
      <c r="H3" s="2" t="s">
        <v>96</v>
      </c>
      <c r="I3" s="2" t="s">
        <v>97</v>
      </c>
      <c r="J3" s="2" t="s">
        <v>98</v>
      </c>
      <c r="K3" s="2" t="s">
        <v>99</v>
      </c>
      <c r="L3" s="2" t="s">
        <v>100</v>
      </c>
    </row>
    <row r="4" customFormat="false" ht="15" hidden="false" customHeight="false" outlineLevel="0" collapsed="false">
      <c r="A4" s="0" t="s">
        <v>117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101</v>
      </c>
      <c r="C5" s="4" t="n">
        <f aca="false">Assumptions!C27</f>
        <v>8</v>
      </c>
      <c r="D5" s="4" t="n">
        <f aca="false">Assumptions!D27</f>
        <v>5</v>
      </c>
      <c r="E5" s="4" t="n">
        <f aca="false">Assumptions!E27</f>
        <v>5</v>
      </c>
      <c r="F5" s="4" t="n">
        <f aca="false">Assumptions!F27</f>
        <v>4.5</v>
      </c>
      <c r="G5" s="4" t="n">
        <f aca="false">Assumptions!G27</f>
        <v>4.5</v>
      </c>
      <c r="H5" s="4" t="n">
        <f aca="false">Assumptions!H27</f>
        <v>4</v>
      </c>
      <c r="I5" s="4" t="n">
        <f aca="false">Assumptions!I27</f>
        <v>4</v>
      </c>
      <c r="J5" s="4" t="n">
        <f aca="false">Assumptions!J27</f>
        <v>3.5</v>
      </c>
      <c r="K5" s="4" t="n">
        <f aca="false">Assumptions!K27</f>
        <v>3</v>
      </c>
      <c r="L5" s="4" t="n">
        <f aca="false">Assumptions!L27</f>
        <v>3</v>
      </c>
    </row>
    <row r="6" customFormat="false" ht="15" hidden="false" customHeight="false" outlineLevel="0" collapsed="false">
      <c r="A6" s="0" t="s">
        <v>37</v>
      </c>
      <c r="B6" s="3" t="n">
        <v>4067.3</v>
      </c>
      <c r="C6" s="0" t="n">
        <f aca="false">B6*(1+C5/100)</f>
        <v>4392.684</v>
      </c>
      <c r="D6" s="0" t="n">
        <f aca="false">C6*(1+D5/100)</f>
        <v>4612.3182</v>
      </c>
      <c r="E6" s="0" t="n">
        <f aca="false">D6*(1+E5/100)</f>
        <v>4842.93411</v>
      </c>
      <c r="F6" s="0" t="n">
        <f aca="false">E6*(1+F5/100)</f>
        <v>5060.86614495</v>
      </c>
      <c r="G6" s="0" t="n">
        <f aca="false">F6*(1+G5/100)</f>
        <v>5288.60512147275</v>
      </c>
      <c r="H6" s="0" t="n">
        <f aca="false">G6*(1+H5/100)</f>
        <v>5500.14932633166</v>
      </c>
      <c r="I6" s="0" t="n">
        <f aca="false">H6*(1+I5/100)</f>
        <v>5720.15529938493</v>
      </c>
      <c r="J6" s="0" t="n">
        <f aca="false">I6*(1+J5/100)</f>
        <v>5920.3607348634</v>
      </c>
      <c r="K6" s="0" t="n">
        <f aca="false">J6*(1+K5/100)</f>
        <v>6097.9715569093</v>
      </c>
      <c r="L6" s="0" t="n">
        <f aca="false">K6*(1+L5/100)</f>
        <v>6280.91070361658</v>
      </c>
    </row>
    <row r="7" customFormat="false" ht="15" hidden="false" customHeight="false" outlineLevel="0" collapsed="false">
      <c r="A7" s="0" t="s">
        <v>102</v>
      </c>
      <c r="C7" s="4" t="n">
        <f aca="false">Assumptions!C28</f>
        <v>25.3</v>
      </c>
      <c r="D7" s="4" t="n">
        <f aca="false">Assumptions!D28</f>
        <v>25.6</v>
      </c>
      <c r="E7" s="4" t="n">
        <f aca="false">Assumptions!E28</f>
        <v>25.8</v>
      </c>
      <c r="F7" s="4" t="n">
        <f aca="false">Assumptions!F28</f>
        <v>26</v>
      </c>
      <c r="G7" s="4" t="n">
        <f aca="false">Assumptions!G28</f>
        <v>26.2</v>
      </c>
      <c r="H7" s="4" t="n">
        <f aca="false">Assumptions!H28</f>
        <v>26.3</v>
      </c>
      <c r="I7" s="4" t="n">
        <f aca="false">Assumptions!I28</f>
        <v>26.4</v>
      </c>
      <c r="J7" s="4" t="n">
        <f aca="false">Assumptions!J28</f>
        <v>26.5</v>
      </c>
      <c r="K7" s="4" t="n">
        <f aca="false">Assumptions!K28</f>
        <v>26.5</v>
      </c>
      <c r="L7" s="4" t="n">
        <f aca="false">Assumptions!L28</f>
        <v>26.5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1111.349052</v>
      </c>
      <c r="D8" s="0" t="n">
        <f aca="false">D6*D7/100</f>
        <v>1180.7534592</v>
      </c>
      <c r="E8" s="0" t="n">
        <f aca="false">E6*E7/100</f>
        <v>1249.47700038</v>
      </c>
      <c r="F8" s="0" t="n">
        <f aca="false">F6*F7/100</f>
        <v>1315.825197687</v>
      </c>
      <c r="G8" s="0" t="n">
        <f aca="false">G6*G7/100</f>
        <v>1385.61454182586</v>
      </c>
      <c r="H8" s="0" t="n">
        <f aca="false">H6*H7/100</f>
        <v>1446.53927282523</v>
      </c>
      <c r="I8" s="0" t="n">
        <f aca="false">I6*I7/100</f>
        <v>1510.12099903762</v>
      </c>
      <c r="J8" s="0" t="n">
        <f aca="false">J6*J7/100</f>
        <v>1568.8955947388</v>
      </c>
      <c r="K8" s="0" t="n">
        <f aca="false">K6*K7/100</f>
        <v>1615.96246258096</v>
      </c>
      <c r="L8" s="0" t="n">
        <f aca="false">L6*L7/100</f>
        <v>1664.44133645839</v>
      </c>
    </row>
    <row r="9" customFormat="false" ht="15" hidden="false" customHeight="false" outlineLevel="0" collapsed="false">
      <c r="A9" s="0" t="s">
        <v>103</v>
      </c>
      <c r="C9" s="4" t="n">
        <f aca="false">Assumptions!C29</f>
        <v>0.9</v>
      </c>
      <c r="D9" s="4" t="n">
        <f aca="false">Assumptions!D29</f>
        <v>0.9</v>
      </c>
      <c r="E9" s="4" t="n">
        <f aca="false">Assumptions!E29</f>
        <v>0.9</v>
      </c>
      <c r="F9" s="4" t="n">
        <f aca="false">Assumptions!F29</f>
        <v>0.9</v>
      </c>
      <c r="G9" s="4" t="n">
        <f aca="false">Assumptions!G29</f>
        <v>0.9</v>
      </c>
      <c r="H9" s="4" t="n">
        <f aca="false">Assumptions!H29</f>
        <v>0.9</v>
      </c>
      <c r="I9" s="4" t="n">
        <f aca="false">Assumptions!I29</f>
        <v>0.9</v>
      </c>
      <c r="J9" s="4" t="n">
        <f aca="false">Assumptions!J29</f>
        <v>0.9</v>
      </c>
      <c r="K9" s="4" t="n">
        <f aca="false">Assumptions!K29</f>
        <v>0.9</v>
      </c>
      <c r="L9" s="4" t="n">
        <f aca="false">Assumptions!L29</f>
        <v>0.9</v>
      </c>
    </row>
    <row r="10" customFormat="false" ht="15" hidden="false" customHeight="false" outlineLevel="0" collapsed="false">
      <c r="A10" s="0" t="s">
        <v>118</v>
      </c>
      <c r="C10" s="0" t="n">
        <f aca="false">-C6*C9/100</f>
        <v>-39.534156</v>
      </c>
      <c r="D10" s="0" t="n">
        <f aca="false">-D6*D9/100</f>
        <v>-41.5108638</v>
      </c>
      <c r="E10" s="0" t="n">
        <f aca="false">-E6*E9/100</f>
        <v>-43.58640699</v>
      </c>
      <c r="F10" s="0" t="n">
        <f aca="false">-F6*F9/100</f>
        <v>-45.54779530455</v>
      </c>
      <c r="G10" s="0" t="n">
        <f aca="false">-G6*G9/100</f>
        <v>-47.5974460932548</v>
      </c>
      <c r="H10" s="0" t="n">
        <f aca="false">-H6*H9/100</f>
        <v>-49.501343936985</v>
      </c>
      <c r="I10" s="0" t="n">
        <f aca="false">-I6*I9/100</f>
        <v>-51.4813976944644</v>
      </c>
      <c r="J10" s="0" t="n">
        <f aca="false">-J6*J9/100</f>
        <v>-53.2832466137706</v>
      </c>
      <c r="K10" s="0" t="n">
        <f aca="false">-K6*K9/100</f>
        <v>-54.8817440121837</v>
      </c>
      <c r="L10" s="0" t="n">
        <f aca="false">-L6*L9/100</f>
        <v>-56.5281963325492</v>
      </c>
    </row>
    <row r="11" customFormat="false" ht="15" hidden="false" customHeight="false" outlineLevel="0" collapsed="false">
      <c r="A11" s="0" t="s">
        <v>119</v>
      </c>
      <c r="C11" s="0" t="n">
        <f aca="false">C8+C10+C24</f>
        <v>1071.814896</v>
      </c>
      <c r="D11" s="0" t="n">
        <f aca="false">D8+D10+D24</f>
        <v>1139.2425954</v>
      </c>
      <c r="E11" s="0" t="n">
        <f aca="false">E8+E10+E24</f>
        <v>1205.89059339</v>
      </c>
      <c r="F11" s="0" t="n">
        <f aca="false">F8+F10+F24</f>
        <v>1270.27740238245</v>
      </c>
      <c r="G11" s="0" t="n">
        <f aca="false">G8+G10+G24</f>
        <v>1338.01709573261</v>
      </c>
      <c r="H11" s="0" t="n">
        <f aca="false">H8+H10+H24</f>
        <v>1397.03792888824</v>
      </c>
      <c r="I11" s="0" t="n">
        <f aca="false">I8+I10+I24</f>
        <v>1458.63960134316</v>
      </c>
      <c r="J11" s="0" t="n">
        <f aca="false">J8+J10+J24</f>
        <v>1515.61234812503</v>
      </c>
      <c r="K11" s="0" t="n">
        <f aca="false">K8+K10+K24</f>
        <v>1561.08071856878</v>
      </c>
      <c r="L11" s="0" t="n">
        <f aca="false">L8+L10+L24</f>
        <v>1607.91314012584</v>
      </c>
    </row>
    <row r="12" customFormat="false" ht="15" hidden="false" customHeight="false" outlineLevel="0" collapsed="false">
      <c r="A12" s="0" t="s">
        <v>120</v>
      </c>
      <c r="C12" s="4" t="n">
        <f aca="false">-C6*Assumptions!C31/100</f>
        <v>-144.958572</v>
      </c>
      <c r="D12" s="4" t="n">
        <f aca="false">-D6*Assumptions!D31/100</f>
        <v>-147.5941824</v>
      </c>
      <c r="E12" s="4" t="n">
        <f aca="false">-E6*Assumptions!E31/100</f>
        <v>-150.13095741</v>
      </c>
      <c r="F12" s="4" t="n">
        <f aca="false">-F6*Assumptions!F31/100</f>
        <v>-151.8259843485</v>
      </c>
      <c r="G12" s="4" t="n">
        <f aca="false">-G6*Assumptions!G31/100</f>
        <v>-153.36954852271</v>
      </c>
      <c r="H12" s="4" t="n">
        <f aca="false">-H6*Assumptions!H31/100</f>
        <v>-154.004181137286</v>
      </c>
      <c r="I12" s="4" t="n">
        <f aca="false">-I6*Assumptions!I31/100</f>
        <v>-154.444193083393</v>
      </c>
      <c r="J12" s="4" t="n">
        <f aca="false">-J6*Assumptions!J31/100</f>
        <v>-153.929379106448</v>
      </c>
      <c r="K12" s="4" t="n">
        <f aca="false">-K6*Assumptions!K31/100</f>
        <v>-158.547260479642</v>
      </c>
      <c r="L12" s="4" t="n">
        <f aca="false">-L6*Assumptions!L31/100</f>
        <v>-163.303678294031</v>
      </c>
    </row>
    <row r="13" customFormat="false" ht="15" hidden="false" customHeight="false" outlineLevel="0" collapsed="false">
      <c r="A13" s="0" t="s">
        <v>121</v>
      </c>
      <c r="C13" s="0" t="n">
        <f aca="false">C11+C12</f>
        <v>926.856324</v>
      </c>
      <c r="D13" s="0" t="n">
        <f aca="false">D11+D12</f>
        <v>991.648413</v>
      </c>
      <c r="E13" s="0" t="n">
        <f aca="false">E11+E12</f>
        <v>1055.75963598</v>
      </c>
      <c r="F13" s="0" t="n">
        <f aca="false">F11+F12</f>
        <v>1118.45141803395</v>
      </c>
      <c r="G13" s="0" t="n">
        <f aca="false">G11+G12</f>
        <v>1184.6475472099</v>
      </c>
      <c r="H13" s="0" t="n">
        <f aca="false">H11+H12</f>
        <v>1243.03374775096</v>
      </c>
      <c r="I13" s="0" t="n">
        <f aca="false">I11+I12</f>
        <v>1304.19540825976</v>
      </c>
      <c r="J13" s="0" t="n">
        <f aca="false">J11+J12</f>
        <v>1361.68296901858</v>
      </c>
      <c r="K13" s="0" t="n">
        <f aca="false">K11+K12</f>
        <v>1402.53345808914</v>
      </c>
      <c r="L13" s="0" t="n">
        <f aca="false">L11+L12</f>
        <v>1444.60946183181</v>
      </c>
    </row>
    <row r="14" customFormat="false" ht="15" hidden="false" customHeight="false" outlineLevel="0" collapsed="false">
      <c r="A14" s="0" t="s">
        <v>107</v>
      </c>
      <c r="C14" s="4" t="n">
        <f aca="false">Assumptions!C33</f>
        <v>17</v>
      </c>
      <c r="D14" s="4" t="n">
        <f aca="false">Assumptions!D33</f>
        <v>17.5</v>
      </c>
      <c r="E14" s="4" t="n">
        <f aca="false">Assumptions!E33</f>
        <v>18</v>
      </c>
      <c r="F14" s="4" t="n">
        <f aca="false">Assumptions!F33</f>
        <v>18</v>
      </c>
      <c r="G14" s="4" t="n">
        <f aca="false">Assumptions!G33</f>
        <v>18.5</v>
      </c>
      <c r="H14" s="4" t="n">
        <f aca="false">Assumptions!H33</f>
        <v>18.5</v>
      </c>
      <c r="I14" s="4" t="n">
        <f aca="false">Assumptions!I33</f>
        <v>18.5</v>
      </c>
      <c r="J14" s="4" t="n">
        <f aca="false">Assumptions!J33</f>
        <v>18.5</v>
      </c>
      <c r="K14" s="4" t="n">
        <f aca="false">Assumptions!K33</f>
        <v>18.5</v>
      </c>
      <c r="L14" s="4" t="n">
        <f aca="false">Assumptions!L33</f>
        <v>18.5</v>
      </c>
    </row>
    <row r="15" customFormat="false" ht="15" hidden="false" customHeight="false" outlineLevel="0" collapsed="false">
      <c r="A15" s="0" t="s">
        <v>122</v>
      </c>
      <c r="C15" s="0" t="n">
        <f aca="false">C13-MAX(0,C13)*C14/100</f>
        <v>769.29074892</v>
      </c>
      <c r="D15" s="0" t="n">
        <f aca="false">D13-MAX(0,D13)*D14/100</f>
        <v>818.109940725</v>
      </c>
      <c r="E15" s="0" t="n">
        <f aca="false">E13-MAX(0,E13)*E14/100</f>
        <v>865.7229015036</v>
      </c>
      <c r="F15" s="0" t="n">
        <f aca="false">F13-MAX(0,F13)*F14/100</f>
        <v>917.130162787839</v>
      </c>
      <c r="G15" s="0" t="n">
        <f aca="false">G13-MAX(0,G13)*G14/100</f>
        <v>965.487750976065</v>
      </c>
      <c r="H15" s="0" t="n">
        <f aca="false">H13-MAX(0,H13)*H14/100</f>
        <v>1013.07250441703</v>
      </c>
      <c r="I15" s="0" t="n">
        <f aca="false">I13-MAX(0,I13)*I14/100</f>
        <v>1062.91925773171</v>
      </c>
      <c r="J15" s="0" t="n">
        <f aca="false">J13-MAX(0,J13)*J14/100</f>
        <v>1109.77161975014</v>
      </c>
      <c r="K15" s="0" t="n">
        <f aca="false">K13-MAX(0,K13)*K14/100</f>
        <v>1143.06476834265</v>
      </c>
      <c r="L15" s="0" t="n">
        <f aca="false">L13-MAX(0,L13)*L14/100</f>
        <v>1177.35671139293</v>
      </c>
    </row>
    <row r="16" customFormat="false" ht="15" hidden="false" customHeight="false" outlineLevel="0" collapsed="false">
      <c r="A16" s="0" t="s">
        <v>123</v>
      </c>
      <c r="C16" s="0" t="n">
        <f aca="false">-C12</f>
        <v>144.958572</v>
      </c>
      <c r="D16" s="0" t="n">
        <f aca="false">-D12</f>
        <v>147.5941824</v>
      </c>
      <c r="E16" s="0" t="n">
        <f aca="false">-E12</f>
        <v>150.13095741</v>
      </c>
      <c r="F16" s="0" t="n">
        <f aca="false">-F12</f>
        <v>151.8259843485</v>
      </c>
      <c r="G16" s="0" t="n">
        <f aca="false">-G12</f>
        <v>153.36954852271</v>
      </c>
      <c r="H16" s="0" t="n">
        <f aca="false">-H12</f>
        <v>154.004181137286</v>
      </c>
      <c r="I16" s="0" t="n">
        <f aca="false">-I12</f>
        <v>154.444193083393</v>
      </c>
      <c r="J16" s="0" t="n">
        <f aca="false">-J12</f>
        <v>153.929379106448</v>
      </c>
      <c r="K16" s="0" t="n">
        <f aca="false">-K12</f>
        <v>158.547260479642</v>
      </c>
      <c r="L16" s="0" t="n">
        <f aca="false">-L12</f>
        <v>163.303678294031</v>
      </c>
    </row>
    <row r="17" customFormat="false" ht="15" hidden="false" customHeight="false" outlineLevel="0" collapsed="false">
      <c r="A17" s="0" t="s">
        <v>124</v>
      </c>
      <c r="C17" s="4" t="n">
        <f aca="false">-C6*Assumptions!C32/100</f>
        <v>-101.031732</v>
      </c>
      <c r="D17" s="4" t="n">
        <f aca="false">-D6*Assumptions!D32/100</f>
        <v>-110.6956368</v>
      </c>
      <c r="E17" s="4" t="n">
        <f aca="false">-E6*Assumptions!E32/100</f>
        <v>-116.23041864</v>
      </c>
      <c r="F17" s="4" t="n">
        <f aca="false">-F6*Assumptions!F32/100</f>
        <v>-121.4607874788</v>
      </c>
      <c r="G17" s="4" t="n">
        <f aca="false">-G6*Assumptions!G32/100</f>
        <v>-126.926522915346</v>
      </c>
      <c r="H17" s="4" t="n">
        <f aca="false">-H6*Assumptions!H32/100</f>
        <v>-132.00358383196</v>
      </c>
      <c r="I17" s="4" t="n">
        <f aca="false">-I6*Assumptions!I32/100</f>
        <v>-137.283727185238</v>
      </c>
      <c r="J17" s="4" t="n">
        <f aca="false">-J6*Assumptions!J32/100</f>
        <v>-142.088657636722</v>
      </c>
      <c r="K17" s="4" t="n">
        <f aca="false">-K6*Assumptions!K32/100</f>
        <v>-146.351317365823</v>
      </c>
      <c r="L17" s="4" t="n">
        <f aca="false">-L6*Assumptions!L32/100</f>
        <v>-150.741856886798</v>
      </c>
    </row>
    <row r="18" customFormat="false" ht="15" hidden="false" customHeight="false" outlineLevel="0" collapsed="false">
      <c r="A18" s="0" t="s">
        <v>125</v>
      </c>
      <c r="C18" s="4" t="n">
        <f aca="false">(C6-B6)*Assumptions!$B$37/100</f>
        <v>-39.04608</v>
      </c>
      <c r="D18" s="4" t="n">
        <f aca="false">(D6-C6)*Assumptions!$B$37/100</f>
        <v>-26.3561040000001</v>
      </c>
      <c r="E18" s="4" t="n">
        <f aca="false">(E6-D6)*Assumptions!$B$37/100</f>
        <v>-27.6739092000001</v>
      </c>
      <c r="F18" s="4" t="n">
        <f aca="false">(F6-E6)*Assumptions!$B$37/100</f>
        <v>-26.1518441939999</v>
      </c>
      <c r="G18" s="4" t="n">
        <f aca="false">(G6-F6)*Assumptions!$B$37/100</f>
        <v>-27.32867718273</v>
      </c>
      <c r="H18" s="4" t="n">
        <f aca="false">(H6-G6)*Assumptions!$B$37/100</f>
        <v>-25.3853045830692</v>
      </c>
      <c r="I18" s="4" t="n">
        <f aca="false">(I6-H6)*Assumptions!$B$37/100</f>
        <v>-26.400716766392</v>
      </c>
      <c r="J18" s="4" t="n">
        <f aca="false">(J6-I6)*Assumptions!$B$37/100</f>
        <v>-24.0246522574167</v>
      </c>
      <c r="K18" s="4" t="n">
        <f aca="false">(K6-J6)*Assumptions!$B$37/100</f>
        <v>-21.3132986455082</v>
      </c>
      <c r="L18" s="4" t="n">
        <f aca="false">(L6-K6)*Assumptions!$B$37/100</f>
        <v>-21.9526976048735</v>
      </c>
    </row>
    <row r="19" customFormat="false" ht="15" hidden="false" customHeight="false" outlineLevel="0" collapsed="false">
      <c r="A19" s="0" t="s">
        <v>126</v>
      </c>
      <c r="C19" s="0" t="n">
        <f aca="false">C15+C16+C17+C18</f>
        <v>774.17150892</v>
      </c>
      <c r="D19" s="0" t="n">
        <f aca="false">D15+D16+D17+D18</f>
        <v>828.652382325</v>
      </c>
      <c r="E19" s="0" t="n">
        <f aca="false">E15+E16+E17+E18</f>
        <v>871.9495310736</v>
      </c>
      <c r="F19" s="0" t="n">
        <f aca="false">F15+F16+F17+F18</f>
        <v>921.343515463539</v>
      </c>
      <c r="G19" s="0" t="n">
        <f aca="false">G15+G16+G17+G18</f>
        <v>964.602099400699</v>
      </c>
      <c r="H19" s="0" t="n">
        <f aca="false">H15+H16+H17+H18</f>
        <v>1009.68779713929</v>
      </c>
      <c r="I19" s="0" t="n">
        <f aca="false">I15+I16+I17+I18</f>
        <v>1053.67900686347</v>
      </c>
      <c r="J19" s="0" t="n">
        <f aca="false">J15+J16+J17+J18</f>
        <v>1097.58768896245</v>
      </c>
      <c r="K19" s="0" t="n">
        <f aca="false">K15+K16+K17+K18</f>
        <v>1133.94741281096</v>
      </c>
      <c r="L19" s="0" t="n">
        <f aca="false">L15+L16+L17+L18</f>
        <v>1167.96583519529</v>
      </c>
    </row>
    <row r="20" customFormat="false" ht="15" hidden="false" customHeight="false" outlineLevel="0" collapsed="false">
      <c r="A20" s="0" t="s">
        <v>127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128</v>
      </c>
      <c r="C21" s="0" t="n">
        <f aca="false">C19*C20</f>
        <v>713.522128036866</v>
      </c>
      <c r="D21" s="0" t="n">
        <f aca="false">D19*D20</f>
        <v>703.903147083183</v>
      </c>
      <c r="E21" s="0" t="n">
        <f aca="false">E19*E20</f>
        <v>682.656349300398</v>
      </c>
      <c r="F21" s="0" t="n">
        <f aca="false">F19*F20</f>
        <v>664.817787735523</v>
      </c>
      <c r="G21" s="0" t="n">
        <f aca="false">G19*G20</f>
        <v>641.504211500852</v>
      </c>
      <c r="H21" s="0" t="n">
        <f aca="false">H19*H20</f>
        <v>618.883178283562</v>
      </c>
      <c r="I21" s="0" t="n">
        <f aca="false">I19*I20</f>
        <v>595.251036233223</v>
      </c>
      <c r="J21" s="0" t="n">
        <f aca="false">J19*J20</f>
        <v>571.48037583285</v>
      </c>
      <c r="K21" s="0" t="n">
        <f aca="false">K19*K20</f>
        <v>544.158316284043</v>
      </c>
      <c r="L21" s="0" t="n">
        <f aca="false">L19*L20</f>
        <v>516.574254168262</v>
      </c>
    </row>
    <row r="23" customFormat="false" ht="15" hidden="false" customHeight="false" outlineLevel="0" collapsed="false">
      <c r="A23" s="0" t="s">
        <v>104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129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130</v>
      </c>
    </row>
    <row r="27" customFormat="false" ht="15" hidden="false" customHeight="false" outlineLevel="0" collapsed="false">
      <c r="A27" s="0" t="s">
        <v>108</v>
      </c>
      <c r="B27" s="4" t="n">
        <f aca="false">Assumptions!$B$34</f>
        <v>8.5</v>
      </c>
    </row>
    <row r="28" customFormat="false" ht="15" hidden="false" customHeight="false" outlineLevel="0" collapsed="false">
      <c r="A28" s="0" t="s">
        <v>109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110</v>
      </c>
      <c r="B29" s="4" t="n">
        <f aca="false">Assumptions!$B$36</f>
        <v>16</v>
      </c>
    </row>
    <row r="30" customFormat="false" ht="15" hidden="false" customHeight="false" outlineLevel="0" collapsed="false">
      <c r="A30" s="0" t="s">
        <v>131</v>
      </c>
      <c r="B30" s="0" t="n">
        <f aca="false">SUM(C21:L21)</f>
        <v>6252.75078445876</v>
      </c>
    </row>
    <row r="31" customFormat="false" ht="15" hidden="false" customHeight="false" outlineLevel="0" collapsed="false">
      <c r="A31" s="0" t="s">
        <v>132</v>
      </c>
      <c r="B31" s="0" t="n">
        <f aca="false">L19</f>
        <v>1167.96583519529</v>
      </c>
    </row>
    <row r="32" customFormat="false" ht="15" hidden="false" customHeight="false" outlineLevel="0" collapsed="false">
      <c r="A32" s="0" t="s">
        <v>133</v>
      </c>
      <c r="B32" s="0" t="n">
        <f aca="false">IF(B27&gt;B28,B31*(1+B28/100)/((B27-B28)/100),B31*B29)</f>
        <v>19952.7496845862</v>
      </c>
    </row>
    <row r="33" customFormat="false" ht="15" hidden="false" customHeight="false" outlineLevel="0" collapsed="false">
      <c r="A33" s="0" t="s">
        <v>134</v>
      </c>
      <c r="B33" s="0" t="n">
        <f aca="false">B31*B29</f>
        <v>18687.4533631246</v>
      </c>
    </row>
    <row r="34" customFormat="false" ht="15" hidden="false" customHeight="false" outlineLevel="0" collapsed="false">
      <c r="A34" s="0" t="s">
        <v>135</v>
      </c>
      <c r="B34" s="0" t="n">
        <f aca="false">MAX(0,MIN(B32,B33))</f>
        <v>18687.4533631246</v>
      </c>
    </row>
    <row r="35" customFormat="false" ht="15" hidden="false" customHeight="false" outlineLevel="0" collapsed="false">
      <c r="A35" s="0" t="s">
        <v>136</v>
      </c>
      <c r="B35" s="0" t="n">
        <f aca="false">B34/(1+B27/100)^L4</f>
        <v>8265.18806669219</v>
      </c>
    </row>
    <row r="36" customFormat="false" ht="15" hidden="false" customHeight="false" outlineLevel="0" collapsed="false">
      <c r="A36" s="0" t="s">
        <v>137</v>
      </c>
      <c r="B36" s="0" t="n">
        <f aca="false">B30+B35</f>
        <v>14517.938851151</v>
      </c>
    </row>
    <row r="37" customFormat="false" ht="15" hidden="false" customHeight="false" outlineLevel="0" collapsed="false">
      <c r="A37" s="0" t="s">
        <v>138</v>
      </c>
      <c r="B37" s="0" t="n">
        <f aca="false">B36+Assumptions!$B$5-Assumptions!$B$4</f>
        <v>12807.238851151</v>
      </c>
    </row>
    <row r="38" customFormat="false" ht="15" hidden="false" customHeight="false" outlineLevel="0" collapsed="false">
      <c r="A38" s="0" t="s">
        <v>139</v>
      </c>
      <c r="B38" s="0" t="n">
        <f aca="false">B37/Assumptions!$B$3*Assumptions!$B$10</f>
        <v>149.967668046264</v>
      </c>
    </row>
    <row r="39" customFormat="false" ht="15" hidden="false" customHeight="false" outlineLevel="0" collapsed="false">
      <c r="A39" s="0" t="s">
        <v>140</v>
      </c>
      <c r="B39" s="4" t="n">
        <f aca="false">B38/Assumptions!$B$2-1</f>
        <v>-0.0164764687417099</v>
      </c>
    </row>
    <row r="41" customFormat="false" ht="15" hidden="false" customHeight="false" outlineLevel="0" collapsed="false">
      <c r="A41" s="0" t="s">
        <v>141</v>
      </c>
      <c r="B41" s="0" t="n">
        <f aca="false">SUMPRODUCT(-C10:L10/(1+$B$27/100)^C4:L4)</f>
        <v>308.849358084439</v>
      </c>
    </row>
    <row r="42" customFormat="false" ht="15" hidden="false" customHeight="false" outlineLevel="0" collapsed="false">
      <c r="A42" s="0" t="s">
        <v>142</v>
      </c>
      <c r="B42" s="0" t="n">
        <f aca="false">IF(B27&gt;B28,-L10*(1+B28/100)/((B27-B28)/100),-L10*20)/(1+B27/100)^L4</f>
        <v>427.110611593906</v>
      </c>
    </row>
    <row r="43" customFormat="false" ht="15" hidden="false" customHeight="false" outlineLevel="0" collapsed="false">
      <c r="A43" s="0" t="s">
        <v>143</v>
      </c>
      <c r="B43" s="0" t="n">
        <f aca="false">(B37+B41+B42)/Assumptions!$B$3*Assumptions!$B$10</f>
        <v>158.585466286057</v>
      </c>
    </row>
    <row r="45" customFormat="false" ht="15" hidden="false" customHeight="false" outlineLevel="0" collapsed="false">
      <c r="A45" s="0" t="s">
        <v>84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144</v>
      </c>
      <c r="B46" s="0" t="n">
        <f aca="false">MAX(0,MIN(IF(B45&gt;B28,B31*(1+B28/100)/((B45-B28)/100),B31*B29),B31*B29))</f>
        <v>9577.31984860136</v>
      </c>
    </row>
    <row r="47" customFormat="false" ht="15" hidden="false" customHeight="false" outlineLevel="0" collapsed="false">
      <c r="A47" s="0" t="s">
        <v>145</v>
      </c>
      <c r="B47" s="0" t="n">
        <f aca="false">(SUMPRODUCT(C19:L19/(1+B45/100)^C4:L4)+B46/(1+B45/100)^L4+Assumptions!$B$5-Assumptions!$B$4)/Assumptions!$B$3*Assumptions!$B$10</f>
        <v>62.5128553177133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147</v>
      </c>
    </row>
    <row r="3" customFormat="false" ht="15" hidden="false" customHeight="false" outlineLevel="0" collapsed="false">
      <c r="A3" s="0" t="s">
        <v>116</v>
      </c>
      <c r="B3" s="0" t="s">
        <v>77</v>
      </c>
      <c r="C3" s="2" t="s">
        <v>91</v>
      </c>
      <c r="D3" s="2" t="s">
        <v>92</v>
      </c>
      <c r="E3" s="2" t="s">
        <v>93</v>
      </c>
      <c r="F3" s="2" t="s">
        <v>94</v>
      </c>
      <c r="G3" s="2" t="s">
        <v>95</v>
      </c>
      <c r="H3" s="2" t="s">
        <v>96</v>
      </c>
      <c r="I3" s="2" t="s">
        <v>97</v>
      </c>
      <c r="J3" s="2" t="s">
        <v>98</v>
      </c>
      <c r="K3" s="2" t="s">
        <v>99</v>
      </c>
      <c r="L3" s="2" t="s">
        <v>100</v>
      </c>
    </row>
    <row r="4" customFormat="false" ht="15" hidden="false" customHeight="false" outlineLevel="0" collapsed="false">
      <c r="A4" s="0" t="s">
        <v>117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101</v>
      </c>
      <c r="C5" s="4" t="n">
        <f aca="false">Assumptions!C41</f>
        <v>8.5</v>
      </c>
      <c r="D5" s="4" t="n">
        <f aca="false">Assumptions!D41</f>
        <v>7</v>
      </c>
      <c r="E5" s="4" t="n">
        <f aca="false">Assumptions!E41</f>
        <v>6.5</v>
      </c>
      <c r="F5" s="4" t="n">
        <f aca="false">Assumptions!F41</f>
        <v>6</v>
      </c>
      <c r="G5" s="4" t="n">
        <f aca="false">Assumptions!G41</f>
        <v>5.5</v>
      </c>
      <c r="H5" s="4" t="n">
        <f aca="false">Assumptions!H41</f>
        <v>5</v>
      </c>
      <c r="I5" s="4" t="n">
        <f aca="false">Assumptions!I41</f>
        <v>4.5</v>
      </c>
      <c r="J5" s="4" t="n">
        <f aca="false">Assumptions!J41</f>
        <v>4</v>
      </c>
      <c r="K5" s="4" t="n">
        <f aca="false">Assumptions!K41</f>
        <v>3.5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37</v>
      </c>
      <c r="B6" s="3" t="n">
        <v>4067.3</v>
      </c>
      <c r="C6" s="0" t="n">
        <f aca="false">B6*(1+C5/100)</f>
        <v>4413.0205</v>
      </c>
      <c r="D6" s="0" t="n">
        <f aca="false">C6*(1+D5/100)</f>
        <v>4721.931935</v>
      </c>
      <c r="E6" s="0" t="n">
        <f aca="false">D6*(1+E5/100)</f>
        <v>5028.857510775</v>
      </c>
      <c r="F6" s="0" t="n">
        <f aca="false">E6*(1+F5/100)</f>
        <v>5330.5889614215</v>
      </c>
      <c r="G6" s="0" t="n">
        <f aca="false">F6*(1+G5/100)</f>
        <v>5623.77135429968</v>
      </c>
      <c r="H6" s="0" t="n">
        <f aca="false">G6*(1+H5/100)</f>
        <v>5904.95992201467</v>
      </c>
      <c r="I6" s="0" t="n">
        <f aca="false">H6*(1+I5/100)</f>
        <v>6170.68311850533</v>
      </c>
      <c r="J6" s="0" t="n">
        <f aca="false">I6*(1+J5/100)</f>
        <v>6417.51044324554</v>
      </c>
      <c r="K6" s="0" t="n">
        <f aca="false">J6*(1+K5/100)</f>
        <v>6642.12330875913</v>
      </c>
      <c r="L6" s="0" t="n">
        <f aca="false">K6*(1+L5/100)</f>
        <v>6841.38700802191</v>
      </c>
    </row>
    <row r="7" customFormat="false" ht="15" hidden="false" customHeight="false" outlineLevel="0" collapsed="false">
      <c r="A7" s="0" t="s">
        <v>102</v>
      </c>
      <c r="C7" s="4" t="n">
        <f aca="false">Assumptions!C42</f>
        <v>25.5</v>
      </c>
      <c r="D7" s="4" t="n">
        <f aca="false">Assumptions!D42</f>
        <v>26</v>
      </c>
      <c r="E7" s="4" t="n">
        <f aca="false">Assumptions!E42</f>
        <v>26.5</v>
      </c>
      <c r="F7" s="4" t="n">
        <f aca="false">Assumptions!F42</f>
        <v>27</v>
      </c>
      <c r="G7" s="4" t="n">
        <f aca="false">Assumptions!G42</f>
        <v>27.3</v>
      </c>
      <c r="H7" s="4" t="n">
        <f aca="false">Assumptions!H42</f>
        <v>27.6</v>
      </c>
      <c r="I7" s="4" t="n">
        <f aca="false">Assumptions!I42</f>
        <v>27.8</v>
      </c>
      <c r="J7" s="4" t="n">
        <f aca="false">Assumptions!J42</f>
        <v>28</v>
      </c>
      <c r="K7" s="4" t="n">
        <f aca="false">Assumptions!K42</f>
        <v>28</v>
      </c>
      <c r="L7" s="4" t="n">
        <f aca="false">Assumptions!L42</f>
        <v>28</v>
      </c>
    </row>
    <row r="8" customFormat="false" ht="15" hidden="false" customHeight="false" outlineLevel="0" collapsed="false">
      <c r="A8" s="0" t="s">
        <v>43</v>
      </c>
      <c r="C8" s="0" t="n">
        <f aca="false">C6*C7/100</f>
        <v>1125.3202275</v>
      </c>
      <c r="D8" s="0" t="n">
        <f aca="false">D6*D7/100</f>
        <v>1227.7023031</v>
      </c>
      <c r="E8" s="0" t="n">
        <f aca="false">E6*E7/100</f>
        <v>1332.64724035537</v>
      </c>
      <c r="F8" s="0" t="n">
        <f aca="false">F6*F7/100</f>
        <v>1439.2590195838</v>
      </c>
      <c r="G8" s="0" t="n">
        <f aca="false">G6*G7/100</f>
        <v>1535.28957972381</v>
      </c>
      <c r="H8" s="0" t="n">
        <f aca="false">H6*H7/100</f>
        <v>1629.76893847605</v>
      </c>
      <c r="I8" s="0" t="n">
        <f aca="false">I6*I7/100</f>
        <v>1715.44990694448</v>
      </c>
      <c r="J8" s="0" t="n">
        <f aca="false">J6*J7/100</f>
        <v>1796.90292410875</v>
      </c>
      <c r="K8" s="0" t="n">
        <f aca="false">K6*K7/100</f>
        <v>1859.79452645256</v>
      </c>
      <c r="L8" s="0" t="n">
        <f aca="false">L6*L7/100</f>
        <v>1915.58836224613</v>
      </c>
    </row>
    <row r="9" customFormat="false" ht="15" hidden="false" customHeight="false" outlineLevel="0" collapsed="false">
      <c r="A9" s="0" t="s">
        <v>103</v>
      </c>
      <c r="C9" s="4" t="n">
        <f aca="false">Assumptions!C43</f>
        <v>0.9</v>
      </c>
      <c r="D9" s="4" t="n">
        <f aca="false">Assumptions!D43</f>
        <v>0.9</v>
      </c>
      <c r="E9" s="4" t="n">
        <f aca="false">Assumptions!E43</f>
        <v>0.9</v>
      </c>
      <c r="F9" s="4" t="n">
        <f aca="false">Assumptions!F43</f>
        <v>0.9</v>
      </c>
      <c r="G9" s="4" t="n">
        <f aca="false">Assumptions!G43</f>
        <v>0.9</v>
      </c>
      <c r="H9" s="4" t="n">
        <f aca="false">Assumptions!H43</f>
        <v>0.9</v>
      </c>
      <c r="I9" s="4" t="n">
        <f aca="false">Assumptions!I43</f>
        <v>0.9</v>
      </c>
      <c r="J9" s="4" t="n">
        <f aca="false">Assumptions!J43</f>
        <v>0.9</v>
      </c>
      <c r="K9" s="4" t="n">
        <f aca="false">Assumptions!K43</f>
        <v>0.9</v>
      </c>
      <c r="L9" s="4" t="n">
        <f aca="false">Assumptions!L43</f>
        <v>0.9</v>
      </c>
    </row>
    <row r="10" customFormat="false" ht="15" hidden="false" customHeight="false" outlineLevel="0" collapsed="false">
      <c r="A10" s="0" t="s">
        <v>118</v>
      </c>
      <c r="C10" s="0" t="n">
        <f aca="false">-C6*C9/100</f>
        <v>-39.7171845</v>
      </c>
      <c r="D10" s="0" t="n">
        <f aca="false">-D6*D9/100</f>
        <v>-42.497387415</v>
      </c>
      <c r="E10" s="0" t="n">
        <f aca="false">-E6*E9/100</f>
        <v>-45.259717596975</v>
      </c>
      <c r="F10" s="0" t="n">
        <f aca="false">-F6*F9/100</f>
        <v>-47.9753006527935</v>
      </c>
      <c r="G10" s="0" t="n">
        <f aca="false">-G6*G9/100</f>
        <v>-50.6139421886971</v>
      </c>
      <c r="H10" s="0" t="n">
        <f aca="false">-H6*H9/100</f>
        <v>-53.144639298132</v>
      </c>
      <c r="I10" s="0" t="n">
        <f aca="false">-I6*I9/100</f>
        <v>-55.5361480665479</v>
      </c>
      <c r="J10" s="0" t="n">
        <f aca="false">-J6*J9/100</f>
        <v>-57.7575939892098</v>
      </c>
      <c r="K10" s="0" t="n">
        <f aca="false">-K6*K9/100</f>
        <v>-59.7791097788322</v>
      </c>
      <c r="L10" s="0" t="n">
        <f aca="false">-L6*L9/100</f>
        <v>-61.5724830721972</v>
      </c>
    </row>
    <row r="11" customFormat="false" ht="15" hidden="false" customHeight="false" outlineLevel="0" collapsed="false">
      <c r="A11" s="0" t="s">
        <v>119</v>
      </c>
      <c r="C11" s="0" t="n">
        <f aca="false">C8+C10+C24</f>
        <v>1085.603043</v>
      </c>
      <c r="D11" s="0" t="n">
        <f aca="false">D8+D10+D24</f>
        <v>1185.204915685</v>
      </c>
      <c r="E11" s="0" t="n">
        <f aca="false">E8+E10+E24</f>
        <v>1287.3875227584</v>
      </c>
      <c r="F11" s="0" t="n">
        <f aca="false">F8+F10+F24</f>
        <v>1391.28371893101</v>
      </c>
      <c r="G11" s="0" t="n">
        <f aca="false">G8+G10+G24</f>
        <v>1484.67563753512</v>
      </c>
      <c r="H11" s="0" t="n">
        <f aca="false">H8+H10+H24</f>
        <v>1576.62429917792</v>
      </c>
      <c r="I11" s="0" t="n">
        <f aca="false">I8+I10+I24</f>
        <v>1659.91375887793</v>
      </c>
      <c r="J11" s="0" t="n">
        <f aca="false">J8+J10+J24</f>
        <v>1739.14533011954</v>
      </c>
      <c r="K11" s="0" t="n">
        <f aca="false">K8+K10+K24</f>
        <v>1800.01541667372</v>
      </c>
      <c r="L11" s="0" t="n">
        <f aca="false">L8+L10+L24</f>
        <v>1854.01587917394</v>
      </c>
    </row>
    <row r="12" customFormat="false" ht="15" hidden="false" customHeight="false" outlineLevel="0" collapsed="false">
      <c r="A12" s="0" t="s">
        <v>120</v>
      </c>
      <c r="C12" s="4" t="n">
        <f aca="false">-C6*Assumptions!C45/100</f>
        <v>-145.6296765</v>
      </c>
      <c r="D12" s="4" t="n">
        <f aca="false">-D6*Assumptions!D45/100</f>
        <v>-151.10182192</v>
      </c>
      <c r="E12" s="4" t="n">
        <f aca="false">-E6*Assumptions!E45/100</f>
        <v>-155.894582834025</v>
      </c>
      <c r="F12" s="4" t="n">
        <f aca="false">-F6*Assumptions!F45/100</f>
        <v>-159.917668842645</v>
      </c>
      <c r="G12" s="4" t="n">
        <f aca="false">-G6*Assumptions!G45/100</f>
        <v>-163.089369274691</v>
      </c>
      <c r="H12" s="4" t="n">
        <f aca="false">-H6*Assumptions!H45/100</f>
        <v>-165.338877816411</v>
      </c>
      <c r="I12" s="4" t="n">
        <f aca="false">-I6*Assumptions!I45/100</f>
        <v>-166.608444199644</v>
      </c>
      <c r="J12" s="4" t="n">
        <f aca="false">-J6*Assumptions!J45/100</f>
        <v>-166.855271524384</v>
      </c>
      <c r="K12" s="4" t="n">
        <f aca="false">-K6*Assumptions!K45/100</f>
        <v>-172.695206027737</v>
      </c>
      <c r="L12" s="4" t="n">
        <f aca="false">-L6*Assumptions!L45/100</f>
        <v>-177.87606220857</v>
      </c>
    </row>
    <row r="13" customFormat="false" ht="15" hidden="false" customHeight="false" outlineLevel="0" collapsed="false">
      <c r="A13" s="0" t="s">
        <v>121</v>
      </c>
      <c r="C13" s="0" t="n">
        <f aca="false">C11+C12</f>
        <v>939.9733665</v>
      </c>
      <c r="D13" s="0" t="n">
        <f aca="false">D11+D12</f>
        <v>1034.103093765</v>
      </c>
      <c r="E13" s="0" t="n">
        <f aca="false">E11+E12</f>
        <v>1131.49293992438</v>
      </c>
      <c r="F13" s="0" t="n">
        <f aca="false">F11+F12</f>
        <v>1231.36605008837</v>
      </c>
      <c r="G13" s="0" t="n">
        <f aca="false">G11+G12</f>
        <v>1321.58626826043</v>
      </c>
      <c r="H13" s="0" t="n">
        <f aca="false">H11+H12</f>
        <v>1411.28542136151</v>
      </c>
      <c r="I13" s="0" t="n">
        <f aca="false">I11+I12</f>
        <v>1493.30531467829</v>
      </c>
      <c r="J13" s="0" t="n">
        <f aca="false">J11+J12</f>
        <v>1572.29005859516</v>
      </c>
      <c r="K13" s="0" t="n">
        <f aca="false">K11+K12</f>
        <v>1627.32021064599</v>
      </c>
      <c r="L13" s="0" t="n">
        <f aca="false">L11+L12</f>
        <v>1676.13981696537</v>
      </c>
    </row>
    <row r="14" customFormat="false" ht="15" hidden="false" customHeight="false" outlineLevel="0" collapsed="false">
      <c r="A14" s="0" t="s">
        <v>107</v>
      </c>
      <c r="C14" s="4" t="n">
        <f aca="false">Assumptions!C47</f>
        <v>17</v>
      </c>
      <c r="D14" s="4" t="n">
        <f aca="false">Assumptions!D47</f>
        <v>17.5</v>
      </c>
      <c r="E14" s="4" t="n">
        <f aca="false">Assumptions!E47</f>
        <v>18</v>
      </c>
      <c r="F14" s="4" t="n">
        <f aca="false">Assumptions!F47</f>
        <v>18</v>
      </c>
      <c r="G14" s="4" t="n">
        <f aca="false">Assumptions!G47</f>
        <v>18.5</v>
      </c>
      <c r="H14" s="4" t="n">
        <f aca="false">Assumptions!H47</f>
        <v>18.5</v>
      </c>
      <c r="I14" s="4" t="n">
        <f aca="false">Assumptions!I47</f>
        <v>18.5</v>
      </c>
      <c r="J14" s="4" t="n">
        <f aca="false">Assumptions!J47</f>
        <v>18.5</v>
      </c>
      <c r="K14" s="4" t="n">
        <f aca="false">Assumptions!K47</f>
        <v>18.5</v>
      </c>
      <c r="L14" s="4" t="n">
        <f aca="false">Assumptions!L47</f>
        <v>18.5</v>
      </c>
    </row>
    <row r="15" customFormat="false" ht="15" hidden="false" customHeight="false" outlineLevel="0" collapsed="false">
      <c r="A15" s="0" t="s">
        <v>122</v>
      </c>
      <c r="C15" s="0" t="n">
        <f aca="false">C13-MAX(0,C13)*C14/100</f>
        <v>780.177894195</v>
      </c>
      <c r="D15" s="0" t="n">
        <f aca="false">D13-MAX(0,D13)*D14/100</f>
        <v>853.135052356125</v>
      </c>
      <c r="E15" s="0" t="n">
        <f aca="false">E13-MAX(0,E13)*E14/100</f>
        <v>927.824210737987</v>
      </c>
      <c r="F15" s="0" t="n">
        <f aca="false">F13-MAX(0,F13)*F14/100</f>
        <v>1009.72016107246</v>
      </c>
      <c r="G15" s="0" t="n">
        <f aca="false">G13-MAX(0,G13)*G14/100</f>
        <v>1077.09280863225</v>
      </c>
      <c r="H15" s="0" t="n">
        <f aca="false">H13-MAX(0,H13)*H14/100</f>
        <v>1150.19761840963</v>
      </c>
      <c r="I15" s="0" t="n">
        <f aca="false">I13-MAX(0,I13)*I14/100</f>
        <v>1217.04383146281</v>
      </c>
      <c r="J15" s="0" t="n">
        <f aca="false">J13-MAX(0,J13)*J14/100</f>
        <v>1281.41639775505</v>
      </c>
      <c r="K15" s="0" t="n">
        <f aca="false">K13-MAX(0,K13)*K14/100</f>
        <v>1326.26597167648</v>
      </c>
      <c r="L15" s="0" t="n">
        <f aca="false">L13-MAX(0,L13)*L14/100</f>
        <v>1366.05395082677</v>
      </c>
    </row>
    <row r="16" customFormat="false" ht="15" hidden="false" customHeight="false" outlineLevel="0" collapsed="false">
      <c r="A16" s="0" t="s">
        <v>123</v>
      </c>
      <c r="C16" s="0" t="n">
        <f aca="false">-C12</f>
        <v>145.6296765</v>
      </c>
      <c r="D16" s="0" t="n">
        <f aca="false">-D12</f>
        <v>151.10182192</v>
      </c>
      <c r="E16" s="0" t="n">
        <f aca="false">-E12</f>
        <v>155.894582834025</v>
      </c>
      <c r="F16" s="0" t="n">
        <f aca="false">-F12</f>
        <v>159.917668842645</v>
      </c>
      <c r="G16" s="0" t="n">
        <f aca="false">-G12</f>
        <v>163.089369274691</v>
      </c>
      <c r="H16" s="0" t="n">
        <f aca="false">-H12</f>
        <v>165.338877816411</v>
      </c>
      <c r="I16" s="0" t="n">
        <f aca="false">-I12</f>
        <v>166.608444199644</v>
      </c>
      <c r="J16" s="0" t="n">
        <f aca="false">-J12</f>
        <v>166.855271524384</v>
      </c>
      <c r="K16" s="0" t="n">
        <f aca="false">-K12</f>
        <v>172.695206027737</v>
      </c>
      <c r="L16" s="0" t="n">
        <f aca="false">-L12</f>
        <v>177.87606220857</v>
      </c>
    </row>
    <row r="17" customFormat="false" ht="15" hidden="false" customHeight="false" outlineLevel="0" collapsed="false">
      <c r="A17" s="0" t="s">
        <v>124</v>
      </c>
      <c r="C17" s="4" t="n">
        <f aca="false">-C6*Assumptions!C46/100</f>
        <v>-101.4994715</v>
      </c>
      <c r="D17" s="4" t="n">
        <f aca="false">-D6*Assumptions!D46/100</f>
        <v>-113.32636644</v>
      </c>
      <c r="E17" s="4" t="n">
        <f aca="false">-E6*Assumptions!E46/100</f>
        <v>-120.6925802586</v>
      </c>
      <c r="F17" s="4" t="n">
        <f aca="false">-F6*Assumptions!F46/100</f>
        <v>-127.934135074116</v>
      </c>
      <c r="G17" s="4" t="n">
        <f aca="false">-G6*Assumptions!G46/100</f>
        <v>-134.970512503192</v>
      </c>
      <c r="H17" s="4" t="n">
        <f aca="false">-H6*Assumptions!H46/100</f>
        <v>-141.719038128352</v>
      </c>
      <c r="I17" s="4" t="n">
        <f aca="false">-I6*Assumptions!I46/100</f>
        <v>-148.096394844128</v>
      </c>
      <c r="J17" s="4" t="n">
        <f aca="false">-J6*Assumptions!J46/100</f>
        <v>-154.020250637893</v>
      </c>
      <c r="K17" s="4" t="n">
        <f aca="false">-K6*Assumptions!K46/100</f>
        <v>-159.410959410219</v>
      </c>
      <c r="L17" s="4" t="n">
        <f aca="false">-L6*Assumptions!L46/100</f>
        <v>-164.193288192526</v>
      </c>
    </row>
    <row r="18" customFormat="false" ht="15" hidden="false" customHeight="false" outlineLevel="0" collapsed="false">
      <c r="A18" s="0" t="s">
        <v>125</v>
      </c>
      <c r="C18" s="4" t="n">
        <f aca="false">(C6-B6)*Assumptions!$B$51/100</f>
        <v>-41.4864599999999</v>
      </c>
      <c r="D18" s="4" t="n">
        <f aca="false">(D6-C6)*Assumptions!$B$51/100</f>
        <v>-37.0693722</v>
      </c>
      <c r="E18" s="4" t="n">
        <f aca="false">(E6-D6)*Assumptions!$B$51/100</f>
        <v>-36.831069093</v>
      </c>
      <c r="F18" s="4" t="n">
        <f aca="false">(F6-E6)*Assumptions!$B$51/100</f>
        <v>-36.20777407758</v>
      </c>
      <c r="G18" s="4" t="n">
        <f aca="false">(G6-F6)*Assumptions!$B$51/100</f>
        <v>-35.1818871453819</v>
      </c>
      <c r="H18" s="4" t="n">
        <f aca="false">(H6-G6)*Assumptions!$B$51/100</f>
        <v>-33.7426281257981</v>
      </c>
      <c r="I18" s="4" t="n">
        <f aca="false">(I6-H6)*Assumptions!$B$51/100</f>
        <v>-31.8867835788792</v>
      </c>
      <c r="J18" s="4" t="n">
        <f aca="false">(J6-I6)*Assumptions!$B$51/100</f>
        <v>-29.6192789688256</v>
      </c>
      <c r="K18" s="4" t="n">
        <f aca="false">(K6-J6)*Assumptions!$B$51/100</f>
        <v>-26.9535438616312</v>
      </c>
      <c r="L18" s="4" t="n">
        <f aca="false">(L6-K6)*Assumptions!$B$51/100</f>
        <v>-23.9116439115329</v>
      </c>
    </row>
    <row r="19" customFormat="false" ht="15" hidden="false" customHeight="false" outlineLevel="0" collapsed="false">
      <c r="A19" s="0" t="s">
        <v>126</v>
      </c>
      <c r="C19" s="0" t="n">
        <f aca="false">C15+C16+C17+C18</f>
        <v>782.821639195</v>
      </c>
      <c r="D19" s="0" t="n">
        <f aca="false">D15+D16+D17+D18</f>
        <v>853.841135636125</v>
      </c>
      <c r="E19" s="0" t="n">
        <f aca="false">E15+E16+E17+E18</f>
        <v>926.195144220412</v>
      </c>
      <c r="F19" s="0" t="n">
        <f aca="false">F15+F16+F17+F18</f>
        <v>1005.49592076341</v>
      </c>
      <c r="G19" s="0" t="n">
        <f aca="false">G15+G16+G17+G18</f>
        <v>1070.02977825836</v>
      </c>
      <c r="H19" s="0" t="n">
        <f aca="false">H15+H16+H17+H18</f>
        <v>1140.07482997189</v>
      </c>
      <c r="I19" s="0" t="n">
        <f aca="false">I15+I16+I17+I18</f>
        <v>1203.66909723944</v>
      </c>
      <c r="J19" s="0" t="n">
        <f aca="false">J15+J16+J17+J18</f>
        <v>1264.63213967272</v>
      </c>
      <c r="K19" s="0" t="n">
        <f aca="false">K15+K16+K17+K18</f>
        <v>1312.59667443237</v>
      </c>
      <c r="L19" s="0" t="n">
        <f aca="false">L15+L16+L17+L18</f>
        <v>1355.82508093129</v>
      </c>
    </row>
    <row r="20" customFormat="false" ht="15" hidden="false" customHeight="false" outlineLevel="0" collapsed="false">
      <c r="A20" s="0" t="s">
        <v>127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128</v>
      </c>
      <c r="C21" s="0" t="n">
        <f aca="false">C19*C20</f>
        <v>721.494598336405</v>
      </c>
      <c r="D21" s="0" t="n">
        <f aca="false">D19*D20</f>
        <v>725.299866751152</v>
      </c>
      <c r="E21" s="0" t="n">
        <f aca="false">E19*E20</f>
        <v>725.125679137378</v>
      </c>
      <c r="F21" s="0" t="n">
        <f aca="false">F19*F20</f>
        <v>725.539999359204</v>
      </c>
      <c r="G21" s="0" t="n">
        <f aca="false">G19*G20</f>
        <v>711.618406813065</v>
      </c>
      <c r="H21" s="0" t="n">
        <f aca="false">H19*H20</f>
        <v>698.803269934697</v>
      </c>
      <c r="I21" s="0" t="n">
        <f aca="false">I19*I20</f>
        <v>679.984390641394</v>
      </c>
      <c r="J21" s="0" t="n">
        <f aca="false">J19*J20</f>
        <v>658.455317728321</v>
      </c>
      <c r="K21" s="0" t="n">
        <f aca="false">K19*K20</f>
        <v>629.888465946194</v>
      </c>
      <c r="L21" s="0" t="n">
        <f aca="false">L19*L20</f>
        <v>599.661658637126</v>
      </c>
    </row>
    <row r="23" customFormat="false" ht="15" hidden="false" customHeight="false" outlineLevel="0" collapsed="false">
      <c r="A23" s="0" t="s">
        <v>104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129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130</v>
      </c>
    </row>
    <row r="27" customFormat="false" ht="15" hidden="false" customHeight="false" outlineLevel="0" collapsed="false">
      <c r="A27" s="0" t="s">
        <v>108</v>
      </c>
      <c r="B27" s="4" t="n">
        <f aca="false">Assumptions!$B$48</f>
        <v>8.5</v>
      </c>
    </row>
    <row r="28" customFormat="false" ht="15" hidden="false" customHeight="false" outlineLevel="0" collapsed="false">
      <c r="A28" s="0" t="s">
        <v>109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110</v>
      </c>
      <c r="B29" s="4" t="n">
        <f aca="false">Assumptions!$B$50</f>
        <v>18</v>
      </c>
    </row>
    <row r="30" customFormat="false" ht="15" hidden="false" customHeight="false" outlineLevel="0" collapsed="false">
      <c r="A30" s="0" t="s">
        <v>131</v>
      </c>
      <c r="B30" s="0" t="n">
        <f aca="false">SUM(C21:L21)</f>
        <v>6875.87165328494</v>
      </c>
    </row>
    <row r="31" customFormat="false" ht="15" hidden="false" customHeight="false" outlineLevel="0" collapsed="false">
      <c r="A31" s="0" t="s">
        <v>132</v>
      </c>
      <c r="B31" s="0" t="n">
        <f aca="false">L19</f>
        <v>1355.82508093129</v>
      </c>
    </row>
    <row r="32" customFormat="false" ht="15" hidden="false" customHeight="false" outlineLevel="0" collapsed="false">
      <c r="A32" s="0" t="s">
        <v>133</v>
      </c>
      <c r="B32" s="0" t="n">
        <f aca="false">IF(B27&gt;B28,B31*(1+B28/100)/((B27-B28)/100),B31*B29)</f>
        <v>25390.9060610768</v>
      </c>
    </row>
    <row r="33" customFormat="false" ht="15" hidden="false" customHeight="false" outlineLevel="0" collapsed="false">
      <c r="A33" s="0" t="s">
        <v>134</v>
      </c>
      <c r="B33" s="0" t="n">
        <f aca="false">B31*B29</f>
        <v>24404.8514567631</v>
      </c>
    </row>
    <row r="34" customFormat="false" ht="15" hidden="false" customHeight="false" outlineLevel="0" collapsed="false">
      <c r="A34" s="0" t="s">
        <v>135</v>
      </c>
      <c r="B34" s="0" t="n">
        <f aca="false">MAX(0,MIN(B32,B33))</f>
        <v>24404.8514567631</v>
      </c>
    </row>
    <row r="35" customFormat="false" ht="15" hidden="false" customHeight="false" outlineLevel="0" collapsed="false">
      <c r="A35" s="0" t="s">
        <v>136</v>
      </c>
      <c r="B35" s="0" t="n">
        <f aca="false">B34/(1+B27/100)^L4</f>
        <v>10793.9098554683</v>
      </c>
    </row>
    <row r="36" customFormat="false" ht="15" hidden="false" customHeight="false" outlineLevel="0" collapsed="false">
      <c r="A36" s="0" t="s">
        <v>137</v>
      </c>
      <c r="B36" s="0" t="n">
        <f aca="false">B30+B35</f>
        <v>17669.7815087532</v>
      </c>
    </row>
    <row r="37" customFormat="false" ht="15" hidden="false" customHeight="false" outlineLevel="0" collapsed="false">
      <c r="A37" s="0" t="s">
        <v>138</v>
      </c>
      <c r="B37" s="0" t="n">
        <f aca="false">B36+Assumptions!$B$5-Assumptions!$B$4</f>
        <v>15959.0815087532</v>
      </c>
    </row>
    <row r="38" customFormat="false" ht="15" hidden="false" customHeight="false" outlineLevel="0" collapsed="false">
      <c r="A38" s="0" t="s">
        <v>139</v>
      </c>
      <c r="B38" s="0" t="n">
        <f aca="false">B37/Assumptions!$B$3*Assumptions!$B$10</f>
        <v>186.874490734815</v>
      </c>
    </row>
    <row r="39" customFormat="false" ht="15" hidden="false" customHeight="false" outlineLevel="0" collapsed="false">
      <c r="A39" s="0" t="s">
        <v>140</v>
      </c>
      <c r="B39" s="4" t="n">
        <f aca="false">B38/Assumptions!$B$2-1</f>
        <v>0.225567226749836</v>
      </c>
    </row>
    <row r="41" customFormat="false" ht="15" hidden="false" customHeight="false" outlineLevel="0" collapsed="false">
      <c r="A41" s="0" t="s">
        <v>141</v>
      </c>
      <c r="B41" s="0" t="n">
        <f aca="false">SUMPRODUCT(-C10:L10/(1+$B$27/100)^C4:L4)</f>
        <v>326.358428489996</v>
      </c>
    </row>
    <row r="42" customFormat="false" ht="15" hidden="false" customHeight="false" outlineLevel="0" collapsed="false">
      <c r="A42" s="0" t="s">
        <v>142</v>
      </c>
      <c r="B42" s="0" t="n">
        <f aca="false">IF(B27&gt;B28,-L10*(1+B28/100)/((B27-B28)/100),-L10*20)/(1+B27/100)^L4</f>
        <v>509.99253758822</v>
      </c>
    </row>
    <row r="43" customFormat="false" ht="15" hidden="false" customHeight="false" outlineLevel="0" collapsed="false">
      <c r="A43" s="0" t="s">
        <v>143</v>
      </c>
      <c r="B43" s="0" t="n">
        <f aca="false">(B37+B41+B42)/Assumptions!$B$3*Assumptions!$B$10</f>
        <v>196.667827574138</v>
      </c>
    </row>
    <row r="45" customFormat="false" ht="15" hidden="false" customHeight="false" outlineLevel="0" collapsed="false">
      <c r="A45" s="0" t="s">
        <v>84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144</v>
      </c>
      <c r="B46" s="0" t="n">
        <f aca="false">MAX(0,MIN(IF(B45&gt;B28,B31*(1+B28/100)/((B45-B28)/100),B31*B29),B31*B29))</f>
        <v>11637.4986113269</v>
      </c>
    </row>
    <row r="47" customFormat="false" ht="15" hidden="false" customHeight="false" outlineLevel="0" collapsed="false">
      <c r="A47" s="0" t="s">
        <v>145</v>
      </c>
      <c r="B47" s="0" t="n">
        <f aca="false">(SUMPRODUCT(C19:L19/(1+B45/100)^C4:L4)+B46/(1+B45/100)^L4+Assumptions!$B$5-Assumptions!$B$4)/Assumptions!$B$3*Assumptions!$B$10</f>
        <v>73.4799969419811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148</v>
      </c>
    </row>
    <row r="3" customFormat="false" ht="15" hidden="false" customHeight="false" outlineLevel="0" collapsed="false">
      <c r="A3" s="2" t="s">
        <v>149</v>
      </c>
      <c r="B3" s="2" t="s">
        <v>150</v>
      </c>
      <c r="C3" s="2" t="s">
        <v>140</v>
      </c>
      <c r="D3" s="2" t="s">
        <v>151</v>
      </c>
      <c r="E3" s="2" t="s">
        <v>143</v>
      </c>
      <c r="F3" s="2" t="s">
        <v>152</v>
      </c>
    </row>
    <row r="4" customFormat="false" ht="15" hidden="false" customHeight="false" outlineLevel="0" collapsed="false">
      <c r="A4" s="0" t="s">
        <v>153</v>
      </c>
      <c r="B4" s="4" t="n">
        <f aca="false">DCF_Bear!$B$38</f>
        <v>97.6298047505379</v>
      </c>
      <c r="C4" s="0" t="n">
        <f aca="false">B4/Assumptions!$B$2-1</f>
        <v>-0.359720587942432</v>
      </c>
      <c r="D4" s="4" t="n">
        <f aca="false">Assumptions!$B$24</f>
        <v>0.2</v>
      </c>
      <c r="E4" s="4" t="n">
        <f aca="false">DCF_Bear!$B$43</f>
        <v>104.469725075976</v>
      </c>
      <c r="F4" s="4" t="n">
        <f aca="false">DCF_Bear!$B$47</f>
        <v>44.6422163503598</v>
      </c>
    </row>
    <row r="5" customFormat="false" ht="15" hidden="false" customHeight="false" outlineLevel="0" collapsed="false">
      <c r="A5" s="0" t="s">
        <v>154</v>
      </c>
      <c r="B5" s="4" t="n">
        <f aca="false">DCF_Base!$B$38</f>
        <v>149.967668046264</v>
      </c>
      <c r="C5" s="0" t="n">
        <f aca="false">B5/Assumptions!$B$2-1</f>
        <v>-0.0164764687417099</v>
      </c>
      <c r="D5" s="4" t="n">
        <f aca="false">Assumptions!$B$38</f>
        <v>0.5</v>
      </c>
      <c r="E5" s="4" t="n">
        <f aca="false">DCF_Base!$B$43</f>
        <v>158.585466286057</v>
      </c>
      <c r="F5" s="4" t="n">
        <f aca="false">DCF_Base!$B$47</f>
        <v>62.5128553177133</v>
      </c>
    </row>
    <row r="6" customFormat="false" ht="15" hidden="false" customHeight="false" outlineLevel="0" collapsed="false">
      <c r="A6" s="0" t="s">
        <v>155</v>
      </c>
      <c r="B6" s="4" t="n">
        <f aca="false">DCF_Bull!$B$38</f>
        <v>186.874490734815</v>
      </c>
      <c r="C6" s="0" t="n">
        <f aca="false">B6/Assumptions!$B$2-1</f>
        <v>0.225567226749836</v>
      </c>
      <c r="D6" s="4" t="n">
        <f aca="false">Assumptions!$B$52</f>
        <v>0.3</v>
      </c>
      <c r="E6" s="4" t="n">
        <f aca="false">DCF_Bull!$B$43</f>
        <v>196.667827574138</v>
      </c>
      <c r="F6" s="4" t="n">
        <f aca="false">DCF_Bull!$B$47</f>
        <v>73.4799969419811</v>
      </c>
    </row>
    <row r="8" customFormat="false" ht="15" hidden="false" customHeight="false" outlineLevel="0" collapsed="false">
      <c r="A8" s="0" t="s">
        <v>156</v>
      </c>
      <c r="B8" s="0" t="n">
        <f aca="false">SUMPRODUCT(B4:B6,D4:D6)</f>
        <v>150.572142193684</v>
      </c>
    </row>
    <row r="9" customFormat="false" ht="15" hidden="false" customHeight="false" outlineLevel="0" collapsed="false">
      <c r="A9" s="0" t="s">
        <v>157</v>
      </c>
      <c r="B9" s="0" t="n">
        <f aca="false">SUMPRODUCT(E4:E6,D4:D6)</f>
        <v>159.187026430465</v>
      </c>
    </row>
    <row r="10" customFormat="false" ht="15" hidden="false" customHeight="false" outlineLevel="0" collapsed="false">
      <c r="A10" s="0" t="s">
        <v>158</v>
      </c>
      <c r="B10" s="0" t="n">
        <f aca="false">1-Assumptions!$B$2/B8</f>
        <v>-0.012670722342927</v>
      </c>
    </row>
    <row r="11" customFormat="false" ht="15" hidden="false" customHeight="false" outlineLevel="0" collapsed="false">
      <c r="A11" s="0" t="s">
        <v>159</v>
      </c>
      <c r="B11" s="0" t="n">
        <f aca="false">IF(ABS(B9-B8)&gt;0.01*ABS(B8),(Assumptions!$B$2-B8)/(B9-B8)*100,"n/a")</f>
        <v>22.1460643448962</v>
      </c>
    </row>
    <row r="12" customFormat="false" ht="15" hidden="false" customHeight="false" outlineLevel="0" collapsed="false">
      <c r="A12" s="0" t="s">
        <v>160</v>
      </c>
      <c r="B12" s="0" t="n">
        <f aca="false">SUMPRODUCT(F4:F6,D4:D6)</f>
        <v>62.2288700115229</v>
      </c>
    </row>
    <row r="14" customFormat="false" ht="15" hidden="false" customHeight="false" outlineLevel="0" collapsed="false">
      <c r="A14" s="2" t="s">
        <v>161</v>
      </c>
      <c r="C14" s="0" t="s">
        <v>162</v>
      </c>
    </row>
    <row r="15" customFormat="false" ht="15" hidden="false" customHeight="false" outlineLevel="0" collapsed="false">
      <c r="A15" s="0" t="s">
        <v>163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149.967668046264</v>
      </c>
      <c r="C15" s="3" t="n">
        <v>8.5</v>
      </c>
    </row>
    <row r="16" customFormat="false" ht="15" hidden="false" customHeight="false" outlineLevel="0" collapsed="false">
      <c r="A16" s="0" t="s">
        <v>164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142.55994026897</v>
      </c>
      <c r="C16" s="3" t="n">
        <v>9</v>
      </c>
    </row>
    <row r="17" customFormat="false" ht="15" hidden="false" customHeight="false" outlineLevel="0" collapsed="false">
      <c r="A17" s="0" t="s">
        <v>165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120.249104165691</v>
      </c>
      <c r="C17" s="3" t="n">
        <v>10</v>
      </c>
    </row>
    <row r="18" customFormat="false" ht="15" hidden="false" customHeight="false" outlineLevel="0" collapsed="false">
      <c r="A18" s="0" t="s">
        <v>166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103.217001216308</v>
      </c>
      <c r="C18" s="3" t="n">
        <v>11</v>
      </c>
    </row>
    <row r="19" customFormat="false" ht="15" hidden="false" customHeight="false" outlineLevel="0" collapsed="false">
      <c r="A19" s="0" t="s">
        <v>167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89.7949073482427</v>
      </c>
      <c r="C19" s="3" t="n">
        <v>12</v>
      </c>
    </row>
    <row r="20" customFormat="false" ht="15" hidden="false" customHeight="false" outlineLevel="0" collapsed="false">
      <c r="A20" s="0" t="s">
        <v>168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62.5128553177133</v>
      </c>
      <c r="C20" s="3" t="n">
        <v>15</v>
      </c>
    </row>
    <row r="22" customFormat="false" ht="15" hidden="false" customHeight="false" outlineLevel="0" collapsed="false">
      <c r="A22" s="2" t="s">
        <v>169</v>
      </c>
    </row>
    <row r="23" customFormat="false" ht="15" hidden="false" customHeight="false" outlineLevel="0" collapsed="false">
      <c r="B23" s="3" t="n">
        <v>1.5</v>
      </c>
      <c r="C23" s="3" t="n">
        <v>2</v>
      </c>
      <c r="D23" s="3" t="n">
        <v>2.5</v>
      </c>
      <c r="E23" s="3" t="n">
        <v>3</v>
      </c>
      <c r="F23" s="3" t="n">
        <v>3.5</v>
      </c>
    </row>
    <row r="24" customFormat="false" ht="15" hidden="false" customHeight="false" outlineLevel="0" collapsed="false">
      <c r="A24" s="3" t="n">
        <v>6.5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177.317870613551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177.317870613551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177.317870613551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177.317870613551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177.317870613551</v>
      </c>
    </row>
    <row r="25" customFormat="false" ht="15" hidden="false" customHeight="false" outlineLevel="0" collapsed="false">
      <c r="A25" s="3" t="n">
        <v>7.5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162.999471396191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162.999471396191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162.999471396191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162.999471396191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162.999471396191</v>
      </c>
    </row>
    <row r="26" customFormat="false" ht="15" hidden="false" customHeight="false" outlineLevel="0" collapsed="false">
      <c r="A26" s="3" t="n">
        <v>8.5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140.89434976462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148.106474552594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149.967668046264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149.967668046264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149.967668046264</v>
      </c>
    </row>
    <row r="27" customFormat="false" ht="15" hidden="false" customHeight="false" outlineLevel="0" collapsed="false">
      <c r="A27" s="3" t="n">
        <v>9.5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119.81224147433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124.847989021368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130.603129075126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137.243675291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138.092694898509</v>
      </c>
    </row>
    <row r="28" customFormat="false" ht="15" hidden="false" customHeight="false" outlineLevel="0" collapsed="false">
      <c r="A28" s="3" t="n">
        <v>10.5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103.463509122429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107.102829887906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111.197065749067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115.837199725049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121.140209983315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2026-09-25T09:49:01Z</dcterms:created>
  <dc:creator>openpyxl</dc:creator>
  <dc:description/>
  <dc:language>en-NZ</dc:language>
  <cp:lastModifiedBy/>
  <dcterms:modified xsi:type="dcterms:W3CDTF">2026-09-25T09:49:01Z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