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<sst xmlns="http://schemas.openxmlformats.org/spreadsheetml/2006/main" count="341" uniqueCount="161">
  <si>
    <t xml:space="preserve">Ticker</t>
  </si>
  <si>
    <t xml:space="preserve">2586.HK</t>
  </si>
  <si>
    <t xml:space="preserve">Company</t>
  </si>
  <si>
    <r>
      <rPr>
        <sz val="11"/>
        <color theme="1"/>
        <rFont val="Calibri"/>
        <family val="2"/>
        <charset val="1"/>
      </rPr>
      <t xml:space="preserve">Dmall Inc. (</t>
    </r>
    <r>
      <rPr>
        <sz val="11"/>
        <color theme="1"/>
        <rFont val="Arial Unicode MS"/>
        <family val="2"/>
      </rPr>
      <t xml:space="preserve">多点数智</t>
    </r>
    <r>
      <rPr>
        <sz val="11"/>
        <color theme="1"/>
        <rFont val="Calibri"/>
        <family val="2"/>
        <charset val="1"/>
      </rPr>
      <t xml:space="preserve">)</t>
    </r>
  </si>
  <si>
    <t xml:space="preserve">Valuation date</t>
  </si>
  <si>
    <t xml:space="preserve">2026-10-18</t>
  </si>
  <si>
    <t xml:space="preserve">Current price</t>
  </si>
  <si>
    <t xml:space="preserve">Price as of</t>
  </si>
  <si>
    <t xml:space="preserve">2026-10-16T08:08:14Z regular close (HKEX closed 17-18 Oct)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</si>
  <si>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</si>
  <si>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</si>
  <si>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</si>
  <si>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</si>
  <si>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</si>
  <si>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</si>
  <si>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</si>
  <si>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</si>
  <si>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</si>
  <si>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</si>
  <si>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</si>
  <si>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</si>
  <si>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</si>
  <si>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2026-10-18T07:03:01Z</t>
  </si>
  <si>
    <t xml:space="preserve">Drivers file</t>
  </si>
  <si>
    <t xml:space="preserve">2586.HK_Drivers.json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</si>
  <si>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</si>
  <si>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</si>
  <si>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</si>
  <si>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the post-IPO run-rate: SBC expensed and the diluted count held flat, interest income stripped against a net-cash bridge that also carries the FVPL wealth-management assets and deducts NCI, leases charged as operating cost, cash tax ramped from zero to a PRC high-tech rate, and working capital charged on the revenue change. The pre-IPO preferred-share fair-value losses are capital-structure noise and are excluded from the operating history; the valuation rests on whether the H1 FY2026 margin step-up (~11% adjusted EBITDA, +66% profit on +7% revenue) is the start of a SaaS-style margin ramp or a cyclical high in a related-party revenue base.
key_risks_to_valuation: Related-party concentration: Wumart/Wumei entities fund the bulk of subscription revenue; a change in the anchor's trading or ownership moves the whole base case; Revenue deceleration already visible (+19.8% FY2025 -&gt; +7.1% H1 FY2026); the base case assumes a modest re-acceleration that the value-added segment may not deliver; Margin ramp risk: gross margin fell to 37.2% in H1 FY2026 on hardware mix; the 15% EBITDA target depends on AI/subscription mix, not on cost cuts that have already been taken; Capital allocation: Bitcoin purchases, a crypto-fund FVPL position and a planned stablecoin licence are outside the core thesis and sit in a company that also raised equity at HK$11.10 in July 2025 and is buying back below that; Cash tax: the model ramps to 17%; an earlier exhaustion of tax losses or loss of high-tech status (25% statutory) lowers value; FX: a CNY-built value translated at CNY/HKD 1.173; a 5% RMB move shifts the HKD value by the same amount, and refresh_price.py does not update fx_rate</t>
  </si>
  <si>
    <t xml:space="preserve">Data sources</t>
  </si>
  <si>
    <t xml:space="preserve">price: Yahoo Finance chart API (2586.HK, HKD) at inputs.price_as_of; 52-week range 3.78-9.68. Fresh build, no prior DCF.
financials: research/2586.HK/Reports/2586.HK_Metrics.csv (FY2023-H1 FY2026, RMB millions) and the extracted filings: 2586.HK_Annual_FY2025.txt (cash-flow statement, adjusted-profit reconciliation, share plans) and 2586.HK_HalfYear_H1-2026.txt (balance sheet, cash flow, EPS note 7, FVPL note 19, treasury-share and buyback disclosures, borrowings maturity).
fx: Yahoo CNYHKD=X on 2026-10-16, cross-checked against USDHKD/USDCNY.
qualitative: research/2586.HK/Reports/2586.HK_Analysis.json (2026-10-18)</t>
  </si>
  <si>
    <t xml:space="preserve">Scenario narrative: bear</t>
  </si>
  <si>
    <t xml:space="preserve">Related-party dependence becomes the ceiling: Wumart-affiliated spend flattens, the ownership overhang keeps competitors' chains off the platform, larger platform rivals compress pricing, and revenue stalls from FY2027 while the margin slides back to ~9%. The stablecoin/Bitcoin side-venture absorbs capital and attention. Terminal growth 1.5%; the business remains cash-generative but is worth little more than its net cash plus a low-growth annuity.</t>
  </si>
  <si>
    <t xml:space="preserve">Scenario narrative: base</t>
  </si>
  <si>
    <t xml:space="preserve">Dmall grows 8-9% near term on AI core-solution expansion and &gt;100% NRR, with value-added services (hardware-heavy, Wumart-concentrated) growing slowly; adjusted EBITDA margin climbs from ~10.5% to 15% over a decade as the subscription/AI mix rises and AI-assisted R&amp;D holds opex growth below revenue. Cash tax stays near zero for three years on tax losses then ramps to 17%. Working capital consumes ~4% of incremental revenue (related-party receivables). WACC 10% in CNY, terminal growth 2.5%, Gordon binds below the 15x cap.</t>
  </si>
  <si>
    <t xml:space="preserve">Scenario narrative: bull</t>
  </si>
  <si>
    <t xml:space="preserve">The retail-AI-agents pivot monetises: the ten AI modules move from RMB64m to a material revenue-share stream, overseas benchmark projects (DFI, SM Group, Cold Storage Singapore, Middle East) compound at 20%+, and independent Chinese chains (7-Eleven China, Tangjiu) diversify the base away from Wumart. Growth re-accelerates to 14% in FY2027-28 and the margin reaches 20% by year 9; terminal growth 3%.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</si>
  <si>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</si>
  <si>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</si>
  <si>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</si>
  <si>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</si>
  <si>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</si>
  <si>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</si>
  <si>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</si>
  <si>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</si>
  <si>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</si>
  <si>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</si>
  <si>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</si>
  <si>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</si>
  <si>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</si>
  <si>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</si>
  <si>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</si>
  <si>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</si>
  <si>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</si>
  <si>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</si>
  <si>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</si>
  <si>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</si>
  <si>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</si>
  <si>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</si>
  <si>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</si>
  <si>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</si>
  <si>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</si>
  <si>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</si>
  <si>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</si>
  <si>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DividendsPaidToNCI</t>
  </si>
  <si>
    <t xml:space="preserve">FairValueChangePreferredShares</t>
  </si>
  <si>
    <t xml:space="preserve">NetIncomeTotal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</si>
  <si>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</si>
  <si>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</si>
  <si>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</si>
  <si>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</si>
  <si>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</si>
  <si>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</si>
  <si>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</si>
  <si>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</si>
  <si>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</si>
  <si>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</si>
  <si>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</si>
  <si>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</si>
  <si>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</si>
  <si>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</si>
  <si>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</si>
  <si>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</si>
  <si>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</si>
  <si>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</si>
  <si>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</si>
  <si>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</si>
  <si>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</si>
  <si>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</si>
  <si>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</si>
  <si>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</si>
  <si>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</si>
  <si>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</si>
  <si>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</si>
  <si>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</si>
  <si>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</si>
  <si>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</si>
  <si>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</si>
  <si>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</si>
  <si>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</si>
  <si>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</si>
  <si>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</si>
  <si>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</si>
  <si>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</si>
  <si>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</si>
  <si>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</si>
  <si>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</si>
  <si>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2586.HK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</si>
  <si>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</si>
  <si>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</si>
  <si>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</si>
  <si>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</si>
  <si>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</si>
  <si>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</si>
  <si>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</si>
  <si>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</si>
  <si>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</si>
  <si>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</si>
  <si>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</si>
  <si>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</si>
  <si>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</si>
  <si>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</si>
  <si>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</si>
  <si>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</si>
  <si>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</si>
  <si>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</si>
  <si>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</si>
  <si>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</si>
  <si>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</si>
  <si>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</si>
  <si>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</si>
  <si>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</si>
  <si>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</si>
  <si>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</si>
  <si>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</si>
  <si>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</si>
  <si>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</si>
  <si>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</si>
  <si>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2586.HK owner-FCF component DCF: base case (millions, CNY)</t>
  </si>
  <si>
    <t xml:space="preserve">2586.HK owner-FCF component DCF: bull case (millions, CNY)</t>
  </si>
  <si>
    <t xml:space="preserve">2586.HK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</si>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</sst>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 Unicode MS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6.4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8.545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</row>
    <row r="2" customFormat="false" ht="15" hidden="false" customHeight="false" outlineLevel="0" collapsed="false">
      <c r="A2" s="0" t="s">
        <v>67</v>
      </c>
      <c r="B2" s="0" t="n">
        <v>1585.357</v>
      </c>
      <c r="C2" s="0" t="n">
        <v>1030.656</v>
      </c>
      <c r="D2" s="0" t="n">
        <v>554.701</v>
      </c>
      <c r="E2" s="0" t="n">
        <v>35</v>
      </c>
      <c r="F2" s="0" t="n">
        <v>-262.804</v>
      </c>
      <c r="G2" s="0" t="n">
        <v>-16.6</v>
      </c>
      <c r="H2" s="0" t="n">
        <v>-204.526</v>
      </c>
      <c r="I2" s="0" t="n">
        <v>-592.361</v>
      </c>
      <c r="J2" s="0" t="n">
        <v>-37.4</v>
      </c>
      <c r="K2" s="0" t="n">
        <v>-1.13</v>
      </c>
      <c r="L2" s="0" t="n">
        <v>-179.248</v>
      </c>
      <c r="M2" s="0" t="n">
        <v>6.541</v>
      </c>
      <c r="N2" s="0" t="n">
        <v>-185.789</v>
      </c>
      <c r="O2" s="0" t="n">
        <v>-6864.827</v>
      </c>
      <c r="P2" s="0" t="n">
        <v>1377.772</v>
      </c>
      <c r="Q2" s="0" t="n">
        <v>8142.896</v>
      </c>
      <c r="R2" s="0" t="n">
        <v>522.753</v>
      </c>
      <c r="S2" s="0" t="n">
        <v>533.171</v>
      </c>
      <c r="T2" s="0" t="n">
        <v>525.15</v>
      </c>
      <c r="U2" s="0" t="n">
        <v>13.62</v>
      </c>
      <c r="AA2" s="0" t="s">
        <v>18</v>
      </c>
      <c r="AB2" s="0" t="s">
        <v>14</v>
      </c>
      <c r="AD2" s="0" t="n">
        <v>-476.16</v>
      </c>
      <c r="AE2" s="0" t="n">
        <v>-655.439</v>
      </c>
    </row>
    <row r="3" customFormat="false" ht="15" hidden="false" customHeight="false" outlineLevel="0" collapsed="false">
      <c r="A3" s="0" t="s">
        <v>68</v>
      </c>
      <c r="B3" s="0" t="n">
        <v>1859.002</v>
      </c>
      <c r="C3" s="0" t="n">
        <v>1112.626</v>
      </c>
      <c r="D3" s="0" t="n">
        <v>746.376</v>
      </c>
      <c r="E3" s="0" t="n">
        <v>40.1</v>
      </c>
      <c r="F3" s="0" t="n">
        <v>-173.998</v>
      </c>
      <c r="G3" s="0" t="n">
        <v>-9.4</v>
      </c>
      <c r="H3" s="0" t="n">
        <v>-112.913</v>
      </c>
      <c r="I3" s="0" t="n">
        <v>-2195.277</v>
      </c>
      <c r="J3" s="0" t="n">
        <v>-118.1</v>
      </c>
      <c r="K3" s="0" t="n">
        <v>-3.97</v>
      </c>
      <c r="L3" s="0" t="n">
        <v>-74.198</v>
      </c>
      <c r="M3" s="0" t="n">
        <v>8.792</v>
      </c>
      <c r="N3" s="0" t="n">
        <v>-82.99</v>
      </c>
      <c r="O3" s="0" t="n">
        <v>565.675</v>
      </c>
      <c r="P3" s="0" t="n">
        <v>1659.186</v>
      </c>
      <c r="Q3" s="0" t="n">
        <v>1018.157</v>
      </c>
      <c r="R3" s="0" t="n">
        <v>529.646</v>
      </c>
      <c r="S3" s="0" t="n">
        <v>801.046</v>
      </c>
      <c r="T3" s="0" t="n">
        <v>552.381</v>
      </c>
      <c r="U3" s="0" t="n">
        <v>19.257</v>
      </c>
      <c r="AA3" s="0" t="s">
        <v>18</v>
      </c>
      <c r="AB3" s="0" t="s">
        <v>14</v>
      </c>
      <c r="AC3" s="0" t="n">
        <v>2.514</v>
      </c>
      <c r="AD3" s="0" t="n">
        <v>-2275.701</v>
      </c>
      <c r="AE3" s="0" t="n">
        <v>-2220.276</v>
      </c>
    </row>
    <row r="4" customFormat="false" ht="15" hidden="false" customHeight="false" outlineLevel="0" collapsed="false">
      <c r="A4" s="0" t="s">
        <v>69</v>
      </c>
      <c r="B4" s="0" t="n">
        <v>2226.756</v>
      </c>
      <c r="C4" s="0" t="n">
        <v>1376.974</v>
      </c>
      <c r="D4" s="0" t="n">
        <v>849.782</v>
      </c>
      <c r="E4" s="0" t="n">
        <v>38.2</v>
      </c>
      <c r="F4" s="0" t="n">
        <v>85.362</v>
      </c>
      <c r="G4" s="0" t="n">
        <v>3.8</v>
      </c>
      <c r="H4" s="0" t="n">
        <v>148.707</v>
      </c>
      <c r="I4" s="0" t="n">
        <v>133.724</v>
      </c>
      <c r="J4" s="0" t="n">
        <v>6</v>
      </c>
      <c r="K4" s="0" t="n">
        <v>0.15</v>
      </c>
      <c r="L4" s="0" t="n">
        <v>191.974</v>
      </c>
      <c r="M4" s="0" t="n">
        <v>45.845</v>
      </c>
      <c r="N4" s="0" t="n">
        <v>146.129</v>
      </c>
      <c r="O4" s="0" t="n">
        <v>899.288</v>
      </c>
      <c r="P4" s="0" t="n">
        <v>1734.229</v>
      </c>
      <c r="Q4" s="0" t="n">
        <v>778.657</v>
      </c>
      <c r="R4" s="0" t="n">
        <v>333.628</v>
      </c>
      <c r="S4" s="0" t="n">
        <v>860.026</v>
      </c>
      <c r="T4" s="0" t="n">
        <v>907.24</v>
      </c>
      <c r="U4" s="0" t="n">
        <v>31.457</v>
      </c>
      <c r="AA4" s="0" t="s">
        <v>18</v>
      </c>
      <c r="AB4" s="0" t="s">
        <v>14</v>
      </c>
      <c r="AE4" s="0" t="n">
        <v>127.106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70</v>
      </c>
      <c r="B1" s="2" t="s">
        <v>71</v>
      </c>
    </row>
    <row r="2" customFormat="false" ht="15" hidden="false" customHeight="false" outlineLevel="0" collapsed="false">
      <c r="A2" s="0" t="s">
        <v>72</v>
      </c>
      <c r="B2" s="3" t="n">
        <v>8.545</v>
      </c>
    </row>
    <row r="3" customFormat="false" ht="15" hidden="false" customHeight="false" outlineLevel="0" collapsed="false">
      <c r="A3" s="0" t="s">
        <v>73</v>
      </c>
      <c r="B3" s="3" t="n">
        <v>874.809</v>
      </c>
    </row>
    <row r="4" customFormat="false" ht="15" hidden="false" customHeight="false" outlineLevel="0" collapsed="false">
      <c r="A4" s="0" t="s">
        <v>74</v>
      </c>
      <c r="B4" s="3" t="n">
        <v>-217.026</v>
      </c>
    </row>
    <row r="5" customFormat="false" ht="15" hidden="false" customHeight="false" outlineLevel="0" collapsed="false">
      <c r="A5" s="0" t="s">
        <v>75</v>
      </c>
      <c r="B5" s="3" t="n">
        <v>40.102</v>
      </c>
    </row>
    <row r="6" customFormat="false" ht="15" hidden="false" customHeight="false" outlineLevel="0" collapsed="false">
      <c r="A6" s="0" t="s">
        <v>76</v>
      </c>
      <c r="B6" s="3" t="n">
        <v>15</v>
      </c>
    </row>
    <row r="7" customFormat="false" ht="15" hidden="false" customHeight="false" outlineLevel="0" collapsed="false">
      <c r="A7" s="0" t="s">
        <v>77</v>
      </c>
      <c r="B7" s="3" t="n">
        <v>2226.756</v>
      </c>
    </row>
    <row r="8" customFormat="false" ht="15" hidden="false" customHeight="false" outlineLevel="0" collapsed="false">
      <c r="A8" s="0" t="s">
        <v>78</v>
      </c>
      <c r="B8" s="3" t="s">
        <v>69</v>
      </c>
    </row>
    <row r="9" customFormat="false" ht="15" hidden="false" customHeight="false" outlineLevel="0" collapsed="false">
      <c r="A9" s="0" t="s">
        <v>79</v>
      </c>
      <c r="B9" s="3" t="s">
        <v>80</v>
      </c>
    </row>
    <row r="10" customFormat="false" ht="15" hidden="false" customHeight="false" outlineLevel="0" collapsed="false">
      <c r="A10" s="0" t="s">
        <v>81</v>
      </c>
      <c r="B10" s="3" t="n">
        <v>1.173</v>
      </c>
    </row>
    <row r="12" customFormat="false" ht="15" hidden="false" customHeight="false" outlineLevel="0" collapsed="false">
      <c r="A12" s="2" t="s">
        <v>82</v>
      </c>
      <c r="C12" s="2" t="s">
        <v>83</v>
      </c>
      <c r="D12" s="2" t="s">
        <v>84</v>
      </c>
      <c r="E12" s="2" t="s">
        <v>85</v>
      </c>
      <c r="F12" s="2" t="s">
        <v>86</v>
      </c>
      <c r="G12" s="2" t="s">
        <v>87</v>
      </c>
      <c r="H12" s="2" t="s">
        <v>88</v>
      </c>
      <c r="I12" s="2" t="s">
        <v>89</v>
      </c>
      <c r="J12" s="2" t="s">
        <v>90</v>
      </c>
      <c r="K12" s="2" t="s">
        <v>91</v>
      </c>
      <c r="L12" s="2" t="s">
        <v>92</v>
      </c>
    </row>
    <row r="13" customFormat="false" ht="15" hidden="false" customHeight="false" outlineLevel="0" collapsed="false">
      <c r="A13" s="0" t="s">
        <v>93</v>
      </c>
      <c r="C13" s="3" t="n">
        <v>3</v>
      </c>
      <c r="D13" s="3" t="n">
        <v>0</v>
      </c>
      <c r="E13" s="3" t="n">
        <v>0</v>
      </c>
      <c r="F13" s="3" t="n">
        <v>1</v>
      </c>
      <c r="G13" s="3" t="n">
        <v>1</v>
      </c>
      <c r="H13" s="3" t="n">
        <v>1.5</v>
      </c>
      <c r="I13" s="3" t="n">
        <v>1.5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94</v>
      </c>
      <c r="C14" s="3" t="n">
        <v>9.5</v>
      </c>
      <c r="D14" s="3" t="n">
        <v>9</v>
      </c>
      <c r="E14" s="3" t="n">
        <v>9</v>
      </c>
      <c r="F14" s="3" t="n">
        <v>9</v>
      </c>
      <c r="G14" s="3" t="n">
        <v>9</v>
      </c>
      <c r="H14" s="3" t="n">
        <v>9</v>
      </c>
      <c r="I14" s="3" t="n">
        <v>9</v>
      </c>
      <c r="J14" s="3" t="n">
        <v>9</v>
      </c>
      <c r="K14" s="3" t="n">
        <v>9</v>
      </c>
      <c r="L14" s="3" t="n">
        <v>9</v>
      </c>
    </row>
    <row r="15" customFormat="false" ht="15" hidden="false" customHeight="false" outlineLevel="0" collapsed="false">
      <c r="A15" s="0" t="s">
        <v>95</v>
      </c>
      <c r="C15" s="3" t="n">
        <v>1.4</v>
      </c>
      <c r="D15" s="3" t="n">
        <v>1.4</v>
      </c>
      <c r="E15" s="3" t="n">
        <v>1.4</v>
      </c>
      <c r="F15" s="3" t="n">
        <v>1.4</v>
      </c>
      <c r="G15" s="3" t="n">
        <v>1.4</v>
      </c>
      <c r="H15" s="3" t="n">
        <v>1.4</v>
      </c>
      <c r="I15" s="3" t="n">
        <v>1.4</v>
      </c>
      <c r="J15" s="3" t="n">
        <v>1.4</v>
      </c>
      <c r="K15" s="3" t="n">
        <v>1.4</v>
      </c>
      <c r="L15" s="3" t="n">
        <v>1.4</v>
      </c>
    </row>
    <row r="16" customFormat="false" ht="15" hidden="false" customHeight="false" outlineLevel="0" collapsed="false">
      <c r="A16" s="0" t="s">
        <v>96</v>
      </c>
      <c r="C16" s="3" t="n">
        <v>1.1</v>
      </c>
      <c r="D16" s="3" t="n">
        <v>1.1</v>
      </c>
      <c r="E16" s="3" t="n">
        <v>1.1</v>
      </c>
      <c r="F16" s="3" t="n">
        <v>1.1</v>
      </c>
      <c r="G16" s="3" t="n">
        <v>1.1</v>
      </c>
      <c r="H16" s="3" t="n">
        <v>1.1</v>
      </c>
      <c r="I16" s="3" t="n">
        <v>1.1</v>
      </c>
      <c r="J16" s="3" t="n">
        <v>1.1</v>
      </c>
      <c r="K16" s="3" t="n">
        <v>1.1</v>
      </c>
      <c r="L16" s="3" t="n">
        <v>1.1</v>
      </c>
    </row>
    <row r="17" customFormat="false" ht="15" hidden="false" customHeight="false" outlineLevel="0" collapsed="false">
      <c r="A17" s="0" t="s">
        <v>97</v>
      </c>
      <c r="C17" s="3" t="n">
        <v>1.5</v>
      </c>
      <c r="D17" s="3" t="n">
        <v>1.5</v>
      </c>
      <c r="E17" s="3" t="n">
        <v>1.5</v>
      </c>
      <c r="F17" s="3" t="n">
        <v>1.5</v>
      </c>
      <c r="G17" s="3" t="n">
        <v>1.5</v>
      </c>
      <c r="H17" s="3" t="n">
        <v>1.5</v>
      </c>
      <c r="I17" s="3" t="n">
        <v>1.5</v>
      </c>
      <c r="J17" s="3" t="n">
        <v>1.5</v>
      </c>
      <c r="K17" s="3" t="n">
        <v>1.5</v>
      </c>
      <c r="L17" s="3" t="n">
        <v>1.5</v>
      </c>
    </row>
    <row r="18" customFormat="false" ht="15" hidden="false" customHeight="false" outlineLevel="0" collapsed="false">
      <c r="A18" s="0" t="s">
        <v>98</v>
      </c>
      <c r="C18" s="3" t="n">
        <v>2</v>
      </c>
      <c r="D18" s="3" t="n">
        <v>2</v>
      </c>
      <c r="E18" s="3" t="n">
        <v>2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3" t="n">
        <v>2</v>
      </c>
      <c r="L18" s="3" t="n">
        <v>2</v>
      </c>
    </row>
    <row r="19" customFormat="false" ht="15" hidden="false" customHeight="false" outlineLevel="0" collapsed="false">
      <c r="A19" s="0" t="s">
        <v>99</v>
      </c>
      <c r="C19" s="3" t="n">
        <v>0</v>
      </c>
      <c r="D19" s="3" t="n">
        <v>2</v>
      </c>
      <c r="E19" s="3" t="n">
        <v>5</v>
      </c>
      <c r="F19" s="3" t="n">
        <v>10</v>
      </c>
      <c r="G19" s="3" t="n">
        <v>15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100</v>
      </c>
      <c r="B20" s="3" t="n">
        <v>10</v>
      </c>
    </row>
    <row r="21" customFormat="false" ht="15" hidden="false" customHeight="false" outlineLevel="0" collapsed="false">
      <c r="A21" s="0" t="s">
        <v>101</v>
      </c>
      <c r="B21" s="3" t="n">
        <v>1.5</v>
      </c>
    </row>
    <row r="22" customFormat="false" ht="15" hidden="false" customHeight="false" outlineLevel="0" collapsed="false">
      <c r="A22" s="0" t="s">
        <v>102</v>
      </c>
      <c r="B22" s="3" t="n">
        <v>15</v>
      </c>
    </row>
    <row r="23" customFormat="false" ht="15" hidden="false" customHeight="false" outlineLevel="0" collapsed="false">
      <c r="A23" s="0" t="s">
        <v>103</v>
      </c>
      <c r="B23" s="3" t="n">
        <v>-4</v>
      </c>
    </row>
    <row r="24" customFormat="false" ht="15" hidden="false" customHeight="false" outlineLevel="0" collapsed="false">
      <c r="A24" s="0" t="s">
        <v>104</v>
      </c>
      <c r="B24" s="3" t="n">
        <v>0.3</v>
      </c>
    </row>
    <row r="26" customFormat="false" ht="15" hidden="false" customHeight="false" outlineLevel="0" collapsed="false">
      <c r="A26" s="2" t="s">
        <v>105</v>
      </c>
      <c r="C26" s="2" t="s">
        <v>83</v>
      </c>
      <c r="D26" s="2" t="s">
        <v>84</v>
      </c>
      <c r="E26" s="2" t="s">
        <v>85</v>
      </c>
      <c r="F26" s="2" t="s">
        <v>86</v>
      </c>
      <c r="G26" s="2" t="s">
        <v>87</v>
      </c>
      <c r="H26" s="2" t="s">
        <v>88</v>
      </c>
      <c r="I26" s="2" t="s">
        <v>89</v>
      </c>
      <c r="J26" s="2" t="s">
        <v>90</v>
      </c>
      <c r="K26" s="2" t="s">
        <v>91</v>
      </c>
      <c r="L26" s="2" t="s">
        <v>92</v>
      </c>
    </row>
    <row r="27" customFormat="false" ht="15" hidden="false" customHeight="false" outlineLevel="0" collapsed="false">
      <c r="A27" s="0" t="s">
        <v>93</v>
      </c>
      <c r="C27" s="3" t="n">
        <v>8</v>
      </c>
      <c r="D27" s="3" t="n">
        <v>9</v>
      </c>
      <c r="E27" s="3" t="n">
        <v>9</v>
      </c>
      <c r="F27" s="3" t="n">
        <v>8</v>
      </c>
      <c r="G27" s="3" t="n">
        <v>7</v>
      </c>
      <c r="H27" s="3" t="n">
        <v>6</v>
      </c>
      <c r="I27" s="3" t="n">
        <v>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94</v>
      </c>
      <c r="C28" s="3" t="n">
        <v>10.5</v>
      </c>
      <c r="D28" s="3" t="n">
        <v>11.2</v>
      </c>
      <c r="E28" s="3" t="n">
        <v>12</v>
      </c>
      <c r="F28" s="3" t="n">
        <v>12.8</v>
      </c>
      <c r="G28" s="3" t="n">
        <v>13.5</v>
      </c>
      <c r="H28" s="3" t="n">
        <v>14</v>
      </c>
      <c r="I28" s="3" t="n">
        <v>14.5</v>
      </c>
      <c r="J28" s="3" t="n">
        <v>14.8</v>
      </c>
      <c r="K28" s="3" t="n">
        <v>15</v>
      </c>
      <c r="L28" s="3" t="n">
        <v>15</v>
      </c>
    </row>
    <row r="29" customFormat="false" ht="15" hidden="false" customHeight="false" outlineLevel="0" collapsed="false">
      <c r="A29" s="0" t="s">
        <v>95</v>
      </c>
      <c r="C29" s="3" t="n">
        <v>1.4</v>
      </c>
      <c r="D29" s="3" t="n">
        <v>1.4</v>
      </c>
      <c r="E29" s="3" t="n">
        <v>1.35</v>
      </c>
      <c r="F29" s="3" t="n">
        <v>1.3</v>
      </c>
      <c r="G29" s="3" t="n">
        <v>1.3</v>
      </c>
      <c r="H29" s="3" t="n">
        <v>1.25</v>
      </c>
      <c r="I29" s="3" t="n">
        <v>1.25</v>
      </c>
      <c r="J29" s="3" t="n">
        <v>1.2</v>
      </c>
      <c r="K29" s="3" t="n">
        <v>1.2</v>
      </c>
      <c r="L29" s="3" t="n">
        <v>1.2</v>
      </c>
    </row>
    <row r="30" customFormat="false" ht="15" hidden="false" customHeight="false" outlineLevel="0" collapsed="false">
      <c r="A30" s="0" t="s">
        <v>96</v>
      </c>
      <c r="C30" s="3" t="n">
        <v>1.1</v>
      </c>
      <c r="D30" s="3" t="n">
        <v>1.1</v>
      </c>
      <c r="E30" s="3" t="n">
        <v>1.1</v>
      </c>
      <c r="F30" s="3" t="n">
        <v>1.1</v>
      </c>
      <c r="G30" s="3" t="n">
        <v>1.1</v>
      </c>
      <c r="H30" s="3" t="n">
        <v>1.1</v>
      </c>
      <c r="I30" s="3" t="n">
        <v>1.1</v>
      </c>
      <c r="J30" s="3" t="n">
        <v>1.1</v>
      </c>
      <c r="K30" s="3" t="n">
        <v>1.1</v>
      </c>
      <c r="L30" s="3" t="n">
        <v>1.1</v>
      </c>
    </row>
    <row r="31" customFormat="false" ht="15" hidden="false" customHeight="false" outlineLevel="0" collapsed="false">
      <c r="A31" s="0" t="s">
        <v>97</v>
      </c>
      <c r="C31" s="3" t="n">
        <v>1.5</v>
      </c>
      <c r="D31" s="3" t="n">
        <v>1.5</v>
      </c>
      <c r="E31" s="3" t="n">
        <v>1.5</v>
      </c>
      <c r="F31" s="3" t="n">
        <v>1.5</v>
      </c>
      <c r="G31" s="3" t="n">
        <v>1.5</v>
      </c>
      <c r="H31" s="3" t="n">
        <v>1.5</v>
      </c>
      <c r="I31" s="3" t="n">
        <v>1.5</v>
      </c>
      <c r="J31" s="3" t="n">
        <v>1.5</v>
      </c>
      <c r="K31" s="3" t="n">
        <v>1.5</v>
      </c>
      <c r="L31" s="3" t="n">
        <v>1.5</v>
      </c>
    </row>
    <row r="32" customFormat="false" ht="15" hidden="false" customHeight="false" outlineLevel="0" collapsed="false">
      <c r="A32" s="0" t="s">
        <v>98</v>
      </c>
      <c r="C32" s="3" t="n">
        <v>2</v>
      </c>
      <c r="D32" s="3" t="n">
        <v>2</v>
      </c>
      <c r="E32" s="3" t="n">
        <v>2</v>
      </c>
      <c r="F32" s="3" t="n">
        <v>2</v>
      </c>
      <c r="G32" s="3" t="n">
        <v>2</v>
      </c>
      <c r="H32" s="3" t="n">
        <v>2</v>
      </c>
      <c r="I32" s="3" t="n">
        <v>2</v>
      </c>
      <c r="J32" s="3" t="n">
        <v>2</v>
      </c>
      <c r="K32" s="3" t="n">
        <v>2</v>
      </c>
      <c r="L32" s="3" t="n">
        <v>2</v>
      </c>
    </row>
    <row r="33" customFormat="false" ht="15" hidden="false" customHeight="false" outlineLevel="0" collapsed="false">
      <c r="A33" s="0" t="s">
        <v>99</v>
      </c>
      <c r="C33" s="3" t="n">
        <v>0</v>
      </c>
      <c r="D33" s="3" t="n">
        <v>2</v>
      </c>
      <c r="E33" s="3" t="n">
        <v>5</v>
      </c>
      <c r="F33" s="3" t="n">
        <v>8</v>
      </c>
      <c r="G33" s="3" t="n">
        <v>12</v>
      </c>
      <c r="H33" s="3" t="n">
        <v>17</v>
      </c>
      <c r="I33" s="3" t="n">
        <v>17</v>
      </c>
      <c r="J33" s="3" t="n">
        <v>17</v>
      </c>
      <c r="K33" s="3" t="n">
        <v>17</v>
      </c>
      <c r="L33" s="3" t="n">
        <v>17</v>
      </c>
    </row>
    <row r="34" customFormat="false" ht="15" hidden="false" customHeight="false" outlineLevel="0" collapsed="false">
      <c r="A34" s="0" t="s">
        <v>100</v>
      </c>
      <c r="B34" s="3" t="n">
        <v>10</v>
      </c>
    </row>
    <row r="35" customFormat="false" ht="15" hidden="false" customHeight="false" outlineLevel="0" collapsed="false">
      <c r="A35" s="0" t="s">
        <v>101</v>
      </c>
      <c r="B35" s="3" t="n">
        <v>2.5</v>
      </c>
    </row>
    <row r="36" customFormat="false" ht="15" hidden="false" customHeight="false" outlineLevel="0" collapsed="false">
      <c r="A36" s="0" t="s">
        <v>102</v>
      </c>
      <c r="B36" s="3" t="n">
        <v>15</v>
      </c>
    </row>
    <row r="37" customFormat="false" ht="15" hidden="false" customHeight="false" outlineLevel="0" collapsed="false">
      <c r="A37" s="0" t="s">
        <v>103</v>
      </c>
      <c r="B37" s="3" t="n">
        <v>-4</v>
      </c>
    </row>
    <row r="38" customFormat="false" ht="15" hidden="false" customHeight="false" outlineLevel="0" collapsed="false">
      <c r="A38" s="0" t="s">
        <v>104</v>
      </c>
      <c r="B38" s="3" t="n">
        <v>0.5</v>
      </c>
    </row>
    <row r="40" customFormat="false" ht="15" hidden="false" customHeight="false" outlineLevel="0" collapsed="false">
      <c r="A40" s="2" t="s">
        <v>106</v>
      </c>
      <c r="C40" s="2" t="s">
        <v>83</v>
      </c>
      <c r="D40" s="2" t="s">
        <v>84</v>
      </c>
      <c r="E40" s="2" t="s">
        <v>85</v>
      </c>
      <c r="F40" s="2" t="s">
        <v>86</v>
      </c>
      <c r="G40" s="2" t="s">
        <v>87</v>
      </c>
      <c r="H40" s="2" t="s">
        <v>88</v>
      </c>
      <c r="I40" s="2" t="s">
        <v>89</v>
      </c>
      <c r="J40" s="2" t="s">
        <v>90</v>
      </c>
      <c r="K40" s="2" t="s">
        <v>91</v>
      </c>
      <c r="L40" s="2" t="s">
        <v>92</v>
      </c>
    </row>
    <row r="41" customFormat="false" ht="15" hidden="false" customHeight="false" outlineLevel="0" collapsed="false">
      <c r="A41" s="0" t="s">
        <v>93</v>
      </c>
      <c r="C41" s="3" t="n">
        <v>11</v>
      </c>
      <c r="D41" s="3" t="n">
        <v>14</v>
      </c>
      <c r="E41" s="3" t="n">
        <v>14</v>
      </c>
      <c r="F41" s="3" t="n">
        <v>13</v>
      </c>
      <c r="G41" s="3" t="n">
        <v>11</v>
      </c>
      <c r="H41" s="3" t="n">
        <v>9</v>
      </c>
      <c r="I41" s="3" t="n">
        <v>7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94</v>
      </c>
      <c r="C42" s="3" t="n">
        <v>11</v>
      </c>
      <c r="D42" s="3" t="n">
        <v>12.5</v>
      </c>
      <c r="E42" s="3" t="n">
        <v>14</v>
      </c>
      <c r="F42" s="3" t="n">
        <v>15.5</v>
      </c>
      <c r="G42" s="3" t="n">
        <v>17</v>
      </c>
      <c r="H42" s="3" t="n">
        <v>18</v>
      </c>
      <c r="I42" s="3" t="n">
        <v>19</v>
      </c>
      <c r="J42" s="3" t="n">
        <v>19.5</v>
      </c>
      <c r="K42" s="3" t="n">
        <v>20</v>
      </c>
      <c r="L42" s="3" t="n">
        <v>20</v>
      </c>
    </row>
    <row r="43" customFormat="false" ht="15" hidden="false" customHeight="false" outlineLevel="0" collapsed="false">
      <c r="A43" s="0" t="s">
        <v>95</v>
      </c>
      <c r="C43" s="3" t="n">
        <v>1.4</v>
      </c>
      <c r="D43" s="3" t="n">
        <v>1.4</v>
      </c>
      <c r="E43" s="3" t="n">
        <v>1.35</v>
      </c>
      <c r="F43" s="3" t="n">
        <v>1.3</v>
      </c>
      <c r="G43" s="3" t="n">
        <v>1.3</v>
      </c>
      <c r="H43" s="3" t="n">
        <v>1.25</v>
      </c>
      <c r="I43" s="3" t="n">
        <v>1.25</v>
      </c>
      <c r="J43" s="3" t="n">
        <v>1.2</v>
      </c>
      <c r="K43" s="3" t="n">
        <v>1.2</v>
      </c>
      <c r="L43" s="3" t="n">
        <v>1.2</v>
      </c>
    </row>
    <row r="44" customFormat="false" ht="15" hidden="false" customHeight="false" outlineLevel="0" collapsed="false">
      <c r="A44" s="0" t="s">
        <v>96</v>
      </c>
      <c r="C44" s="3" t="n">
        <v>1.1</v>
      </c>
      <c r="D44" s="3" t="n">
        <v>1.1</v>
      </c>
      <c r="E44" s="3" t="n">
        <v>1.1</v>
      </c>
      <c r="F44" s="3" t="n">
        <v>1.1</v>
      </c>
      <c r="G44" s="3" t="n">
        <v>1.1</v>
      </c>
      <c r="H44" s="3" t="n">
        <v>1.1</v>
      </c>
      <c r="I44" s="3" t="n">
        <v>1.1</v>
      </c>
      <c r="J44" s="3" t="n">
        <v>1.1</v>
      </c>
      <c r="K44" s="3" t="n">
        <v>1.1</v>
      </c>
      <c r="L44" s="3" t="n">
        <v>1.1</v>
      </c>
    </row>
    <row r="45" customFormat="false" ht="15" hidden="false" customHeight="false" outlineLevel="0" collapsed="false">
      <c r="A45" s="0" t="s">
        <v>97</v>
      </c>
      <c r="C45" s="3" t="n">
        <v>1.5</v>
      </c>
      <c r="D45" s="3" t="n">
        <v>1.5</v>
      </c>
      <c r="E45" s="3" t="n">
        <v>1.5</v>
      </c>
      <c r="F45" s="3" t="n">
        <v>1.5</v>
      </c>
      <c r="G45" s="3" t="n">
        <v>1.5</v>
      </c>
      <c r="H45" s="3" t="n">
        <v>1.5</v>
      </c>
      <c r="I45" s="3" t="n">
        <v>1.5</v>
      </c>
      <c r="J45" s="3" t="n">
        <v>1.5</v>
      </c>
      <c r="K45" s="3" t="n">
        <v>1.5</v>
      </c>
      <c r="L45" s="3" t="n">
        <v>1.5</v>
      </c>
    </row>
    <row r="46" customFormat="false" ht="15" hidden="false" customHeight="false" outlineLevel="0" collapsed="false">
      <c r="A46" s="0" t="s">
        <v>98</v>
      </c>
      <c r="C46" s="3" t="n">
        <v>2</v>
      </c>
      <c r="D46" s="3" t="n">
        <v>2</v>
      </c>
      <c r="E46" s="3" t="n">
        <v>2</v>
      </c>
      <c r="F46" s="3" t="n">
        <v>2</v>
      </c>
      <c r="G46" s="3" t="n">
        <v>2</v>
      </c>
      <c r="H46" s="3" t="n">
        <v>2</v>
      </c>
      <c r="I46" s="3" t="n">
        <v>2</v>
      </c>
      <c r="J46" s="3" t="n">
        <v>2</v>
      </c>
      <c r="K46" s="3" t="n">
        <v>2</v>
      </c>
      <c r="L46" s="3" t="n">
        <v>2</v>
      </c>
    </row>
    <row r="47" customFormat="false" ht="15" hidden="false" customHeight="false" outlineLevel="0" collapsed="false">
      <c r="A47" s="0" t="s">
        <v>99</v>
      </c>
      <c r="C47" s="3" t="n">
        <v>0</v>
      </c>
      <c r="D47" s="3" t="n">
        <v>2</v>
      </c>
      <c r="E47" s="3" t="n">
        <v>5</v>
      </c>
      <c r="F47" s="3" t="n">
        <v>8</v>
      </c>
      <c r="G47" s="3" t="n">
        <v>12</v>
      </c>
      <c r="H47" s="3" t="n">
        <v>15</v>
      </c>
      <c r="I47" s="3" t="n">
        <v>15</v>
      </c>
      <c r="J47" s="3" t="n">
        <v>15</v>
      </c>
      <c r="K47" s="3" t="n">
        <v>15</v>
      </c>
      <c r="L47" s="3" t="n">
        <v>15</v>
      </c>
    </row>
    <row r="48" customFormat="false" ht="15" hidden="false" customHeight="false" outlineLevel="0" collapsed="false">
      <c r="A48" s="0" t="s">
        <v>100</v>
      </c>
      <c r="B48" s="3" t="n">
        <v>10</v>
      </c>
    </row>
    <row r="49" customFormat="false" ht="15" hidden="false" customHeight="false" outlineLevel="0" collapsed="false">
      <c r="A49" s="0" t="s">
        <v>101</v>
      </c>
      <c r="B49" s="3" t="n">
        <v>3</v>
      </c>
    </row>
    <row r="50" customFormat="false" ht="15" hidden="false" customHeight="false" outlineLevel="0" collapsed="false">
      <c r="A50" s="0" t="s">
        <v>102</v>
      </c>
      <c r="B50" s="3" t="n">
        <v>15</v>
      </c>
    </row>
    <row r="51" customFormat="false" ht="15" hidden="false" customHeight="false" outlineLevel="0" collapsed="false">
      <c r="A51" s="0" t="s">
        <v>103</v>
      </c>
      <c r="B51" s="3" t="n">
        <v>-4</v>
      </c>
    </row>
    <row r="52" customFormat="false" ht="15" hidden="false" customHeight="false" outlineLevel="0" collapsed="false">
      <c r="A52" s="0" t="s">
        <v>104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107</v>
      </c>
    </row>
    <row r="3" customFormat="false" ht="15" hidden="false" customHeight="false" outlineLevel="0" collapsed="false">
      <c r="A3" s="0" t="s">
        <v>108</v>
      </c>
      <c r="B3" s="0" t="s">
        <v>69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  <c r="J3" s="2" t="s">
        <v>90</v>
      </c>
      <c r="K3" s="2" t="s">
        <v>91</v>
      </c>
      <c r="L3" s="2" t="s">
        <v>92</v>
      </c>
    </row>
    <row r="4" customFormat="false" ht="15" hidden="false" customHeight="false" outlineLevel="0" collapsed="false">
      <c r="A4" s="0" t="s">
        <v>109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93</v>
      </c>
      <c r="C5" s="4" t="n">
        <f aca="false">Assumptions!C13</f>
        <v>3</v>
      </c>
      <c r="D5" s="4" t="n">
        <f aca="false">Assumptions!D13</f>
        <v>0</v>
      </c>
      <c r="E5" s="4" t="n">
        <f aca="false">Assumptions!E13</f>
        <v>0</v>
      </c>
      <c r="F5" s="4" t="n">
        <f aca="false">Assumptions!F13</f>
        <v>1</v>
      </c>
      <c r="G5" s="4" t="n">
        <f aca="false">Assumptions!G13</f>
        <v>1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2226.756</v>
      </c>
      <c r="C6" s="0" t="n">
        <f aca="false">B6*(1+C5/100)</f>
        <v>2293.55868</v>
      </c>
      <c r="D6" s="0" t="n">
        <f aca="false">C6*(1+D5/100)</f>
        <v>2293.55868</v>
      </c>
      <c r="E6" s="0" t="n">
        <f aca="false">D6*(1+E5/100)</f>
        <v>2293.55868</v>
      </c>
      <c r="F6" s="0" t="n">
        <f aca="false">E6*(1+F5/100)</f>
        <v>2316.4942668</v>
      </c>
      <c r="G6" s="0" t="n">
        <f aca="false">F6*(1+G5/100)</f>
        <v>2339.659209468</v>
      </c>
      <c r="H6" s="0" t="n">
        <f aca="false">G6*(1+H5/100)</f>
        <v>2374.75409761002</v>
      </c>
      <c r="I6" s="0" t="n">
        <f aca="false">H6*(1+I5/100)</f>
        <v>2410.37540907417</v>
      </c>
      <c r="J6" s="0" t="n">
        <f aca="false">I6*(1+J5/100)</f>
        <v>2458.58291725565</v>
      </c>
      <c r="K6" s="0" t="n">
        <f aca="false">J6*(1+K5/100)</f>
        <v>2507.75457560077</v>
      </c>
      <c r="L6" s="0" t="n">
        <f aca="false">K6*(1+L5/100)</f>
        <v>2557.90966711278</v>
      </c>
    </row>
    <row r="7" customFormat="false" ht="15" hidden="false" customHeight="false" outlineLevel="0" collapsed="false">
      <c r="A7" s="0" t="s">
        <v>94</v>
      </c>
      <c r="C7" s="4" t="n">
        <f aca="false">Assumptions!C14</f>
        <v>9.5</v>
      </c>
      <c r="D7" s="4" t="n">
        <f aca="false">Assumptions!D14</f>
        <v>9</v>
      </c>
      <c r="E7" s="4" t="n">
        <f aca="false">Assumptions!E14</f>
        <v>9</v>
      </c>
      <c r="F7" s="4" t="n">
        <f aca="false">Assumptions!F14</f>
        <v>9</v>
      </c>
      <c r="G7" s="4" t="n">
        <f aca="false">Assumptions!G14</f>
        <v>9</v>
      </c>
      <c r="H7" s="4" t="n">
        <f aca="false">Assumptions!H14</f>
        <v>9</v>
      </c>
      <c r="I7" s="4" t="n">
        <f aca="false">Assumptions!I14</f>
        <v>9</v>
      </c>
      <c r="J7" s="4" t="n">
        <f aca="false">Assumptions!J14</f>
        <v>9</v>
      </c>
      <c r="K7" s="4" t="n">
        <f aca="false">Assumptions!K14</f>
        <v>9</v>
      </c>
      <c r="L7" s="4" t="n">
        <f aca="false">Assumptions!L14</f>
        <v>9</v>
      </c>
    </row>
    <row r="8" customFormat="false" ht="15" hidden="false" customHeight="false" outlineLevel="0" collapsed="false">
      <c r="A8" s="0" t="s">
        <v>44</v>
      </c>
      <c r="C8" s="0" t="n">
        <f aca="false">C6*C7/100</f>
        <v>217.8880746</v>
      </c>
      <c r="D8" s="0" t="n">
        <f aca="false">D6*D7/100</f>
        <v>206.4202812</v>
      </c>
      <c r="E8" s="0" t="n">
        <f aca="false">E6*E7/100</f>
        <v>206.4202812</v>
      </c>
      <c r="F8" s="0" t="n">
        <f aca="false">F6*F7/100</f>
        <v>208.484484012</v>
      </c>
      <c r="G8" s="0" t="n">
        <f aca="false">G6*G7/100</f>
        <v>210.56932885212</v>
      </c>
      <c r="H8" s="0" t="n">
        <f aca="false">H6*H7/100</f>
        <v>213.727868784902</v>
      </c>
      <c r="I8" s="0" t="n">
        <f aca="false">I6*I7/100</f>
        <v>216.933786816675</v>
      </c>
      <c r="J8" s="0" t="n">
        <f aca="false">J6*J7/100</f>
        <v>221.272462553009</v>
      </c>
      <c r="K8" s="0" t="n">
        <f aca="false">K6*K7/100</f>
        <v>225.697911804069</v>
      </c>
      <c r="L8" s="0" t="n">
        <f aca="false">L6*L7/100</f>
        <v>230.21187004015</v>
      </c>
    </row>
    <row r="9" customFormat="false" ht="15" hidden="false" customHeight="false" outlineLevel="0" collapsed="false">
      <c r="A9" s="0" t="s">
        <v>95</v>
      </c>
      <c r="C9" s="4" t="n">
        <f aca="false">Assumptions!C15</f>
        <v>1.4</v>
      </c>
      <c r="D9" s="4" t="n">
        <f aca="false">Assumptions!D15</f>
        <v>1.4</v>
      </c>
      <c r="E9" s="4" t="n">
        <f aca="false">Assumptions!E15</f>
        <v>1.4</v>
      </c>
      <c r="F9" s="4" t="n">
        <f aca="false">Assumptions!F15</f>
        <v>1.4</v>
      </c>
      <c r="G9" s="4" t="n">
        <f aca="false">Assumptions!G15</f>
        <v>1.4</v>
      </c>
      <c r="H9" s="4" t="n">
        <f aca="false">Assumptions!H15</f>
        <v>1.4</v>
      </c>
      <c r="I9" s="4" t="n">
        <f aca="false">Assumptions!I15</f>
        <v>1.4</v>
      </c>
      <c r="J9" s="4" t="n">
        <f aca="false">Assumptions!J15</f>
        <v>1.4</v>
      </c>
      <c r="K9" s="4" t="n">
        <f aca="false">Assumptions!K15</f>
        <v>1.4</v>
      </c>
      <c r="L9" s="4" t="n">
        <f aca="false">Assumptions!L15</f>
        <v>1.4</v>
      </c>
    </row>
    <row r="10" customFormat="false" ht="15" hidden="false" customHeight="false" outlineLevel="0" collapsed="false">
      <c r="A10" s="0" t="s">
        <v>110</v>
      </c>
      <c r="C10" s="0" t="n">
        <f aca="false">-C6*C9/100</f>
        <v>-32.10982152</v>
      </c>
      <c r="D10" s="0" t="n">
        <f aca="false">-D6*D9/100</f>
        <v>-32.10982152</v>
      </c>
      <c r="E10" s="0" t="n">
        <f aca="false">-E6*E9/100</f>
        <v>-32.10982152</v>
      </c>
      <c r="F10" s="0" t="n">
        <f aca="false">-F6*F9/100</f>
        <v>-32.4309197352</v>
      </c>
      <c r="G10" s="0" t="n">
        <f aca="false">-G6*G9/100</f>
        <v>-32.755228932552</v>
      </c>
      <c r="H10" s="0" t="n">
        <f aca="false">-H6*H9/100</f>
        <v>-33.2465573665403</v>
      </c>
      <c r="I10" s="0" t="n">
        <f aca="false">-I6*I9/100</f>
        <v>-33.7452557270384</v>
      </c>
      <c r="J10" s="0" t="n">
        <f aca="false">-J6*J9/100</f>
        <v>-34.4201608415792</v>
      </c>
      <c r="K10" s="0" t="n">
        <f aca="false">-K6*K9/100</f>
        <v>-35.1085640584107</v>
      </c>
      <c r="L10" s="0" t="n">
        <f aca="false">-L6*L9/100</f>
        <v>-35.810735339579</v>
      </c>
    </row>
    <row r="11" customFormat="false" ht="15" hidden="false" customHeight="false" outlineLevel="0" collapsed="false">
      <c r="A11" s="0" t="s">
        <v>111</v>
      </c>
      <c r="C11" s="0" t="n">
        <f aca="false">C8+C10+C24</f>
        <v>160.5491076</v>
      </c>
      <c r="D11" s="0" t="n">
        <f aca="false">D8+D10+D24</f>
        <v>149.0813142</v>
      </c>
      <c r="E11" s="0" t="n">
        <f aca="false">E8+E10+E24</f>
        <v>149.0813142</v>
      </c>
      <c r="F11" s="0" t="n">
        <f aca="false">F8+F10+F24</f>
        <v>150.572127342</v>
      </c>
      <c r="G11" s="0" t="n">
        <f aca="false">G8+G10+G24</f>
        <v>152.07784861542</v>
      </c>
      <c r="H11" s="0" t="n">
        <f aca="false">H8+H10+H24</f>
        <v>154.359016344651</v>
      </c>
      <c r="I11" s="0" t="n">
        <f aca="false">I8+I10+I24</f>
        <v>156.674401589821</v>
      </c>
      <c r="J11" s="0" t="n">
        <f aca="false">J8+J10+J24</f>
        <v>159.807889621617</v>
      </c>
      <c r="K11" s="0" t="n">
        <f aca="false">K8+K10+K24</f>
        <v>163.00404741405</v>
      </c>
      <c r="L11" s="0" t="n">
        <f aca="false">L8+L10+L24</f>
        <v>166.264128362331</v>
      </c>
    </row>
    <row r="12" customFormat="false" ht="15" hidden="false" customHeight="false" outlineLevel="0" collapsed="false">
      <c r="A12" s="0" t="s">
        <v>112</v>
      </c>
      <c r="C12" s="4" t="n">
        <f aca="false">-C6*Assumptions!C17/100</f>
        <v>-34.4033802</v>
      </c>
      <c r="D12" s="4" t="n">
        <f aca="false">-D6*Assumptions!D17/100</f>
        <v>-34.4033802</v>
      </c>
      <c r="E12" s="4" t="n">
        <f aca="false">-E6*Assumptions!E17/100</f>
        <v>-34.4033802</v>
      </c>
      <c r="F12" s="4" t="n">
        <f aca="false">-F6*Assumptions!F17/100</f>
        <v>-34.747414002</v>
      </c>
      <c r="G12" s="4" t="n">
        <f aca="false">-G6*Assumptions!G17/100</f>
        <v>-35.09488814202</v>
      </c>
      <c r="H12" s="4" t="n">
        <f aca="false">-H6*Assumptions!H17/100</f>
        <v>-35.6213114641503</v>
      </c>
      <c r="I12" s="4" t="n">
        <f aca="false">-I6*Assumptions!I17/100</f>
        <v>-36.1556311361126</v>
      </c>
      <c r="J12" s="4" t="n">
        <f aca="false">-J6*Assumptions!J17/100</f>
        <v>-36.8787437588348</v>
      </c>
      <c r="K12" s="4" t="n">
        <f aca="false">-K6*Assumptions!K17/100</f>
        <v>-37.6163186340115</v>
      </c>
      <c r="L12" s="4" t="n">
        <f aca="false">-L6*Assumptions!L17/100</f>
        <v>-38.3686450066917</v>
      </c>
    </row>
    <row r="13" customFormat="false" ht="15" hidden="false" customHeight="false" outlineLevel="0" collapsed="false">
      <c r="A13" s="0" t="s">
        <v>113</v>
      </c>
      <c r="C13" s="0" t="n">
        <f aca="false">C11+C12</f>
        <v>126.1457274</v>
      </c>
      <c r="D13" s="0" t="n">
        <f aca="false">D11+D12</f>
        <v>114.677934</v>
      </c>
      <c r="E13" s="0" t="n">
        <f aca="false">E11+E12</f>
        <v>114.677934</v>
      </c>
      <c r="F13" s="0" t="n">
        <f aca="false">F11+F12</f>
        <v>115.82471334</v>
      </c>
      <c r="G13" s="0" t="n">
        <f aca="false">G11+G12</f>
        <v>116.9829604734</v>
      </c>
      <c r="H13" s="0" t="n">
        <f aca="false">H11+H12</f>
        <v>118.737704880501</v>
      </c>
      <c r="I13" s="0" t="n">
        <f aca="false">I11+I12</f>
        <v>120.518770453709</v>
      </c>
      <c r="J13" s="0" t="n">
        <f aca="false">J11+J12</f>
        <v>122.929145862783</v>
      </c>
      <c r="K13" s="0" t="n">
        <f aca="false">K11+K12</f>
        <v>125.387728780038</v>
      </c>
      <c r="L13" s="0" t="n">
        <f aca="false">L11+L12</f>
        <v>127.895483355639</v>
      </c>
    </row>
    <row r="14" customFormat="false" ht="15" hidden="false" customHeight="false" outlineLevel="0" collapsed="false">
      <c r="A14" s="0" t="s">
        <v>99</v>
      </c>
      <c r="C14" s="4" t="n">
        <f aca="false">Assumptions!C19</f>
        <v>0</v>
      </c>
      <c r="D14" s="4" t="n">
        <f aca="false">Assumptions!D19</f>
        <v>2</v>
      </c>
      <c r="E14" s="4" t="n">
        <f aca="false">Assumptions!E19</f>
        <v>5</v>
      </c>
      <c r="F14" s="4" t="n">
        <f aca="false">Assumptions!F19</f>
        <v>10</v>
      </c>
      <c r="G14" s="4" t="n">
        <f aca="false">Assumptions!G19</f>
        <v>15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114</v>
      </c>
      <c r="C15" s="0" t="n">
        <f aca="false">C13-MAX(0,C13)*C14/100</f>
        <v>126.1457274</v>
      </c>
      <c r="D15" s="0" t="n">
        <f aca="false">D13-MAX(0,D13)*D14/100</f>
        <v>112.38437532</v>
      </c>
      <c r="E15" s="0" t="n">
        <f aca="false">E13-MAX(0,E13)*E14/100</f>
        <v>108.9440373</v>
      </c>
      <c r="F15" s="0" t="n">
        <f aca="false">F13-MAX(0,F13)*F14/100</f>
        <v>104.242242006</v>
      </c>
      <c r="G15" s="0" t="n">
        <f aca="false">G13-MAX(0,G13)*G14/100</f>
        <v>99.4355164023901</v>
      </c>
      <c r="H15" s="0" t="n">
        <f aca="false">H13-MAX(0,H13)*H14/100</f>
        <v>94.9901639044008</v>
      </c>
      <c r="I15" s="0" t="n">
        <f aca="false">I13-MAX(0,I13)*I14/100</f>
        <v>96.4150163629668</v>
      </c>
      <c r="J15" s="0" t="n">
        <f aca="false">J13-MAX(0,J13)*J14/100</f>
        <v>98.3433166902261</v>
      </c>
      <c r="K15" s="0" t="n">
        <f aca="false">K13-MAX(0,K13)*K14/100</f>
        <v>100.310183024031</v>
      </c>
      <c r="L15" s="0" t="n">
        <f aca="false">L13-MAX(0,L13)*L14/100</f>
        <v>102.316386684511</v>
      </c>
    </row>
    <row r="16" customFormat="false" ht="15" hidden="false" customHeight="false" outlineLevel="0" collapsed="false">
      <c r="A16" s="0" t="s">
        <v>115</v>
      </c>
      <c r="C16" s="0" t="n">
        <f aca="false">-C12</f>
        <v>34.4033802</v>
      </c>
      <c r="D16" s="0" t="n">
        <f aca="false">-D12</f>
        <v>34.4033802</v>
      </c>
      <c r="E16" s="0" t="n">
        <f aca="false">-E12</f>
        <v>34.4033802</v>
      </c>
      <c r="F16" s="0" t="n">
        <f aca="false">-F12</f>
        <v>34.747414002</v>
      </c>
      <c r="G16" s="0" t="n">
        <f aca="false">-G12</f>
        <v>35.09488814202</v>
      </c>
      <c r="H16" s="0" t="n">
        <f aca="false">-H12</f>
        <v>35.6213114641503</v>
      </c>
      <c r="I16" s="0" t="n">
        <f aca="false">-I12</f>
        <v>36.1556311361126</v>
      </c>
      <c r="J16" s="0" t="n">
        <f aca="false">-J12</f>
        <v>36.8787437588348</v>
      </c>
      <c r="K16" s="0" t="n">
        <f aca="false">-K12</f>
        <v>37.6163186340115</v>
      </c>
      <c r="L16" s="0" t="n">
        <f aca="false">-L12</f>
        <v>38.3686450066917</v>
      </c>
    </row>
    <row r="17" customFormat="false" ht="15" hidden="false" customHeight="false" outlineLevel="0" collapsed="false">
      <c r="A17" s="0" t="s">
        <v>116</v>
      </c>
      <c r="C17" s="4" t="n">
        <f aca="false">-C6*Assumptions!C18/100</f>
        <v>-45.8711736</v>
      </c>
      <c r="D17" s="4" t="n">
        <f aca="false">-D6*Assumptions!D18/100</f>
        <v>-45.8711736</v>
      </c>
      <c r="E17" s="4" t="n">
        <f aca="false">-E6*Assumptions!E18/100</f>
        <v>-45.8711736</v>
      </c>
      <c r="F17" s="4" t="n">
        <f aca="false">-F6*Assumptions!F18/100</f>
        <v>-46.329885336</v>
      </c>
      <c r="G17" s="4" t="n">
        <f aca="false">-G6*Assumptions!G18/100</f>
        <v>-46.79318418936</v>
      </c>
      <c r="H17" s="4" t="n">
        <f aca="false">-H6*Assumptions!H18/100</f>
        <v>-47.4950819522004</v>
      </c>
      <c r="I17" s="4" t="n">
        <f aca="false">-I6*Assumptions!I18/100</f>
        <v>-48.2075081814834</v>
      </c>
      <c r="J17" s="4" t="n">
        <f aca="false">-J6*Assumptions!J18/100</f>
        <v>-49.1716583451131</v>
      </c>
      <c r="K17" s="4" t="n">
        <f aca="false">-K6*Assumptions!K18/100</f>
        <v>-50.1550915120153</v>
      </c>
      <c r="L17" s="4" t="n">
        <f aca="false">-L6*Assumptions!L18/100</f>
        <v>-51.1581933422556</v>
      </c>
    </row>
    <row r="18" customFormat="false" ht="15" hidden="false" customHeight="false" outlineLevel="0" collapsed="false">
      <c r="A18" s="0" t="s">
        <v>117</v>
      </c>
      <c r="C18" s="4" t="n">
        <f aca="false">(C6-B6)*Assumptions!$B$23/100</f>
        <v>-2.67210720000001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-0.91742347200001</v>
      </c>
      <c r="G18" s="4" t="n">
        <f aca="false">(G6-F6)*Assumptions!$B$23/100</f>
        <v>-0.926597706720004</v>
      </c>
      <c r="H18" s="4" t="n">
        <f aca="false">(H6-G6)*Assumptions!$B$23/100</f>
        <v>-1.4037955256808</v>
      </c>
      <c r="I18" s="4" t="n">
        <f aca="false">(I6-H6)*Assumptions!$B$23/100</f>
        <v>-1.424852458566</v>
      </c>
      <c r="J18" s="4" t="n">
        <f aca="false">(J6-I6)*Assumptions!$B$23/100</f>
        <v>-1.92830032725933</v>
      </c>
      <c r="K18" s="4" t="n">
        <f aca="false">(K6-J6)*Assumptions!$B$23/100</f>
        <v>-1.96686633380452</v>
      </c>
      <c r="L18" s="4" t="n">
        <f aca="false">(L6-K6)*Assumptions!$B$23/100</f>
        <v>-2.00620366048062</v>
      </c>
    </row>
    <row r="19" customFormat="false" ht="15" hidden="false" customHeight="false" outlineLevel="0" collapsed="false">
      <c r="A19" s="0" t="s">
        <v>118</v>
      </c>
      <c r="C19" s="0" t="n">
        <f aca="false">C15+C16+C17+C18</f>
        <v>112.0058268</v>
      </c>
      <c r="D19" s="0" t="n">
        <f aca="false">D15+D16+D17+D18</f>
        <v>100.91658192</v>
      </c>
      <c r="E19" s="0" t="n">
        <f aca="false">E15+E16+E17+E18</f>
        <v>97.4762439</v>
      </c>
      <c r="F19" s="0" t="n">
        <f aca="false">F15+F16+F17+F18</f>
        <v>91.7423472</v>
      </c>
      <c r="G19" s="0" t="n">
        <f aca="false">G15+G16+G17+G18</f>
        <v>86.8106226483301</v>
      </c>
      <c r="H19" s="0" t="n">
        <f aca="false">H15+H16+H17+H18</f>
        <v>81.7125978906699</v>
      </c>
      <c r="I19" s="0" t="n">
        <f aca="false">I15+I16+I17+I18</f>
        <v>82.93828685903</v>
      </c>
      <c r="J19" s="0" t="n">
        <f aca="false">J15+J16+J17+J18</f>
        <v>84.1221017766885</v>
      </c>
      <c r="K19" s="0" t="n">
        <f aca="false">K15+K16+K17+K18</f>
        <v>85.8045438122223</v>
      </c>
      <c r="L19" s="0" t="n">
        <f aca="false">L15+L16+L17+L18</f>
        <v>87.5206346884668</v>
      </c>
    </row>
    <row r="20" customFormat="false" ht="15" hidden="false" customHeight="false" outlineLevel="0" collapsed="false">
      <c r="A20" s="0" t="s">
        <v>119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120</v>
      </c>
      <c r="C21" s="0" t="n">
        <f aca="false">C19*C20</f>
        <v>101.823478909091</v>
      </c>
      <c r="D21" s="0" t="n">
        <f aca="false">D19*D20</f>
        <v>83.4021338181818</v>
      </c>
      <c r="E21" s="0" t="n">
        <f aca="false">E19*E20</f>
        <v>73.2353447783622</v>
      </c>
      <c r="F21" s="0" t="n">
        <f aca="false">F19*F20</f>
        <v>62.661257564374</v>
      </c>
      <c r="G21" s="0" t="n">
        <f aca="false">G19*G20</f>
        <v>53.9025666703901</v>
      </c>
      <c r="H21" s="0" t="n">
        <f aca="false">H19*H20</f>
        <v>46.1246312662504</v>
      </c>
      <c r="I21" s="0" t="n">
        <f aca="false">I19*I20</f>
        <v>42.5604552138583</v>
      </c>
      <c r="J21" s="0" t="n">
        <f aca="false">J19*J20</f>
        <v>39.2435813175795</v>
      </c>
      <c r="K21" s="0" t="n">
        <f aca="false">K19*K20</f>
        <v>36.389502676301</v>
      </c>
      <c r="L21" s="0" t="n">
        <f aca="false">L19*L20</f>
        <v>33.7429933907518</v>
      </c>
    </row>
    <row r="23" customFormat="false" ht="15" hidden="false" customHeight="false" outlineLevel="0" collapsed="false">
      <c r="A23" s="0" t="s">
        <v>96</v>
      </c>
      <c r="C23" s="4" t="n">
        <f aca="false">Assumptions!C16</f>
        <v>1.1</v>
      </c>
      <c r="D23" s="4" t="n">
        <f aca="false">Assumptions!D16</f>
        <v>1.1</v>
      </c>
      <c r="E23" s="4" t="n">
        <f aca="false">Assumptions!E16</f>
        <v>1.1</v>
      </c>
      <c r="F23" s="4" t="n">
        <f aca="false">Assumptions!F16</f>
        <v>1.1</v>
      </c>
      <c r="G23" s="4" t="n">
        <f aca="false">Assumptions!G16</f>
        <v>1.1</v>
      </c>
      <c r="H23" s="4" t="n">
        <f aca="false">Assumptions!H16</f>
        <v>1.1</v>
      </c>
      <c r="I23" s="4" t="n">
        <f aca="false">Assumptions!I16</f>
        <v>1.1</v>
      </c>
      <c r="J23" s="4" t="n">
        <f aca="false">Assumptions!J16</f>
        <v>1.1</v>
      </c>
      <c r="K23" s="4" t="n">
        <f aca="false">Assumptions!K16</f>
        <v>1.1</v>
      </c>
      <c r="L23" s="4" t="n">
        <f aca="false">Assumptions!L16</f>
        <v>1.1</v>
      </c>
    </row>
    <row r="24" customFormat="false" ht="15" hidden="false" customHeight="false" outlineLevel="0" collapsed="false">
      <c r="A24" s="0" t="s">
        <v>121</v>
      </c>
      <c r="C24" s="0" t="n">
        <f aca="false">-C6*C23/100</f>
        <v>-25.22914548</v>
      </c>
      <c r="D24" s="0" t="n">
        <f aca="false">-D6*D23/100</f>
        <v>-25.22914548</v>
      </c>
      <c r="E24" s="0" t="n">
        <f aca="false">-E6*E23/100</f>
        <v>-25.22914548</v>
      </c>
      <c r="F24" s="0" t="n">
        <f aca="false">-F6*F23/100</f>
        <v>-25.4814369348</v>
      </c>
      <c r="G24" s="0" t="n">
        <f aca="false">-G6*G23/100</f>
        <v>-25.736251304148</v>
      </c>
      <c r="H24" s="0" t="n">
        <f aca="false">-H6*H23/100</f>
        <v>-26.1222950737102</v>
      </c>
      <c r="I24" s="0" t="n">
        <f aca="false">-I6*I23/100</f>
        <v>-26.5141294998159</v>
      </c>
      <c r="J24" s="0" t="n">
        <f aca="false">-J6*J23/100</f>
        <v>-27.0444120898122</v>
      </c>
      <c r="K24" s="0" t="n">
        <f aca="false">-K6*K23/100</f>
        <v>-27.5853003316084</v>
      </c>
      <c r="L24" s="0" t="n">
        <f aca="false">-L6*L23/100</f>
        <v>-28.1370063382406</v>
      </c>
    </row>
    <row r="26" customFormat="false" ht="15" hidden="false" customHeight="false" outlineLevel="0" collapsed="false">
      <c r="A26" s="2" t="s">
        <v>122</v>
      </c>
    </row>
    <row r="27" customFormat="false" ht="15" hidden="false" customHeight="false" outlineLevel="0" collapsed="false">
      <c r="A27" s="0" t="s">
        <v>100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101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102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123</v>
      </c>
      <c r="B30" s="0" t="n">
        <f aca="false">SUM(C21:L21)</f>
        <v>573.08594560514</v>
      </c>
    </row>
    <row r="31" customFormat="false" ht="15" hidden="false" customHeight="false" outlineLevel="0" collapsed="false">
      <c r="A31" s="0" t="s">
        <v>124</v>
      </c>
      <c r="B31" s="0" t="n">
        <f aca="false">L19</f>
        <v>87.5206346884668</v>
      </c>
    </row>
    <row r="32" customFormat="false" ht="15" hidden="false" customHeight="false" outlineLevel="0" collapsed="false">
      <c r="A32" s="0" t="s">
        <v>125</v>
      </c>
      <c r="B32" s="0" t="n">
        <f aca="false">IF(B27&gt;B28,B31*(1+B28/100)/((B27-B28)/100),B31*B29)</f>
        <v>1045.09934363287</v>
      </c>
    </row>
    <row r="33" customFormat="false" ht="15" hidden="false" customHeight="false" outlineLevel="0" collapsed="false">
      <c r="A33" s="0" t="s">
        <v>126</v>
      </c>
      <c r="B33" s="0" t="n">
        <f aca="false">B31*B29</f>
        <v>1312.809520327</v>
      </c>
    </row>
    <row r="34" customFormat="false" ht="15" hidden="false" customHeight="false" outlineLevel="0" collapsed="false">
      <c r="A34" s="0" t="s">
        <v>127</v>
      </c>
      <c r="B34" s="0" t="n">
        <f aca="false">MAX(0,MIN(B32,B33))</f>
        <v>1045.09934363287</v>
      </c>
    </row>
    <row r="35" customFormat="false" ht="15" hidden="false" customHeight="false" outlineLevel="0" collapsed="false">
      <c r="A35" s="0" t="s">
        <v>128</v>
      </c>
      <c r="B35" s="0" t="n">
        <f aca="false">B34/(1+B27/100)^L4</f>
        <v>402.93103872486</v>
      </c>
    </row>
    <row r="36" customFormat="false" ht="15" hidden="false" customHeight="false" outlineLevel="0" collapsed="false">
      <c r="A36" s="0" t="s">
        <v>129</v>
      </c>
      <c r="B36" s="0" t="n">
        <f aca="false">B30+B35</f>
        <v>976.01698433</v>
      </c>
    </row>
    <row r="37" customFormat="false" ht="15" hidden="false" customHeight="false" outlineLevel="0" collapsed="false">
      <c r="A37" s="0" t="s">
        <v>130</v>
      </c>
      <c r="B37" s="0" t="n">
        <f aca="false">B36+Assumptions!$B$5-Assumptions!$B$4</f>
        <v>1233.14498433</v>
      </c>
    </row>
    <row r="38" customFormat="false" ht="15" hidden="false" customHeight="false" outlineLevel="0" collapsed="false">
      <c r="A38" s="0" t="s">
        <v>131</v>
      </c>
      <c r="B38" s="0" t="n">
        <f aca="false">B37/Assumptions!$B$3*Assumptions!$B$10</f>
        <v>1.6534798643122</v>
      </c>
    </row>
    <row r="39" customFormat="false" ht="15" hidden="false" customHeight="false" outlineLevel="0" collapsed="false">
      <c r="A39" s="0" t="s">
        <v>132</v>
      </c>
      <c r="B39" s="4" t="n">
        <f aca="false">B38/Assumptions!$B$2-1</f>
        <v>-0.806497382760422</v>
      </c>
    </row>
    <row r="41" customFormat="false" ht="15" hidden="false" customHeight="false" outlineLevel="0" collapsed="false">
      <c r="A41" s="0" t="s">
        <v>133</v>
      </c>
      <c r="B41" s="0" t="n">
        <f aca="false">SUMPRODUCT(-C10:L10/(1+$B$27/100)^C4:L4)</f>
        <v>203.178321199586</v>
      </c>
    </row>
    <row r="42" customFormat="false" ht="15" hidden="false" customHeight="false" outlineLevel="0" collapsed="false">
      <c r="A42" s="0" t="s">
        <v>134</v>
      </c>
      <c r="B42" s="0" t="n">
        <f aca="false">IF(B27&gt;B28,-L10*(1+B28/100)/((B27-B28)/100),-L10*20)/(1+B27/100)^L4</f>
        <v>164.866912120086</v>
      </c>
    </row>
    <row r="43" customFormat="false" ht="15" hidden="false" customHeight="false" outlineLevel="0" collapsed="false">
      <c r="A43" s="0" t="s">
        <v>135</v>
      </c>
      <c r="B43" s="0" t="n">
        <f aca="false">(B37+B41+B42)/Assumptions!$B$3*Assumptions!$B$10</f>
        <v>2.14697851222732</v>
      </c>
    </row>
    <row r="45" customFormat="false" ht="15" hidden="false" customHeight="false" outlineLevel="0" collapsed="false">
      <c r="A45" s="0" t="s">
        <v>76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136</v>
      </c>
      <c r="B46" s="0" t="n">
        <f aca="false">MAX(0,MIN(IF(B45&gt;B28,B31*(1+B28/100)/((B45-B28)/100),B31*B29),B31*B29))</f>
        <v>658.025512657732</v>
      </c>
    </row>
    <row r="47" customFormat="false" ht="15" hidden="false" customHeight="false" outlineLevel="0" collapsed="false">
      <c r="A47" s="0" t="s">
        <v>137</v>
      </c>
      <c r="B47" s="0" t="n">
        <f aca="false">(SUMPRODUCT(C19:L19/(1+B45/100)^C4:L4)+B46/(1+B45/100)^L4+Assumptions!$B$5-Assumptions!$B$4)/Assumptions!$B$3*Assumptions!$B$10</f>
        <v>1.19769025102697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138</v>
      </c>
    </row>
    <row r="3" customFormat="false" ht="15" hidden="false" customHeight="false" outlineLevel="0" collapsed="false">
      <c r="A3" s="0" t="s">
        <v>108</v>
      </c>
      <c r="B3" s="0" t="s">
        <v>69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  <c r="J3" s="2" t="s">
        <v>90</v>
      </c>
      <c r="K3" s="2" t="s">
        <v>91</v>
      </c>
      <c r="L3" s="2" t="s">
        <v>92</v>
      </c>
    </row>
    <row r="4" customFormat="false" ht="15" hidden="false" customHeight="false" outlineLevel="0" collapsed="false">
      <c r="A4" s="0" t="s">
        <v>109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93</v>
      </c>
      <c r="C5" s="4" t="n">
        <f aca="false">Assumptions!C27</f>
        <v>8</v>
      </c>
      <c r="D5" s="4" t="n">
        <f aca="false">Assumptions!D27</f>
        <v>9</v>
      </c>
      <c r="E5" s="4" t="n">
        <f aca="false">Assumptions!E27</f>
        <v>9</v>
      </c>
      <c r="F5" s="4" t="n">
        <f aca="false">Assumptions!F27</f>
        <v>8</v>
      </c>
      <c r="G5" s="4" t="n">
        <f aca="false">Assumptions!G27</f>
        <v>7</v>
      </c>
      <c r="H5" s="4" t="n">
        <f aca="false">Assumptions!H27</f>
        <v>6</v>
      </c>
      <c r="I5" s="4" t="n">
        <f aca="false">Assumptions!I27</f>
        <v>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2226.756</v>
      </c>
      <c r="C6" s="0" t="n">
        <f aca="false">B6*(1+C5/100)</f>
        <v>2404.89648</v>
      </c>
      <c r="D6" s="0" t="n">
        <f aca="false">C6*(1+D5/100)</f>
        <v>2621.3371632</v>
      </c>
      <c r="E6" s="0" t="n">
        <f aca="false">D6*(1+E5/100)</f>
        <v>2857.257507888</v>
      </c>
      <c r="F6" s="0" t="n">
        <f aca="false">E6*(1+F5/100)</f>
        <v>3085.83810851904</v>
      </c>
      <c r="G6" s="0" t="n">
        <f aca="false">F6*(1+G5/100)</f>
        <v>3301.84677611537</v>
      </c>
      <c r="H6" s="0" t="n">
        <f aca="false">G6*(1+H5/100)</f>
        <v>3499.9575826823</v>
      </c>
      <c r="I6" s="0" t="n">
        <f aca="false">H6*(1+I5/100)</f>
        <v>3674.95546181641</v>
      </c>
      <c r="J6" s="0" t="n">
        <f aca="false">I6*(1+J5/100)</f>
        <v>3821.95368028907</v>
      </c>
      <c r="K6" s="0" t="n">
        <f aca="false">J6*(1+K5/100)</f>
        <v>3955.72205909918</v>
      </c>
      <c r="L6" s="0" t="n">
        <f aca="false">K6*(1+L5/100)</f>
        <v>4074.39372087216</v>
      </c>
    </row>
    <row r="7" customFormat="false" ht="15" hidden="false" customHeight="false" outlineLevel="0" collapsed="false">
      <c r="A7" s="0" t="s">
        <v>94</v>
      </c>
      <c r="C7" s="4" t="n">
        <f aca="false">Assumptions!C28</f>
        <v>10.5</v>
      </c>
      <c r="D7" s="4" t="n">
        <f aca="false">Assumptions!D28</f>
        <v>11.2</v>
      </c>
      <c r="E7" s="4" t="n">
        <f aca="false">Assumptions!E28</f>
        <v>12</v>
      </c>
      <c r="F7" s="4" t="n">
        <f aca="false">Assumptions!F28</f>
        <v>12.8</v>
      </c>
      <c r="G7" s="4" t="n">
        <f aca="false">Assumptions!G28</f>
        <v>13.5</v>
      </c>
      <c r="H7" s="4" t="n">
        <f aca="false">Assumptions!H28</f>
        <v>14</v>
      </c>
      <c r="I7" s="4" t="n">
        <f aca="false">Assumptions!I28</f>
        <v>14.5</v>
      </c>
      <c r="J7" s="4" t="n">
        <f aca="false">Assumptions!J28</f>
        <v>14.8</v>
      </c>
      <c r="K7" s="4" t="n">
        <f aca="false">Assumptions!K28</f>
        <v>15</v>
      </c>
      <c r="L7" s="4" t="n">
        <f aca="false">Assumptions!L28</f>
        <v>15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252.5141304</v>
      </c>
      <c r="D8" s="0" t="n">
        <f aca="false">D6*D7/100</f>
        <v>293.5897622784</v>
      </c>
      <c r="E8" s="0" t="n">
        <f aca="false">E6*E7/100</f>
        <v>342.87090094656</v>
      </c>
      <c r="F8" s="0" t="n">
        <f aca="false">F6*F7/100</f>
        <v>394.987277890437</v>
      </c>
      <c r="G8" s="0" t="n">
        <f aca="false">G6*G7/100</f>
        <v>445.749314775575</v>
      </c>
      <c r="H8" s="0" t="n">
        <f aca="false">H6*H7/100</f>
        <v>489.994061575521</v>
      </c>
      <c r="I8" s="0" t="n">
        <f aca="false">I6*I7/100</f>
        <v>532.86854196338</v>
      </c>
      <c r="J8" s="0" t="n">
        <f aca="false">J6*J7/100</f>
        <v>565.649144682782</v>
      </c>
      <c r="K8" s="0" t="n">
        <f aca="false">K6*K7/100</f>
        <v>593.358308864878</v>
      </c>
      <c r="L8" s="0" t="n">
        <f aca="false">L6*L7/100</f>
        <v>611.159058130824</v>
      </c>
    </row>
    <row r="9" customFormat="false" ht="15" hidden="false" customHeight="false" outlineLevel="0" collapsed="false">
      <c r="A9" s="0" t="s">
        <v>95</v>
      </c>
      <c r="C9" s="4" t="n">
        <f aca="false">Assumptions!C29</f>
        <v>1.4</v>
      </c>
      <c r="D9" s="4" t="n">
        <f aca="false">Assumptions!D29</f>
        <v>1.4</v>
      </c>
      <c r="E9" s="4" t="n">
        <f aca="false">Assumptions!E29</f>
        <v>1.35</v>
      </c>
      <c r="F9" s="4" t="n">
        <f aca="false">Assumptions!F29</f>
        <v>1.3</v>
      </c>
      <c r="G9" s="4" t="n">
        <f aca="false">Assumptions!G29</f>
        <v>1.3</v>
      </c>
      <c r="H9" s="4" t="n">
        <f aca="false">Assumptions!H29</f>
        <v>1.25</v>
      </c>
      <c r="I9" s="4" t="n">
        <f aca="false">Assumptions!I29</f>
        <v>1.25</v>
      </c>
      <c r="J9" s="4" t="n">
        <f aca="false">Assumptions!J29</f>
        <v>1.2</v>
      </c>
      <c r="K9" s="4" t="n">
        <f aca="false">Assumptions!K29</f>
        <v>1.2</v>
      </c>
      <c r="L9" s="4" t="n">
        <f aca="false">Assumptions!L29</f>
        <v>1.2</v>
      </c>
    </row>
    <row r="10" customFormat="false" ht="15" hidden="false" customHeight="false" outlineLevel="0" collapsed="false">
      <c r="A10" s="0" t="s">
        <v>110</v>
      </c>
      <c r="C10" s="0" t="n">
        <f aca="false">-C6*C9/100</f>
        <v>-33.66855072</v>
      </c>
      <c r="D10" s="0" t="n">
        <f aca="false">-D6*D9/100</f>
        <v>-36.6987202848</v>
      </c>
      <c r="E10" s="0" t="n">
        <f aca="false">-E6*E9/100</f>
        <v>-38.572976356488</v>
      </c>
      <c r="F10" s="0" t="n">
        <f aca="false">-F6*F9/100</f>
        <v>-40.1158954107475</v>
      </c>
      <c r="G10" s="0" t="n">
        <f aca="false">-G6*G9/100</f>
        <v>-42.9240080894999</v>
      </c>
      <c r="H10" s="0" t="n">
        <f aca="false">-H6*H9/100</f>
        <v>-43.7494697835287</v>
      </c>
      <c r="I10" s="0" t="n">
        <f aca="false">-I6*I9/100</f>
        <v>-45.9369432727051</v>
      </c>
      <c r="J10" s="0" t="n">
        <f aca="false">-J6*J9/100</f>
        <v>-45.8634441634688</v>
      </c>
      <c r="K10" s="0" t="n">
        <f aca="false">-K6*K9/100</f>
        <v>-47.4686647091902</v>
      </c>
      <c r="L10" s="0" t="n">
        <f aca="false">-L6*L9/100</f>
        <v>-48.8927246504659</v>
      </c>
    </row>
    <row r="11" customFormat="false" ht="15" hidden="false" customHeight="false" outlineLevel="0" collapsed="false">
      <c r="A11" s="0" t="s">
        <v>111</v>
      </c>
      <c r="C11" s="0" t="n">
        <f aca="false">C8+C10+C24</f>
        <v>192.3917184</v>
      </c>
      <c r="D11" s="0" t="n">
        <f aca="false">D8+D10+D24</f>
        <v>228.0563331984</v>
      </c>
      <c r="E11" s="0" t="n">
        <f aca="false">E8+E10+E24</f>
        <v>272.868092003304</v>
      </c>
      <c r="F11" s="0" t="n">
        <f aca="false">F8+F10+F24</f>
        <v>320.92716328598</v>
      </c>
      <c r="G11" s="0" t="n">
        <f aca="false">G8+G10+G24</f>
        <v>366.504992148806</v>
      </c>
      <c r="H11" s="0" t="n">
        <f aca="false">H8+H10+H24</f>
        <v>407.745058382488</v>
      </c>
      <c r="I11" s="0" t="n">
        <f aca="false">I8+I10+I24</f>
        <v>446.507088610694</v>
      </c>
      <c r="J11" s="0" t="n">
        <f aca="false">J8+J10+J24</f>
        <v>477.744210036133</v>
      </c>
      <c r="K11" s="0" t="n">
        <f aca="false">K8+K10+K24</f>
        <v>502.376701505597</v>
      </c>
      <c r="L11" s="0" t="n">
        <f aca="false">L8+L10+L24</f>
        <v>517.448002550764</v>
      </c>
    </row>
    <row r="12" customFormat="false" ht="15" hidden="false" customHeight="false" outlineLevel="0" collapsed="false">
      <c r="A12" s="0" t="s">
        <v>112</v>
      </c>
      <c r="C12" s="4" t="n">
        <f aca="false">-C6*Assumptions!C31/100</f>
        <v>-36.0734472</v>
      </c>
      <c r="D12" s="4" t="n">
        <f aca="false">-D6*Assumptions!D31/100</f>
        <v>-39.320057448</v>
      </c>
      <c r="E12" s="4" t="n">
        <f aca="false">-E6*Assumptions!E31/100</f>
        <v>-42.85886261832</v>
      </c>
      <c r="F12" s="4" t="n">
        <f aca="false">-F6*Assumptions!F31/100</f>
        <v>-46.2875716277856</v>
      </c>
      <c r="G12" s="4" t="n">
        <f aca="false">-G6*Assumptions!G31/100</f>
        <v>-49.5277016417306</v>
      </c>
      <c r="H12" s="4" t="n">
        <f aca="false">-H6*Assumptions!H31/100</f>
        <v>-52.4993637402344</v>
      </c>
      <c r="I12" s="4" t="n">
        <f aca="false">-I6*Assumptions!I31/100</f>
        <v>-55.1243319272462</v>
      </c>
      <c r="J12" s="4" t="n">
        <f aca="false">-J6*Assumptions!J31/100</f>
        <v>-57.329305204336</v>
      </c>
      <c r="K12" s="4" t="n">
        <f aca="false">-K6*Assumptions!K31/100</f>
        <v>-59.3358308864878</v>
      </c>
      <c r="L12" s="4" t="n">
        <f aca="false">-L6*Assumptions!L31/100</f>
        <v>-61.1159058130824</v>
      </c>
    </row>
    <row r="13" customFormat="false" ht="15" hidden="false" customHeight="false" outlineLevel="0" collapsed="false">
      <c r="A13" s="0" t="s">
        <v>113</v>
      </c>
      <c r="C13" s="0" t="n">
        <f aca="false">C11+C12</f>
        <v>156.3182712</v>
      </c>
      <c r="D13" s="0" t="n">
        <f aca="false">D11+D12</f>
        <v>188.7362757504</v>
      </c>
      <c r="E13" s="0" t="n">
        <f aca="false">E11+E12</f>
        <v>230.009229384984</v>
      </c>
      <c r="F13" s="0" t="n">
        <f aca="false">F11+F12</f>
        <v>274.639591658195</v>
      </c>
      <c r="G13" s="0" t="n">
        <f aca="false">G11+G12</f>
        <v>316.977290507076</v>
      </c>
      <c r="H13" s="0" t="n">
        <f aca="false">H11+H12</f>
        <v>355.245694642253</v>
      </c>
      <c r="I13" s="0" t="n">
        <f aca="false">I11+I12</f>
        <v>391.382756683448</v>
      </c>
      <c r="J13" s="0" t="n">
        <f aca="false">J11+J12</f>
        <v>420.414904831797</v>
      </c>
      <c r="K13" s="0" t="n">
        <f aca="false">K11+K12</f>
        <v>443.040870619109</v>
      </c>
      <c r="L13" s="0" t="n">
        <f aca="false">L11+L12</f>
        <v>456.332096737682</v>
      </c>
    </row>
    <row r="14" customFormat="false" ht="15" hidden="false" customHeight="false" outlineLevel="0" collapsed="false">
      <c r="A14" s="0" t="s">
        <v>99</v>
      </c>
      <c r="C14" s="4" t="n">
        <f aca="false">Assumptions!C33</f>
        <v>0</v>
      </c>
      <c r="D14" s="4" t="n">
        <f aca="false">Assumptions!D33</f>
        <v>2</v>
      </c>
      <c r="E14" s="4" t="n">
        <f aca="false">Assumptions!E33</f>
        <v>5</v>
      </c>
      <c r="F14" s="4" t="n">
        <f aca="false">Assumptions!F33</f>
        <v>8</v>
      </c>
      <c r="G14" s="4" t="n">
        <f aca="false">Assumptions!G33</f>
        <v>12</v>
      </c>
      <c r="H14" s="4" t="n">
        <f aca="false">Assumptions!H33</f>
        <v>17</v>
      </c>
      <c r="I14" s="4" t="n">
        <f aca="false">Assumptions!I33</f>
        <v>17</v>
      </c>
      <c r="J14" s="4" t="n">
        <f aca="false">Assumptions!J33</f>
        <v>17</v>
      </c>
      <c r="K14" s="4" t="n">
        <f aca="false">Assumptions!K33</f>
        <v>17</v>
      </c>
      <c r="L14" s="4" t="n">
        <f aca="false">Assumptions!L33</f>
        <v>17</v>
      </c>
    </row>
    <row r="15" customFormat="false" ht="15" hidden="false" customHeight="false" outlineLevel="0" collapsed="false">
      <c r="A15" s="0" t="s">
        <v>114</v>
      </c>
      <c r="C15" s="0" t="n">
        <f aca="false">C13-MAX(0,C13)*C14/100</f>
        <v>156.3182712</v>
      </c>
      <c r="D15" s="0" t="n">
        <f aca="false">D13-MAX(0,D13)*D14/100</f>
        <v>184.961550235392</v>
      </c>
      <c r="E15" s="0" t="n">
        <f aca="false">E13-MAX(0,E13)*E14/100</f>
        <v>218.508767915735</v>
      </c>
      <c r="F15" s="0" t="n">
        <f aca="false">F13-MAX(0,F13)*F14/100</f>
        <v>252.668424325539</v>
      </c>
      <c r="G15" s="0" t="n">
        <f aca="false">G13-MAX(0,G13)*G14/100</f>
        <v>278.940015646227</v>
      </c>
      <c r="H15" s="0" t="n">
        <f aca="false">H13-MAX(0,H13)*H14/100</f>
        <v>294.85392655307</v>
      </c>
      <c r="I15" s="0" t="n">
        <f aca="false">I13-MAX(0,I13)*I14/100</f>
        <v>324.847688047262</v>
      </c>
      <c r="J15" s="0" t="n">
        <f aca="false">J13-MAX(0,J13)*J14/100</f>
        <v>348.944371010392</v>
      </c>
      <c r="K15" s="0" t="n">
        <f aca="false">K13-MAX(0,K13)*K14/100</f>
        <v>367.72392261386</v>
      </c>
      <c r="L15" s="0" t="n">
        <f aca="false">L13-MAX(0,L13)*L14/100</f>
        <v>378.755640292276</v>
      </c>
    </row>
    <row r="16" customFormat="false" ht="15" hidden="false" customHeight="false" outlineLevel="0" collapsed="false">
      <c r="A16" s="0" t="s">
        <v>115</v>
      </c>
      <c r="C16" s="0" t="n">
        <f aca="false">-C12</f>
        <v>36.0734472</v>
      </c>
      <c r="D16" s="0" t="n">
        <f aca="false">-D12</f>
        <v>39.320057448</v>
      </c>
      <c r="E16" s="0" t="n">
        <f aca="false">-E12</f>
        <v>42.85886261832</v>
      </c>
      <c r="F16" s="0" t="n">
        <f aca="false">-F12</f>
        <v>46.2875716277856</v>
      </c>
      <c r="G16" s="0" t="n">
        <f aca="false">-G12</f>
        <v>49.5277016417306</v>
      </c>
      <c r="H16" s="0" t="n">
        <f aca="false">-H12</f>
        <v>52.4993637402344</v>
      </c>
      <c r="I16" s="0" t="n">
        <f aca="false">-I12</f>
        <v>55.1243319272462</v>
      </c>
      <c r="J16" s="0" t="n">
        <f aca="false">-J12</f>
        <v>57.329305204336</v>
      </c>
      <c r="K16" s="0" t="n">
        <f aca="false">-K12</f>
        <v>59.3358308864878</v>
      </c>
      <c r="L16" s="0" t="n">
        <f aca="false">-L12</f>
        <v>61.1159058130824</v>
      </c>
    </row>
    <row r="17" customFormat="false" ht="15" hidden="false" customHeight="false" outlineLevel="0" collapsed="false">
      <c r="A17" s="0" t="s">
        <v>116</v>
      </c>
      <c r="C17" s="4" t="n">
        <f aca="false">-C6*Assumptions!C32/100</f>
        <v>-48.0979296</v>
      </c>
      <c r="D17" s="4" t="n">
        <f aca="false">-D6*Assumptions!D32/100</f>
        <v>-52.426743264</v>
      </c>
      <c r="E17" s="4" t="n">
        <f aca="false">-E6*Assumptions!E32/100</f>
        <v>-57.14515015776</v>
      </c>
      <c r="F17" s="4" t="n">
        <f aca="false">-F6*Assumptions!F32/100</f>
        <v>-61.7167621703808</v>
      </c>
      <c r="G17" s="4" t="n">
        <f aca="false">-G6*Assumptions!G32/100</f>
        <v>-66.0369355223075</v>
      </c>
      <c r="H17" s="4" t="n">
        <f aca="false">-H6*Assumptions!H32/100</f>
        <v>-69.9991516536459</v>
      </c>
      <c r="I17" s="4" t="n">
        <f aca="false">-I6*Assumptions!I32/100</f>
        <v>-73.4991092363282</v>
      </c>
      <c r="J17" s="4" t="n">
        <f aca="false">-J6*Assumptions!J32/100</f>
        <v>-76.4390736057814</v>
      </c>
      <c r="K17" s="4" t="n">
        <f aca="false">-K6*Assumptions!K32/100</f>
        <v>-79.1144411819837</v>
      </c>
      <c r="L17" s="4" t="n">
        <f aca="false">-L6*Assumptions!L32/100</f>
        <v>-81.4878744174432</v>
      </c>
    </row>
    <row r="18" customFormat="false" ht="15" hidden="false" customHeight="false" outlineLevel="0" collapsed="false">
      <c r="A18" s="0" t="s">
        <v>117</v>
      </c>
      <c r="C18" s="4" t="n">
        <f aca="false">(C6-B6)*Assumptions!$B$37/100</f>
        <v>-7.1256192</v>
      </c>
      <c r="D18" s="4" t="n">
        <f aca="false">(D6-C6)*Assumptions!$B$37/100</f>
        <v>-8.657627328</v>
      </c>
      <c r="E18" s="4" t="n">
        <f aca="false">(E6-D6)*Assumptions!$B$37/100</f>
        <v>-9.43681378752</v>
      </c>
      <c r="F18" s="4" t="n">
        <f aca="false">(F6-E6)*Assumptions!$B$37/100</f>
        <v>-9.14322402524162</v>
      </c>
      <c r="G18" s="4" t="n">
        <f aca="false">(G6-F6)*Assumptions!$B$37/100</f>
        <v>-8.64034670385332</v>
      </c>
      <c r="H18" s="4" t="n">
        <f aca="false">(H6-G6)*Assumptions!$B$37/100</f>
        <v>-7.92443226267691</v>
      </c>
      <c r="I18" s="4" t="n">
        <f aca="false">(I6-H6)*Assumptions!$B$37/100</f>
        <v>-6.9999151653646</v>
      </c>
      <c r="J18" s="4" t="n">
        <f aca="false">(J6-I6)*Assumptions!$B$37/100</f>
        <v>-5.87992873890626</v>
      </c>
      <c r="K18" s="4" t="n">
        <f aca="false">(K6-J6)*Assumptions!$B$37/100</f>
        <v>-5.35073515240469</v>
      </c>
      <c r="L18" s="4" t="n">
        <f aca="false">(L6-K6)*Assumptions!$B$37/100</f>
        <v>-4.74686647091903</v>
      </c>
    </row>
    <row r="19" customFormat="false" ht="15" hidden="false" customHeight="false" outlineLevel="0" collapsed="false">
      <c r="A19" s="0" t="s">
        <v>118</v>
      </c>
      <c r="C19" s="0" t="n">
        <f aca="false">C15+C16+C17+C18</f>
        <v>137.1681696</v>
      </c>
      <c r="D19" s="0" t="n">
        <f aca="false">D15+D16+D17+D18</f>
        <v>163.197237091392</v>
      </c>
      <c r="E19" s="0" t="n">
        <f aca="false">E15+E16+E17+E18</f>
        <v>194.785666588775</v>
      </c>
      <c r="F19" s="0" t="n">
        <f aca="false">F15+F16+F17+F18</f>
        <v>228.096009757702</v>
      </c>
      <c r="G19" s="0" t="n">
        <f aca="false">G15+G16+G17+G18</f>
        <v>253.790435061797</v>
      </c>
      <c r="H19" s="0" t="n">
        <f aca="false">H15+H16+H17+H18</f>
        <v>269.429706376982</v>
      </c>
      <c r="I19" s="0" t="n">
        <f aca="false">I15+I16+I17+I18</f>
        <v>299.472995572815</v>
      </c>
      <c r="J19" s="0" t="n">
        <f aca="false">J15+J16+J17+J18</f>
        <v>323.95467387004</v>
      </c>
      <c r="K19" s="0" t="n">
        <f aca="false">K15+K16+K17+K18</f>
        <v>342.59457716596</v>
      </c>
      <c r="L19" s="0" t="n">
        <f aca="false">L15+L16+L17+L18</f>
        <v>353.636805216996</v>
      </c>
    </row>
    <row r="20" customFormat="false" ht="15" hidden="false" customHeight="false" outlineLevel="0" collapsed="false">
      <c r="A20" s="0" t="s">
        <v>119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120</v>
      </c>
      <c r="C21" s="0" t="n">
        <f aca="false">C19*C20</f>
        <v>124.698336</v>
      </c>
      <c r="D21" s="0" t="n">
        <f aca="false">D19*D20</f>
        <v>134.873749662307</v>
      </c>
      <c r="E21" s="0" t="n">
        <f aca="false">E19*E20</f>
        <v>146.345354311626</v>
      </c>
      <c r="F21" s="0" t="n">
        <f aca="false">F19*F20</f>
        <v>155.792643779593</v>
      </c>
      <c r="G21" s="0" t="n">
        <f aca="false">G19*G20</f>
        <v>157.583892718329</v>
      </c>
      <c r="H21" s="0" t="n">
        <f aca="false">H19*H20</f>
        <v>152.08604523185</v>
      </c>
      <c r="I21" s="0" t="n">
        <f aca="false">I19*I20</f>
        <v>153.676998869058</v>
      </c>
      <c r="J21" s="0" t="n">
        <f aca="false">J19*J20</f>
        <v>151.127246213811</v>
      </c>
      <c r="K21" s="0" t="n">
        <f aca="false">K19*K20</f>
        <v>145.293544243412</v>
      </c>
      <c r="L21" s="0" t="n">
        <f aca="false">L19*L20</f>
        <v>136.342297146711</v>
      </c>
    </row>
    <row r="23" customFormat="false" ht="15" hidden="false" customHeight="false" outlineLevel="0" collapsed="false">
      <c r="A23" s="0" t="s">
        <v>96</v>
      </c>
      <c r="C23" s="4" t="n">
        <f aca="false">Assumptions!C30</f>
        <v>1.1</v>
      </c>
      <c r="D23" s="4" t="n">
        <f aca="false">Assumptions!D30</f>
        <v>1.1</v>
      </c>
      <c r="E23" s="4" t="n">
        <f aca="false">Assumptions!E30</f>
        <v>1.1</v>
      </c>
      <c r="F23" s="4" t="n">
        <f aca="false">Assumptions!F30</f>
        <v>1.1</v>
      </c>
      <c r="G23" s="4" t="n">
        <f aca="false">Assumptions!G30</f>
        <v>1.1</v>
      </c>
      <c r="H23" s="4" t="n">
        <f aca="false">Assumptions!H30</f>
        <v>1.1</v>
      </c>
      <c r="I23" s="4" t="n">
        <f aca="false">Assumptions!I30</f>
        <v>1.1</v>
      </c>
      <c r="J23" s="4" t="n">
        <f aca="false">Assumptions!J30</f>
        <v>1.1</v>
      </c>
      <c r="K23" s="4" t="n">
        <f aca="false">Assumptions!K30</f>
        <v>1.1</v>
      </c>
      <c r="L23" s="4" t="n">
        <f aca="false">Assumptions!L30</f>
        <v>1.1</v>
      </c>
    </row>
    <row r="24" customFormat="false" ht="15" hidden="false" customHeight="false" outlineLevel="0" collapsed="false">
      <c r="A24" s="0" t="s">
        <v>121</v>
      </c>
      <c r="C24" s="0" t="n">
        <f aca="false">-C6*C23/100</f>
        <v>-26.45386128</v>
      </c>
      <c r="D24" s="0" t="n">
        <f aca="false">-D6*D23/100</f>
        <v>-28.8347087952</v>
      </c>
      <c r="E24" s="0" t="n">
        <f aca="false">-E6*E23/100</f>
        <v>-31.429832586768</v>
      </c>
      <c r="F24" s="0" t="n">
        <f aca="false">-F6*F23/100</f>
        <v>-33.9442191937094</v>
      </c>
      <c r="G24" s="0" t="n">
        <f aca="false">-G6*G23/100</f>
        <v>-36.3203145372691</v>
      </c>
      <c r="H24" s="0" t="n">
        <f aca="false">-H6*H23/100</f>
        <v>-38.4995334095053</v>
      </c>
      <c r="I24" s="0" t="n">
        <f aca="false">-I6*I23/100</f>
        <v>-40.4245100799805</v>
      </c>
      <c r="J24" s="0" t="n">
        <f aca="false">-J6*J23/100</f>
        <v>-42.0414904831798</v>
      </c>
      <c r="K24" s="0" t="n">
        <f aca="false">-K6*K23/100</f>
        <v>-43.512942650091</v>
      </c>
      <c r="L24" s="0" t="n">
        <f aca="false">-L6*L23/100</f>
        <v>-44.8183309295938</v>
      </c>
    </row>
    <row r="26" customFormat="false" ht="15" hidden="false" customHeight="false" outlineLevel="0" collapsed="false">
      <c r="A26" s="2" t="s">
        <v>122</v>
      </c>
    </row>
    <row r="27" customFormat="false" ht="15" hidden="false" customHeight="false" outlineLevel="0" collapsed="false">
      <c r="A27" s="0" t="s">
        <v>100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101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102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123</v>
      </c>
      <c r="B30" s="0" t="n">
        <f aca="false">SUM(C21:L21)</f>
        <v>1457.8201081767</v>
      </c>
    </row>
    <row r="31" customFormat="false" ht="15" hidden="false" customHeight="false" outlineLevel="0" collapsed="false">
      <c r="A31" s="0" t="s">
        <v>124</v>
      </c>
      <c r="B31" s="0" t="n">
        <f aca="false">L19</f>
        <v>353.636805216996</v>
      </c>
    </row>
    <row r="32" customFormat="false" ht="15" hidden="false" customHeight="false" outlineLevel="0" collapsed="false">
      <c r="A32" s="0" t="s">
        <v>125</v>
      </c>
      <c r="B32" s="0" t="n">
        <f aca="false">IF(B27&gt;B28,B31*(1+B28/100)/((B27-B28)/100),B31*B29)</f>
        <v>4833.03633796562</v>
      </c>
    </row>
    <row r="33" customFormat="false" ht="15" hidden="false" customHeight="false" outlineLevel="0" collapsed="false">
      <c r="A33" s="0" t="s">
        <v>126</v>
      </c>
      <c r="B33" s="0" t="n">
        <f aca="false">B31*B29</f>
        <v>5304.55207825494</v>
      </c>
    </row>
    <row r="34" customFormat="false" ht="15" hidden="false" customHeight="false" outlineLevel="0" collapsed="false">
      <c r="A34" s="0" t="s">
        <v>127</v>
      </c>
      <c r="B34" s="0" t="n">
        <f aca="false">MAX(0,MIN(B32,B33))</f>
        <v>4833.03633796562</v>
      </c>
    </row>
    <row r="35" customFormat="false" ht="15" hidden="false" customHeight="false" outlineLevel="0" collapsed="false">
      <c r="A35" s="0" t="s">
        <v>128</v>
      </c>
      <c r="B35" s="0" t="n">
        <f aca="false">B34/(1+B27/100)^L4</f>
        <v>1863.34472767172</v>
      </c>
    </row>
    <row r="36" customFormat="false" ht="15" hidden="false" customHeight="false" outlineLevel="0" collapsed="false">
      <c r="A36" s="0" t="s">
        <v>129</v>
      </c>
      <c r="B36" s="0" t="n">
        <f aca="false">B30+B35</f>
        <v>3321.16483584842</v>
      </c>
    </row>
    <row r="37" customFormat="false" ht="15" hidden="false" customHeight="false" outlineLevel="0" collapsed="false">
      <c r="A37" s="0" t="s">
        <v>130</v>
      </c>
      <c r="B37" s="0" t="n">
        <f aca="false">B36+Assumptions!$B$5-Assumptions!$B$4</f>
        <v>3578.29283584842</v>
      </c>
    </row>
    <row r="38" customFormat="false" ht="15" hidden="false" customHeight="false" outlineLevel="0" collapsed="false">
      <c r="A38" s="0" t="s">
        <v>131</v>
      </c>
      <c r="B38" s="0" t="n">
        <f aca="false">B37/Assumptions!$B$3*Assumptions!$B$10</f>
        <v>4.79800447463411</v>
      </c>
    </row>
    <row r="39" customFormat="false" ht="15" hidden="false" customHeight="false" outlineLevel="0" collapsed="false">
      <c r="A39" s="0" t="s">
        <v>132</v>
      </c>
      <c r="B39" s="4" t="n">
        <f aca="false">B38/Assumptions!$B$2-1</f>
        <v>-0.438501524326025</v>
      </c>
    </row>
    <row r="41" customFormat="false" ht="15" hidden="false" customHeight="false" outlineLevel="0" collapsed="false">
      <c r="A41" s="0" t="s">
        <v>133</v>
      </c>
      <c r="B41" s="0" t="n">
        <f aca="false">SUMPRODUCT(-C10:L10/(1+$B$27/100)^C4:L4)</f>
        <v>252.615465802363</v>
      </c>
    </row>
    <row r="42" customFormat="false" ht="15" hidden="false" customHeight="false" outlineLevel="0" collapsed="false">
      <c r="A42" s="0" t="s">
        <v>134</v>
      </c>
      <c r="B42" s="0" t="n">
        <f aca="false">IF(B27&gt;B28,-L10*(1+B28/100)/((B27-B28)/100),-L10*20)/(1+B27/100)^L4</f>
        <v>257.620245842477</v>
      </c>
    </row>
    <row r="43" customFormat="false" ht="15" hidden="false" customHeight="false" outlineLevel="0" collapsed="false">
      <c r="A43" s="0" t="s">
        <v>135</v>
      </c>
      <c r="B43" s="0" t="n">
        <f aca="false">(B37+B41+B42)/Assumptions!$B$3*Assumptions!$B$10</f>
        <v>5.48216123314871</v>
      </c>
    </row>
    <row r="45" customFormat="false" ht="15" hidden="false" customHeight="false" outlineLevel="0" collapsed="false">
      <c r="A45" s="0" t="s">
        <v>76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136</v>
      </c>
      <c r="B46" s="0" t="n">
        <f aca="false">MAX(0,MIN(IF(B45&gt;B28,B31*(1+B28/100)/((B45-B28)/100),B31*B29),B31*B29))</f>
        <v>2899.82180277937</v>
      </c>
    </row>
    <row r="47" customFormat="false" ht="15" hidden="false" customHeight="false" outlineLevel="0" collapsed="false">
      <c r="A47" s="0" t="s">
        <v>137</v>
      </c>
      <c r="B47" s="0" t="n">
        <f aca="false">(SUMPRODUCT(C19:L19/(1+B45/100)^C4:L4)+B46/(1+B45/100)^L4+Assumptions!$B$5-Assumptions!$B$4)/Assumptions!$B$3*Assumptions!$B$10</f>
        <v>2.84401505601634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108</v>
      </c>
      <c r="B3" s="0" t="s">
        <v>69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  <c r="J3" s="2" t="s">
        <v>90</v>
      </c>
      <c r="K3" s="2" t="s">
        <v>91</v>
      </c>
      <c r="L3" s="2" t="s">
        <v>92</v>
      </c>
    </row>
    <row r="4" customFormat="false" ht="15" hidden="false" customHeight="false" outlineLevel="0" collapsed="false">
      <c r="A4" s="0" t="s">
        <v>109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93</v>
      </c>
      <c r="C5" s="4" t="n">
        <f aca="false">Assumptions!C41</f>
        <v>11</v>
      </c>
      <c r="D5" s="4" t="n">
        <f aca="false">Assumptions!D41</f>
        <v>14</v>
      </c>
      <c r="E5" s="4" t="n">
        <f aca="false">Assumptions!E41</f>
        <v>14</v>
      </c>
      <c r="F5" s="4" t="n">
        <f aca="false">Assumptions!F41</f>
        <v>13</v>
      </c>
      <c r="G5" s="4" t="n">
        <f aca="false">Assumptions!G41</f>
        <v>11</v>
      </c>
      <c r="H5" s="4" t="n">
        <f aca="false">Assumptions!H41</f>
        <v>9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38</v>
      </c>
      <c r="B6" s="3" t="n">
        <v>2226.756</v>
      </c>
      <c r="C6" s="0" t="n">
        <f aca="false">B6*(1+C5/100)</f>
        <v>2471.69916</v>
      </c>
      <c r="D6" s="0" t="n">
        <f aca="false">C6*(1+D5/100)</f>
        <v>2817.7370424</v>
      </c>
      <c r="E6" s="0" t="n">
        <f aca="false">D6*(1+E5/100)</f>
        <v>3212.220228336</v>
      </c>
      <c r="F6" s="0" t="n">
        <f aca="false">E6*(1+F5/100)</f>
        <v>3629.80885801968</v>
      </c>
      <c r="G6" s="0" t="n">
        <f aca="false">F6*(1+G5/100)</f>
        <v>4029.08783240185</v>
      </c>
      <c r="H6" s="0" t="n">
        <f aca="false">G6*(1+H5/100)</f>
        <v>4391.70573731801</v>
      </c>
      <c r="I6" s="0" t="n">
        <f aca="false">H6*(1+I5/100)</f>
        <v>4699.12513893027</v>
      </c>
      <c r="J6" s="0" t="n">
        <f aca="false">I6*(1+J5/100)</f>
        <v>4981.07264726609</v>
      </c>
      <c r="K6" s="0" t="n">
        <f aca="false">J6*(1+K5/100)</f>
        <v>5230.1262796294</v>
      </c>
      <c r="L6" s="0" t="n">
        <f aca="false">K6*(1+L5/100)</f>
        <v>5439.33133081457</v>
      </c>
    </row>
    <row r="7" customFormat="false" ht="15" hidden="false" customHeight="false" outlineLevel="0" collapsed="false">
      <c r="A7" s="0" t="s">
        <v>94</v>
      </c>
      <c r="C7" s="4" t="n">
        <f aca="false">Assumptions!C42</f>
        <v>11</v>
      </c>
      <c r="D7" s="4" t="n">
        <f aca="false">Assumptions!D42</f>
        <v>12.5</v>
      </c>
      <c r="E7" s="4" t="n">
        <f aca="false">Assumptions!E42</f>
        <v>14</v>
      </c>
      <c r="F7" s="4" t="n">
        <f aca="false">Assumptions!F42</f>
        <v>15.5</v>
      </c>
      <c r="G7" s="4" t="n">
        <f aca="false">Assumptions!G42</f>
        <v>17</v>
      </c>
      <c r="H7" s="4" t="n">
        <f aca="false">Assumptions!H42</f>
        <v>18</v>
      </c>
      <c r="I7" s="4" t="n">
        <f aca="false">Assumptions!I42</f>
        <v>19</v>
      </c>
      <c r="J7" s="4" t="n">
        <f aca="false">Assumptions!J42</f>
        <v>19.5</v>
      </c>
      <c r="K7" s="4" t="n">
        <f aca="false">Assumptions!K42</f>
        <v>20</v>
      </c>
      <c r="L7" s="4" t="n">
        <f aca="false">Assumptions!L42</f>
        <v>20</v>
      </c>
    </row>
    <row r="8" customFormat="false" ht="15" hidden="false" customHeight="false" outlineLevel="0" collapsed="false">
      <c r="A8" s="0" t="s">
        <v>44</v>
      </c>
      <c r="C8" s="0" t="n">
        <f aca="false">C6*C7/100</f>
        <v>271.8869076</v>
      </c>
      <c r="D8" s="0" t="n">
        <f aca="false">D6*D7/100</f>
        <v>352.2171303</v>
      </c>
      <c r="E8" s="0" t="n">
        <f aca="false">E6*E7/100</f>
        <v>449.71083196704</v>
      </c>
      <c r="F8" s="0" t="n">
        <f aca="false">F6*F7/100</f>
        <v>562.620372993051</v>
      </c>
      <c r="G8" s="0" t="n">
        <f aca="false">G6*G7/100</f>
        <v>684.944931508314</v>
      </c>
      <c r="H8" s="0" t="n">
        <f aca="false">H6*H7/100</f>
        <v>790.507032717242</v>
      </c>
      <c r="I8" s="0" t="n">
        <f aca="false">I6*I7/100</f>
        <v>892.833776396752</v>
      </c>
      <c r="J8" s="0" t="n">
        <f aca="false">J6*J7/100</f>
        <v>971.309166216888</v>
      </c>
      <c r="K8" s="0" t="n">
        <f aca="false">K6*K7/100</f>
        <v>1046.02525592588</v>
      </c>
      <c r="L8" s="0" t="n">
        <f aca="false">L6*L7/100</f>
        <v>1087.86626616291</v>
      </c>
    </row>
    <row r="9" customFormat="false" ht="15" hidden="false" customHeight="false" outlineLevel="0" collapsed="false">
      <c r="A9" s="0" t="s">
        <v>95</v>
      </c>
      <c r="C9" s="4" t="n">
        <f aca="false">Assumptions!C43</f>
        <v>1.4</v>
      </c>
      <c r="D9" s="4" t="n">
        <f aca="false">Assumptions!D43</f>
        <v>1.4</v>
      </c>
      <c r="E9" s="4" t="n">
        <f aca="false">Assumptions!E43</f>
        <v>1.35</v>
      </c>
      <c r="F9" s="4" t="n">
        <f aca="false">Assumptions!F43</f>
        <v>1.3</v>
      </c>
      <c r="G9" s="4" t="n">
        <f aca="false">Assumptions!G43</f>
        <v>1.3</v>
      </c>
      <c r="H9" s="4" t="n">
        <f aca="false">Assumptions!H43</f>
        <v>1.25</v>
      </c>
      <c r="I9" s="4" t="n">
        <f aca="false">Assumptions!I43</f>
        <v>1.25</v>
      </c>
      <c r="J9" s="4" t="n">
        <f aca="false">Assumptions!J43</f>
        <v>1.2</v>
      </c>
      <c r="K9" s="4" t="n">
        <f aca="false">Assumptions!K43</f>
        <v>1.2</v>
      </c>
      <c r="L9" s="4" t="n">
        <f aca="false">Assumptions!L43</f>
        <v>1.2</v>
      </c>
    </row>
    <row r="10" customFormat="false" ht="15" hidden="false" customHeight="false" outlineLevel="0" collapsed="false">
      <c r="A10" s="0" t="s">
        <v>110</v>
      </c>
      <c r="C10" s="0" t="n">
        <f aca="false">-C6*C9/100</f>
        <v>-34.60378824</v>
      </c>
      <c r="D10" s="0" t="n">
        <f aca="false">-D6*D9/100</f>
        <v>-39.4483185936</v>
      </c>
      <c r="E10" s="0" t="n">
        <f aca="false">-E6*E9/100</f>
        <v>-43.364973082536</v>
      </c>
      <c r="F10" s="0" t="n">
        <f aca="false">-F6*F9/100</f>
        <v>-47.1875151542559</v>
      </c>
      <c r="G10" s="0" t="n">
        <f aca="false">-G6*G9/100</f>
        <v>-52.378141821224</v>
      </c>
      <c r="H10" s="0" t="n">
        <f aca="false">-H6*H9/100</f>
        <v>-54.8963217164752</v>
      </c>
      <c r="I10" s="0" t="n">
        <f aca="false">-I6*I9/100</f>
        <v>-58.7390642366284</v>
      </c>
      <c r="J10" s="0" t="n">
        <f aca="false">-J6*J9/100</f>
        <v>-59.7728717671931</v>
      </c>
      <c r="K10" s="0" t="n">
        <f aca="false">-K6*K9/100</f>
        <v>-62.7615153555527</v>
      </c>
      <c r="L10" s="0" t="n">
        <f aca="false">-L6*L9/100</f>
        <v>-65.2719759697749</v>
      </c>
    </row>
    <row r="11" customFormat="false" ht="15" hidden="false" customHeight="false" outlineLevel="0" collapsed="false">
      <c r="A11" s="0" t="s">
        <v>111</v>
      </c>
      <c r="C11" s="0" t="n">
        <f aca="false">C8+C10+C24</f>
        <v>210.0944286</v>
      </c>
      <c r="D11" s="0" t="n">
        <f aca="false">D8+D10+D24</f>
        <v>281.77370424</v>
      </c>
      <c r="E11" s="0" t="n">
        <f aca="false">E8+E10+E24</f>
        <v>371.011436372808</v>
      </c>
      <c r="F11" s="0" t="n">
        <f aca="false">F8+F10+F24</f>
        <v>475.504960400578</v>
      </c>
      <c r="G11" s="0" t="n">
        <f aca="false">G8+G10+G24</f>
        <v>588.24682353067</v>
      </c>
      <c r="H11" s="0" t="n">
        <f aca="false">H8+H10+H24</f>
        <v>687.301947890269</v>
      </c>
      <c r="I11" s="0" t="n">
        <f aca="false">I8+I10+I24</f>
        <v>782.404335631891</v>
      </c>
      <c r="J11" s="0" t="n">
        <f aca="false">J8+J10+J24</f>
        <v>856.744495329768</v>
      </c>
      <c r="K11" s="0" t="n">
        <f aca="false">K8+K10+K24</f>
        <v>925.732351494403</v>
      </c>
      <c r="L11" s="0" t="n">
        <f aca="false">L8+L10+L24</f>
        <v>962.761645554179</v>
      </c>
    </row>
    <row r="12" customFormat="false" ht="15" hidden="false" customHeight="false" outlineLevel="0" collapsed="false">
      <c r="A12" s="0" t="s">
        <v>112</v>
      </c>
      <c r="C12" s="4" t="n">
        <f aca="false">-C6*Assumptions!C45/100</f>
        <v>-37.0754874</v>
      </c>
      <c r="D12" s="4" t="n">
        <f aca="false">-D6*Assumptions!D45/100</f>
        <v>-42.266055636</v>
      </c>
      <c r="E12" s="4" t="n">
        <f aca="false">-E6*Assumptions!E45/100</f>
        <v>-48.18330342504</v>
      </c>
      <c r="F12" s="4" t="n">
        <f aca="false">-F6*Assumptions!F45/100</f>
        <v>-54.4471328702952</v>
      </c>
      <c r="G12" s="4" t="n">
        <f aca="false">-G6*Assumptions!G45/100</f>
        <v>-60.4363174860277</v>
      </c>
      <c r="H12" s="4" t="n">
        <f aca="false">-H6*Assumptions!H45/100</f>
        <v>-65.8755860597702</v>
      </c>
      <c r="I12" s="4" t="n">
        <f aca="false">-I6*Assumptions!I45/100</f>
        <v>-70.4868770839541</v>
      </c>
      <c r="J12" s="4" t="n">
        <f aca="false">-J6*Assumptions!J45/100</f>
        <v>-74.7160897089914</v>
      </c>
      <c r="K12" s="4" t="n">
        <f aca="false">-K6*Assumptions!K45/100</f>
        <v>-78.4518941944409</v>
      </c>
      <c r="L12" s="4" t="n">
        <f aca="false">-L6*Assumptions!L45/100</f>
        <v>-81.5899699622186</v>
      </c>
    </row>
    <row r="13" customFormat="false" ht="15" hidden="false" customHeight="false" outlineLevel="0" collapsed="false">
      <c r="A13" s="0" t="s">
        <v>113</v>
      </c>
      <c r="C13" s="0" t="n">
        <f aca="false">C11+C12</f>
        <v>173.0189412</v>
      </c>
      <c r="D13" s="0" t="n">
        <f aca="false">D11+D12</f>
        <v>239.507648604</v>
      </c>
      <c r="E13" s="0" t="n">
        <f aca="false">E11+E12</f>
        <v>322.828132947768</v>
      </c>
      <c r="F13" s="0" t="n">
        <f aca="false">F11+F12</f>
        <v>421.057827530283</v>
      </c>
      <c r="G13" s="0" t="n">
        <f aca="false">G11+G12</f>
        <v>527.810506044642</v>
      </c>
      <c r="H13" s="0" t="n">
        <f aca="false">H11+H12</f>
        <v>621.426361830499</v>
      </c>
      <c r="I13" s="0" t="n">
        <f aca="false">I11+I12</f>
        <v>711.917458547937</v>
      </c>
      <c r="J13" s="0" t="n">
        <f aca="false">J11+J12</f>
        <v>782.028405620776</v>
      </c>
      <c r="K13" s="0" t="n">
        <f aca="false">K11+K12</f>
        <v>847.280457299962</v>
      </c>
      <c r="L13" s="0" t="n">
        <f aca="false">L11+L12</f>
        <v>881.171675591961</v>
      </c>
    </row>
    <row r="14" customFormat="false" ht="15" hidden="false" customHeight="false" outlineLevel="0" collapsed="false">
      <c r="A14" s="0" t="s">
        <v>99</v>
      </c>
      <c r="C14" s="4" t="n">
        <f aca="false">Assumptions!C47</f>
        <v>0</v>
      </c>
      <c r="D14" s="4" t="n">
        <f aca="false">Assumptions!D47</f>
        <v>2</v>
      </c>
      <c r="E14" s="4" t="n">
        <f aca="false">Assumptions!E47</f>
        <v>5</v>
      </c>
      <c r="F14" s="4" t="n">
        <f aca="false">Assumptions!F47</f>
        <v>8</v>
      </c>
      <c r="G14" s="4" t="n">
        <f aca="false">Assumptions!G47</f>
        <v>12</v>
      </c>
      <c r="H14" s="4" t="n">
        <f aca="false">Assumptions!H47</f>
        <v>15</v>
      </c>
      <c r="I14" s="4" t="n">
        <f aca="false">Assumptions!I47</f>
        <v>15</v>
      </c>
      <c r="J14" s="4" t="n">
        <f aca="false">Assumptions!J47</f>
        <v>15</v>
      </c>
      <c r="K14" s="4" t="n">
        <f aca="false">Assumptions!K47</f>
        <v>15</v>
      </c>
      <c r="L14" s="4" t="n">
        <f aca="false">Assumptions!L47</f>
        <v>15</v>
      </c>
    </row>
    <row r="15" customFormat="false" ht="15" hidden="false" customHeight="false" outlineLevel="0" collapsed="false">
      <c r="A15" s="0" t="s">
        <v>114</v>
      </c>
      <c r="C15" s="0" t="n">
        <f aca="false">C13-MAX(0,C13)*C14/100</f>
        <v>173.0189412</v>
      </c>
      <c r="D15" s="0" t="n">
        <f aca="false">D13-MAX(0,D13)*D14/100</f>
        <v>234.71749563192</v>
      </c>
      <c r="E15" s="0" t="n">
        <f aca="false">E13-MAX(0,E13)*E14/100</f>
        <v>306.68672630038</v>
      </c>
      <c r="F15" s="0" t="n">
        <f aca="false">F13-MAX(0,F13)*F14/100</f>
        <v>387.37320132786</v>
      </c>
      <c r="G15" s="0" t="n">
        <f aca="false">G13-MAX(0,G13)*G14/100</f>
        <v>464.473245319285</v>
      </c>
      <c r="H15" s="0" t="n">
        <f aca="false">H13-MAX(0,H13)*H14/100</f>
        <v>528.212407555924</v>
      </c>
      <c r="I15" s="0" t="n">
        <f aca="false">I13-MAX(0,I13)*I14/100</f>
        <v>605.129839765746</v>
      </c>
      <c r="J15" s="0" t="n">
        <f aca="false">J13-MAX(0,J13)*J14/100</f>
        <v>664.72414477766</v>
      </c>
      <c r="K15" s="0" t="n">
        <f aca="false">K13-MAX(0,K13)*K14/100</f>
        <v>720.188388704968</v>
      </c>
      <c r="L15" s="0" t="n">
        <f aca="false">L13-MAX(0,L13)*L14/100</f>
        <v>748.995924253167</v>
      </c>
    </row>
    <row r="16" customFormat="false" ht="15" hidden="false" customHeight="false" outlineLevel="0" collapsed="false">
      <c r="A16" s="0" t="s">
        <v>115</v>
      </c>
      <c r="C16" s="0" t="n">
        <f aca="false">-C12</f>
        <v>37.0754874</v>
      </c>
      <c r="D16" s="0" t="n">
        <f aca="false">-D12</f>
        <v>42.266055636</v>
      </c>
      <c r="E16" s="0" t="n">
        <f aca="false">-E12</f>
        <v>48.18330342504</v>
      </c>
      <c r="F16" s="0" t="n">
        <f aca="false">-F12</f>
        <v>54.4471328702952</v>
      </c>
      <c r="G16" s="0" t="n">
        <f aca="false">-G12</f>
        <v>60.4363174860277</v>
      </c>
      <c r="H16" s="0" t="n">
        <f aca="false">-H12</f>
        <v>65.8755860597702</v>
      </c>
      <c r="I16" s="0" t="n">
        <f aca="false">-I12</f>
        <v>70.4868770839541</v>
      </c>
      <c r="J16" s="0" t="n">
        <f aca="false">-J12</f>
        <v>74.7160897089914</v>
      </c>
      <c r="K16" s="0" t="n">
        <f aca="false">-K12</f>
        <v>78.4518941944409</v>
      </c>
      <c r="L16" s="0" t="n">
        <f aca="false">-L12</f>
        <v>81.5899699622186</v>
      </c>
    </row>
    <row r="17" customFormat="false" ht="15" hidden="false" customHeight="false" outlineLevel="0" collapsed="false">
      <c r="A17" s="0" t="s">
        <v>116</v>
      </c>
      <c r="C17" s="4" t="n">
        <f aca="false">-C6*Assumptions!C46/100</f>
        <v>-49.4339832</v>
      </c>
      <c r="D17" s="4" t="n">
        <f aca="false">-D6*Assumptions!D46/100</f>
        <v>-56.354740848</v>
      </c>
      <c r="E17" s="4" t="n">
        <f aca="false">-E6*Assumptions!E46/100</f>
        <v>-64.24440456672</v>
      </c>
      <c r="F17" s="4" t="n">
        <f aca="false">-F6*Assumptions!F46/100</f>
        <v>-72.5961771603936</v>
      </c>
      <c r="G17" s="4" t="n">
        <f aca="false">-G6*Assumptions!G46/100</f>
        <v>-80.5817566480369</v>
      </c>
      <c r="H17" s="4" t="n">
        <f aca="false">-H6*Assumptions!H46/100</f>
        <v>-87.8341147463603</v>
      </c>
      <c r="I17" s="4" t="n">
        <f aca="false">-I6*Assumptions!I46/100</f>
        <v>-93.9825027786055</v>
      </c>
      <c r="J17" s="4" t="n">
        <f aca="false">-J6*Assumptions!J46/100</f>
        <v>-99.6214529453218</v>
      </c>
      <c r="K17" s="4" t="n">
        <f aca="false">-K6*Assumptions!K46/100</f>
        <v>-104.602525592588</v>
      </c>
      <c r="L17" s="4" t="n">
        <f aca="false">-L6*Assumptions!L46/100</f>
        <v>-108.786626616291</v>
      </c>
    </row>
    <row r="18" customFormat="false" ht="15" hidden="false" customHeight="false" outlineLevel="0" collapsed="false">
      <c r="A18" s="0" t="s">
        <v>117</v>
      </c>
      <c r="C18" s="4" t="n">
        <f aca="false">(C6-B6)*Assumptions!$B$51/100</f>
        <v>-9.79772640000001</v>
      </c>
      <c r="D18" s="4" t="n">
        <f aca="false">(D6-C6)*Assumptions!$B$51/100</f>
        <v>-13.841515296</v>
      </c>
      <c r="E18" s="4" t="n">
        <f aca="false">(E6-D6)*Assumptions!$B$51/100</f>
        <v>-15.77932743744</v>
      </c>
      <c r="F18" s="4" t="n">
        <f aca="false">(F6-E6)*Assumptions!$B$51/100</f>
        <v>-16.7035451873472</v>
      </c>
      <c r="G18" s="4" t="n">
        <f aca="false">(G6-F6)*Assumptions!$B$51/100</f>
        <v>-15.9711589752866</v>
      </c>
      <c r="H18" s="4" t="n">
        <f aca="false">(H6-G6)*Assumptions!$B$51/100</f>
        <v>-14.5047161966467</v>
      </c>
      <c r="I18" s="4" t="n">
        <f aca="false">(I6-H6)*Assumptions!$B$51/100</f>
        <v>-12.2967760644904</v>
      </c>
      <c r="J18" s="4" t="n">
        <f aca="false">(J6-I6)*Assumptions!$B$51/100</f>
        <v>-11.2779003334327</v>
      </c>
      <c r="K18" s="4" t="n">
        <f aca="false">(K6-J6)*Assumptions!$B$51/100</f>
        <v>-9.9621452945322</v>
      </c>
      <c r="L18" s="4" t="n">
        <f aca="false">(L6-K6)*Assumptions!$B$51/100</f>
        <v>-8.36820204740703</v>
      </c>
    </row>
    <row r="19" customFormat="false" ht="15" hidden="false" customHeight="false" outlineLevel="0" collapsed="false">
      <c r="A19" s="0" t="s">
        <v>118</v>
      </c>
      <c r="C19" s="0" t="n">
        <f aca="false">C15+C16+C17+C18</f>
        <v>150.862719</v>
      </c>
      <c r="D19" s="0" t="n">
        <f aca="false">D15+D16+D17+D18</f>
        <v>206.78729512392</v>
      </c>
      <c r="E19" s="0" t="n">
        <f aca="false">E15+E16+E17+E18</f>
        <v>274.84629772126</v>
      </c>
      <c r="F19" s="0" t="n">
        <f aca="false">F15+F16+F17+F18</f>
        <v>352.520611850415</v>
      </c>
      <c r="G19" s="0" t="n">
        <f aca="false">G15+G16+G17+G18</f>
        <v>428.356647181989</v>
      </c>
      <c r="H19" s="0" t="n">
        <f aca="false">H15+H16+H17+H18</f>
        <v>491.749162672687</v>
      </c>
      <c r="I19" s="0" t="n">
        <f aca="false">I15+I16+I17+I18</f>
        <v>569.337438006604</v>
      </c>
      <c r="J19" s="0" t="n">
        <f aca="false">J15+J16+J17+J18</f>
        <v>628.540881207897</v>
      </c>
      <c r="K19" s="0" t="n">
        <f aca="false">K15+K16+K17+K18</f>
        <v>684.075612012289</v>
      </c>
      <c r="L19" s="0" t="n">
        <f aca="false">L15+L16+L17+L18</f>
        <v>713.431065551687</v>
      </c>
    </row>
    <row r="20" customFormat="false" ht="15" hidden="false" customHeight="false" outlineLevel="0" collapsed="false">
      <c r="A20" s="0" t="s">
        <v>119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120</v>
      </c>
      <c r="C21" s="0" t="n">
        <f aca="false">C19*C20</f>
        <v>137.147926363636</v>
      </c>
      <c r="D21" s="0" t="n">
        <f aca="false">D19*D20</f>
        <v>170.898591011504</v>
      </c>
      <c r="E21" s="0" t="n">
        <f aca="false">E19*E20</f>
        <v>206.496091450984</v>
      </c>
      <c r="F21" s="0" t="n">
        <f aca="false">F19*F20</f>
        <v>240.776321187361</v>
      </c>
      <c r="G21" s="0" t="n">
        <f aca="false">G19*G20</f>
        <v>265.975776109424</v>
      </c>
      <c r="H21" s="0" t="n">
        <f aca="false">H19*H20</f>
        <v>277.579582454506</v>
      </c>
      <c r="I21" s="0" t="n">
        <f aca="false">I19*I20</f>
        <v>292.16012832576</v>
      </c>
      <c r="J21" s="0" t="n">
        <f aca="false">J19*J20</f>
        <v>293.218959847013</v>
      </c>
      <c r="K21" s="0" t="n">
        <f aca="false">K19*K20</f>
        <v>290.114837841111</v>
      </c>
      <c r="L21" s="0" t="n">
        <f aca="false">L19*L20</f>
        <v>275.058559794013</v>
      </c>
    </row>
    <row r="23" customFormat="false" ht="15" hidden="false" customHeight="false" outlineLevel="0" collapsed="false">
      <c r="A23" s="0" t="s">
        <v>96</v>
      </c>
      <c r="C23" s="4" t="n">
        <f aca="false">Assumptions!C44</f>
        <v>1.1</v>
      </c>
      <c r="D23" s="4" t="n">
        <f aca="false">Assumptions!D44</f>
        <v>1.1</v>
      </c>
      <c r="E23" s="4" t="n">
        <f aca="false">Assumptions!E44</f>
        <v>1.1</v>
      </c>
      <c r="F23" s="4" t="n">
        <f aca="false">Assumptions!F44</f>
        <v>1.1</v>
      </c>
      <c r="G23" s="4" t="n">
        <f aca="false">Assumptions!G44</f>
        <v>1.1</v>
      </c>
      <c r="H23" s="4" t="n">
        <f aca="false">Assumptions!H44</f>
        <v>1.1</v>
      </c>
      <c r="I23" s="4" t="n">
        <f aca="false">Assumptions!I44</f>
        <v>1.1</v>
      </c>
      <c r="J23" s="4" t="n">
        <f aca="false">Assumptions!J44</f>
        <v>1.1</v>
      </c>
      <c r="K23" s="4" t="n">
        <f aca="false">Assumptions!K44</f>
        <v>1.1</v>
      </c>
      <c r="L23" s="4" t="n">
        <f aca="false">Assumptions!L44</f>
        <v>1.1</v>
      </c>
    </row>
    <row r="24" customFormat="false" ht="15" hidden="false" customHeight="false" outlineLevel="0" collapsed="false">
      <c r="A24" s="0" t="s">
        <v>121</v>
      </c>
      <c r="C24" s="0" t="n">
        <f aca="false">-C6*C23/100</f>
        <v>-27.18869076</v>
      </c>
      <c r="D24" s="0" t="n">
        <f aca="false">-D6*D23/100</f>
        <v>-30.9951074664</v>
      </c>
      <c r="E24" s="0" t="n">
        <f aca="false">-E6*E23/100</f>
        <v>-35.334422511696</v>
      </c>
      <c r="F24" s="0" t="n">
        <f aca="false">-F6*F23/100</f>
        <v>-39.9278974382165</v>
      </c>
      <c r="G24" s="0" t="n">
        <f aca="false">-G6*G23/100</f>
        <v>-44.3199661564203</v>
      </c>
      <c r="H24" s="0" t="n">
        <f aca="false">-H6*H23/100</f>
        <v>-48.3087631104982</v>
      </c>
      <c r="I24" s="0" t="n">
        <f aca="false">-I6*I23/100</f>
        <v>-51.690376528233</v>
      </c>
      <c r="J24" s="0" t="n">
        <f aca="false">-J6*J23/100</f>
        <v>-54.791799119927</v>
      </c>
      <c r="K24" s="0" t="n">
        <f aca="false">-K6*K23/100</f>
        <v>-57.5313890759234</v>
      </c>
      <c r="L24" s="0" t="n">
        <f aca="false">-L6*L23/100</f>
        <v>-59.8326446389603</v>
      </c>
    </row>
    <row r="26" customFormat="false" ht="15" hidden="false" customHeight="false" outlineLevel="0" collapsed="false">
      <c r="A26" s="2" t="s">
        <v>122</v>
      </c>
    </row>
    <row r="27" customFormat="false" ht="15" hidden="false" customHeight="false" outlineLevel="0" collapsed="false">
      <c r="A27" s="0" t="s">
        <v>100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101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102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123</v>
      </c>
      <c r="B30" s="0" t="n">
        <f aca="false">SUM(C21:L21)</f>
        <v>2449.42677438531</v>
      </c>
    </row>
    <row r="31" customFormat="false" ht="15" hidden="false" customHeight="false" outlineLevel="0" collapsed="false">
      <c r="A31" s="0" t="s">
        <v>124</v>
      </c>
      <c r="B31" s="0" t="n">
        <f aca="false">L19</f>
        <v>713.431065551687</v>
      </c>
    </row>
    <row r="32" customFormat="false" ht="15" hidden="false" customHeight="false" outlineLevel="0" collapsed="false">
      <c r="A32" s="0" t="s">
        <v>125</v>
      </c>
      <c r="B32" s="0" t="n">
        <f aca="false">IF(B27&gt;B28,B31*(1+B28/100)/((B27-B28)/100),B31*B29)</f>
        <v>10497.6285359748</v>
      </c>
    </row>
    <row r="33" customFormat="false" ht="15" hidden="false" customHeight="false" outlineLevel="0" collapsed="false">
      <c r="A33" s="0" t="s">
        <v>126</v>
      </c>
      <c r="B33" s="0" t="n">
        <f aca="false">B31*B29</f>
        <v>10701.4659832753</v>
      </c>
    </row>
    <row r="34" customFormat="false" ht="15" hidden="false" customHeight="false" outlineLevel="0" collapsed="false">
      <c r="A34" s="0" t="s">
        <v>127</v>
      </c>
      <c r="B34" s="0" t="n">
        <f aca="false">MAX(0,MIN(B32,B33))</f>
        <v>10497.6285359748</v>
      </c>
    </row>
    <row r="35" customFormat="false" ht="15" hidden="false" customHeight="false" outlineLevel="0" collapsed="false">
      <c r="A35" s="0" t="s">
        <v>128</v>
      </c>
      <c r="B35" s="0" t="n">
        <f aca="false">B34/(1+B27/100)^L4</f>
        <v>4047.29023696905</v>
      </c>
    </row>
    <row r="36" customFormat="false" ht="15" hidden="false" customHeight="false" outlineLevel="0" collapsed="false">
      <c r="A36" s="0" t="s">
        <v>129</v>
      </c>
      <c r="B36" s="0" t="n">
        <f aca="false">B30+B35</f>
        <v>6496.71701135436</v>
      </c>
    </row>
    <row r="37" customFormat="false" ht="15" hidden="false" customHeight="false" outlineLevel="0" collapsed="false">
      <c r="A37" s="0" t="s">
        <v>130</v>
      </c>
      <c r="B37" s="0" t="n">
        <f aca="false">B36+Assumptions!$B$5-Assumptions!$B$4</f>
        <v>6753.84501135436</v>
      </c>
    </row>
    <row r="38" customFormat="false" ht="15" hidden="false" customHeight="false" outlineLevel="0" collapsed="false">
      <c r="A38" s="0" t="s">
        <v>131</v>
      </c>
      <c r="B38" s="0" t="n">
        <f aca="false">B37/Assumptions!$B$3*Assumptions!$B$10</f>
        <v>9.05598844812829</v>
      </c>
    </row>
    <row r="39" customFormat="false" ht="15" hidden="false" customHeight="false" outlineLevel="0" collapsed="false">
      <c r="A39" s="0" t="s">
        <v>132</v>
      </c>
      <c r="B39" s="4" t="n">
        <f aca="false">B38/Assumptions!$B$2-1</f>
        <v>0.05979970136083</v>
      </c>
    </row>
    <row r="41" customFormat="false" ht="15" hidden="false" customHeight="false" outlineLevel="0" collapsed="false">
      <c r="A41" s="0" t="s">
        <v>133</v>
      </c>
      <c r="B41" s="0" t="n">
        <f aca="false">SUMPRODUCT(-C10:L10/(1+$B$27/100)^C4:L4)</f>
        <v>302.189701975883</v>
      </c>
    </row>
    <row r="42" customFormat="false" ht="15" hidden="false" customHeight="false" outlineLevel="0" collapsed="false">
      <c r="A42" s="0" t="s">
        <v>134</v>
      </c>
      <c r="B42" s="0" t="n">
        <f aca="false">IF(B27&gt;B28,-L10*(1+B28/100)/((B27-B28)/100),-L10*20)/(1+B27/100)^L4</f>
        <v>370.287535609156</v>
      </c>
    </row>
    <row r="43" customFormat="false" ht="15" hidden="false" customHeight="false" outlineLevel="0" collapsed="false">
      <c r="A43" s="0" t="s">
        <v>135</v>
      </c>
      <c r="B43" s="0" t="n">
        <f aca="false">(B37+B41+B42)/Assumptions!$B$3*Assumptions!$B$10</f>
        <v>9.95768904755886</v>
      </c>
    </row>
    <row r="45" customFormat="false" ht="15" hidden="false" customHeight="false" outlineLevel="0" collapsed="false">
      <c r="A45" s="0" t="s">
        <v>76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136</v>
      </c>
      <c r="B46" s="0" t="n">
        <f aca="false">MAX(0,MIN(IF(B45&gt;B28,B31*(1+B28/100)/((B45-B28)/100),B31*B29),B31*B29))</f>
        <v>6123.61664598531</v>
      </c>
    </row>
    <row r="47" customFormat="false" ht="15" hidden="false" customHeight="false" outlineLevel="0" collapsed="false">
      <c r="A47" s="0" t="s">
        <v>137</v>
      </c>
      <c r="B47" s="0" t="n">
        <f aca="false">(SUMPRODUCT(C19:L19/(1+B45/100)^C4:L4)+B46/(1+B45/100)^L4+Assumptions!$B$5-Assumptions!$B$4)/Assumptions!$B$3*Assumptions!$B$10</f>
        <v>4.90285228879673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2" t="s">
        <v>141</v>
      </c>
      <c r="B3" s="2" t="s">
        <v>142</v>
      </c>
      <c r="C3" s="2" t="s">
        <v>132</v>
      </c>
      <c r="D3" s="2" t="s">
        <v>143</v>
      </c>
      <c r="E3" s="2" t="s">
        <v>135</v>
      </c>
      <c r="F3" s="2" t="s">
        <v>144</v>
      </c>
    </row>
    <row r="4" customFormat="false" ht="15" hidden="false" customHeight="false" outlineLevel="0" collapsed="false">
      <c r="A4" s="0" t="s">
        <v>145</v>
      </c>
      <c r="B4" s="4" t="n">
        <f aca="false">DCF_Bear!$B$38</f>
        <v>1.6534798643122</v>
      </c>
      <c r="C4" s="0" t="n">
        <f aca="false">B4/Assumptions!$B$2-1</f>
        <v>-0.806497382760422</v>
      </c>
      <c r="D4" s="4" t="n">
        <f aca="false">Assumptions!$B$24</f>
        <v>0.3</v>
      </c>
      <c r="E4" s="4" t="n">
        <f aca="false">DCF_Bear!$B$43</f>
        <v>2.14697851222732</v>
      </c>
      <c r="F4" s="4" t="n">
        <f aca="false">DCF_Bear!$B$47</f>
        <v>1.19769025102697</v>
      </c>
    </row>
    <row r="5" customFormat="false" ht="15" hidden="false" customHeight="false" outlineLevel="0" collapsed="false">
      <c r="A5" s="0" t="s">
        <v>146</v>
      </c>
      <c r="B5" s="4" t="n">
        <f aca="false">DCF_Base!$B$38</f>
        <v>4.79800447463411</v>
      </c>
      <c r="C5" s="0" t="n">
        <f aca="false">B5/Assumptions!$B$2-1</f>
        <v>-0.438501524326025</v>
      </c>
      <c r="D5" s="4" t="n">
        <f aca="false">Assumptions!$B$38</f>
        <v>0.5</v>
      </c>
      <c r="E5" s="4" t="n">
        <f aca="false">DCF_Base!$B$43</f>
        <v>5.48216123314871</v>
      </c>
      <c r="F5" s="4" t="n">
        <f aca="false">DCF_Base!$B$47</f>
        <v>2.84401505601634</v>
      </c>
    </row>
    <row r="6" customFormat="false" ht="15" hidden="false" customHeight="false" outlineLevel="0" collapsed="false">
      <c r="A6" s="0" t="s">
        <v>147</v>
      </c>
      <c r="B6" s="4" t="n">
        <f aca="false">DCF_Bull!$B$38</f>
        <v>9.05598844812829</v>
      </c>
      <c r="C6" s="0" t="n">
        <f aca="false">B6/Assumptions!$B$2-1</f>
        <v>0.05979970136083</v>
      </c>
      <c r="D6" s="4" t="n">
        <f aca="false">Assumptions!$B$52</f>
        <v>0.2</v>
      </c>
      <c r="E6" s="4" t="n">
        <f aca="false">DCF_Bull!$B$43</f>
        <v>9.95768904755886</v>
      </c>
      <c r="F6" s="4" t="n">
        <f aca="false">DCF_Bull!$B$47</f>
        <v>4.90285228879673</v>
      </c>
    </row>
    <row r="8" customFormat="false" ht="15" hidden="false" customHeight="false" outlineLevel="0" collapsed="false">
      <c r="A8" s="0" t="s">
        <v>148</v>
      </c>
      <c r="B8" s="0" t="n">
        <f aca="false">SUMPRODUCT(B4:B6,D4:D6)</f>
        <v>4.70624388623638</v>
      </c>
    </row>
    <row r="9" customFormat="false" ht="15" hidden="false" customHeight="false" outlineLevel="0" collapsed="false">
      <c r="A9" s="0" t="s">
        <v>149</v>
      </c>
      <c r="B9" s="0" t="n">
        <f aca="false">SUMPRODUCT(E4:E6,D4:D6)</f>
        <v>5.37671197975432</v>
      </c>
    </row>
    <row r="10" customFormat="false" ht="15" hidden="false" customHeight="false" outlineLevel="0" collapsed="false">
      <c r="A10" s="0" t="s">
        <v>150</v>
      </c>
      <c r="B10" s="0" t="n">
        <f aca="false">1-Assumptions!$B$2/B8</f>
        <v>-0.815673009422704</v>
      </c>
    </row>
    <row r="11" customFormat="false" ht="15" hidden="false" customHeight="false" outlineLevel="0" collapsed="false">
      <c r="A11" s="0" t="s">
        <v>151</v>
      </c>
      <c r="B11" s="0" t="n">
        <f aca="false">IF(ABS(B9-B8)&gt;0.01*ABS(B8),(Assumptions!$B$2-B8)/(B9-B8)*100,"n/a")</f>
        <v>572.548664265538</v>
      </c>
    </row>
    <row r="12" customFormat="false" ht="15" hidden="false" customHeight="false" outlineLevel="0" collapsed="false">
      <c r="A12" s="0" t="s">
        <v>152</v>
      </c>
      <c r="B12" s="0" t="n">
        <f aca="false">SUMPRODUCT(F4:F6,D4:D6)</f>
        <v>2.76188506107561</v>
      </c>
    </row>
    <row r="14" customFormat="false" ht="15" hidden="false" customHeight="false" outlineLevel="0" collapsed="false">
      <c r="A14" s="2" t="s">
        <v>153</v>
      </c>
      <c r="C14" s="0" t="s">
        <v>154</v>
      </c>
    </row>
    <row r="15" customFormat="false" ht="15" hidden="false" customHeight="false" outlineLevel="0" collapsed="false">
      <c r="A15" s="0" t="s">
        <v>155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5.40656800763558</v>
      </c>
      <c r="C15" s="3" t="n">
        <v>9</v>
      </c>
    </row>
    <row r="16" customFormat="false" ht="15" hidden="false" customHeight="false" outlineLevel="0" collapsed="false">
      <c r="A16" s="0" t="s">
        <v>156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4.79800447463411</v>
      </c>
      <c r="C16" s="3" t="n">
        <v>10</v>
      </c>
    </row>
    <row r="17" customFormat="false" ht="15" hidden="false" customHeight="false" outlineLevel="0" collapsed="false">
      <c r="A17" s="0" t="s">
        <v>157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4.21790074920862</v>
      </c>
      <c r="C17" s="3" t="n">
        <v>11</v>
      </c>
    </row>
    <row r="18" customFormat="false" ht="15" hidden="false" customHeight="false" outlineLevel="0" collapsed="false">
      <c r="A18" s="0" t="s">
        <v>158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3.76250438705568</v>
      </c>
      <c r="C18" s="3" t="n">
        <v>12</v>
      </c>
    </row>
    <row r="19" customFormat="false" ht="15" hidden="false" customHeight="false" outlineLevel="0" collapsed="false">
      <c r="A19" s="0" t="s">
        <v>159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2.84401505601634</v>
      </c>
      <c r="C19" s="3" t="n">
        <v>15</v>
      </c>
    </row>
    <row r="21" customFormat="false" ht="15" hidden="false" customHeight="false" outlineLevel="0" collapsed="false">
      <c r="A21" s="2" t="s">
        <v>160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5.80705242302457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5.80705242302457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5.80705242302457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5.80705242302457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5.80705242302457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5.11279717745937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5.32072588193474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5.40656800763558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5.40656800763558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5.40656800763558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4.48255640605578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4.63042268820187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4.79800447463411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4.98952651627096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5.04175980035374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3.98834250830551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4.0967450109542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4.21790074920862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4.35420095474485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4.50867452101924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3.5910821652116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3.67250772058754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3.76250438705568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3.8625006831314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3.97426124933367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2026-10-18T07:03:01Z</dcterms:created>
  <dc:creator>openpyxl</dc:creator>
  <dc:description/>
  <dc:language>en-NZ</dc:language>
  <cp:lastModifiedBy/>
  <dcterms:modified xsi:type="dcterms:W3CDTF">2026-10-18T07:03:01Z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