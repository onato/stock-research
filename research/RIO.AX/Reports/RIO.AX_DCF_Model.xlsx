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<sst xmlns="http://schemas.openxmlformats.org/spreadsheetml/2006/main" count="365" uniqueCount="167">
  <si>
    <t xml:space="preserve">Ticker</t>
  </si>
  <si>
    <t xml:space="preserve">RIO.AX</t>
  </si>
  <si>
    <t xml:space="preserve">Company</t>
  </si>
  <si>
    <t xml:space="preserve">Rio Tinto Limited (dual-listed with Rio Tinto plc)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</si>
  <si>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</si>
  <si>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</si>
  <si>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</si>
  <si>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</si>
  <si>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2026-09-25T04:13:18Z (intraday, regular ASX session; refresh at the 06:00Z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</si>
  <si>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</si>
  <si>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</si>
  <si>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</si>
  <si>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</si>
  <si>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</si>
  <si>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</si>
  <si>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</si>
  <si>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AUD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</si>
  <si>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</si>
  <si>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</si>
  <si>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</si>
  <si>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</si>
  <si>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</si>
  <si>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2026-09-25T04:40:36Z</t>
  </si>
  <si>
    <t xml:space="preserve">Drivers file</t>
  </si>
  <si>
    <t xml:space="preserve">RIO.AX_Drivers.json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</si>
  <si>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</si>
  <si>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</si>
  <si>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</si>
  <si>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Tier-1 diversified miner valued on mid-cycle cash-EBITDA margins rather than the current price deck, with the capex supercycle (Simandou, Oyu Tolgoi, lithium, Pilbara replacement) explicitly ramped down instead of anchoring on a trough FY2025 FCF. The engine's cash-EBITDA margin (OCF-reconciled) sits ~5.5pp below Rio's underlying EBITDA margin, which is the difference between a valuation that ties to the cash-flow statement and one that capitalises equity-accounted EBITDA and ignores closure spend. NCI (Simandou/Oyu Tolgoi partners) is charged once, in the flows. Value is stated per DLC share in USD and converted to AUD at spot; the ~22% Limited-over-plc premium is a franking artefact the model deliberately does not pay for. Cyclical risk lives in the bear flows and a 25% bear weight, not in an inflated WACC.
key_risks_to_valuation: Iron ore price: each US$10/t is ~US$3bn of EBITDA on ~330Mt Pilbara sales; the base deck (US$85-95/t) sits below spot but above the bear US$75-80/t; Copper/aluminium/lithium mean reversion from H1 2026 highs (a 10% move in copper, aluminium or AUD is ~US$1.1-1.3bn of EBITDA each); Execution across Simandou, Oyu Tolgoi underground, three lithium ramps and three Pilbara replacement mines simultaneously; capex overrun keeps capex above the 13.5% long-run path; NCI leakage assumption (7% of EBIT by FY2031) depends on Simandou/Oyu Tolgoi economics; the Erdenes carry-loan recovery could make it lower, a Chinalco asset-for-equity swap could make it higher; Cash-EBITDA vs underlying EBITDA gap (~5.5pp) assumed persistent; if EAU dividends rise toward EAU EBITDA share or closure spend falls, the model is conservative; AUD/USD: RIO.AX value scales inversely with the AUD; a 10% stronger AUD cuts the AUD intrinsic value ~10% independent of operations; DLC premium: RIO.AX's ~22% premium to plc can widen or compress without any change in intrinsic value</t>
  </si>
  <si>
    <t xml:space="preserve">Data sources</t>
  </si>
  <si>
    <t xml:space="preserve">price: Yahoo Finance chart API at inputs.price_as_of (regular ASX session, intraday); 52-week range 120.30-195.84 AUD. FX from Yahoo AUDUSD=X; parity check vs RIO (NYSE) and RIO.L in inputs.fx_note.
financials: RIO.AX_Metrics.csv / core_metrics (FY2014-FY2025, H1 FY2024-26, USD millions, underlying EBITDA FY2018+); RIO.AX_Annual_FY2025.txt (income statement 14354-14378, cash flow 14440-14475, employment costs 17696, Rio share of capital investment 1671, NCI equity 14594); RIO.AX_HalfYear_H1-2026.txt (net debt note 3873-3958, borrowings 2930, cash 1968, capital investment 655-679, guidance 215-375).
qualitative: RIO.AX_Analysis.json (2026-09-25): segment mix, FY2026 guidance (H1 results 29 July 2026), Simandou/Oyu Tolgoi/lithium ramp, CMD Dec-2025 targets, bull/bear axes.</t>
  </si>
  <si>
    <t xml:space="preserve">Scenario narrative: bear</t>
  </si>
  <si>
    <t xml:space="preserve">Iron ore at US$75-80/t from 2027 (China steel demand, Simandou surplus), copper/aluminium mean-revert, lithium stays oversupplied, projects slip and capex stays at 14% of revenue; cash margin 33-35%, revenue -8% in FY2027 then +2%/yr.</t>
  </si>
  <si>
    <t xml:space="preserve">Scenario narrative: base</t>
  </si>
  <si>
    <t xml:space="preserve">Mid-cycle: iron ore drifts to US$85-95/t through 2027 as Simandou supply arrives, while copper (Oyu Tolgoi to ~500ktpa 2028-36, Kennecott/Escondida), aluminium and a recovering lithium business take Copper+Aluminium+Lithium durably above half of group EBITDA. Revenue +10% in FY2026 on H1's price strength, roughly flat in FY2027, then 3.5-4.5% volume-led growth to FY2030 (~20% CuEq growth target). Cash-EBITDA margin 39-40% (vs 42% ex-boom average, 38% FY2023-25). Rio-share capex stays at the ~US$11bn guidance through FY2027 then falls to 13.5% of revenue as Simandou and the replacement mines complete. Cash tax 25% (FY2026 guided) then 30%, plus NCI leakage rising to 7% of EBIT as the partnered assets ramp. One 9% USD WACC, 2% terminal growth, 14x terminal cap. FY2025 FCF (US$4.5bn) is a capex-trough number, not the run-rate: year-1 unlevered owner FCF is ~US$9bn.</t>
  </si>
  <si>
    <t xml:space="preserve">Scenario narrative: bull</t>
  </si>
  <si>
    <t xml:space="preserve">Prices hold near H1 2026 levels across copper, aluminium and lithium, iron ore stays above US$95/t helped by a high-grade premium, projects land on time, productivity and asset sales pull capex down to 13% of revenue and the cash margin returns to 42-44%.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</si>
  <si>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</si>
  <si>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</si>
  <si>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</si>
  <si>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</si>
  <si>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</si>
  <si>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</si>
  <si>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</si>
  <si>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</si>
  <si>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</si>
  <si>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</si>
  <si>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</si>
  <si>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</si>
  <si>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</si>
  <si>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</si>
  <si>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</si>
  <si>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</si>
  <si>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</si>
  <si>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</si>
  <si>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</si>
  <si>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</si>
  <si>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</si>
  <si>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</si>
  <si>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</si>
  <si>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</si>
  <si>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</si>
  <si>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</si>
  <si>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</si>
  <si>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</si>
  <si>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</si>
  <si>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</si>
  <si>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</si>
  <si>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</si>
  <si>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</si>
  <si>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</si>
  <si>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</si>
  <si>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</si>
  <si>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</si>
  <si>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</si>
  <si>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</si>
  <si>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</si>
  <si>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</si>
  <si>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</si>
  <si>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</si>
  <si>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</si>
  <si>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</si>
  <si>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</si>
  <si>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</si>
  <si>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</si>
  <si>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</si>
  <si>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</si>
  <si>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</si>
  <si>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</si>
  <si>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</si>
  <si>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</si>
  <si>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</si>
  <si>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</si>
  <si>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</si>
  <si>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</si>
  <si>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</si>
  <si>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</si>
  <si>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</si>
  <si>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</si>
  <si>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</si>
  <si>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</si>
  <si>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</si>
  <si>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</si>
  <si>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</si>
  <si>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</si>
  <si>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</si>
  <si>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</si>
  <si>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</si>
  <si>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</si>
  <si>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</si>
  <si>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</si>
  <si>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</si>
  <si>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</si>
  <si>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RIO.AX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</si>
  <si>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</si>
  <si>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</si>
  <si>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</si>
  <si>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</si>
  <si>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</si>
  <si>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</si>
  <si>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</si>
  <si>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</si>
  <si>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</si>
  <si>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</si>
  <si>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</si>
  <si>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</si>
  <si>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</si>
  <si>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</si>
  <si>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</si>
  <si>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</si>
  <si>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</si>
  <si>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</si>
  <si>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</si>
  <si>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</si>
  <si>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</si>
  <si>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</si>
  <si>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</si>
  <si>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</si>
  <si>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</si>
  <si>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</si>
  <si>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</si>
  <si>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</si>
  <si>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</si>
  <si>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</si>
  <si>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RIO.AX owner-FCF component DCF: base case (millions, USD)</t>
  </si>
  <si>
    <t xml:space="preserve">RIO.AX owner-FCF component DCF: bull case (millions, USD)</t>
  </si>
  <si>
    <t xml:space="preserve">RIO.AX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</si>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</sst>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47664</v>
      </c>
      <c r="F2" s="0" t="n">
        <v>11346</v>
      </c>
      <c r="G2" s="0" t="n">
        <v>23.8</v>
      </c>
      <c r="I2" s="0" t="n">
        <v>6527</v>
      </c>
      <c r="J2" s="0" t="n">
        <v>13.7</v>
      </c>
      <c r="K2" s="0" t="n">
        <v>3.531</v>
      </c>
      <c r="L2" s="0" t="n">
        <v>14286</v>
      </c>
      <c r="M2" s="0" t="n">
        <v>8162</v>
      </c>
      <c r="N2" s="0" t="n">
        <v>6124</v>
      </c>
      <c r="O2" s="0" t="n">
        <v>46285</v>
      </c>
      <c r="P2" s="0" t="n">
        <v>107827</v>
      </c>
      <c r="Q2" s="0" t="n">
        <v>53233</v>
      </c>
      <c r="R2" s="0" t="n">
        <v>25219</v>
      </c>
      <c r="S2" s="0" t="n">
        <v>12423</v>
      </c>
      <c r="T2" s="0" t="n">
        <v>1848.5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34829</v>
      </c>
      <c r="F3" s="0" t="n">
        <v>3615</v>
      </c>
      <c r="G3" s="0" t="n">
        <v>10.4</v>
      </c>
      <c r="I3" s="0" t="n">
        <v>-866</v>
      </c>
      <c r="J3" s="0" t="n">
        <v>-2.5</v>
      </c>
      <c r="K3" s="0" t="n">
        <v>-0.475</v>
      </c>
      <c r="L3" s="0" t="n">
        <v>9383</v>
      </c>
      <c r="M3" s="0" t="n">
        <v>4685</v>
      </c>
      <c r="N3" s="0" t="n">
        <v>4698</v>
      </c>
      <c r="O3" s="0" t="n">
        <v>37349</v>
      </c>
      <c r="P3" s="0" t="n">
        <v>91564</v>
      </c>
      <c r="Q3" s="0" t="n">
        <v>47436</v>
      </c>
      <c r="R3" s="0" t="n">
        <v>23624</v>
      </c>
      <c r="S3" s="0" t="n">
        <v>9366</v>
      </c>
      <c r="T3" s="0" t="n">
        <v>1823.2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33781</v>
      </c>
      <c r="F4" s="0" t="n">
        <v>6795</v>
      </c>
      <c r="G4" s="0" t="n">
        <v>20.1</v>
      </c>
      <c r="I4" s="0" t="n">
        <v>4617</v>
      </c>
      <c r="J4" s="0" t="n">
        <v>13.7</v>
      </c>
      <c r="K4" s="0" t="n">
        <v>2.569</v>
      </c>
      <c r="L4" s="0" t="n">
        <v>8465</v>
      </c>
      <c r="M4" s="0" t="n">
        <v>3012</v>
      </c>
      <c r="N4" s="0" t="n">
        <v>5453</v>
      </c>
      <c r="O4" s="0" t="n">
        <v>39290</v>
      </c>
      <c r="P4" s="0" t="n">
        <v>89263</v>
      </c>
      <c r="Q4" s="0" t="n">
        <v>43533</v>
      </c>
      <c r="R4" s="0" t="n">
        <v>18392</v>
      </c>
      <c r="S4" s="0" t="n">
        <v>8201</v>
      </c>
      <c r="T4" s="0" t="n">
        <v>1808.5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40030</v>
      </c>
      <c r="F5" s="0" t="n">
        <v>14135</v>
      </c>
      <c r="G5" s="0" t="n">
        <v>35.3</v>
      </c>
      <c r="I5" s="0" t="n">
        <v>8762</v>
      </c>
      <c r="J5" s="0" t="n">
        <v>21.9</v>
      </c>
      <c r="K5" s="0" t="n">
        <v>4.904</v>
      </c>
      <c r="L5" s="0" t="n">
        <v>13884</v>
      </c>
      <c r="M5" s="0" t="n">
        <v>4482</v>
      </c>
      <c r="N5" s="0" t="n">
        <v>9402</v>
      </c>
      <c r="O5" s="0" t="n">
        <v>44711</v>
      </c>
      <c r="P5" s="0" t="n">
        <v>95726</v>
      </c>
      <c r="Q5" s="0" t="n">
        <v>44611</v>
      </c>
      <c r="R5" s="0" t="n">
        <v>16052</v>
      </c>
      <c r="S5" s="0" t="n">
        <v>10550</v>
      </c>
      <c r="T5" s="0" t="n">
        <v>1799.6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40522</v>
      </c>
      <c r="F6" s="0" t="n">
        <v>17687</v>
      </c>
      <c r="G6" s="0" t="n">
        <v>43.6</v>
      </c>
      <c r="H6" s="0" t="n">
        <v>18136</v>
      </c>
      <c r="I6" s="0" t="n">
        <v>13638</v>
      </c>
      <c r="J6" s="0" t="n">
        <v>33.7</v>
      </c>
      <c r="K6" s="0" t="n">
        <v>7.932</v>
      </c>
      <c r="L6" s="0" t="n">
        <v>11821</v>
      </c>
      <c r="M6" s="0" t="n">
        <v>5430</v>
      </c>
      <c r="N6" s="0" t="n">
        <v>6391</v>
      </c>
      <c r="O6" s="0" t="n">
        <v>43686</v>
      </c>
      <c r="P6" s="0" t="n">
        <v>90949</v>
      </c>
      <c r="Q6" s="0" t="n">
        <v>41126</v>
      </c>
      <c r="R6" s="0" t="n">
        <v>13920</v>
      </c>
      <c r="S6" s="0" t="n">
        <v>10773</v>
      </c>
      <c r="T6" s="0" t="n">
        <v>1731.6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43165</v>
      </c>
      <c r="F7" s="0" t="n">
        <v>11466</v>
      </c>
      <c r="G7" s="0" t="n">
        <v>26.6</v>
      </c>
      <c r="H7" s="0" t="n">
        <v>21197</v>
      </c>
      <c r="I7" s="0" t="n">
        <v>8010</v>
      </c>
      <c r="J7" s="0" t="n">
        <v>18.6</v>
      </c>
      <c r="K7" s="0" t="n">
        <v>4.914</v>
      </c>
      <c r="L7" s="0" t="n">
        <v>14912</v>
      </c>
      <c r="M7" s="0" t="n">
        <v>5488</v>
      </c>
      <c r="N7" s="0" t="n">
        <v>9424</v>
      </c>
      <c r="O7" s="0" t="n">
        <v>40532</v>
      </c>
      <c r="P7" s="0" t="n">
        <v>87802</v>
      </c>
      <c r="Q7" s="0" t="n">
        <v>42560</v>
      </c>
      <c r="R7" s="0" t="n">
        <v>14713</v>
      </c>
      <c r="S7" s="0" t="n">
        <v>8027</v>
      </c>
      <c r="T7" s="0" t="n">
        <v>1642.1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44611</v>
      </c>
      <c r="F8" s="0" t="n">
        <v>16829</v>
      </c>
      <c r="G8" s="0" t="n">
        <v>37.7</v>
      </c>
      <c r="H8" s="0" t="n">
        <v>23902</v>
      </c>
      <c r="I8" s="0" t="n">
        <v>9769</v>
      </c>
      <c r="J8" s="0" t="n">
        <v>21.9</v>
      </c>
      <c r="K8" s="0" t="n">
        <v>6.04</v>
      </c>
      <c r="L8" s="0" t="n">
        <v>15875</v>
      </c>
      <c r="M8" s="0" t="n">
        <v>6189</v>
      </c>
      <c r="N8" s="0" t="n">
        <v>9686</v>
      </c>
      <c r="O8" s="0" t="n">
        <v>47054</v>
      </c>
      <c r="P8" s="0" t="n">
        <v>97390</v>
      </c>
      <c r="Q8" s="0" t="n">
        <v>45487</v>
      </c>
      <c r="R8" s="0" t="n">
        <v>14015</v>
      </c>
      <c r="S8" s="0" t="n">
        <v>10381</v>
      </c>
      <c r="T8" s="0" t="n">
        <v>1628.7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63495</v>
      </c>
      <c r="F9" s="0" t="n">
        <v>29817</v>
      </c>
      <c r="G9" s="0" t="n">
        <v>47</v>
      </c>
      <c r="H9" s="0" t="n">
        <v>37720</v>
      </c>
      <c r="I9" s="0" t="n">
        <v>21115</v>
      </c>
      <c r="J9" s="0" t="n">
        <v>33.3</v>
      </c>
      <c r="K9" s="0" t="n">
        <v>13.047</v>
      </c>
      <c r="L9" s="0" t="n">
        <v>25345</v>
      </c>
      <c r="M9" s="0" t="n">
        <v>7384</v>
      </c>
      <c r="N9" s="0" t="n">
        <v>17961</v>
      </c>
      <c r="O9" s="0" t="n">
        <v>51947</v>
      </c>
      <c r="P9" s="0" t="n">
        <v>102896</v>
      </c>
      <c r="Q9" s="0" t="n">
        <v>45783</v>
      </c>
      <c r="R9" s="0" t="n">
        <v>13531</v>
      </c>
      <c r="S9" s="0" t="n">
        <v>12807</v>
      </c>
      <c r="T9" s="0" t="n">
        <v>1628.9</v>
      </c>
      <c r="V9" s="0" t="n">
        <v>10.4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55554</v>
      </c>
      <c r="F10" s="0" t="n">
        <v>19933</v>
      </c>
      <c r="G10" s="0" t="n">
        <v>35.9</v>
      </c>
      <c r="H10" s="0" t="n">
        <v>26272</v>
      </c>
      <c r="I10" s="0" t="n">
        <v>12392</v>
      </c>
      <c r="J10" s="0" t="n">
        <v>22.3</v>
      </c>
      <c r="K10" s="0" t="n">
        <v>7.65</v>
      </c>
      <c r="L10" s="0" t="n">
        <v>16134</v>
      </c>
      <c r="M10" s="0" t="n">
        <v>6750</v>
      </c>
      <c r="N10" s="0" t="n">
        <v>9384</v>
      </c>
      <c r="O10" s="0" t="n">
        <v>50634</v>
      </c>
      <c r="P10" s="0" t="n">
        <v>96774</v>
      </c>
      <c r="Q10" s="0" t="n">
        <v>44033</v>
      </c>
      <c r="R10" s="0" t="n">
        <v>12271</v>
      </c>
      <c r="S10" s="0" t="n">
        <v>6775</v>
      </c>
      <c r="T10" s="0" t="n">
        <v>1629.6</v>
      </c>
      <c r="V10" s="0" t="n">
        <v>4.92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54041</v>
      </c>
      <c r="F11" s="0" t="n">
        <v>14823</v>
      </c>
      <c r="G11" s="0" t="n">
        <v>27.4</v>
      </c>
      <c r="H11" s="0" t="n">
        <v>23892</v>
      </c>
      <c r="I11" s="0" t="n">
        <v>10058</v>
      </c>
      <c r="J11" s="0" t="n">
        <v>18.6</v>
      </c>
      <c r="K11" s="0" t="n">
        <v>6.203</v>
      </c>
      <c r="L11" s="0" t="n">
        <v>15160</v>
      </c>
      <c r="M11" s="0" t="n">
        <v>7086</v>
      </c>
      <c r="N11" s="0" t="n">
        <v>8074</v>
      </c>
      <c r="O11" s="0" t="n">
        <v>54586</v>
      </c>
      <c r="P11" s="0" t="n">
        <v>103549</v>
      </c>
      <c r="Q11" s="0" t="n">
        <v>47208</v>
      </c>
      <c r="R11" s="0" t="n">
        <v>14352</v>
      </c>
      <c r="S11" s="0" t="n">
        <v>9673</v>
      </c>
      <c r="T11" s="0" t="n">
        <v>1631.5</v>
      </c>
      <c r="U11" s="0" t="n">
        <v>144</v>
      </c>
      <c r="V11" s="0" t="n">
        <v>4.35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53658</v>
      </c>
      <c r="F12" s="0" t="n">
        <v>15653</v>
      </c>
      <c r="G12" s="0" t="n">
        <v>29.2</v>
      </c>
      <c r="H12" s="0" t="n">
        <v>23314</v>
      </c>
      <c r="I12" s="0" t="n">
        <v>11552</v>
      </c>
      <c r="J12" s="0" t="n">
        <v>21.5</v>
      </c>
      <c r="K12" s="0" t="n">
        <v>7.117</v>
      </c>
      <c r="L12" s="0" t="n">
        <v>15599</v>
      </c>
      <c r="M12" s="0" t="n">
        <v>9621</v>
      </c>
      <c r="N12" s="0" t="n">
        <v>5978</v>
      </c>
      <c r="O12" s="0" t="n">
        <v>55246</v>
      </c>
      <c r="P12" s="0" t="n">
        <v>102786</v>
      </c>
      <c r="Q12" s="0" t="n">
        <v>44821</v>
      </c>
      <c r="R12" s="0" t="n">
        <v>13855</v>
      </c>
      <c r="S12" s="0" t="n">
        <v>8495</v>
      </c>
      <c r="T12" s="0" t="n">
        <v>1633.4</v>
      </c>
      <c r="U12" s="0" t="n">
        <v>172</v>
      </c>
      <c r="V12" s="0" t="n">
        <v>4.02</v>
      </c>
      <c r="AA12" s="0" t="s">
        <v>18</v>
      </c>
      <c r="AB12" s="0" t="s">
        <v>14</v>
      </c>
    </row>
    <row r="13" customFormat="false" ht="15" hidden="false" customHeight="false" outlineLevel="0" collapsed="false">
      <c r="A13" s="0" t="s">
        <v>75</v>
      </c>
      <c r="B13" s="0" t="n">
        <v>57638</v>
      </c>
      <c r="F13" s="0" t="n">
        <v>14936</v>
      </c>
      <c r="G13" s="0" t="n">
        <v>25.9</v>
      </c>
      <c r="H13" s="0" t="n">
        <v>25363</v>
      </c>
      <c r="I13" s="0" t="n">
        <v>9966</v>
      </c>
      <c r="J13" s="0" t="n">
        <v>17.3</v>
      </c>
      <c r="K13" s="0" t="n">
        <v>6.137</v>
      </c>
      <c r="L13" s="0" t="n">
        <v>16832</v>
      </c>
      <c r="M13" s="0" t="n">
        <v>12335</v>
      </c>
      <c r="N13" s="0" t="n">
        <v>4497</v>
      </c>
      <c r="O13" s="0" t="n">
        <v>62203</v>
      </c>
      <c r="P13" s="0" t="n">
        <v>128102</v>
      </c>
      <c r="Q13" s="0" t="n">
        <v>61078</v>
      </c>
      <c r="R13" s="0" t="n">
        <v>23517</v>
      </c>
      <c r="S13" s="0" t="n">
        <v>8872</v>
      </c>
      <c r="T13" s="0" t="n">
        <v>1638</v>
      </c>
      <c r="U13" s="0" t="n">
        <v>237</v>
      </c>
      <c r="V13" s="0" t="n">
        <v>4.02</v>
      </c>
      <c r="AA13" s="0" t="s">
        <v>18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165</v>
      </c>
    </row>
    <row r="3" customFormat="false" ht="15" hidden="false" customHeight="false" outlineLevel="0" collapsed="false">
      <c r="A3" s="0" t="s">
        <v>79</v>
      </c>
      <c r="B3" s="3" t="n">
        <v>1640.2</v>
      </c>
    </row>
    <row r="4" customFormat="false" ht="15" hidden="false" customHeight="false" outlineLevel="0" collapsed="false">
      <c r="A4" s="0" t="s">
        <v>80</v>
      </c>
      <c r="B4" s="3" t="n">
        <v>14061</v>
      </c>
    </row>
    <row r="5" customFormat="false" ht="15" hidden="false" customHeight="false" outlineLevel="0" collapsed="false">
      <c r="A5" s="0" t="s">
        <v>81</v>
      </c>
      <c r="B5" s="3" t="n">
        <v>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57638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1.4253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7</v>
      </c>
      <c r="D13" s="3" t="n">
        <v>-8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100</v>
      </c>
      <c r="C14" s="3" t="n">
        <v>37</v>
      </c>
      <c r="D14" s="3" t="n">
        <v>33</v>
      </c>
      <c r="E14" s="3" t="n">
        <v>33</v>
      </c>
      <c r="F14" s="3" t="n">
        <v>34</v>
      </c>
      <c r="G14" s="3" t="n">
        <v>34.5</v>
      </c>
      <c r="H14" s="3" t="n">
        <v>35</v>
      </c>
      <c r="I14" s="3" t="n">
        <v>35</v>
      </c>
      <c r="J14" s="3" t="n">
        <v>35</v>
      </c>
      <c r="K14" s="3" t="n">
        <v>35</v>
      </c>
      <c r="L14" s="3" t="n">
        <v>35</v>
      </c>
    </row>
    <row r="15" customFormat="false" ht="15" hidden="false" customHeight="false" outlineLevel="0" collapsed="false">
      <c r="A15" s="0" t="s">
        <v>101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11.6</v>
      </c>
      <c r="D17" s="3" t="n">
        <v>12</v>
      </c>
      <c r="E17" s="3" t="n">
        <v>12.5</v>
      </c>
      <c r="F17" s="3" t="n">
        <v>12.5</v>
      </c>
      <c r="G17" s="3" t="n">
        <v>12.5</v>
      </c>
      <c r="H17" s="3" t="n">
        <v>12.5</v>
      </c>
      <c r="I17" s="3" t="n">
        <v>12.5</v>
      </c>
      <c r="J17" s="3" t="n">
        <v>12.5</v>
      </c>
      <c r="K17" s="3" t="n">
        <v>12.5</v>
      </c>
      <c r="L17" s="3" t="n">
        <v>12.5</v>
      </c>
    </row>
    <row r="18" customFormat="false" ht="15" hidden="false" customHeight="false" outlineLevel="0" collapsed="false">
      <c r="A18" s="0" t="s">
        <v>104</v>
      </c>
      <c r="C18" s="3" t="n">
        <v>18</v>
      </c>
      <c r="D18" s="3" t="n">
        <v>18</v>
      </c>
      <c r="E18" s="3" t="n">
        <v>16.5</v>
      </c>
      <c r="F18" s="3" t="n">
        <v>15.5</v>
      </c>
      <c r="G18" s="3" t="n">
        <v>14.5</v>
      </c>
      <c r="H18" s="3" t="n">
        <v>14</v>
      </c>
      <c r="I18" s="3" t="n">
        <v>14</v>
      </c>
      <c r="J18" s="3" t="n">
        <v>14</v>
      </c>
      <c r="K18" s="3" t="n">
        <v>14</v>
      </c>
      <c r="L18" s="3" t="n">
        <v>14</v>
      </c>
    </row>
    <row r="19" customFormat="false" ht="15" hidden="false" customHeight="false" outlineLevel="0" collapsed="false">
      <c r="A19" s="0" t="s">
        <v>105</v>
      </c>
      <c r="C19" s="3" t="n">
        <v>27</v>
      </c>
      <c r="D19" s="3" t="n">
        <v>33</v>
      </c>
      <c r="E19" s="3" t="n">
        <v>34</v>
      </c>
      <c r="F19" s="3" t="n">
        <v>35</v>
      </c>
      <c r="G19" s="3" t="n">
        <v>36</v>
      </c>
      <c r="H19" s="3" t="n">
        <v>37</v>
      </c>
      <c r="I19" s="3" t="n">
        <v>37</v>
      </c>
      <c r="J19" s="3" t="n">
        <v>37</v>
      </c>
      <c r="K19" s="3" t="n">
        <v>37</v>
      </c>
      <c r="L19" s="3" t="n">
        <v>37</v>
      </c>
    </row>
    <row r="20" customFormat="false" ht="15" hidden="false" customHeight="false" outlineLevel="0" collapsed="false">
      <c r="A20" s="0" t="s">
        <v>106</v>
      </c>
      <c r="B20" s="3" t="n">
        <v>9</v>
      </c>
    </row>
    <row r="21" customFormat="false" ht="15" hidden="false" customHeight="false" outlineLevel="0" collapsed="false">
      <c r="A21" s="0" t="s">
        <v>107</v>
      </c>
      <c r="B21" s="3" t="n">
        <v>1.5</v>
      </c>
    </row>
    <row r="22" customFormat="false" ht="15" hidden="false" customHeight="false" outlineLevel="0" collapsed="false">
      <c r="A22" s="0" t="s">
        <v>108</v>
      </c>
      <c r="B22" s="3" t="n">
        <v>12</v>
      </c>
    </row>
    <row r="23" customFormat="false" ht="15" hidden="false" customHeight="false" outlineLevel="0" collapsed="false">
      <c r="A23" s="0" t="s">
        <v>109</v>
      </c>
      <c r="B23" s="3" t="n">
        <v>-5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10</v>
      </c>
      <c r="D27" s="3" t="n">
        <v>1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100</v>
      </c>
      <c r="C28" s="3" t="n">
        <v>40.5</v>
      </c>
      <c r="D28" s="3" t="n">
        <v>39</v>
      </c>
      <c r="E28" s="3" t="n">
        <v>39</v>
      </c>
      <c r="F28" s="3" t="n">
        <v>39.5</v>
      </c>
      <c r="G28" s="3" t="n">
        <v>40</v>
      </c>
      <c r="H28" s="3" t="n">
        <v>40</v>
      </c>
      <c r="I28" s="3" t="n">
        <v>40</v>
      </c>
      <c r="J28" s="3" t="n">
        <v>40</v>
      </c>
      <c r="K28" s="3" t="n">
        <v>40</v>
      </c>
      <c r="L28" s="3" t="n">
        <v>40</v>
      </c>
    </row>
    <row r="29" customFormat="false" ht="15" hidden="false" customHeight="false" outlineLevel="0" collapsed="false">
      <c r="A29" s="0" t="s">
        <v>101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11.6</v>
      </c>
      <c r="D31" s="3" t="n">
        <v>11.8</v>
      </c>
      <c r="E31" s="3" t="n">
        <v>12</v>
      </c>
      <c r="F31" s="3" t="n">
        <v>12</v>
      </c>
      <c r="G31" s="3" t="n">
        <v>12</v>
      </c>
      <c r="H31" s="3" t="n">
        <v>12</v>
      </c>
      <c r="I31" s="3" t="n">
        <v>12</v>
      </c>
      <c r="J31" s="3" t="n">
        <v>12</v>
      </c>
      <c r="K31" s="3" t="n">
        <v>12</v>
      </c>
      <c r="L31" s="3" t="n">
        <v>12</v>
      </c>
    </row>
    <row r="32" customFormat="false" ht="15" hidden="false" customHeight="false" outlineLevel="0" collapsed="false">
      <c r="A32" s="0" t="s">
        <v>104</v>
      </c>
      <c r="C32" s="3" t="n">
        <v>17.4</v>
      </c>
      <c r="D32" s="3" t="n">
        <v>17</v>
      </c>
      <c r="E32" s="3" t="n">
        <v>15.5</v>
      </c>
      <c r="F32" s="3" t="n">
        <v>14.5</v>
      </c>
      <c r="G32" s="3" t="n">
        <v>14</v>
      </c>
      <c r="H32" s="3" t="n">
        <v>13.5</v>
      </c>
      <c r="I32" s="3" t="n">
        <v>13.5</v>
      </c>
      <c r="J32" s="3" t="n">
        <v>13.5</v>
      </c>
      <c r="K32" s="3" t="n">
        <v>13.5</v>
      </c>
      <c r="L32" s="3" t="n">
        <v>13.5</v>
      </c>
    </row>
    <row r="33" customFormat="false" ht="15" hidden="false" customHeight="false" outlineLevel="0" collapsed="false">
      <c r="A33" s="0" t="s">
        <v>105</v>
      </c>
      <c r="C33" s="3" t="n">
        <v>27</v>
      </c>
      <c r="D33" s="3" t="n">
        <v>33</v>
      </c>
      <c r="E33" s="3" t="n">
        <v>34</v>
      </c>
      <c r="F33" s="3" t="n">
        <v>35</v>
      </c>
      <c r="G33" s="3" t="n">
        <v>36</v>
      </c>
      <c r="H33" s="3" t="n">
        <v>37</v>
      </c>
      <c r="I33" s="3" t="n">
        <v>37</v>
      </c>
      <c r="J33" s="3" t="n">
        <v>37</v>
      </c>
      <c r="K33" s="3" t="n">
        <v>37</v>
      </c>
      <c r="L33" s="3" t="n">
        <v>37</v>
      </c>
    </row>
    <row r="34" customFormat="false" ht="15" hidden="false" customHeight="false" outlineLevel="0" collapsed="false">
      <c r="A34" s="0" t="s">
        <v>106</v>
      </c>
      <c r="B34" s="3" t="n">
        <v>9</v>
      </c>
    </row>
    <row r="35" customFormat="false" ht="15" hidden="false" customHeight="false" outlineLevel="0" collapsed="false">
      <c r="A35" s="0" t="s">
        <v>107</v>
      </c>
      <c r="B35" s="3" t="n">
        <v>2</v>
      </c>
    </row>
    <row r="36" customFormat="false" ht="15" hidden="false" customHeight="false" outlineLevel="0" collapsed="false">
      <c r="A36" s="0" t="s">
        <v>108</v>
      </c>
      <c r="B36" s="3" t="n">
        <v>14</v>
      </c>
    </row>
    <row r="37" customFormat="false" ht="15" hidden="false" customHeight="false" outlineLevel="0" collapsed="false">
      <c r="A37" s="0" t="s">
        <v>109</v>
      </c>
      <c r="B37" s="3" t="n">
        <v>-5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13</v>
      </c>
      <c r="D41" s="3" t="n">
        <v>5</v>
      </c>
      <c r="E41" s="3" t="n">
        <v>6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42</v>
      </c>
      <c r="D42" s="3" t="n">
        <v>42</v>
      </c>
      <c r="E42" s="3" t="n">
        <v>43</v>
      </c>
      <c r="F42" s="3" t="n">
        <v>43.5</v>
      </c>
      <c r="G42" s="3" t="n">
        <v>44</v>
      </c>
      <c r="H42" s="3" t="n">
        <v>44</v>
      </c>
      <c r="I42" s="3" t="n">
        <v>44</v>
      </c>
      <c r="J42" s="3" t="n">
        <v>44</v>
      </c>
      <c r="K42" s="3" t="n">
        <v>44</v>
      </c>
      <c r="L42" s="3" t="n">
        <v>44</v>
      </c>
    </row>
    <row r="43" customFormat="false" ht="15" hidden="false" customHeight="false" outlineLevel="0" collapsed="false">
      <c r="A43" s="0" t="s">
        <v>101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11.6</v>
      </c>
      <c r="D45" s="3" t="n">
        <v>11.8</v>
      </c>
      <c r="E45" s="3" t="n">
        <v>12</v>
      </c>
      <c r="F45" s="3" t="n">
        <v>12</v>
      </c>
      <c r="G45" s="3" t="n">
        <v>12</v>
      </c>
      <c r="H45" s="3" t="n">
        <v>12</v>
      </c>
      <c r="I45" s="3" t="n">
        <v>12</v>
      </c>
      <c r="J45" s="3" t="n">
        <v>12</v>
      </c>
      <c r="K45" s="3" t="n">
        <v>12</v>
      </c>
      <c r="L45" s="3" t="n">
        <v>12</v>
      </c>
    </row>
    <row r="46" customFormat="false" ht="15" hidden="false" customHeight="false" outlineLevel="0" collapsed="false">
      <c r="A46" s="0" t="s">
        <v>104</v>
      </c>
      <c r="C46" s="3" t="n">
        <v>17</v>
      </c>
      <c r="D46" s="3" t="n">
        <v>16</v>
      </c>
      <c r="E46" s="3" t="n">
        <v>14.5</v>
      </c>
      <c r="F46" s="3" t="n">
        <v>13.5</v>
      </c>
      <c r="G46" s="3" t="n">
        <v>13</v>
      </c>
      <c r="H46" s="3" t="n">
        <v>13</v>
      </c>
      <c r="I46" s="3" t="n">
        <v>13</v>
      </c>
      <c r="J46" s="3" t="n">
        <v>13</v>
      </c>
      <c r="K46" s="3" t="n">
        <v>13</v>
      </c>
      <c r="L46" s="3" t="n">
        <v>13</v>
      </c>
    </row>
    <row r="47" customFormat="false" ht="15" hidden="false" customHeight="false" outlineLevel="0" collapsed="false">
      <c r="A47" s="0" t="s">
        <v>105</v>
      </c>
      <c r="C47" s="3" t="n">
        <v>27</v>
      </c>
      <c r="D47" s="3" t="n">
        <v>33</v>
      </c>
      <c r="E47" s="3" t="n">
        <v>34</v>
      </c>
      <c r="F47" s="3" t="n">
        <v>35</v>
      </c>
      <c r="G47" s="3" t="n">
        <v>36</v>
      </c>
      <c r="H47" s="3" t="n">
        <v>37</v>
      </c>
      <c r="I47" s="3" t="n">
        <v>37</v>
      </c>
      <c r="J47" s="3" t="n">
        <v>37</v>
      </c>
      <c r="K47" s="3" t="n">
        <v>37</v>
      </c>
      <c r="L47" s="3" t="n">
        <v>37</v>
      </c>
    </row>
    <row r="48" customFormat="false" ht="15" hidden="false" customHeight="false" outlineLevel="0" collapsed="false">
      <c r="A48" s="0" t="s">
        <v>106</v>
      </c>
      <c r="B48" s="3" t="n">
        <v>9</v>
      </c>
    </row>
    <row r="49" customFormat="false" ht="15" hidden="false" customHeight="false" outlineLevel="0" collapsed="false">
      <c r="A49" s="0" t="s">
        <v>107</v>
      </c>
      <c r="B49" s="3" t="n">
        <v>2.5</v>
      </c>
    </row>
    <row r="50" customFormat="false" ht="15" hidden="false" customHeight="false" outlineLevel="0" collapsed="false">
      <c r="A50" s="0" t="s">
        <v>108</v>
      </c>
      <c r="B50" s="3" t="n">
        <v>15</v>
      </c>
    </row>
    <row r="51" customFormat="false" ht="15" hidden="false" customHeight="false" outlineLevel="0" collapsed="false">
      <c r="A51" s="0" t="s">
        <v>109</v>
      </c>
      <c r="B51" s="3" t="n">
        <v>-5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7</v>
      </c>
      <c r="D5" s="4" t="n">
        <f aca="false">Assumptions!D13</f>
        <v>-8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57638</v>
      </c>
      <c r="C6" s="0" t="n">
        <f aca="false">B6*(1+C5/100)</f>
        <v>61672.66</v>
      </c>
      <c r="D6" s="0" t="n">
        <f aca="false">C6*(1+D5/100)</f>
        <v>56738.8472</v>
      </c>
      <c r="E6" s="0" t="n">
        <f aca="false">D6*(1+E5/100)</f>
        <v>56738.8472</v>
      </c>
      <c r="F6" s="0" t="n">
        <f aca="false">E6*(1+F5/100)</f>
        <v>57873.624144</v>
      </c>
      <c r="G6" s="0" t="n">
        <f aca="false">F6*(1+G5/100)</f>
        <v>59031.09662688</v>
      </c>
      <c r="H6" s="0" t="n">
        <f aca="false">G6*(1+H5/100)</f>
        <v>60211.7185594176</v>
      </c>
      <c r="I6" s="0" t="n">
        <f aca="false">H6*(1+I5/100)</f>
        <v>61415.952930606</v>
      </c>
      <c r="J6" s="0" t="n">
        <f aca="false">I6*(1+J5/100)</f>
        <v>62644.2719892181</v>
      </c>
      <c r="K6" s="0" t="n">
        <f aca="false">J6*(1+K5/100)</f>
        <v>63897.1574290024</v>
      </c>
      <c r="L6" s="0" t="n">
        <f aca="false">K6*(1+L5/100)</f>
        <v>65175.1005775825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37</v>
      </c>
      <c r="D7" s="4" t="n">
        <f aca="false">Assumptions!D14</f>
        <v>33</v>
      </c>
      <c r="E7" s="4" t="n">
        <f aca="false">Assumptions!E14</f>
        <v>33</v>
      </c>
      <c r="F7" s="4" t="n">
        <f aca="false">Assumptions!F14</f>
        <v>34</v>
      </c>
      <c r="G7" s="4" t="n">
        <f aca="false">Assumptions!G14</f>
        <v>34.5</v>
      </c>
      <c r="H7" s="4" t="n">
        <f aca="false">Assumptions!H14</f>
        <v>35</v>
      </c>
      <c r="I7" s="4" t="n">
        <f aca="false">Assumptions!I14</f>
        <v>35</v>
      </c>
      <c r="J7" s="4" t="n">
        <f aca="false">Assumptions!J14</f>
        <v>35</v>
      </c>
      <c r="K7" s="4" t="n">
        <f aca="false">Assumptions!K14</f>
        <v>35</v>
      </c>
      <c r="L7" s="4" t="n">
        <f aca="false">Assumptions!L14</f>
        <v>35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22818.8842</v>
      </c>
      <c r="D8" s="0" t="n">
        <f aca="false">D6*D7/100</f>
        <v>18723.819576</v>
      </c>
      <c r="E8" s="0" t="n">
        <f aca="false">E6*E7/100</f>
        <v>18723.819576</v>
      </c>
      <c r="F8" s="0" t="n">
        <f aca="false">F6*F7/100</f>
        <v>19677.03220896</v>
      </c>
      <c r="G8" s="0" t="n">
        <f aca="false">G6*G7/100</f>
        <v>20365.7283362736</v>
      </c>
      <c r="H8" s="0" t="n">
        <f aca="false">H6*H7/100</f>
        <v>21074.1014957962</v>
      </c>
      <c r="I8" s="0" t="n">
        <f aca="false">I6*I7/100</f>
        <v>21495.5835257121</v>
      </c>
      <c r="J8" s="0" t="n">
        <f aca="false">J6*J7/100</f>
        <v>21925.4951962263</v>
      </c>
      <c r="K8" s="0" t="n">
        <f aca="false">K6*K7/100</f>
        <v>22364.0051001509</v>
      </c>
      <c r="L8" s="0" t="n">
        <f aca="false">L6*L7/100</f>
        <v>22811.2852021539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-246.69064</v>
      </c>
      <c r="D10" s="0" t="n">
        <f aca="false">-D6*D9/100</f>
        <v>-226.9553888</v>
      </c>
      <c r="E10" s="0" t="n">
        <f aca="false">-E6*E9/100</f>
        <v>-226.9553888</v>
      </c>
      <c r="F10" s="0" t="n">
        <f aca="false">-F6*F9/100</f>
        <v>-231.494496576</v>
      </c>
      <c r="G10" s="0" t="n">
        <f aca="false">-G6*G9/100</f>
        <v>-236.12438650752</v>
      </c>
      <c r="H10" s="0" t="n">
        <f aca="false">-H6*H9/100</f>
        <v>-240.84687423767</v>
      </c>
      <c r="I10" s="0" t="n">
        <f aca="false">-I6*I9/100</f>
        <v>-245.663811722424</v>
      </c>
      <c r="J10" s="0" t="n">
        <f aca="false">-J6*J9/100</f>
        <v>-250.577087956872</v>
      </c>
      <c r="K10" s="0" t="n">
        <f aca="false">-K6*K9/100</f>
        <v>-255.58862971601</v>
      </c>
      <c r="L10" s="0" t="n">
        <f aca="false">-L6*L9/100</f>
        <v>-260.70040231033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22572.19356</v>
      </c>
      <c r="D11" s="0" t="n">
        <f aca="false">D8+D10+D24</f>
        <v>18496.8641872</v>
      </c>
      <c r="E11" s="0" t="n">
        <f aca="false">E8+E10+E24</f>
        <v>18496.8641872</v>
      </c>
      <c r="F11" s="0" t="n">
        <f aca="false">F8+F10+F24</f>
        <v>19445.537712384</v>
      </c>
      <c r="G11" s="0" t="n">
        <f aca="false">G8+G10+G24</f>
        <v>20129.6039497661</v>
      </c>
      <c r="H11" s="0" t="n">
        <f aca="false">H8+H10+H24</f>
        <v>20833.2546215585</v>
      </c>
      <c r="I11" s="0" t="n">
        <f aca="false">I8+I10+I24</f>
        <v>21249.9197139897</v>
      </c>
      <c r="J11" s="0" t="n">
        <f aca="false">J8+J10+J24</f>
        <v>21674.9181082695</v>
      </c>
      <c r="K11" s="0" t="n">
        <f aca="false">K8+K10+K24</f>
        <v>22108.4164704348</v>
      </c>
      <c r="L11" s="0" t="n">
        <f aca="false">L8+L10+L24</f>
        <v>22550.5847998435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-7154.02856</v>
      </c>
      <c r="D12" s="4" t="n">
        <f aca="false">-D6*Assumptions!D17/100</f>
        <v>-6808.661664</v>
      </c>
      <c r="E12" s="4" t="n">
        <f aca="false">-E6*Assumptions!E17/100</f>
        <v>-7092.3559</v>
      </c>
      <c r="F12" s="4" t="n">
        <f aca="false">-F6*Assumptions!F17/100</f>
        <v>-7234.203018</v>
      </c>
      <c r="G12" s="4" t="n">
        <f aca="false">-G6*Assumptions!G17/100</f>
        <v>-7378.88707836</v>
      </c>
      <c r="H12" s="4" t="n">
        <f aca="false">-H6*Assumptions!H17/100</f>
        <v>-7526.4648199272</v>
      </c>
      <c r="I12" s="4" t="n">
        <f aca="false">-I6*Assumptions!I17/100</f>
        <v>-7676.99411632574</v>
      </c>
      <c r="J12" s="4" t="n">
        <f aca="false">-J6*Assumptions!J17/100</f>
        <v>-7830.53399865226</v>
      </c>
      <c r="K12" s="4" t="n">
        <f aca="false">-K6*Assumptions!K17/100</f>
        <v>-7987.14467862531</v>
      </c>
      <c r="L12" s="4" t="n">
        <f aca="false">-L6*Assumptions!L17/100</f>
        <v>-8146.88757219781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15418.165</v>
      </c>
      <c r="D13" s="0" t="n">
        <f aca="false">D11+D12</f>
        <v>11688.2025232</v>
      </c>
      <c r="E13" s="0" t="n">
        <f aca="false">E11+E12</f>
        <v>11404.5082872</v>
      </c>
      <c r="F13" s="0" t="n">
        <f aca="false">F11+F12</f>
        <v>12211.334694384</v>
      </c>
      <c r="G13" s="0" t="n">
        <f aca="false">G11+G12</f>
        <v>12750.7168714061</v>
      </c>
      <c r="H13" s="0" t="n">
        <f aca="false">H11+H12</f>
        <v>13306.7898016313</v>
      </c>
      <c r="I13" s="0" t="n">
        <f aca="false">I11+I12</f>
        <v>13572.9255976639</v>
      </c>
      <c r="J13" s="0" t="n">
        <f aca="false">J11+J12</f>
        <v>13844.3841096172</v>
      </c>
      <c r="K13" s="0" t="n">
        <f aca="false">K11+K12</f>
        <v>14121.2717918095</v>
      </c>
      <c r="L13" s="0" t="n">
        <f aca="false">L11+L12</f>
        <v>14403.6972276457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27</v>
      </c>
      <c r="D14" s="4" t="n">
        <f aca="false">Assumptions!D19</f>
        <v>33</v>
      </c>
      <c r="E14" s="4" t="n">
        <f aca="false">Assumptions!E19</f>
        <v>34</v>
      </c>
      <c r="F14" s="4" t="n">
        <f aca="false">Assumptions!F19</f>
        <v>35</v>
      </c>
      <c r="G14" s="4" t="n">
        <f aca="false">Assumptions!G19</f>
        <v>36</v>
      </c>
      <c r="H14" s="4" t="n">
        <f aca="false">Assumptions!H19</f>
        <v>37</v>
      </c>
      <c r="I14" s="4" t="n">
        <f aca="false">Assumptions!I19</f>
        <v>37</v>
      </c>
      <c r="J14" s="4" t="n">
        <f aca="false">Assumptions!J19</f>
        <v>37</v>
      </c>
      <c r="K14" s="4" t="n">
        <f aca="false">Assumptions!K19</f>
        <v>37</v>
      </c>
      <c r="L14" s="4" t="n">
        <f aca="false">Assumptions!L19</f>
        <v>37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11255.26045</v>
      </c>
      <c r="D15" s="0" t="n">
        <f aca="false">D13-MAX(0,D13)*D14/100</f>
        <v>7831.095690544</v>
      </c>
      <c r="E15" s="0" t="n">
        <f aca="false">E13-MAX(0,E13)*E14/100</f>
        <v>7526.975469552</v>
      </c>
      <c r="F15" s="0" t="n">
        <f aca="false">F13-MAX(0,F13)*F14/100</f>
        <v>7937.3675513496</v>
      </c>
      <c r="G15" s="0" t="n">
        <f aca="false">G13-MAX(0,G13)*G14/100</f>
        <v>8160.45879769989</v>
      </c>
      <c r="H15" s="0" t="n">
        <f aca="false">H13-MAX(0,H13)*H14/100</f>
        <v>8383.27757502771</v>
      </c>
      <c r="I15" s="0" t="n">
        <f aca="false">I13-MAX(0,I13)*I14/100</f>
        <v>8550.94312652827</v>
      </c>
      <c r="J15" s="0" t="n">
        <f aca="false">J13-MAX(0,J13)*J14/100</f>
        <v>8721.96198905883</v>
      </c>
      <c r="K15" s="0" t="n">
        <f aca="false">K13-MAX(0,K13)*K14/100</f>
        <v>8896.40122884001</v>
      </c>
      <c r="L15" s="0" t="n">
        <f aca="false">L13-MAX(0,L13)*L14/100</f>
        <v>9074.32925341681</v>
      </c>
    </row>
    <row r="16" customFormat="false" ht="15" hidden="false" customHeight="false" outlineLevel="0" collapsed="false">
      <c r="A16" s="0" t="s">
        <v>121</v>
      </c>
      <c r="C16" s="0" t="n">
        <f aca="false">-C12</f>
        <v>7154.02856</v>
      </c>
      <c r="D16" s="0" t="n">
        <f aca="false">-D12</f>
        <v>6808.661664</v>
      </c>
      <c r="E16" s="0" t="n">
        <f aca="false">-E12</f>
        <v>7092.3559</v>
      </c>
      <c r="F16" s="0" t="n">
        <f aca="false">-F12</f>
        <v>7234.203018</v>
      </c>
      <c r="G16" s="0" t="n">
        <f aca="false">-G12</f>
        <v>7378.88707836</v>
      </c>
      <c r="H16" s="0" t="n">
        <f aca="false">-H12</f>
        <v>7526.4648199272</v>
      </c>
      <c r="I16" s="0" t="n">
        <f aca="false">-I12</f>
        <v>7676.99411632574</v>
      </c>
      <c r="J16" s="0" t="n">
        <f aca="false">-J12</f>
        <v>7830.53399865226</v>
      </c>
      <c r="K16" s="0" t="n">
        <f aca="false">-K12</f>
        <v>7987.14467862531</v>
      </c>
      <c r="L16" s="0" t="n">
        <f aca="false">-L12</f>
        <v>8146.88757219781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-11101.0788</v>
      </c>
      <c r="D17" s="4" t="n">
        <f aca="false">-D6*Assumptions!D18/100</f>
        <v>-10212.992496</v>
      </c>
      <c r="E17" s="4" t="n">
        <f aca="false">-E6*Assumptions!E18/100</f>
        <v>-9361.909788</v>
      </c>
      <c r="F17" s="4" t="n">
        <f aca="false">-F6*Assumptions!F18/100</f>
        <v>-8970.41174232</v>
      </c>
      <c r="G17" s="4" t="n">
        <f aca="false">-G6*Assumptions!G18/100</f>
        <v>-8559.5090108976</v>
      </c>
      <c r="H17" s="4" t="n">
        <f aca="false">-H6*Assumptions!H18/100</f>
        <v>-8429.64059831847</v>
      </c>
      <c r="I17" s="4" t="n">
        <f aca="false">-I6*Assumptions!I18/100</f>
        <v>-8598.23341028483</v>
      </c>
      <c r="J17" s="4" t="n">
        <f aca="false">-J6*Assumptions!J18/100</f>
        <v>-8770.19807849053</v>
      </c>
      <c r="K17" s="4" t="n">
        <f aca="false">-K6*Assumptions!K18/100</f>
        <v>-8945.60204006034</v>
      </c>
      <c r="L17" s="4" t="n">
        <f aca="false">-L6*Assumptions!L18/100</f>
        <v>-9124.51408086155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-201.733</v>
      </c>
      <c r="D18" s="4" t="n">
        <f aca="false">(D6-C6)*Assumptions!$B$23/100</f>
        <v>246.69064</v>
      </c>
      <c r="E18" s="4" t="n">
        <f aca="false">(E6-D6)*Assumptions!$B$23/100</f>
        <v>-0</v>
      </c>
      <c r="F18" s="4" t="n">
        <f aca="false">(F6-E6)*Assumptions!$B$23/100</f>
        <v>-56.7388471999999</v>
      </c>
      <c r="G18" s="4" t="n">
        <f aca="false">(G6-F6)*Assumptions!$B$23/100</f>
        <v>-57.8736241440001</v>
      </c>
      <c r="H18" s="4" t="n">
        <f aca="false">(H6-G6)*Assumptions!$B$23/100</f>
        <v>-59.03109662688</v>
      </c>
      <c r="I18" s="4" t="n">
        <f aca="false">(I6-H6)*Assumptions!$B$23/100</f>
        <v>-60.2117185594176</v>
      </c>
      <c r="J18" s="4" t="n">
        <f aca="false">(J6-I6)*Assumptions!$B$23/100</f>
        <v>-61.415952930606</v>
      </c>
      <c r="K18" s="4" t="n">
        <f aca="false">(K6-J6)*Assumptions!$B$23/100</f>
        <v>-62.644271989218</v>
      </c>
      <c r="L18" s="4" t="n">
        <f aca="false">(L6-K6)*Assumptions!$B$23/100</f>
        <v>-63.8971574290026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7106.47721</v>
      </c>
      <c r="D19" s="0" t="n">
        <f aca="false">D15+D16+D17+D18</f>
        <v>4673.455498544</v>
      </c>
      <c r="E19" s="0" t="n">
        <f aca="false">E15+E16+E17+E18</f>
        <v>5257.421581552</v>
      </c>
      <c r="F19" s="0" t="n">
        <f aca="false">F15+F16+F17+F18</f>
        <v>6144.4199798296</v>
      </c>
      <c r="G19" s="0" t="n">
        <f aca="false">G15+G16+G17+G18</f>
        <v>6921.96324101829</v>
      </c>
      <c r="H19" s="0" t="n">
        <f aca="false">H15+H16+H17+H18</f>
        <v>7421.07070000957</v>
      </c>
      <c r="I19" s="0" t="n">
        <f aca="false">I15+I16+I17+I18</f>
        <v>7569.49211400976</v>
      </c>
      <c r="J19" s="0" t="n">
        <f aca="false">J15+J16+J17+J18</f>
        <v>7720.88195628996</v>
      </c>
      <c r="K19" s="0" t="n">
        <f aca="false">K15+K16+K17+K18</f>
        <v>7875.29959541576</v>
      </c>
      <c r="L19" s="0" t="n">
        <f aca="false">L15+L16+L17+L18</f>
        <v>8032.80558732407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6519.70386238532</v>
      </c>
      <c r="D21" s="0" t="n">
        <f aca="false">D19*D20</f>
        <v>3933.55399254608</v>
      </c>
      <c r="E21" s="0" t="n">
        <f aca="false">E19*E20</f>
        <v>4059.69409299097</v>
      </c>
      <c r="F21" s="0" t="n">
        <f aca="false">F19*F20</f>
        <v>4352.86202108399</v>
      </c>
      <c r="G21" s="0" t="n">
        <f aca="false">G19*G20</f>
        <v>4498.80116514121</v>
      </c>
      <c r="H21" s="0" t="n">
        <f aca="false">H19*H20</f>
        <v>4424.94198887638</v>
      </c>
      <c r="I21" s="0" t="n">
        <f aca="false">I19*I20</f>
        <v>4140.77140243477</v>
      </c>
      <c r="J21" s="0" t="n">
        <f aca="false">J19*J20</f>
        <v>3874.85030319584</v>
      </c>
      <c r="K21" s="0" t="n">
        <f aca="false">K19*K20</f>
        <v>3626.0067057429</v>
      </c>
      <c r="L21" s="0" t="n">
        <f aca="false">L19*L20</f>
        <v>3393.14388977776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42824.3294241752</v>
      </c>
    </row>
    <row r="31" customFormat="false" ht="15" hidden="false" customHeight="false" outlineLevel="0" collapsed="false">
      <c r="A31" s="0" t="s">
        <v>130</v>
      </c>
      <c r="B31" s="0" t="n">
        <f aca="false">L19</f>
        <v>8032.80558732407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108710.635615119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96393.6670478888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96393.6670478888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40717.7266773331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83542.0561015083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69481.0561015083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60.3776059392024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-0.634075115519985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1541.61249066321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1490.32676409875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63.0122986716815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60394.797563955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29.3667980535871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10</v>
      </c>
      <c r="D5" s="4" t="n">
        <f aca="false">Assumptions!D27</f>
        <v>1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57638</v>
      </c>
      <c r="C6" s="0" t="n">
        <f aca="false">B6*(1+C5/100)</f>
        <v>63401.8</v>
      </c>
      <c r="D6" s="0" t="n">
        <f aca="false">C6*(1+D5/100)</f>
        <v>64035.818</v>
      </c>
      <c r="E6" s="0" t="n">
        <f aca="false">D6*(1+E5/100)</f>
        <v>66917.42981</v>
      </c>
      <c r="F6" s="0" t="n">
        <f aca="false">E6*(1+F5/100)</f>
        <v>69594.1270024</v>
      </c>
      <c r="G6" s="0" t="n">
        <f aca="false">F6*(1+G5/100)</f>
        <v>72029.921447484</v>
      </c>
      <c r="H6" s="0" t="n">
        <f aca="false">G6*(1+H5/100)</f>
        <v>74190.8190909085</v>
      </c>
      <c r="I6" s="0" t="n">
        <f aca="false">H6*(1+I5/100)</f>
        <v>76045.5895681812</v>
      </c>
      <c r="J6" s="0" t="n">
        <f aca="false">I6*(1+J5/100)</f>
        <v>77946.7293073857</v>
      </c>
      <c r="K6" s="0" t="n">
        <f aca="false">J6*(1+K5/100)</f>
        <v>79895.3975400704</v>
      </c>
      <c r="L6" s="0" t="n">
        <f aca="false">K6*(1+L5/100)</f>
        <v>81892.7824785721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40.5</v>
      </c>
      <c r="D7" s="4" t="n">
        <f aca="false">Assumptions!D28</f>
        <v>39</v>
      </c>
      <c r="E7" s="4" t="n">
        <f aca="false">Assumptions!E28</f>
        <v>39</v>
      </c>
      <c r="F7" s="4" t="n">
        <f aca="false">Assumptions!F28</f>
        <v>39.5</v>
      </c>
      <c r="G7" s="4" t="n">
        <f aca="false">Assumptions!G28</f>
        <v>40</v>
      </c>
      <c r="H7" s="4" t="n">
        <f aca="false">Assumptions!H28</f>
        <v>40</v>
      </c>
      <c r="I7" s="4" t="n">
        <f aca="false">Assumptions!I28</f>
        <v>40</v>
      </c>
      <c r="J7" s="4" t="n">
        <f aca="false">Assumptions!J28</f>
        <v>40</v>
      </c>
      <c r="K7" s="4" t="n">
        <f aca="false">Assumptions!K28</f>
        <v>40</v>
      </c>
      <c r="L7" s="4" t="n">
        <f aca="false">Assumptions!L28</f>
        <v>40</v>
      </c>
    </row>
    <row r="8" customFormat="false" ht="15" hidden="false" customHeight="false" outlineLevel="0" collapsed="false">
      <c r="A8" s="0" t="s">
        <v>44</v>
      </c>
      <c r="C8" s="0" t="n">
        <f aca="false">C6*C7/100</f>
        <v>25677.729</v>
      </c>
      <c r="D8" s="0" t="n">
        <f aca="false">D6*D7/100</f>
        <v>24973.96902</v>
      </c>
      <c r="E8" s="0" t="n">
        <f aca="false">E6*E7/100</f>
        <v>26097.7976259</v>
      </c>
      <c r="F8" s="0" t="n">
        <f aca="false">F6*F7/100</f>
        <v>27489.680165948</v>
      </c>
      <c r="G8" s="0" t="n">
        <f aca="false">G6*G7/100</f>
        <v>28811.9685789936</v>
      </c>
      <c r="H8" s="0" t="n">
        <f aca="false">H6*H7/100</f>
        <v>29676.3276363634</v>
      </c>
      <c r="I8" s="0" t="n">
        <f aca="false">I6*I7/100</f>
        <v>30418.2358272725</v>
      </c>
      <c r="J8" s="0" t="n">
        <f aca="false">J6*J7/100</f>
        <v>31178.6917229543</v>
      </c>
      <c r="K8" s="0" t="n">
        <f aca="false">K6*K7/100</f>
        <v>31958.1590160282</v>
      </c>
      <c r="L8" s="0" t="n">
        <f aca="false">L6*L7/100</f>
        <v>32757.1129914289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-253.6072</v>
      </c>
      <c r="D10" s="0" t="n">
        <f aca="false">-D6*D9/100</f>
        <v>-256.143272</v>
      </c>
      <c r="E10" s="0" t="n">
        <f aca="false">-E6*E9/100</f>
        <v>-267.66971924</v>
      </c>
      <c r="F10" s="0" t="n">
        <f aca="false">-F6*F9/100</f>
        <v>-278.3765080096</v>
      </c>
      <c r="G10" s="0" t="n">
        <f aca="false">-G6*G9/100</f>
        <v>-288.119685789936</v>
      </c>
      <c r="H10" s="0" t="n">
        <f aca="false">-H6*H9/100</f>
        <v>-296.763276363634</v>
      </c>
      <c r="I10" s="0" t="n">
        <f aca="false">-I6*I9/100</f>
        <v>-304.182358272725</v>
      </c>
      <c r="J10" s="0" t="n">
        <f aca="false">-J6*J9/100</f>
        <v>-311.786917229543</v>
      </c>
      <c r="K10" s="0" t="n">
        <f aca="false">-K6*K9/100</f>
        <v>-319.581590160282</v>
      </c>
      <c r="L10" s="0" t="n">
        <f aca="false">-L6*L9/100</f>
        <v>-327.571129914289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25424.1218</v>
      </c>
      <c r="D11" s="0" t="n">
        <f aca="false">D8+D10+D24</f>
        <v>24717.825748</v>
      </c>
      <c r="E11" s="0" t="n">
        <f aca="false">E8+E10+E24</f>
        <v>25830.12790666</v>
      </c>
      <c r="F11" s="0" t="n">
        <f aca="false">F8+F10+F24</f>
        <v>27211.3036579384</v>
      </c>
      <c r="G11" s="0" t="n">
        <f aca="false">G8+G10+G24</f>
        <v>28523.8488932037</v>
      </c>
      <c r="H11" s="0" t="n">
        <f aca="false">H8+H10+H24</f>
        <v>29379.5643599998</v>
      </c>
      <c r="I11" s="0" t="n">
        <f aca="false">I8+I10+I24</f>
        <v>30114.0534689998</v>
      </c>
      <c r="J11" s="0" t="n">
        <f aca="false">J8+J10+J24</f>
        <v>30866.9048057248</v>
      </c>
      <c r="K11" s="0" t="n">
        <f aca="false">K8+K10+K24</f>
        <v>31638.5774258679</v>
      </c>
      <c r="L11" s="0" t="n">
        <f aca="false">L8+L10+L24</f>
        <v>32429.5418615146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-7354.6088</v>
      </c>
      <c r="D12" s="4" t="n">
        <f aca="false">-D6*Assumptions!D31/100</f>
        <v>-7556.226524</v>
      </c>
      <c r="E12" s="4" t="n">
        <f aca="false">-E6*Assumptions!E31/100</f>
        <v>-8030.0915772</v>
      </c>
      <c r="F12" s="4" t="n">
        <f aca="false">-F6*Assumptions!F31/100</f>
        <v>-8351.295240288</v>
      </c>
      <c r="G12" s="4" t="n">
        <f aca="false">-G6*Assumptions!G31/100</f>
        <v>-8643.59057369808</v>
      </c>
      <c r="H12" s="4" t="n">
        <f aca="false">-H6*Assumptions!H31/100</f>
        <v>-8902.89829090902</v>
      </c>
      <c r="I12" s="4" t="n">
        <f aca="false">-I6*Assumptions!I31/100</f>
        <v>-9125.47074818175</v>
      </c>
      <c r="J12" s="4" t="n">
        <f aca="false">-J6*Assumptions!J31/100</f>
        <v>-9353.60751688629</v>
      </c>
      <c r="K12" s="4" t="n">
        <f aca="false">-K6*Assumptions!K31/100</f>
        <v>-9587.44770480845</v>
      </c>
      <c r="L12" s="4" t="n">
        <f aca="false">-L6*Assumptions!L31/100</f>
        <v>-9827.13389742866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18069.513</v>
      </c>
      <c r="D13" s="0" t="n">
        <f aca="false">D11+D12</f>
        <v>17161.599224</v>
      </c>
      <c r="E13" s="0" t="n">
        <f aca="false">E11+E12</f>
        <v>17800.03632946</v>
      </c>
      <c r="F13" s="0" t="n">
        <f aca="false">F11+F12</f>
        <v>18860.0084176504</v>
      </c>
      <c r="G13" s="0" t="n">
        <f aca="false">G11+G12</f>
        <v>19880.2583195056</v>
      </c>
      <c r="H13" s="0" t="n">
        <f aca="false">H11+H12</f>
        <v>20476.6660690908</v>
      </c>
      <c r="I13" s="0" t="n">
        <f aca="false">I11+I12</f>
        <v>20988.582720818</v>
      </c>
      <c r="J13" s="0" t="n">
        <f aca="false">J11+J12</f>
        <v>21513.2972888385</v>
      </c>
      <c r="K13" s="0" t="n">
        <f aca="false">K11+K12</f>
        <v>22051.1297210594</v>
      </c>
      <c r="L13" s="0" t="n">
        <f aca="false">L11+L12</f>
        <v>22602.4079640859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27</v>
      </c>
      <c r="D14" s="4" t="n">
        <f aca="false">Assumptions!D33</f>
        <v>33</v>
      </c>
      <c r="E14" s="4" t="n">
        <f aca="false">Assumptions!E33</f>
        <v>34</v>
      </c>
      <c r="F14" s="4" t="n">
        <f aca="false">Assumptions!F33</f>
        <v>35</v>
      </c>
      <c r="G14" s="4" t="n">
        <f aca="false">Assumptions!G33</f>
        <v>36</v>
      </c>
      <c r="H14" s="4" t="n">
        <f aca="false">Assumptions!H33</f>
        <v>37</v>
      </c>
      <c r="I14" s="4" t="n">
        <f aca="false">Assumptions!I33</f>
        <v>37</v>
      </c>
      <c r="J14" s="4" t="n">
        <f aca="false">Assumptions!J33</f>
        <v>37</v>
      </c>
      <c r="K14" s="4" t="n">
        <f aca="false">Assumptions!K33</f>
        <v>37</v>
      </c>
      <c r="L14" s="4" t="n">
        <f aca="false">Assumptions!L33</f>
        <v>37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13190.74449</v>
      </c>
      <c r="D15" s="0" t="n">
        <f aca="false">D13-MAX(0,D13)*D14/100</f>
        <v>11498.27148008</v>
      </c>
      <c r="E15" s="0" t="n">
        <f aca="false">E13-MAX(0,E13)*E14/100</f>
        <v>11748.0239774436</v>
      </c>
      <c r="F15" s="0" t="n">
        <f aca="false">F13-MAX(0,F13)*F14/100</f>
        <v>12259.0054714728</v>
      </c>
      <c r="G15" s="0" t="n">
        <f aca="false">G13-MAX(0,G13)*G14/100</f>
        <v>12723.3653244836</v>
      </c>
      <c r="H15" s="0" t="n">
        <f aca="false">H13-MAX(0,H13)*H14/100</f>
        <v>12900.2996235272</v>
      </c>
      <c r="I15" s="0" t="n">
        <f aca="false">I13-MAX(0,I13)*I14/100</f>
        <v>13222.8071141153</v>
      </c>
      <c r="J15" s="0" t="n">
        <f aca="false">J13-MAX(0,J13)*J14/100</f>
        <v>13553.3772919682</v>
      </c>
      <c r="K15" s="0" t="n">
        <f aca="false">K13-MAX(0,K13)*K14/100</f>
        <v>13892.2117242674</v>
      </c>
      <c r="L15" s="0" t="n">
        <f aca="false">L13-MAX(0,L13)*L14/100</f>
        <v>14239.5170173741</v>
      </c>
    </row>
    <row r="16" customFormat="false" ht="15" hidden="false" customHeight="false" outlineLevel="0" collapsed="false">
      <c r="A16" s="0" t="s">
        <v>121</v>
      </c>
      <c r="C16" s="0" t="n">
        <f aca="false">-C12</f>
        <v>7354.6088</v>
      </c>
      <c r="D16" s="0" t="n">
        <f aca="false">-D12</f>
        <v>7556.226524</v>
      </c>
      <c r="E16" s="0" t="n">
        <f aca="false">-E12</f>
        <v>8030.0915772</v>
      </c>
      <c r="F16" s="0" t="n">
        <f aca="false">-F12</f>
        <v>8351.295240288</v>
      </c>
      <c r="G16" s="0" t="n">
        <f aca="false">-G12</f>
        <v>8643.59057369808</v>
      </c>
      <c r="H16" s="0" t="n">
        <f aca="false">-H12</f>
        <v>8902.89829090902</v>
      </c>
      <c r="I16" s="0" t="n">
        <f aca="false">-I12</f>
        <v>9125.47074818175</v>
      </c>
      <c r="J16" s="0" t="n">
        <f aca="false">-J12</f>
        <v>9353.60751688629</v>
      </c>
      <c r="K16" s="0" t="n">
        <f aca="false">-K12</f>
        <v>9587.44770480845</v>
      </c>
      <c r="L16" s="0" t="n">
        <f aca="false">-L12</f>
        <v>9827.13389742866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-11031.9132</v>
      </c>
      <c r="D17" s="4" t="n">
        <f aca="false">-D6*Assumptions!D32/100</f>
        <v>-10886.08906</v>
      </c>
      <c r="E17" s="4" t="n">
        <f aca="false">-E6*Assumptions!E32/100</f>
        <v>-10372.20162055</v>
      </c>
      <c r="F17" s="4" t="n">
        <f aca="false">-F6*Assumptions!F32/100</f>
        <v>-10091.148415348</v>
      </c>
      <c r="G17" s="4" t="n">
        <f aca="false">-G6*Assumptions!G32/100</f>
        <v>-10084.1890026478</v>
      </c>
      <c r="H17" s="4" t="n">
        <f aca="false">-H6*Assumptions!H32/100</f>
        <v>-10015.7605772727</v>
      </c>
      <c r="I17" s="4" t="n">
        <f aca="false">-I6*Assumptions!I32/100</f>
        <v>-10266.1545917045</v>
      </c>
      <c r="J17" s="4" t="n">
        <f aca="false">-J6*Assumptions!J32/100</f>
        <v>-10522.8084564971</v>
      </c>
      <c r="K17" s="4" t="n">
        <f aca="false">-K6*Assumptions!K32/100</f>
        <v>-10785.8786679095</v>
      </c>
      <c r="L17" s="4" t="n">
        <f aca="false">-L6*Assumptions!L32/100</f>
        <v>-11055.5256346072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-288.19</v>
      </c>
      <c r="D18" s="4" t="n">
        <f aca="false">(D6-C6)*Assumptions!$B$37/100</f>
        <v>-31.7009000000002</v>
      </c>
      <c r="E18" s="4" t="n">
        <f aca="false">(E6-D6)*Assumptions!$B$37/100</f>
        <v>-144.0805905</v>
      </c>
      <c r="F18" s="4" t="n">
        <f aca="false">(F6-E6)*Assumptions!$B$37/100</f>
        <v>-133.83485962</v>
      </c>
      <c r="G18" s="4" t="n">
        <f aca="false">(G6-F6)*Assumptions!$B$37/100</f>
        <v>-121.7897222542</v>
      </c>
      <c r="H18" s="4" t="n">
        <f aca="false">(H6-G6)*Assumptions!$B$37/100</f>
        <v>-108.044882171226</v>
      </c>
      <c r="I18" s="4" t="n">
        <f aca="false">(I6-H6)*Assumptions!$B$37/100</f>
        <v>-92.7385238636351</v>
      </c>
      <c r="J18" s="4" t="n">
        <f aca="false">(J6-I6)*Assumptions!$B$37/100</f>
        <v>-95.0569869602259</v>
      </c>
      <c r="K18" s="4" t="n">
        <f aca="false">(K6-J6)*Assumptions!$B$37/100</f>
        <v>-97.4334116342318</v>
      </c>
      <c r="L18" s="4" t="n">
        <f aca="false">(L6-K6)*Assumptions!$B$37/100</f>
        <v>-99.8692469250877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9225.25009</v>
      </c>
      <c r="D19" s="0" t="n">
        <f aca="false">D15+D16+D17+D18</f>
        <v>8136.70804408</v>
      </c>
      <c r="E19" s="0" t="n">
        <f aca="false">E15+E16+E17+E18</f>
        <v>9261.8333435936</v>
      </c>
      <c r="F19" s="0" t="n">
        <f aca="false">F15+F16+F17+F18</f>
        <v>10385.3174367928</v>
      </c>
      <c r="G19" s="0" t="n">
        <f aca="false">G15+G16+G17+G18</f>
        <v>11160.9771732797</v>
      </c>
      <c r="H19" s="0" t="n">
        <f aca="false">H15+H16+H17+H18</f>
        <v>11679.3924549923</v>
      </c>
      <c r="I19" s="0" t="n">
        <f aca="false">I15+I16+I17+I18</f>
        <v>11989.384746729</v>
      </c>
      <c r="J19" s="0" t="n">
        <f aca="false">J15+J16+J17+J18</f>
        <v>12289.1193653972</v>
      </c>
      <c r="K19" s="0" t="n">
        <f aca="false">K15+K16+K17+K18</f>
        <v>12596.3473495321</v>
      </c>
      <c r="L19" s="0" t="n">
        <f aca="false">L15+L16+L17+L18</f>
        <v>12911.2560332705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8463.53219266055</v>
      </c>
      <c r="D21" s="0" t="n">
        <f aca="false">D19*D20</f>
        <v>6848.50437175322</v>
      </c>
      <c r="E21" s="0" t="n">
        <f aca="false">E19*E20</f>
        <v>7151.83470300171</v>
      </c>
      <c r="F21" s="0" t="n">
        <f aca="false">F19*F20</f>
        <v>7357.22069713898</v>
      </c>
      <c r="G21" s="0" t="n">
        <f aca="false">G19*G20</f>
        <v>7253.86936667386</v>
      </c>
      <c r="H21" s="0" t="n">
        <f aca="false">H19*H20</f>
        <v>6964.04011871155</v>
      </c>
      <c r="I21" s="0" t="n">
        <f aca="false">I19*I20</f>
        <v>6558.60403106288</v>
      </c>
      <c r="J21" s="0" t="n">
        <f aca="false">J19*J20</f>
        <v>6167.49461636647</v>
      </c>
      <c r="K21" s="0" t="n">
        <f aca="false">K19*K20</f>
        <v>5799.70824016113</v>
      </c>
      <c r="L21" s="0" t="n">
        <f aca="false">L19*L20</f>
        <v>5453.8540790506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68018.6624165809</v>
      </c>
    </row>
    <row r="31" customFormat="false" ht="15" hidden="false" customHeight="false" outlineLevel="0" collapsed="false">
      <c r="A31" s="0" t="s">
        <v>130</v>
      </c>
      <c r="B31" s="0" t="n">
        <f aca="false">L19</f>
        <v>12911.2560332705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188135.445056227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180757.584465786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180757.584465786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76353.9571067085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144372.619523289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130311.619523289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113.238112002527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-0.313708412105899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1824.75250157373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2016.24252869834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116.575857531515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101303.701184122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54.8125009533633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13</v>
      </c>
      <c r="D5" s="4" t="n">
        <f aca="false">Assumptions!D41</f>
        <v>5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57638</v>
      </c>
      <c r="C6" s="0" t="n">
        <f aca="false">B6*(1+C5/100)</f>
        <v>65130.94</v>
      </c>
      <c r="D6" s="0" t="n">
        <f aca="false">C6*(1+D5/100)</f>
        <v>68387.487</v>
      </c>
      <c r="E6" s="0" t="n">
        <f aca="false">D6*(1+E5/100)</f>
        <v>72490.73622</v>
      </c>
      <c r="F6" s="0" t="n">
        <f aca="false">E6*(1+F5/100)</f>
        <v>76115.273031</v>
      </c>
      <c r="G6" s="0" t="n">
        <f aca="false">F6*(1+G5/100)</f>
        <v>79159.88395224</v>
      </c>
      <c r="H6" s="0" t="n">
        <f aca="false">G6*(1+H5/100)</f>
        <v>81930.4798905684</v>
      </c>
      <c r="I6" s="0" t="n">
        <f aca="false">H6*(1+I5/100)</f>
        <v>84388.3942872854</v>
      </c>
      <c r="J6" s="0" t="n">
        <f aca="false">I6*(1+J5/100)</f>
        <v>86920.046115904</v>
      </c>
      <c r="K6" s="0" t="n">
        <f aca="false">J6*(1+K5/100)</f>
        <v>89527.6474993811</v>
      </c>
      <c r="L6" s="0" t="n">
        <f aca="false">K6*(1+L5/100)</f>
        <v>92213.4769243626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42</v>
      </c>
      <c r="D7" s="4" t="n">
        <f aca="false">Assumptions!D42</f>
        <v>42</v>
      </c>
      <c r="E7" s="4" t="n">
        <f aca="false">Assumptions!E42</f>
        <v>43</v>
      </c>
      <c r="F7" s="4" t="n">
        <f aca="false">Assumptions!F42</f>
        <v>43.5</v>
      </c>
      <c r="G7" s="4" t="n">
        <f aca="false">Assumptions!G42</f>
        <v>44</v>
      </c>
      <c r="H7" s="4" t="n">
        <f aca="false">Assumptions!H42</f>
        <v>44</v>
      </c>
      <c r="I7" s="4" t="n">
        <f aca="false">Assumptions!I42</f>
        <v>44</v>
      </c>
      <c r="J7" s="4" t="n">
        <f aca="false">Assumptions!J42</f>
        <v>44</v>
      </c>
      <c r="K7" s="4" t="n">
        <f aca="false">Assumptions!K42</f>
        <v>44</v>
      </c>
      <c r="L7" s="4" t="n">
        <f aca="false">Assumptions!L42</f>
        <v>44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27354.9948</v>
      </c>
      <c r="D8" s="0" t="n">
        <f aca="false">D6*D7/100</f>
        <v>28722.74454</v>
      </c>
      <c r="E8" s="0" t="n">
        <f aca="false">E6*E7/100</f>
        <v>31171.0165746</v>
      </c>
      <c r="F8" s="0" t="n">
        <f aca="false">F6*F7/100</f>
        <v>33110.143768485</v>
      </c>
      <c r="G8" s="0" t="n">
        <f aca="false">G6*G7/100</f>
        <v>34830.3489389856</v>
      </c>
      <c r="H8" s="0" t="n">
        <f aca="false">H6*H7/100</f>
        <v>36049.4111518501</v>
      </c>
      <c r="I8" s="0" t="n">
        <f aca="false">I6*I7/100</f>
        <v>37130.8934864056</v>
      </c>
      <c r="J8" s="0" t="n">
        <f aca="false">J6*J7/100</f>
        <v>38244.8202909978</v>
      </c>
      <c r="K8" s="0" t="n">
        <f aca="false">K6*K7/100</f>
        <v>39392.1648997277</v>
      </c>
      <c r="L8" s="0" t="n">
        <f aca="false">L6*L7/100</f>
        <v>40573.9298467195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-260.52376</v>
      </c>
      <c r="D10" s="0" t="n">
        <f aca="false">-D6*D9/100</f>
        <v>-273.549948</v>
      </c>
      <c r="E10" s="0" t="n">
        <f aca="false">-E6*E9/100</f>
        <v>-289.96294488</v>
      </c>
      <c r="F10" s="0" t="n">
        <f aca="false">-F6*F9/100</f>
        <v>-304.461092124</v>
      </c>
      <c r="G10" s="0" t="n">
        <f aca="false">-G6*G9/100</f>
        <v>-316.63953580896</v>
      </c>
      <c r="H10" s="0" t="n">
        <f aca="false">-H6*H9/100</f>
        <v>-327.721919562274</v>
      </c>
      <c r="I10" s="0" t="n">
        <f aca="false">-I6*I9/100</f>
        <v>-337.553577149142</v>
      </c>
      <c r="J10" s="0" t="n">
        <f aca="false">-J6*J9/100</f>
        <v>-347.680184463616</v>
      </c>
      <c r="K10" s="0" t="n">
        <f aca="false">-K6*K9/100</f>
        <v>-358.110589997525</v>
      </c>
      <c r="L10" s="0" t="n">
        <f aca="false">-L6*L9/100</f>
        <v>-368.85390769745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27094.47104</v>
      </c>
      <c r="D11" s="0" t="n">
        <f aca="false">D8+D10+D24</f>
        <v>28449.194592</v>
      </c>
      <c r="E11" s="0" t="n">
        <f aca="false">E8+E10+E24</f>
        <v>30881.05362972</v>
      </c>
      <c r="F11" s="0" t="n">
        <f aca="false">F8+F10+F24</f>
        <v>32805.682676361</v>
      </c>
      <c r="G11" s="0" t="n">
        <f aca="false">G8+G10+G24</f>
        <v>34513.7094031766</v>
      </c>
      <c r="H11" s="0" t="n">
        <f aca="false">H8+H10+H24</f>
        <v>35721.6892322878</v>
      </c>
      <c r="I11" s="0" t="n">
        <f aca="false">I8+I10+I24</f>
        <v>36793.3399092565</v>
      </c>
      <c r="J11" s="0" t="n">
        <f aca="false">J8+J10+J24</f>
        <v>37897.1401065342</v>
      </c>
      <c r="K11" s="0" t="n">
        <f aca="false">K8+K10+K24</f>
        <v>39034.0543097302</v>
      </c>
      <c r="L11" s="0" t="n">
        <f aca="false">L8+L10+L24</f>
        <v>40205.0759390221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-7555.18904</v>
      </c>
      <c r="D12" s="4" t="n">
        <f aca="false">-D6*Assumptions!D45/100</f>
        <v>-8069.723466</v>
      </c>
      <c r="E12" s="4" t="n">
        <f aca="false">-E6*Assumptions!E45/100</f>
        <v>-8698.8883464</v>
      </c>
      <c r="F12" s="4" t="n">
        <f aca="false">-F6*Assumptions!F45/100</f>
        <v>-9133.83276372</v>
      </c>
      <c r="G12" s="4" t="n">
        <f aca="false">-G6*Assumptions!G45/100</f>
        <v>-9499.1860742688</v>
      </c>
      <c r="H12" s="4" t="n">
        <f aca="false">-H6*Assumptions!H45/100</f>
        <v>-9831.65758686821</v>
      </c>
      <c r="I12" s="4" t="n">
        <f aca="false">-I6*Assumptions!I45/100</f>
        <v>-10126.6073144743</v>
      </c>
      <c r="J12" s="4" t="n">
        <f aca="false">-J6*Assumptions!J45/100</f>
        <v>-10430.4055339085</v>
      </c>
      <c r="K12" s="4" t="n">
        <f aca="false">-K6*Assumptions!K45/100</f>
        <v>-10743.3176999257</v>
      </c>
      <c r="L12" s="4" t="n">
        <f aca="false">-L6*Assumptions!L45/100</f>
        <v>-11065.6172309235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19539.282</v>
      </c>
      <c r="D13" s="0" t="n">
        <f aca="false">D11+D12</f>
        <v>20379.471126</v>
      </c>
      <c r="E13" s="0" t="n">
        <f aca="false">E11+E12</f>
        <v>22182.16528332</v>
      </c>
      <c r="F13" s="0" t="n">
        <f aca="false">F11+F12</f>
        <v>23671.849912641</v>
      </c>
      <c r="G13" s="0" t="n">
        <f aca="false">G11+G12</f>
        <v>25014.5233289078</v>
      </c>
      <c r="H13" s="0" t="n">
        <f aca="false">H11+H12</f>
        <v>25890.0316454196</v>
      </c>
      <c r="I13" s="0" t="n">
        <f aca="false">I11+I12</f>
        <v>26666.7325947822</v>
      </c>
      <c r="J13" s="0" t="n">
        <f aca="false">J11+J12</f>
        <v>27466.7345726257</v>
      </c>
      <c r="K13" s="0" t="n">
        <f aca="false">K11+K12</f>
        <v>28290.7366098044</v>
      </c>
      <c r="L13" s="0" t="n">
        <f aca="false">L11+L12</f>
        <v>29139.4587080986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27</v>
      </c>
      <c r="D14" s="4" t="n">
        <f aca="false">Assumptions!D47</f>
        <v>33</v>
      </c>
      <c r="E14" s="4" t="n">
        <f aca="false">Assumptions!E47</f>
        <v>34</v>
      </c>
      <c r="F14" s="4" t="n">
        <f aca="false">Assumptions!F47</f>
        <v>35</v>
      </c>
      <c r="G14" s="4" t="n">
        <f aca="false">Assumptions!G47</f>
        <v>36</v>
      </c>
      <c r="H14" s="4" t="n">
        <f aca="false">Assumptions!H47</f>
        <v>37</v>
      </c>
      <c r="I14" s="4" t="n">
        <f aca="false">Assumptions!I47</f>
        <v>37</v>
      </c>
      <c r="J14" s="4" t="n">
        <f aca="false">Assumptions!J47</f>
        <v>37</v>
      </c>
      <c r="K14" s="4" t="n">
        <f aca="false">Assumptions!K47</f>
        <v>37</v>
      </c>
      <c r="L14" s="4" t="n">
        <f aca="false">Assumptions!L47</f>
        <v>37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14263.67586</v>
      </c>
      <c r="D15" s="0" t="n">
        <f aca="false">D13-MAX(0,D13)*D14/100</f>
        <v>13654.24565442</v>
      </c>
      <c r="E15" s="0" t="n">
        <f aca="false">E13-MAX(0,E13)*E14/100</f>
        <v>14640.2290869912</v>
      </c>
      <c r="F15" s="0" t="n">
        <f aca="false">F13-MAX(0,F13)*F14/100</f>
        <v>15386.7024432166</v>
      </c>
      <c r="G15" s="0" t="n">
        <f aca="false">G13-MAX(0,G13)*G14/100</f>
        <v>16009.294930501</v>
      </c>
      <c r="H15" s="0" t="n">
        <f aca="false">H13-MAX(0,H13)*H14/100</f>
        <v>16310.7199366144</v>
      </c>
      <c r="I15" s="0" t="n">
        <f aca="false">I13-MAX(0,I13)*I14/100</f>
        <v>16800.0415347128</v>
      </c>
      <c r="J15" s="0" t="n">
        <f aca="false">J13-MAX(0,J13)*J14/100</f>
        <v>17304.0427807542</v>
      </c>
      <c r="K15" s="0" t="n">
        <f aca="false">K13-MAX(0,K13)*K14/100</f>
        <v>17823.1640641768</v>
      </c>
      <c r="L15" s="0" t="n">
        <f aca="false">L13-MAX(0,L13)*L14/100</f>
        <v>18357.8589861021</v>
      </c>
    </row>
    <row r="16" customFormat="false" ht="15" hidden="false" customHeight="false" outlineLevel="0" collapsed="false">
      <c r="A16" s="0" t="s">
        <v>121</v>
      </c>
      <c r="C16" s="0" t="n">
        <f aca="false">-C12</f>
        <v>7555.18904</v>
      </c>
      <c r="D16" s="0" t="n">
        <f aca="false">-D12</f>
        <v>8069.723466</v>
      </c>
      <c r="E16" s="0" t="n">
        <f aca="false">-E12</f>
        <v>8698.8883464</v>
      </c>
      <c r="F16" s="0" t="n">
        <f aca="false">-F12</f>
        <v>9133.83276372</v>
      </c>
      <c r="G16" s="0" t="n">
        <f aca="false">-G12</f>
        <v>9499.1860742688</v>
      </c>
      <c r="H16" s="0" t="n">
        <f aca="false">-H12</f>
        <v>9831.65758686821</v>
      </c>
      <c r="I16" s="0" t="n">
        <f aca="false">-I12</f>
        <v>10126.6073144743</v>
      </c>
      <c r="J16" s="0" t="n">
        <f aca="false">-J12</f>
        <v>10430.4055339085</v>
      </c>
      <c r="K16" s="0" t="n">
        <f aca="false">-K12</f>
        <v>10743.3176999257</v>
      </c>
      <c r="L16" s="0" t="n">
        <f aca="false">-L12</f>
        <v>11065.6172309235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-11072.2598</v>
      </c>
      <c r="D17" s="4" t="n">
        <f aca="false">-D6*Assumptions!D46/100</f>
        <v>-10941.99792</v>
      </c>
      <c r="E17" s="4" t="n">
        <f aca="false">-E6*Assumptions!E46/100</f>
        <v>-10511.1567519</v>
      </c>
      <c r="F17" s="4" t="n">
        <f aca="false">-F6*Assumptions!F46/100</f>
        <v>-10275.561859185</v>
      </c>
      <c r="G17" s="4" t="n">
        <f aca="false">-G6*Assumptions!G46/100</f>
        <v>-10290.7849137912</v>
      </c>
      <c r="H17" s="4" t="n">
        <f aca="false">-H6*Assumptions!H46/100</f>
        <v>-10650.9623857739</v>
      </c>
      <c r="I17" s="4" t="n">
        <f aca="false">-I6*Assumptions!I46/100</f>
        <v>-10970.4912573471</v>
      </c>
      <c r="J17" s="4" t="n">
        <f aca="false">-J6*Assumptions!J46/100</f>
        <v>-11299.6059950675</v>
      </c>
      <c r="K17" s="4" t="n">
        <f aca="false">-K6*Assumptions!K46/100</f>
        <v>-11638.5941749195</v>
      </c>
      <c r="L17" s="4" t="n">
        <f aca="false">-L6*Assumptions!L46/100</f>
        <v>-11987.7520001671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-374.647</v>
      </c>
      <c r="D18" s="4" t="n">
        <f aca="false">(D6-C6)*Assumptions!$B$51/100</f>
        <v>-162.82735</v>
      </c>
      <c r="E18" s="4" t="n">
        <f aca="false">(E6-D6)*Assumptions!$B$51/100</f>
        <v>-205.162461</v>
      </c>
      <c r="F18" s="4" t="n">
        <f aca="false">(F6-E6)*Assumptions!$B$51/100</f>
        <v>-181.22684055</v>
      </c>
      <c r="G18" s="4" t="n">
        <f aca="false">(G6-F6)*Assumptions!$B$51/100</f>
        <v>-152.230546062</v>
      </c>
      <c r="H18" s="4" t="n">
        <f aca="false">(H6-G6)*Assumptions!$B$51/100</f>
        <v>-138.52979691642</v>
      </c>
      <c r="I18" s="4" t="n">
        <f aca="false">(I6-H6)*Assumptions!$B$51/100</f>
        <v>-122.895719835853</v>
      </c>
      <c r="J18" s="4" t="n">
        <f aca="false">(J6-I6)*Assumptions!$B$51/100</f>
        <v>-126.582591430928</v>
      </c>
      <c r="K18" s="4" t="n">
        <f aca="false">(K6-J6)*Assumptions!$B$51/100</f>
        <v>-130.380069173856</v>
      </c>
      <c r="L18" s="4" t="n">
        <f aca="false">(L6-K6)*Assumptions!$B$51/100</f>
        <v>-134.291471249072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10371.9581</v>
      </c>
      <c r="D19" s="0" t="n">
        <f aca="false">D15+D16+D17+D18</f>
        <v>10619.14385042</v>
      </c>
      <c r="E19" s="0" t="n">
        <f aca="false">E15+E16+E17+E18</f>
        <v>12622.7982204912</v>
      </c>
      <c r="F19" s="0" t="n">
        <f aca="false">F15+F16+F17+F18</f>
        <v>14063.7465072016</v>
      </c>
      <c r="G19" s="0" t="n">
        <f aca="false">G15+G16+G17+G18</f>
        <v>15065.4655449166</v>
      </c>
      <c r="H19" s="0" t="n">
        <f aca="false">H15+H16+H17+H18</f>
        <v>15352.8853407922</v>
      </c>
      <c r="I19" s="0" t="n">
        <f aca="false">I15+I16+I17+I18</f>
        <v>15833.2618720041</v>
      </c>
      <c r="J19" s="0" t="n">
        <f aca="false">J15+J16+J17+J18</f>
        <v>16308.2597281642</v>
      </c>
      <c r="K19" s="0" t="n">
        <f aca="false">K15+K16+K17+K18</f>
        <v>16797.5075200091</v>
      </c>
      <c r="L19" s="0" t="n">
        <f aca="false">L15+L16+L17+L18</f>
        <v>17301.4327456094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9515.55788990826</v>
      </c>
      <c r="D21" s="0" t="n">
        <f aca="false">D19*D20</f>
        <v>8937.92092451814</v>
      </c>
      <c r="E21" s="0" t="n">
        <f aca="false">E19*E20</f>
        <v>9747.1162580075</v>
      </c>
      <c r="F21" s="0" t="n">
        <f aca="false">F19*F20</f>
        <v>9963.11258773174</v>
      </c>
      <c r="G21" s="0" t="n">
        <f aca="false">G19*G20</f>
        <v>9791.51890683761</v>
      </c>
      <c r="H21" s="0" t="n">
        <f aca="false">H19*H20</f>
        <v>9154.42390203729</v>
      </c>
      <c r="I21" s="0" t="n">
        <f aca="false">I19*I20</f>
        <v>8661.33645155824</v>
      </c>
      <c r="J21" s="0" t="n">
        <f aca="false">J19*J20</f>
        <v>8184.565637711</v>
      </c>
      <c r="K21" s="0" t="n">
        <f aca="false">K19*K20</f>
        <v>7734.03908884617</v>
      </c>
      <c r="L21" s="0" t="n">
        <f aca="false">L19*L20</f>
        <v>7308.31216652436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88997.9038136803</v>
      </c>
    </row>
    <row r="31" customFormat="false" ht="15" hidden="false" customHeight="false" outlineLevel="0" collapsed="false">
      <c r="A31" s="0" t="s">
        <v>130</v>
      </c>
      <c r="B31" s="0" t="n">
        <f aca="false">L19</f>
        <v>17301.4327456094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272830.285603841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259521.491184141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259521.491184141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109624.682497865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198622.586311546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184561.586311546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160.380215199272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-0.0279986957619871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1989.88476437508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2456.97036456209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164.244440668894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141871.748513997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77.2171955464231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60.3776059392024</v>
      </c>
      <c r="C4" s="0" t="n">
        <f aca="false">B4/Assumptions!$B$2-1</f>
        <v>-0.634075115519985</v>
      </c>
      <c r="D4" s="4" t="n">
        <f aca="false">Assumptions!$B$24</f>
        <v>0.25</v>
      </c>
      <c r="E4" s="4" t="n">
        <f aca="false">DCF_Bear!$B$43</f>
        <v>63.0122986716815</v>
      </c>
      <c r="F4" s="4" t="n">
        <f aca="false">DCF_Bear!$B$47</f>
        <v>29.3667980535871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113.238112002527</v>
      </c>
      <c r="C5" s="0" t="n">
        <f aca="false">B5/Assumptions!$B$2-1</f>
        <v>-0.313708412105899</v>
      </c>
      <c r="D5" s="4" t="n">
        <f aca="false">Assumptions!$B$38</f>
        <v>0.5</v>
      </c>
      <c r="E5" s="4" t="n">
        <f aca="false">DCF_Base!$B$43</f>
        <v>116.575857531515</v>
      </c>
      <c r="F5" s="4" t="n">
        <f aca="false">DCF_Base!$B$47</f>
        <v>54.8125009533633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160.380215199272</v>
      </c>
      <c r="C6" s="0" t="n">
        <f aca="false">B6/Assumptions!$B$2-1</f>
        <v>-0.0279986957619871</v>
      </c>
      <c r="D6" s="4" t="n">
        <f aca="false">Assumptions!$B$52</f>
        <v>0.25</v>
      </c>
      <c r="E6" s="4" t="n">
        <f aca="false">DCF_Bull!$B$43</f>
        <v>164.244440668894</v>
      </c>
      <c r="F6" s="4" t="n">
        <f aca="false">DCF_Bull!$B$47</f>
        <v>77.2171955464231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111.808511285882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115.102113600902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-0.475737384411758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1614.99427151705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54.0522488766842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113.238112002527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99.3223598161696</v>
      </c>
      <c r="C16" s="3" t="n">
        <v>10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86.4183320450021</v>
      </c>
      <c r="C17" s="3" t="n">
        <v>11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76.1168629182237</v>
      </c>
      <c r="C18" s="3" t="n">
        <v>12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54.8125009533633</v>
      </c>
      <c r="C19" s="3" t="n">
        <v>15</v>
      </c>
    </row>
    <row r="21" customFormat="false" ht="15" hidden="false" customHeight="false" outlineLevel="0" collapsed="false">
      <c r="A21" s="2" t="s">
        <v>166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132.791196384508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132.791196384508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132.791196384508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132.791196384508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132.791196384508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122.561914801106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122.561914801106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122.561914801106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122.561914801106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122.561914801106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106.721592644554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111.026444826487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113.238112002527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113.238112002527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113.238112002527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92.7137317857988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95.8236743883262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99.3223598161696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103.287536634392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104.729419113746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81.5449702709525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83.8534047955023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86.4183320450021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89.2850154415018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92.510034262564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2026-09-25T04:40:36Z</dcterms:created>
  <dc:creator>openpyxl</dc:creator>
  <dc:description/>
  <dc:language>en-NZ</dc:language>
  <cp:lastModifiedBy/>
  <dcterms:modified xsi:type="dcterms:W3CDTF">2026-09-25T04:40:36Z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