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<sst xmlns="http://schemas.openxmlformats.org/spreadsheetml/2006/main" count="367" uniqueCount="169">
  <si>
    <t xml:space="preserve">Ticker</t>
  </si>
  <si>
    <t xml:space="preserve">PSON.L</t>
  </si>
  <si>
    <t xml:space="preserve">Company</t>
  </si>
  <si>
    <t xml:space="preserve">Pearson plc</t>
  </si>
  <si>
    <t xml:space="preserve">Valuation date</t>
  </si>
  <si>
    <t xml:space="preserve">2026-10-10</t>
  </si>
  <si>
    <t xml:space="preserve">Current price</t>
  </si>
  <si>
    <t xml:space="preserve">Price as of</t>
  </si>
  <si>
    <t xml:space="preserve">2026-10-09T15:41:50Z regular close (Friday; valuation written Saturday 2026-10-10)</t>
  </si>
  <si>
    <t xml:space="preserve">Balance sheet date</t>
  </si>
  <si>
    <t xml:space="preserve">2026-06-30</t>
  </si>
  <si>
    <t xml:space="preserve">Model</t>
  </si>
  <si>
    <t xml:space="preserve">owner_fcf_dcf_component</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</si>
  <si>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</si>
  <si>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</si>
  <si>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</si>
  <si>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</si>
  <si>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</si>
  <si>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</si>
  <si>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</si>
  <si>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</si>
  <si>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</si>
  <si>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2026-10-10T01:10:48Z</t>
  </si>
  <si>
    <t xml:space="preserve">Drivers file</t>
  </si>
  <si>
    <t xml:space="preserve">PSON.L_Drivers.json</t>
  </si>
  <si>
    <t xml:space="preserve">Convention</t>
  </si>
  <si>
    <t xml:space="preserve">Percents stored as percents; formulas divide by 100. Blue = input, green = link, black = formula.</t>
  </si>
  <si>
    <t xml:space="preserve">Methodology</t>
  </si>
  <si>
    <t xml:space="preserve">summary: Pearson is valued as a mature, cash-generative operating company on an owner-FCF basis: SBC expensed and the share count held flat, lease cash charged inside the flows with lease liabilities out of net debt, capitalised product development treated as the capex it is, and the FY2025 tax refund and working-capital swing both normalised away. The business is c.90% operationally complex assessment, virtual-school and print services with high renewal rates, which supports the medium-term framework in the base case; the valuation question is whether AI expands demand for trusted skills verification (bull) or erodes courseware economics (bear). Value is mostly terminal (a 2% perpetuity on a 34% EBITDA / c.13% owner-FCF margin, capped at 15x), discounted at a GBP WACC of 8% used identically across scenarios so that risk is charged once, in the probability-weighted flows.
key_risks_to_valuation: Generative AI substituting Higher Education courseware, study tools and English-language instruction; the bull/bear spread is largely this axis; PTE (English test) volumes tied to UK/Australia/Canada migration and study-visa policy; already declining in H1 FY2026; US state and national assessment contract renewals in A&amp;Q (45% of sales, 59% of profit); a single large loss moves the group; USD translation: c.60% of revenue in USD, guidance set at GBP:USD 1.35, 1c = c.GBP5m adjusted operating profit; Capitalised product development (c.8% of sales) running above amortisation would mean reported FCF conversion overstates economic cash generation; the model charges the cash; US K12 virtual-school funding and charter authorisations (Virtual Learning, 14% of sales); Rising net debt from debt-funded buybacks (GBP1.4bn at 30 Jun 2026, 1.3x adjusted EBITDA) if cash flow disappoints; adjusted net finance costs guided to c.GBP80m; Terminal value is c.55% of EV; each 0.5pt of WACC is worth roughly 7-8% of base value</t>
  </si>
  <si>
    <t xml:space="preserve">Data sources</t>
  </si>
  <si>
    <t xml:space="preserve">price: Yahoo Finance chart API at inputs.price_as_of; 52-week range 874.8-1337.0 GBp
financials: PSON.L_Metrics.csv (core_metrics, FY2014-FY2025 plus H1 FY2024-26); FY2025 Annual Report (cash flow statement, note 7 EPS dilution, adjusted EBITDA and free cash flow reconciliations, note 35 leases, pension note); 2026 Interim Results for the six months to 30 Jun 2026 (file PSON.L_HalfYear_H2-2026.txt: condensed balance sheet, net debt note, dilution, buyback note, 2026 guidance summary)
qualitative: FY2025 Annual Report strategic report and business-unit review; 2026 Interim Results outlook; Pearson pre-close aide memoires dated 30 Mar, 26 Jun and 3 Sep 2026 (Q1 trading update, interim transcript extracts incl. AI skills verification agreement, ELL guidance change, share-count and bond disclosures); 'Introduction to Pearson' May 2026 presentation (medium-term guidance, capital allocation). PSON.L_Analysis.json not yet available at build time.</t>
  </si>
  <si>
    <t xml:space="preserve">Scenario narrative: bear</t>
  </si>
  <si>
    <t xml:space="preserve">Generative AI answer engines and free AI tutors hollow out Higher Education courseware and study-tool pricing faster than Pearson can reposition; PTE's decline proves structural as the UK, Australia and Canada keep tightening study-visa routes; a major US state assessment contract is lost on renewal and US K12 virtual-school funding tightens; and USD weakness compounds the GBP numbers. Group growth stalls at c.1%, margins give back c.120bps because Pearson must keep spending c.12% of sales on product and AI to defend its position, and the market re-rates it to a 12x cash multiple. There is no balance-sheet stress in this path (net debt/EBITDA stays well under the 2x self-imposed cap); the loss is a permanently lower earnings base, not solvency.</t>
  </si>
  <si>
    <t xml:space="preserve">Scenario narrative: base</t>
  </si>
  <si>
    <t xml:space="preserve">Pearson delivers its medium-term framework roughly as guided: mid-single-digit underlying sales growth (c.4% in GBP after USD translation), +40bps/yr of margin from operating leverage, cost efficiency and the holding-company-to-operating-company simplification, and 90-100% free-cash conversion. Assessment &amp; Qualifications (45% of sales, 59% of profit) remains the anchor -- contract renewals, pricing and the new AI-skills certification work through Pearson VUE -- while Virtual Learning compounds enrolments, Higher Education grows low-single-digit on Inclusive Access and pricing, and English Language Learning is a drag until PTE stabilises. Cash is returned through a 5%-growing dividend and c.GBP350m/yr buybacks, which are value-neutral in this model. The 22 Oct 2026 nine-month update is the first checkpoint; a cut to the GBP640-685m profit range would move year 1.</t>
  </si>
  <si>
    <t xml:space="preserve">Scenario narrative: bull</t>
  </si>
  <si>
    <t xml:space="preserve">AI turns out to be a demand driver for Pearson rather than a substitute: the certification agreement with a leading AI lab is the first of several enterprise-scale skills-verification programmes delivered through the VUE test-centre network, Enterprise Learning &amp; Skills becomes a genuine third growth vector, Virtual Learning sustains high-single-digit enrolment growth, HE's platform convergence lifts US courseware share, and PTE recovers as migration flows normalise. Underlying growth runs 5-5.5% for five years and margins expand c.60bps/yr to a 20%+ adjusted operating margin by 2030 while capex intensity eases. Unmodelled upside on top: the c.GBP480m UK pension surplus (c.60p/share after refund tax) and any Anthropic class-action distribution.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</si>
  <si>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</si>
  <si>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</si>
  <si>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</si>
  <si>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</si>
  <si>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</si>
  <si>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</si>
  <si>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</si>
  <si>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</si>
  <si>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</si>
  <si>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</si>
  <si>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</si>
  <si>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</si>
  <si>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</si>
  <si>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</si>
  <si>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</si>
  <si>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</si>
  <si>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</si>
  <si>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</si>
  <si>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</si>
  <si>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</si>
  <si>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</si>
  <si>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</si>
  <si>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</si>
  <si>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</si>
  <si>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</si>
  <si>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</si>
  <si>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</si>
  <si>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EPS_Basic</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</si>
  <si>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</si>
  <si>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</si>
  <si>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</si>
  <si>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</si>
  <si>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</si>
  <si>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</si>
  <si>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</si>
  <si>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</si>
  <si>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</si>
  <si>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</si>
  <si>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</si>
  <si>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</si>
  <si>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</si>
  <si>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</si>
  <si>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</si>
  <si>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</si>
  <si>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</si>
  <si>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</si>
  <si>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</si>
  <si>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</si>
  <si>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</si>
  <si>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</si>
  <si>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</si>
  <si>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</si>
  <si>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</si>
  <si>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</si>
  <si>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</si>
  <si>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</si>
  <si>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</si>
  <si>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</si>
  <si>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</si>
  <si>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</si>
  <si>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</si>
  <si>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</si>
  <si>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</si>
  <si>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</si>
  <si>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</si>
  <si>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</si>
  <si>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</si>
  <si>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</si>
  <si>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</si>
  <si>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</si>
  <si>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</si>
  <si>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</si>
  <si>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</si>
  <si>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</si>
  <si>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</si>
  <si>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</si>
  <si>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</si>
  <si>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PSON.L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</si>
  <si>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</si>
  <si>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</si>
  <si>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</si>
  <si>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</si>
  <si>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</si>
  <si>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</si>
  <si>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</si>
  <si>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</si>
  <si>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</si>
  <si>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</si>
  <si>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</si>
  <si>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</si>
  <si>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</si>
  <si>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</si>
  <si>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</si>
  <si>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</si>
  <si>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</si>
  <si>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</si>
  <si>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</si>
  <si>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</si>
  <si>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</si>
  <si>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</si>
  <si>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</si>
  <si>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</si>
  <si>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</si>
  <si>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</si>
  <si>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</si>
  <si>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</si>
  <si>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</si>
  <si>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</si>
  <si>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PSON.L owner-FCF component DCF: base case (millions, GBP)</t>
  </si>
  <si>
    <t xml:space="preserve">PSON.L owner-FCF component DCF: bull case (millions, GBP)</t>
  </si>
  <si>
    <t xml:space="preserve">PSON.L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</si>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</sst>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1285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4540</v>
      </c>
      <c r="C2" s="0" t="n">
        <v>2021</v>
      </c>
      <c r="D2" s="0" t="n">
        <v>2519</v>
      </c>
      <c r="E2" s="0" t="n">
        <v>55.5</v>
      </c>
      <c r="F2" s="0" t="n">
        <v>348</v>
      </c>
      <c r="G2" s="0" t="n">
        <v>7.7</v>
      </c>
      <c r="I2" s="0" t="n">
        <v>471</v>
      </c>
      <c r="J2" s="0" t="n">
        <v>10.4</v>
      </c>
      <c r="K2" s="0" t="n">
        <v>0.58</v>
      </c>
      <c r="L2" s="0" t="n">
        <v>455</v>
      </c>
      <c r="M2" s="0" t="n">
        <v>182</v>
      </c>
      <c r="N2" s="0" t="n">
        <v>273</v>
      </c>
      <c r="O2" s="0" t="n">
        <v>5985</v>
      </c>
      <c r="P2" s="0" t="n">
        <v>11397</v>
      </c>
      <c r="Q2" s="0" t="n">
        <v>5412</v>
      </c>
      <c r="R2" s="0" t="n">
        <v>2225</v>
      </c>
      <c r="S2" s="0" t="n">
        <v>530</v>
      </c>
      <c r="T2" s="0" t="n">
        <v>812.1</v>
      </c>
      <c r="AA2" s="0" t="s">
        <v>18</v>
      </c>
      <c r="AB2" s="0" t="s">
        <v>14</v>
      </c>
      <c r="AC2" s="0" t="n">
        <v>0.581</v>
      </c>
    </row>
    <row r="3" customFormat="false" ht="15" hidden="false" customHeight="false" outlineLevel="0" collapsed="false">
      <c r="A3" s="0" t="s">
        <v>66</v>
      </c>
      <c r="B3" s="0" t="n">
        <v>4468</v>
      </c>
      <c r="C3" s="0" t="n">
        <v>1981</v>
      </c>
      <c r="D3" s="0" t="n">
        <v>2487</v>
      </c>
      <c r="E3" s="0" t="n">
        <v>55.7</v>
      </c>
      <c r="F3" s="0" t="n">
        <v>-404</v>
      </c>
      <c r="G3" s="0" t="n">
        <v>-9</v>
      </c>
      <c r="H3" s="0" t="n">
        <v>872</v>
      </c>
      <c r="I3" s="0" t="n">
        <v>823</v>
      </c>
      <c r="J3" s="0" t="n">
        <v>18.4</v>
      </c>
      <c r="K3" s="0" t="n">
        <v>1.012</v>
      </c>
      <c r="L3" s="0" t="n">
        <v>211</v>
      </c>
      <c r="M3" s="0" t="n">
        <v>247</v>
      </c>
      <c r="N3" s="0" t="n">
        <v>-36</v>
      </c>
      <c r="O3" s="0" t="n">
        <v>6414</v>
      </c>
      <c r="P3" s="0" t="n">
        <v>11635</v>
      </c>
      <c r="Q3" s="0" t="n">
        <v>5217</v>
      </c>
      <c r="R3" s="0" t="n">
        <v>2330</v>
      </c>
      <c r="S3" s="0" t="n">
        <v>1703</v>
      </c>
      <c r="T3" s="0" t="n">
        <v>813.2</v>
      </c>
      <c r="U3" s="0" t="n">
        <v>26</v>
      </c>
      <c r="AA3" s="0" t="s">
        <v>18</v>
      </c>
      <c r="AB3" s="0" t="s">
        <v>14</v>
      </c>
      <c r="AC3" s="0" t="n">
        <v>1.012</v>
      </c>
    </row>
    <row r="4" customFormat="false" ht="15" hidden="false" customHeight="false" outlineLevel="0" collapsed="false">
      <c r="A4" s="0" t="s">
        <v>67</v>
      </c>
      <c r="B4" s="0" t="n">
        <v>4552</v>
      </c>
      <c r="C4" s="0" t="n">
        <v>2093</v>
      </c>
      <c r="D4" s="0" t="n">
        <v>2459</v>
      </c>
      <c r="E4" s="0" t="n">
        <v>54</v>
      </c>
      <c r="F4" s="0" t="n">
        <v>-2497</v>
      </c>
      <c r="G4" s="0" t="n">
        <v>-54.9</v>
      </c>
      <c r="H4" s="0" t="n">
        <v>785</v>
      </c>
      <c r="I4" s="0" t="n">
        <v>-2337</v>
      </c>
      <c r="J4" s="0" t="n">
        <v>-51.3</v>
      </c>
      <c r="K4" s="0" t="n">
        <v>-2.868</v>
      </c>
      <c r="L4" s="0" t="n">
        <v>410</v>
      </c>
      <c r="M4" s="0" t="n">
        <v>245</v>
      </c>
      <c r="N4" s="0" t="n">
        <v>165</v>
      </c>
      <c r="O4" s="0" t="n">
        <v>4344</v>
      </c>
      <c r="P4" s="0" t="n">
        <v>10066</v>
      </c>
      <c r="Q4" s="0" t="n">
        <v>5718</v>
      </c>
      <c r="R4" s="0" t="n">
        <v>2468</v>
      </c>
      <c r="S4" s="0" t="n">
        <v>1459</v>
      </c>
      <c r="T4" s="0" t="n">
        <v>814.9</v>
      </c>
      <c r="U4" s="0" t="n">
        <v>22</v>
      </c>
      <c r="AA4" s="0" t="s">
        <v>18</v>
      </c>
      <c r="AB4" s="0" t="s">
        <v>14</v>
      </c>
      <c r="AC4" s="0" t="n">
        <v>-2.868</v>
      </c>
    </row>
    <row r="5" customFormat="false" ht="15" hidden="false" customHeight="false" outlineLevel="0" collapsed="false">
      <c r="A5" s="0" t="s">
        <v>68</v>
      </c>
      <c r="B5" s="0" t="n">
        <v>4513</v>
      </c>
      <c r="C5" s="0" t="n">
        <v>2066</v>
      </c>
      <c r="D5" s="0" t="n">
        <v>2447</v>
      </c>
      <c r="E5" s="0" t="n">
        <v>54.2</v>
      </c>
      <c r="F5" s="0" t="n">
        <v>451</v>
      </c>
      <c r="G5" s="0" t="n">
        <v>10</v>
      </c>
      <c r="H5" s="0" t="n">
        <v>738</v>
      </c>
      <c r="I5" s="0" t="n">
        <v>406</v>
      </c>
      <c r="J5" s="0" t="n">
        <v>9</v>
      </c>
      <c r="K5" s="0" t="n">
        <v>0.499</v>
      </c>
      <c r="L5" s="0" t="n">
        <v>298</v>
      </c>
      <c r="M5" s="0" t="n">
        <v>232</v>
      </c>
      <c r="N5" s="0" t="n">
        <v>66</v>
      </c>
      <c r="O5" s="0" t="n">
        <v>4013</v>
      </c>
      <c r="P5" s="0" t="n">
        <v>7888</v>
      </c>
      <c r="Q5" s="0" t="n">
        <v>3867</v>
      </c>
      <c r="R5" s="0" t="n">
        <v>1085</v>
      </c>
      <c r="S5" s="0" t="n">
        <v>518</v>
      </c>
      <c r="T5" s="0" t="n">
        <v>813.6</v>
      </c>
      <c r="U5" s="0" t="n">
        <v>33</v>
      </c>
      <c r="AA5" s="0" t="s">
        <v>18</v>
      </c>
      <c r="AB5" s="0" t="s">
        <v>14</v>
      </c>
      <c r="AC5" s="0" t="n">
        <v>0.499</v>
      </c>
    </row>
    <row r="6" customFormat="false" ht="15" hidden="false" customHeight="false" outlineLevel="0" collapsed="false">
      <c r="A6" s="0" t="s">
        <v>69</v>
      </c>
      <c r="B6" s="0" t="n">
        <v>4129</v>
      </c>
      <c r="C6" s="0" t="n">
        <v>1943</v>
      </c>
      <c r="D6" s="0" t="n">
        <v>2186</v>
      </c>
      <c r="E6" s="0" t="n">
        <v>52.9</v>
      </c>
      <c r="F6" s="0" t="n">
        <v>553</v>
      </c>
      <c r="G6" s="0" t="n">
        <v>13.4</v>
      </c>
      <c r="H6" s="0" t="n">
        <v>699</v>
      </c>
      <c r="I6" s="0" t="n">
        <v>588</v>
      </c>
      <c r="J6" s="0" t="n">
        <v>14.2</v>
      </c>
      <c r="K6" s="0" t="n">
        <v>0.755</v>
      </c>
      <c r="L6" s="0" t="n">
        <v>462</v>
      </c>
      <c r="M6" s="0" t="n">
        <v>200</v>
      </c>
      <c r="N6" s="0" t="n">
        <v>262</v>
      </c>
      <c r="O6" s="0" t="n">
        <v>4516</v>
      </c>
      <c r="P6" s="0" t="n">
        <v>7905</v>
      </c>
      <c r="Q6" s="0" t="n">
        <v>3380</v>
      </c>
      <c r="R6" s="0" t="n">
        <v>720</v>
      </c>
      <c r="S6" s="0" t="n">
        <v>568</v>
      </c>
      <c r="T6" s="0" t="n">
        <v>778.8</v>
      </c>
      <c r="U6" s="0" t="n">
        <v>37</v>
      </c>
      <c r="AA6" s="0" t="s">
        <v>18</v>
      </c>
      <c r="AB6" s="0" t="s">
        <v>14</v>
      </c>
      <c r="AC6" s="0" t="n">
        <v>0.756</v>
      </c>
    </row>
    <row r="7" customFormat="false" ht="15" hidden="false" customHeight="false" outlineLevel="0" collapsed="false">
      <c r="A7" s="0" t="s">
        <v>70</v>
      </c>
      <c r="B7" s="0" t="n">
        <v>3869</v>
      </c>
      <c r="C7" s="0" t="n">
        <v>1858</v>
      </c>
      <c r="D7" s="0" t="n">
        <v>2011</v>
      </c>
      <c r="E7" s="0" t="n">
        <v>52</v>
      </c>
      <c r="F7" s="0" t="n">
        <v>275</v>
      </c>
      <c r="G7" s="0" t="n">
        <v>7.1</v>
      </c>
      <c r="H7" s="0" t="n">
        <v>804</v>
      </c>
      <c r="I7" s="0" t="n">
        <v>264</v>
      </c>
      <c r="J7" s="0" t="n">
        <v>6.8</v>
      </c>
      <c r="K7" s="0" t="n">
        <v>0.34</v>
      </c>
      <c r="L7" s="0" t="n">
        <v>369</v>
      </c>
      <c r="M7" s="0" t="n">
        <v>193</v>
      </c>
      <c r="N7" s="0" t="n">
        <v>176</v>
      </c>
      <c r="O7" s="0" t="n">
        <v>4313</v>
      </c>
      <c r="P7" s="0" t="n">
        <v>7650</v>
      </c>
      <c r="Q7" s="0" t="n">
        <v>3327</v>
      </c>
      <c r="R7" s="0" t="n">
        <v>1664</v>
      </c>
      <c r="S7" s="0" t="n">
        <v>437</v>
      </c>
      <c r="T7" s="0" t="n">
        <v>776.5</v>
      </c>
      <c r="U7" s="0" t="n">
        <v>25</v>
      </c>
      <c r="AA7" s="0" t="s">
        <v>18</v>
      </c>
      <c r="AB7" s="0" t="s">
        <v>14</v>
      </c>
      <c r="AC7" s="0" t="n">
        <v>0.34</v>
      </c>
    </row>
    <row r="8" customFormat="false" ht="15" hidden="false" customHeight="false" outlineLevel="0" collapsed="false">
      <c r="A8" s="0" t="s">
        <v>71</v>
      </c>
      <c r="B8" s="0" t="n">
        <v>3397</v>
      </c>
      <c r="C8" s="0" t="n">
        <v>1767</v>
      </c>
      <c r="D8" s="0" t="n">
        <v>1630</v>
      </c>
      <c r="E8" s="0" t="n">
        <v>48</v>
      </c>
      <c r="F8" s="0" t="n">
        <v>411</v>
      </c>
      <c r="G8" s="0" t="n">
        <v>12.1</v>
      </c>
      <c r="I8" s="0" t="n">
        <v>330</v>
      </c>
      <c r="J8" s="0" t="n">
        <v>9.7</v>
      </c>
      <c r="K8" s="0" t="n">
        <v>0.437</v>
      </c>
      <c r="L8" s="0" t="n">
        <v>389</v>
      </c>
      <c r="M8" s="0" t="n">
        <v>134</v>
      </c>
      <c r="N8" s="0" t="n">
        <v>255</v>
      </c>
      <c r="O8" s="0" t="n">
        <v>4125</v>
      </c>
      <c r="P8" s="0" t="n">
        <v>7451</v>
      </c>
      <c r="Q8" s="0" t="n">
        <v>3317</v>
      </c>
      <c r="R8" s="0" t="n">
        <v>1651</v>
      </c>
      <c r="S8" s="0" t="n">
        <v>1097</v>
      </c>
      <c r="T8" s="0" t="n">
        <v>755.1</v>
      </c>
      <c r="U8" s="0" t="n">
        <v>29</v>
      </c>
      <c r="AA8" s="0" t="s">
        <v>18</v>
      </c>
      <c r="AB8" s="0" t="s">
        <v>14</v>
      </c>
      <c r="AC8" s="0" t="n">
        <v>0.437</v>
      </c>
    </row>
    <row r="9" customFormat="false" ht="15" hidden="false" customHeight="false" outlineLevel="0" collapsed="false">
      <c r="A9" s="0" t="s">
        <v>72</v>
      </c>
      <c r="B9" s="0" t="n">
        <v>3428</v>
      </c>
      <c r="C9" s="0" t="n">
        <v>1747</v>
      </c>
      <c r="D9" s="0" t="n">
        <v>1681</v>
      </c>
      <c r="E9" s="0" t="n">
        <v>49</v>
      </c>
      <c r="F9" s="0" t="n">
        <v>183</v>
      </c>
      <c r="G9" s="0" t="n">
        <v>5.3</v>
      </c>
      <c r="H9" s="0" t="n">
        <v>598</v>
      </c>
      <c r="I9" s="0" t="n">
        <v>177</v>
      </c>
      <c r="J9" s="0" t="n">
        <v>5.2</v>
      </c>
      <c r="K9" s="0" t="n">
        <v>0.233</v>
      </c>
      <c r="L9" s="0" t="n">
        <v>326</v>
      </c>
      <c r="M9" s="0" t="n">
        <v>176</v>
      </c>
      <c r="N9" s="0" t="n">
        <v>150</v>
      </c>
      <c r="O9" s="0" t="n">
        <v>4270</v>
      </c>
      <c r="P9" s="0" t="n">
        <v>7343</v>
      </c>
      <c r="Q9" s="0" t="n">
        <v>3063</v>
      </c>
      <c r="R9" s="0" t="n">
        <v>1400</v>
      </c>
      <c r="S9" s="0" t="n">
        <v>937</v>
      </c>
      <c r="T9" s="0" t="n">
        <v>759.7</v>
      </c>
      <c r="U9" s="0" t="n">
        <v>28</v>
      </c>
      <c r="AA9" s="0" t="s">
        <v>18</v>
      </c>
      <c r="AB9" s="0" t="s">
        <v>14</v>
      </c>
      <c r="AC9" s="0" t="n">
        <v>0.235</v>
      </c>
    </row>
    <row r="10" customFormat="false" ht="15" hidden="false" customHeight="false" outlineLevel="0" collapsed="false">
      <c r="A10" s="0" t="s">
        <v>73</v>
      </c>
      <c r="B10" s="0" t="n">
        <v>3841</v>
      </c>
      <c r="C10" s="0" t="n">
        <v>2046</v>
      </c>
      <c r="D10" s="0" t="n">
        <v>1795</v>
      </c>
      <c r="E10" s="0" t="n">
        <v>46.7</v>
      </c>
      <c r="F10" s="0" t="n">
        <v>271</v>
      </c>
      <c r="G10" s="0" t="n">
        <v>7.1</v>
      </c>
      <c r="H10" s="0" t="n">
        <v>667</v>
      </c>
      <c r="I10" s="0" t="n">
        <v>242</v>
      </c>
      <c r="J10" s="0" t="n">
        <v>6.3</v>
      </c>
      <c r="K10" s="0" t="n">
        <v>0.326</v>
      </c>
      <c r="L10" s="0" t="n">
        <v>361</v>
      </c>
      <c r="M10" s="0" t="n">
        <v>147</v>
      </c>
      <c r="N10" s="0" t="n">
        <v>214</v>
      </c>
      <c r="O10" s="0" t="n">
        <v>4402</v>
      </c>
      <c r="P10" s="0" t="n">
        <v>7324</v>
      </c>
      <c r="Q10" s="0" t="n">
        <v>2909</v>
      </c>
      <c r="R10" s="0" t="n">
        <v>1230</v>
      </c>
      <c r="S10" s="0" t="n">
        <v>558</v>
      </c>
      <c r="T10" s="0" t="n">
        <v>742.3</v>
      </c>
      <c r="U10" s="0" t="n">
        <v>35</v>
      </c>
      <c r="AA10" s="0" t="s">
        <v>18</v>
      </c>
      <c r="AB10" s="0" t="s">
        <v>14</v>
      </c>
      <c r="AC10" s="0" t="n">
        <v>0.328</v>
      </c>
    </row>
    <row r="11" customFormat="false" ht="15" hidden="false" customHeight="false" outlineLevel="0" collapsed="false">
      <c r="A11" s="0" t="s">
        <v>74</v>
      </c>
      <c r="B11" s="0" t="n">
        <v>3674</v>
      </c>
      <c r="C11" s="0" t="n">
        <v>1839</v>
      </c>
      <c r="D11" s="0" t="n">
        <v>1835</v>
      </c>
      <c r="E11" s="0" t="n">
        <v>49.9</v>
      </c>
      <c r="F11" s="0" t="n">
        <v>498</v>
      </c>
      <c r="G11" s="0" t="n">
        <v>13.6</v>
      </c>
      <c r="H11" s="0" t="n">
        <v>775</v>
      </c>
      <c r="I11" s="0" t="n">
        <v>378</v>
      </c>
      <c r="J11" s="0" t="n">
        <v>10.3</v>
      </c>
      <c r="K11" s="0" t="n">
        <v>0.527</v>
      </c>
      <c r="L11" s="0" t="n">
        <v>525</v>
      </c>
      <c r="M11" s="0" t="n">
        <v>126</v>
      </c>
      <c r="N11" s="0" t="n">
        <v>399</v>
      </c>
      <c r="O11" s="0" t="n">
        <v>3974</v>
      </c>
      <c r="P11" s="0" t="n">
        <v>6727</v>
      </c>
      <c r="Q11" s="0" t="n">
        <v>2739</v>
      </c>
      <c r="R11" s="0" t="n">
        <v>1161</v>
      </c>
      <c r="S11" s="0" t="n">
        <v>312</v>
      </c>
      <c r="T11" s="0" t="n">
        <v>717.3</v>
      </c>
      <c r="U11" s="0" t="n">
        <v>40</v>
      </c>
      <c r="AA11" s="0" t="s">
        <v>18</v>
      </c>
      <c r="AB11" s="0" t="s">
        <v>14</v>
      </c>
      <c r="AC11" s="0" t="n">
        <v>0.531</v>
      </c>
    </row>
    <row r="12" customFormat="false" ht="15" hidden="false" customHeight="false" outlineLevel="0" collapsed="false">
      <c r="A12" s="0" t="s">
        <v>75</v>
      </c>
      <c r="B12" s="0" t="n">
        <v>3552</v>
      </c>
      <c r="C12" s="0" t="n">
        <v>1741</v>
      </c>
      <c r="D12" s="0" t="n">
        <v>1811</v>
      </c>
      <c r="E12" s="0" t="n">
        <v>51</v>
      </c>
      <c r="F12" s="0" t="n">
        <v>541</v>
      </c>
      <c r="G12" s="0" t="n">
        <v>15.2</v>
      </c>
      <c r="H12" s="0" t="n">
        <v>793</v>
      </c>
      <c r="I12" s="0" t="n">
        <v>434</v>
      </c>
      <c r="J12" s="0" t="n">
        <v>12.2</v>
      </c>
      <c r="K12" s="0" t="n">
        <v>0.635</v>
      </c>
      <c r="L12" s="0" t="n">
        <v>627</v>
      </c>
      <c r="M12" s="0" t="n">
        <v>124</v>
      </c>
      <c r="N12" s="0" t="n">
        <v>503</v>
      </c>
      <c r="O12" s="0" t="n">
        <v>4038</v>
      </c>
      <c r="P12" s="0" t="n">
        <v>6892</v>
      </c>
      <c r="Q12" s="0" t="n">
        <v>2839</v>
      </c>
      <c r="R12" s="0" t="n">
        <v>1472</v>
      </c>
      <c r="S12" s="0" t="n">
        <v>543</v>
      </c>
      <c r="T12" s="0" t="n">
        <v>683.5</v>
      </c>
      <c r="U12" s="0" t="n">
        <v>44</v>
      </c>
      <c r="AA12" s="0" t="s">
        <v>18</v>
      </c>
      <c r="AB12" s="0" t="s">
        <v>14</v>
      </c>
      <c r="AC12" s="0" t="n">
        <v>0.645</v>
      </c>
    </row>
    <row r="13" customFormat="false" ht="15" hidden="false" customHeight="false" outlineLevel="0" collapsed="false">
      <c r="A13" s="0" t="s">
        <v>76</v>
      </c>
      <c r="B13" s="0" t="n">
        <v>3577</v>
      </c>
      <c r="C13" s="0" t="n">
        <v>1717</v>
      </c>
      <c r="D13" s="0" t="n">
        <v>1860</v>
      </c>
      <c r="E13" s="0" t="n">
        <v>52</v>
      </c>
      <c r="F13" s="0" t="n">
        <v>507</v>
      </c>
      <c r="G13" s="0" t="n">
        <v>14.2</v>
      </c>
      <c r="H13" s="0" t="n">
        <v>800</v>
      </c>
      <c r="I13" s="0" t="n">
        <v>335</v>
      </c>
      <c r="J13" s="0" t="n">
        <v>9.4</v>
      </c>
      <c r="K13" s="0" t="n">
        <v>0.507</v>
      </c>
      <c r="L13" s="0" t="n">
        <v>656</v>
      </c>
      <c r="M13" s="0" t="n">
        <v>134</v>
      </c>
      <c r="N13" s="0" t="n">
        <v>522</v>
      </c>
      <c r="O13" s="0" t="n">
        <v>3648</v>
      </c>
      <c r="P13" s="0" t="n">
        <v>6458</v>
      </c>
      <c r="Q13" s="0" t="n">
        <v>2795</v>
      </c>
      <c r="R13" s="0" t="n">
        <v>1481</v>
      </c>
      <c r="S13" s="0" t="n">
        <v>333</v>
      </c>
      <c r="T13" s="0" t="n">
        <v>660.7</v>
      </c>
      <c r="U13" s="0" t="n">
        <v>39</v>
      </c>
      <c r="AA13" s="0" t="s">
        <v>18</v>
      </c>
      <c r="AB13" s="0" t="s">
        <v>14</v>
      </c>
      <c r="AC13" s="0" t="n">
        <v>0.514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1285</v>
      </c>
    </row>
    <row r="3" customFormat="false" ht="15" hidden="false" customHeight="false" outlineLevel="0" collapsed="false">
      <c r="A3" s="0" t="s">
        <v>80</v>
      </c>
      <c r="B3" s="3" t="n">
        <v>605.1</v>
      </c>
    </row>
    <row r="4" customFormat="false" ht="15" hidden="false" customHeight="false" outlineLevel="0" collapsed="false">
      <c r="A4" s="0" t="s">
        <v>81</v>
      </c>
      <c r="B4" s="3" t="n">
        <v>1418</v>
      </c>
    </row>
    <row r="5" customFormat="false" ht="15" hidden="false" customHeight="false" outlineLevel="0" collapsed="false">
      <c r="A5" s="0" t="s">
        <v>82</v>
      </c>
      <c r="B5" s="3" t="n">
        <v>-16</v>
      </c>
    </row>
    <row r="6" customFormat="false" ht="15" hidden="false" customHeight="false" outlineLevel="0" collapsed="false">
      <c r="A6" s="0" t="s">
        <v>83</v>
      </c>
      <c r="B6" s="3" t="n">
        <v>15</v>
      </c>
    </row>
    <row r="7" customFormat="false" ht="15" hidden="false" customHeight="false" outlineLevel="0" collapsed="false">
      <c r="A7" s="0" t="s">
        <v>84</v>
      </c>
      <c r="B7" s="3" t="n">
        <v>3577</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100</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2</v>
      </c>
      <c r="D13" s="3" t="n">
        <v>1</v>
      </c>
      <c r="E13" s="3" t="n">
        <v>0.5</v>
      </c>
      <c r="F13" s="3" t="n">
        <v>0.5</v>
      </c>
      <c r="G13" s="3" t="n">
        <v>1</v>
      </c>
      <c r="H13" s="3" t="n">
        <v>1</v>
      </c>
      <c r="I13" s="3" t="n">
        <v>1</v>
      </c>
      <c r="J13" s="3" t="n">
        <v>1</v>
      </c>
      <c r="K13" s="3" t="n">
        <v>1</v>
      </c>
      <c r="L13" s="3" t="n">
        <v>1</v>
      </c>
    </row>
    <row r="14" customFormat="false" ht="15" hidden="false" customHeight="false" outlineLevel="0" collapsed="false">
      <c r="A14" s="0" t="s">
        <v>101</v>
      </c>
      <c r="C14" s="3" t="n">
        <v>31.2</v>
      </c>
      <c r="D14" s="3" t="n">
        <v>30.8</v>
      </c>
      <c r="E14" s="3" t="n">
        <v>30.4</v>
      </c>
      <c r="F14" s="3" t="n">
        <v>30</v>
      </c>
      <c r="G14" s="3" t="n">
        <v>30</v>
      </c>
      <c r="H14" s="3" t="n">
        <v>30</v>
      </c>
      <c r="I14" s="3" t="n">
        <v>30</v>
      </c>
      <c r="J14" s="3" t="n">
        <v>30</v>
      </c>
      <c r="K14" s="3" t="n">
        <v>30</v>
      </c>
      <c r="L14" s="3" t="n">
        <v>30</v>
      </c>
    </row>
    <row r="15" customFormat="false" ht="15" hidden="false" customHeight="false" outlineLevel="0" collapsed="false">
      <c r="A15" s="0" t="s">
        <v>102</v>
      </c>
      <c r="C15" s="3" t="n">
        <v>1.1</v>
      </c>
      <c r="D15" s="3" t="n">
        <v>1.1</v>
      </c>
      <c r="E15" s="3" t="n">
        <v>1.1</v>
      </c>
      <c r="F15" s="3" t="n">
        <v>1.1</v>
      </c>
      <c r="G15" s="3" t="n">
        <v>1.1</v>
      </c>
      <c r="H15" s="3" t="n">
        <v>1.1</v>
      </c>
      <c r="I15" s="3" t="n">
        <v>1.1</v>
      </c>
      <c r="J15" s="3" t="n">
        <v>1.1</v>
      </c>
      <c r="K15" s="3" t="n">
        <v>1.1</v>
      </c>
      <c r="L15" s="3" t="n">
        <v>1.1</v>
      </c>
    </row>
    <row r="16" customFormat="false" ht="15" hidden="false" customHeight="false" outlineLevel="0" collapsed="false">
      <c r="A16" s="0" t="s">
        <v>103</v>
      </c>
      <c r="C16" s="3" t="n">
        <v>2.7</v>
      </c>
      <c r="D16" s="3" t="n">
        <v>2.7</v>
      </c>
      <c r="E16" s="3" t="n">
        <v>2.7</v>
      </c>
      <c r="F16" s="3" t="n">
        <v>2.7</v>
      </c>
      <c r="G16" s="3" t="n">
        <v>2.7</v>
      </c>
      <c r="H16" s="3" t="n">
        <v>2.7</v>
      </c>
      <c r="I16" s="3" t="n">
        <v>2.7</v>
      </c>
      <c r="J16" s="3" t="n">
        <v>2.7</v>
      </c>
      <c r="K16" s="3" t="n">
        <v>2.7</v>
      </c>
      <c r="L16" s="3" t="n">
        <v>2.7</v>
      </c>
    </row>
    <row r="17" customFormat="false" ht="15" hidden="false" customHeight="false" outlineLevel="0" collapsed="false">
      <c r="A17" s="0" t="s">
        <v>104</v>
      </c>
      <c r="C17" s="3" t="n">
        <v>11.8</v>
      </c>
      <c r="D17" s="3" t="n">
        <v>11.8</v>
      </c>
      <c r="E17" s="3" t="n">
        <v>11.8</v>
      </c>
      <c r="F17" s="3" t="n">
        <v>11.8</v>
      </c>
      <c r="G17" s="3" t="n">
        <v>11.8</v>
      </c>
      <c r="H17" s="3" t="n">
        <v>11.8</v>
      </c>
      <c r="I17" s="3" t="n">
        <v>11.8</v>
      </c>
      <c r="J17" s="3" t="n">
        <v>11.8</v>
      </c>
      <c r="K17" s="3" t="n">
        <v>11.8</v>
      </c>
      <c r="L17" s="3" t="n">
        <v>11.8</v>
      </c>
    </row>
    <row r="18" customFormat="false" ht="15" hidden="false" customHeight="false" outlineLevel="0" collapsed="false">
      <c r="A18" s="0" t="s">
        <v>105</v>
      </c>
      <c r="C18" s="3" t="n">
        <v>12</v>
      </c>
      <c r="D18" s="3" t="n">
        <v>12</v>
      </c>
      <c r="E18" s="3" t="n">
        <v>12</v>
      </c>
      <c r="F18" s="3" t="n">
        <v>12</v>
      </c>
      <c r="G18" s="3" t="n">
        <v>12</v>
      </c>
      <c r="H18" s="3" t="n">
        <v>12</v>
      </c>
      <c r="I18" s="3" t="n">
        <v>12</v>
      </c>
      <c r="J18" s="3" t="n">
        <v>12</v>
      </c>
      <c r="K18" s="3" t="n">
        <v>12</v>
      </c>
      <c r="L18" s="3" t="n">
        <v>12</v>
      </c>
    </row>
    <row r="19" customFormat="false" ht="15" hidden="false" customHeight="false" outlineLevel="0" collapsed="false">
      <c r="A19" s="0" t="s">
        <v>106</v>
      </c>
      <c r="C19" s="3" t="n">
        <v>22</v>
      </c>
      <c r="D19" s="3" t="n">
        <v>24</v>
      </c>
      <c r="E19" s="3" t="n">
        <v>25</v>
      </c>
      <c r="F19" s="3" t="n">
        <v>25</v>
      </c>
      <c r="G19" s="3" t="n">
        <v>25</v>
      </c>
      <c r="H19" s="3" t="n">
        <v>25</v>
      </c>
      <c r="I19" s="3" t="n">
        <v>25</v>
      </c>
      <c r="J19" s="3" t="n">
        <v>25</v>
      </c>
      <c r="K19" s="3" t="n">
        <v>25</v>
      </c>
      <c r="L19" s="3" t="n">
        <v>25</v>
      </c>
    </row>
    <row r="20" customFormat="false" ht="15" hidden="false" customHeight="false" outlineLevel="0" collapsed="false">
      <c r="A20" s="0" t="s">
        <v>107</v>
      </c>
      <c r="B20" s="3" t="n">
        <v>8</v>
      </c>
    </row>
    <row r="21" customFormat="false" ht="15" hidden="false" customHeight="false" outlineLevel="0" collapsed="false">
      <c r="A21" s="0" t="s">
        <v>108</v>
      </c>
      <c r="B21" s="3" t="n">
        <v>1</v>
      </c>
    </row>
    <row r="22" customFormat="false" ht="15" hidden="false" customHeight="false" outlineLevel="0" collapsed="false">
      <c r="A22" s="0" t="s">
        <v>109</v>
      </c>
      <c r="B22" s="3" t="n">
        <v>12</v>
      </c>
    </row>
    <row r="23" customFormat="false" ht="15" hidden="false" customHeight="false" outlineLevel="0" collapsed="false">
      <c r="A23" s="0" t="s">
        <v>110</v>
      </c>
      <c r="B23" s="3" t="n">
        <v>0</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3</v>
      </c>
      <c r="D27" s="3" t="n">
        <v>4</v>
      </c>
      <c r="E27" s="3" t="n">
        <v>4</v>
      </c>
      <c r="F27" s="3" t="n">
        <v>4</v>
      </c>
      <c r="G27" s="3" t="n">
        <v>3.5</v>
      </c>
      <c r="H27" s="3" t="n">
        <v>3.5</v>
      </c>
      <c r="I27" s="3" t="n">
        <v>3</v>
      </c>
      <c r="J27" s="3" t="n">
        <v>3</v>
      </c>
      <c r="K27" s="3" t="n">
        <v>2.5</v>
      </c>
      <c r="L27" s="3" t="n">
        <v>2.5</v>
      </c>
    </row>
    <row r="28" customFormat="false" ht="15" hidden="false" customHeight="false" outlineLevel="0" collapsed="false">
      <c r="A28" s="0" t="s">
        <v>101</v>
      </c>
      <c r="C28" s="3" t="n">
        <v>31.6</v>
      </c>
      <c r="D28" s="3" t="n">
        <v>32</v>
      </c>
      <c r="E28" s="3" t="n">
        <v>32.4</v>
      </c>
      <c r="F28" s="3" t="n">
        <v>32.8</v>
      </c>
      <c r="G28" s="3" t="n">
        <v>33.2</v>
      </c>
      <c r="H28" s="3" t="n">
        <v>33.5</v>
      </c>
      <c r="I28" s="3" t="n">
        <v>33.8</v>
      </c>
      <c r="J28" s="3" t="n">
        <v>34</v>
      </c>
      <c r="K28" s="3" t="n">
        <v>34</v>
      </c>
      <c r="L28" s="3" t="n">
        <v>34</v>
      </c>
    </row>
    <row r="29" customFormat="false" ht="15" hidden="false" customHeight="false" outlineLevel="0" collapsed="false">
      <c r="A29" s="0" t="s">
        <v>102</v>
      </c>
      <c r="C29" s="3" t="n">
        <v>1.1</v>
      </c>
      <c r="D29" s="3" t="n">
        <v>1.1</v>
      </c>
      <c r="E29" s="3" t="n">
        <v>1.1</v>
      </c>
      <c r="F29" s="3" t="n">
        <v>1.1</v>
      </c>
      <c r="G29" s="3" t="n">
        <v>1.1</v>
      </c>
      <c r="H29" s="3" t="n">
        <v>1.1</v>
      </c>
      <c r="I29" s="3" t="n">
        <v>1.1</v>
      </c>
      <c r="J29" s="3" t="n">
        <v>1.1</v>
      </c>
      <c r="K29" s="3" t="n">
        <v>1.1</v>
      </c>
      <c r="L29" s="3" t="n">
        <v>1.1</v>
      </c>
    </row>
    <row r="30" customFormat="false" ht="15" hidden="false" customHeight="false" outlineLevel="0" collapsed="false">
      <c r="A30" s="0" t="s">
        <v>103</v>
      </c>
      <c r="C30" s="3" t="n">
        <v>2.6</v>
      </c>
      <c r="D30" s="3" t="n">
        <v>2.5</v>
      </c>
      <c r="E30" s="3" t="n">
        <v>2.5</v>
      </c>
      <c r="F30" s="3" t="n">
        <v>2.4</v>
      </c>
      <c r="G30" s="3" t="n">
        <v>2.4</v>
      </c>
      <c r="H30" s="3" t="n">
        <v>2.3</v>
      </c>
      <c r="I30" s="3" t="n">
        <v>2.3</v>
      </c>
      <c r="J30" s="3" t="n">
        <v>2.3</v>
      </c>
      <c r="K30" s="3" t="n">
        <v>2.3</v>
      </c>
      <c r="L30" s="3" t="n">
        <v>2.3</v>
      </c>
    </row>
    <row r="31" customFormat="false" ht="15" hidden="false" customHeight="false" outlineLevel="0" collapsed="false">
      <c r="A31" s="0" t="s">
        <v>104</v>
      </c>
      <c r="C31" s="3" t="n">
        <v>11.6</v>
      </c>
      <c r="D31" s="3" t="n">
        <v>11.6</v>
      </c>
      <c r="E31" s="3" t="n">
        <v>11.5</v>
      </c>
      <c r="F31" s="3" t="n">
        <v>11.5</v>
      </c>
      <c r="G31" s="3" t="n">
        <v>11.5</v>
      </c>
      <c r="H31" s="3" t="n">
        <v>11.5</v>
      </c>
      <c r="I31" s="3" t="n">
        <v>11.5</v>
      </c>
      <c r="J31" s="3" t="n">
        <v>11.5</v>
      </c>
      <c r="K31" s="3" t="n">
        <v>11.5</v>
      </c>
      <c r="L31" s="3" t="n">
        <v>11.5</v>
      </c>
    </row>
    <row r="32" customFormat="false" ht="15" hidden="false" customHeight="false" outlineLevel="0" collapsed="false">
      <c r="A32" s="0" t="s">
        <v>105</v>
      </c>
      <c r="C32" s="3" t="n">
        <v>11.7</v>
      </c>
      <c r="D32" s="3" t="n">
        <v>11.7</v>
      </c>
      <c r="E32" s="3" t="n">
        <v>11.7</v>
      </c>
      <c r="F32" s="3" t="n">
        <v>11.6</v>
      </c>
      <c r="G32" s="3" t="n">
        <v>11.6</v>
      </c>
      <c r="H32" s="3" t="n">
        <v>11.5</v>
      </c>
      <c r="I32" s="3" t="n">
        <v>11.5</v>
      </c>
      <c r="J32" s="3" t="n">
        <v>11.5</v>
      </c>
      <c r="K32" s="3" t="n">
        <v>11.5</v>
      </c>
      <c r="L32" s="3" t="n">
        <v>11.5</v>
      </c>
    </row>
    <row r="33" customFormat="false" ht="15" hidden="false" customHeight="false" outlineLevel="0" collapsed="false">
      <c r="A33" s="0" t="s">
        <v>106</v>
      </c>
      <c r="C33" s="3" t="n">
        <v>22</v>
      </c>
      <c r="D33" s="3" t="n">
        <v>24</v>
      </c>
      <c r="E33" s="3" t="n">
        <v>25</v>
      </c>
      <c r="F33" s="3" t="n">
        <v>25</v>
      </c>
      <c r="G33" s="3" t="n">
        <v>25</v>
      </c>
      <c r="H33" s="3" t="n">
        <v>25</v>
      </c>
      <c r="I33" s="3" t="n">
        <v>25</v>
      </c>
      <c r="J33" s="3" t="n">
        <v>25</v>
      </c>
      <c r="K33" s="3" t="n">
        <v>25</v>
      </c>
      <c r="L33" s="3" t="n">
        <v>25</v>
      </c>
    </row>
    <row r="34" customFormat="false" ht="15" hidden="false" customHeight="false" outlineLevel="0" collapsed="false">
      <c r="A34" s="0" t="s">
        <v>107</v>
      </c>
      <c r="B34" s="3" t="n">
        <v>8</v>
      </c>
    </row>
    <row r="35" customFormat="false" ht="15" hidden="false" customHeight="false" outlineLevel="0" collapsed="false">
      <c r="A35" s="0" t="s">
        <v>108</v>
      </c>
      <c r="B35" s="3" t="n">
        <v>2</v>
      </c>
    </row>
    <row r="36" customFormat="false" ht="15" hidden="false" customHeight="false" outlineLevel="0" collapsed="false">
      <c r="A36" s="0" t="s">
        <v>109</v>
      </c>
      <c r="B36" s="3" t="n">
        <v>15</v>
      </c>
    </row>
    <row r="37" customFormat="false" ht="15" hidden="false" customHeight="false" outlineLevel="0" collapsed="false">
      <c r="A37" s="0" t="s">
        <v>110</v>
      </c>
      <c r="B37" s="3" t="n">
        <v>0</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4</v>
      </c>
      <c r="D41" s="3" t="n">
        <v>5.5</v>
      </c>
      <c r="E41" s="3" t="n">
        <v>5.5</v>
      </c>
      <c r="F41" s="3" t="n">
        <v>5.5</v>
      </c>
      <c r="G41" s="3" t="n">
        <v>5</v>
      </c>
      <c r="H41" s="3" t="n">
        <v>5</v>
      </c>
      <c r="I41" s="3" t="n">
        <v>4.5</v>
      </c>
      <c r="J41" s="3" t="n">
        <v>4</v>
      </c>
      <c r="K41" s="3" t="n">
        <v>3.5</v>
      </c>
      <c r="L41" s="3" t="n">
        <v>3</v>
      </c>
    </row>
    <row r="42" customFormat="false" ht="15" hidden="false" customHeight="false" outlineLevel="0" collapsed="false">
      <c r="A42" s="0" t="s">
        <v>101</v>
      </c>
      <c r="C42" s="3" t="n">
        <v>31.8</v>
      </c>
      <c r="D42" s="3" t="n">
        <v>32.4</v>
      </c>
      <c r="E42" s="3" t="n">
        <v>33</v>
      </c>
      <c r="F42" s="3" t="n">
        <v>33.6</v>
      </c>
      <c r="G42" s="3" t="n">
        <v>34.2</v>
      </c>
      <c r="H42" s="3" t="n">
        <v>34.8</v>
      </c>
      <c r="I42" s="3" t="n">
        <v>35.4</v>
      </c>
      <c r="J42" s="3" t="n">
        <v>36</v>
      </c>
      <c r="K42" s="3" t="n">
        <v>36</v>
      </c>
      <c r="L42" s="3" t="n">
        <v>36</v>
      </c>
    </row>
    <row r="43" customFormat="false" ht="15" hidden="false" customHeight="false" outlineLevel="0" collapsed="false">
      <c r="A43" s="0" t="s">
        <v>102</v>
      </c>
      <c r="C43" s="3" t="n">
        <v>1.1</v>
      </c>
      <c r="D43" s="3" t="n">
        <v>1.1</v>
      </c>
      <c r="E43" s="3" t="n">
        <v>1.1</v>
      </c>
      <c r="F43" s="3" t="n">
        <v>1.1</v>
      </c>
      <c r="G43" s="3" t="n">
        <v>1.1</v>
      </c>
      <c r="H43" s="3" t="n">
        <v>1.1</v>
      </c>
      <c r="I43" s="3" t="n">
        <v>1.1</v>
      </c>
      <c r="J43" s="3" t="n">
        <v>1.1</v>
      </c>
      <c r="K43" s="3" t="n">
        <v>1.1</v>
      </c>
      <c r="L43" s="3" t="n">
        <v>1.1</v>
      </c>
    </row>
    <row r="44" customFormat="false" ht="15" hidden="false" customHeight="false" outlineLevel="0" collapsed="false">
      <c r="A44" s="0" t="s">
        <v>103</v>
      </c>
      <c r="C44" s="3" t="n">
        <v>2.6</v>
      </c>
      <c r="D44" s="3" t="n">
        <v>2.5</v>
      </c>
      <c r="E44" s="3" t="n">
        <v>2.4</v>
      </c>
      <c r="F44" s="3" t="n">
        <v>2.3</v>
      </c>
      <c r="G44" s="3" t="n">
        <v>2.2</v>
      </c>
      <c r="H44" s="3" t="n">
        <v>2.2</v>
      </c>
      <c r="I44" s="3" t="n">
        <v>2.1</v>
      </c>
      <c r="J44" s="3" t="n">
        <v>2.1</v>
      </c>
      <c r="K44" s="3" t="n">
        <v>2.1</v>
      </c>
      <c r="L44" s="3" t="n">
        <v>2.1</v>
      </c>
    </row>
    <row r="45" customFormat="false" ht="15" hidden="false" customHeight="false" outlineLevel="0" collapsed="false">
      <c r="A45" s="0" t="s">
        <v>104</v>
      </c>
      <c r="C45" s="3" t="n">
        <v>11.6</v>
      </c>
      <c r="D45" s="3" t="n">
        <v>11.5</v>
      </c>
      <c r="E45" s="3" t="n">
        <v>11.4</v>
      </c>
      <c r="F45" s="3" t="n">
        <v>11.3</v>
      </c>
      <c r="G45" s="3" t="n">
        <v>11.2</v>
      </c>
      <c r="H45" s="3" t="n">
        <v>11.1</v>
      </c>
      <c r="I45" s="3" t="n">
        <v>11</v>
      </c>
      <c r="J45" s="3" t="n">
        <v>11</v>
      </c>
      <c r="K45" s="3" t="n">
        <v>11</v>
      </c>
      <c r="L45" s="3" t="n">
        <v>11</v>
      </c>
    </row>
    <row r="46" customFormat="false" ht="15" hidden="false" customHeight="false" outlineLevel="0" collapsed="false">
      <c r="A46" s="0" t="s">
        <v>105</v>
      </c>
      <c r="C46" s="3" t="n">
        <v>11.6</v>
      </c>
      <c r="D46" s="3" t="n">
        <v>11.5</v>
      </c>
      <c r="E46" s="3" t="n">
        <v>11.4</v>
      </c>
      <c r="F46" s="3" t="n">
        <v>11.3</v>
      </c>
      <c r="G46" s="3" t="n">
        <v>11.2</v>
      </c>
      <c r="H46" s="3" t="n">
        <v>11.1</v>
      </c>
      <c r="I46" s="3" t="n">
        <v>11</v>
      </c>
      <c r="J46" s="3" t="n">
        <v>11</v>
      </c>
      <c r="K46" s="3" t="n">
        <v>11</v>
      </c>
      <c r="L46" s="3" t="n">
        <v>11</v>
      </c>
    </row>
    <row r="47" customFormat="false" ht="15" hidden="false" customHeight="false" outlineLevel="0" collapsed="false">
      <c r="A47" s="0" t="s">
        <v>106</v>
      </c>
      <c r="C47" s="3" t="n">
        <v>22</v>
      </c>
      <c r="D47" s="3" t="n">
        <v>24</v>
      </c>
      <c r="E47" s="3" t="n">
        <v>25</v>
      </c>
      <c r="F47" s="3" t="n">
        <v>25</v>
      </c>
      <c r="G47" s="3" t="n">
        <v>25</v>
      </c>
      <c r="H47" s="3" t="n">
        <v>25</v>
      </c>
      <c r="I47" s="3" t="n">
        <v>25</v>
      </c>
      <c r="J47" s="3" t="n">
        <v>25</v>
      </c>
      <c r="K47" s="3" t="n">
        <v>25</v>
      </c>
      <c r="L47" s="3" t="n">
        <v>25</v>
      </c>
    </row>
    <row r="48" customFormat="false" ht="15" hidden="false" customHeight="false" outlineLevel="0" collapsed="false">
      <c r="A48" s="0" t="s">
        <v>107</v>
      </c>
      <c r="B48" s="3" t="n">
        <v>8</v>
      </c>
    </row>
    <row r="49" customFormat="false" ht="15" hidden="false" customHeight="false" outlineLevel="0" collapsed="false">
      <c r="A49" s="0" t="s">
        <v>108</v>
      </c>
      <c r="B49" s="3" t="n">
        <v>2.5</v>
      </c>
    </row>
    <row r="50" customFormat="false" ht="15" hidden="false" customHeight="false" outlineLevel="0" collapsed="false">
      <c r="A50" s="0" t="s">
        <v>109</v>
      </c>
      <c r="B50" s="3" t="n">
        <v>15</v>
      </c>
    </row>
    <row r="51" customFormat="false" ht="15" hidden="false" customHeight="false" outlineLevel="0" collapsed="false">
      <c r="A51" s="0" t="s">
        <v>110</v>
      </c>
      <c r="B51" s="3" t="n">
        <v>0</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2</v>
      </c>
      <c r="D5" s="4" t="n">
        <f aca="false">Assumptions!D13</f>
        <v>1</v>
      </c>
      <c r="E5" s="4" t="n">
        <f aca="false">Assumptions!E13</f>
        <v>0.5</v>
      </c>
      <c r="F5" s="4" t="n">
        <f aca="false">Assumptions!F13</f>
        <v>0.5</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38</v>
      </c>
      <c r="B6" s="3" t="n">
        <v>3577</v>
      </c>
      <c r="C6" s="0" t="n">
        <f aca="false">B6*(1+C5/100)</f>
        <v>3648.54</v>
      </c>
      <c r="D6" s="0" t="n">
        <f aca="false">C6*(1+D5/100)</f>
        <v>3685.0254</v>
      </c>
      <c r="E6" s="0" t="n">
        <f aca="false">D6*(1+E5/100)</f>
        <v>3703.450527</v>
      </c>
      <c r="F6" s="0" t="n">
        <f aca="false">E6*(1+F5/100)</f>
        <v>3721.967779635</v>
      </c>
      <c r="G6" s="0" t="n">
        <f aca="false">F6*(1+G5/100)</f>
        <v>3759.18745743135</v>
      </c>
      <c r="H6" s="0" t="n">
        <f aca="false">G6*(1+H5/100)</f>
        <v>3796.77933200566</v>
      </c>
      <c r="I6" s="0" t="n">
        <f aca="false">H6*(1+I5/100)</f>
        <v>3834.74712532572</v>
      </c>
      <c r="J6" s="0" t="n">
        <f aca="false">I6*(1+J5/100)</f>
        <v>3873.09459657898</v>
      </c>
      <c r="K6" s="0" t="n">
        <f aca="false">J6*(1+K5/100)</f>
        <v>3911.82554254477</v>
      </c>
      <c r="L6" s="0" t="n">
        <f aca="false">K6*(1+L5/100)</f>
        <v>3950.94379797021</v>
      </c>
    </row>
    <row r="7" customFormat="false" ht="15" hidden="false" customHeight="false" outlineLevel="0" collapsed="false">
      <c r="A7" s="0" t="s">
        <v>101</v>
      </c>
      <c r="C7" s="4" t="n">
        <f aca="false">Assumptions!C14</f>
        <v>31.2</v>
      </c>
      <c r="D7" s="4" t="n">
        <f aca="false">Assumptions!D14</f>
        <v>30.8</v>
      </c>
      <c r="E7" s="4" t="n">
        <f aca="false">Assumptions!E14</f>
        <v>30.4</v>
      </c>
      <c r="F7" s="4" t="n">
        <f aca="false">Assumptions!F14</f>
        <v>30</v>
      </c>
      <c r="G7" s="4" t="n">
        <f aca="false">Assumptions!G14</f>
        <v>30</v>
      </c>
      <c r="H7" s="4" t="n">
        <f aca="false">Assumptions!H14</f>
        <v>30</v>
      </c>
      <c r="I7" s="4" t="n">
        <f aca="false">Assumptions!I14</f>
        <v>30</v>
      </c>
      <c r="J7" s="4" t="n">
        <f aca="false">Assumptions!J14</f>
        <v>30</v>
      </c>
      <c r="K7" s="4" t="n">
        <f aca="false">Assumptions!K14</f>
        <v>30</v>
      </c>
      <c r="L7" s="4" t="n">
        <f aca="false">Assumptions!L14</f>
        <v>30</v>
      </c>
    </row>
    <row r="8" customFormat="false" ht="15" hidden="false" customHeight="false" outlineLevel="0" collapsed="false">
      <c r="A8" s="0" t="s">
        <v>44</v>
      </c>
      <c r="C8" s="0" t="n">
        <f aca="false">C6*C7/100</f>
        <v>1138.34448</v>
      </c>
      <c r="D8" s="0" t="n">
        <f aca="false">D6*D7/100</f>
        <v>1134.9878232</v>
      </c>
      <c r="E8" s="0" t="n">
        <f aca="false">E6*E7/100</f>
        <v>1125.848960208</v>
      </c>
      <c r="F8" s="0" t="n">
        <f aca="false">F6*F7/100</f>
        <v>1116.5903338905</v>
      </c>
      <c r="G8" s="0" t="n">
        <f aca="false">G6*G7/100</f>
        <v>1127.7562372294</v>
      </c>
      <c r="H8" s="0" t="n">
        <f aca="false">H6*H7/100</f>
        <v>1139.0337996017</v>
      </c>
      <c r="I8" s="0" t="n">
        <f aca="false">I6*I7/100</f>
        <v>1150.42413759772</v>
      </c>
      <c r="J8" s="0" t="n">
        <f aca="false">J6*J7/100</f>
        <v>1161.92837897369</v>
      </c>
      <c r="K8" s="0" t="n">
        <f aca="false">K6*K7/100</f>
        <v>1173.54766276343</v>
      </c>
      <c r="L8" s="0" t="n">
        <f aca="false">L6*L7/100</f>
        <v>1185.28313939106</v>
      </c>
    </row>
    <row r="9" customFormat="false" ht="15" hidden="false" customHeight="false" outlineLevel="0" collapsed="false">
      <c r="A9" s="0" t="s">
        <v>102</v>
      </c>
      <c r="C9" s="4" t="n">
        <f aca="false">Assumptions!C15</f>
        <v>1.1</v>
      </c>
      <c r="D9" s="4" t="n">
        <f aca="false">Assumptions!D15</f>
        <v>1.1</v>
      </c>
      <c r="E9" s="4" t="n">
        <f aca="false">Assumptions!E15</f>
        <v>1.1</v>
      </c>
      <c r="F9" s="4" t="n">
        <f aca="false">Assumptions!F15</f>
        <v>1.1</v>
      </c>
      <c r="G9" s="4" t="n">
        <f aca="false">Assumptions!G15</f>
        <v>1.1</v>
      </c>
      <c r="H9" s="4" t="n">
        <f aca="false">Assumptions!H15</f>
        <v>1.1</v>
      </c>
      <c r="I9" s="4" t="n">
        <f aca="false">Assumptions!I15</f>
        <v>1.1</v>
      </c>
      <c r="J9" s="4" t="n">
        <f aca="false">Assumptions!J15</f>
        <v>1.1</v>
      </c>
      <c r="K9" s="4" t="n">
        <f aca="false">Assumptions!K15</f>
        <v>1.1</v>
      </c>
      <c r="L9" s="4" t="n">
        <f aca="false">Assumptions!L15</f>
        <v>1.1</v>
      </c>
    </row>
    <row r="10" customFormat="false" ht="15" hidden="false" customHeight="false" outlineLevel="0" collapsed="false">
      <c r="A10" s="0" t="s">
        <v>117</v>
      </c>
      <c r="C10" s="0" t="n">
        <f aca="false">-C6*C9/100</f>
        <v>-40.13394</v>
      </c>
      <c r="D10" s="0" t="n">
        <f aca="false">-D6*D9/100</f>
        <v>-40.5352794</v>
      </c>
      <c r="E10" s="0" t="n">
        <f aca="false">-E6*E9/100</f>
        <v>-40.737955797</v>
      </c>
      <c r="F10" s="0" t="n">
        <f aca="false">-F6*F9/100</f>
        <v>-40.941645575985</v>
      </c>
      <c r="G10" s="0" t="n">
        <f aca="false">-G6*G9/100</f>
        <v>-41.3510620317448</v>
      </c>
      <c r="H10" s="0" t="n">
        <f aca="false">-H6*H9/100</f>
        <v>-41.7645726520623</v>
      </c>
      <c r="I10" s="0" t="n">
        <f aca="false">-I6*I9/100</f>
        <v>-42.1822183785829</v>
      </c>
      <c r="J10" s="0" t="n">
        <f aca="false">-J6*J9/100</f>
        <v>-42.6040405623687</v>
      </c>
      <c r="K10" s="0" t="n">
        <f aca="false">-K6*K9/100</f>
        <v>-43.0300809679924</v>
      </c>
      <c r="L10" s="0" t="n">
        <f aca="false">-L6*L9/100</f>
        <v>-43.4603817776724</v>
      </c>
    </row>
    <row r="11" customFormat="false" ht="15" hidden="false" customHeight="false" outlineLevel="0" collapsed="false">
      <c r="A11" s="0" t="s">
        <v>118</v>
      </c>
      <c r="C11" s="0" t="n">
        <f aca="false">C8+C10+C24</f>
        <v>999.69996</v>
      </c>
      <c r="D11" s="0" t="n">
        <f aca="false">D8+D10+D24</f>
        <v>994.956858</v>
      </c>
      <c r="E11" s="0" t="n">
        <f aca="false">E8+E10+E24</f>
        <v>985.117840182</v>
      </c>
      <c r="F11" s="0" t="n">
        <f aca="false">F8+F10+F24</f>
        <v>975.15555826437</v>
      </c>
      <c r="G11" s="0" t="n">
        <f aca="false">G8+G10+G24</f>
        <v>984.907113847014</v>
      </c>
      <c r="H11" s="0" t="n">
        <f aca="false">H8+H10+H24</f>
        <v>994.756184985484</v>
      </c>
      <c r="I11" s="0" t="n">
        <f aca="false">I8+I10+I24</f>
        <v>1004.70374683534</v>
      </c>
      <c r="J11" s="0" t="n">
        <f aca="false">J8+J10+J24</f>
        <v>1014.75078430369</v>
      </c>
      <c r="K11" s="0" t="n">
        <f aca="false">K8+K10+K24</f>
        <v>1024.89829214673</v>
      </c>
      <c r="L11" s="0" t="n">
        <f aca="false">L8+L10+L24</f>
        <v>1035.1472750682</v>
      </c>
    </row>
    <row r="12" customFormat="false" ht="15" hidden="false" customHeight="false" outlineLevel="0" collapsed="false">
      <c r="A12" s="0" t="s">
        <v>119</v>
      </c>
      <c r="C12" s="4" t="n">
        <f aca="false">-C6*Assumptions!C17/100</f>
        <v>-430.52772</v>
      </c>
      <c r="D12" s="4" t="n">
        <f aca="false">-D6*Assumptions!D17/100</f>
        <v>-434.8329972</v>
      </c>
      <c r="E12" s="4" t="n">
        <f aca="false">-E6*Assumptions!E17/100</f>
        <v>-437.007162186</v>
      </c>
      <c r="F12" s="4" t="n">
        <f aca="false">-F6*Assumptions!F17/100</f>
        <v>-439.19219799693</v>
      </c>
      <c r="G12" s="4" t="n">
        <f aca="false">-G6*Assumptions!G17/100</f>
        <v>-443.584119976899</v>
      </c>
      <c r="H12" s="4" t="n">
        <f aca="false">-H6*Assumptions!H17/100</f>
        <v>-448.019961176668</v>
      </c>
      <c r="I12" s="4" t="n">
        <f aca="false">-I6*Assumptions!I17/100</f>
        <v>-452.500160788435</v>
      </c>
      <c r="J12" s="4" t="n">
        <f aca="false">-J6*Assumptions!J17/100</f>
        <v>-457.025162396319</v>
      </c>
      <c r="K12" s="4" t="n">
        <f aca="false">-K6*Assumptions!K17/100</f>
        <v>-461.595414020282</v>
      </c>
      <c r="L12" s="4" t="n">
        <f aca="false">-L6*Assumptions!L17/100</f>
        <v>-466.211368160485</v>
      </c>
    </row>
    <row r="13" customFormat="false" ht="15" hidden="false" customHeight="false" outlineLevel="0" collapsed="false">
      <c r="A13" s="0" t="s">
        <v>120</v>
      </c>
      <c r="C13" s="0" t="n">
        <f aca="false">C11+C12</f>
        <v>569.17224</v>
      </c>
      <c r="D13" s="0" t="n">
        <f aca="false">D11+D12</f>
        <v>560.1238608</v>
      </c>
      <c r="E13" s="0" t="n">
        <f aca="false">E11+E12</f>
        <v>548.110677996</v>
      </c>
      <c r="F13" s="0" t="n">
        <f aca="false">F11+F12</f>
        <v>535.96336026744</v>
      </c>
      <c r="G13" s="0" t="n">
        <f aca="false">G11+G12</f>
        <v>541.322993870115</v>
      </c>
      <c r="H13" s="0" t="n">
        <f aca="false">H11+H12</f>
        <v>546.736223808815</v>
      </c>
      <c r="I13" s="0" t="n">
        <f aca="false">I11+I12</f>
        <v>552.203586046904</v>
      </c>
      <c r="J13" s="0" t="n">
        <f aca="false">J11+J12</f>
        <v>557.725621907372</v>
      </c>
      <c r="K13" s="0" t="n">
        <f aca="false">K11+K12</f>
        <v>563.302878126446</v>
      </c>
      <c r="L13" s="0" t="n">
        <f aca="false">L11+L12</f>
        <v>568.935906907711</v>
      </c>
    </row>
    <row r="14" customFormat="false" ht="15" hidden="false" customHeight="false" outlineLevel="0" collapsed="false">
      <c r="A14" s="0" t="s">
        <v>106</v>
      </c>
      <c r="C14" s="4" t="n">
        <f aca="false">Assumptions!C19</f>
        <v>22</v>
      </c>
      <c r="D14" s="4" t="n">
        <f aca="false">Assumptions!D19</f>
        <v>24</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121</v>
      </c>
      <c r="C15" s="0" t="n">
        <f aca="false">C13-MAX(0,C13)*C14/100</f>
        <v>443.9543472</v>
      </c>
      <c r="D15" s="0" t="n">
        <f aca="false">D13-MAX(0,D13)*D14/100</f>
        <v>425.694134208</v>
      </c>
      <c r="E15" s="0" t="n">
        <f aca="false">E13-MAX(0,E13)*E14/100</f>
        <v>411.083008497</v>
      </c>
      <c r="F15" s="0" t="n">
        <f aca="false">F13-MAX(0,F13)*F14/100</f>
        <v>401.97252020058</v>
      </c>
      <c r="G15" s="0" t="n">
        <f aca="false">G13-MAX(0,G13)*G14/100</f>
        <v>405.992245402586</v>
      </c>
      <c r="H15" s="0" t="n">
        <f aca="false">H13-MAX(0,H13)*H14/100</f>
        <v>410.052167856612</v>
      </c>
      <c r="I15" s="0" t="n">
        <f aca="false">I13-MAX(0,I13)*I14/100</f>
        <v>414.152689535178</v>
      </c>
      <c r="J15" s="0" t="n">
        <f aca="false">J13-MAX(0,J13)*J14/100</f>
        <v>418.294216430529</v>
      </c>
      <c r="K15" s="0" t="n">
        <f aca="false">K13-MAX(0,K13)*K14/100</f>
        <v>422.477158594835</v>
      </c>
      <c r="L15" s="0" t="n">
        <f aca="false">L13-MAX(0,L13)*L14/100</f>
        <v>426.701930180783</v>
      </c>
    </row>
    <row r="16" customFormat="false" ht="15" hidden="false" customHeight="false" outlineLevel="0" collapsed="false">
      <c r="A16" s="0" t="s">
        <v>122</v>
      </c>
      <c r="C16" s="0" t="n">
        <f aca="false">-C12</f>
        <v>430.52772</v>
      </c>
      <c r="D16" s="0" t="n">
        <f aca="false">-D12</f>
        <v>434.8329972</v>
      </c>
      <c r="E16" s="0" t="n">
        <f aca="false">-E12</f>
        <v>437.007162186</v>
      </c>
      <c r="F16" s="0" t="n">
        <f aca="false">-F12</f>
        <v>439.19219799693</v>
      </c>
      <c r="G16" s="0" t="n">
        <f aca="false">-G12</f>
        <v>443.584119976899</v>
      </c>
      <c r="H16" s="0" t="n">
        <f aca="false">-H12</f>
        <v>448.019961176668</v>
      </c>
      <c r="I16" s="0" t="n">
        <f aca="false">-I12</f>
        <v>452.500160788435</v>
      </c>
      <c r="J16" s="0" t="n">
        <f aca="false">-J12</f>
        <v>457.025162396319</v>
      </c>
      <c r="K16" s="0" t="n">
        <f aca="false">-K12</f>
        <v>461.595414020282</v>
      </c>
      <c r="L16" s="0" t="n">
        <f aca="false">-L12</f>
        <v>466.211368160485</v>
      </c>
    </row>
    <row r="17" customFormat="false" ht="15" hidden="false" customHeight="false" outlineLevel="0" collapsed="false">
      <c r="A17" s="0" t="s">
        <v>123</v>
      </c>
      <c r="C17" s="4" t="n">
        <f aca="false">-C6*Assumptions!C18/100</f>
        <v>-437.8248</v>
      </c>
      <c r="D17" s="4" t="n">
        <f aca="false">-D6*Assumptions!D18/100</f>
        <v>-442.203048</v>
      </c>
      <c r="E17" s="4" t="n">
        <f aca="false">-E6*Assumptions!E18/100</f>
        <v>-444.41406324</v>
      </c>
      <c r="F17" s="4" t="n">
        <f aca="false">-F6*Assumptions!F18/100</f>
        <v>-446.6361335562</v>
      </c>
      <c r="G17" s="4" t="n">
        <f aca="false">-G6*Assumptions!G18/100</f>
        <v>-451.102494891762</v>
      </c>
      <c r="H17" s="4" t="n">
        <f aca="false">-H6*Assumptions!H18/100</f>
        <v>-455.61351984068</v>
      </c>
      <c r="I17" s="4" t="n">
        <f aca="false">-I6*Assumptions!I18/100</f>
        <v>-460.169655039086</v>
      </c>
      <c r="J17" s="4" t="n">
        <f aca="false">-J6*Assumptions!J18/100</f>
        <v>-464.771351589477</v>
      </c>
      <c r="K17" s="4" t="n">
        <f aca="false">-K6*Assumptions!K18/100</f>
        <v>-469.419065105372</v>
      </c>
      <c r="L17" s="4" t="n">
        <f aca="false">-L6*Assumptions!L18/100</f>
        <v>-474.113255756426</v>
      </c>
    </row>
    <row r="18" customFormat="false" ht="15" hidden="false" customHeight="false" outlineLevel="0" collapsed="false">
      <c r="A18" s="0" t="s">
        <v>124</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125</v>
      </c>
      <c r="C19" s="0" t="n">
        <f aca="false">C15+C16+C17+C18</f>
        <v>436.6572672</v>
      </c>
      <c r="D19" s="0" t="n">
        <f aca="false">D15+D16+D17+D18</f>
        <v>418.324083408</v>
      </c>
      <c r="E19" s="0" t="n">
        <f aca="false">E15+E16+E17+E18</f>
        <v>403.676107443</v>
      </c>
      <c r="F19" s="0" t="n">
        <f aca="false">F15+F16+F17+F18</f>
        <v>394.52858464131</v>
      </c>
      <c r="G19" s="0" t="n">
        <f aca="false">G15+G16+G17+G18</f>
        <v>398.473870487723</v>
      </c>
      <c r="H19" s="0" t="n">
        <f aca="false">H15+H16+H17+H18</f>
        <v>402.4586091926</v>
      </c>
      <c r="I19" s="0" t="n">
        <f aca="false">I15+I16+I17+I18</f>
        <v>406.483195284526</v>
      </c>
      <c r="J19" s="0" t="n">
        <f aca="false">J15+J16+J17+J18</f>
        <v>410.548027237371</v>
      </c>
      <c r="K19" s="0" t="n">
        <f aca="false">K15+K16+K17+K18</f>
        <v>414.653507509745</v>
      </c>
      <c r="L19" s="0" t="n">
        <f aca="false">L15+L16+L17+L18</f>
        <v>418.800042584843</v>
      </c>
    </row>
    <row r="20" customFormat="false" ht="15" hidden="false" customHeight="false" outlineLevel="0" collapsed="false">
      <c r="A20" s="0" t="s">
        <v>126</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127</v>
      </c>
      <c r="C21" s="0" t="n">
        <f aca="false">C19*C20</f>
        <v>404.312284444444</v>
      </c>
      <c r="D21" s="0" t="n">
        <f aca="false">D19*D20</f>
        <v>358.64547617284</v>
      </c>
      <c r="E21" s="0" t="n">
        <f aca="false">E19*E20</f>
        <v>320.451109017775</v>
      </c>
      <c r="F21" s="0" t="n">
        <f aca="false">F19*F20</f>
        <v>289.990287492895</v>
      </c>
      <c r="G21" s="0" t="n">
        <f aca="false">G19*G20</f>
        <v>271.194620710948</v>
      </c>
      <c r="H21" s="0" t="n">
        <f aca="false">H19*H20</f>
        <v>253.617191590794</v>
      </c>
      <c r="I21" s="0" t="n">
        <f aca="false">I19*I20</f>
        <v>237.179040283983</v>
      </c>
      <c r="J21" s="0" t="n">
        <f aca="false">J19*J20</f>
        <v>221.806324710021</v>
      </c>
      <c r="K21" s="0" t="n">
        <f aca="false">K19*K20</f>
        <v>207.429988849187</v>
      </c>
      <c r="L21" s="0" t="n">
        <f aca="false">L19*L20</f>
        <v>193.985452534888</v>
      </c>
    </row>
    <row r="23" customFormat="false" ht="15" hidden="false" customHeight="false" outlineLevel="0" collapsed="false">
      <c r="A23" s="0" t="s">
        <v>103</v>
      </c>
      <c r="C23" s="4" t="n">
        <f aca="false">Assumptions!C16</f>
        <v>2.7</v>
      </c>
      <c r="D23" s="4" t="n">
        <f aca="false">Assumptions!D16</f>
        <v>2.7</v>
      </c>
      <c r="E23" s="4" t="n">
        <f aca="false">Assumptions!E16</f>
        <v>2.7</v>
      </c>
      <c r="F23" s="4" t="n">
        <f aca="false">Assumptions!F16</f>
        <v>2.7</v>
      </c>
      <c r="G23" s="4" t="n">
        <f aca="false">Assumptions!G16</f>
        <v>2.7</v>
      </c>
      <c r="H23" s="4" t="n">
        <f aca="false">Assumptions!H16</f>
        <v>2.7</v>
      </c>
      <c r="I23" s="4" t="n">
        <f aca="false">Assumptions!I16</f>
        <v>2.7</v>
      </c>
      <c r="J23" s="4" t="n">
        <f aca="false">Assumptions!J16</f>
        <v>2.7</v>
      </c>
      <c r="K23" s="4" t="n">
        <f aca="false">Assumptions!K16</f>
        <v>2.7</v>
      </c>
      <c r="L23" s="4" t="n">
        <f aca="false">Assumptions!L16</f>
        <v>2.7</v>
      </c>
    </row>
    <row r="24" customFormat="false" ht="15" hidden="false" customHeight="false" outlineLevel="0" collapsed="false">
      <c r="A24" s="0" t="s">
        <v>128</v>
      </c>
      <c r="C24" s="0" t="n">
        <f aca="false">-C6*C23/100</f>
        <v>-98.51058</v>
      </c>
      <c r="D24" s="0" t="n">
        <f aca="false">-D6*D23/100</f>
        <v>-99.4956858</v>
      </c>
      <c r="E24" s="0" t="n">
        <f aca="false">-E6*E23/100</f>
        <v>-99.993164229</v>
      </c>
      <c r="F24" s="0" t="n">
        <f aca="false">-F6*F23/100</f>
        <v>-100.493130050145</v>
      </c>
      <c r="G24" s="0" t="n">
        <f aca="false">-G6*G23/100</f>
        <v>-101.498061350646</v>
      </c>
      <c r="H24" s="0" t="n">
        <f aca="false">-H6*H23/100</f>
        <v>-102.513041964153</v>
      </c>
      <c r="I24" s="0" t="n">
        <f aca="false">-I6*I23/100</f>
        <v>-103.538172383794</v>
      </c>
      <c r="J24" s="0" t="n">
        <f aca="false">-J6*J23/100</f>
        <v>-104.573554107632</v>
      </c>
      <c r="K24" s="0" t="n">
        <f aca="false">-K6*K23/100</f>
        <v>-105.619289648709</v>
      </c>
      <c r="L24" s="0" t="n">
        <f aca="false">-L6*L23/100</f>
        <v>-106.675482545196</v>
      </c>
    </row>
    <row r="26" customFormat="false" ht="15" hidden="false" customHeight="false" outlineLevel="0" collapsed="false">
      <c r="A26" s="2" t="s">
        <v>129</v>
      </c>
    </row>
    <row r="27" customFormat="false" ht="15" hidden="false" customHeight="false" outlineLevel="0" collapsed="false">
      <c r="A27" s="0" t="s">
        <v>107</v>
      </c>
      <c r="B27" s="4" t="n">
        <f aca="false">Assumptions!$B$20</f>
        <v>8</v>
      </c>
    </row>
    <row r="28" customFormat="false" ht="15" hidden="false" customHeight="false" outlineLevel="0" collapsed="false">
      <c r="A28" s="0" t="s">
        <v>108</v>
      </c>
      <c r="B28" s="4" t="n">
        <f aca="false">Assumptions!$B$21</f>
        <v>1</v>
      </c>
    </row>
    <row r="29" customFormat="false" ht="15" hidden="false" customHeight="false" outlineLevel="0" collapsed="false">
      <c r="A29" s="0" t="s">
        <v>109</v>
      </c>
      <c r="B29" s="4" t="n">
        <f aca="false">Assumptions!$B$22</f>
        <v>12</v>
      </c>
    </row>
    <row r="30" customFormat="false" ht="15" hidden="false" customHeight="false" outlineLevel="0" collapsed="false">
      <c r="A30" s="0" t="s">
        <v>130</v>
      </c>
      <c r="B30" s="0" t="n">
        <f aca="false">SUM(C21:L21)</f>
        <v>2758.61177580778</v>
      </c>
    </row>
    <row r="31" customFormat="false" ht="15" hidden="false" customHeight="false" outlineLevel="0" collapsed="false">
      <c r="A31" s="0" t="s">
        <v>131</v>
      </c>
      <c r="B31" s="0" t="n">
        <f aca="false">L19</f>
        <v>418.800042584843</v>
      </c>
    </row>
    <row r="32" customFormat="false" ht="15" hidden="false" customHeight="false" outlineLevel="0" collapsed="false">
      <c r="A32" s="0" t="s">
        <v>132</v>
      </c>
      <c r="B32" s="0" t="n">
        <f aca="false">IF(B27&gt;B28,B31*(1+B28/100)/((B27-B28)/100),B31*B29)</f>
        <v>6042.68632872416</v>
      </c>
    </row>
    <row r="33" customFormat="false" ht="15" hidden="false" customHeight="false" outlineLevel="0" collapsed="false">
      <c r="A33" s="0" t="s">
        <v>133</v>
      </c>
      <c r="B33" s="0" t="n">
        <f aca="false">B31*B29</f>
        <v>5025.60051101811</v>
      </c>
    </row>
    <row r="34" customFormat="false" ht="15" hidden="false" customHeight="false" outlineLevel="0" collapsed="false">
      <c r="A34" s="0" t="s">
        <v>134</v>
      </c>
      <c r="B34" s="0" t="n">
        <f aca="false">MAX(0,MIN(B32,B33))</f>
        <v>5025.60051101811</v>
      </c>
    </row>
    <row r="35" customFormat="false" ht="15" hidden="false" customHeight="false" outlineLevel="0" collapsed="false">
      <c r="A35" s="0" t="s">
        <v>135</v>
      </c>
      <c r="B35" s="0" t="n">
        <f aca="false">B34/(1+B27/100)^L4</f>
        <v>2327.82543041865</v>
      </c>
    </row>
    <row r="36" customFormat="false" ht="15" hidden="false" customHeight="false" outlineLevel="0" collapsed="false">
      <c r="A36" s="0" t="s">
        <v>136</v>
      </c>
      <c r="B36" s="0" t="n">
        <f aca="false">B30+B35</f>
        <v>5086.43720622643</v>
      </c>
    </row>
    <row r="37" customFormat="false" ht="15" hidden="false" customHeight="false" outlineLevel="0" collapsed="false">
      <c r="A37" s="0" t="s">
        <v>137</v>
      </c>
      <c r="B37" s="0" t="n">
        <f aca="false">B36+Assumptions!$B$5-Assumptions!$B$4</f>
        <v>3652.43720622643</v>
      </c>
    </row>
    <row r="38" customFormat="false" ht="15" hidden="false" customHeight="false" outlineLevel="0" collapsed="false">
      <c r="A38" s="0" t="s">
        <v>138</v>
      </c>
      <c r="B38" s="0" t="n">
        <f aca="false">B37/Assumptions!$B$3*Assumptions!$B$10</f>
        <v>603.608859068985</v>
      </c>
    </row>
    <row r="39" customFormat="false" ht="15" hidden="false" customHeight="false" outlineLevel="0" collapsed="false">
      <c r="A39" s="0" t="s">
        <v>139</v>
      </c>
      <c r="B39" s="4" t="n">
        <f aca="false">B38/Assumptions!$B$2-1</f>
        <v>-0.530265479323747</v>
      </c>
    </row>
    <row r="41" customFormat="false" ht="15" hidden="false" customHeight="false" outlineLevel="0" collapsed="false">
      <c r="A41" s="0" t="s">
        <v>140</v>
      </c>
      <c r="B41" s="0" t="n">
        <f aca="false">SUMPRODUCT(-C10:L10/(1+$B$27/100)^C4:L4)</f>
        <v>278.094437939791</v>
      </c>
    </row>
    <row r="42" customFormat="false" ht="15" hidden="false" customHeight="false" outlineLevel="0" collapsed="false">
      <c r="A42" s="0" t="s">
        <v>141</v>
      </c>
      <c r="B42" s="0" t="n">
        <f aca="false">IF(B27&gt;B28,-L10*(1+B28/100)/((B27-B28)/100),-L10*20)/(1+B27/100)^L4</f>
        <v>290.455306962615</v>
      </c>
    </row>
    <row r="43" customFormat="false" ht="15" hidden="false" customHeight="false" outlineLevel="0" collapsed="false">
      <c r="A43" s="0" t="s">
        <v>142</v>
      </c>
      <c r="B43" s="0" t="n">
        <f aca="false">(B37+B41+B42)/Assumptions!$B$3*Assumptions!$B$10</f>
        <v>697.568492997659</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3021.34316436208</v>
      </c>
    </row>
    <row r="47" customFormat="false" ht="15" hidden="false" customHeight="false" outlineLevel="0" collapsed="false">
      <c r="A47" s="0" t="s">
        <v>144</v>
      </c>
      <c r="B47" s="0" t="n">
        <f aca="false">(SUMPRODUCT(C19:L19/(1+B45/100)^C4:L4)+B46/(1+B45/100)^L4+Assumptions!$B$5-Assumptions!$B$4)/Assumptions!$B$3*Assumptions!$B$10</f>
        <v>228.12092752555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3</v>
      </c>
      <c r="D5" s="4" t="n">
        <f aca="false">Assumptions!D27</f>
        <v>4</v>
      </c>
      <c r="E5" s="4" t="n">
        <f aca="false">Assumptions!E27</f>
        <v>4</v>
      </c>
      <c r="F5" s="4" t="n">
        <f aca="false">Assumptions!F27</f>
        <v>4</v>
      </c>
      <c r="G5" s="4" t="n">
        <f aca="false">Assumptions!G27</f>
        <v>3.5</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3577</v>
      </c>
      <c r="C6" s="0" t="n">
        <f aca="false">B6*(1+C5/100)</f>
        <v>3684.31</v>
      </c>
      <c r="D6" s="0" t="n">
        <f aca="false">C6*(1+D5/100)</f>
        <v>3831.6824</v>
      </c>
      <c r="E6" s="0" t="n">
        <f aca="false">D6*(1+E5/100)</f>
        <v>3984.949696</v>
      </c>
      <c r="F6" s="0" t="n">
        <f aca="false">E6*(1+F5/100)</f>
        <v>4144.34768384</v>
      </c>
      <c r="G6" s="0" t="n">
        <f aca="false">F6*(1+G5/100)</f>
        <v>4289.3998527744</v>
      </c>
      <c r="H6" s="0" t="n">
        <f aca="false">G6*(1+H5/100)</f>
        <v>4439.5288476215</v>
      </c>
      <c r="I6" s="0" t="n">
        <f aca="false">H6*(1+I5/100)</f>
        <v>4572.71471305015</v>
      </c>
      <c r="J6" s="0" t="n">
        <f aca="false">I6*(1+J5/100)</f>
        <v>4709.89615444165</v>
      </c>
      <c r="K6" s="0" t="n">
        <f aca="false">J6*(1+K5/100)</f>
        <v>4827.64355830269</v>
      </c>
      <c r="L6" s="0" t="n">
        <f aca="false">K6*(1+L5/100)</f>
        <v>4948.33464726026</v>
      </c>
    </row>
    <row r="7" customFormat="false" ht="15" hidden="false" customHeight="false" outlineLevel="0" collapsed="false">
      <c r="A7" s="0" t="s">
        <v>101</v>
      </c>
      <c r="C7" s="4" t="n">
        <f aca="false">Assumptions!C28</f>
        <v>31.6</v>
      </c>
      <c r="D7" s="4" t="n">
        <f aca="false">Assumptions!D28</f>
        <v>32</v>
      </c>
      <c r="E7" s="4" t="n">
        <f aca="false">Assumptions!E28</f>
        <v>32.4</v>
      </c>
      <c r="F7" s="4" t="n">
        <f aca="false">Assumptions!F28</f>
        <v>32.8</v>
      </c>
      <c r="G7" s="4" t="n">
        <f aca="false">Assumptions!G28</f>
        <v>33.2</v>
      </c>
      <c r="H7" s="4" t="n">
        <f aca="false">Assumptions!H28</f>
        <v>33.5</v>
      </c>
      <c r="I7" s="4" t="n">
        <f aca="false">Assumptions!I28</f>
        <v>33.8</v>
      </c>
      <c r="J7" s="4" t="n">
        <f aca="false">Assumptions!J28</f>
        <v>34</v>
      </c>
      <c r="K7" s="4" t="n">
        <f aca="false">Assumptions!K28</f>
        <v>34</v>
      </c>
      <c r="L7" s="4" t="n">
        <f aca="false">Assumptions!L28</f>
        <v>34</v>
      </c>
    </row>
    <row r="8" customFormat="false" ht="15" hidden="false" customHeight="false" outlineLevel="0" collapsed="false">
      <c r="A8" s="0" t="s">
        <v>44</v>
      </c>
      <c r="C8" s="0" t="n">
        <f aca="false">C6*C7/100</f>
        <v>1164.24196</v>
      </c>
      <c r="D8" s="0" t="n">
        <f aca="false">D6*D7/100</f>
        <v>1226.138368</v>
      </c>
      <c r="E8" s="0" t="n">
        <f aca="false">E6*E7/100</f>
        <v>1291.123701504</v>
      </c>
      <c r="F8" s="0" t="n">
        <f aca="false">F6*F7/100</f>
        <v>1359.34604029952</v>
      </c>
      <c r="G8" s="0" t="n">
        <f aca="false">G6*G7/100</f>
        <v>1424.0807511211</v>
      </c>
      <c r="H8" s="0" t="n">
        <f aca="false">H6*H7/100</f>
        <v>1487.2421639532</v>
      </c>
      <c r="I8" s="0" t="n">
        <f aca="false">I6*I7/100</f>
        <v>1545.57757301095</v>
      </c>
      <c r="J8" s="0" t="n">
        <f aca="false">J6*J7/100</f>
        <v>1601.36469251016</v>
      </c>
      <c r="K8" s="0" t="n">
        <f aca="false">K6*K7/100</f>
        <v>1641.39880982292</v>
      </c>
      <c r="L8" s="0" t="n">
        <f aca="false">L6*L7/100</f>
        <v>1682.43378006849</v>
      </c>
    </row>
    <row r="9" customFormat="false" ht="15" hidden="false" customHeight="false" outlineLevel="0" collapsed="false">
      <c r="A9" s="0" t="s">
        <v>102</v>
      </c>
      <c r="C9" s="4" t="n">
        <f aca="false">Assumptions!C29</f>
        <v>1.1</v>
      </c>
      <c r="D9" s="4" t="n">
        <f aca="false">Assumptions!D29</f>
        <v>1.1</v>
      </c>
      <c r="E9" s="4" t="n">
        <f aca="false">Assumptions!E29</f>
        <v>1.1</v>
      </c>
      <c r="F9" s="4" t="n">
        <f aca="false">Assumptions!F29</f>
        <v>1.1</v>
      </c>
      <c r="G9" s="4" t="n">
        <f aca="false">Assumptions!G29</f>
        <v>1.1</v>
      </c>
      <c r="H9" s="4" t="n">
        <f aca="false">Assumptions!H29</f>
        <v>1.1</v>
      </c>
      <c r="I9" s="4" t="n">
        <f aca="false">Assumptions!I29</f>
        <v>1.1</v>
      </c>
      <c r="J9" s="4" t="n">
        <f aca="false">Assumptions!J29</f>
        <v>1.1</v>
      </c>
      <c r="K9" s="4" t="n">
        <f aca="false">Assumptions!K29</f>
        <v>1.1</v>
      </c>
      <c r="L9" s="4" t="n">
        <f aca="false">Assumptions!L29</f>
        <v>1.1</v>
      </c>
    </row>
    <row r="10" customFormat="false" ht="15" hidden="false" customHeight="false" outlineLevel="0" collapsed="false">
      <c r="A10" s="0" t="s">
        <v>117</v>
      </c>
      <c r="C10" s="0" t="n">
        <f aca="false">-C6*C9/100</f>
        <v>-40.52741</v>
      </c>
      <c r="D10" s="0" t="n">
        <f aca="false">-D6*D9/100</f>
        <v>-42.1485064</v>
      </c>
      <c r="E10" s="0" t="n">
        <f aca="false">-E6*E9/100</f>
        <v>-43.834446656</v>
      </c>
      <c r="F10" s="0" t="n">
        <f aca="false">-F6*F9/100</f>
        <v>-45.58782452224</v>
      </c>
      <c r="G10" s="0" t="n">
        <f aca="false">-G6*G9/100</f>
        <v>-47.1833983805184</v>
      </c>
      <c r="H10" s="0" t="n">
        <f aca="false">-H6*H9/100</f>
        <v>-48.8348173238365</v>
      </c>
      <c r="I10" s="0" t="n">
        <f aca="false">-I6*I9/100</f>
        <v>-50.2998618435516</v>
      </c>
      <c r="J10" s="0" t="n">
        <f aca="false">-J6*J9/100</f>
        <v>-51.8088576988582</v>
      </c>
      <c r="K10" s="0" t="n">
        <f aca="false">-K6*K9/100</f>
        <v>-53.1040791413296</v>
      </c>
      <c r="L10" s="0" t="n">
        <f aca="false">-L6*L9/100</f>
        <v>-54.4316811198629</v>
      </c>
    </row>
    <row r="11" customFormat="false" ht="15" hidden="false" customHeight="false" outlineLevel="0" collapsed="false">
      <c r="A11" s="0" t="s">
        <v>118</v>
      </c>
      <c r="C11" s="0" t="n">
        <f aca="false">C8+C10+C24</f>
        <v>1027.92249</v>
      </c>
      <c r="D11" s="0" t="n">
        <f aca="false">D8+D10+D24</f>
        <v>1088.1978016</v>
      </c>
      <c r="E11" s="0" t="n">
        <f aca="false">E8+E10+E24</f>
        <v>1147.665512448</v>
      </c>
      <c r="F11" s="0" t="n">
        <f aca="false">F8+F10+F24</f>
        <v>1214.29387136512</v>
      </c>
      <c r="G11" s="0" t="n">
        <f aca="false">G8+G10+G24</f>
        <v>1273.951756274</v>
      </c>
      <c r="H11" s="0" t="n">
        <f aca="false">H8+H10+H24</f>
        <v>1336.29818313407</v>
      </c>
      <c r="I11" s="0" t="n">
        <f aca="false">I8+I10+I24</f>
        <v>1390.10527276725</v>
      </c>
      <c r="J11" s="0" t="n">
        <f aca="false">J8+J10+J24</f>
        <v>1441.22822325915</v>
      </c>
      <c r="K11" s="0" t="n">
        <f aca="false">K8+K10+K24</f>
        <v>1477.25892884062</v>
      </c>
      <c r="L11" s="0" t="n">
        <f aca="false">L8+L10+L24</f>
        <v>1514.19040206164</v>
      </c>
    </row>
    <row r="12" customFormat="false" ht="15" hidden="false" customHeight="false" outlineLevel="0" collapsed="false">
      <c r="A12" s="0" t="s">
        <v>119</v>
      </c>
      <c r="C12" s="4" t="n">
        <f aca="false">-C6*Assumptions!C31/100</f>
        <v>-427.37996</v>
      </c>
      <c r="D12" s="4" t="n">
        <f aca="false">-D6*Assumptions!D31/100</f>
        <v>-444.4751584</v>
      </c>
      <c r="E12" s="4" t="n">
        <f aca="false">-E6*Assumptions!E31/100</f>
        <v>-458.26921504</v>
      </c>
      <c r="F12" s="4" t="n">
        <f aca="false">-F6*Assumptions!F31/100</f>
        <v>-476.5999836416</v>
      </c>
      <c r="G12" s="4" t="n">
        <f aca="false">-G6*Assumptions!G31/100</f>
        <v>-493.280983069056</v>
      </c>
      <c r="H12" s="4" t="n">
        <f aca="false">-H6*Assumptions!H31/100</f>
        <v>-510.545817476473</v>
      </c>
      <c r="I12" s="4" t="n">
        <f aca="false">-I6*Assumptions!I31/100</f>
        <v>-525.862192000767</v>
      </c>
      <c r="J12" s="4" t="n">
        <f aca="false">-J6*Assumptions!J31/100</f>
        <v>-541.63805776079</v>
      </c>
      <c r="K12" s="4" t="n">
        <f aca="false">-K6*Assumptions!K31/100</f>
        <v>-555.17900920481</v>
      </c>
      <c r="L12" s="4" t="n">
        <f aca="false">-L6*Assumptions!L31/100</f>
        <v>-569.05848443493</v>
      </c>
    </row>
    <row r="13" customFormat="false" ht="15" hidden="false" customHeight="false" outlineLevel="0" collapsed="false">
      <c r="A13" s="0" t="s">
        <v>120</v>
      </c>
      <c r="C13" s="0" t="n">
        <f aca="false">C11+C12</f>
        <v>600.54253</v>
      </c>
      <c r="D13" s="0" t="n">
        <f aca="false">D11+D12</f>
        <v>643.7226432</v>
      </c>
      <c r="E13" s="0" t="n">
        <f aca="false">E11+E12</f>
        <v>689.396297408</v>
      </c>
      <c r="F13" s="0" t="n">
        <f aca="false">F11+F12</f>
        <v>737.69388772352</v>
      </c>
      <c r="G13" s="0" t="n">
        <f aca="false">G11+G12</f>
        <v>780.670773204941</v>
      </c>
      <c r="H13" s="0" t="n">
        <f aca="false">H11+H12</f>
        <v>825.7523656576</v>
      </c>
      <c r="I13" s="0" t="n">
        <f aca="false">I11+I12</f>
        <v>864.243080766478</v>
      </c>
      <c r="J13" s="0" t="n">
        <f aca="false">J11+J12</f>
        <v>899.590165498356</v>
      </c>
      <c r="K13" s="0" t="n">
        <f aca="false">K11+K12</f>
        <v>922.079919635814</v>
      </c>
      <c r="L13" s="0" t="n">
        <f aca="false">L11+L12</f>
        <v>945.13191762671</v>
      </c>
    </row>
    <row r="14" customFormat="false" ht="15" hidden="false" customHeight="false" outlineLevel="0" collapsed="false">
      <c r="A14" s="0" t="s">
        <v>106</v>
      </c>
      <c r="C14" s="4" t="n">
        <f aca="false">Assumptions!C33</f>
        <v>22</v>
      </c>
      <c r="D14" s="4" t="n">
        <f aca="false">Assumptions!D33</f>
        <v>24</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121</v>
      </c>
      <c r="C15" s="0" t="n">
        <f aca="false">C13-MAX(0,C13)*C14/100</f>
        <v>468.4231734</v>
      </c>
      <c r="D15" s="0" t="n">
        <f aca="false">D13-MAX(0,D13)*D14/100</f>
        <v>489.229208832</v>
      </c>
      <c r="E15" s="0" t="n">
        <f aca="false">E13-MAX(0,E13)*E14/100</f>
        <v>517.047223056</v>
      </c>
      <c r="F15" s="0" t="n">
        <f aca="false">F13-MAX(0,F13)*F14/100</f>
        <v>553.27041579264</v>
      </c>
      <c r="G15" s="0" t="n">
        <f aca="false">G13-MAX(0,G13)*G14/100</f>
        <v>585.503079903706</v>
      </c>
      <c r="H15" s="0" t="n">
        <f aca="false">H13-MAX(0,H13)*H14/100</f>
        <v>619.3142742432</v>
      </c>
      <c r="I15" s="0" t="n">
        <f aca="false">I13-MAX(0,I13)*I14/100</f>
        <v>648.182310574859</v>
      </c>
      <c r="J15" s="0" t="n">
        <f aca="false">J13-MAX(0,J13)*J14/100</f>
        <v>674.692624123767</v>
      </c>
      <c r="K15" s="0" t="n">
        <f aca="false">K13-MAX(0,K13)*K14/100</f>
        <v>691.559939726861</v>
      </c>
      <c r="L15" s="0" t="n">
        <f aca="false">L13-MAX(0,L13)*L14/100</f>
        <v>708.848938220032</v>
      </c>
    </row>
    <row r="16" customFormat="false" ht="15" hidden="false" customHeight="false" outlineLevel="0" collapsed="false">
      <c r="A16" s="0" t="s">
        <v>122</v>
      </c>
      <c r="C16" s="0" t="n">
        <f aca="false">-C12</f>
        <v>427.37996</v>
      </c>
      <c r="D16" s="0" t="n">
        <f aca="false">-D12</f>
        <v>444.4751584</v>
      </c>
      <c r="E16" s="0" t="n">
        <f aca="false">-E12</f>
        <v>458.26921504</v>
      </c>
      <c r="F16" s="0" t="n">
        <f aca="false">-F12</f>
        <v>476.5999836416</v>
      </c>
      <c r="G16" s="0" t="n">
        <f aca="false">-G12</f>
        <v>493.280983069056</v>
      </c>
      <c r="H16" s="0" t="n">
        <f aca="false">-H12</f>
        <v>510.545817476473</v>
      </c>
      <c r="I16" s="0" t="n">
        <f aca="false">-I12</f>
        <v>525.862192000767</v>
      </c>
      <c r="J16" s="0" t="n">
        <f aca="false">-J12</f>
        <v>541.63805776079</v>
      </c>
      <c r="K16" s="0" t="n">
        <f aca="false">-K12</f>
        <v>555.17900920481</v>
      </c>
      <c r="L16" s="0" t="n">
        <f aca="false">-L12</f>
        <v>569.05848443493</v>
      </c>
    </row>
    <row r="17" customFormat="false" ht="15" hidden="false" customHeight="false" outlineLevel="0" collapsed="false">
      <c r="A17" s="0" t="s">
        <v>123</v>
      </c>
      <c r="C17" s="4" t="n">
        <f aca="false">-C6*Assumptions!C32/100</f>
        <v>-431.06427</v>
      </c>
      <c r="D17" s="4" t="n">
        <f aca="false">-D6*Assumptions!D32/100</f>
        <v>-448.3068408</v>
      </c>
      <c r="E17" s="4" t="n">
        <f aca="false">-E6*Assumptions!E32/100</f>
        <v>-466.239114432</v>
      </c>
      <c r="F17" s="4" t="n">
        <f aca="false">-F6*Assumptions!F32/100</f>
        <v>-480.74433132544</v>
      </c>
      <c r="G17" s="4" t="n">
        <f aca="false">-G6*Assumptions!G32/100</f>
        <v>-497.57038292183</v>
      </c>
      <c r="H17" s="4" t="n">
        <f aca="false">-H6*Assumptions!H32/100</f>
        <v>-510.545817476473</v>
      </c>
      <c r="I17" s="4" t="n">
        <f aca="false">-I6*Assumptions!I32/100</f>
        <v>-525.862192000767</v>
      </c>
      <c r="J17" s="4" t="n">
        <f aca="false">-J6*Assumptions!J32/100</f>
        <v>-541.63805776079</v>
      </c>
      <c r="K17" s="4" t="n">
        <f aca="false">-K6*Assumptions!K32/100</f>
        <v>-555.17900920481</v>
      </c>
      <c r="L17" s="4" t="n">
        <f aca="false">-L6*Assumptions!L32/100</f>
        <v>-569.05848443493</v>
      </c>
    </row>
    <row r="18" customFormat="false" ht="15" hidden="false" customHeight="false" outlineLevel="0" collapsed="false">
      <c r="A18" s="0" t="s">
        <v>124</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125</v>
      </c>
      <c r="C19" s="0" t="n">
        <f aca="false">C15+C16+C17+C18</f>
        <v>464.7388634</v>
      </c>
      <c r="D19" s="0" t="n">
        <f aca="false">D15+D16+D17+D18</f>
        <v>485.397526432</v>
      </c>
      <c r="E19" s="0" t="n">
        <f aca="false">E15+E16+E17+E18</f>
        <v>509.077323664</v>
      </c>
      <c r="F19" s="0" t="n">
        <f aca="false">F15+F16+F17+F18</f>
        <v>549.1260681088</v>
      </c>
      <c r="G19" s="0" t="n">
        <f aca="false">G15+G16+G17+G18</f>
        <v>581.213680050931</v>
      </c>
      <c r="H19" s="0" t="n">
        <f aca="false">H15+H16+H17+H18</f>
        <v>619.3142742432</v>
      </c>
      <c r="I19" s="0" t="n">
        <f aca="false">I15+I16+I17+I18</f>
        <v>648.182310574859</v>
      </c>
      <c r="J19" s="0" t="n">
        <f aca="false">J15+J16+J17+J18</f>
        <v>674.692624123767</v>
      </c>
      <c r="K19" s="0" t="n">
        <f aca="false">K15+K16+K17+K18</f>
        <v>691.559939726861</v>
      </c>
      <c r="L19" s="0" t="n">
        <f aca="false">L15+L16+L17+L18</f>
        <v>708.848938220032</v>
      </c>
    </row>
    <row r="20" customFormat="false" ht="15" hidden="false" customHeight="false" outlineLevel="0" collapsed="false">
      <c r="A20" s="0" t="s">
        <v>126</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127</v>
      </c>
      <c r="C21" s="0" t="n">
        <f aca="false">C19*C20</f>
        <v>430.313762407407</v>
      </c>
      <c r="D21" s="0" t="n">
        <f aca="false">D19*D20</f>
        <v>416.150142688615</v>
      </c>
      <c r="E21" s="0" t="n">
        <f aca="false">E19*E20</f>
        <v>404.121992696743</v>
      </c>
      <c r="F21" s="0" t="n">
        <f aca="false">F19*F20</f>
        <v>403.624053008706</v>
      </c>
      <c r="G21" s="0" t="n">
        <f aca="false">G19*G20</f>
        <v>395.564264528816</v>
      </c>
      <c r="H21" s="0" t="n">
        <f aca="false">H19*H20</f>
        <v>390.273045123218</v>
      </c>
      <c r="I21" s="0" t="n">
        <f aca="false">I19*I20</f>
        <v>378.208152599247</v>
      </c>
      <c r="J21" s="0" t="n">
        <f aca="false">J19*J20</f>
        <v>364.515431417058</v>
      </c>
      <c r="K21" s="0" t="n">
        <f aca="false">K19*K20</f>
        <v>345.952145557856</v>
      </c>
      <c r="L21" s="0" t="n">
        <f aca="false">L19*L20</f>
        <v>328.334212219262</v>
      </c>
    </row>
    <row r="23" customFormat="false" ht="15" hidden="false" customHeight="false" outlineLevel="0" collapsed="false">
      <c r="A23" s="0" t="s">
        <v>103</v>
      </c>
      <c r="C23" s="4" t="n">
        <f aca="false">Assumptions!C30</f>
        <v>2.6</v>
      </c>
      <c r="D23" s="4" t="n">
        <f aca="false">Assumptions!D30</f>
        <v>2.5</v>
      </c>
      <c r="E23" s="4" t="n">
        <f aca="false">Assumptions!E30</f>
        <v>2.5</v>
      </c>
      <c r="F23" s="4" t="n">
        <f aca="false">Assumptions!F30</f>
        <v>2.4</v>
      </c>
      <c r="G23" s="4" t="n">
        <f aca="false">Assumptions!G30</f>
        <v>2.4</v>
      </c>
      <c r="H23" s="4" t="n">
        <f aca="false">Assumptions!H30</f>
        <v>2.3</v>
      </c>
      <c r="I23" s="4" t="n">
        <f aca="false">Assumptions!I30</f>
        <v>2.3</v>
      </c>
      <c r="J23" s="4" t="n">
        <f aca="false">Assumptions!J30</f>
        <v>2.3</v>
      </c>
      <c r="K23" s="4" t="n">
        <f aca="false">Assumptions!K30</f>
        <v>2.3</v>
      </c>
      <c r="L23" s="4" t="n">
        <f aca="false">Assumptions!L30</f>
        <v>2.3</v>
      </c>
    </row>
    <row r="24" customFormat="false" ht="15" hidden="false" customHeight="false" outlineLevel="0" collapsed="false">
      <c r="A24" s="0" t="s">
        <v>128</v>
      </c>
      <c r="C24" s="0" t="n">
        <f aca="false">-C6*C23/100</f>
        <v>-95.79206</v>
      </c>
      <c r="D24" s="0" t="n">
        <f aca="false">-D6*D23/100</f>
        <v>-95.79206</v>
      </c>
      <c r="E24" s="0" t="n">
        <f aca="false">-E6*E23/100</f>
        <v>-99.6237424</v>
      </c>
      <c r="F24" s="0" t="n">
        <f aca="false">-F6*F23/100</f>
        <v>-99.46434441216</v>
      </c>
      <c r="G24" s="0" t="n">
        <f aca="false">-G6*G23/100</f>
        <v>-102.945596466586</v>
      </c>
      <c r="H24" s="0" t="n">
        <f aca="false">-H6*H23/100</f>
        <v>-102.109163495295</v>
      </c>
      <c r="I24" s="0" t="n">
        <f aca="false">-I6*I23/100</f>
        <v>-105.172438400153</v>
      </c>
      <c r="J24" s="0" t="n">
        <f aca="false">-J6*J23/100</f>
        <v>-108.327611552158</v>
      </c>
      <c r="K24" s="0" t="n">
        <f aca="false">-K6*K23/100</f>
        <v>-111.035801840962</v>
      </c>
      <c r="L24" s="0" t="n">
        <f aca="false">-L6*L23/100</f>
        <v>-113.811696886986</v>
      </c>
    </row>
    <row r="26" customFormat="false" ht="15" hidden="false" customHeight="false" outlineLevel="0" collapsed="false">
      <c r="A26" s="2" t="s">
        <v>129</v>
      </c>
    </row>
    <row r="27" customFormat="false" ht="15" hidden="false" customHeight="false" outlineLevel="0" collapsed="false">
      <c r="A27" s="0" t="s">
        <v>107</v>
      </c>
      <c r="B27" s="4" t="n">
        <f aca="false">Assumptions!$B$34</f>
        <v>8</v>
      </c>
    </row>
    <row r="28" customFormat="false" ht="15" hidden="false" customHeight="false" outlineLevel="0" collapsed="false">
      <c r="A28" s="0" t="s">
        <v>108</v>
      </c>
      <c r="B28" s="4" t="n">
        <f aca="false">Assumptions!$B$35</f>
        <v>2</v>
      </c>
    </row>
    <row r="29" customFormat="false" ht="15" hidden="false" customHeight="false" outlineLevel="0" collapsed="false">
      <c r="A29" s="0" t="s">
        <v>109</v>
      </c>
      <c r="B29" s="4" t="n">
        <f aca="false">Assumptions!$B$36</f>
        <v>15</v>
      </c>
    </row>
    <row r="30" customFormat="false" ht="15" hidden="false" customHeight="false" outlineLevel="0" collapsed="false">
      <c r="A30" s="0" t="s">
        <v>130</v>
      </c>
      <c r="B30" s="0" t="n">
        <f aca="false">SUM(C21:L21)</f>
        <v>3857.05720224693</v>
      </c>
    </row>
    <row r="31" customFormat="false" ht="15" hidden="false" customHeight="false" outlineLevel="0" collapsed="false">
      <c r="A31" s="0" t="s">
        <v>131</v>
      </c>
      <c r="B31" s="0" t="n">
        <f aca="false">L19</f>
        <v>708.848938220032</v>
      </c>
    </row>
    <row r="32" customFormat="false" ht="15" hidden="false" customHeight="false" outlineLevel="0" collapsed="false">
      <c r="A32" s="0" t="s">
        <v>132</v>
      </c>
      <c r="B32" s="0" t="n">
        <f aca="false">IF(B27&gt;B28,B31*(1+B28/100)/((B27-B28)/100),B31*B29)</f>
        <v>12050.4319497406</v>
      </c>
    </row>
    <row r="33" customFormat="false" ht="15" hidden="false" customHeight="false" outlineLevel="0" collapsed="false">
      <c r="A33" s="0" t="s">
        <v>133</v>
      </c>
      <c r="B33" s="0" t="n">
        <f aca="false">B31*B29</f>
        <v>10632.7340733005</v>
      </c>
    </row>
    <row r="34" customFormat="false" ht="15" hidden="false" customHeight="false" outlineLevel="0" collapsed="false">
      <c r="A34" s="0" t="s">
        <v>134</v>
      </c>
      <c r="B34" s="0" t="n">
        <f aca="false">MAX(0,MIN(B32,B33))</f>
        <v>10632.7340733005</v>
      </c>
    </row>
    <row r="35" customFormat="false" ht="15" hidden="false" customHeight="false" outlineLevel="0" collapsed="false">
      <c r="A35" s="0" t="s">
        <v>135</v>
      </c>
      <c r="B35" s="0" t="n">
        <f aca="false">B34/(1+B27/100)^L4</f>
        <v>4925.01318328892</v>
      </c>
    </row>
    <row r="36" customFormat="false" ht="15" hidden="false" customHeight="false" outlineLevel="0" collapsed="false">
      <c r="A36" s="0" t="s">
        <v>136</v>
      </c>
      <c r="B36" s="0" t="n">
        <f aca="false">B30+B35</f>
        <v>8782.07038553585</v>
      </c>
    </row>
    <row r="37" customFormat="false" ht="15" hidden="false" customHeight="false" outlineLevel="0" collapsed="false">
      <c r="A37" s="0" t="s">
        <v>137</v>
      </c>
      <c r="B37" s="0" t="n">
        <f aca="false">B36+Assumptions!$B$5-Assumptions!$B$4</f>
        <v>7348.07038553585</v>
      </c>
    </row>
    <row r="38" customFormat="false" ht="15" hidden="false" customHeight="false" outlineLevel="0" collapsed="false">
      <c r="A38" s="0" t="s">
        <v>138</v>
      </c>
      <c r="B38" s="0" t="n">
        <f aca="false">B37/Assumptions!$B$3*Assumptions!$B$10</f>
        <v>1214.35636845742</v>
      </c>
    </row>
    <row r="39" customFormat="false" ht="15" hidden="false" customHeight="false" outlineLevel="0" collapsed="false">
      <c r="A39" s="0" t="s">
        <v>139</v>
      </c>
      <c r="B39" s="4" t="n">
        <f aca="false">B38/Assumptions!$B$2-1</f>
        <v>-0.0549755887490893</v>
      </c>
    </row>
    <row r="41" customFormat="false" ht="15" hidden="false" customHeight="false" outlineLevel="0" collapsed="false">
      <c r="A41" s="0" t="s">
        <v>140</v>
      </c>
      <c r="B41" s="0" t="n">
        <f aca="false">SUMPRODUCT(-C10:L10/(1+$B$27/100)^C4:L4)</f>
        <v>313.970847089537</v>
      </c>
    </row>
    <row r="42" customFormat="false" ht="15" hidden="false" customHeight="false" outlineLevel="0" collapsed="false">
      <c r="A42" s="0" t="s">
        <v>141</v>
      </c>
      <c r="B42" s="0" t="n">
        <f aca="false">IF(B27&gt;B28,-L10*(1+B28/100)/((B27-B28)/100),-L10*20)/(1+B27/100)^L4</f>
        <v>428.610804083783</v>
      </c>
    </row>
    <row r="43" customFormat="false" ht="15" hidden="false" customHeight="false" outlineLevel="0" collapsed="false">
      <c r="A43" s="0" t="s">
        <v>142</v>
      </c>
      <c r="B43" s="0" t="n">
        <f aca="false">(B37+B41+B42)/Assumptions!$B$3*Assumptions!$B$10</f>
        <v>1337.07685286881</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5561.73782295718</v>
      </c>
    </row>
    <row r="47" customFormat="false" ht="15" hidden="false" customHeight="false" outlineLevel="0" collapsed="false">
      <c r="A47" s="0" t="s">
        <v>144</v>
      </c>
      <c r="B47" s="0" t="n">
        <f aca="false">(SUMPRODUCT(C19:L19/(1+B45/100)^C4:L4)+B46/(1+B45/100)^L4+Assumptions!$B$5-Assumptions!$B$4)/Assumptions!$B$3*Assumptions!$B$10</f>
        <v>455.026673348175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4</v>
      </c>
      <c r="D5" s="4" t="n">
        <f aca="false">Assumptions!D41</f>
        <v>5.5</v>
      </c>
      <c r="E5" s="4" t="n">
        <f aca="false">Assumptions!E41</f>
        <v>5.5</v>
      </c>
      <c r="F5" s="4" t="n">
        <f aca="false">Assumptions!F41</f>
        <v>5.5</v>
      </c>
      <c r="G5" s="4" t="n">
        <f aca="false">Assumptions!G41</f>
        <v>5</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38</v>
      </c>
      <c r="B6" s="3" t="n">
        <v>3577</v>
      </c>
      <c r="C6" s="0" t="n">
        <f aca="false">B6*(1+C5/100)</f>
        <v>3720.08</v>
      </c>
      <c r="D6" s="0" t="n">
        <f aca="false">C6*(1+D5/100)</f>
        <v>3924.6844</v>
      </c>
      <c r="E6" s="0" t="n">
        <f aca="false">D6*(1+E5/100)</f>
        <v>4140.542042</v>
      </c>
      <c r="F6" s="0" t="n">
        <f aca="false">E6*(1+F5/100)</f>
        <v>4368.27185431</v>
      </c>
      <c r="G6" s="0" t="n">
        <f aca="false">F6*(1+G5/100)</f>
        <v>4586.6854470255</v>
      </c>
      <c r="H6" s="0" t="n">
        <f aca="false">G6*(1+H5/100)</f>
        <v>4816.01971937677</v>
      </c>
      <c r="I6" s="0" t="n">
        <f aca="false">H6*(1+I5/100)</f>
        <v>5032.74060674873</v>
      </c>
      <c r="J6" s="0" t="n">
        <f aca="false">I6*(1+J5/100)</f>
        <v>5234.05023101868</v>
      </c>
      <c r="K6" s="0" t="n">
        <f aca="false">J6*(1+K5/100)</f>
        <v>5417.24198910433</v>
      </c>
      <c r="L6" s="0" t="n">
        <f aca="false">K6*(1+L5/100)</f>
        <v>5579.75924877746</v>
      </c>
    </row>
    <row r="7" customFormat="false" ht="15" hidden="false" customHeight="false" outlineLevel="0" collapsed="false">
      <c r="A7" s="0" t="s">
        <v>101</v>
      </c>
      <c r="C7" s="4" t="n">
        <f aca="false">Assumptions!C42</f>
        <v>31.8</v>
      </c>
      <c r="D7" s="4" t="n">
        <f aca="false">Assumptions!D42</f>
        <v>32.4</v>
      </c>
      <c r="E7" s="4" t="n">
        <f aca="false">Assumptions!E42</f>
        <v>33</v>
      </c>
      <c r="F7" s="4" t="n">
        <f aca="false">Assumptions!F42</f>
        <v>33.6</v>
      </c>
      <c r="G7" s="4" t="n">
        <f aca="false">Assumptions!G42</f>
        <v>34.2</v>
      </c>
      <c r="H7" s="4" t="n">
        <f aca="false">Assumptions!H42</f>
        <v>34.8</v>
      </c>
      <c r="I7" s="4" t="n">
        <f aca="false">Assumptions!I42</f>
        <v>35.4</v>
      </c>
      <c r="J7" s="4" t="n">
        <f aca="false">Assumptions!J42</f>
        <v>36</v>
      </c>
      <c r="K7" s="4" t="n">
        <f aca="false">Assumptions!K42</f>
        <v>36</v>
      </c>
      <c r="L7" s="4" t="n">
        <f aca="false">Assumptions!L42</f>
        <v>36</v>
      </c>
    </row>
    <row r="8" customFormat="false" ht="15" hidden="false" customHeight="false" outlineLevel="0" collapsed="false">
      <c r="A8" s="0" t="s">
        <v>44</v>
      </c>
      <c r="C8" s="0" t="n">
        <f aca="false">C6*C7/100</f>
        <v>1182.98544</v>
      </c>
      <c r="D8" s="0" t="n">
        <f aca="false">D6*D7/100</f>
        <v>1271.5977456</v>
      </c>
      <c r="E8" s="0" t="n">
        <f aca="false">E6*E7/100</f>
        <v>1366.37887386</v>
      </c>
      <c r="F8" s="0" t="n">
        <f aca="false">F6*F7/100</f>
        <v>1467.73934304816</v>
      </c>
      <c r="G8" s="0" t="n">
        <f aca="false">G6*G7/100</f>
        <v>1568.64642288272</v>
      </c>
      <c r="H8" s="0" t="n">
        <f aca="false">H6*H7/100</f>
        <v>1675.97486234312</v>
      </c>
      <c r="I8" s="0" t="n">
        <f aca="false">I6*I7/100</f>
        <v>1781.59017478905</v>
      </c>
      <c r="J8" s="0" t="n">
        <f aca="false">J6*J7/100</f>
        <v>1884.25808316672</v>
      </c>
      <c r="K8" s="0" t="n">
        <f aca="false">K6*K7/100</f>
        <v>1950.20711607756</v>
      </c>
      <c r="L8" s="0" t="n">
        <f aca="false">L6*L7/100</f>
        <v>2008.71332955989</v>
      </c>
    </row>
    <row r="9" customFormat="false" ht="15" hidden="false" customHeight="false" outlineLevel="0" collapsed="false">
      <c r="A9" s="0" t="s">
        <v>102</v>
      </c>
      <c r="C9" s="4" t="n">
        <f aca="false">Assumptions!C43</f>
        <v>1.1</v>
      </c>
      <c r="D9" s="4" t="n">
        <f aca="false">Assumptions!D43</f>
        <v>1.1</v>
      </c>
      <c r="E9" s="4" t="n">
        <f aca="false">Assumptions!E43</f>
        <v>1.1</v>
      </c>
      <c r="F9" s="4" t="n">
        <f aca="false">Assumptions!F43</f>
        <v>1.1</v>
      </c>
      <c r="G9" s="4" t="n">
        <f aca="false">Assumptions!G43</f>
        <v>1.1</v>
      </c>
      <c r="H9" s="4" t="n">
        <f aca="false">Assumptions!H43</f>
        <v>1.1</v>
      </c>
      <c r="I9" s="4" t="n">
        <f aca="false">Assumptions!I43</f>
        <v>1.1</v>
      </c>
      <c r="J9" s="4" t="n">
        <f aca="false">Assumptions!J43</f>
        <v>1.1</v>
      </c>
      <c r="K9" s="4" t="n">
        <f aca="false">Assumptions!K43</f>
        <v>1.1</v>
      </c>
      <c r="L9" s="4" t="n">
        <f aca="false">Assumptions!L43</f>
        <v>1.1</v>
      </c>
    </row>
    <row r="10" customFormat="false" ht="15" hidden="false" customHeight="false" outlineLevel="0" collapsed="false">
      <c r="A10" s="0" t="s">
        <v>117</v>
      </c>
      <c r="C10" s="0" t="n">
        <f aca="false">-C6*C9/100</f>
        <v>-40.92088</v>
      </c>
      <c r="D10" s="0" t="n">
        <f aca="false">-D6*D9/100</f>
        <v>-43.1715284</v>
      </c>
      <c r="E10" s="0" t="n">
        <f aca="false">-E6*E9/100</f>
        <v>-45.545962462</v>
      </c>
      <c r="F10" s="0" t="n">
        <f aca="false">-F6*F9/100</f>
        <v>-48.05099039741</v>
      </c>
      <c r="G10" s="0" t="n">
        <f aca="false">-G6*G9/100</f>
        <v>-50.4535399172805</v>
      </c>
      <c r="H10" s="0" t="n">
        <f aca="false">-H6*H9/100</f>
        <v>-52.9762169131445</v>
      </c>
      <c r="I10" s="0" t="n">
        <f aca="false">-I6*I9/100</f>
        <v>-55.360146674236</v>
      </c>
      <c r="J10" s="0" t="n">
        <f aca="false">-J6*J9/100</f>
        <v>-57.5745525412055</v>
      </c>
      <c r="K10" s="0" t="n">
        <f aca="false">-K6*K9/100</f>
        <v>-59.5896618801477</v>
      </c>
      <c r="L10" s="0" t="n">
        <f aca="false">-L6*L9/100</f>
        <v>-61.3773517365521</v>
      </c>
    </row>
    <row r="11" customFormat="false" ht="15" hidden="false" customHeight="false" outlineLevel="0" collapsed="false">
      <c r="A11" s="0" t="s">
        <v>118</v>
      </c>
      <c r="C11" s="0" t="n">
        <f aca="false">C8+C10+C24</f>
        <v>1045.34248</v>
      </c>
      <c r="D11" s="0" t="n">
        <f aca="false">D8+D10+D24</f>
        <v>1130.3091072</v>
      </c>
      <c r="E11" s="0" t="n">
        <f aca="false">E8+E10+E24</f>
        <v>1221.45990239</v>
      </c>
      <c r="F11" s="0" t="n">
        <f aca="false">F8+F10+F24</f>
        <v>1319.21810000162</v>
      </c>
      <c r="G11" s="0" t="n">
        <f aca="false">G8+G10+G24</f>
        <v>1417.28580313088</v>
      </c>
      <c r="H11" s="0" t="n">
        <f aca="false">H8+H10+H24</f>
        <v>1517.04621160368</v>
      </c>
      <c r="I11" s="0" t="n">
        <f aca="false">I8+I10+I24</f>
        <v>1620.54247537309</v>
      </c>
      <c r="J11" s="0" t="n">
        <f aca="false">J8+J10+J24</f>
        <v>1716.76847577413</v>
      </c>
      <c r="K11" s="0" t="n">
        <f aca="false">K8+K10+K24</f>
        <v>1776.85537242622</v>
      </c>
      <c r="L11" s="0" t="n">
        <f aca="false">L8+L10+L24</f>
        <v>1830.16103359901</v>
      </c>
    </row>
    <row r="12" customFormat="false" ht="15" hidden="false" customHeight="false" outlineLevel="0" collapsed="false">
      <c r="A12" s="0" t="s">
        <v>119</v>
      </c>
      <c r="C12" s="4" t="n">
        <f aca="false">-C6*Assumptions!C45/100</f>
        <v>-431.52928</v>
      </c>
      <c r="D12" s="4" t="n">
        <f aca="false">-D6*Assumptions!D45/100</f>
        <v>-451.338706</v>
      </c>
      <c r="E12" s="4" t="n">
        <f aca="false">-E6*Assumptions!E45/100</f>
        <v>-472.021792788</v>
      </c>
      <c r="F12" s="4" t="n">
        <f aca="false">-F6*Assumptions!F45/100</f>
        <v>-493.61471953703</v>
      </c>
      <c r="G12" s="4" t="n">
        <f aca="false">-G6*Assumptions!G45/100</f>
        <v>-513.708770066856</v>
      </c>
      <c r="H12" s="4" t="n">
        <f aca="false">-H6*Assumptions!H45/100</f>
        <v>-534.578188850822</v>
      </c>
      <c r="I12" s="4" t="n">
        <f aca="false">-I6*Assumptions!I45/100</f>
        <v>-553.60146674236</v>
      </c>
      <c r="J12" s="4" t="n">
        <f aca="false">-J6*Assumptions!J45/100</f>
        <v>-575.745525412055</v>
      </c>
      <c r="K12" s="4" t="n">
        <f aca="false">-K6*Assumptions!K45/100</f>
        <v>-595.896618801477</v>
      </c>
      <c r="L12" s="4" t="n">
        <f aca="false">-L6*Assumptions!L45/100</f>
        <v>-613.773517365521</v>
      </c>
    </row>
    <row r="13" customFormat="false" ht="15" hidden="false" customHeight="false" outlineLevel="0" collapsed="false">
      <c r="A13" s="0" t="s">
        <v>120</v>
      </c>
      <c r="C13" s="0" t="n">
        <f aca="false">C11+C12</f>
        <v>613.8132</v>
      </c>
      <c r="D13" s="0" t="n">
        <f aca="false">D11+D12</f>
        <v>678.9704012</v>
      </c>
      <c r="E13" s="0" t="n">
        <f aca="false">E11+E12</f>
        <v>749.438109602</v>
      </c>
      <c r="F13" s="0" t="n">
        <f aca="false">F11+F12</f>
        <v>825.60338046459</v>
      </c>
      <c r="G13" s="0" t="n">
        <f aca="false">G11+G12</f>
        <v>903.577033064024</v>
      </c>
      <c r="H13" s="0" t="n">
        <f aca="false">H11+H12</f>
        <v>982.468022752862</v>
      </c>
      <c r="I13" s="0" t="n">
        <f aca="false">I11+I12</f>
        <v>1066.94100863073</v>
      </c>
      <c r="J13" s="0" t="n">
        <f aca="false">J11+J12</f>
        <v>1141.02295036207</v>
      </c>
      <c r="K13" s="0" t="n">
        <f aca="false">K11+K12</f>
        <v>1180.95875362474</v>
      </c>
      <c r="L13" s="0" t="n">
        <f aca="false">L11+L12</f>
        <v>1216.38751623349</v>
      </c>
    </row>
    <row r="14" customFormat="false" ht="15" hidden="false" customHeight="false" outlineLevel="0" collapsed="false">
      <c r="A14" s="0" t="s">
        <v>106</v>
      </c>
      <c r="C14" s="4" t="n">
        <f aca="false">Assumptions!C47</f>
        <v>22</v>
      </c>
      <c r="D14" s="4" t="n">
        <f aca="false">Assumptions!D47</f>
        <v>24</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121</v>
      </c>
      <c r="C15" s="0" t="n">
        <f aca="false">C13-MAX(0,C13)*C14/100</f>
        <v>478.774296</v>
      </c>
      <c r="D15" s="0" t="n">
        <f aca="false">D13-MAX(0,D13)*D14/100</f>
        <v>516.017504912</v>
      </c>
      <c r="E15" s="0" t="n">
        <f aca="false">E13-MAX(0,E13)*E14/100</f>
        <v>562.0785822015</v>
      </c>
      <c r="F15" s="0" t="n">
        <f aca="false">F13-MAX(0,F13)*F14/100</f>
        <v>619.202535348442</v>
      </c>
      <c r="G15" s="0" t="n">
        <f aca="false">G13-MAX(0,G13)*G14/100</f>
        <v>677.682774798018</v>
      </c>
      <c r="H15" s="0" t="n">
        <f aca="false">H13-MAX(0,H13)*H14/100</f>
        <v>736.851017064646</v>
      </c>
      <c r="I15" s="0" t="n">
        <f aca="false">I13-MAX(0,I13)*I14/100</f>
        <v>800.205756473048</v>
      </c>
      <c r="J15" s="0" t="n">
        <f aca="false">J13-MAX(0,J13)*J14/100</f>
        <v>855.767212771554</v>
      </c>
      <c r="K15" s="0" t="n">
        <f aca="false">K13-MAX(0,K13)*K14/100</f>
        <v>885.719065218558</v>
      </c>
      <c r="L15" s="0" t="n">
        <f aca="false">L13-MAX(0,L13)*L14/100</f>
        <v>912.290637175115</v>
      </c>
    </row>
    <row r="16" customFormat="false" ht="15" hidden="false" customHeight="false" outlineLevel="0" collapsed="false">
      <c r="A16" s="0" t="s">
        <v>122</v>
      </c>
      <c r="C16" s="0" t="n">
        <f aca="false">-C12</f>
        <v>431.52928</v>
      </c>
      <c r="D16" s="0" t="n">
        <f aca="false">-D12</f>
        <v>451.338706</v>
      </c>
      <c r="E16" s="0" t="n">
        <f aca="false">-E12</f>
        <v>472.021792788</v>
      </c>
      <c r="F16" s="0" t="n">
        <f aca="false">-F12</f>
        <v>493.61471953703</v>
      </c>
      <c r="G16" s="0" t="n">
        <f aca="false">-G12</f>
        <v>513.708770066856</v>
      </c>
      <c r="H16" s="0" t="n">
        <f aca="false">-H12</f>
        <v>534.578188850822</v>
      </c>
      <c r="I16" s="0" t="n">
        <f aca="false">-I12</f>
        <v>553.60146674236</v>
      </c>
      <c r="J16" s="0" t="n">
        <f aca="false">-J12</f>
        <v>575.745525412055</v>
      </c>
      <c r="K16" s="0" t="n">
        <f aca="false">-K12</f>
        <v>595.896618801477</v>
      </c>
      <c r="L16" s="0" t="n">
        <f aca="false">-L12</f>
        <v>613.773517365521</v>
      </c>
    </row>
    <row r="17" customFormat="false" ht="15" hidden="false" customHeight="false" outlineLevel="0" collapsed="false">
      <c r="A17" s="0" t="s">
        <v>123</v>
      </c>
      <c r="C17" s="4" t="n">
        <f aca="false">-C6*Assumptions!C46/100</f>
        <v>-431.52928</v>
      </c>
      <c r="D17" s="4" t="n">
        <f aca="false">-D6*Assumptions!D46/100</f>
        <v>-451.338706</v>
      </c>
      <c r="E17" s="4" t="n">
        <f aca="false">-E6*Assumptions!E46/100</f>
        <v>-472.021792788</v>
      </c>
      <c r="F17" s="4" t="n">
        <f aca="false">-F6*Assumptions!F46/100</f>
        <v>-493.61471953703</v>
      </c>
      <c r="G17" s="4" t="n">
        <f aca="false">-G6*Assumptions!G46/100</f>
        <v>-513.708770066856</v>
      </c>
      <c r="H17" s="4" t="n">
        <f aca="false">-H6*Assumptions!H46/100</f>
        <v>-534.578188850822</v>
      </c>
      <c r="I17" s="4" t="n">
        <f aca="false">-I6*Assumptions!I46/100</f>
        <v>-553.60146674236</v>
      </c>
      <c r="J17" s="4" t="n">
        <f aca="false">-J6*Assumptions!J46/100</f>
        <v>-575.745525412055</v>
      </c>
      <c r="K17" s="4" t="n">
        <f aca="false">-K6*Assumptions!K46/100</f>
        <v>-595.896618801477</v>
      </c>
      <c r="L17" s="4" t="n">
        <f aca="false">-L6*Assumptions!L46/100</f>
        <v>-613.773517365521</v>
      </c>
    </row>
    <row r="18" customFormat="false" ht="15" hidden="false" customHeight="false" outlineLevel="0" collapsed="false">
      <c r="A18" s="0" t="s">
        <v>124</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125</v>
      </c>
      <c r="C19" s="0" t="n">
        <f aca="false">C15+C16+C17+C18</f>
        <v>478.774296</v>
      </c>
      <c r="D19" s="0" t="n">
        <f aca="false">D15+D16+D17+D18</f>
        <v>516.017504912</v>
      </c>
      <c r="E19" s="0" t="n">
        <f aca="false">E15+E16+E17+E18</f>
        <v>562.0785822015</v>
      </c>
      <c r="F19" s="0" t="n">
        <f aca="false">F15+F16+F17+F18</f>
        <v>619.202535348442</v>
      </c>
      <c r="G19" s="0" t="n">
        <f aca="false">G15+G16+G17+G18</f>
        <v>677.682774798018</v>
      </c>
      <c r="H19" s="0" t="n">
        <f aca="false">H15+H16+H17+H18</f>
        <v>736.851017064646</v>
      </c>
      <c r="I19" s="0" t="n">
        <f aca="false">I15+I16+I17+I18</f>
        <v>800.205756473048</v>
      </c>
      <c r="J19" s="0" t="n">
        <f aca="false">J15+J16+J17+J18</f>
        <v>855.767212771554</v>
      </c>
      <c r="K19" s="0" t="n">
        <f aca="false">K15+K16+K17+K18</f>
        <v>885.719065218558</v>
      </c>
      <c r="L19" s="0" t="n">
        <f aca="false">L15+L16+L17+L18</f>
        <v>912.290637175115</v>
      </c>
    </row>
    <row r="20" customFormat="false" ht="15" hidden="false" customHeight="false" outlineLevel="0" collapsed="false">
      <c r="A20" s="0" t="s">
        <v>126</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127</v>
      </c>
      <c r="C21" s="0" t="n">
        <f aca="false">C19*C20</f>
        <v>443.309533333333</v>
      </c>
      <c r="D21" s="0" t="n">
        <f aca="false">D19*D20</f>
        <v>442.401838916324</v>
      </c>
      <c r="E21" s="0" t="n">
        <f aca="false">E19*E20</f>
        <v>446.196100538456</v>
      </c>
      <c r="F21" s="0" t="n">
        <f aca="false">F19*F20</f>
        <v>455.132348408356</v>
      </c>
      <c r="G21" s="0" t="n">
        <f aca="false">G19*G20</f>
        <v>461.21950944674</v>
      </c>
      <c r="H21" s="0" t="n">
        <f aca="false">H19*H20</f>
        <v>464.341130492064</v>
      </c>
      <c r="I21" s="0" t="n">
        <f aca="false">I19*I20</f>
        <v>466.912373135493</v>
      </c>
      <c r="J21" s="0" t="n">
        <f aca="false">J19*J20</f>
        <v>462.344397437452</v>
      </c>
      <c r="K21" s="0" t="n">
        <f aca="false">K19*K20</f>
        <v>443.080047544225</v>
      </c>
      <c r="L21" s="0" t="n">
        <f aca="false">L19*L20</f>
        <v>422.56708238014</v>
      </c>
    </row>
    <row r="23" customFormat="false" ht="15" hidden="false" customHeight="false" outlineLevel="0" collapsed="false">
      <c r="A23" s="0" t="s">
        <v>103</v>
      </c>
      <c r="C23" s="4" t="n">
        <f aca="false">Assumptions!C44</f>
        <v>2.6</v>
      </c>
      <c r="D23" s="4" t="n">
        <f aca="false">Assumptions!D44</f>
        <v>2.5</v>
      </c>
      <c r="E23" s="4" t="n">
        <f aca="false">Assumptions!E44</f>
        <v>2.4</v>
      </c>
      <c r="F23" s="4" t="n">
        <f aca="false">Assumptions!F44</f>
        <v>2.3</v>
      </c>
      <c r="G23" s="4" t="n">
        <f aca="false">Assumptions!G44</f>
        <v>2.2</v>
      </c>
      <c r="H23" s="4" t="n">
        <f aca="false">Assumptions!H44</f>
        <v>2.2</v>
      </c>
      <c r="I23" s="4" t="n">
        <f aca="false">Assumptions!I44</f>
        <v>2.1</v>
      </c>
      <c r="J23" s="4" t="n">
        <f aca="false">Assumptions!J44</f>
        <v>2.1</v>
      </c>
      <c r="K23" s="4" t="n">
        <f aca="false">Assumptions!K44</f>
        <v>2.1</v>
      </c>
      <c r="L23" s="4" t="n">
        <f aca="false">Assumptions!L44</f>
        <v>2.1</v>
      </c>
    </row>
    <row r="24" customFormat="false" ht="15" hidden="false" customHeight="false" outlineLevel="0" collapsed="false">
      <c r="A24" s="0" t="s">
        <v>128</v>
      </c>
      <c r="C24" s="0" t="n">
        <f aca="false">-C6*C23/100</f>
        <v>-96.72208</v>
      </c>
      <c r="D24" s="0" t="n">
        <f aca="false">-D6*D23/100</f>
        <v>-98.11711</v>
      </c>
      <c r="E24" s="0" t="n">
        <f aca="false">-E6*E23/100</f>
        <v>-99.373009008</v>
      </c>
      <c r="F24" s="0" t="n">
        <f aca="false">-F6*F23/100</f>
        <v>-100.47025264913</v>
      </c>
      <c r="G24" s="0" t="n">
        <f aca="false">-G6*G23/100</f>
        <v>-100.907079834561</v>
      </c>
      <c r="H24" s="0" t="n">
        <f aca="false">-H6*H23/100</f>
        <v>-105.952433826289</v>
      </c>
      <c r="I24" s="0" t="n">
        <f aca="false">-I6*I23/100</f>
        <v>-105.687552741723</v>
      </c>
      <c r="J24" s="0" t="n">
        <f aca="false">-J6*J23/100</f>
        <v>-109.915054851392</v>
      </c>
      <c r="K24" s="0" t="n">
        <f aca="false">-K6*K23/100</f>
        <v>-113.762081771191</v>
      </c>
      <c r="L24" s="0" t="n">
        <f aca="false">-L6*L23/100</f>
        <v>-117.174944224327</v>
      </c>
    </row>
    <row r="26" customFormat="false" ht="15" hidden="false" customHeight="false" outlineLevel="0" collapsed="false">
      <c r="A26" s="2" t="s">
        <v>129</v>
      </c>
    </row>
    <row r="27" customFormat="false" ht="15" hidden="false" customHeight="false" outlineLevel="0" collapsed="false">
      <c r="A27" s="0" t="s">
        <v>107</v>
      </c>
      <c r="B27" s="4" t="n">
        <f aca="false">Assumptions!$B$48</f>
        <v>8</v>
      </c>
    </row>
    <row r="28" customFormat="false" ht="15" hidden="false" customHeight="false" outlineLevel="0" collapsed="false">
      <c r="A28" s="0" t="s">
        <v>108</v>
      </c>
      <c r="B28" s="4" t="n">
        <f aca="false">Assumptions!$B$49</f>
        <v>2.5</v>
      </c>
    </row>
    <row r="29" customFormat="false" ht="15" hidden="false" customHeight="false" outlineLevel="0" collapsed="false">
      <c r="A29" s="0" t="s">
        <v>109</v>
      </c>
      <c r="B29" s="4" t="n">
        <f aca="false">Assumptions!$B$50</f>
        <v>15</v>
      </c>
    </row>
    <row r="30" customFormat="false" ht="15" hidden="false" customHeight="false" outlineLevel="0" collapsed="false">
      <c r="A30" s="0" t="s">
        <v>130</v>
      </c>
      <c r="B30" s="0" t="n">
        <f aca="false">SUM(C21:L21)</f>
        <v>4507.50436163259</v>
      </c>
    </row>
    <row r="31" customFormat="false" ht="15" hidden="false" customHeight="false" outlineLevel="0" collapsed="false">
      <c r="A31" s="0" t="s">
        <v>131</v>
      </c>
      <c r="B31" s="0" t="n">
        <f aca="false">L19</f>
        <v>912.290637175115</v>
      </c>
    </row>
    <row r="32" customFormat="false" ht="15" hidden="false" customHeight="false" outlineLevel="0" collapsed="false">
      <c r="A32" s="0" t="s">
        <v>132</v>
      </c>
      <c r="B32" s="0" t="n">
        <f aca="false">IF(B27&gt;B28,B31*(1+B28/100)/((B27-B28)/100),B31*B29)</f>
        <v>17001.7800564453</v>
      </c>
    </row>
    <row r="33" customFormat="false" ht="15" hidden="false" customHeight="false" outlineLevel="0" collapsed="false">
      <c r="A33" s="0" t="s">
        <v>133</v>
      </c>
      <c r="B33" s="0" t="n">
        <f aca="false">B31*B29</f>
        <v>13684.3595576267</v>
      </c>
    </row>
    <row r="34" customFormat="false" ht="15" hidden="false" customHeight="false" outlineLevel="0" collapsed="false">
      <c r="A34" s="0" t="s">
        <v>134</v>
      </c>
      <c r="B34" s="0" t="n">
        <f aca="false">MAX(0,MIN(B32,B33))</f>
        <v>13684.3595576267</v>
      </c>
    </row>
    <row r="35" customFormat="false" ht="15" hidden="false" customHeight="false" outlineLevel="0" collapsed="false">
      <c r="A35" s="0" t="s">
        <v>135</v>
      </c>
      <c r="B35" s="0" t="n">
        <f aca="false">B34/(1+B27/100)^L4</f>
        <v>6338.50623570211</v>
      </c>
    </row>
    <row r="36" customFormat="false" ht="15" hidden="false" customHeight="false" outlineLevel="0" collapsed="false">
      <c r="A36" s="0" t="s">
        <v>136</v>
      </c>
      <c r="B36" s="0" t="n">
        <f aca="false">B30+B35</f>
        <v>10846.0105973347</v>
      </c>
    </row>
    <row r="37" customFormat="false" ht="15" hidden="false" customHeight="false" outlineLevel="0" collapsed="false">
      <c r="A37" s="0" t="s">
        <v>137</v>
      </c>
      <c r="B37" s="0" t="n">
        <f aca="false">B36+Assumptions!$B$5-Assumptions!$B$4</f>
        <v>9412.01059733469</v>
      </c>
    </row>
    <row r="38" customFormat="false" ht="15" hidden="false" customHeight="false" outlineLevel="0" collapsed="false">
      <c r="A38" s="0" t="s">
        <v>138</v>
      </c>
      <c r="B38" s="0" t="n">
        <f aca="false">B37/Assumptions!$B$3*Assumptions!$B$10</f>
        <v>1555.44713226486</v>
      </c>
    </row>
    <row r="39" customFormat="false" ht="15" hidden="false" customHeight="false" outlineLevel="0" collapsed="false">
      <c r="A39" s="0" t="s">
        <v>139</v>
      </c>
      <c r="B39" s="4" t="n">
        <f aca="false">B38/Assumptions!$B$2-1</f>
        <v>0.210464694369544</v>
      </c>
    </row>
    <row r="41" customFormat="false" ht="15" hidden="false" customHeight="false" outlineLevel="0" collapsed="false">
      <c r="A41" s="0" t="s">
        <v>140</v>
      </c>
      <c r="B41" s="0" t="n">
        <f aca="false">SUMPRODUCT(-C10:L10/(1+$B$27/100)^C4:L4)</f>
        <v>335.746040715722</v>
      </c>
    </row>
    <row r="42" customFormat="false" ht="15" hidden="false" customHeight="false" outlineLevel="0" collapsed="false">
      <c r="A42" s="0" t="s">
        <v>141</v>
      </c>
      <c r="B42" s="0" t="n">
        <f aca="false">IF(B27&gt;B28,-L10*(1+B28/100)/((B27-B28)/100),-L10*20)/(1+B27/100)^L4</f>
        <v>529.824170568372</v>
      </c>
    </row>
    <row r="43" customFormat="false" ht="15" hidden="false" customHeight="false" outlineLevel="0" collapsed="false">
      <c r="A43" s="0" t="s">
        <v>142</v>
      </c>
      <c r="B43" s="0" t="n">
        <f aca="false">(B37+B41+B42)/Assumptions!$B$3*Assumptions!$B$10</f>
        <v>1698.49294473951</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7480.78322483594</v>
      </c>
    </row>
    <row r="47" customFormat="false" ht="15" hidden="false" customHeight="false" outlineLevel="0" collapsed="false">
      <c r="A47" s="0" t="s">
        <v>144</v>
      </c>
      <c r="B47" s="0" t="n">
        <f aca="false">(SUMPRODUCT(C19:L19/(1+B45/100)^C4:L4)+B46/(1+B45/100)^L4+Assumptions!$B$5-Assumptions!$B$4)/Assumptions!$B$3*Assumptions!$B$10</f>
        <v>604.627296277799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603.608859068985</v>
      </c>
      <c r="C4" s="0" t="n">
        <f aca="false">B4/Assumptions!$B$2-1</f>
        <v>-0.530265479323747</v>
      </c>
      <c r="D4" s="4" t="n">
        <f aca="false">Assumptions!$B$24</f>
        <v>0.25</v>
      </c>
      <c r="E4" s="4" t="n">
        <f aca="false">DCF_Bear!$B$43</f>
        <v>697.568492997659</v>
      </c>
      <c r="F4" s="4" t="n">
        <f aca="false">DCF_Bear!$B$47</f>
        <v>228.12092752555</v>
      </c>
    </row>
    <row r="5" customFormat="false" ht="15" hidden="false" customHeight="false" outlineLevel="0" collapsed="false">
      <c r="A5" s="0" t="s">
        <v>153</v>
      </c>
      <c r="B5" s="4" t="n">
        <f aca="false">DCF_Base!$B$38</f>
        <v>1214.35636845742</v>
      </c>
      <c r="C5" s="0" t="n">
        <f aca="false">B5/Assumptions!$B$2-1</f>
        <v>-0.0549755887490893</v>
      </c>
      <c r="D5" s="4" t="n">
        <f aca="false">Assumptions!$B$38</f>
        <v>0.5</v>
      </c>
      <c r="E5" s="4" t="n">
        <f aca="false">DCF_Base!$B$43</f>
        <v>1337.07685286881</v>
      </c>
      <c r="F5" s="4" t="n">
        <f aca="false">DCF_Base!$B$47</f>
        <v>455.026673348175</v>
      </c>
    </row>
    <row r="6" customFormat="false" ht="15" hidden="false" customHeight="false" outlineLevel="0" collapsed="false">
      <c r="A6" s="0" t="s">
        <v>154</v>
      </c>
      <c r="B6" s="4" t="n">
        <f aca="false">DCF_Bull!$B$38</f>
        <v>1555.44713226486</v>
      </c>
      <c r="C6" s="0" t="n">
        <f aca="false">B6/Assumptions!$B$2-1</f>
        <v>0.210464694369544</v>
      </c>
      <c r="D6" s="4" t="n">
        <f aca="false">Assumptions!$B$52</f>
        <v>0.25</v>
      </c>
      <c r="E6" s="4" t="n">
        <f aca="false">DCF_Bull!$B$43</f>
        <v>1698.49294473951</v>
      </c>
      <c r="F6" s="4" t="n">
        <f aca="false">DCF_Bull!$B$47</f>
        <v>604.627296277799</v>
      </c>
    </row>
    <row r="8" customFormat="false" ht="15" hidden="false" customHeight="false" outlineLevel="0" collapsed="false">
      <c r="A8" s="0" t="s">
        <v>155</v>
      </c>
      <c r="B8" s="0" t="n">
        <f aca="false">SUMPRODUCT(B4:B6,D4:D6)</f>
        <v>1146.94218206217</v>
      </c>
    </row>
    <row r="9" customFormat="false" ht="15" hidden="false" customHeight="false" outlineLevel="0" collapsed="false">
      <c r="A9" s="0" t="s">
        <v>156</v>
      </c>
      <c r="B9" s="0" t="n">
        <f aca="false">SUMPRODUCT(E4:E6,D4:D6)</f>
        <v>1267.5537858687</v>
      </c>
    </row>
    <row r="10" customFormat="false" ht="15" hidden="false" customHeight="false" outlineLevel="0" collapsed="false">
      <c r="A10" s="0" t="s">
        <v>157</v>
      </c>
      <c r="B10" s="0" t="n">
        <f aca="false">1-Assumptions!$B$2/B8</f>
        <v>-0.12037033784005</v>
      </c>
    </row>
    <row r="11" customFormat="false" ht="15" hidden="false" customHeight="false" outlineLevel="0" collapsed="false">
      <c r="A11" s="0" t="s">
        <v>158</v>
      </c>
      <c r="B11" s="0" t="n">
        <f aca="false">IF(ABS(B9-B8)&gt;0.01*ABS(B8),(Assumptions!$B$2-B8)/(B9-B8)*100,"n/a")</f>
        <v>114.464789108756</v>
      </c>
    </row>
    <row r="12" customFormat="false" ht="15" hidden="false" customHeight="false" outlineLevel="0" collapsed="false">
      <c r="A12" s="0" t="s">
        <v>159</v>
      </c>
      <c r="B12" s="0" t="n">
        <f aca="false">SUMPRODUCT(F4:F6,D4:D6)</f>
        <v>435.700392624925</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1214.35636845742</v>
      </c>
      <c r="C15" s="3" t="n">
        <v>8</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1091.41231025059</v>
      </c>
      <c r="C16" s="3" t="n">
        <v>9</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918.208521714507</v>
      </c>
      <c r="C17" s="3" t="n">
        <v>10</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783.823321544776</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676.591933257312</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455.026673348175</v>
      </c>
      <c r="C20" s="3" t="n">
        <v>15</v>
      </c>
    </row>
    <row r="22" customFormat="false" ht="15" hidden="false" customHeight="false" outlineLevel="0" collapsed="false">
      <c r="A22" s="2" t="s">
        <v>168</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1448.77489871173</v>
      </c>
      <c r="C24" s="0" t="n">
        <f aca="false">(SUMPRODUCT(DCF_Base!$C$19:$L$19/(1+$A$24/100)^DCF_Base!$C$4:$L$4)+MAX(0,MIN(IF($A$24&gt;$C$23,DCF_Base!$L$19*(1+$C$23/100)/(($A$24-$C$23)/100),DCF_Base!$L$19*DCF_Base!$B$29),DCF_Base!$L$19*DCF_Base!$B$29))/(1+$A$24/100)^DCF_Base!$L$4+Assumptions!$B$5-Assumptions!$B$4)/Assumptions!$B$3*Assumptions!$B$10</f>
        <v>1448.77489871173</v>
      </c>
      <c r="D24" s="0" t="n">
        <f aca="false">(SUMPRODUCT(DCF_Base!$C$19:$L$19/(1+$A$24/100)^DCF_Base!$C$4:$L$4)+MAX(0,MIN(IF($A$24&gt;$D$23,DCF_Base!$L$19*(1+$D$23/100)/(($A$24-$D$23)/100),DCF_Base!$L$19*DCF_Base!$B$29),DCF_Base!$L$19*DCF_Base!$B$29))/(1+$A$24/100)^DCF_Base!$L$4+Assumptions!$B$5-Assumptions!$B$4)/Assumptions!$B$3*Assumptions!$B$10</f>
        <v>1448.77489871173</v>
      </c>
      <c r="E24" s="0" t="n">
        <f aca="false">(SUMPRODUCT(DCF_Base!$C$19:$L$19/(1+$A$24/100)^DCF_Base!$C$4:$L$4)+MAX(0,MIN(IF($A$24&gt;$E$23,DCF_Base!$L$19*(1+$E$23/100)/(($A$24-$E$23)/100),DCF_Base!$L$19*DCF_Base!$B$29),DCF_Base!$L$19*DCF_Base!$B$29))/(1+$A$24/100)^DCF_Base!$L$4+Assumptions!$B$5-Assumptions!$B$4)/Assumptions!$B$3*Assumptions!$B$10</f>
        <v>1448.77489871173</v>
      </c>
      <c r="F24" s="0" t="n">
        <f aca="false">(SUMPRODUCT(DCF_Base!$C$19:$L$19/(1+$A$24/100)^DCF_Base!$C$4:$L$4)+MAX(0,MIN(IF($A$24&gt;$F$23,DCF_Base!$L$19*(1+$F$23/100)/(($A$24-$F$23)/100),DCF_Base!$L$19*DCF_Base!$B$29),DCF_Base!$L$19*DCF_Base!$B$29))/(1+$A$24/100)^DCF_Base!$L$4+Assumptions!$B$5-Assumptions!$B$4)/Assumptions!$B$3*Assumptions!$B$10</f>
        <v>1448.77489871173</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1326.03510851124</v>
      </c>
      <c r="C25" s="0" t="n">
        <f aca="false">(SUMPRODUCT(DCF_Base!$C$19:$L$19/(1+$A$25/100)^DCF_Base!$C$4:$L$4)+MAX(0,MIN(IF($A$25&gt;$C$23,DCF_Base!$L$19*(1+$C$23/100)/(($A$25-$C$23)/100),DCF_Base!$L$19*DCF_Base!$B$29),DCF_Base!$L$19*DCF_Base!$B$29))/(1+$A$25/100)^DCF_Base!$L$4+Assumptions!$B$5-Assumptions!$B$4)/Assumptions!$B$3*Assumptions!$B$10</f>
        <v>1326.03510851124</v>
      </c>
      <c r="D25" s="0" t="n">
        <f aca="false">(SUMPRODUCT(DCF_Base!$C$19:$L$19/(1+$A$25/100)^DCF_Base!$C$4:$L$4)+MAX(0,MIN(IF($A$25&gt;$D$23,DCF_Base!$L$19*(1+$D$23/100)/(($A$25-$D$23)/100),DCF_Base!$L$19*DCF_Base!$B$29),DCF_Base!$L$19*DCF_Base!$B$29))/(1+$A$25/100)^DCF_Base!$L$4+Assumptions!$B$5-Assumptions!$B$4)/Assumptions!$B$3*Assumptions!$B$10</f>
        <v>1326.03510851124</v>
      </c>
      <c r="E25" s="0" t="n">
        <f aca="false">(SUMPRODUCT(DCF_Base!$C$19:$L$19/(1+$A$25/100)^DCF_Base!$C$4:$L$4)+MAX(0,MIN(IF($A$25&gt;$E$23,DCF_Base!$L$19*(1+$E$23/100)/(($A$25-$E$23)/100),DCF_Base!$L$19*DCF_Base!$B$29),DCF_Base!$L$19*DCF_Base!$B$29))/(1+$A$25/100)^DCF_Base!$L$4+Assumptions!$B$5-Assumptions!$B$4)/Assumptions!$B$3*Assumptions!$B$10</f>
        <v>1326.03510851124</v>
      </c>
      <c r="F25" s="0" t="n">
        <f aca="false">(SUMPRODUCT(DCF_Base!$C$19:$L$19/(1+$A$25/100)^DCF_Base!$C$4:$L$4)+MAX(0,MIN(IF($A$25&gt;$F$23,DCF_Base!$L$19*(1+$F$23/100)/(($A$25-$F$23)/100),DCF_Base!$L$19*DCF_Base!$B$29),DCF_Base!$L$19*DCF_Base!$B$29))/(1+$A$25/100)^DCF_Base!$L$4+Assumptions!$B$5-Assumptions!$B$4)/Assumptions!$B$3*Assumptions!$B$10</f>
        <v>1326.03510851124</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1183.34999763614</v>
      </c>
      <c r="C26" s="0" t="n">
        <f aca="false">(SUMPRODUCT(DCF_Base!$C$19:$L$19/(1+$A$26/100)^DCF_Base!$C$4:$L$4)+MAX(0,MIN(IF($A$26&gt;$C$23,DCF_Base!$L$19*(1+$C$23/100)/(($A$26-$C$23)/100),DCF_Base!$L$19*DCF_Base!$B$29),DCF_Base!$L$19*DCF_Base!$B$29))/(1+$A$26/100)^DCF_Base!$L$4+Assumptions!$B$5-Assumptions!$B$4)/Assumptions!$B$3*Assumptions!$B$10</f>
        <v>1214.35636845742</v>
      </c>
      <c r="D26" s="0" t="n">
        <f aca="false">(SUMPRODUCT(DCF_Base!$C$19:$L$19/(1+$A$26/100)^DCF_Base!$C$4:$L$4)+MAX(0,MIN(IF($A$26&gt;$D$23,DCF_Base!$L$19*(1+$D$23/100)/(($A$26-$D$23)/100),DCF_Base!$L$19*DCF_Base!$B$29),DCF_Base!$L$19*DCF_Base!$B$29))/(1+$A$26/100)^DCF_Base!$L$4+Assumptions!$B$5-Assumptions!$B$4)/Assumptions!$B$3*Assumptions!$B$10</f>
        <v>1214.35636845742</v>
      </c>
      <c r="E26" s="0" t="n">
        <f aca="false">(SUMPRODUCT(DCF_Base!$C$19:$L$19/(1+$A$26/100)^DCF_Base!$C$4:$L$4)+MAX(0,MIN(IF($A$26&gt;$E$23,DCF_Base!$L$19*(1+$E$23/100)/(($A$26-$E$23)/100),DCF_Base!$L$19*DCF_Base!$B$29),DCF_Base!$L$19*DCF_Base!$B$29))/(1+$A$26/100)^DCF_Base!$L$4+Assumptions!$B$5-Assumptions!$B$4)/Assumptions!$B$3*Assumptions!$B$10</f>
        <v>1214.35636845742</v>
      </c>
      <c r="F26" s="0" t="n">
        <f aca="false">(SUMPRODUCT(DCF_Base!$C$19:$L$19/(1+$A$26/100)^DCF_Base!$C$4:$L$4)+MAX(0,MIN(IF($A$26&gt;$F$23,DCF_Base!$L$19*(1+$F$23/100)/(($A$26-$F$23)/100),DCF_Base!$L$19*DCF_Base!$B$29),DCF_Base!$L$19*DCF_Base!$B$29))/(1+$A$26/100)^DCF_Base!$L$4+Assumptions!$B$5-Assumptions!$B$4)/Assumptions!$B$3*Assumptions!$B$10</f>
        <v>1214.35636845742</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995.095956803359</v>
      </c>
      <c r="C27" s="0" t="n">
        <f aca="false">(SUMPRODUCT(DCF_Base!$C$19:$L$19/(1+$A$27/100)^DCF_Base!$C$4:$L$4)+MAX(0,MIN(IF($A$27&gt;$C$23,DCF_Base!$L$19*(1+$C$23/100)/(($A$27-$C$23)/100),DCF_Base!$L$19*DCF_Base!$B$29),DCF_Base!$L$19*DCF_Base!$B$29))/(1+$A$27/100)^DCF_Base!$L$4+Assumptions!$B$5-Assumptions!$B$4)/Assumptions!$B$3*Assumptions!$B$10</f>
        <v>1040.04358841206</v>
      </c>
      <c r="D27" s="0" t="n">
        <f aca="false">(SUMPRODUCT(DCF_Base!$C$19:$L$19/(1+$A$27/100)^DCF_Base!$C$4:$L$4)+MAX(0,MIN(IF($A$27&gt;$D$23,DCF_Base!$L$19*(1+$D$23/100)/(($A$27-$D$23)/100),DCF_Base!$L$19*DCF_Base!$B$29),DCF_Base!$L$19*DCF_Base!$B$29))/(1+$A$27/100)^DCF_Base!$L$4+Assumptions!$B$5-Assumptions!$B$4)/Assumptions!$B$3*Assumptions!$B$10</f>
        <v>1091.41231025059</v>
      </c>
      <c r="E27" s="0" t="n">
        <f aca="false">(SUMPRODUCT(DCF_Base!$C$19:$L$19/(1+$A$27/100)^DCF_Base!$C$4:$L$4)+MAX(0,MIN(IF($A$27&gt;$E$23,DCF_Base!$L$19*(1+$E$23/100)/(($A$27-$E$23)/100),DCF_Base!$L$19*DCF_Base!$B$29),DCF_Base!$L$19*DCF_Base!$B$29))/(1+$A$27/100)^DCF_Base!$L$4+Assumptions!$B$5-Assumptions!$B$4)/Assumptions!$B$3*Assumptions!$B$10</f>
        <v>1112.61958073438</v>
      </c>
      <c r="F27" s="0" t="n">
        <f aca="false">(SUMPRODUCT(DCF_Base!$C$19:$L$19/(1+$A$27/100)^DCF_Base!$C$4:$L$4)+MAX(0,MIN(IF($A$27&gt;$F$23,DCF_Base!$L$19*(1+$F$23/100)/(($A$27-$F$23)/100),DCF_Base!$L$19*DCF_Base!$B$29),DCF_Base!$L$19*DCF_Base!$B$29))/(1+$A$27/100)^DCF_Base!$L$4+Assumptions!$B$5-Assumptions!$B$4)/Assumptions!$B$3*Assumptions!$B$10</f>
        <v>1112.61958073438</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849.206807928682</v>
      </c>
      <c r="C28" s="0" t="n">
        <f aca="false">(SUMPRODUCT(DCF_Base!$C$19:$L$19/(1+$A$28/100)^DCF_Base!$C$4:$L$4)+MAX(0,MIN(IF($A$28&gt;$C$23,DCF_Base!$L$19*(1+$C$23/100)/(($A$28-$C$23)/100),DCF_Base!$L$19*DCF_Base!$B$29),DCF_Base!$L$19*DCF_Base!$B$29))/(1+$A$28/100)^DCF_Base!$L$4+Assumptions!$B$5-Assumptions!$B$4)/Assumptions!$B$3*Assumptions!$B$10</f>
        <v>881.678202651423</v>
      </c>
      <c r="D28" s="0" t="n">
        <f aca="false">(SUMPRODUCT(DCF_Base!$C$19:$L$19/(1+$A$28/100)^DCF_Base!$C$4:$L$4)+MAX(0,MIN(IF($A$28&gt;$D$23,DCF_Base!$L$19*(1+$D$23/100)/(($A$28-$D$23)/100),DCF_Base!$L$19*DCF_Base!$B$29),DCF_Base!$L$19*DCF_Base!$B$29))/(1+$A$28/100)^DCF_Base!$L$4+Assumptions!$B$5-Assumptions!$B$4)/Assumptions!$B$3*Assumptions!$B$10</f>
        <v>918.208521714507</v>
      </c>
      <c r="E28" s="0" t="n">
        <f aca="false">(SUMPRODUCT(DCF_Base!$C$19:$L$19/(1+$A$28/100)^DCF_Base!$C$4:$L$4)+MAX(0,MIN(IF($A$28&gt;$E$23,DCF_Base!$L$19*(1+$E$23/100)/(($A$28-$E$23)/100),DCF_Base!$L$19*DCF_Base!$B$29),DCF_Base!$L$19*DCF_Base!$B$29))/(1+$A$28/100)^DCF_Base!$L$4+Assumptions!$B$5-Assumptions!$B$4)/Assumptions!$B$3*Assumptions!$B$10</f>
        <v>959.609549986002</v>
      </c>
      <c r="F28" s="0" t="n">
        <f aca="false">(SUMPRODUCT(DCF_Base!$C$19:$L$19/(1+$A$28/100)^DCF_Base!$C$4:$L$4)+MAX(0,MIN(IF($A$28&gt;$F$23,DCF_Base!$L$19*(1+$F$23/100)/(($A$28-$F$23)/100),DCF_Base!$L$19*DCF_Base!$B$29),DCF_Base!$L$19*DCF_Base!$B$29))/(1+$A$28/100)^DCF_Base!$L$4+Assumptions!$B$5-Assumptions!$B$4)/Assumptions!$B$3*Assumptions!$B$10</f>
        <v>1006.92501086771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2026-10-10T01:10:48Z</dcterms:created>
  <dc:creator>openpyxl</dc:creator>
  <dc:description/>
  <dc:language>en-NZ</dc:language>
  <cp:lastModifiedBy/>
  <dcterms:modified xsi:type="dcterms:W3CDTF">2026-10-10T01:10:48Z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