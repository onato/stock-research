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<sst xmlns="http://schemas.openxmlformats.org/spreadsheetml/2006/main" count="377" uniqueCount="172">
  <si>
    <t xml:space="preserve">Ticker</t>
  </si>
  <si>
    <t xml:space="preserve">1808.T</t>
  </si>
  <si>
    <t xml:space="preserve">Company</t>
  </si>
  <si>
    <t xml:space="preserve">HASEKO Corporation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</si>
  <si>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</si>
  <si>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</si>
  <si>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</si>
  <si>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</si>
  <si>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2026-10-26T02:27:41Z (Yahoo chart API, regular session; 52-week range 2445-3531)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</si>
  <si>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</si>
  <si>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</si>
  <si>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</si>
  <si>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</si>
  <si>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</si>
  <si>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</si>
  <si>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</si>
  <si>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</si>
  <si>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</si>
  <si>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</si>
  <si>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</si>
  <si>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</si>
  <si>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2026-10-26T02:47:28Z</t>
  </si>
  <si>
    <t xml:space="preserve">Drivers file</t>
  </si>
  <si>
    <t xml:space="preserve">1808.T_Drivers.json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</si>
  <si>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</si>
  <si>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</si>
  <si>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</si>
  <si>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of a cyclical Japanese contractor-developer, discounted in JPY at 6% with risk carried in the scenario flows and a 25/50/25 weighting. The decisive judgments are (1) the EBITDA margin is held at 9% in the base case, a point below the decade average and well under the FY2018-19 peak, so the model is not capitalising a peak; (2) development inventory is charged as a negative working-capital capture on revenue growth (-25% base), which is why owner FCF runs at roughly 40-60% of net income rather than the FY2026 release-driven JPY136bn; (3) terminal value is capped at 12-15x owner FCF (Gordon at 6%/1% would be ~20x) because a developer with a debt-funded land bank should not be capitalised as a mature compounder; (4) cross-shareholdings whose dividends are excluded from the flows are added back in the bridge at tax-effected fair value.
key_risks_to_valuation: Working-capital capture: every 10pp on wc_capture is worth roughly JPY10bn/yr of FCF in the growth years; the historical -28% could prove too harsh if the Evolution Plan turnover targets are met, or too lenient in a land-price correction; Margin: the base 9% EBITDA margin is below the decade average; a return to 12% (FY2018) would add ~JPY40bn/yr of EBITDA and is not in any scenario; Net debt is taken at the June seasonal low in cash (JPY190.9bn) rather than the March figure (JPY136.9bn), a ~JPY200/share difference the reader should be aware of; Terminal cap at 14x owner FCF binds in the base case; at 6% WACC the Gordon value would be materially higher; JFTC outcome for Haseko Reform is unquantified beyond the bear narrative</t>
  </si>
  <si>
    <t xml:space="preserve">Data sources</t>
  </si>
  <si>
    <t xml:space="preserve">price: Yahoo Finance chart API at inputs.price_as_of (regular session, JPY); 52-week range 2445-3531
financials: research/1808.T/Reports/1808.T_Metrics.csv (core_metrics export, JPY millions, FY2012-FY2026 annual plus H1/Q1/9M and Q1 FY2027); 1808.T_Annual_FY2026.txt (FY ended 2026-03-31 tanshin: balance sheet :864-880, cash flow :901-913, FY2027 forecast :804-812); 1808.T_Quarterly_Q1-2027.txt (June 2026 balance sheet anchors)
qualitative: research/1808.T/Reports/1808.T_Analysis.json (2026-10-26): segment mix, FY2027 guidance, Evolution Plan targets, JFTC investigation, overseas pivot</t>
  </si>
  <si>
    <t xml:space="preserve">Scenario narrative: bear</t>
  </si>
  <si>
    <t xml:space="preserve">A rate-driven affordability shock cuts private-sector condo orders after the backlog runs off: revenue contracts ~10% over FY2028-30, margins fall to 6% as cost inflation is absorbed, impairments and a JFTC surcharge recur, and inventory liquidation funds the dividend. Recovery to 7.5% margins and 1% growth.</t>
  </si>
  <si>
    <t xml:space="preserve">Scenario narrative: base</t>
  </si>
  <si>
    <t xml:space="preserve">FY2027 lands on guidance (sales JPY1,380bn, OP JPY110bn, net profit JPY66bn) off a record JPY940bn backlog; growth fades from 8% to 1% as Tokyo new-condo supply stays at multi-decade lows and demographics bite, while the recurring management/leasing book (453k units) and rental-housing/non-residential orders cushion the construction cycle. EBITDA margin settles at 9%, below the 10-year average, and development inventory keeps absorbing a quarter of every yen of revenue growth, so FCF conversion stays well under 100% of net income. Overseas losses narrow but the US pivot is not a profit driver.</t>
  </si>
  <si>
    <t xml:space="preserve">Scenario narrative: bull</t>
  </si>
  <si>
    <t xml:space="preserve">Construction GP ratio holds the Q1 FY2027 ~17% level, orders stay above JPY700bn on data-centre and rental housing work, EBITDA margin recovers to the decade average of ~10.5%, asset turnover improves FCF conversion, and ROE reaches the 13% Evolution Plan target - with growth fading to 1.5% rather than 1%.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</si>
  <si>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</si>
  <si>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</si>
  <si>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</si>
  <si>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</si>
  <si>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</si>
  <si>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</si>
  <si>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</si>
  <si>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</si>
  <si>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</si>
  <si>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</si>
  <si>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</si>
  <si>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</si>
  <si>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</si>
  <si>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</si>
  <si>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</si>
  <si>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</si>
  <si>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</si>
  <si>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</si>
  <si>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</si>
  <si>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</si>
  <si>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</si>
  <si>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</si>
  <si>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</si>
  <si>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</si>
  <si>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</si>
  <si>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</si>
  <si>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</si>
  <si>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OrderIntake</t>
  </si>
  <si>
    <t xml:space="preserve">OrdinaryIncome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</si>
  <si>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</si>
  <si>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</si>
  <si>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</si>
  <si>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</si>
  <si>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</si>
  <si>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</si>
  <si>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</si>
  <si>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</si>
  <si>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</si>
  <si>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</si>
  <si>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</si>
  <si>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</si>
  <si>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</si>
  <si>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</si>
  <si>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</si>
  <si>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</si>
  <si>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</si>
  <si>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</si>
  <si>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</si>
  <si>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</si>
  <si>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</si>
  <si>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</si>
  <si>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</si>
  <si>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</si>
  <si>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</si>
  <si>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</si>
  <si>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</si>
  <si>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</si>
  <si>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</si>
  <si>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</si>
  <si>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</si>
  <si>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</si>
  <si>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</si>
  <si>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</si>
  <si>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</si>
  <si>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</si>
  <si>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</si>
  <si>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</si>
  <si>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</si>
  <si>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</si>
  <si>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</si>
  <si>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</si>
  <si>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</si>
  <si>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</si>
  <si>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</si>
  <si>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</si>
  <si>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</si>
  <si>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</si>
  <si>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</si>
  <si>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</si>
  <si>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</si>
  <si>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</si>
  <si>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1808.T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</si>
  <si>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</si>
  <si>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</si>
  <si>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</si>
  <si>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</si>
  <si>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</si>
  <si>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</si>
  <si>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</si>
  <si>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</si>
  <si>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</si>
  <si>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</si>
  <si>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</si>
  <si>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</si>
  <si>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</si>
  <si>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</si>
  <si>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</si>
  <si>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</si>
  <si>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</si>
  <si>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</si>
  <si>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</si>
  <si>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</si>
  <si>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</si>
  <si>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</si>
  <si>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</si>
  <si>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</si>
  <si>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</si>
  <si>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</si>
  <si>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</si>
  <si>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</si>
  <si>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</si>
  <si>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</si>
  <si>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1808.T owner-FCF component DCF: base case (millions, JPY)</t>
  </si>
  <si>
    <t xml:space="preserve">1808.T owner-FCF component DCF: bull case (millions, JPY)</t>
  </si>
  <si>
    <t xml:space="preserve">1808.T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</si>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</sst>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2703.5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500900</v>
      </c>
      <c r="C2" s="0" t="n">
        <v>451200</v>
      </c>
      <c r="D2" s="0" t="n">
        <v>49700</v>
      </c>
      <c r="E2" s="0" t="n">
        <v>9.9</v>
      </c>
      <c r="F2" s="0" t="n">
        <v>21600</v>
      </c>
      <c r="G2" s="0" t="n">
        <v>4.3</v>
      </c>
      <c r="H2" s="0" t="n">
        <v>25200</v>
      </c>
      <c r="I2" s="0" t="n">
        <v>11200</v>
      </c>
      <c r="J2" s="0" t="n">
        <v>2.2</v>
      </c>
      <c r="K2" s="0" t="n">
        <v>37.25</v>
      </c>
      <c r="L2" s="0" t="n">
        <v>33700</v>
      </c>
      <c r="M2" s="0" t="n">
        <v>2200</v>
      </c>
      <c r="N2" s="0" t="n">
        <v>31500</v>
      </c>
      <c r="O2" s="0" t="n">
        <v>101800</v>
      </c>
      <c r="P2" s="0" t="n">
        <v>467100</v>
      </c>
      <c r="Q2" s="0" t="n">
        <v>365100</v>
      </c>
      <c r="R2" s="0" t="n">
        <v>198500</v>
      </c>
      <c r="S2" s="0" t="n">
        <v>88900</v>
      </c>
      <c r="T2" s="0" t="n">
        <v>300.634</v>
      </c>
      <c r="AA2" s="0" t="s">
        <v>17</v>
      </c>
      <c r="AB2" s="0" t="s">
        <v>14</v>
      </c>
      <c r="AC2" s="0" t="n">
        <v>280600</v>
      </c>
      <c r="AD2" s="0" t="n">
        <v>18200</v>
      </c>
    </row>
    <row r="3" customFormat="false" ht="15" hidden="false" customHeight="false" outlineLevel="0" collapsed="false">
      <c r="A3" s="0" t="s">
        <v>66</v>
      </c>
      <c r="B3" s="0" t="n">
        <v>558900</v>
      </c>
      <c r="C3" s="0" t="n">
        <v>505400</v>
      </c>
      <c r="D3" s="0" t="n">
        <v>53500</v>
      </c>
      <c r="E3" s="0" t="n">
        <v>9.6</v>
      </c>
      <c r="F3" s="0" t="n">
        <v>24300</v>
      </c>
      <c r="G3" s="0" t="n">
        <v>4.3</v>
      </c>
      <c r="H3" s="0" t="n">
        <v>27600</v>
      </c>
      <c r="I3" s="0" t="n">
        <v>13100</v>
      </c>
      <c r="J3" s="0" t="n">
        <v>2.3</v>
      </c>
      <c r="K3" s="0" t="n">
        <v>43.57</v>
      </c>
      <c r="L3" s="0" t="n">
        <v>38200</v>
      </c>
      <c r="M3" s="0" t="n">
        <v>2100</v>
      </c>
      <c r="N3" s="0" t="n">
        <v>36100</v>
      </c>
      <c r="O3" s="0" t="n">
        <v>113600</v>
      </c>
      <c r="P3" s="0" t="n">
        <v>460900</v>
      </c>
      <c r="Q3" s="0" t="n">
        <v>347100</v>
      </c>
      <c r="R3" s="0" t="n">
        <v>182400</v>
      </c>
      <c r="S3" s="0" t="n">
        <v>118200</v>
      </c>
      <c r="T3" s="0" t="n">
        <v>300.631</v>
      </c>
      <c r="AA3" s="0" t="s">
        <v>17</v>
      </c>
      <c r="AB3" s="0" t="s">
        <v>14</v>
      </c>
      <c r="AC3" s="0" t="n">
        <v>286400</v>
      </c>
      <c r="AD3" s="0" t="n">
        <v>20000</v>
      </c>
    </row>
    <row r="4" customFormat="false" ht="15" hidden="false" customHeight="false" outlineLevel="0" collapsed="false">
      <c r="A4" s="0" t="s">
        <v>67</v>
      </c>
      <c r="B4" s="0" t="n">
        <v>587600</v>
      </c>
      <c r="C4" s="0" t="n">
        <v>526200</v>
      </c>
      <c r="D4" s="0" t="n">
        <v>61400</v>
      </c>
      <c r="E4" s="0" t="n">
        <v>10.4</v>
      </c>
      <c r="F4" s="0" t="n">
        <v>28800</v>
      </c>
      <c r="G4" s="0" t="n">
        <v>4.9</v>
      </c>
      <c r="H4" s="0" t="n">
        <v>31100</v>
      </c>
      <c r="I4" s="0" t="n">
        <v>24800</v>
      </c>
      <c r="J4" s="0" t="n">
        <v>4.2</v>
      </c>
      <c r="K4" s="0" t="n">
        <v>82.49</v>
      </c>
      <c r="L4" s="0" t="n">
        <v>55300</v>
      </c>
      <c r="M4" s="0" t="n">
        <v>1700</v>
      </c>
      <c r="N4" s="0" t="n">
        <v>53600</v>
      </c>
      <c r="O4" s="0" t="n">
        <v>119300</v>
      </c>
      <c r="P4" s="0" t="n">
        <v>457400</v>
      </c>
      <c r="Q4" s="0" t="n">
        <v>337900</v>
      </c>
      <c r="R4" s="0" t="n">
        <v>147900</v>
      </c>
      <c r="S4" s="0" t="n">
        <v>137700</v>
      </c>
      <c r="T4" s="0" t="n">
        <v>300.62</v>
      </c>
      <c r="V4" s="0" t="n">
        <v>3</v>
      </c>
      <c r="AA4" s="0" t="s">
        <v>17</v>
      </c>
      <c r="AB4" s="0" t="s">
        <v>14</v>
      </c>
      <c r="AC4" s="0" t="n">
        <v>363100</v>
      </c>
      <c r="AD4" s="0" t="n">
        <v>25400</v>
      </c>
    </row>
    <row r="5" customFormat="false" ht="15" hidden="false" customHeight="false" outlineLevel="0" collapsed="false">
      <c r="A5" s="0" t="s">
        <v>68</v>
      </c>
      <c r="B5" s="0" t="n">
        <v>642200</v>
      </c>
      <c r="C5" s="0" t="n">
        <v>563300</v>
      </c>
      <c r="D5" s="0" t="n">
        <v>78900</v>
      </c>
      <c r="E5" s="0" t="n">
        <v>12.3</v>
      </c>
      <c r="F5" s="0" t="n">
        <v>42700</v>
      </c>
      <c r="G5" s="0" t="n">
        <v>6.6</v>
      </c>
      <c r="H5" s="0" t="n">
        <v>44900</v>
      </c>
      <c r="I5" s="0" t="n">
        <v>28500</v>
      </c>
      <c r="J5" s="0" t="n">
        <v>4.4</v>
      </c>
      <c r="K5" s="0" t="n">
        <v>94.81</v>
      </c>
      <c r="L5" s="0" t="n">
        <v>40000</v>
      </c>
      <c r="M5" s="0" t="n">
        <v>3900</v>
      </c>
      <c r="N5" s="0" t="n">
        <v>36100</v>
      </c>
      <c r="O5" s="0" t="n">
        <v>143800</v>
      </c>
      <c r="P5" s="0" t="n">
        <v>476900</v>
      </c>
      <c r="Q5" s="0" t="n">
        <v>332800</v>
      </c>
      <c r="R5" s="0" t="n">
        <v>128200</v>
      </c>
      <c r="S5" s="0" t="n">
        <v>133600</v>
      </c>
      <c r="T5" s="0" t="n">
        <v>300.612</v>
      </c>
      <c r="V5" s="0" t="n">
        <v>10</v>
      </c>
      <c r="AA5" s="0" t="s">
        <v>17</v>
      </c>
      <c r="AB5" s="0" t="s">
        <v>14</v>
      </c>
      <c r="AC5" s="0" t="n">
        <v>464200</v>
      </c>
      <c r="AD5" s="0" t="n">
        <v>41900</v>
      </c>
    </row>
    <row r="6" customFormat="false" ht="15" hidden="false" customHeight="false" outlineLevel="0" collapsed="false">
      <c r="A6" s="0" t="s">
        <v>69</v>
      </c>
      <c r="B6" s="0" t="n">
        <v>787400</v>
      </c>
      <c r="C6" s="0" t="n">
        <v>674100</v>
      </c>
      <c r="D6" s="0" t="n">
        <v>113300</v>
      </c>
      <c r="E6" s="0" t="n">
        <v>14.4</v>
      </c>
      <c r="F6" s="0" t="n">
        <v>68800</v>
      </c>
      <c r="G6" s="0" t="n">
        <v>8.7</v>
      </c>
      <c r="H6" s="0" t="n">
        <v>71600</v>
      </c>
      <c r="I6" s="0" t="n">
        <v>51200</v>
      </c>
      <c r="J6" s="0" t="n">
        <v>6.5</v>
      </c>
      <c r="K6" s="0" t="n">
        <v>170.32</v>
      </c>
      <c r="L6" s="0" t="n">
        <v>65600</v>
      </c>
      <c r="M6" s="0" t="n">
        <v>18900</v>
      </c>
      <c r="N6" s="0" t="n">
        <v>46700</v>
      </c>
      <c r="O6" s="0" t="n">
        <v>184900</v>
      </c>
      <c r="P6" s="0" t="n">
        <v>590000</v>
      </c>
      <c r="Q6" s="0" t="n">
        <v>404600</v>
      </c>
      <c r="R6" s="0" t="n">
        <v>174700</v>
      </c>
      <c r="S6" s="0" t="n">
        <v>152100</v>
      </c>
      <c r="T6" s="0" t="n">
        <v>300.606</v>
      </c>
      <c r="V6" s="0" t="n">
        <v>15</v>
      </c>
      <c r="AA6" s="0" t="s">
        <v>17</v>
      </c>
      <c r="AB6" s="0" t="s">
        <v>14</v>
      </c>
      <c r="AC6" s="0" t="n">
        <v>483400</v>
      </c>
      <c r="AD6" s="0" t="n">
        <v>67300</v>
      </c>
    </row>
    <row r="7" customFormat="false" ht="15" hidden="false" customHeight="false" outlineLevel="0" collapsed="false">
      <c r="A7" s="0" t="s">
        <v>70</v>
      </c>
      <c r="B7" s="0" t="n">
        <v>772300</v>
      </c>
      <c r="C7" s="0" t="n">
        <v>629400</v>
      </c>
      <c r="D7" s="0" t="n">
        <v>142900</v>
      </c>
      <c r="E7" s="0" t="n">
        <v>18.5</v>
      </c>
      <c r="F7" s="0" t="n">
        <v>89000</v>
      </c>
      <c r="G7" s="0" t="n">
        <v>11.5</v>
      </c>
      <c r="H7" s="0" t="n">
        <v>92500</v>
      </c>
      <c r="I7" s="0" t="n">
        <v>58800</v>
      </c>
      <c r="J7" s="0" t="n">
        <v>7.6</v>
      </c>
      <c r="K7" s="0" t="n">
        <v>195.61</v>
      </c>
      <c r="L7" s="0" t="n">
        <v>109500</v>
      </c>
      <c r="M7" s="0" t="n">
        <v>24100</v>
      </c>
      <c r="N7" s="0" t="n">
        <v>85400</v>
      </c>
      <c r="O7" s="0" t="n">
        <v>237800</v>
      </c>
      <c r="P7" s="0" t="n">
        <v>630900</v>
      </c>
      <c r="Q7" s="0" t="n">
        <v>392500</v>
      </c>
      <c r="R7" s="0" t="n">
        <v>141900</v>
      </c>
      <c r="S7" s="0" t="n">
        <v>201500</v>
      </c>
      <c r="T7" s="0" t="n">
        <v>300.603</v>
      </c>
      <c r="V7" s="0" t="n">
        <v>30</v>
      </c>
      <c r="AA7" s="0" t="s">
        <v>17</v>
      </c>
      <c r="AB7" s="0" t="s">
        <v>14</v>
      </c>
      <c r="AC7" s="0" t="n">
        <v>502200</v>
      </c>
      <c r="AD7" s="0" t="n">
        <v>88800</v>
      </c>
    </row>
    <row r="8" customFormat="false" ht="15" hidden="false" customHeight="false" outlineLevel="0" collapsed="false">
      <c r="A8" s="0" t="s">
        <v>71</v>
      </c>
      <c r="B8" s="0" t="n">
        <v>813300</v>
      </c>
      <c r="C8" s="0" t="n">
        <v>656100</v>
      </c>
      <c r="D8" s="0" t="n">
        <v>157200</v>
      </c>
      <c r="E8" s="0" t="n">
        <v>19.3</v>
      </c>
      <c r="F8" s="0" t="n">
        <v>100800</v>
      </c>
      <c r="G8" s="0" t="n">
        <v>12.4</v>
      </c>
      <c r="H8" s="0" t="n">
        <v>104500</v>
      </c>
      <c r="I8" s="0" t="n">
        <v>72300</v>
      </c>
      <c r="J8" s="0" t="n">
        <v>8.9</v>
      </c>
      <c r="K8" s="0" t="n">
        <v>242.02</v>
      </c>
      <c r="L8" s="0" t="n">
        <v>56500</v>
      </c>
      <c r="M8" s="0" t="n">
        <v>28600</v>
      </c>
      <c r="N8" s="0" t="n">
        <v>27900</v>
      </c>
      <c r="O8" s="0" t="n">
        <v>296000</v>
      </c>
      <c r="P8" s="0" t="n">
        <v>688300</v>
      </c>
      <c r="Q8" s="0" t="n">
        <v>391500</v>
      </c>
      <c r="R8" s="0" t="n">
        <v>125400</v>
      </c>
      <c r="S8" s="0" t="n">
        <v>206900</v>
      </c>
      <c r="T8" s="0" t="n">
        <v>297.355</v>
      </c>
      <c r="V8" s="0" t="n">
        <v>50</v>
      </c>
      <c r="AA8" s="0" t="s">
        <v>17</v>
      </c>
      <c r="AB8" s="0" t="s">
        <v>14</v>
      </c>
      <c r="AC8" s="0" t="n">
        <v>483800</v>
      </c>
      <c r="AD8" s="0" t="n">
        <v>100500</v>
      </c>
    </row>
    <row r="9" customFormat="false" ht="15" hidden="false" customHeight="false" outlineLevel="0" collapsed="false">
      <c r="A9" s="0" t="s">
        <v>72</v>
      </c>
      <c r="B9" s="0" t="n">
        <v>891000</v>
      </c>
      <c r="C9" s="0" t="n">
        <v>733100</v>
      </c>
      <c r="D9" s="0" t="n">
        <v>157900</v>
      </c>
      <c r="E9" s="0" t="n">
        <v>17.7</v>
      </c>
      <c r="F9" s="0" t="n">
        <v>98400</v>
      </c>
      <c r="G9" s="0" t="n">
        <v>11</v>
      </c>
      <c r="H9" s="0" t="n">
        <v>103000</v>
      </c>
      <c r="I9" s="0" t="n">
        <v>87400</v>
      </c>
      <c r="J9" s="0" t="n">
        <v>9.8</v>
      </c>
      <c r="K9" s="0" t="n">
        <v>293.9</v>
      </c>
      <c r="L9" s="0" t="n">
        <v>33100</v>
      </c>
      <c r="M9" s="0" t="n">
        <v>30100</v>
      </c>
      <c r="N9" s="0" t="n">
        <v>3000</v>
      </c>
      <c r="O9" s="0" t="n">
        <v>367000</v>
      </c>
      <c r="P9" s="0" t="n">
        <v>773200</v>
      </c>
      <c r="Q9" s="0" t="n">
        <v>405200</v>
      </c>
      <c r="R9" s="0" t="n">
        <v>120400</v>
      </c>
      <c r="S9" s="0" t="n">
        <v>213000</v>
      </c>
      <c r="T9" s="0" t="n">
        <v>297.384</v>
      </c>
      <c r="V9" s="0" t="n">
        <v>80</v>
      </c>
      <c r="AA9" s="0" t="s">
        <v>17</v>
      </c>
      <c r="AB9" s="0" t="s">
        <v>14</v>
      </c>
      <c r="AC9" s="0" t="n">
        <v>485500</v>
      </c>
      <c r="AD9" s="0" t="n">
        <v>100400</v>
      </c>
    </row>
    <row r="10" customFormat="false" ht="15" hidden="false" customHeight="false" outlineLevel="0" collapsed="false">
      <c r="A10" s="0" t="s">
        <v>73</v>
      </c>
      <c r="B10" s="0" t="n">
        <v>846000</v>
      </c>
      <c r="C10" s="0" t="n">
        <v>699200</v>
      </c>
      <c r="D10" s="0" t="n">
        <v>146800</v>
      </c>
      <c r="E10" s="0" t="n">
        <v>17.4</v>
      </c>
      <c r="F10" s="0" t="n">
        <v>85900</v>
      </c>
      <c r="G10" s="0" t="n">
        <v>10.2</v>
      </c>
      <c r="H10" s="0" t="n">
        <v>90700</v>
      </c>
      <c r="I10" s="0" t="n">
        <v>59900</v>
      </c>
      <c r="J10" s="0" t="n">
        <v>7.1</v>
      </c>
      <c r="K10" s="0" t="n">
        <v>201.53</v>
      </c>
      <c r="L10" s="0" t="n">
        <v>-15300</v>
      </c>
      <c r="M10" s="0" t="n">
        <v>25100</v>
      </c>
      <c r="N10" s="0" t="n">
        <v>-40400</v>
      </c>
      <c r="O10" s="0" t="n">
        <v>387700</v>
      </c>
      <c r="P10" s="0" t="n">
        <v>799300</v>
      </c>
      <c r="Q10" s="0" t="n">
        <v>411600</v>
      </c>
      <c r="R10" s="0" t="n">
        <v>152300</v>
      </c>
      <c r="S10" s="0" t="n">
        <v>151800</v>
      </c>
      <c r="T10" s="0" t="n">
        <v>292.915</v>
      </c>
      <c r="V10" s="0" t="n">
        <v>70</v>
      </c>
      <c r="AA10" s="0" t="s">
        <v>17</v>
      </c>
      <c r="AB10" s="0" t="s">
        <v>14</v>
      </c>
      <c r="AC10" s="0" t="n">
        <v>471700</v>
      </c>
      <c r="AD10" s="0" t="n">
        <v>85300</v>
      </c>
    </row>
    <row r="11" customFormat="false" ht="15" hidden="false" customHeight="false" outlineLevel="0" collapsed="false">
      <c r="A11" s="0" t="s">
        <v>74</v>
      </c>
      <c r="B11" s="0" t="n">
        <v>809400</v>
      </c>
      <c r="C11" s="0" t="n">
        <v>673200</v>
      </c>
      <c r="D11" s="0" t="n">
        <v>136200</v>
      </c>
      <c r="E11" s="0" t="n">
        <v>16.8</v>
      </c>
      <c r="F11" s="0" t="n">
        <v>72900</v>
      </c>
      <c r="G11" s="0" t="n">
        <v>9</v>
      </c>
      <c r="H11" s="0" t="n">
        <v>78200</v>
      </c>
      <c r="I11" s="0" t="n">
        <v>48300</v>
      </c>
      <c r="J11" s="0" t="n">
        <v>6</v>
      </c>
      <c r="K11" s="0" t="n">
        <v>168.77</v>
      </c>
      <c r="L11" s="0" t="n">
        <v>31900</v>
      </c>
      <c r="M11" s="0" t="n">
        <v>29800</v>
      </c>
      <c r="N11" s="0" t="n">
        <v>2100</v>
      </c>
      <c r="O11" s="0" t="n">
        <v>394400</v>
      </c>
      <c r="P11" s="0" t="n">
        <v>953700</v>
      </c>
      <c r="Q11" s="0" t="n">
        <v>559300</v>
      </c>
      <c r="R11" s="0" t="n">
        <v>268000</v>
      </c>
      <c r="S11" s="0" t="n">
        <v>214300</v>
      </c>
      <c r="T11" s="0" t="n">
        <v>276.563</v>
      </c>
      <c r="V11" s="0" t="n">
        <v>70</v>
      </c>
      <c r="AA11" s="0" t="s">
        <v>17</v>
      </c>
      <c r="AB11" s="0" t="s">
        <v>14</v>
      </c>
      <c r="AC11" s="0" t="n">
        <v>430300</v>
      </c>
      <c r="AD11" s="0" t="n">
        <v>71800</v>
      </c>
    </row>
    <row r="12" customFormat="false" ht="15" hidden="false" customHeight="false" outlineLevel="0" collapsed="false">
      <c r="A12" s="0" t="s">
        <v>75</v>
      </c>
      <c r="B12" s="0" t="n">
        <v>909700</v>
      </c>
      <c r="C12" s="0" t="n">
        <v>761400</v>
      </c>
      <c r="D12" s="0" t="n">
        <v>148300</v>
      </c>
      <c r="E12" s="0" t="n">
        <v>16.3</v>
      </c>
      <c r="F12" s="0" t="n">
        <v>82700</v>
      </c>
      <c r="G12" s="0" t="n">
        <v>9.1</v>
      </c>
      <c r="H12" s="0" t="n">
        <v>88600</v>
      </c>
      <c r="I12" s="0" t="n">
        <v>54500</v>
      </c>
      <c r="J12" s="0" t="n">
        <v>6</v>
      </c>
      <c r="K12" s="0" t="n">
        <v>198.35</v>
      </c>
      <c r="L12" s="0" t="n">
        <v>65400</v>
      </c>
      <c r="M12" s="0" t="n">
        <v>26800</v>
      </c>
      <c r="N12" s="0" t="n">
        <v>38600</v>
      </c>
      <c r="O12" s="0" t="n">
        <v>417700</v>
      </c>
      <c r="P12" s="0" t="n">
        <v>1081900</v>
      </c>
      <c r="Q12" s="0" t="n">
        <v>664200</v>
      </c>
      <c r="R12" s="0" t="n">
        <v>311800</v>
      </c>
      <c r="S12" s="0" t="n">
        <v>264900</v>
      </c>
      <c r="T12" s="0" t="n">
        <v>274.646</v>
      </c>
      <c r="V12" s="0" t="n">
        <v>80</v>
      </c>
      <c r="AA12" s="0" t="s">
        <v>17</v>
      </c>
      <c r="AB12" s="0" t="s">
        <v>14</v>
      </c>
      <c r="AC12" s="0" t="n">
        <v>472300</v>
      </c>
      <c r="AD12" s="0" t="n">
        <v>81900</v>
      </c>
    </row>
    <row r="13" customFormat="false" ht="15" hidden="false" customHeight="false" outlineLevel="0" collapsed="false">
      <c r="A13" s="0" t="s">
        <v>76</v>
      </c>
      <c r="B13" s="0" t="n">
        <v>1027300</v>
      </c>
      <c r="C13" s="0" t="n">
        <v>866000</v>
      </c>
      <c r="D13" s="0" t="n">
        <v>161300</v>
      </c>
      <c r="E13" s="0" t="n">
        <v>15.7</v>
      </c>
      <c r="F13" s="0" t="n">
        <v>90200</v>
      </c>
      <c r="G13" s="0" t="n">
        <v>8.8</v>
      </c>
      <c r="H13" s="0" t="n">
        <v>96400</v>
      </c>
      <c r="I13" s="0" t="n">
        <v>59300</v>
      </c>
      <c r="J13" s="0" t="n">
        <v>5.8</v>
      </c>
      <c r="K13" s="0" t="n">
        <v>216</v>
      </c>
      <c r="L13" s="0" t="n">
        <v>-51900</v>
      </c>
      <c r="M13" s="0" t="n">
        <v>35400</v>
      </c>
      <c r="N13" s="0" t="n">
        <v>-87300</v>
      </c>
      <c r="O13" s="0" t="n">
        <v>454100</v>
      </c>
      <c r="P13" s="0" t="n">
        <v>1198100</v>
      </c>
      <c r="Q13" s="0" t="n">
        <v>744000</v>
      </c>
      <c r="R13" s="0" t="n">
        <v>391500</v>
      </c>
      <c r="S13" s="0" t="n">
        <v>208300</v>
      </c>
      <c r="T13" s="0" t="n">
        <v>272.511</v>
      </c>
      <c r="V13" s="0" t="n">
        <v>80</v>
      </c>
      <c r="AA13" s="0" t="s">
        <v>17</v>
      </c>
      <c r="AB13" s="0" t="s">
        <v>14</v>
      </c>
      <c r="AC13" s="0" t="n">
        <v>481300</v>
      </c>
      <c r="AD13" s="0" t="n">
        <v>88300</v>
      </c>
    </row>
    <row r="14" customFormat="false" ht="15" hidden="false" customHeight="false" outlineLevel="0" collapsed="false">
      <c r="A14" s="0" t="s">
        <v>77</v>
      </c>
      <c r="B14" s="0" t="n">
        <v>1094400</v>
      </c>
      <c r="C14" s="0" t="n">
        <v>933800</v>
      </c>
      <c r="D14" s="0" t="n">
        <v>160600</v>
      </c>
      <c r="E14" s="0" t="n">
        <v>14.7</v>
      </c>
      <c r="F14" s="0" t="n">
        <v>85700</v>
      </c>
      <c r="G14" s="0" t="n">
        <v>7.8</v>
      </c>
      <c r="H14" s="0" t="n">
        <v>93100</v>
      </c>
      <c r="I14" s="0" t="n">
        <v>56000</v>
      </c>
      <c r="J14" s="0" t="n">
        <v>5.1</v>
      </c>
      <c r="K14" s="0" t="n">
        <v>205.45</v>
      </c>
      <c r="L14" s="0" t="n">
        <v>115000</v>
      </c>
      <c r="M14" s="0" t="n">
        <v>24200</v>
      </c>
      <c r="N14" s="0" t="n">
        <v>90800</v>
      </c>
      <c r="O14" s="0" t="n">
        <v>511200</v>
      </c>
      <c r="P14" s="0" t="n">
        <v>1351200</v>
      </c>
      <c r="Q14" s="0" t="n">
        <v>840000</v>
      </c>
      <c r="R14" s="0" t="n">
        <v>415000</v>
      </c>
      <c r="S14" s="0" t="n">
        <v>283500</v>
      </c>
      <c r="T14" s="0" t="n">
        <v>272.785</v>
      </c>
      <c r="V14" s="0" t="n">
        <v>85</v>
      </c>
      <c r="AA14" s="0" t="s">
        <v>17</v>
      </c>
      <c r="AB14" s="0" t="s">
        <v>14</v>
      </c>
      <c r="AC14" s="0" t="n">
        <v>536900</v>
      </c>
      <c r="AD14" s="0" t="n">
        <v>83300</v>
      </c>
    </row>
    <row r="15" customFormat="false" ht="15" hidden="false" customHeight="false" outlineLevel="0" collapsed="false">
      <c r="A15" s="0" t="s">
        <v>78</v>
      </c>
      <c r="B15" s="0" t="n">
        <v>1177400</v>
      </c>
      <c r="C15" s="0" t="n">
        <v>1010900</v>
      </c>
      <c r="D15" s="0" t="n">
        <v>166500</v>
      </c>
      <c r="E15" s="0" t="n">
        <v>14.1</v>
      </c>
      <c r="F15" s="0" t="n">
        <v>84700</v>
      </c>
      <c r="G15" s="0" t="n">
        <v>7.2</v>
      </c>
      <c r="H15" s="0" t="n">
        <v>92700</v>
      </c>
      <c r="I15" s="0" t="n">
        <v>34500</v>
      </c>
      <c r="J15" s="0" t="n">
        <v>2.9</v>
      </c>
      <c r="K15" s="0" t="n">
        <v>126.2</v>
      </c>
      <c r="L15" s="0" t="n">
        <v>3900</v>
      </c>
      <c r="M15" s="0" t="n">
        <v>20700</v>
      </c>
      <c r="N15" s="0" t="n">
        <v>-16800</v>
      </c>
      <c r="O15" s="0" t="n">
        <v>532000</v>
      </c>
      <c r="P15" s="0" t="n">
        <v>1365200</v>
      </c>
      <c r="Q15" s="0" t="n">
        <v>833200</v>
      </c>
      <c r="R15" s="0" t="n">
        <v>420000</v>
      </c>
      <c r="S15" s="0" t="n">
        <v>235800</v>
      </c>
      <c r="T15" s="0" t="n">
        <v>272.753</v>
      </c>
      <c r="V15" s="0" t="n">
        <v>85</v>
      </c>
      <c r="AA15" s="0" t="s">
        <v>17</v>
      </c>
      <c r="AB15" s="0" t="s">
        <v>14</v>
      </c>
      <c r="AC15" s="0" t="n">
        <v>586600</v>
      </c>
      <c r="AD15" s="0" t="n">
        <v>83400</v>
      </c>
    </row>
    <row r="16" customFormat="false" ht="15" hidden="false" customHeight="false" outlineLevel="0" collapsed="false">
      <c r="A16" s="0" t="s">
        <v>79</v>
      </c>
      <c r="B16" s="0" t="n">
        <v>1273100</v>
      </c>
      <c r="C16" s="0" t="n">
        <v>1083300</v>
      </c>
      <c r="D16" s="0" t="n">
        <v>189800</v>
      </c>
      <c r="E16" s="0" t="n">
        <v>14.9</v>
      </c>
      <c r="F16" s="0" t="n">
        <v>98700</v>
      </c>
      <c r="G16" s="0" t="n">
        <v>7.8</v>
      </c>
      <c r="H16" s="0" t="n">
        <v>107500</v>
      </c>
      <c r="I16" s="0" t="n">
        <v>54800</v>
      </c>
      <c r="J16" s="0" t="n">
        <v>4.3</v>
      </c>
      <c r="K16" s="0" t="n">
        <v>204.54</v>
      </c>
      <c r="L16" s="0" t="n">
        <v>157400</v>
      </c>
      <c r="M16" s="0" t="n">
        <v>21100</v>
      </c>
      <c r="N16" s="0" t="n">
        <v>136300</v>
      </c>
      <c r="O16" s="0" t="n">
        <v>562700</v>
      </c>
      <c r="P16" s="0" t="n">
        <v>1417700</v>
      </c>
      <c r="Q16" s="0" t="n">
        <v>854300</v>
      </c>
      <c r="R16" s="0" t="n">
        <v>425000</v>
      </c>
      <c r="S16" s="0" t="n">
        <v>288100</v>
      </c>
      <c r="T16" s="0" t="n">
        <v>264.644</v>
      </c>
      <c r="V16" s="0" t="n">
        <v>95</v>
      </c>
      <c r="AA16" s="0" t="s">
        <v>17</v>
      </c>
      <c r="AB16" s="0" t="s">
        <v>14</v>
      </c>
      <c r="AC16" s="0" t="n">
        <v>726700</v>
      </c>
      <c r="AD16" s="0" t="n">
        <v>94100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2703.5</v>
      </c>
    </row>
    <row r="3" customFormat="false" ht="15" hidden="false" customHeight="false" outlineLevel="0" collapsed="false">
      <c r="A3" s="0" t="s">
        <v>83</v>
      </c>
      <c r="B3" s="3" t="n">
        <v>264.856</v>
      </c>
    </row>
    <row r="4" customFormat="false" ht="15" hidden="false" customHeight="false" outlineLevel="0" collapsed="false">
      <c r="A4" s="0" t="s">
        <v>84</v>
      </c>
      <c r="B4" s="3" t="n">
        <v>190900</v>
      </c>
    </row>
    <row r="5" customFormat="false" ht="15" hidden="false" customHeight="false" outlineLevel="0" collapsed="false">
      <c r="A5" s="0" t="s">
        <v>85</v>
      </c>
      <c r="B5" s="3" t="n">
        <v>49000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1273100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6</v>
      </c>
      <c r="D13" s="3" t="n">
        <v>-3</v>
      </c>
      <c r="E13" s="3" t="n">
        <v>-5</v>
      </c>
      <c r="F13" s="3" t="n">
        <v>-2</v>
      </c>
      <c r="G13" s="3" t="n">
        <v>0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104</v>
      </c>
      <c r="C14" s="3" t="n">
        <v>8.2</v>
      </c>
      <c r="D14" s="3" t="n">
        <v>7</v>
      </c>
      <c r="E14" s="3" t="n">
        <v>6</v>
      </c>
      <c r="F14" s="3" t="n">
        <v>6.5</v>
      </c>
      <c r="G14" s="3" t="n">
        <v>7</v>
      </c>
      <c r="H14" s="3" t="n">
        <v>7.5</v>
      </c>
      <c r="I14" s="3" t="n">
        <v>7.5</v>
      </c>
      <c r="J14" s="3" t="n">
        <v>7.5</v>
      </c>
      <c r="K14" s="3" t="n">
        <v>7.5</v>
      </c>
      <c r="L14" s="3" t="n">
        <v>7.5</v>
      </c>
    </row>
    <row r="15" customFormat="false" ht="15" hidden="false" customHeight="false" outlineLevel="0" collapsed="false">
      <c r="A15" s="0" t="s">
        <v>105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0.7</v>
      </c>
      <c r="D17" s="3" t="n">
        <v>0.7</v>
      </c>
      <c r="E17" s="3" t="n">
        <v>0.7</v>
      </c>
      <c r="F17" s="3" t="n">
        <v>0.7</v>
      </c>
      <c r="G17" s="3" t="n">
        <v>0.7</v>
      </c>
      <c r="H17" s="3" t="n">
        <v>0.7</v>
      </c>
      <c r="I17" s="3" t="n">
        <v>0.7</v>
      </c>
      <c r="J17" s="3" t="n">
        <v>0.7</v>
      </c>
      <c r="K17" s="3" t="n">
        <v>0.7</v>
      </c>
      <c r="L17" s="3" t="n">
        <v>0.7</v>
      </c>
    </row>
    <row r="18" customFormat="false" ht="15" hidden="false" customHeight="false" outlineLevel="0" collapsed="false">
      <c r="A18" s="0" t="s">
        <v>108</v>
      </c>
      <c r="C18" s="3" t="n">
        <v>1.8</v>
      </c>
      <c r="D18" s="3" t="n">
        <v>1.8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109</v>
      </c>
      <c r="C19" s="3" t="n">
        <v>31</v>
      </c>
      <c r="D19" s="3" t="n">
        <v>31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110</v>
      </c>
      <c r="B20" s="3" t="n">
        <v>6</v>
      </c>
    </row>
    <row r="21" customFormat="false" ht="15" hidden="false" customHeight="false" outlineLevel="0" collapsed="false">
      <c r="A21" s="0" t="s">
        <v>111</v>
      </c>
      <c r="B21" s="3" t="n">
        <v>0.5</v>
      </c>
    </row>
    <row r="22" customFormat="false" ht="15" hidden="false" customHeight="false" outlineLevel="0" collapsed="false">
      <c r="A22" s="0" t="s">
        <v>112</v>
      </c>
      <c r="B22" s="3" t="n">
        <v>12</v>
      </c>
    </row>
    <row r="23" customFormat="false" ht="15" hidden="false" customHeight="false" outlineLevel="0" collapsed="false">
      <c r="A23" s="0" t="s">
        <v>113</v>
      </c>
      <c r="B23" s="3" t="n">
        <v>-35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8.4</v>
      </c>
      <c r="D27" s="3" t="n">
        <v>5</v>
      </c>
      <c r="E27" s="3" t="n">
        <v>3</v>
      </c>
      <c r="F27" s="3" t="n">
        <v>2.5</v>
      </c>
      <c r="G27" s="3" t="n">
        <v>2</v>
      </c>
      <c r="H27" s="3" t="n">
        <v>2</v>
      </c>
      <c r="I27" s="3" t="n">
        <v>1.5</v>
      </c>
      <c r="J27" s="3" t="n">
        <v>1.5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104</v>
      </c>
      <c r="C28" s="3" t="n">
        <v>8.7</v>
      </c>
      <c r="D28" s="3" t="n">
        <v>8.8</v>
      </c>
      <c r="E28" s="3" t="n">
        <v>8.9</v>
      </c>
      <c r="F28" s="3" t="n">
        <v>9</v>
      </c>
      <c r="G28" s="3" t="n">
        <v>9</v>
      </c>
      <c r="H28" s="3" t="n">
        <v>9</v>
      </c>
      <c r="I28" s="3" t="n">
        <v>9</v>
      </c>
      <c r="J28" s="3" t="n">
        <v>9</v>
      </c>
      <c r="K28" s="3" t="n">
        <v>9</v>
      </c>
      <c r="L28" s="3" t="n">
        <v>9</v>
      </c>
    </row>
    <row r="29" customFormat="false" ht="15" hidden="false" customHeight="false" outlineLevel="0" collapsed="false">
      <c r="A29" s="0" t="s">
        <v>105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0.7</v>
      </c>
      <c r="D31" s="3" t="n">
        <v>0.7</v>
      </c>
      <c r="E31" s="3" t="n">
        <v>0.7</v>
      </c>
      <c r="F31" s="3" t="n">
        <v>0.7</v>
      </c>
      <c r="G31" s="3" t="n">
        <v>0.7</v>
      </c>
      <c r="H31" s="3" t="n">
        <v>0.7</v>
      </c>
      <c r="I31" s="3" t="n">
        <v>0.7</v>
      </c>
      <c r="J31" s="3" t="n">
        <v>0.7</v>
      </c>
      <c r="K31" s="3" t="n">
        <v>0.7</v>
      </c>
      <c r="L31" s="3" t="n">
        <v>0.7</v>
      </c>
    </row>
    <row r="32" customFormat="false" ht="15" hidden="false" customHeight="false" outlineLevel="0" collapsed="false">
      <c r="A32" s="0" t="s">
        <v>108</v>
      </c>
      <c r="C32" s="3" t="n">
        <v>1.8</v>
      </c>
      <c r="D32" s="3" t="n">
        <v>1.8</v>
      </c>
      <c r="E32" s="3" t="n">
        <v>1.8</v>
      </c>
      <c r="F32" s="3" t="n">
        <v>1.8</v>
      </c>
      <c r="G32" s="3" t="n">
        <v>1.8</v>
      </c>
      <c r="H32" s="3" t="n">
        <v>1.8</v>
      </c>
      <c r="I32" s="3" t="n">
        <v>1.8</v>
      </c>
      <c r="J32" s="3" t="n">
        <v>1.8</v>
      </c>
      <c r="K32" s="3" t="n">
        <v>1.8</v>
      </c>
      <c r="L32" s="3" t="n">
        <v>1.8</v>
      </c>
    </row>
    <row r="33" customFormat="false" ht="15" hidden="false" customHeight="false" outlineLevel="0" collapsed="false">
      <c r="A33" s="0" t="s">
        <v>109</v>
      </c>
      <c r="C33" s="3" t="n">
        <v>31</v>
      </c>
      <c r="D33" s="3" t="n">
        <v>31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110</v>
      </c>
      <c r="B34" s="3" t="n">
        <v>6</v>
      </c>
    </row>
    <row r="35" customFormat="false" ht="15" hidden="false" customHeight="false" outlineLevel="0" collapsed="false">
      <c r="A35" s="0" t="s">
        <v>111</v>
      </c>
      <c r="B35" s="3" t="n">
        <v>1</v>
      </c>
    </row>
    <row r="36" customFormat="false" ht="15" hidden="false" customHeight="false" outlineLevel="0" collapsed="false">
      <c r="A36" s="0" t="s">
        <v>112</v>
      </c>
      <c r="B36" s="3" t="n">
        <v>14</v>
      </c>
    </row>
    <row r="37" customFormat="false" ht="15" hidden="false" customHeight="false" outlineLevel="0" collapsed="false">
      <c r="A37" s="0" t="s">
        <v>113</v>
      </c>
      <c r="B37" s="3" t="n">
        <v>-25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10</v>
      </c>
      <c r="D41" s="3" t="n">
        <v>7</v>
      </c>
      <c r="E41" s="3" t="n">
        <v>5</v>
      </c>
      <c r="F41" s="3" t="n">
        <v>4</v>
      </c>
      <c r="G41" s="3" t="n">
        <v>3</v>
      </c>
      <c r="H41" s="3" t="n">
        <v>3</v>
      </c>
      <c r="I41" s="3" t="n">
        <v>2.5</v>
      </c>
      <c r="J41" s="3" t="n">
        <v>2</v>
      </c>
      <c r="K41" s="3" t="n">
        <v>2</v>
      </c>
      <c r="L41" s="3" t="n">
        <v>1.5</v>
      </c>
    </row>
    <row r="42" customFormat="false" ht="15" hidden="false" customHeight="false" outlineLevel="0" collapsed="false">
      <c r="A42" s="0" t="s">
        <v>104</v>
      </c>
      <c r="C42" s="3" t="n">
        <v>9</v>
      </c>
      <c r="D42" s="3" t="n">
        <v>9.5</v>
      </c>
      <c r="E42" s="3" t="n">
        <v>10</v>
      </c>
      <c r="F42" s="3" t="n">
        <v>10.3</v>
      </c>
      <c r="G42" s="3" t="n">
        <v>10.5</v>
      </c>
      <c r="H42" s="3" t="n">
        <v>10.5</v>
      </c>
      <c r="I42" s="3" t="n">
        <v>10.5</v>
      </c>
      <c r="J42" s="3" t="n">
        <v>10.5</v>
      </c>
      <c r="K42" s="3" t="n">
        <v>10.5</v>
      </c>
      <c r="L42" s="3" t="n">
        <v>10.5</v>
      </c>
    </row>
    <row r="43" customFormat="false" ht="15" hidden="false" customHeight="false" outlineLevel="0" collapsed="false">
      <c r="A43" s="0" t="s">
        <v>105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0.7</v>
      </c>
      <c r="D45" s="3" t="n">
        <v>0.7</v>
      </c>
      <c r="E45" s="3" t="n">
        <v>0.7</v>
      </c>
      <c r="F45" s="3" t="n">
        <v>0.7</v>
      </c>
      <c r="G45" s="3" t="n">
        <v>0.7</v>
      </c>
      <c r="H45" s="3" t="n">
        <v>0.7</v>
      </c>
      <c r="I45" s="3" t="n">
        <v>0.7</v>
      </c>
      <c r="J45" s="3" t="n">
        <v>0.7</v>
      </c>
      <c r="K45" s="3" t="n">
        <v>0.7</v>
      </c>
      <c r="L45" s="3" t="n">
        <v>0.7</v>
      </c>
    </row>
    <row r="46" customFormat="false" ht="15" hidden="false" customHeight="false" outlineLevel="0" collapsed="false">
      <c r="A46" s="0" t="s">
        <v>108</v>
      </c>
      <c r="C46" s="3" t="n">
        <v>1.7</v>
      </c>
      <c r="D46" s="3" t="n">
        <v>1.7</v>
      </c>
      <c r="E46" s="3" t="n">
        <v>1.7</v>
      </c>
      <c r="F46" s="3" t="n">
        <v>1.7</v>
      </c>
      <c r="G46" s="3" t="n">
        <v>1.7</v>
      </c>
      <c r="H46" s="3" t="n">
        <v>1.7</v>
      </c>
      <c r="I46" s="3" t="n">
        <v>1.7</v>
      </c>
      <c r="J46" s="3" t="n">
        <v>1.7</v>
      </c>
      <c r="K46" s="3" t="n">
        <v>1.7</v>
      </c>
      <c r="L46" s="3" t="n">
        <v>1.7</v>
      </c>
    </row>
    <row r="47" customFormat="false" ht="15" hidden="false" customHeight="false" outlineLevel="0" collapsed="false">
      <c r="A47" s="0" t="s">
        <v>109</v>
      </c>
      <c r="C47" s="3" t="n">
        <v>31</v>
      </c>
      <c r="D47" s="3" t="n">
        <v>31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110</v>
      </c>
      <c r="B48" s="3" t="n">
        <v>6</v>
      </c>
    </row>
    <row r="49" customFormat="false" ht="15" hidden="false" customHeight="false" outlineLevel="0" collapsed="false">
      <c r="A49" s="0" t="s">
        <v>111</v>
      </c>
      <c r="B49" s="3" t="n">
        <v>1.5</v>
      </c>
    </row>
    <row r="50" customFormat="false" ht="15" hidden="false" customHeight="false" outlineLevel="0" collapsed="false">
      <c r="A50" s="0" t="s">
        <v>112</v>
      </c>
      <c r="B50" s="3" t="n">
        <v>15</v>
      </c>
    </row>
    <row r="51" customFormat="false" ht="15" hidden="false" customHeight="false" outlineLevel="0" collapsed="false">
      <c r="A51" s="0" t="s">
        <v>113</v>
      </c>
      <c r="B51" s="3" t="n">
        <v>-15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6</v>
      </c>
      <c r="D5" s="4" t="n">
        <f aca="false">Assumptions!D13</f>
        <v>-3</v>
      </c>
      <c r="E5" s="4" t="n">
        <f aca="false">Assumptions!E13</f>
        <v>-5</v>
      </c>
      <c r="F5" s="4" t="n">
        <f aca="false">Assumptions!F13</f>
        <v>-2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1273100</v>
      </c>
      <c r="C6" s="0" t="n">
        <f aca="false">B6*(1+C5/100)</f>
        <v>1349486</v>
      </c>
      <c r="D6" s="0" t="n">
        <f aca="false">C6*(1+D5/100)</f>
        <v>1309001.42</v>
      </c>
      <c r="E6" s="0" t="n">
        <f aca="false">D6*(1+E5/100)</f>
        <v>1243551.349</v>
      </c>
      <c r="F6" s="0" t="n">
        <f aca="false">E6*(1+F5/100)</f>
        <v>1218680.32202</v>
      </c>
      <c r="G6" s="0" t="n">
        <f aca="false">F6*(1+G5/100)</f>
        <v>1218680.32202</v>
      </c>
      <c r="H6" s="0" t="n">
        <f aca="false">G6*(1+H5/100)</f>
        <v>1230867.1252402</v>
      </c>
      <c r="I6" s="0" t="n">
        <f aca="false">H6*(1+I5/100)</f>
        <v>1243175.7964926</v>
      </c>
      <c r="J6" s="0" t="n">
        <f aca="false">I6*(1+J5/100)</f>
        <v>1255607.55445753</v>
      </c>
      <c r="K6" s="0" t="n">
        <f aca="false">J6*(1+K5/100)</f>
        <v>1268163.6300021</v>
      </c>
      <c r="L6" s="0" t="n">
        <f aca="false">K6*(1+L5/100)</f>
        <v>1280845.26630212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8.2</v>
      </c>
      <c r="D7" s="4" t="n">
        <f aca="false">Assumptions!D14</f>
        <v>7</v>
      </c>
      <c r="E7" s="4" t="n">
        <f aca="false">Assumptions!E14</f>
        <v>6</v>
      </c>
      <c r="F7" s="4" t="n">
        <f aca="false">Assumptions!F14</f>
        <v>6.5</v>
      </c>
      <c r="G7" s="4" t="n">
        <f aca="false">Assumptions!G14</f>
        <v>7</v>
      </c>
      <c r="H7" s="4" t="n">
        <f aca="false">Assumptions!H14</f>
        <v>7.5</v>
      </c>
      <c r="I7" s="4" t="n">
        <f aca="false">Assumptions!I14</f>
        <v>7.5</v>
      </c>
      <c r="J7" s="4" t="n">
        <f aca="false">Assumptions!J14</f>
        <v>7.5</v>
      </c>
      <c r="K7" s="4" t="n">
        <f aca="false">Assumptions!K14</f>
        <v>7.5</v>
      </c>
      <c r="L7" s="4" t="n">
        <f aca="false">Assumptions!L14</f>
        <v>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110657.852</v>
      </c>
      <c r="D8" s="0" t="n">
        <f aca="false">D6*D7/100</f>
        <v>91630.0994</v>
      </c>
      <c r="E8" s="0" t="n">
        <f aca="false">E6*E7/100</f>
        <v>74613.08094</v>
      </c>
      <c r="F8" s="0" t="n">
        <f aca="false">F6*F7/100</f>
        <v>79214.2209313</v>
      </c>
      <c r="G8" s="0" t="n">
        <f aca="false">G6*G7/100</f>
        <v>85307.6225414</v>
      </c>
      <c r="H8" s="0" t="n">
        <f aca="false">H6*H7/100</f>
        <v>92315.034393015</v>
      </c>
      <c r="I8" s="0" t="n">
        <f aca="false">I6*I7/100</f>
        <v>93238.1847369451</v>
      </c>
      <c r="J8" s="0" t="n">
        <f aca="false">J6*J7/100</f>
        <v>94170.5665843146</v>
      </c>
      <c r="K8" s="0" t="n">
        <f aca="false">K6*K7/100</f>
        <v>95112.2722501577</v>
      </c>
      <c r="L8" s="0" t="n">
        <f aca="false">L6*L7/100</f>
        <v>96063.3949726593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110657.852</v>
      </c>
      <c r="D11" s="0" t="n">
        <f aca="false">D8+D10+D24</f>
        <v>91630.0994</v>
      </c>
      <c r="E11" s="0" t="n">
        <f aca="false">E8+E10+E24</f>
        <v>74613.08094</v>
      </c>
      <c r="F11" s="0" t="n">
        <f aca="false">F8+F10+F24</f>
        <v>79214.2209313</v>
      </c>
      <c r="G11" s="0" t="n">
        <f aca="false">G8+G10+G24</f>
        <v>85307.6225414</v>
      </c>
      <c r="H11" s="0" t="n">
        <f aca="false">H8+H10+H24</f>
        <v>92315.034393015</v>
      </c>
      <c r="I11" s="0" t="n">
        <f aca="false">I8+I10+I24</f>
        <v>93238.1847369451</v>
      </c>
      <c r="J11" s="0" t="n">
        <f aca="false">J8+J10+J24</f>
        <v>94170.5665843146</v>
      </c>
      <c r="K11" s="0" t="n">
        <f aca="false">K8+K10+K24</f>
        <v>95112.2722501577</v>
      </c>
      <c r="L11" s="0" t="n">
        <f aca="false">L8+L10+L24</f>
        <v>96063.3949726593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-9446.402</v>
      </c>
      <c r="D12" s="4" t="n">
        <f aca="false">-D6*Assumptions!D17/100</f>
        <v>-9163.00994</v>
      </c>
      <c r="E12" s="4" t="n">
        <f aca="false">-E6*Assumptions!E17/100</f>
        <v>-8704.859443</v>
      </c>
      <c r="F12" s="4" t="n">
        <f aca="false">-F6*Assumptions!F17/100</f>
        <v>-8530.76225414</v>
      </c>
      <c r="G12" s="4" t="n">
        <f aca="false">-G6*Assumptions!G17/100</f>
        <v>-8530.76225414</v>
      </c>
      <c r="H12" s="4" t="n">
        <f aca="false">-H6*Assumptions!H17/100</f>
        <v>-8616.0698766814</v>
      </c>
      <c r="I12" s="4" t="n">
        <f aca="false">-I6*Assumptions!I17/100</f>
        <v>-8702.23057544821</v>
      </c>
      <c r="J12" s="4" t="n">
        <f aca="false">-J6*Assumptions!J17/100</f>
        <v>-8789.2528812027</v>
      </c>
      <c r="K12" s="4" t="n">
        <f aca="false">-K6*Assumptions!K17/100</f>
        <v>-8877.14541001472</v>
      </c>
      <c r="L12" s="4" t="n">
        <f aca="false">-L6*Assumptions!L17/100</f>
        <v>-8965.91686411487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101211.45</v>
      </c>
      <c r="D13" s="0" t="n">
        <f aca="false">D11+D12</f>
        <v>82467.08946</v>
      </c>
      <c r="E13" s="0" t="n">
        <f aca="false">E11+E12</f>
        <v>65908.221497</v>
      </c>
      <c r="F13" s="0" t="n">
        <f aca="false">F11+F12</f>
        <v>70683.45867716</v>
      </c>
      <c r="G13" s="0" t="n">
        <f aca="false">G11+G12</f>
        <v>76776.86028726</v>
      </c>
      <c r="H13" s="0" t="n">
        <f aca="false">H11+H12</f>
        <v>83698.9645163336</v>
      </c>
      <c r="I13" s="0" t="n">
        <f aca="false">I11+I12</f>
        <v>84535.9541614969</v>
      </c>
      <c r="J13" s="0" t="n">
        <f aca="false">J11+J12</f>
        <v>85381.3137031119</v>
      </c>
      <c r="K13" s="0" t="n">
        <f aca="false">K11+K12</f>
        <v>86235.126840143</v>
      </c>
      <c r="L13" s="0" t="n">
        <f aca="false">L11+L12</f>
        <v>87097.4781085445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69835.9005</v>
      </c>
      <c r="D15" s="0" t="n">
        <f aca="false">D13-MAX(0,D13)*D14/100</f>
        <v>56902.2917274</v>
      </c>
      <c r="E15" s="0" t="n">
        <f aca="false">E13-MAX(0,E13)*E14/100</f>
        <v>45476.67283293</v>
      </c>
      <c r="F15" s="0" t="n">
        <f aca="false">F13-MAX(0,F13)*F14/100</f>
        <v>48771.5864872404</v>
      </c>
      <c r="G15" s="0" t="n">
        <f aca="false">G13-MAX(0,G13)*G14/100</f>
        <v>52976.0335982094</v>
      </c>
      <c r="H15" s="0" t="n">
        <f aca="false">H13-MAX(0,H13)*H14/100</f>
        <v>57752.2855162702</v>
      </c>
      <c r="I15" s="0" t="n">
        <f aca="false">I13-MAX(0,I13)*I14/100</f>
        <v>58329.8083714329</v>
      </c>
      <c r="J15" s="0" t="n">
        <f aca="false">J13-MAX(0,J13)*J14/100</f>
        <v>58913.1064551472</v>
      </c>
      <c r="K15" s="0" t="n">
        <f aca="false">K13-MAX(0,K13)*K14/100</f>
        <v>59502.2375196987</v>
      </c>
      <c r="L15" s="0" t="n">
        <f aca="false">L13-MAX(0,L13)*L14/100</f>
        <v>60097.2598948957</v>
      </c>
    </row>
    <row r="16" customFormat="false" ht="15" hidden="false" customHeight="false" outlineLevel="0" collapsed="false">
      <c r="A16" s="0" t="s">
        <v>125</v>
      </c>
      <c r="C16" s="0" t="n">
        <f aca="false">-C12</f>
        <v>9446.402</v>
      </c>
      <c r="D16" s="0" t="n">
        <f aca="false">-D12</f>
        <v>9163.00994</v>
      </c>
      <c r="E16" s="0" t="n">
        <f aca="false">-E12</f>
        <v>8704.859443</v>
      </c>
      <c r="F16" s="0" t="n">
        <f aca="false">-F12</f>
        <v>8530.76225414</v>
      </c>
      <c r="G16" s="0" t="n">
        <f aca="false">-G12</f>
        <v>8530.76225414</v>
      </c>
      <c r="H16" s="0" t="n">
        <f aca="false">-H12</f>
        <v>8616.0698766814</v>
      </c>
      <c r="I16" s="0" t="n">
        <f aca="false">-I12</f>
        <v>8702.23057544821</v>
      </c>
      <c r="J16" s="0" t="n">
        <f aca="false">-J12</f>
        <v>8789.2528812027</v>
      </c>
      <c r="K16" s="0" t="n">
        <f aca="false">-K12</f>
        <v>8877.14541001472</v>
      </c>
      <c r="L16" s="0" t="n">
        <f aca="false">-L12</f>
        <v>8965.91686411487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-24290.748</v>
      </c>
      <c r="D17" s="4" t="n">
        <f aca="false">-D6*Assumptions!D18/100</f>
        <v>-23562.02556</v>
      </c>
      <c r="E17" s="4" t="n">
        <f aca="false">-E6*Assumptions!E18/100</f>
        <v>-22383.924282</v>
      </c>
      <c r="F17" s="4" t="n">
        <f aca="false">-F6*Assumptions!F18/100</f>
        <v>-21936.24579636</v>
      </c>
      <c r="G17" s="4" t="n">
        <f aca="false">-G6*Assumptions!G18/100</f>
        <v>-21936.24579636</v>
      </c>
      <c r="H17" s="4" t="n">
        <f aca="false">-H6*Assumptions!H18/100</f>
        <v>-22155.6082543236</v>
      </c>
      <c r="I17" s="4" t="n">
        <f aca="false">-I6*Assumptions!I18/100</f>
        <v>-22377.1643368668</v>
      </c>
      <c r="J17" s="4" t="n">
        <f aca="false">-J6*Assumptions!J18/100</f>
        <v>-22600.9359802355</v>
      </c>
      <c r="K17" s="4" t="n">
        <f aca="false">-K6*Assumptions!K18/100</f>
        <v>-22826.9453400379</v>
      </c>
      <c r="L17" s="4" t="n">
        <f aca="false">-L6*Assumptions!L18/100</f>
        <v>-23055.2147934382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-26735.1</v>
      </c>
      <c r="D18" s="4" t="n">
        <f aca="false">(D6-C6)*Assumptions!$B$23/100</f>
        <v>14169.603</v>
      </c>
      <c r="E18" s="4" t="n">
        <f aca="false">(E6-D6)*Assumptions!$B$23/100</f>
        <v>22907.52485</v>
      </c>
      <c r="F18" s="4" t="n">
        <f aca="false">(F6-E6)*Assumptions!$B$23/100</f>
        <v>8704.85944300003</v>
      </c>
      <c r="G18" s="4" t="n">
        <f aca="false">(G6-F6)*Assumptions!$B$23/100</f>
        <v>-0</v>
      </c>
      <c r="H18" s="4" t="n">
        <f aca="false">(H6-G6)*Assumptions!$B$23/100</f>
        <v>-4265.38112707004</v>
      </c>
      <c r="I18" s="4" t="n">
        <f aca="false">(I6-H6)*Assumptions!$B$23/100</f>
        <v>-4308.0349383407</v>
      </c>
      <c r="J18" s="4" t="n">
        <f aca="false">(J6-I6)*Assumptions!$B$23/100</f>
        <v>-4351.11528772413</v>
      </c>
      <c r="K18" s="4" t="n">
        <f aca="false">(K6-J6)*Assumptions!$B$23/100</f>
        <v>-4394.62644060133</v>
      </c>
      <c r="L18" s="4" t="n">
        <f aca="false">(L6-K6)*Assumptions!$B$23/100</f>
        <v>-4438.57270500738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28256.4545</v>
      </c>
      <c r="D19" s="0" t="n">
        <f aca="false">D15+D16+D17+D18</f>
        <v>56672.8791074</v>
      </c>
      <c r="E19" s="0" t="n">
        <f aca="false">E15+E16+E17+E18</f>
        <v>54705.13284393</v>
      </c>
      <c r="F19" s="0" t="n">
        <f aca="false">F15+F16+F17+F18</f>
        <v>44070.9623880204</v>
      </c>
      <c r="G19" s="0" t="n">
        <f aca="false">G15+G16+G17+G18</f>
        <v>39570.5500559894</v>
      </c>
      <c r="H19" s="0" t="n">
        <f aca="false">H15+H16+H17+H18</f>
        <v>39947.3660115579</v>
      </c>
      <c r="I19" s="0" t="n">
        <f aca="false">I15+I16+I17+I18</f>
        <v>40346.8396716736</v>
      </c>
      <c r="J19" s="0" t="n">
        <f aca="false">J15+J16+J17+J18</f>
        <v>40750.3080683903</v>
      </c>
      <c r="K19" s="0" t="n">
        <f aca="false">K15+K16+K17+K18</f>
        <v>41157.8111490742</v>
      </c>
      <c r="L19" s="0" t="n">
        <f aca="false">L15+L16+L17+L18</f>
        <v>41569.3892605649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0.943396226415094</v>
      </c>
      <c r="D20" s="0" t="n">
        <f aca="false">1/(1+$B$27/100)^D4</f>
        <v>0.88999644001424</v>
      </c>
      <c r="E20" s="0" t="n">
        <f aca="false">1/(1+$B$27/100)^E4</f>
        <v>0.839619283032302</v>
      </c>
      <c r="F20" s="0" t="n">
        <f aca="false">1/(1+$B$27/100)^F4</f>
        <v>0.79209366323802</v>
      </c>
      <c r="G20" s="0" t="n">
        <f aca="false">1/(1+$B$27/100)^G4</f>
        <v>0.747258172866057</v>
      </c>
      <c r="H20" s="0" t="n">
        <f aca="false">1/(1+$B$27/100)^H4</f>
        <v>0.704960540439676</v>
      </c>
      <c r="I20" s="0" t="n">
        <f aca="false">1/(1+$B$27/100)^I4</f>
        <v>0.665057113622336</v>
      </c>
      <c r="J20" s="0" t="n">
        <f aca="false">1/(1+$B$27/100)^J4</f>
        <v>0.627412371341827</v>
      </c>
      <c r="K20" s="0" t="n">
        <f aca="false">1/(1+$B$27/100)^K4</f>
        <v>0.591898463530025</v>
      </c>
      <c r="L20" s="0" t="n">
        <f aca="false">1/(1+$B$27/100)^L4</f>
        <v>0.558394776915118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26657.0325471698</v>
      </c>
      <c r="D21" s="0" t="n">
        <f aca="false">D19*D20</f>
        <v>50438.6606509434</v>
      </c>
      <c r="E21" s="0" t="n">
        <f aca="false">E19*E20</f>
        <v>45931.4844166073</v>
      </c>
      <c r="F21" s="0" t="n">
        <f aca="false">F19*F20</f>
        <v>34908.3300403521</v>
      </c>
      <c r="G21" s="0" t="n">
        <f aca="false">G19*G20</f>
        <v>29569.4169341435</v>
      </c>
      <c r="H21" s="0" t="n">
        <f aca="false">H19*H20</f>
        <v>28161.3167326494</v>
      </c>
      <c r="I21" s="0" t="n">
        <f aca="false">I19*I20</f>
        <v>26832.9527358264</v>
      </c>
      <c r="J21" s="0" t="n">
        <f aca="false">J19*J20</f>
        <v>25567.2474180987</v>
      </c>
      <c r="K21" s="0" t="n">
        <f aca="false">K19*K20</f>
        <v>24361.245181396</v>
      </c>
      <c r="L21" s="0" t="n">
        <f aca="false">L19*L20</f>
        <v>23212.1298426509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6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315639.816499838</v>
      </c>
    </row>
    <row r="31" customFormat="false" ht="15" hidden="false" customHeight="false" outlineLevel="0" collapsed="false">
      <c r="A31" s="0" t="s">
        <v>134</v>
      </c>
      <c r="B31" s="0" t="n">
        <f aca="false">L19</f>
        <v>41569.3892605649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759586.112852141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498832.671126779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498832.671126779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278545.55811181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594185.374611648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452285.374611648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1707.66520151195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-0.368350212128002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1707.66520151195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288118.870392191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548.666205728692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8.4</v>
      </c>
      <c r="D5" s="4" t="n">
        <f aca="false">Assumptions!D27</f>
        <v>5</v>
      </c>
      <c r="E5" s="4" t="n">
        <f aca="false">Assumptions!E27</f>
        <v>3</v>
      </c>
      <c r="F5" s="4" t="n">
        <f aca="false">Assumptions!F27</f>
        <v>2.5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37</v>
      </c>
      <c r="B6" s="3" t="n">
        <v>1273100</v>
      </c>
      <c r="C6" s="0" t="n">
        <f aca="false">B6*(1+C5/100)</f>
        <v>1380040.4</v>
      </c>
      <c r="D6" s="0" t="n">
        <f aca="false">C6*(1+D5/100)</f>
        <v>1449042.42</v>
      </c>
      <c r="E6" s="0" t="n">
        <f aca="false">D6*(1+E5/100)</f>
        <v>1492513.6926</v>
      </c>
      <c r="F6" s="0" t="n">
        <f aca="false">E6*(1+F5/100)</f>
        <v>1529826.534915</v>
      </c>
      <c r="G6" s="0" t="n">
        <f aca="false">F6*(1+G5/100)</f>
        <v>1560423.0656133</v>
      </c>
      <c r="H6" s="0" t="n">
        <f aca="false">G6*(1+H5/100)</f>
        <v>1591631.52692557</v>
      </c>
      <c r="I6" s="0" t="n">
        <f aca="false">H6*(1+I5/100)</f>
        <v>1615505.99982945</v>
      </c>
      <c r="J6" s="0" t="n">
        <f aca="false">I6*(1+J5/100)</f>
        <v>1639738.58982689</v>
      </c>
      <c r="K6" s="0" t="n">
        <f aca="false">J6*(1+K5/100)</f>
        <v>1656135.97572516</v>
      </c>
      <c r="L6" s="0" t="n">
        <f aca="false">K6*(1+L5/100)</f>
        <v>1672697.33548241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8.7</v>
      </c>
      <c r="D7" s="4" t="n">
        <f aca="false">Assumptions!D28</f>
        <v>8.8</v>
      </c>
      <c r="E7" s="4" t="n">
        <f aca="false">Assumptions!E28</f>
        <v>8.9</v>
      </c>
      <c r="F7" s="4" t="n">
        <f aca="false">Assumptions!F28</f>
        <v>9</v>
      </c>
      <c r="G7" s="4" t="n">
        <f aca="false">Assumptions!G28</f>
        <v>9</v>
      </c>
      <c r="H7" s="4" t="n">
        <f aca="false">Assumptions!H28</f>
        <v>9</v>
      </c>
      <c r="I7" s="4" t="n">
        <f aca="false">Assumptions!I28</f>
        <v>9</v>
      </c>
      <c r="J7" s="4" t="n">
        <f aca="false">Assumptions!J28</f>
        <v>9</v>
      </c>
      <c r="K7" s="4" t="n">
        <f aca="false">Assumptions!K28</f>
        <v>9</v>
      </c>
      <c r="L7" s="4" t="n">
        <f aca="false">Assumptions!L28</f>
        <v>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120063.5148</v>
      </c>
      <c r="D8" s="0" t="n">
        <f aca="false">D6*D7/100</f>
        <v>127515.73296</v>
      </c>
      <c r="E8" s="0" t="n">
        <f aca="false">E6*E7/100</f>
        <v>132833.7186414</v>
      </c>
      <c r="F8" s="0" t="n">
        <f aca="false">F6*F7/100</f>
        <v>137684.38814235</v>
      </c>
      <c r="G8" s="0" t="n">
        <f aca="false">G6*G7/100</f>
        <v>140438.075905197</v>
      </c>
      <c r="H8" s="0" t="n">
        <f aca="false">H6*H7/100</f>
        <v>143246.837423301</v>
      </c>
      <c r="I8" s="0" t="n">
        <f aca="false">I6*I7/100</f>
        <v>145395.53998465</v>
      </c>
      <c r="J8" s="0" t="n">
        <f aca="false">J6*J7/100</f>
        <v>147576.47308442</v>
      </c>
      <c r="K8" s="0" t="n">
        <f aca="false">K6*K7/100</f>
        <v>149052.237815264</v>
      </c>
      <c r="L8" s="0" t="n">
        <f aca="false">L6*L7/100</f>
        <v>150542.760193417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120063.5148</v>
      </c>
      <c r="D11" s="0" t="n">
        <f aca="false">D8+D10+D24</f>
        <v>127515.73296</v>
      </c>
      <c r="E11" s="0" t="n">
        <f aca="false">E8+E10+E24</f>
        <v>132833.7186414</v>
      </c>
      <c r="F11" s="0" t="n">
        <f aca="false">F8+F10+F24</f>
        <v>137684.38814235</v>
      </c>
      <c r="G11" s="0" t="n">
        <f aca="false">G8+G10+G24</f>
        <v>140438.075905197</v>
      </c>
      <c r="H11" s="0" t="n">
        <f aca="false">H8+H10+H24</f>
        <v>143246.837423301</v>
      </c>
      <c r="I11" s="0" t="n">
        <f aca="false">I8+I10+I24</f>
        <v>145395.53998465</v>
      </c>
      <c r="J11" s="0" t="n">
        <f aca="false">J8+J10+J24</f>
        <v>147576.47308442</v>
      </c>
      <c r="K11" s="0" t="n">
        <f aca="false">K8+K10+K24</f>
        <v>149052.237815264</v>
      </c>
      <c r="L11" s="0" t="n">
        <f aca="false">L8+L10+L24</f>
        <v>150542.760193417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-9660.2828</v>
      </c>
      <c r="D12" s="4" t="n">
        <f aca="false">-D6*Assumptions!D31/100</f>
        <v>-10143.29694</v>
      </c>
      <c r="E12" s="4" t="n">
        <f aca="false">-E6*Assumptions!E31/100</f>
        <v>-10447.5958482</v>
      </c>
      <c r="F12" s="4" t="n">
        <f aca="false">-F6*Assumptions!F31/100</f>
        <v>-10708.785744405</v>
      </c>
      <c r="G12" s="4" t="n">
        <f aca="false">-G6*Assumptions!G31/100</f>
        <v>-10922.9614592931</v>
      </c>
      <c r="H12" s="4" t="n">
        <f aca="false">-H6*Assumptions!H31/100</f>
        <v>-11141.420688479</v>
      </c>
      <c r="I12" s="4" t="n">
        <f aca="false">-I6*Assumptions!I31/100</f>
        <v>-11308.5419988061</v>
      </c>
      <c r="J12" s="4" t="n">
        <f aca="false">-J6*Assumptions!J31/100</f>
        <v>-11478.1701287882</v>
      </c>
      <c r="K12" s="4" t="n">
        <f aca="false">-K6*Assumptions!K31/100</f>
        <v>-11592.9518300761</v>
      </c>
      <c r="L12" s="4" t="n">
        <f aca="false">-L6*Assumptions!L31/100</f>
        <v>-11708.8813483769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110403.232</v>
      </c>
      <c r="D13" s="0" t="n">
        <f aca="false">D11+D12</f>
        <v>117372.43602</v>
      </c>
      <c r="E13" s="0" t="n">
        <f aca="false">E11+E12</f>
        <v>122386.1227932</v>
      </c>
      <c r="F13" s="0" t="n">
        <f aca="false">F11+F12</f>
        <v>126975.602397945</v>
      </c>
      <c r="G13" s="0" t="n">
        <f aca="false">G11+G12</f>
        <v>129515.114445904</v>
      </c>
      <c r="H13" s="0" t="n">
        <f aca="false">H11+H12</f>
        <v>132105.416734822</v>
      </c>
      <c r="I13" s="0" t="n">
        <f aca="false">I11+I12</f>
        <v>134086.997985844</v>
      </c>
      <c r="J13" s="0" t="n">
        <f aca="false">J11+J12</f>
        <v>136098.302955632</v>
      </c>
      <c r="K13" s="0" t="n">
        <f aca="false">K11+K12</f>
        <v>137459.285985188</v>
      </c>
      <c r="L13" s="0" t="n">
        <f aca="false">L11+L12</f>
        <v>138833.87884504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76178.23008</v>
      </c>
      <c r="D15" s="0" t="n">
        <f aca="false">D13-MAX(0,D13)*D14/100</f>
        <v>80986.9808538</v>
      </c>
      <c r="E15" s="0" t="n">
        <f aca="false">E13-MAX(0,E13)*E14/100</f>
        <v>84446.424727308</v>
      </c>
      <c r="F15" s="0" t="n">
        <f aca="false">F13-MAX(0,F13)*F14/100</f>
        <v>87613.1656545821</v>
      </c>
      <c r="G15" s="0" t="n">
        <f aca="false">G13-MAX(0,G13)*G14/100</f>
        <v>89365.4289676737</v>
      </c>
      <c r="H15" s="0" t="n">
        <f aca="false">H13-MAX(0,H13)*H14/100</f>
        <v>91152.7375470272</v>
      </c>
      <c r="I15" s="0" t="n">
        <f aca="false">I13-MAX(0,I13)*I14/100</f>
        <v>92520.0286102326</v>
      </c>
      <c r="J15" s="0" t="n">
        <f aca="false">J13-MAX(0,J13)*J14/100</f>
        <v>93907.8290393861</v>
      </c>
      <c r="K15" s="0" t="n">
        <f aca="false">K13-MAX(0,K13)*K14/100</f>
        <v>94846.9073297799</v>
      </c>
      <c r="L15" s="0" t="n">
        <f aca="false">L13-MAX(0,L13)*L14/100</f>
        <v>95795.3764030777</v>
      </c>
    </row>
    <row r="16" customFormat="false" ht="15" hidden="false" customHeight="false" outlineLevel="0" collapsed="false">
      <c r="A16" s="0" t="s">
        <v>125</v>
      </c>
      <c r="C16" s="0" t="n">
        <f aca="false">-C12</f>
        <v>9660.2828</v>
      </c>
      <c r="D16" s="0" t="n">
        <f aca="false">-D12</f>
        <v>10143.29694</v>
      </c>
      <c r="E16" s="0" t="n">
        <f aca="false">-E12</f>
        <v>10447.5958482</v>
      </c>
      <c r="F16" s="0" t="n">
        <f aca="false">-F12</f>
        <v>10708.785744405</v>
      </c>
      <c r="G16" s="0" t="n">
        <f aca="false">-G12</f>
        <v>10922.9614592931</v>
      </c>
      <c r="H16" s="0" t="n">
        <f aca="false">-H12</f>
        <v>11141.420688479</v>
      </c>
      <c r="I16" s="0" t="n">
        <f aca="false">-I12</f>
        <v>11308.5419988061</v>
      </c>
      <c r="J16" s="0" t="n">
        <f aca="false">-J12</f>
        <v>11478.1701287882</v>
      </c>
      <c r="K16" s="0" t="n">
        <f aca="false">-K12</f>
        <v>11592.9518300761</v>
      </c>
      <c r="L16" s="0" t="n">
        <f aca="false">-L12</f>
        <v>11708.8813483769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-24840.7272</v>
      </c>
      <c r="D17" s="4" t="n">
        <f aca="false">-D6*Assumptions!D32/100</f>
        <v>-26082.76356</v>
      </c>
      <c r="E17" s="4" t="n">
        <f aca="false">-E6*Assumptions!E32/100</f>
        <v>-26865.2464668</v>
      </c>
      <c r="F17" s="4" t="n">
        <f aca="false">-F6*Assumptions!F32/100</f>
        <v>-27536.87762847</v>
      </c>
      <c r="G17" s="4" t="n">
        <f aca="false">-G6*Assumptions!G32/100</f>
        <v>-28087.6151810394</v>
      </c>
      <c r="H17" s="4" t="n">
        <f aca="false">-H6*Assumptions!H32/100</f>
        <v>-28649.3674846602</v>
      </c>
      <c r="I17" s="4" t="n">
        <f aca="false">-I6*Assumptions!I32/100</f>
        <v>-29079.1079969301</v>
      </c>
      <c r="J17" s="4" t="n">
        <f aca="false">-J6*Assumptions!J32/100</f>
        <v>-29515.294616884</v>
      </c>
      <c r="K17" s="4" t="n">
        <f aca="false">-K6*Assumptions!K32/100</f>
        <v>-29810.4475630529</v>
      </c>
      <c r="L17" s="4" t="n">
        <f aca="false">-L6*Assumptions!L32/100</f>
        <v>-30108.5520386834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-26735.1</v>
      </c>
      <c r="D18" s="4" t="n">
        <f aca="false">(D6-C6)*Assumptions!$B$37/100</f>
        <v>-17250.505</v>
      </c>
      <c r="E18" s="4" t="n">
        <f aca="false">(E6-D6)*Assumptions!$B$37/100</f>
        <v>-10867.81815</v>
      </c>
      <c r="F18" s="4" t="n">
        <f aca="false">(F6-E6)*Assumptions!$B$37/100</f>
        <v>-9328.21057874995</v>
      </c>
      <c r="G18" s="4" t="n">
        <f aca="false">(G6-F6)*Assumptions!$B$37/100</f>
        <v>-7649.13267457503</v>
      </c>
      <c r="H18" s="4" t="n">
        <f aca="false">(H6-G6)*Assumptions!$B$37/100</f>
        <v>-7802.11532806652</v>
      </c>
      <c r="I18" s="4" t="n">
        <f aca="false">(I6-H6)*Assumptions!$B$37/100</f>
        <v>-5968.61822597083</v>
      </c>
      <c r="J18" s="4" t="n">
        <f aca="false">(J6-I6)*Assumptions!$B$37/100</f>
        <v>-6058.14749936038</v>
      </c>
      <c r="K18" s="4" t="n">
        <f aca="false">(K6-J6)*Assumptions!$B$37/100</f>
        <v>-4099.34647456725</v>
      </c>
      <c r="L18" s="4" t="n">
        <f aca="false">(L6-K6)*Assumptions!$B$37/100</f>
        <v>-4140.33993931289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34262.68568</v>
      </c>
      <c r="D19" s="0" t="n">
        <f aca="false">D15+D16+D17+D18</f>
        <v>47797.0092338</v>
      </c>
      <c r="E19" s="0" t="n">
        <f aca="false">E15+E16+E17+E18</f>
        <v>57160.955958708</v>
      </c>
      <c r="F19" s="0" t="n">
        <f aca="false">F15+F16+F17+F18</f>
        <v>61456.8631917671</v>
      </c>
      <c r="G19" s="0" t="n">
        <f aca="false">G15+G16+G17+G18</f>
        <v>64551.6425713524</v>
      </c>
      <c r="H19" s="0" t="n">
        <f aca="false">H15+H16+H17+H18</f>
        <v>65842.6754227794</v>
      </c>
      <c r="I19" s="0" t="n">
        <f aca="false">I15+I16+I17+I18</f>
        <v>68780.8443861378</v>
      </c>
      <c r="J19" s="0" t="n">
        <f aca="false">J15+J16+J17+J18</f>
        <v>69812.5570519299</v>
      </c>
      <c r="K19" s="0" t="n">
        <f aca="false">K15+K16+K17+K18</f>
        <v>72530.0651222359</v>
      </c>
      <c r="L19" s="0" t="n">
        <f aca="false">L15+L16+L17+L18</f>
        <v>73255.3657734583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0.943396226415094</v>
      </c>
      <c r="D20" s="0" t="n">
        <f aca="false">1/(1+$B$27/100)^D4</f>
        <v>0.88999644001424</v>
      </c>
      <c r="E20" s="0" t="n">
        <f aca="false">1/(1+$B$27/100)^E4</f>
        <v>0.839619283032302</v>
      </c>
      <c r="F20" s="0" t="n">
        <f aca="false">1/(1+$B$27/100)^F4</f>
        <v>0.79209366323802</v>
      </c>
      <c r="G20" s="0" t="n">
        <f aca="false">1/(1+$B$27/100)^G4</f>
        <v>0.747258172866057</v>
      </c>
      <c r="H20" s="0" t="n">
        <f aca="false">1/(1+$B$27/100)^H4</f>
        <v>0.704960540439676</v>
      </c>
      <c r="I20" s="0" t="n">
        <f aca="false">1/(1+$B$27/100)^I4</f>
        <v>0.665057113622336</v>
      </c>
      <c r="J20" s="0" t="n">
        <f aca="false">1/(1+$B$27/100)^J4</f>
        <v>0.627412371341827</v>
      </c>
      <c r="K20" s="0" t="n">
        <f aca="false">1/(1+$B$27/100)^K4</f>
        <v>0.591898463530025</v>
      </c>
      <c r="L20" s="0" t="n">
        <f aca="false">1/(1+$B$27/100)^L4</f>
        <v>0.558394776915118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32323.2883773585</v>
      </c>
      <c r="D21" s="0" t="n">
        <f aca="false">D19*D20</f>
        <v>42539.1680614098</v>
      </c>
      <c r="E21" s="0" t="n">
        <f aca="false">E19*E20</f>
        <v>47993.4408594914</v>
      </c>
      <c r="F21" s="0" t="n">
        <f aca="false">F19*F20</f>
        <v>48679.5918966847</v>
      </c>
      <c r="G21" s="0" t="n">
        <f aca="false">G19*G20</f>
        <v>48236.7424833716</v>
      </c>
      <c r="H21" s="0" t="n">
        <f aca="false">H19*H20</f>
        <v>46416.4880500368</v>
      </c>
      <c r="I21" s="0" t="n">
        <f aca="false">I19*I20</f>
        <v>45743.1898399519</v>
      </c>
      <c r="J21" s="0" t="n">
        <f aca="false">J19*J20</f>
        <v>43801.2619693879</v>
      </c>
      <c r="K21" s="0" t="n">
        <f aca="false">K19*K20</f>
        <v>42930.4341055841</v>
      </c>
      <c r="L21" s="0" t="n">
        <f aca="false">L19*L20</f>
        <v>40905.4136289056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6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439569.019272182</v>
      </c>
    </row>
    <row r="31" customFormat="false" ht="15" hidden="false" customHeight="false" outlineLevel="0" collapsed="false">
      <c r="A31" s="0" t="s">
        <v>134</v>
      </c>
      <c r="B31" s="0" t="n">
        <f aca="false">L19</f>
        <v>73255.3657734583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1479758.38862386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1025575.12082842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1025575.12082842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572675.790804678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1012244.81007686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870344.81007686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3286.1056954604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0.215500534662623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3286.1056954604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528485.138794235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1039.63806850718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10</v>
      </c>
      <c r="D5" s="4" t="n">
        <f aca="false">Assumptions!D41</f>
        <v>7</v>
      </c>
      <c r="E5" s="4" t="n">
        <f aca="false">Assumptions!E41</f>
        <v>5</v>
      </c>
      <c r="F5" s="4" t="n">
        <f aca="false">Assumptions!F41</f>
        <v>4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1.5</v>
      </c>
    </row>
    <row r="6" customFormat="false" ht="15" hidden="false" customHeight="false" outlineLevel="0" collapsed="false">
      <c r="A6" s="0" t="s">
        <v>37</v>
      </c>
      <c r="B6" s="3" t="n">
        <v>1273100</v>
      </c>
      <c r="C6" s="0" t="n">
        <f aca="false">B6*(1+C5/100)</f>
        <v>1400410</v>
      </c>
      <c r="D6" s="0" t="n">
        <f aca="false">C6*(1+D5/100)</f>
        <v>1498438.7</v>
      </c>
      <c r="E6" s="0" t="n">
        <f aca="false">D6*(1+E5/100)</f>
        <v>1573360.635</v>
      </c>
      <c r="F6" s="0" t="n">
        <f aca="false">E6*(1+F5/100)</f>
        <v>1636295.0604</v>
      </c>
      <c r="G6" s="0" t="n">
        <f aca="false">F6*(1+G5/100)</f>
        <v>1685383.912212</v>
      </c>
      <c r="H6" s="0" t="n">
        <f aca="false">G6*(1+H5/100)</f>
        <v>1735945.42957836</v>
      </c>
      <c r="I6" s="0" t="n">
        <f aca="false">H6*(1+I5/100)</f>
        <v>1779344.06531782</v>
      </c>
      <c r="J6" s="0" t="n">
        <f aca="false">I6*(1+J5/100)</f>
        <v>1814930.94662418</v>
      </c>
      <c r="K6" s="0" t="n">
        <f aca="false">J6*(1+K5/100)</f>
        <v>1851229.56555666</v>
      </c>
      <c r="L6" s="0" t="n">
        <f aca="false">K6*(1+L5/100)</f>
        <v>1878998.00904001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9</v>
      </c>
      <c r="D7" s="4" t="n">
        <f aca="false">Assumptions!D42</f>
        <v>9.5</v>
      </c>
      <c r="E7" s="4" t="n">
        <f aca="false">Assumptions!E42</f>
        <v>10</v>
      </c>
      <c r="F7" s="4" t="n">
        <f aca="false">Assumptions!F42</f>
        <v>10.3</v>
      </c>
      <c r="G7" s="4" t="n">
        <f aca="false">Assumptions!G42</f>
        <v>10.5</v>
      </c>
      <c r="H7" s="4" t="n">
        <f aca="false">Assumptions!H42</f>
        <v>10.5</v>
      </c>
      <c r="I7" s="4" t="n">
        <f aca="false">Assumptions!I42</f>
        <v>10.5</v>
      </c>
      <c r="J7" s="4" t="n">
        <f aca="false">Assumptions!J42</f>
        <v>10.5</v>
      </c>
      <c r="K7" s="4" t="n">
        <f aca="false">Assumptions!K42</f>
        <v>10.5</v>
      </c>
      <c r="L7" s="4" t="n">
        <f aca="false">Assumptions!L42</f>
        <v>10.5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126036.9</v>
      </c>
      <c r="D8" s="0" t="n">
        <f aca="false">D6*D7/100</f>
        <v>142351.6765</v>
      </c>
      <c r="E8" s="0" t="n">
        <f aca="false">E6*E7/100</f>
        <v>157336.0635</v>
      </c>
      <c r="F8" s="0" t="n">
        <f aca="false">F6*F7/100</f>
        <v>168538.3912212</v>
      </c>
      <c r="G8" s="0" t="n">
        <f aca="false">G6*G7/100</f>
        <v>176965.31078226</v>
      </c>
      <c r="H8" s="0" t="n">
        <f aca="false">H6*H7/100</f>
        <v>182274.270105728</v>
      </c>
      <c r="I8" s="0" t="n">
        <f aca="false">I6*I7/100</f>
        <v>186831.126858371</v>
      </c>
      <c r="J8" s="0" t="n">
        <f aca="false">J6*J7/100</f>
        <v>190567.749395539</v>
      </c>
      <c r="K8" s="0" t="n">
        <f aca="false">K6*K7/100</f>
        <v>194379.104383449</v>
      </c>
      <c r="L8" s="0" t="n">
        <f aca="false">L6*L7/100</f>
        <v>197294.790949201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126036.9</v>
      </c>
      <c r="D11" s="0" t="n">
        <f aca="false">D8+D10+D24</f>
        <v>142351.6765</v>
      </c>
      <c r="E11" s="0" t="n">
        <f aca="false">E8+E10+E24</f>
        <v>157336.0635</v>
      </c>
      <c r="F11" s="0" t="n">
        <f aca="false">F8+F10+F24</f>
        <v>168538.3912212</v>
      </c>
      <c r="G11" s="0" t="n">
        <f aca="false">G8+G10+G24</f>
        <v>176965.31078226</v>
      </c>
      <c r="H11" s="0" t="n">
        <f aca="false">H8+H10+H24</f>
        <v>182274.270105728</v>
      </c>
      <c r="I11" s="0" t="n">
        <f aca="false">I8+I10+I24</f>
        <v>186831.126858371</v>
      </c>
      <c r="J11" s="0" t="n">
        <f aca="false">J8+J10+J24</f>
        <v>190567.749395539</v>
      </c>
      <c r="K11" s="0" t="n">
        <f aca="false">K8+K10+K24</f>
        <v>194379.104383449</v>
      </c>
      <c r="L11" s="0" t="n">
        <f aca="false">L8+L10+L24</f>
        <v>197294.790949201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-9802.87</v>
      </c>
      <c r="D12" s="4" t="n">
        <f aca="false">-D6*Assumptions!D45/100</f>
        <v>-10489.0709</v>
      </c>
      <c r="E12" s="4" t="n">
        <f aca="false">-E6*Assumptions!E45/100</f>
        <v>-11013.524445</v>
      </c>
      <c r="F12" s="4" t="n">
        <f aca="false">-F6*Assumptions!F45/100</f>
        <v>-11454.0654228</v>
      </c>
      <c r="G12" s="4" t="n">
        <f aca="false">-G6*Assumptions!G45/100</f>
        <v>-11797.687385484</v>
      </c>
      <c r="H12" s="4" t="n">
        <f aca="false">-H6*Assumptions!H45/100</f>
        <v>-12151.6180070485</v>
      </c>
      <c r="I12" s="4" t="n">
        <f aca="false">-I6*Assumptions!I45/100</f>
        <v>-12455.4084572247</v>
      </c>
      <c r="J12" s="4" t="n">
        <f aca="false">-J6*Assumptions!J45/100</f>
        <v>-12704.5166263692</v>
      </c>
      <c r="K12" s="4" t="n">
        <f aca="false">-K6*Assumptions!K45/100</f>
        <v>-12958.6069588966</v>
      </c>
      <c r="L12" s="4" t="n">
        <f aca="false">-L6*Assumptions!L45/100</f>
        <v>-13152.9860632801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116234.03</v>
      </c>
      <c r="D13" s="0" t="n">
        <f aca="false">D11+D12</f>
        <v>131862.6056</v>
      </c>
      <c r="E13" s="0" t="n">
        <f aca="false">E11+E12</f>
        <v>146322.539055</v>
      </c>
      <c r="F13" s="0" t="n">
        <f aca="false">F11+F12</f>
        <v>157084.3257984</v>
      </c>
      <c r="G13" s="0" t="n">
        <f aca="false">G11+G12</f>
        <v>165167.623396776</v>
      </c>
      <c r="H13" s="0" t="n">
        <f aca="false">H11+H12</f>
        <v>170122.652098679</v>
      </c>
      <c r="I13" s="0" t="n">
        <f aca="false">I11+I12</f>
        <v>174375.718401146</v>
      </c>
      <c r="J13" s="0" t="n">
        <f aca="false">J11+J12</f>
        <v>177863.232769169</v>
      </c>
      <c r="K13" s="0" t="n">
        <f aca="false">K11+K12</f>
        <v>181420.497424553</v>
      </c>
      <c r="L13" s="0" t="n">
        <f aca="false">L11+L12</f>
        <v>184141.804885921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31</v>
      </c>
      <c r="D14" s="4" t="n">
        <f aca="false">Assumptions!D47</f>
        <v>31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80201.4807</v>
      </c>
      <c r="D15" s="0" t="n">
        <f aca="false">D13-MAX(0,D13)*D14/100</f>
        <v>90985.197864</v>
      </c>
      <c r="E15" s="0" t="n">
        <f aca="false">E13-MAX(0,E13)*E14/100</f>
        <v>100962.55194795</v>
      </c>
      <c r="F15" s="0" t="n">
        <f aca="false">F13-MAX(0,F13)*F14/100</f>
        <v>108388.184800896</v>
      </c>
      <c r="G15" s="0" t="n">
        <f aca="false">G13-MAX(0,G13)*G14/100</f>
        <v>113965.660143775</v>
      </c>
      <c r="H15" s="0" t="n">
        <f aca="false">H13-MAX(0,H13)*H14/100</f>
        <v>117384.629948089</v>
      </c>
      <c r="I15" s="0" t="n">
        <f aca="false">I13-MAX(0,I13)*I14/100</f>
        <v>120319.245696791</v>
      </c>
      <c r="J15" s="0" t="n">
        <f aca="false">J13-MAX(0,J13)*J14/100</f>
        <v>122725.630610727</v>
      </c>
      <c r="K15" s="0" t="n">
        <f aca="false">K13-MAX(0,K13)*K14/100</f>
        <v>125180.143222941</v>
      </c>
      <c r="L15" s="0" t="n">
        <f aca="false">L13-MAX(0,L13)*L14/100</f>
        <v>127057.845371285</v>
      </c>
    </row>
    <row r="16" customFormat="false" ht="15" hidden="false" customHeight="false" outlineLevel="0" collapsed="false">
      <c r="A16" s="0" t="s">
        <v>125</v>
      </c>
      <c r="C16" s="0" t="n">
        <f aca="false">-C12</f>
        <v>9802.87</v>
      </c>
      <c r="D16" s="0" t="n">
        <f aca="false">-D12</f>
        <v>10489.0709</v>
      </c>
      <c r="E16" s="0" t="n">
        <f aca="false">-E12</f>
        <v>11013.524445</v>
      </c>
      <c r="F16" s="0" t="n">
        <f aca="false">-F12</f>
        <v>11454.0654228</v>
      </c>
      <c r="G16" s="0" t="n">
        <f aca="false">-G12</f>
        <v>11797.687385484</v>
      </c>
      <c r="H16" s="0" t="n">
        <f aca="false">-H12</f>
        <v>12151.6180070485</v>
      </c>
      <c r="I16" s="0" t="n">
        <f aca="false">-I12</f>
        <v>12455.4084572247</v>
      </c>
      <c r="J16" s="0" t="n">
        <f aca="false">-J12</f>
        <v>12704.5166263692</v>
      </c>
      <c r="K16" s="0" t="n">
        <f aca="false">-K12</f>
        <v>12958.6069588966</v>
      </c>
      <c r="L16" s="0" t="n">
        <f aca="false">-L12</f>
        <v>13152.9860632801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-23806.97</v>
      </c>
      <c r="D17" s="4" t="n">
        <f aca="false">-D6*Assumptions!D46/100</f>
        <v>-25473.4579</v>
      </c>
      <c r="E17" s="4" t="n">
        <f aca="false">-E6*Assumptions!E46/100</f>
        <v>-26747.130795</v>
      </c>
      <c r="F17" s="4" t="n">
        <f aca="false">-F6*Assumptions!F46/100</f>
        <v>-27817.0160268</v>
      </c>
      <c r="G17" s="4" t="n">
        <f aca="false">-G6*Assumptions!G46/100</f>
        <v>-28651.526507604</v>
      </c>
      <c r="H17" s="4" t="n">
        <f aca="false">-H6*Assumptions!H46/100</f>
        <v>-29511.0723028321</v>
      </c>
      <c r="I17" s="4" t="n">
        <f aca="false">-I6*Assumptions!I46/100</f>
        <v>-30248.8491104029</v>
      </c>
      <c r="J17" s="4" t="n">
        <f aca="false">-J6*Assumptions!J46/100</f>
        <v>-30853.826092611</v>
      </c>
      <c r="K17" s="4" t="n">
        <f aca="false">-K6*Assumptions!K46/100</f>
        <v>-31470.9026144632</v>
      </c>
      <c r="L17" s="4" t="n">
        <f aca="false">-L6*Assumptions!L46/100</f>
        <v>-31942.9661536802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-19096.5</v>
      </c>
      <c r="D18" s="4" t="n">
        <f aca="false">(D6-C6)*Assumptions!$B$51/100</f>
        <v>-14704.305</v>
      </c>
      <c r="E18" s="4" t="n">
        <f aca="false">(E6-D6)*Assumptions!$B$51/100</f>
        <v>-11238.29025</v>
      </c>
      <c r="F18" s="4" t="n">
        <f aca="false">(F6-E6)*Assumptions!$B$51/100</f>
        <v>-9440.16381000001</v>
      </c>
      <c r="G18" s="4" t="n">
        <f aca="false">(G6-F6)*Assumptions!$B$51/100</f>
        <v>-7363.32777180002</v>
      </c>
      <c r="H18" s="4" t="n">
        <f aca="false">(H6-G6)*Assumptions!$B$51/100</f>
        <v>-7584.22760495403</v>
      </c>
      <c r="I18" s="4" t="n">
        <f aca="false">(I6-H6)*Assumptions!$B$51/100</f>
        <v>-6509.79536091884</v>
      </c>
      <c r="J18" s="4" t="n">
        <f aca="false">(J6-I6)*Assumptions!$B$51/100</f>
        <v>-5338.03219595348</v>
      </c>
      <c r="K18" s="4" t="n">
        <f aca="false">(K6-J6)*Assumptions!$B$51/100</f>
        <v>-5444.79283987252</v>
      </c>
      <c r="L18" s="4" t="n">
        <f aca="false">(L6-K6)*Assumptions!$B$51/100</f>
        <v>-4165.26652250245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47100.8807</v>
      </c>
      <c r="D19" s="0" t="n">
        <f aca="false">D15+D16+D17+D18</f>
        <v>61296.505864</v>
      </c>
      <c r="E19" s="0" t="n">
        <f aca="false">E15+E16+E17+E18</f>
        <v>73990.65534795</v>
      </c>
      <c r="F19" s="0" t="n">
        <f aca="false">F15+F16+F17+F18</f>
        <v>82585.070386896</v>
      </c>
      <c r="G19" s="0" t="n">
        <f aca="false">G15+G16+G17+G18</f>
        <v>89748.4932498554</v>
      </c>
      <c r="H19" s="0" t="n">
        <f aca="false">H15+H16+H17+H18</f>
        <v>92440.9480473511</v>
      </c>
      <c r="I19" s="0" t="n">
        <f aca="false">I15+I16+I17+I18</f>
        <v>96016.0096826939</v>
      </c>
      <c r="J19" s="0" t="n">
        <f aca="false">J15+J16+J17+J18</f>
        <v>99238.2889485315</v>
      </c>
      <c r="K19" s="0" t="n">
        <f aca="false">K15+K16+K17+K18</f>
        <v>101223.054727502</v>
      </c>
      <c r="L19" s="0" t="n">
        <f aca="false">L15+L16+L17+L18</f>
        <v>104102.598758383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0.943396226415094</v>
      </c>
      <c r="D20" s="0" t="n">
        <f aca="false">1/(1+$B$27/100)^D4</f>
        <v>0.88999644001424</v>
      </c>
      <c r="E20" s="0" t="n">
        <f aca="false">1/(1+$B$27/100)^E4</f>
        <v>0.839619283032302</v>
      </c>
      <c r="F20" s="0" t="n">
        <f aca="false">1/(1+$B$27/100)^F4</f>
        <v>0.79209366323802</v>
      </c>
      <c r="G20" s="0" t="n">
        <f aca="false">1/(1+$B$27/100)^G4</f>
        <v>0.747258172866057</v>
      </c>
      <c r="H20" s="0" t="n">
        <f aca="false">1/(1+$B$27/100)^H4</f>
        <v>0.704960540439676</v>
      </c>
      <c r="I20" s="0" t="n">
        <f aca="false">1/(1+$B$27/100)^I4</f>
        <v>0.665057113622336</v>
      </c>
      <c r="J20" s="0" t="n">
        <f aca="false">1/(1+$B$27/100)^J4</f>
        <v>0.627412371341827</v>
      </c>
      <c r="K20" s="0" t="n">
        <f aca="false">1/(1+$B$27/100)^K4</f>
        <v>0.591898463530025</v>
      </c>
      <c r="L20" s="0" t="n">
        <f aca="false">1/(1+$B$27/100)^L4</f>
        <v>0.558394776915118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44434.7931132075</v>
      </c>
      <c r="D21" s="0" t="n">
        <f aca="false">D19*D20</f>
        <v>54553.672004272</v>
      </c>
      <c r="E21" s="0" t="n">
        <f aca="false">E19*E20</f>
        <v>62123.9809943359</v>
      </c>
      <c r="F21" s="0" t="n">
        <f aca="false">F19*F20</f>
        <v>65415.1109315262</v>
      </c>
      <c r="G21" s="0" t="n">
        <f aca="false">G19*G20</f>
        <v>67065.2950833686</v>
      </c>
      <c r="H21" s="0" t="n">
        <f aca="false">H19*H20</f>
        <v>65167.2206942167</v>
      </c>
      <c r="I21" s="0" t="n">
        <f aca="false">I19*I20</f>
        <v>63856.1302611067</v>
      </c>
      <c r="J21" s="0" t="n">
        <f aca="false">J19*J20</f>
        <v>62263.3301971036</v>
      </c>
      <c r="K21" s="0" t="n">
        <f aca="false">K19*K20</f>
        <v>59913.7705670242</v>
      </c>
      <c r="L21" s="0" t="n">
        <f aca="false">L19*L20</f>
        <v>58130.3474099713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6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602923.651256133</v>
      </c>
    </row>
    <row r="31" customFormat="false" ht="15" hidden="false" customHeight="false" outlineLevel="0" collapsed="false">
      <c r="A31" s="0" t="s">
        <v>134</v>
      </c>
      <c r="B31" s="0" t="n">
        <f aca="false">L19</f>
        <v>104102.598758383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2348091.94977241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1561538.98137574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1561538.98137574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871955.211149569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1474878.8624057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1332978.8624057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5032.8437430366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0.861603012034991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5032.8437430366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782697.316590805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1670.24594605735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1707.66520151195</v>
      </c>
      <c r="C4" s="0" t="n">
        <f aca="false">B4/Assumptions!$B$2-1</f>
        <v>-0.368350212128002</v>
      </c>
      <c r="D4" s="4" t="n">
        <f aca="false">Assumptions!$B$24</f>
        <v>0.25</v>
      </c>
      <c r="E4" s="4" t="n">
        <f aca="false">DCF_Bear!$B$43</f>
        <v>1707.66520151195</v>
      </c>
      <c r="F4" s="4" t="n">
        <f aca="false">DCF_Bear!$B$47</f>
        <v>548.666205728692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3286.1056954604</v>
      </c>
      <c r="C5" s="0" t="n">
        <f aca="false">B5/Assumptions!$B$2-1</f>
        <v>0.215500534662623</v>
      </c>
      <c r="D5" s="4" t="n">
        <f aca="false">Assumptions!$B$38</f>
        <v>0.5</v>
      </c>
      <c r="E5" s="4" t="n">
        <f aca="false">DCF_Base!$B$43</f>
        <v>3286.1056954604</v>
      </c>
      <c r="F5" s="4" t="n">
        <f aca="false">DCF_Base!$B$47</f>
        <v>1039.63806850718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5032.8437430366</v>
      </c>
      <c r="C6" s="0" t="n">
        <f aca="false">B6/Assumptions!$B$2-1</f>
        <v>0.861603012034991</v>
      </c>
      <c r="D6" s="4" t="n">
        <f aca="false">Assumptions!$B$52</f>
        <v>0.25</v>
      </c>
      <c r="E6" s="4" t="n">
        <f aca="false">DCF_Bull!$B$43</f>
        <v>5032.8437430366</v>
      </c>
      <c r="F6" s="4" t="n">
        <f aca="false">DCF_Bull!$B$47</f>
        <v>1670.24594605735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3328.18008386734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3328.18008386734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0.187694195664274</v>
      </c>
    </row>
    <row r="11" customFormat="false" ht="15" hidden="false" customHeight="false" outlineLevel="0" collapsed="false">
      <c r="A11" s="0" t="s">
        <v>161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1074.5470722001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3286.1056954604</v>
      </c>
      <c r="C15" s="3" t="n">
        <v>6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2364.75943409351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2018.96967416833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1743.20970232445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1518.33325532172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1039.63806850718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4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3927.59405865483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3927.59405865483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3927.59405865483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3927.59405865483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3927.59405865483</v>
      </c>
    </row>
    <row r="25" customFormat="false" ht="15" hidden="false" customHeight="false" outlineLevel="0" collapsed="false">
      <c r="A25" s="3" t="n">
        <v>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3591.41161795541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3591.41161795541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3591.41161795541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3591.41161795541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3591.41161795541</v>
      </c>
    </row>
    <row r="26" customFormat="false" ht="15" hidden="false" customHeight="false" outlineLevel="0" collapsed="false">
      <c r="A26" s="3" t="n">
        <v>6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3286.1056954604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3286.1056954604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3286.1056954604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3286.1056954604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3286.1056954604</v>
      </c>
    </row>
    <row r="27" customFormat="false" ht="15" hidden="false" customHeight="false" outlineLevel="0" collapsed="false">
      <c r="A27" s="3" t="n">
        <v>7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3008.49784295579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3008.49784295579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3008.49784295579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3008.49784295579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3008.49784295579</v>
      </c>
    </row>
    <row r="28" customFormat="false" ht="15" hidden="false" customHeight="false" outlineLevel="0" collapsed="false">
      <c r="A28" s="3" t="n">
        <v>8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2563.59763305838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2678.8990328914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2755.76663278008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2755.76663278008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2755.76663278008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2026-10-26T02:47:28Z</dcterms:created>
  <dc:creator>openpyxl</dc:creator>
  <dc:description/>
  <dc:language>en-NZ</dc:language>
  <cp:lastModifiedBy/>
  <dcterms:modified xsi:type="dcterms:W3CDTF">2026-10-26T02:47:28Z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