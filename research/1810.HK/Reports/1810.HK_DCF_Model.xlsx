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<sst xmlns="http://schemas.openxmlformats.org/spreadsheetml/2006/main" count="366" uniqueCount="172">
  <si>
    <t xml:space="preserve">Ticker</t>
  </si>
  <si>
    <t xml:space="preserve">1810.HK</t>
  </si>
  <si>
    <t xml:space="preserve">Company</t>
  </si>
  <si>
    <t xml:space="preserve">Xiaomi Corporation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</si>
  <si>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</si>
  <si>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</si>
  <si>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</si>
  <si>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</si>
  <si>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</si>
  <si>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</si>
  <si>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</si>
  <si>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</si>
  <si>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</si>
  <si>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</si>
  <si>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</si>
  <si>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</si>
  <si>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</si>
  <si>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</si>
  <si>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</si>
  <si>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</si>
  <si>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</si>
  <si>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</si>
  <si>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2026-10-16T19:17:50Z</t>
  </si>
  <si>
    <t xml:space="preserve">Drivers file</t>
  </si>
  <si>
    <t xml:space="preserve">1810.HK_Drivers.json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</si>
  <si>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</si>
  <si>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</si>
  <si>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</si>
  <si>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Xiaomi is valued as a single owner-FCF stream from a hardware-plus-services operator in a cyclical trough, with the EV ramp's capital intensity inside the group capex path rather than carved out. Three deliberate conservatisms: FY0 EBITDA is cleaned of RMB11.8bn of investment fair-value gains; the strategic investment portfolio that produces those gains is added back only at 70% of carrying value, net of third-party fund capital; and the terminal multiple is capped at 15x (12x bear) for a business whose largest segment is a sub-5%-margin hardware line. Roughly a third of weighted value is the balance sheet (net cash + investments), which is what makes the bear case survivable; the rest rests on the EV segment earning a positive margin at scale, which it did for one year and then lost.
key_risks_to_valuation: EBITDA margin path: every 1pp of terminal pre-SBC EBITDA margin is worth roughly RMB3/share - the EV segment's margin at scale is the single driver the model cannot anchor to history; Memory-cost cycle duration: if DRAM/NAND pricing stays elevated through 2027 the FY2026-27 margins sit at the bear path, and the 5% hardware-margin pledge means Xiaomi cannot pass the cost through; Working capital: the FY2025 26bn inventory build and 2.1bn H1 FY2026 OCF show owner FCF can diverge from the component build by a year's worth of cash flow; wc_capture is 0 in base and the model is only right on average; Investment portfolio valuation: RMB80bn of mostly Level-3 stakes, modelled at 70%; a 20% write-down of the portfolio is ~RMB0.6/share; Currency: HKD values move one-for-one with CNYHKD; the rate (1.1724) is dated 2026-10-16 and is not refreshed by price-only refreshes; Regulatory tail: EV safety standards (2027/2029 door-release rules), assisted-driving liability and TSMC/US export controls on XRING silicon are binary risks sized only through the bear weight</t>
  </si>
  <si>
    <t xml:space="preserve">Data sources</t>
  </si>
  <si>
    <t xml:space="preserve">price: Yahoo Finance chart API for 1810.HK at inputs.price_as_of (HKEX regular close); 52-week range 21.30-48.14 HKD
fx: Yahoo Finance CNYHKD=X at the timestamp in inputs.fx_note
financials: 1810.HK_Metrics.csv / core_metrics and kpis (FY2016-FY2025 annual, H1 FY2024-H1 FY2026 interim) built from the HKEX annual and interim reports; balance-sheet anchors read directly from 1810.HK_HalfYear_H1-2026.txt (balance sheet, Notes 15/21/23/27, cash-resources footnote 17, diluted-EPS note) and 1810.HK_Annual_FY2025.txt (non-IFRS reconciliation, cash flow statement, lease note, capex table)
qualitative: 1810.HK_Analysis.json (2026-10-17): segment commentary, EV delivery target and run-rate, memory-cost headwinds, buyback programme, regulatory developments</t>
  </si>
  <si>
    <t xml:space="preserve">Scenario narrative: bear</t>
  </si>
  <si>
    <t xml:space="preserve">Memory upcycle into 2027 with no margin buffer; smartphone share erosion continues; EV stays loss-making through FY2028 under the price war and tax reinstatement; safety-regulation and recall costs. Growth -9% then ~3%, EBITDA 8.5-10%, WC consumption, 12x terminal cap.</t>
  </si>
  <si>
    <t xml:space="preserve">Scenario narrative: base</t>
  </si>
  <si>
    <t xml:space="preserve">Cyclical trough, partial recovery. FY2026 revenue -5% and cleaned EBITDA 9.5% as the memory-cost shock hits smartphone margins and the EV segment runs a loss; FY2027-28 revenue +6% and margins climb to 12.5% by FY2032 as memory normalises, EV reaches break-even then a mid-single-digit margin at 600k+ units, and internet services mix rises. Owner FCF margin 3% -&gt; 6.4%; terminal at Gordon 10%/3%, under the 15x cap.</t>
  </si>
  <si>
    <t xml:space="preserve">Scenario narrative: bull</t>
  </si>
  <si>
    <t xml:space="preserve">Memory eases from Q3 FY2026, SkyNomad/new-gen SU7 take deliveries toward 550-600k, EV earns a high-single-digit margin by FY2030 with first overseas sales; smartphone premiumisation restores 12% GPM. Pre-SBC EBITDA 14.5%, FY2027-28 growth 10%, payables-funded growth captures 5% of incremental revenue.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</si>
  <si>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</si>
  <si>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</si>
  <si>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</si>
  <si>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</si>
  <si>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</si>
  <si>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</si>
  <si>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</si>
  <si>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</si>
  <si>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</si>
  <si>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</si>
  <si>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</si>
  <si>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</si>
  <si>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</si>
  <si>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</si>
  <si>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</si>
  <si>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</si>
  <si>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</si>
  <si>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</si>
  <si>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</si>
  <si>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</si>
  <si>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</si>
  <si>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</si>
  <si>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</si>
  <si>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</si>
  <si>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</si>
  <si>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</si>
  <si>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</si>
  <si>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AdjustedNetProfit</t>
  </si>
  <si>
    <t xml:space="preserve">Amortisation</t>
  </si>
  <si>
    <t xml:space="preserve">CashEquivalentsOnly</t>
  </si>
  <si>
    <t xml:space="preserve">DilutedEPS</t>
  </si>
  <si>
    <t xml:space="preserve">InternetRevenue</t>
  </si>
  <si>
    <t xml:space="preserve">MAU</t>
  </si>
  <si>
    <t xml:space="preserve">NetIncomeInclNCI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</si>
  <si>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</si>
  <si>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</si>
  <si>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</si>
  <si>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</si>
  <si>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</si>
  <si>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</si>
  <si>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</si>
  <si>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</si>
  <si>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</si>
  <si>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</si>
  <si>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</si>
  <si>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</si>
  <si>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</si>
  <si>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</si>
  <si>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</si>
  <si>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</si>
  <si>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</si>
  <si>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</si>
  <si>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</si>
  <si>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</si>
  <si>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</si>
  <si>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</si>
  <si>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</si>
  <si>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</si>
  <si>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</si>
  <si>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</si>
  <si>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</si>
  <si>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</si>
  <si>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</si>
  <si>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</si>
  <si>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</si>
  <si>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</si>
  <si>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</si>
  <si>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</si>
  <si>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</si>
  <si>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</si>
  <si>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</si>
  <si>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</si>
  <si>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</si>
  <si>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</si>
  <si>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</si>
  <si>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</si>
  <si>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</si>
  <si>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</si>
  <si>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</si>
  <si>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</si>
  <si>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</si>
  <si>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1810.HK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</si>
  <si>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</si>
  <si>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</si>
  <si>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</si>
  <si>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</si>
  <si>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</si>
  <si>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</si>
  <si>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</si>
  <si>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</si>
  <si>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</si>
  <si>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</si>
  <si>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</si>
  <si>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</si>
  <si>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</si>
  <si>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</si>
  <si>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</si>
  <si>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</si>
  <si>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</si>
  <si>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</si>
  <si>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</si>
  <si>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</si>
  <si>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</si>
  <si>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</si>
  <si>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</si>
  <si>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</si>
  <si>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</si>
  <si>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</si>
  <si>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</si>
  <si>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</si>
  <si>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</si>
  <si>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</si>
  <si>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1810.HK owner-FCF component DCF: base case (millions, CNY)</t>
  </si>
  <si>
    <t xml:space="preserve">1810.HK owner-FCF component DCF: bull case (millions, CNY)</t>
  </si>
  <si>
    <t xml:space="preserve">1810.HK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</si>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</sst>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26.66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</row>
    <row r="2" customFormat="false" ht="15" hidden="false" customHeight="false" outlineLevel="0" collapsed="false">
      <c r="A2" s="0" t="s">
        <v>71</v>
      </c>
      <c r="B2" s="0" t="n">
        <v>68434.161</v>
      </c>
      <c r="C2" s="0" t="n">
        <v>61184.806</v>
      </c>
      <c r="D2" s="0" t="n">
        <v>7249.355</v>
      </c>
      <c r="E2" s="0" t="n">
        <v>10.6</v>
      </c>
      <c r="F2" s="0" t="n">
        <v>3785.064</v>
      </c>
      <c r="G2" s="0" t="n">
        <v>5.5</v>
      </c>
      <c r="I2" s="0" t="n">
        <v>553.25</v>
      </c>
      <c r="J2" s="0" t="n">
        <v>0.8</v>
      </c>
      <c r="O2" s="0" t="n">
        <v>-92191.67</v>
      </c>
      <c r="P2" s="0" t="n">
        <v>50765.601</v>
      </c>
      <c r="Q2" s="0" t="n">
        <v>142823.476</v>
      </c>
      <c r="V2" s="0" t="n">
        <v>0</v>
      </c>
      <c r="AA2" s="0" t="s">
        <v>18</v>
      </c>
      <c r="AB2" s="0" t="s">
        <v>14</v>
      </c>
      <c r="AC2" s="0" t="n">
        <v>1895.657</v>
      </c>
      <c r="AI2" s="0" t="n">
        <v>491.606</v>
      </c>
    </row>
    <row r="3" customFormat="false" ht="15" hidden="false" customHeight="false" outlineLevel="0" collapsed="false">
      <c r="A3" s="0" t="s">
        <v>72</v>
      </c>
      <c r="B3" s="0" t="n">
        <v>114624.742</v>
      </c>
      <c r="C3" s="0" t="n">
        <v>99470.537</v>
      </c>
      <c r="D3" s="0" t="n">
        <v>15154.205</v>
      </c>
      <c r="E3" s="0" t="n">
        <v>13.2</v>
      </c>
      <c r="F3" s="0" t="n">
        <v>12215.467</v>
      </c>
      <c r="G3" s="0" t="n">
        <v>10.7</v>
      </c>
      <c r="I3" s="0" t="n">
        <v>-43826.016</v>
      </c>
      <c r="J3" s="0" t="n">
        <v>-38.2</v>
      </c>
      <c r="M3" s="0" t="n">
        <v>1217.806</v>
      </c>
      <c r="O3" s="0" t="n">
        <v>-127272.361</v>
      </c>
      <c r="P3" s="0" t="n">
        <v>89869.761</v>
      </c>
      <c r="Q3" s="0" t="n">
        <v>217080.452</v>
      </c>
      <c r="U3" s="0" t="n">
        <v>909.155</v>
      </c>
      <c r="V3" s="0" t="n">
        <v>0</v>
      </c>
      <c r="AA3" s="0" t="s">
        <v>18</v>
      </c>
      <c r="AB3" s="0" t="s">
        <v>14</v>
      </c>
      <c r="AC3" s="0" t="n">
        <v>5361.876</v>
      </c>
      <c r="AG3" s="0" t="n">
        <v>9896.4</v>
      </c>
      <c r="AI3" s="0" t="n">
        <v>-43889.115</v>
      </c>
    </row>
    <row r="4" customFormat="false" ht="15" hidden="false" customHeight="false" outlineLevel="0" collapsed="false">
      <c r="A4" s="0" t="s">
        <v>73</v>
      </c>
      <c r="B4" s="0" t="n">
        <v>174915.425</v>
      </c>
      <c r="C4" s="0" t="n">
        <v>152723.486</v>
      </c>
      <c r="D4" s="0" t="n">
        <v>22191.939</v>
      </c>
      <c r="E4" s="0" t="n">
        <v>12.7</v>
      </c>
      <c r="F4" s="0" t="n">
        <v>1196.472</v>
      </c>
      <c r="G4" s="0" t="n">
        <v>0.7</v>
      </c>
      <c r="H4" s="0" t="n">
        <v>1944.688</v>
      </c>
      <c r="I4" s="0" t="n">
        <v>13553.886</v>
      </c>
      <c r="J4" s="0" t="n">
        <v>7.7</v>
      </c>
      <c r="K4" s="0" t="n">
        <v>0.843</v>
      </c>
      <c r="L4" s="0" t="n">
        <v>-1414.571</v>
      </c>
      <c r="M4" s="0" t="n">
        <v>3785.259</v>
      </c>
      <c r="N4" s="0" t="n">
        <v>-5199.83</v>
      </c>
      <c r="O4" s="0" t="n">
        <v>71322.985</v>
      </c>
      <c r="P4" s="0" t="n">
        <v>145227.95</v>
      </c>
      <c r="Q4" s="0" t="n">
        <v>73977.821</v>
      </c>
      <c r="R4" s="0" t="n">
        <v>10931.337</v>
      </c>
      <c r="S4" s="0" t="n">
        <v>38244.664</v>
      </c>
      <c r="T4" s="0" t="n">
        <v>23562.93</v>
      </c>
      <c r="U4" s="0" t="n">
        <v>12380.668</v>
      </c>
      <c r="V4" s="0" t="n">
        <v>0</v>
      </c>
      <c r="AA4" s="0" t="s">
        <v>18</v>
      </c>
      <c r="AB4" s="0" t="s">
        <v>14</v>
      </c>
      <c r="AC4" s="0" t="n">
        <v>8554.548</v>
      </c>
      <c r="AD4" s="0" t="n">
        <v>528.693</v>
      </c>
      <c r="AE4" s="0" t="n">
        <v>30230.147</v>
      </c>
      <c r="AF4" s="0" t="n">
        <v>0.044</v>
      </c>
      <c r="AG4" s="0" t="n">
        <v>15955.6</v>
      </c>
      <c r="AI4" s="0" t="n">
        <v>13477.747</v>
      </c>
    </row>
    <row r="5" customFormat="false" ht="15" hidden="false" customHeight="false" outlineLevel="0" collapsed="false">
      <c r="A5" s="0" t="s">
        <v>74</v>
      </c>
      <c r="B5" s="0" t="n">
        <v>205838.682</v>
      </c>
      <c r="C5" s="0" t="n">
        <v>177284.649</v>
      </c>
      <c r="D5" s="0" t="n">
        <v>28554.033</v>
      </c>
      <c r="E5" s="0" t="n">
        <v>13.9</v>
      </c>
      <c r="F5" s="0" t="n">
        <v>11760.217</v>
      </c>
      <c r="G5" s="0" t="n">
        <v>5.7</v>
      </c>
      <c r="H5" s="0" t="n">
        <v>13141.276</v>
      </c>
      <c r="I5" s="0" t="n">
        <v>10044.164</v>
      </c>
      <c r="J5" s="0" t="n">
        <v>4.9</v>
      </c>
      <c r="K5" s="0" t="n">
        <v>0.423</v>
      </c>
      <c r="L5" s="0" t="n">
        <v>23810.354</v>
      </c>
      <c r="M5" s="0" t="n">
        <v>3405.163</v>
      </c>
      <c r="N5" s="0" t="n">
        <v>20405.191</v>
      </c>
      <c r="O5" s="0" t="n">
        <v>81330.574</v>
      </c>
      <c r="P5" s="0" t="n">
        <v>183629.207</v>
      </c>
      <c r="Q5" s="0" t="n">
        <v>101971.531</v>
      </c>
      <c r="R5" s="0" t="n">
        <v>17623.411</v>
      </c>
      <c r="S5" s="0" t="n">
        <v>63906.294</v>
      </c>
      <c r="T5" s="0" t="n">
        <v>24508.764</v>
      </c>
      <c r="U5" s="0" t="n">
        <v>2201.722</v>
      </c>
      <c r="V5" s="0" t="n">
        <v>0</v>
      </c>
      <c r="AA5" s="0" t="s">
        <v>18</v>
      </c>
      <c r="AB5" s="0" t="s">
        <v>14</v>
      </c>
      <c r="AC5" s="0" t="n">
        <v>11532.296</v>
      </c>
      <c r="AD5" s="0" t="n">
        <v>485.786</v>
      </c>
      <c r="AE5" s="0" t="n">
        <v>25919.861</v>
      </c>
      <c r="AF5" s="0" t="n">
        <v>0.41</v>
      </c>
      <c r="AG5" s="0" t="n">
        <v>19841.6</v>
      </c>
      <c r="AI5" s="0" t="n">
        <v>10102.95</v>
      </c>
    </row>
    <row r="6" customFormat="false" ht="15" hidden="false" customHeight="false" outlineLevel="0" collapsed="false">
      <c r="A6" s="0" t="s">
        <v>75</v>
      </c>
      <c r="B6" s="0" t="n">
        <v>245865.633</v>
      </c>
      <c r="C6" s="0" t="n">
        <v>209113.771</v>
      </c>
      <c r="D6" s="0" t="n">
        <v>36751.862</v>
      </c>
      <c r="E6" s="0" t="n">
        <v>14.9</v>
      </c>
      <c r="F6" s="0" t="n">
        <v>24034.729</v>
      </c>
      <c r="G6" s="0" t="n">
        <v>9.8</v>
      </c>
      <c r="H6" s="0" t="n">
        <v>25743.19</v>
      </c>
      <c r="I6" s="0" t="n">
        <v>20355.504</v>
      </c>
      <c r="J6" s="0" t="n">
        <v>8.3</v>
      </c>
      <c r="K6" s="0" t="n">
        <v>0.85</v>
      </c>
      <c r="L6" s="0" t="n">
        <v>21878.5</v>
      </c>
      <c r="M6" s="0" t="n">
        <v>3025.523</v>
      </c>
      <c r="N6" s="0" t="n">
        <v>18852.977</v>
      </c>
      <c r="O6" s="0" t="n">
        <v>123691.696</v>
      </c>
      <c r="P6" s="0" t="n">
        <v>253679.823</v>
      </c>
      <c r="Q6" s="0" t="n">
        <v>129666.308</v>
      </c>
      <c r="R6" s="0" t="n">
        <v>17596.743</v>
      </c>
      <c r="S6" s="0" t="n">
        <v>95525.232</v>
      </c>
      <c r="T6" s="0" t="n">
        <v>24668.28</v>
      </c>
      <c r="U6" s="0" t="n">
        <v>2328.319</v>
      </c>
      <c r="V6" s="0" t="n">
        <v>0</v>
      </c>
      <c r="AA6" s="0" t="s">
        <v>18</v>
      </c>
      <c r="AB6" s="0" t="s">
        <v>14</v>
      </c>
      <c r="AC6" s="0" t="n">
        <v>13006.363</v>
      </c>
      <c r="AD6" s="0" t="n">
        <v>665.566</v>
      </c>
      <c r="AE6" s="0" t="n">
        <v>54752.443</v>
      </c>
      <c r="AF6" s="0" t="n">
        <v>0.83</v>
      </c>
      <c r="AG6" s="0" t="n">
        <v>23755.3</v>
      </c>
      <c r="AI6" s="0" t="n">
        <v>20312.71</v>
      </c>
    </row>
    <row r="7" customFormat="false" ht="15" hidden="false" customHeight="false" outlineLevel="0" collapsed="false">
      <c r="A7" s="0" t="s">
        <v>76</v>
      </c>
      <c r="B7" s="0" t="n">
        <v>328309.145</v>
      </c>
      <c r="C7" s="0" t="n">
        <v>270048.204</v>
      </c>
      <c r="D7" s="0" t="n">
        <v>58260.941</v>
      </c>
      <c r="E7" s="0" t="n">
        <v>17.7</v>
      </c>
      <c r="F7" s="0" t="n">
        <v>26028.664</v>
      </c>
      <c r="G7" s="0" t="n">
        <v>7.9</v>
      </c>
      <c r="H7" s="0" t="n">
        <v>29090.31</v>
      </c>
      <c r="I7" s="0" t="n">
        <v>19339.321</v>
      </c>
      <c r="J7" s="0" t="n">
        <v>5.9</v>
      </c>
      <c r="K7" s="0" t="n">
        <v>0.78</v>
      </c>
      <c r="L7" s="0" t="n">
        <v>9785.288</v>
      </c>
      <c r="M7" s="0" t="n">
        <v>7169.313</v>
      </c>
      <c r="N7" s="0" t="n">
        <v>2615.975</v>
      </c>
      <c r="O7" s="0" t="n">
        <v>137212.906</v>
      </c>
      <c r="P7" s="0" t="n">
        <v>292891.87</v>
      </c>
      <c r="Q7" s="0" t="n">
        <v>155459.374</v>
      </c>
      <c r="R7" s="0" t="n">
        <v>26246.84</v>
      </c>
      <c r="S7" s="0" t="n">
        <v>86173.34</v>
      </c>
      <c r="T7" s="0" t="n">
        <v>25509.431</v>
      </c>
      <c r="U7" s="0" t="n">
        <v>2035.569</v>
      </c>
      <c r="V7" s="0" t="n">
        <v>0</v>
      </c>
      <c r="AA7" s="0" t="s">
        <v>18</v>
      </c>
      <c r="AB7" s="0" t="s">
        <v>14</v>
      </c>
      <c r="AC7" s="0" t="n">
        <v>22039.474</v>
      </c>
      <c r="AD7" s="0" t="n">
        <v>1257.334</v>
      </c>
      <c r="AE7" s="0" t="n">
        <v>23511.579</v>
      </c>
      <c r="AF7" s="0" t="n">
        <v>0.76</v>
      </c>
      <c r="AG7" s="0" t="n">
        <v>28211.7</v>
      </c>
      <c r="AI7" s="0" t="n">
        <v>19283.235</v>
      </c>
    </row>
    <row r="8" customFormat="false" ht="15" hidden="false" customHeight="false" outlineLevel="0" collapsed="false">
      <c r="A8" s="0" t="s">
        <v>77</v>
      </c>
      <c r="B8" s="0" t="n">
        <v>280044.016</v>
      </c>
      <c r="C8" s="0" t="n">
        <v>232466.826</v>
      </c>
      <c r="D8" s="0" t="n">
        <v>47577.19</v>
      </c>
      <c r="E8" s="0" t="n">
        <v>17</v>
      </c>
      <c r="F8" s="0" t="n">
        <v>2816.498</v>
      </c>
      <c r="G8" s="0" t="n">
        <v>1</v>
      </c>
      <c r="H8" s="0" t="n">
        <v>6523.891</v>
      </c>
      <c r="I8" s="0" t="n">
        <v>2474.03</v>
      </c>
      <c r="J8" s="0" t="n">
        <v>0.9</v>
      </c>
      <c r="K8" s="0" t="n">
        <v>0.1</v>
      </c>
      <c r="L8" s="0" t="n">
        <v>-4389.73</v>
      </c>
      <c r="M8" s="0" t="n">
        <v>5799.57</v>
      </c>
      <c r="N8" s="0" t="n">
        <v>-10189.3</v>
      </c>
      <c r="O8" s="0" t="n">
        <v>143658.458</v>
      </c>
      <c r="P8" s="0" t="n">
        <v>273507.211</v>
      </c>
      <c r="Q8" s="0" t="n">
        <v>129584.151</v>
      </c>
      <c r="R8" s="0" t="n">
        <v>23644.002</v>
      </c>
      <c r="S8" s="0" t="n">
        <v>67776.987</v>
      </c>
      <c r="T8" s="0" t="n">
        <v>25296.728</v>
      </c>
      <c r="U8" s="0" t="n">
        <v>2497.358</v>
      </c>
      <c r="V8" s="0" t="n">
        <v>0</v>
      </c>
      <c r="AA8" s="0" t="s">
        <v>18</v>
      </c>
      <c r="AB8" s="0" t="s">
        <v>14</v>
      </c>
      <c r="AC8" s="0" t="n">
        <v>8518.007</v>
      </c>
      <c r="AD8" s="0" t="n">
        <v>1396.442</v>
      </c>
      <c r="AE8" s="0" t="n">
        <v>27607.261</v>
      </c>
      <c r="AF8" s="0" t="n">
        <v>0.1</v>
      </c>
      <c r="AG8" s="0" t="n">
        <v>28321.4</v>
      </c>
      <c r="AI8" s="0" t="n">
        <v>2502.568</v>
      </c>
    </row>
    <row r="9" customFormat="false" ht="15" hidden="false" customHeight="false" outlineLevel="0" collapsed="false">
      <c r="A9" s="0" t="s">
        <v>78</v>
      </c>
      <c r="B9" s="0" t="n">
        <v>270970.141</v>
      </c>
      <c r="C9" s="0" t="n">
        <v>213493.902</v>
      </c>
      <c r="D9" s="0" t="n">
        <v>57476.239</v>
      </c>
      <c r="E9" s="0" t="n">
        <v>21.2</v>
      </c>
      <c r="F9" s="0" t="n">
        <v>20008.67</v>
      </c>
      <c r="G9" s="0" t="n">
        <v>7.4</v>
      </c>
      <c r="H9" s="0" t="n">
        <v>24844.957</v>
      </c>
      <c r="I9" s="0" t="n">
        <v>17475.173</v>
      </c>
      <c r="J9" s="0" t="n">
        <v>6.4</v>
      </c>
      <c r="K9" s="0" t="n">
        <v>0.7</v>
      </c>
      <c r="L9" s="0" t="n">
        <v>41300.495</v>
      </c>
      <c r="M9" s="0" t="n">
        <v>6268.9</v>
      </c>
      <c r="N9" s="0" t="n">
        <v>35031.595</v>
      </c>
      <c r="O9" s="0" t="n">
        <v>163995.489</v>
      </c>
      <c r="P9" s="0" t="n">
        <v>324247.439</v>
      </c>
      <c r="Q9" s="0" t="n">
        <v>159985.671</v>
      </c>
      <c r="R9" s="0" t="n">
        <v>27857.345</v>
      </c>
      <c r="S9" s="0" t="n">
        <v>107707.779</v>
      </c>
      <c r="T9" s="0" t="n">
        <v>25324.991</v>
      </c>
      <c r="U9" s="0" t="n">
        <v>3378.67</v>
      </c>
      <c r="V9" s="0" t="n">
        <v>0</v>
      </c>
      <c r="AA9" s="0" t="s">
        <v>18</v>
      </c>
      <c r="AB9" s="0" t="s">
        <v>14</v>
      </c>
      <c r="AC9" s="0" t="n">
        <v>19272.754</v>
      </c>
      <c r="AD9" s="0" t="n">
        <v>2434.308</v>
      </c>
      <c r="AE9" s="0" t="n">
        <v>33631.313</v>
      </c>
      <c r="AF9" s="0" t="n">
        <v>0.69</v>
      </c>
      <c r="AG9" s="0" t="n">
        <v>30107.5</v>
      </c>
      <c r="AI9" s="0" t="n">
        <v>17474.196</v>
      </c>
    </row>
    <row r="10" customFormat="false" ht="15" hidden="false" customHeight="false" outlineLevel="0" collapsed="false">
      <c r="A10" s="0" t="s">
        <v>79</v>
      </c>
      <c r="B10" s="0" t="n">
        <v>365906.35</v>
      </c>
      <c r="C10" s="0" t="n">
        <v>289346.156</v>
      </c>
      <c r="D10" s="0" t="n">
        <v>76560.194</v>
      </c>
      <c r="E10" s="0" t="n">
        <v>20.9</v>
      </c>
      <c r="F10" s="0" t="n">
        <v>24502.896</v>
      </c>
      <c r="G10" s="0" t="n">
        <v>6.7</v>
      </c>
      <c r="H10" s="0" t="n">
        <v>30821.165</v>
      </c>
      <c r="I10" s="0" t="n">
        <v>23658.126</v>
      </c>
      <c r="J10" s="0" t="n">
        <v>6.5</v>
      </c>
      <c r="K10" s="0" t="n">
        <v>0.95</v>
      </c>
      <c r="L10" s="0" t="n">
        <v>39295.499</v>
      </c>
      <c r="M10" s="0" t="n">
        <v>7297.307</v>
      </c>
      <c r="N10" s="0" t="n">
        <v>31998.192</v>
      </c>
      <c r="O10" s="0" t="n">
        <v>188737.777</v>
      </c>
      <c r="P10" s="0" t="n">
        <v>403155.289</v>
      </c>
      <c r="Q10" s="0" t="n">
        <v>213950.17</v>
      </c>
      <c r="R10" s="0" t="n">
        <v>30603.018</v>
      </c>
      <c r="S10" s="0" t="n">
        <v>100516.715</v>
      </c>
      <c r="T10" s="0" t="n">
        <v>25500.733</v>
      </c>
      <c r="U10" s="0" t="n">
        <v>3726.085</v>
      </c>
      <c r="V10" s="0" t="n">
        <v>0</v>
      </c>
      <c r="AA10" s="0" t="s">
        <v>18</v>
      </c>
      <c r="AB10" s="0" t="s">
        <v>14</v>
      </c>
      <c r="AC10" s="0" t="n">
        <v>27234.531</v>
      </c>
      <c r="AD10" s="0" t="n">
        <v>2691.99</v>
      </c>
      <c r="AE10" s="0" t="n">
        <v>33661.442</v>
      </c>
      <c r="AF10" s="0" t="n">
        <v>0.93</v>
      </c>
      <c r="AG10" s="0" t="n">
        <v>34115.4</v>
      </c>
      <c r="AI10" s="0" t="n">
        <v>23578.449</v>
      </c>
    </row>
    <row r="11" customFormat="false" ht="15" hidden="false" customHeight="false" outlineLevel="0" collapsed="false">
      <c r="A11" s="0" t="s">
        <v>80</v>
      </c>
      <c r="B11" s="0" t="n">
        <v>457286.687</v>
      </c>
      <c r="C11" s="0" t="n">
        <v>355480.84</v>
      </c>
      <c r="D11" s="0" t="n">
        <v>101805.847</v>
      </c>
      <c r="E11" s="0" t="n">
        <v>22.3</v>
      </c>
      <c r="F11" s="0" t="n">
        <v>47900.92</v>
      </c>
      <c r="G11" s="0" t="n">
        <v>10.5</v>
      </c>
      <c r="H11" s="0" t="n">
        <v>56657.667</v>
      </c>
      <c r="I11" s="0" t="n">
        <v>41643.389</v>
      </c>
      <c r="J11" s="0" t="n">
        <v>9.1</v>
      </c>
      <c r="K11" s="0" t="n">
        <v>1.62</v>
      </c>
      <c r="L11" s="0" t="n">
        <v>34142.377</v>
      </c>
      <c r="M11" s="0" t="n">
        <v>12769.155</v>
      </c>
      <c r="N11" s="0" t="n">
        <v>21373.222</v>
      </c>
      <c r="O11" s="0" t="n">
        <v>266218.661</v>
      </c>
      <c r="P11" s="0" t="n">
        <v>508095.967</v>
      </c>
      <c r="Q11" s="0" t="n">
        <v>241772.698</v>
      </c>
      <c r="R11" s="0" t="n">
        <v>36123.659</v>
      </c>
      <c r="S11" s="0" t="n">
        <v>107696.589</v>
      </c>
      <c r="T11" s="0" t="n">
        <v>26695.326</v>
      </c>
      <c r="U11" s="0" t="n">
        <v>5365.075</v>
      </c>
      <c r="V11" s="0" t="n">
        <v>0</v>
      </c>
      <c r="AA11" s="0" t="s">
        <v>18</v>
      </c>
      <c r="AB11" s="0" t="s">
        <v>14</v>
      </c>
      <c r="AC11" s="0" t="n">
        <v>39166.303</v>
      </c>
      <c r="AD11" s="0" t="n">
        <v>3500.716</v>
      </c>
      <c r="AE11" s="0" t="n">
        <v>26914.377</v>
      </c>
      <c r="AF11" s="0" t="n">
        <v>1.56</v>
      </c>
      <c r="AG11" s="0" t="n">
        <v>37440.3</v>
      </c>
      <c r="AH11" s="0" t="n">
        <v>754.1</v>
      </c>
      <c r="AI11" s="0" t="n">
        <v>41566.439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26.66</v>
      </c>
    </row>
    <row r="3" customFormat="false" ht="15" hidden="false" customHeight="false" outlineLevel="0" collapsed="false">
      <c r="A3" s="0" t="s">
        <v>84</v>
      </c>
      <c r="B3" s="3" t="n">
        <v>26488</v>
      </c>
    </row>
    <row r="4" customFormat="false" ht="15" hidden="false" customHeight="false" outlineLevel="0" collapsed="false">
      <c r="A4" s="0" t="s">
        <v>85</v>
      </c>
      <c r="B4" s="3" t="n">
        <v>-175885</v>
      </c>
    </row>
    <row r="5" customFormat="false" ht="15" hidden="false" customHeight="false" outlineLevel="0" collapsed="false">
      <c r="A5" s="0" t="s">
        <v>86</v>
      </c>
      <c r="B5" s="3" t="n">
        <v>41935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457286.7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1.1724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-9</v>
      </c>
      <c r="D13" s="3" t="n">
        <v>0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8.5</v>
      </c>
      <c r="D14" s="3" t="n">
        <v>8.5</v>
      </c>
      <c r="E14" s="3" t="n">
        <v>9</v>
      </c>
      <c r="F14" s="3" t="n">
        <v>9.5</v>
      </c>
      <c r="G14" s="3" t="n">
        <v>9.5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106</v>
      </c>
      <c r="C15" s="3" t="n">
        <v>1.2</v>
      </c>
      <c r="D15" s="3" t="n">
        <v>1.2</v>
      </c>
      <c r="E15" s="3" t="n">
        <v>1.2</v>
      </c>
      <c r="F15" s="3" t="n">
        <v>1.15</v>
      </c>
      <c r="G15" s="3" t="n">
        <v>1.15</v>
      </c>
      <c r="H15" s="3" t="n">
        <v>1.1</v>
      </c>
      <c r="I15" s="3" t="n">
        <v>1.1</v>
      </c>
      <c r="J15" s="3" t="n">
        <v>1.1</v>
      </c>
      <c r="K15" s="3" t="n">
        <v>1.1</v>
      </c>
      <c r="L15" s="3" t="n">
        <v>1.1</v>
      </c>
    </row>
    <row r="16" customFormat="false" ht="15" hidden="false" customHeight="false" outlineLevel="0" collapsed="false">
      <c r="A16" s="0" t="s">
        <v>107</v>
      </c>
      <c r="C16" s="3" t="n">
        <v>0.7</v>
      </c>
      <c r="D16" s="3" t="n">
        <v>0.7</v>
      </c>
      <c r="E16" s="3" t="n">
        <v>0.7</v>
      </c>
      <c r="F16" s="3" t="n">
        <v>0.7</v>
      </c>
      <c r="G16" s="3" t="n">
        <v>0.7</v>
      </c>
      <c r="H16" s="3" t="n">
        <v>0.7</v>
      </c>
      <c r="I16" s="3" t="n">
        <v>0.7</v>
      </c>
      <c r="J16" s="3" t="n">
        <v>0.7</v>
      </c>
      <c r="K16" s="3" t="n">
        <v>0.7</v>
      </c>
      <c r="L16" s="3" t="n">
        <v>0.7</v>
      </c>
    </row>
    <row r="17" customFormat="false" ht="15" hidden="false" customHeight="false" outlineLevel="0" collapsed="false">
      <c r="A17" s="0" t="s">
        <v>108</v>
      </c>
      <c r="C17" s="3" t="n">
        <v>2.3</v>
      </c>
      <c r="D17" s="3" t="n">
        <v>2.4</v>
      </c>
      <c r="E17" s="3" t="n">
        <v>2.5</v>
      </c>
      <c r="F17" s="3" t="n">
        <v>2.6</v>
      </c>
      <c r="G17" s="3" t="n">
        <v>2.6</v>
      </c>
      <c r="H17" s="3" t="n">
        <v>2.6</v>
      </c>
      <c r="I17" s="3" t="n">
        <v>2.6</v>
      </c>
      <c r="J17" s="3" t="n">
        <v>2.6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109</v>
      </c>
      <c r="C18" s="3" t="n">
        <v>3.6</v>
      </c>
      <c r="D18" s="3" t="n">
        <v>3.4</v>
      </c>
      <c r="E18" s="3" t="n">
        <v>3.2</v>
      </c>
      <c r="F18" s="3" t="n">
        <v>3</v>
      </c>
      <c r="G18" s="3" t="n">
        <v>3</v>
      </c>
      <c r="H18" s="3" t="n">
        <v>2.9</v>
      </c>
      <c r="I18" s="3" t="n">
        <v>2.9</v>
      </c>
      <c r="J18" s="3" t="n">
        <v>2.9</v>
      </c>
      <c r="K18" s="3" t="n">
        <v>2.9</v>
      </c>
      <c r="L18" s="3" t="n">
        <v>2.9</v>
      </c>
    </row>
    <row r="19" customFormat="false" ht="15" hidden="false" customHeight="false" outlineLevel="0" collapsed="false">
      <c r="A19" s="0" t="s">
        <v>110</v>
      </c>
      <c r="C19" s="3" t="n">
        <v>17</v>
      </c>
      <c r="D19" s="3" t="n">
        <v>17.5</v>
      </c>
      <c r="E19" s="3" t="n">
        <v>18</v>
      </c>
      <c r="F19" s="3" t="n">
        <v>18.5</v>
      </c>
      <c r="G19" s="3" t="n">
        <v>19</v>
      </c>
      <c r="H19" s="3" t="n">
        <v>19.5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111</v>
      </c>
      <c r="B20" s="3" t="n">
        <v>10</v>
      </c>
    </row>
    <row r="21" customFormat="false" ht="15" hidden="false" customHeight="false" outlineLevel="0" collapsed="false">
      <c r="A21" s="0" t="s">
        <v>112</v>
      </c>
      <c r="B21" s="3" t="n">
        <v>2.5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-5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-5</v>
      </c>
      <c r="D27" s="3" t="n">
        <v>6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9.5</v>
      </c>
      <c r="D28" s="3" t="n">
        <v>10.5</v>
      </c>
      <c r="E28" s="3" t="n">
        <v>11</v>
      </c>
      <c r="F28" s="3" t="n">
        <v>11.5</v>
      </c>
      <c r="G28" s="3" t="n">
        <v>12</v>
      </c>
      <c r="H28" s="3" t="n">
        <v>12.25</v>
      </c>
      <c r="I28" s="3" t="n">
        <v>12.5</v>
      </c>
      <c r="J28" s="3" t="n">
        <v>12.5</v>
      </c>
      <c r="K28" s="3" t="n">
        <v>12.5</v>
      </c>
      <c r="L28" s="3" t="n">
        <v>12.5</v>
      </c>
    </row>
    <row r="29" customFormat="false" ht="15" hidden="false" customHeight="false" outlineLevel="0" collapsed="false">
      <c r="A29" s="0" t="s">
        <v>106</v>
      </c>
      <c r="C29" s="3" t="n">
        <v>1.15</v>
      </c>
      <c r="D29" s="3" t="n">
        <v>1.15</v>
      </c>
      <c r="E29" s="3" t="n">
        <v>1.1</v>
      </c>
      <c r="F29" s="3" t="n">
        <v>1.1</v>
      </c>
      <c r="G29" s="3" t="n">
        <v>1.05</v>
      </c>
      <c r="H29" s="3" t="n">
        <v>1.05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107</v>
      </c>
      <c r="C30" s="3" t="n">
        <v>0.65</v>
      </c>
      <c r="D30" s="3" t="n">
        <v>0.65</v>
      </c>
      <c r="E30" s="3" t="n">
        <v>0.65</v>
      </c>
      <c r="F30" s="3" t="n">
        <v>0.6</v>
      </c>
      <c r="G30" s="3" t="n">
        <v>0.6</v>
      </c>
      <c r="H30" s="3" t="n">
        <v>0.6</v>
      </c>
      <c r="I30" s="3" t="n">
        <v>0.6</v>
      </c>
      <c r="J30" s="3" t="n">
        <v>0.6</v>
      </c>
      <c r="K30" s="3" t="n">
        <v>0.6</v>
      </c>
      <c r="L30" s="3" t="n">
        <v>0.6</v>
      </c>
    </row>
    <row r="31" customFormat="false" ht="15" hidden="false" customHeight="false" outlineLevel="0" collapsed="false">
      <c r="A31" s="0" t="s">
        <v>108</v>
      </c>
      <c r="C31" s="3" t="n">
        <v>2.2</v>
      </c>
      <c r="D31" s="3" t="n">
        <v>2.3</v>
      </c>
      <c r="E31" s="3" t="n">
        <v>2.4</v>
      </c>
      <c r="F31" s="3" t="n">
        <v>2.5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109</v>
      </c>
      <c r="C32" s="3" t="n">
        <v>3.5</v>
      </c>
      <c r="D32" s="3" t="n">
        <v>3.4</v>
      </c>
      <c r="E32" s="3" t="n">
        <v>3.2</v>
      </c>
      <c r="F32" s="3" t="n">
        <v>3.1</v>
      </c>
      <c r="G32" s="3" t="n">
        <v>3</v>
      </c>
      <c r="H32" s="3" t="n">
        <v>2.9</v>
      </c>
      <c r="I32" s="3" t="n">
        <v>2.8</v>
      </c>
      <c r="J32" s="3" t="n">
        <v>2.8</v>
      </c>
      <c r="K32" s="3" t="n">
        <v>2.8</v>
      </c>
      <c r="L32" s="3" t="n">
        <v>2.8</v>
      </c>
    </row>
    <row r="33" customFormat="false" ht="15" hidden="false" customHeight="false" outlineLevel="0" collapsed="false">
      <c r="A33" s="0" t="s">
        <v>110</v>
      </c>
      <c r="C33" s="3" t="n">
        <v>17</v>
      </c>
      <c r="D33" s="3" t="n">
        <v>17.5</v>
      </c>
      <c r="E33" s="3" t="n">
        <v>18</v>
      </c>
      <c r="F33" s="3" t="n">
        <v>18.5</v>
      </c>
      <c r="G33" s="3" t="n">
        <v>19</v>
      </c>
      <c r="H33" s="3" t="n">
        <v>19.5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111</v>
      </c>
      <c r="B34" s="3" t="n">
        <v>10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15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-2</v>
      </c>
      <c r="D41" s="3" t="n">
        <v>10</v>
      </c>
      <c r="E41" s="3" t="n">
        <v>10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10</v>
      </c>
      <c r="D42" s="3" t="n">
        <v>11.5</v>
      </c>
      <c r="E42" s="3" t="n">
        <v>12.5</v>
      </c>
      <c r="F42" s="3" t="n">
        <v>13.25</v>
      </c>
      <c r="G42" s="3" t="n">
        <v>14</v>
      </c>
      <c r="H42" s="3" t="n">
        <v>14.5</v>
      </c>
      <c r="I42" s="3" t="n">
        <v>14.5</v>
      </c>
      <c r="J42" s="3" t="n">
        <v>14.5</v>
      </c>
      <c r="K42" s="3" t="n">
        <v>14.5</v>
      </c>
      <c r="L42" s="3" t="n">
        <v>14.5</v>
      </c>
    </row>
    <row r="43" customFormat="false" ht="15" hidden="false" customHeight="false" outlineLevel="0" collapsed="false">
      <c r="A43" s="0" t="s">
        <v>106</v>
      </c>
      <c r="C43" s="3" t="n">
        <v>1.15</v>
      </c>
      <c r="D43" s="3" t="n">
        <v>1.15</v>
      </c>
      <c r="E43" s="3" t="n">
        <v>1.1</v>
      </c>
      <c r="F43" s="3" t="n">
        <v>1.1</v>
      </c>
      <c r="G43" s="3" t="n">
        <v>1.05</v>
      </c>
      <c r="H43" s="3" t="n">
        <v>1.05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107</v>
      </c>
      <c r="C44" s="3" t="n">
        <v>0.65</v>
      </c>
      <c r="D44" s="3" t="n">
        <v>0.65</v>
      </c>
      <c r="E44" s="3" t="n">
        <v>0.65</v>
      </c>
      <c r="F44" s="3" t="n">
        <v>0.6</v>
      </c>
      <c r="G44" s="3" t="n">
        <v>0.6</v>
      </c>
      <c r="H44" s="3" t="n">
        <v>0.6</v>
      </c>
      <c r="I44" s="3" t="n">
        <v>0.6</v>
      </c>
      <c r="J44" s="3" t="n">
        <v>0.6</v>
      </c>
      <c r="K44" s="3" t="n">
        <v>0.6</v>
      </c>
      <c r="L44" s="3" t="n">
        <v>0.6</v>
      </c>
    </row>
    <row r="45" customFormat="false" ht="15" hidden="false" customHeight="false" outlineLevel="0" collapsed="false">
      <c r="A45" s="0" t="s">
        <v>108</v>
      </c>
      <c r="C45" s="3" t="n">
        <v>2.2</v>
      </c>
      <c r="D45" s="3" t="n">
        <v>2.3</v>
      </c>
      <c r="E45" s="3" t="n">
        <v>2.4</v>
      </c>
      <c r="F45" s="3" t="n">
        <v>2.5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109</v>
      </c>
      <c r="C46" s="3" t="n">
        <v>3.5</v>
      </c>
      <c r="D46" s="3" t="n">
        <v>3.4</v>
      </c>
      <c r="E46" s="3" t="n">
        <v>3.2</v>
      </c>
      <c r="F46" s="3" t="n">
        <v>3</v>
      </c>
      <c r="G46" s="3" t="n">
        <v>2.9</v>
      </c>
      <c r="H46" s="3" t="n">
        <v>2.8</v>
      </c>
      <c r="I46" s="3" t="n">
        <v>2.7</v>
      </c>
      <c r="J46" s="3" t="n">
        <v>2.7</v>
      </c>
      <c r="K46" s="3" t="n">
        <v>2.7</v>
      </c>
      <c r="L46" s="3" t="n">
        <v>2.7</v>
      </c>
    </row>
    <row r="47" customFormat="false" ht="15" hidden="false" customHeight="false" outlineLevel="0" collapsed="false">
      <c r="A47" s="0" t="s">
        <v>110</v>
      </c>
      <c r="C47" s="3" t="n">
        <v>17</v>
      </c>
      <c r="D47" s="3" t="n">
        <v>17.5</v>
      </c>
      <c r="E47" s="3" t="n">
        <v>18</v>
      </c>
      <c r="F47" s="3" t="n">
        <v>18.5</v>
      </c>
      <c r="G47" s="3" t="n">
        <v>19</v>
      </c>
      <c r="H47" s="3" t="n">
        <v>19.5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111</v>
      </c>
      <c r="B48" s="3" t="n">
        <v>10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15</v>
      </c>
    </row>
    <row r="51" customFormat="false" ht="15" hidden="false" customHeight="false" outlineLevel="0" collapsed="false">
      <c r="A51" s="0" t="s">
        <v>114</v>
      </c>
      <c r="B51" s="3" t="n">
        <v>5</v>
      </c>
    </row>
    <row r="52" customFormat="false" ht="15" hidden="false" customHeight="false" outlineLevel="0" collapsed="false">
      <c r="A52" s="0" t="s">
        <v>115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-9</v>
      </c>
      <c r="D5" s="4" t="n">
        <f aca="false">Assumptions!D13</f>
        <v>0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457286.7</v>
      </c>
      <c r="C6" s="0" t="n">
        <f aca="false">B6*(1+C5/100)</f>
        <v>416130.897</v>
      </c>
      <c r="D6" s="0" t="n">
        <f aca="false">C6*(1+D5/100)</f>
        <v>416130.897</v>
      </c>
      <c r="E6" s="0" t="n">
        <f aca="false">D6*(1+E5/100)</f>
        <v>428614.82391</v>
      </c>
      <c r="F6" s="0" t="n">
        <f aca="false">E6*(1+F5/100)</f>
        <v>441473.2686273</v>
      </c>
      <c r="G6" s="0" t="n">
        <f aca="false">F6*(1+G5/100)</f>
        <v>454717.466686119</v>
      </c>
      <c r="H6" s="0" t="n">
        <f aca="false">G6*(1+H5/100)</f>
        <v>468358.990686703</v>
      </c>
      <c r="I6" s="0" t="n">
        <f aca="false">H6*(1+I5/100)</f>
        <v>480067.96545387</v>
      </c>
      <c r="J6" s="0" t="n">
        <f aca="false">I6*(1+J5/100)</f>
        <v>492069.664590217</v>
      </c>
      <c r="K6" s="0" t="n">
        <f aca="false">J6*(1+K5/100)</f>
        <v>504371.406204972</v>
      </c>
      <c r="L6" s="0" t="n">
        <f aca="false">K6*(1+L5/100)</f>
        <v>516980.691360096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8.5</v>
      </c>
      <c r="D7" s="4" t="n">
        <f aca="false">Assumptions!D14</f>
        <v>8.5</v>
      </c>
      <c r="E7" s="4" t="n">
        <f aca="false">Assumptions!E14</f>
        <v>9</v>
      </c>
      <c r="F7" s="4" t="n">
        <f aca="false">Assumptions!F14</f>
        <v>9.5</v>
      </c>
      <c r="G7" s="4" t="n">
        <f aca="false">Assumptions!G14</f>
        <v>9.5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35371.126245</v>
      </c>
      <c r="D8" s="0" t="n">
        <f aca="false">D6*D7/100</f>
        <v>35371.126245</v>
      </c>
      <c r="E8" s="0" t="n">
        <f aca="false">E6*E7/100</f>
        <v>38575.3341519</v>
      </c>
      <c r="F8" s="0" t="n">
        <f aca="false">F6*F7/100</f>
        <v>41939.9605195935</v>
      </c>
      <c r="G8" s="0" t="n">
        <f aca="false">G6*G7/100</f>
        <v>43198.1593351813</v>
      </c>
      <c r="H8" s="0" t="n">
        <f aca="false">H6*H7/100</f>
        <v>46835.8990686703</v>
      </c>
      <c r="I8" s="0" t="n">
        <f aca="false">I6*I7/100</f>
        <v>48006.796545387</v>
      </c>
      <c r="J8" s="0" t="n">
        <f aca="false">J6*J7/100</f>
        <v>49206.9664590217</v>
      </c>
      <c r="K8" s="0" t="n">
        <f aca="false">K6*K7/100</f>
        <v>50437.1406204972</v>
      </c>
      <c r="L8" s="0" t="n">
        <f aca="false">L6*L7/100</f>
        <v>51698.0691360096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1.15</v>
      </c>
      <c r="G9" s="4" t="n">
        <f aca="false">Assumptions!G15</f>
        <v>1.15</v>
      </c>
      <c r="H9" s="4" t="n">
        <f aca="false">Assumptions!H15</f>
        <v>1.1</v>
      </c>
      <c r="I9" s="4" t="n">
        <f aca="false">Assumptions!I15</f>
        <v>1.1</v>
      </c>
      <c r="J9" s="4" t="n">
        <f aca="false">Assumptions!J15</f>
        <v>1.1</v>
      </c>
      <c r="K9" s="4" t="n">
        <f aca="false">Assumptions!K15</f>
        <v>1.1</v>
      </c>
      <c r="L9" s="4" t="n">
        <f aca="false">Assumptions!L15</f>
        <v>1.1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-4993.570764</v>
      </c>
      <c r="D10" s="0" t="n">
        <f aca="false">-D6*D9/100</f>
        <v>-4993.570764</v>
      </c>
      <c r="E10" s="0" t="n">
        <f aca="false">-E6*E9/100</f>
        <v>-5143.37788692</v>
      </c>
      <c r="F10" s="0" t="n">
        <f aca="false">-F6*F9/100</f>
        <v>-5076.94258921395</v>
      </c>
      <c r="G10" s="0" t="n">
        <f aca="false">-G6*G9/100</f>
        <v>-5229.25086689037</v>
      </c>
      <c r="H10" s="0" t="n">
        <f aca="false">-H6*H9/100</f>
        <v>-5151.94889755373</v>
      </c>
      <c r="I10" s="0" t="n">
        <f aca="false">-I6*I9/100</f>
        <v>-5280.74761999257</v>
      </c>
      <c r="J10" s="0" t="n">
        <f aca="false">-J6*J9/100</f>
        <v>-5412.76631049239</v>
      </c>
      <c r="K10" s="0" t="n">
        <f aca="false">-K6*K9/100</f>
        <v>-5548.0854682547</v>
      </c>
      <c r="L10" s="0" t="n">
        <f aca="false">-L6*L9/100</f>
        <v>-5686.78760496106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27464.639202</v>
      </c>
      <c r="D11" s="0" t="n">
        <f aca="false">D8+D10+D24</f>
        <v>27464.639202</v>
      </c>
      <c r="E11" s="0" t="n">
        <f aca="false">E8+E10+E24</f>
        <v>30431.65249761</v>
      </c>
      <c r="F11" s="0" t="n">
        <f aca="false">F8+F10+F24</f>
        <v>33772.7050499885</v>
      </c>
      <c r="G11" s="0" t="n">
        <f aca="false">G8+G10+G24</f>
        <v>34785.8862014881</v>
      </c>
      <c r="H11" s="0" t="n">
        <f aca="false">H8+H10+H24</f>
        <v>38405.4372363096</v>
      </c>
      <c r="I11" s="0" t="n">
        <f aca="false">I8+I10+I24</f>
        <v>39365.5731672174</v>
      </c>
      <c r="J11" s="0" t="n">
        <f aca="false">J8+J10+J24</f>
        <v>40349.7124963978</v>
      </c>
      <c r="K11" s="0" t="n">
        <f aca="false">K8+K10+K24</f>
        <v>41358.4553088077</v>
      </c>
      <c r="L11" s="0" t="n">
        <f aca="false">L8+L10+L24</f>
        <v>42392.4166915279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-9571.010631</v>
      </c>
      <c r="D12" s="4" t="n">
        <f aca="false">-D6*Assumptions!D17/100</f>
        <v>-9987.141528</v>
      </c>
      <c r="E12" s="4" t="n">
        <f aca="false">-E6*Assumptions!E17/100</f>
        <v>-10715.37059775</v>
      </c>
      <c r="F12" s="4" t="n">
        <f aca="false">-F6*Assumptions!F17/100</f>
        <v>-11478.3049843098</v>
      </c>
      <c r="G12" s="4" t="n">
        <f aca="false">-G6*Assumptions!G17/100</f>
        <v>-11822.6541338391</v>
      </c>
      <c r="H12" s="4" t="n">
        <f aca="false">-H6*Assumptions!H17/100</f>
        <v>-12177.3337578543</v>
      </c>
      <c r="I12" s="4" t="n">
        <f aca="false">-I6*Assumptions!I17/100</f>
        <v>-12481.7671018006</v>
      </c>
      <c r="J12" s="4" t="n">
        <f aca="false">-J6*Assumptions!J17/100</f>
        <v>-12793.8112793456</v>
      </c>
      <c r="K12" s="4" t="n">
        <f aca="false">-K6*Assumptions!K17/100</f>
        <v>-13113.6565613293</v>
      </c>
      <c r="L12" s="4" t="n">
        <f aca="false">-L6*Assumptions!L17/100</f>
        <v>-13441.4979753625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17893.628571</v>
      </c>
      <c r="D13" s="0" t="n">
        <f aca="false">D11+D12</f>
        <v>17477.497674</v>
      </c>
      <c r="E13" s="0" t="n">
        <f aca="false">E11+E12</f>
        <v>19716.28189986</v>
      </c>
      <c r="F13" s="0" t="n">
        <f aca="false">F11+F12</f>
        <v>22294.4000656787</v>
      </c>
      <c r="G13" s="0" t="n">
        <f aca="false">G11+G12</f>
        <v>22963.232067649</v>
      </c>
      <c r="H13" s="0" t="n">
        <f aca="false">H11+H12</f>
        <v>26228.1034784553</v>
      </c>
      <c r="I13" s="0" t="n">
        <f aca="false">I11+I12</f>
        <v>26883.8060654167</v>
      </c>
      <c r="J13" s="0" t="n">
        <f aca="false">J11+J12</f>
        <v>27555.9012170521</v>
      </c>
      <c r="K13" s="0" t="n">
        <f aca="false">K11+K12</f>
        <v>28244.7987474784</v>
      </c>
      <c r="L13" s="0" t="n">
        <f aca="false">L11+L12</f>
        <v>28950.9187161654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17</v>
      </c>
      <c r="D14" s="4" t="n">
        <f aca="false">Assumptions!D19</f>
        <v>17.5</v>
      </c>
      <c r="E14" s="4" t="n">
        <f aca="false">Assumptions!E19</f>
        <v>18</v>
      </c>
      <c r="F14" s="4" t="n">
        <f aca="false">Assumptions!F19</f>
        <v>18.5</v>
      </c>
      <c r="G14" s="4" t="n">
        <f aca="false">Assumptions!G19</f>
        <v>19</v>
      </c>
      <c r="H14" s="4" t="n">
        <f aca="false">Assumptions!H19</f>
        <v>19.5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14851.71171393</v>
      </c>
      <c r="D15" s="0" t="n">
        <f aca="false">D13-MAX(0,D13)*D14/100</f>
        <v>14418.93558105</v>
      </c>
      <c r="E15" s="0" t="n">
        <f aca="false">E13-MAX(0,E13)*E14/100</f>
        <v>16167.3511578852</v>
      </c>
      <c r="F15" s="0" t="n">
        <f aca="false">F13-MAX(0,F13)*F14/100</f>
        <v>18169.9360535281</v>
      </c>
      <c r="G15" s="0" t="n">
        <f aca="false">G13-MAX(0,G13)*G14/100</f>
        <v>18600.2179747957</v>
      </c>
      <c r="H15" s="0" t="n">
        <f aca="false">H13-MAX(0,H13)*H14/100</f>
        <v>21113.6233001566</v>
      </c>
      <c r="I15" s="0" t="n">
        <f aca="false">I13-MAX(0,I13)*I14/100</f>
        <v>21507.0448523334</v>
      </c>
      <c r="J15" s="0" t="n">
        <f aca="false">J13-MAX(0,J13)*J14/100</f>
        <v>22044.7209736417</v>
      </c>
      <c r="K15" s="0" t="n">
        <f aca="false">K13-MAX(0,K13)*K14/100</f>
        <v>22595.8389979828</v>
      </c>
      <c r="L15" s="0" t="n">
        <f aca="false">L13-MAX(0,L13)*L14/100</f>
        <v>23160.7349729323</v>
      </c>
    </row>
    <row r="16" customFormat="false" ht="15" hidden="false" customHeight="false" outlineLevel="0" collapsed="false">
      <c r="A16" s="0" t="s">
        <v>126</v>
      </c>
      <c r="C16" s="0" t="n">
        <f aca="false">-C12</f>
        <v>9571.010631</v>
      </c>
      <c r="D16" s="0" t="n">
        <f aca="false">-D12</f>
        <v>9987.141528</v>
      </c>
      <c r="E16" s="0" t="n">
        <f aca="false">-E12</f>
        <v>10715.37059775</v>
      </c>
      <c r="F16" s="0" t="n">
        <f aca="false">-F12</f>
        <v>11478.3049843098</v>
      </c>
      <c r="G16" s="0" t="n">
        <f aca="false">-G12</f>
        <v>11822.6541338391</v>
      </c>
      <c r="H16" s="0" t="n">
        <f aca="false">-H12</f>
        <v>12177.3337578543</v>
      </c>
      <c r="I16" s="0" t="n">
        <f aca="false">-I12</f>
        <v>12481.7671018006</v>
      </c>
      <c r="J16" s="0" t="n">
        <f aca="false">-J12</f>
        <v>12793.8112793456</v>
      </c>
      <c r="K16" s="0" t="n">
        <f aca="false">-K12</f>
        <v>13113.6565613293</v>
      </c>
      <c r="L16" s="0" t="n">
        <f aca="false">-L12</f>
        <v>13441.4979753625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-14980.712292</v>
      </c>
      <c r="D17" s="4" t="n">
        <f aca="false">-D6*Assumptions!D18/100</f>
        <v>-14148.450498</v>
      </c>
      <c r="E17" s="4" t="n">
        <f aca="false">-E6*Assumptions!E18/100</f>
        <v>-13715.67436512</v>
      </c>
      <c r="F17" s="4" t="n">
        <f aca="false">-F6*Assumptions!F18/100</f>
        <v>-13244.198058819</v>
      </c>
      <c r="G17" s="4" t="n">
        <f aca="false">-G6*Assumptions!G18/100</f>
        <v>-13641.5240005836</v>
      </c>
      <c r="H17" s="4" t="n">
        <f aca="false">-H6*Assumptions!H18/100</f>
        <v>-13582.4107299144</v>
      </c>
      <c r="I17" s="4" t="n">
        <f aca="false">-I6*Assumptions!I18/100</f>
        <v>-13921.9709981622</v>
      </c>
      <c r="J17" s="4" t="n">
        <f aca="false">-J6*Assumptions!J18/100</f>
        <v>-14270.0202731163</v>
      </c>
      <c r="K17" s="4" t="n">
        <f aca="false">-K6*Assumptions!K18/100</f>
        <v>-14626.7707799442</v>
      </c>
      <c r="L17" s="4" t="n">
        <f aca="false">-L6*Assumptions!L18/100</f>
        <v>-14992.4400494428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2057.79015</v>
      </c>
      <c r="D18" s="4" t="n">
        <f aca="false">(D6-C6)*Assumptions!$B$23/100</f>
        <v>-0</v>
      </c>
      <c r="E18" s="4" t="n">
        <f aca="false">(E6-D6)*Assumptions!$B$23/100</f>
        <v>-624.196345500002</v>
      </c>
      <c r="F18" s="4" t="n">
        <f aca="false">(F6-E6)*Assumptions!$B$23/100</f>
        <v>-642.922235865</v>
      </c>
      <c r="G18" s="4" t="n">
        <f aca="false">(G6-F6)*Assumptions!$B$23/100</f>
        <v>-662.20990294095</v>
      </c>
      <c r="H18" s="4" t="n">
        <f aca="false">(H6-G6)*Assumptions!$B$23/100</f>
        <v>-682.076200029178</v>
      </c>
      <c r="I18" s="4" t="n">
        <f aca="false">(I6-H6)*Assumptions!$B$23/100</f>
        <v>-585.448738358376</v>
      </c>
      <c r="J18" s="4" t="n">
        <f aca="false">(J6-I6)*Assumptions!$B$23/100</f>
        <v>-600.084956817335</v>
      </c>
      <c r="K18" s="4" t="n">
        <f aca="false">(K6-J6)*Assumptions!$B$23/100</f>
        <v>-615.087080737768</v>
      </c>
      <c r="L18" s="4" t="n">
        <f aca="false">(L6-K6)*Assumptions!$B$23/100</f>
        <v>-630.464257756213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11499.80020293</v>
      </c>
      <c r="D19" s="0" t="n">
        <f aca="false">D15+D16+D17+D18</f>
        <v>10257.62661105</v>
      </c>
      <c r="E19" s="0" t="n">
        <f aca="false">E15+E16+E17+E18</f>
        <v>12542.8510450152</v>
      </c>
      <c r="F19" s="0" t="n">
        <f aca="false">F15+F16+F17+F18</f>
        <v>15761.1207431539</v>
      </c>
      <c r="G19" s="0" t="n">
        <f aca="false">G15+G16+G17+G18</f>
        <v>16119.1382051103</v>
      </c>
      <c r="H19" s="0" t="n">
        <f aca="false">H15+H16+H17+H18</f>
        <v>19026.4701280673</v>
      </c>
      <c r="I19" s="0" t="n">
        <f aca="false">I15+I16+I17+I18</f>
        <v>19481.3922176134</v>
      </c>
      <c r="J19" s="0" t="n">
        <f aca="false">J15+J16+J17+J18</f>
        <v>19968.4270230537</v>
      </c>
      <c r="K19" s="0" t="n">
        <f aca="false">K15+K16+K17+K18</f>
        <v>20467.6376986301</v>
      </c>
      <c r="L19" s="0" t="n">
        <f aca="false">L15+L16+L17+L18</f>
        <v>20979.3286410958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10454.3638208455</v>
      </c>
      <c r="D21" s="0" t="n">
        <f aca="false">D19*D20</f>
        <v>8477.37736450413</v>
      </c>
      <c r="E21" s="0" t="n">
        <f aca="false">E19*E20</f>
        <v>9423.62963562373</v>
      </c>
      <c r="F21" s="0" t="n">
        <f aca="false">F19*F20</f>
        <v>10765.0575392076</v>
      </c>
      <c r="G21" s="0" t="n">
        <f aca="false">G19*G20</f>
        <v>10008.7166208904</v>
      </c>
      <c r="H21" s="0" t="n">
        <f aca="false">H19*H20</f>
        <v>10739.9463682409</v>
      </c>
      <c r="I21" s="0" t="n">
        <f aca="false">I19*I20</f>
        <v>9997.03457090482</v>
      </c>
      <c r="J21" s="0" t="n">
        <f aca="false">J19*J20</f>
        <v>9315.41857743403</v>
      </c>
      <c r="K21" s="0" t="n">
        <f aca="false">K19*K20</f>
        <v>8680.27640169989</v>
      </c>
      <c r="L21" s="0" t="n">
        <f aca="false">L19*L20</f>
        <v>8088.43937431126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0.7</v>
      </c>
      <c r="D23" s="4" t="n">
        <f aca="false">Assumptions!D16</f>
        <v>0.7</v>
      </c>
      <c r="E23" s="4" t="n">
        <f aca="false">Assumptions!E16</f>
        <v>0.7</v>
      </c>
      <c r="F23" s="4" t="n">
        <f aca="false">Assumptions!F16</f>
        <v>0.7</v>
      </c>
      <c r="G23" s="4" t="n">
        <f aca="false">Assumptions!G16</f>
        <v>0.7</v>
      </c>
      <c r="H23" s="4" t="n">
        <f aca="false">Assumptions!H16</f>
        <v>0.7</v>
      </c>
      <c r="I23" s="4" t="n">
        <f aca="false">Assumptions!I16</f>
        <v>0.7</v>
      </c>
      <c r="J23" s="4" t="n">
        <f aca="false">Assumptions!J16</f>
        <v>0.7</v>
      </c>
      <c r="K23" s="4" t="n">
        <f aca="false">Assumptions!K16</f>
        <v>0.7</v>
      </c>
      <c r="L23" s="4" t="n">
        <f aca="false">Assumptions!L16</f>
        <v>0.7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-2912.916279</v>
      </c>
      <c r="D24" s="0" t="n">
        <f aca="false">-D6*D23/100</f>
        <v>-2912.916279</v>
      </c>
      <c r="E24" s="0" t="n">
        <f aca="false">-E6*E23/100</f>
        <v>-3000.30376737</v>
      </c>
      <c r="F24" s="0" t="n">
        <f aca="false">-F6*F23/100</f>
        <v>-3090.3128803911</v>
      </c>
      <c r="G24" s="0" t="n">
        <f aca="false">-G6*G23/100</f>
        <v>-3183.02226680283</v>
      </c>
      <c r="H24" s="0" t="n">
        <f aca="false">-H6*H23/100</f>
        <v>-3278.51293480692</v>
      </c>
      <c r="I24" s="0" t="n">
        <f aca="false">-I6*I23/100</f>
        <v>-3360.47575817709</v>
      </c>
      <c r="J24" s="0" t="n">
        <f aca="false">-J6*J23/100</f>
        <v>-3444.48765213152</v>
      </c>
      <c r="K24" s="0" t="n">
        <f aca="false">-K6*K23/100</f>
        <v>-3530.59984343481</v>
      </c>
      <c r="L24" s="0" t="n">
        <f aca="false">-L6*L23/100</f>
        <v>-3618.86483952068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95950.2602736623</v>
      </c>
    </row>
    <row r="31" customFormat="false" ht="15" hidden="false" customHeight="false" outlineLevel="0" collapsed="false">
      <c r="A31" s="0" t="s">
        <v>135</v>
      </c>
      <c r="B31" s="0" t="n">
        <f aca="false">L19</f>
        <v>20979.3286410958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286717.49142831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251751.94369315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251751.94369315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97061.2724917351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193011.532765397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410831.532765397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18.1840414155147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-0.317927928900426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31933.9245902091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29964.2049265516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20.92374871865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172030.494856986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14.8919383780829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-5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457286.7</v>
      </c>
      <c r="C6" s="0" t="n">
        <f aca="false">B6*(1+C5/100)</f>
        <v>434422.365</v>
      </c>
      <c r="D6" s="0" t="n">
        <f aca="false">C6*(1+D5/100)</f>
        <v>460487.7069</v>
      </c>
      <c r="E6" s="0" t="n">
        <f aca="false">D6*(1+E5/100)</f>
        <v>488116.969314</v>
      </c>
      <c r="F6" s="0" t="n">
        <f aca="false">E6*(1+F5/100)</f>
        <v>514963.40262627</v>
      </c>
      <c r="G6" s="0" t="n">
        <f aca="false">F6*(1+G5/100)</f>
        <v>540711.572757584</v>
      </c>
      <c r="H6" s="0" t="n">
        <f aca="false">G6*(1+H5/100)</f>
        <v>565043.593531675</v>
      </c>
      <c r="I6" s="0" t="n">
        <f aca="false">H6*(1+I5/100)</f>
        <v>587645.337272942</v>
      </c>
      <c r="J6" s="0" t="n">
        <f aca="false">I6*(1+J5/100)</f>
        <v>608212.924077495</v>
      </c>
      <c r="K6" s="0" t="n">
        <f aca="false">J6*(1+K5/100)</f>
        <v>626459.31179982</v>
      </c>
      <c r="L6" s="0" t="n">
        <f aca="false">K6*(1+L5/100)</f>
        <v>645253.091153814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9.5</v>
      </c>
      <c r="D7" s="4" t="n">
        <f aca="false">Assumptions!D28</f>
        <v>10.5</v>
      </c>
      <c r="E7" s="4" t="n">
        <f aca="false">Assumptions!E28</f>
        <v>11</v>
      </c>
      <c r="F7" s="4" t="n">
        <f aca="false">Assumptions!F28</f>
        <v>11.5</v>
      </c>
      <c r="G7" s="4" t="n">
        <f aca="false">Assumptions!G28</f>
        <v>12</v>
      </c>
      <c r="H7" s="4" t="n">
        <f aca="false">Assumptions!H28</f>
        <v>12.25</v>
      </c>
      <c r="I7" s="4" t="n">
        <f aca="false">Assumptions!I28</f>
        <v>12.5</v>
      </c>
      <c r="J7" s="4" t="n">
        <f aca="false">Assumptions!J28</f>
        <v>12.5</v>
      </c>
      <c r="K7" s="4" t="n">
        <f aca="false">Assumptions!K28</f>
        <v>12.5</v>
      </c>
      <c r="L7" s="4" t="n">
        <f aca="false">Assumptions!L28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41270.124675</v>
      </c>
      <c r="D8" s="0" t="n">
        <f aca="false">D6*D7/100</f>
        <v>48351.2092245</v>
      </c>
      <c r="E8" s="0" t="n">
        <f aca="false">E6*E7/100</f>
        <v>53692.86662454</v>
      </c>
      <c r="F8" s="0" t="n">
        <f aca="false">F6*F7/100</f>
        <v>59220.791302021</v>
      </c>
      <c r="G8" s="0" t="n">
        <f aca="false">G6*G7/100</f>
        <v>64885.38873091</v>
      </c>
      <c r="H8" s="0" t="n">
        <f aca="false">H6*H7/100</f>
        <v>69217.8402076302</v>
      </c>
      <c r="I8" s="0" t="n">
        <f aca="false">I6*I7/100</f>
        <v>73455.6671591177</v>
      </c>
      <c r="J8" s="0" t="n">
        <f aca="false">J6*J7/100</f>
        <v>76026.6155096868</v>
      </c>
      <c r="K8" s="0" t="n">
        <f aca="false">K6*K7/100</f>
        <v>78307.4139749774</v>
      </c>
      <c r="L8" s="0" t="n">
        <f aca="false">L6*L7/100</f>
        <v>80656.6363942268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1.15</v>
      </c>
      <c r="D9" s="4" t="n">
        <f aca="false">Assumptions!D29</f>
        <v>1.15</v>
      </c>
      <c r="E9" s="4" t="n">
        <f aca="false">Assumptions!E29</f>
        <v>1.1</v>
      </c>
      <c r="F9" s="4" t="n">
        <f aca="false">Assumptions!F29</f>
        <v>1.1</v>
      </c>
      <c r="G9" s="4" t="n">
        <f aca="false">Assumptions!G29</f>
        <v>1.05</v>
      </c>
      <c r="H9" s="4" t="n">
        <f aca="false">Assumptions!H29</f>
        <v>1.05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-4995.8571975</v>
      </c>
      <c r="D10" s="0" t="n">
        <f aca="false">-D6*D9/100</f>
        <v>-5295.60862935</v>
      </c>
      <c r="E10" s="0" t="n">
        <f aca="false">-E6*E9/100</f>
        <v>-5369.286662454</v>
      </c>
      <c r="F10" s="0" t="n">
        <f aca="false">-F6*F9/100</f>
        <v>-5664.59742888897</v>
      </c>
      <c r="G10" s="0" t="n">
        <f aca="false">-G6*G9/100</f>
        <v>-5677.47151395463</v>
      </c>
      <c r="H10" s="0" t="n">
        <f aca="false">-H6*H9/100</f>
        <v>-5932.95773208259</v>
      </c>
      <c r="I10" s="0" t="n">
        <f aca="false">-I6*I9/100</f>
        <v>-5876.45337272942</v>
      </c>
      <c r="J10" s="0" t="n">
        <f aca="false">-J6*J9/100</f>
        <v>-6082.12924077495</v>
      </c>
      <c r="K10" s="0" t="n">
        <f aca="false">-K6*K9/100</f>
        <v>-6264.59311799819</v>
      </c>
      <c r="L10" s="0" t="n">
        <f aca="false">-L6*L9/100</f>
        <v>-6452.53091153814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33450.522105</v>
      </c>
      <c r="D11" s="0" t="n">
        <f aca="false">D8+D10+D24</f>
        <v>40062.4305003</v>
      </c>
      <c r="E11" s="0" t="n">
        <f aca="false">E8+E10+E24</f>
        <v>45150.819661545</v>
      </c>
      <c r="F11" s="0" t="n">
        <f aca="false">F8+F10+F24</f>
        <v>50466.4134573745</v>
      </c>
      <c r="G11" s="0" t="n">
        <f aca="false">G8+G10+G24</f>
        <v>55963.6477804099</v>
      </c>
      <c r="H11" s="0" t="n">
        <f aca="false">H8+H10+H24</f>
        <v>59894.6209143575</v>
      </c>
      <c r="I11" s="0" t="n">
        <f aca="false">I8+I10+I24</f>
        <v>64053.3417627506</v>
      </c>
      <c r="J11" s="0" t="n">
        <f aca="false">J8+J10+J24</f>
        <v>66295.2087244469</v>
      </c>
      <c r="K11" s="0" t="n">
        <f aca="false">K8+K10+K24</f>
        <v>68284.0649861803</v>
      </c>
      <c r="L11" s="0" t="n">
        <f aca="false">L8+L10+L24</f>
        <v>70332.5869357657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-9557.29203</v>
      </c>
      <c r="D12" s="4" t="n">
        <f aca="false">-D6*Assumptions!D31/100</f>
        <v>-10591.2172587</v>
      </c>
      <c r="E12" s="4" t="n">
        <f aca="false">-E6*Assumptions!E31/100</f>
        <v>-11714.807263536</v>
      </c>
      <c r="F12" s="4" t="n">
        <f aca="false">-F6*Assumptions!F31/100</f>
        <v>-12874.0850656567</v>
      </c>
      <c r="G12" s="4" t="n">
        <f aca="false">-G6*Assumptions!G31/100</f>
        <v>-13517.7893189396</v>
      </c>
      <c r="H12" s="4" t="n">
        <f aca="false">-H6*Assumptions!H31/100</f>
        <v>-14126.0898382919</v>
      </c>
      <c r="I12" s="4" t="n">
        <f aca="false">-I6*Assumptions!I31/100</f>
        <v>-14691.1334318235</v>
      </c>
      <c r="J12" s="4" t="n">
        <f aca="false">-J6*Assumptions!J31/100</f>
        <v>-15205.3231019374</v>
      </c>
      <c r="K12" s="4" t="n">
        <f aca="false">-K6*Assumptions!K31/100</f>
        <v>-15661.4827949955</v>
      </c>
      <c r="L12" s="4" t="n">
        <f aca="false">-L6*Assumptions!L31/100</f>
        <v>-16131.3272788454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23893.230075</v>
      </c>
      <c r="D13" s="0" t="n">
        <f aca="false">D11+D12</f>
        <v>29471.2132416</v>
      </c>
      <c r="E13" s="0" t="n">
        <f aca="false">E11+E12</f>
        <v>33436.012398009</v>
      </c>
      <c r="F13" s="0" t="n">
        <f aca="false">F11+F12</f>
        <v>37592.3283917177</v>
      </c>
      <c r="G13" s="0" t="n">
        <f aca="false">G11+G12</f>
        <v>42445.8584614703</v>
      </c>
      <c r="H13" s="0" t="n">
        <f aca="false">H11+H12</f>
        <v>45768.5310760657</v>
      </c>
      <c r="I13" s="0" t="n">
        <f aca="false">I11+I12</f>
        <v>49362.2083309271</v>
      </c>
      <c r="J13" s="0" t="n">
        <f aca="false">J11+J12</f>
        <v>51089.8856225096</v>
      </c>
      <c r="K13" s="0" t="n">
        <f aca="false">K11+K12</f>
        <v>52622.5821911848</v>
      </c>
      <c r="L13" s="0" t="n">
        <f aca="false">L11+L12</f>
        <v>54201.2596569204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17</v>
      </c>
      <c r="D14" s="4" t="n">
        <f aca="false">Assumptions!D33</f>
        <v>17.5</v>
      </c>
      <c r="E14" s="4" t="n">
        <f aca="false">Assumptions!E33</f>
        <v>18</v>
      </c>
      <c r="F14" s="4" t="n">
        <f aca="false">Assumptions!F33</f>
        <v>18.5</v>
      </c>
      <c r="G14" s="4" t="n">
        <f aca="false">Assumptions!G33</f>
        <v>19</v>
      </c>
      <c r="H14" s="4" t="n">
        <f aca="false">Assumptions!H33</f>
        <v>19.5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19831.38096225</v>
      </c>
      <c r="D15" s="0" t="n">
        <f aca="false">D13-MAX(0,D13)*D14/100</f>
        <v>24313.75092432</v>
      </c>
      <c r="E15" s="0" t="n">
        <f aca="false">E13-MAX(0,E13)*E14/100</f>
        <v>27417.5301663674</v>
      </c>
      <c r="F15" s="0" t="n">
        <f aca="false">F13-MAX(0,F13)*F14/100</f>
        <v>30637.7476392499</v>
      </c>
      <c r="G15" s="0" t="n">
        <f aca="false">G13-MAX(0,G13)*G14/100</f>
        <v>34381.1453537909</v>
      </c>
      <c r="H15" s="0" t="n">
        <f aca="false">H13-MAX(0,H13)*H14/100</f>
        <v>36843.6675162329</v>
      </c>
      <c r="I15" s="0" t="n">
        <f aca="false">I13-MAX(0,I13)*I14/100</f>
        <v>39489.7666647417</v>
      </c>
      <c r="J15" s="0" t="n">
        <f aca="false">J13-MAX(0,J13)*J14/100</f>
        <v>40871.9084980076</v>
      </c>
      <c r="K15" s="0" t="n">
        <f aca="false">K13-MAX(0,K13)*K14/100</f>
        <v>42098.0657529479</v>
      </c>
      <c r="L15" s="0" t="n">
        <f aca="false">L13-MAX(0,L13)*L14/100</f>
        <v>43361.0077255363</v>
      </c>
    </row>
    <row r="16" customFormat="false" ht="15" hidden="false" customHeight="false" outlineLevel="0" collapsed="false">
      <c r="A16" s="0" t="s">
        <v>126</v>
      </c>
      <c r="C16" s="0" t="n">
        <f aca="false">-C12</f>
        <v>9557.29203</v>
      </c>
      <c r="D16" s="0" t="n">
        <f aca="false">-D12</f>
        <v>10591.2172587</v>
      </c>
      <c r="E16" s="0" t="n">
        <f aca="false">-E12</f>
        <v>11714.807263536</v>
      </c>
      <c r="F16" s="0" t="n">
        <f aca="false">-F12</f>
        <v>12874.0850656567</v>
      </c>
      <c r="G16" s="0" t="n">
        <f aca="false">-G12</f>
        <v>13517.7893189396</v>
      </c>
      <c r="H16" s="0" t="n">
        <f aca="false">-H12</f>
        <v>14126.0898382919</v>
      </c>
      <c r="I16" s="0" t="n">
        <f aca="false">-I12</f>
        <v>14691.1334318235</v>
      </c>
      <c r="J16" s="0" t="n">
        <f aca="false">-J12</f>
        <v>15205.3231019374</v>
      </c>
      <c r="K16" s="0" t="n">
        <f aca="false">-K12</f>
        <v>15661.4827949955</v>
      </c>
      <c r="L16" s="0" t="n">
        <f aca="false">-L12</f>
        <v>16131.3272788454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-15204.782775</v>
      </c>
      <c r="D17" s="4" t="n">
        <f aca="false">-D6*Assumptions!D32/100</f>
        <v>-15656.5820346</v>
      </c>
      <c r="E17" s="4" t="n">
        <f aca="false">-E6*Assumptions!E32/100</f>
        <v>-15619.743018048</v>
      </c>
      <c r="F17" s="4" t="n">
        <f aca="false">-F6*Assumptions!F32/100</f>
        <v>-15963.8654814144</v>
      </c>
      <c r="G17" s="4" t="n">
        <f aca="false">-G6*Assumptions!G32/100</f>
        <v>-16221.3471827275</v>
      </c>
      <c r="H17" s="4" t="n">
        <f aca="false">-H6*Assumptions!H32/100</f>
        <v>-16386.2642124186</v>
      </c>
      <c r="I17" s="4" t="n">
        <f aca="false">-I6*Assumptions!I32/100</f>
        <v>-16454.0694436424</v>
      </c>
      <c r="J17" s="4" t="n">
        <f aca="false">-J6*Assumptions!J32/100</f>
        <v>-17029.9618741699</v>
      </c>
      <c r="K17" s="4" t="n">
        <f aca="false">-K6*Assumptions!K32/100</f>
        <v>-17540.8607303949</v>
      </c>
      <c r="L17" s="4" t="n">
        <f aca="false">-L6*Assumptions!L32/100</f>
        <v>-18067.0865523068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14183.89021725</v>
      </c>
      <c r="D19" s="0" t="n">
        <f aca="false">D15+D16+D17+D18</f>
        <v>19248.38614842</v>
      </c>
      <c r="E19" s="0" t="n">
        <f aca="false">E15+E16+E17+E18</f>
        <v>23512.5944118554</v>
      </c>
      <c r="F19" s="0" t="n">
        <f aca="false">F15+F16+F17+F18</f>
        <v>27547.9672234923</v>
      </c>
      <c r="G19" s="0" t="n">
        <f aca="false">G15+G16+G17+G18</f>
        <v>31677.587490003</v>
      </c>
      <c r="H19" s="0" t="n">
        <f aca="false">H15+H16+H17+H18</f>
        <v>34583.4931421062</v>
      </c>
      <c r="I19" s="0" t="n">
        <f aca="false">I15+I16+I17+I18</f>
        <v>37726.8306529229</v>
      </c>
      <c r="J19" s="0" t="n">
        <f aca="false">J15+J16+J17+J18</f>
        <v>39047.2697257752</v>
      </c>
      <c r="K19" s="0" t="n">
        <f aca="false">K15+K16+K17+K18</f>
        <v>40218.6878175484</v>
      </c>
      <c r="L19" s="0" t="n">
        <f aca="false">L15+L16+L17+L18</f>
        <v>41425.2484520749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12894.4456520455</v>
      </c>
      <c r="D21" s="0" t="n">
        <f aca="false">D19*D20</f>
        <v>15907.7571474545</v>
      </c>
      <c r="E21" s="0" t="n">
        <f aca="false">E19*E20</f>
        <v>17665.3601892227</v>
      </c>
      <c r="F21" s="0" t="n">
        <f aca="false">F19*F20</f>
        <v>18815.6322816012</v>
      </c>
      <c r="G21" s="0" t="n">
        <f aca="false">G19*G20</f>
        <v>19669.2895356148</v>
      </c>
      <c r="H21" s="0" t="n">
        <f aca="false">H19*H20</f>
        <v>19521.4802889125</v>
      </c>
      <c r="I21" s="0" t="n">
        <f aca="false">I19*I20</f>
        <v>19359.8294246624</v>
      </c>
      <c r="J21" s="0" t="n">
        <f aca="false">J19*J20</f>
        <v>18215.8395041142</v>
      </c>
      <c r="K21" s="0" t="n">
        <f aca="false">K19*K20</f>
        <v>17056.6497174887</v>
      </c>
      <c r="L21" s="0" t="n">
        <f aca="false">L19*L20</f>
        <v>15971.2265536486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0.65</v>
      </c>
      <c r="D23" s="4" t="n">
        <f aca="false">Assumptions!D30</f>
        <v>0.65</v>
      </c>
      <c r="E23" s="4" t="n">
        <f aca="false">Assumptions!E30</f>
        <v>0.65</v>
      </c>
      <c r="F23" s="4" t="n">
        <f aca="false">Assumptions!F30</f>
        <v>0.6</v>
      </c>
      <c r="G23" s="4" t="n">
        <f aca="false">Assumptions!G30</f>
        <v>0.6</v>
      </c>
      <c r="H23" s="4" t="n">
        <f aca="false">Assumptions!H30</f>
        <v>0.6</v>
      </c>
      <c r="I23" s="4" t="n">
        <f aca="false">Assumptions!I30</f>
        <v>0.6</v>
      </c>
      <c r="J23" s="4" t="n">
        <f aca="false">Assumptions!J30</f>
        <v>0.6</v>
      </c>
      <c r="K23" s="4" t="n">
        <f aca="false">Assumptions!K30</f>
        <v>0.6</v>
      </c>
      <c r="L23" s="4" t="n">
        <f aca="false">Assumptions!L30</f>
        <v>0.6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-2823.7453725</v>
      </c>
      <c r="D24" s="0" t="n">
        <f aca="false">-D6*D23/100</f>
        <v>-2993.17009485</v>
      </c>
      <c r="E24" s="0" t="n">
        <f aca="false">-E6*E23/100</f>
        <v>-3172.760300541</v>
      </c>
      <c r="F24" s="0" t="n">
        <f aca="false">-F6*F23/100</f>
        <v>-3089.78041575762</v>
      </c>
      <c r="G24" s="0" t="n">
        <f aca="false">-G6*G23/100</f>
        <v>-3244.2694365455</v>
      </c>
      <c r="H24" s="0" t="n">
        <f aca="false">-H6*H23/100</f>
        <v>-3390.26156119005</v>
      </c>
      <c r="I24" s="0" t="n">
        <f aca="false">-I6*I23/100</f>
        <v>-3525.87202363765</v>
      </c>
      <c r="J24" s="0" t="n">
        <f aca="false">-J6*J23/100</f>
        <v>-3649.27754446497</v>
      </c>
      <c r="K24" s="0" t="n">
        <f aca="false">-K6*K23/100</f>
        <v>-3758.75587079892</v>
      </c>
      <c r="L24" s="0" t="n">
        <f aca="false">-L6*L23/100</f>
        <v>-3871.51854692288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175077.510294765</v>
      </c>
    </row>
    <row r="31" customFormat="false" ht="15" hidden="false" customHeight="false" outlineLevel="0" collapsed="false">
      <c r="A31" s="0" t="s">
        <v>135</v>
      </c>
      <c r="B31" s="0" t="n">
        <f aca="false">L19</f>
        <v>41425.2484520749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609542.941509102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621378.726781123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609542.941509102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235005.190717972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410082.701012737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627902.701012737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27.7919483036595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0.0424586760562451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34692.9452605944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36605.169893765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30.9477135636629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355566.715880309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19.6136310562564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-2</v>
      </c>
      <c r="D5" s="4" t="n">
        <f aca="false">Assumptions!D41</f>
        <v>10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457286.7</v>
      </c>
      <c r="C6" s="0" t="n">
        <f aca="false">B6*(1+C5/100)</f>
        <v>448140.966</v>
      </c>
      <c r="D6" s="0" t="n">
        <f aca="false">C6*(1+D5/100)</f>
        <v>492955.0626</v>
      </c>
      <c r="E6" s="0" t="n">
        <f aca="false">D6*(1+E5/100)</f>
        <v>542250.56886</v>
      </c>
      <c r="F6" s="0" t="n">
        <f aca="false">E6*(1+F5/100)</f>
        <v>585630.6143688</v>
      </c>
      <c r="G6" s="0" t="n">
        <f aca="false">F6*(1+G5/100)</f>
        <v>626624.757374616</v>
      </c>
      <c r="H6" s="0" t="n">
        <f aca="false">G6*(1+H5/100)</f>
        <v>664222.242817093</v>
      </c>
      <c r="I6" s="0" t="n">
        <f aca="false">H6*(1+I5/100)</f>
        <v>697433.354957948</v>
      </c>
      <c r="J6" s="0" t="n">
        <f aca="false">I6*(1+J5/100)</f>
        <v>725330.689156266</v>
      </c>
      <c r="K6" s="0" t="n">
        <f aca="false">J6*(1+K5/100)</f>
        <v>750717.263276735</v>
      </c>
      <c r="L6" s="0" t="n">
        <f aca="false">K6*(1+L5/100)</f>
        <v>773238.781175037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10</v>
      </c>
      <c r="D7" s="4" t="n">
        <f aca="false">Assumptions!D42</f>
        <v>11.5</v>
      </c>
      <c r="E7" s="4" t="n">
        <f aca="false">Assumptions!E42</f>
        <v>12.5</v>
      </c>
      <c r="F7" s="4" t="n">
        <f aca="false">Assumptions!F42</f>
        <v>13.25</v>
      </c>
      <c r="G7" s="4" t="n">
        <f aca="false">Assumptions!G42</f>
        <v>14</v>
      </c>
      <c r="H7" s="4" t="n">
        <f aca="false">Assumptions!H42</f>
        <v>14.5</v>
      </c>
      <c r="I7" s="4" t="n">
        <f aca="false">Assumptions!I42</f>
        <v>14.5</v>
      </c>
      <c r="J7" s="4" t="n">
        <f aca="false">Assumptions!J42</f>
        <v>14.5</v>
      </c>
      <c r="K7" s="4" t="n">
        <f aca="false">Assumptions!K42</f>
        <v>14.5</v>
      </c>
      <c r="L7" s="4" t="n">
        <f aca="false">Assumptions!L42</f>
        <v>14.5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44814.0966</v>
      </c>
      <c r="D8" s="0" t="n">
        <f aca="false">D6*D7/100</f>
        <v>56689.832199</v>
      </c>
      <c r="E8" s="0" t="n">
        <f aca="false">E6*E7/100</f>
        <v>67781.3211075</v>
      </c>
      <c r="F8" s="0" t="n">
        <f aca="false">F6*F7/100</f>
        <v>77596.056403866</v>
      </c>
      <c r="G8" s="0" t="n">
        <f aca="false">G6*G7/100</f>
        <v>87727.4660324463</v>
      </c>
      <c r="H8" s="0" t="n">
        <f aca="false">H6*H7/100</f>
        <v>96312.2252084785</v>
      </c>
      <c r="I8" s="0" t="n">
        <f aca="false">I6*I7/100</f>
        <v>101127.836468902</v>
      </c>
      <c r="J8" s="0" t="n">
        <f aca="false">J6*J7/100</f>
        <v>105172.949927659</v>
      </c>
      <c r="K8" s="0" t="n">
        <f aca="false">K6*K7/100</f>
        <v>108854.003175127</v>
      </c>
      <c r="L8" s="0" t="n">
        <f aca="false">L6*L7/100</f>
        <v>112119.62327038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1.15</v>
      </c>
      <c r="D9" s="4" t="n">
        <f aca="false">Assumptions!D43</f>
        <v>1.15</v>
      </c>
      <c r="E9" s="4" t="n">
        <f aca="false">Assumptions!E43</f>
        <v>1.1</v>
      </c>
      <c r="F9" s="4" t="n">
        <f aca="false">Assumptions!F43</f>
        <v>1.1</v>
      </c>
      <c r="G9" s="4" t="n">
        <f aca="false">Assumptions!G43</f>
        <v>1.05</v>
      </c>
      <c r="H9" s="4" t="n">
        <f aca="false">Assumptions!H43</f>
        <v>1.05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-5153.621109</v>
      </c>
      <c r="D10" s="0" t="n">
        <f aca="false">-D6*D9/100</f>
        <v>-5668.9832199</v>
      </c>
      <c r="E10" s="0" t="n">
        <f aca="false">-E6*E9/100</f>
        <v>-5964.75625746</v>
      </c>
      <c r="F10" s="0" t="n">
        <f aca="false">-F6*F9/100</f>
        <v>-6441.9367580568</v>
      </c>
      <c r="G10" s="0" t="n">
        <f aca="false">-G6*G9/100</f>
        <v>-6579.55995243347</v>
      </c>
      <c r="H10" s="0" t="n">
        <f aca="false">-H6*H9/100</f>
        <v>-6974.33354957948</v>
      </c>
      <c r="I10" s="0" t="n">
        <f aca="false">-I6*I9/100</f>
        <v>-6974.33354957948</v>
      </c>
      <c r="J10" s="0" t="n">
        <f aca="false">-J6*J9/100</f>
        <v>-7253.30689156266</v>
      </c>
      <c r="K10" s="0" t="n">
        <f aca="false">-K6*K9/100</f>
        <v>-7507.17263276735</v>
      </c>
      <c r="L10" s="0" t="n">
        <f aca="false">-L6*L9/100</f>
        <v>-7732.38781175037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36747.559212</v>
      </c>
      <c r="D11" s="0" t="n">
        <f aca="false">D8+D10+D24</f>
        <v>47816.6410722</v>
      </c>
      <c r="E11" s="0" t="n">
        <f aca="false">E8+E10+E24</f>
        <v>58291.93615245</v>
      </c>
      <c r="F11" s="0" t="n">
        <f aca="false">F8+F10+F24</f>
        <v>67640.3359595964</v>
      </c>
      <c r="G11" s="0" t="n">
        <f aca="false">G8+G10+G24</f>
        <v>77388.1575357651</v>
      </c>
      <c r="H11" s="0" t="n">
        <f aca="false">H8+H10+H24</f>
        <v>85352.5582019965</v>
      </c>
      <c r="I11" s="0" t="n">
        <f aca="false">I8+I10+I24</f>
        <v>89968.9027895753</v>
      </c>
      <c r="J11" s="0" t="n">
        <f aca="false">J8+J10+J24</f>
        <v>93567.6589011583</v>
      </c>
      <c r="K11" s="0" t="n">
        <f aca="false">K8+K10+K24</f>
        <v>96842.5269626988</v>
      </c>
      <c r="L11" s="0" t="n">
        <f aca="false">L8+L10+L24</f>
        <v>99747.8027715798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-9859.101252</v>
      </c>
      <c r="D12" s="4" t="n">
        <f aca="false">-D6*Assumptions!D45/100</f>
        <v>-11337.9664398</v>
      </c>
      <c r="E12" s="4" t="n">
        <f aca="false">-E6*Assumptions!E45/100</f>
        <v>-13014.01365264</v>
      </c>
      <c r="F12" s="4" t="n">
        <f aca="false">-F6*Assumptions!F45/100</f>
        <v>-14640.76535922</v>
      </c>
      <c r="G12" s="4" t="n">
        <f aca="false">-G6*Assumptions!G45/100</f>
        <v>-15665.6189343654</v>
      </c>
      <c r="H12" s="4" t="n">
        <f aca="false">-H6*Assumptions!H45/100</f>
        <v>-16605.5560704273</v>
      </c>
      <c r="I12" s="4" t="n">
        <f aca="false">-I6*Assumptions!I45/100</f>
        <v>-17435.8338739487</v>
      </c>
      <c r="J12" s="4" t="n">
        <f aca="false">-J6*Assumptions!J45/100</f>
        <v>-18133.2672289066</v>
      </c>
      <c r="K12" s="4" t="n">
        <f aca="false">-K6*Assumptions!K45/100</f>
        <v>-18767.9315819184</v>
      </c>
      <c r="L12" s="4" t="n">
        <f aca="false">-L6*Assumptions!L45/100</f>
        <v>-19330.9695293759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26888.45796</v>
      </c>
      <c r="D13" s="0" t="n">
        <f aca="false">D11+D12</f>
        <v>36478.6746324</v>
      </c>
      <c r="E13" s="0" t="n">
        <f aca="false">E11+E12</f>
        <v>45277.92249981</v>
      </c>
      <c r="F13" s="0" t="n">
        <f aca="false">F11+F12</f>
        <v>52999.5706003764</v>
      </c>
      <c r="G13" s="0" t="n">
        <f aca="false">G11+G12</f>
        <v>61722.5386013997</v>
      </c>
      <c r="H13" s="0" t="n">
        <f aca="false">H11+H12</f>
        <v>68747.0021315692</v>
      </c>
      <c r="I13" s="0" t="n">
        <f aca="false">I11+I12</f>
        <v>72533.0689156266</v>
      </c>
      <c r="J13" s="0" t="n">
        <f aca="false">J11+J12</f>
        <v>75434.3916722517</v>
      </c>
      <c r="K13" s="0" t="n">
        <f aca="false">K11+K12</f>
        <v>78074.5953807805</v>
      </c>
      <c r="L13" s="0" t="n">
        <f aca="false">L11+L12</f>
        <v>80416.8332422039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17</v>
      </c>
      <c r="D14" s="4" t="n">
        <f aca="false">Assumptions!D47</f>
        <v>17.5</v>
      </c>
      <c r="E14" s="4" t="n">
        <f aca="false">Assumptions!E47</f>
        <v>18</v>
      </c>
      <c r="F14" s="4" t="n">
        <f aca="false">Assumptions!F47</f>
        <v>18.5</v>
      </c>
      <c r="G14" s="4" t="n">
        <f aca="false">Assumptions!G47</f>
        <v>19</v>
      </c>
      <c r="H14" s="4" t="n">
        <f aca="false">Assumptions!H47</f>
        <v>19.5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22317.4201068</v>
      </c>
      <c r="D15" s="0" t="n">
        <f aca="false">D13-MAX(0,D13)*D14/100</f>
        <v>30094.90657173</v>
      </c>
      <c r="E15" s="0" t="n">
        <f aca="false">E13-MAX(0,E13)*E14/100</f>
        <v>37127.8964498442</v>
      </c>
      <c r="F15" s="0" t="n">
        <f aca="false">F13-MAX(0,F13)*F14/100</f>
        <v>43194.6500393068</v>
      </c>
      <c r="G15" s="0" t="n">
        <f aca="false">G13-MAX(0,G13)*G14/100</f>
        <v>49995.2562671338</v>
      </c>
      <c r="H15" s="0" t="n">
        <f aca="false">H13-MAX(0,H13)*H14/100</f>
        <v>55341.3367159132</v>
      </c>
      <c r="I15" s="0" t="n">
        <f aca="false">I13-MAX(0,I13)*I14/100</f>
        <v>58026.4551325013</v>
      </c>
      <c r="J15" s="0" t="n">
        <f aca="false">J13-MAX(0,J13)*J14/100</f>
        <v>60347.5133378013</v>
      </c>
      <c r="K15" s="0" t="n">
        <f aca="false">K13-MAX(0,K13)*K14/100</f>
        <v>62459.6763046244</v>
      </c>
      <c r="L15" s="0" t="n">
        <f aca="false">L13-MAX(0,L13)*L14/100</f>
        <v>64333.4665937631</v>
      </c>
    </row>
    <row r="16" customFormat="false" ht="15" hidden="false" customHeight="false" outlineLevel="0" collapsed="false">
      <c r="A16" s="0" t="s">
        <v>126</v>
      </c>
      <c r="C16" s="0" t="n">
        <f aca="false">-C12</f>
        <v>9859.101252</v>
      </c>
      <c r="D16" s="0" t="n">
        <f aca="false">-D12</f>
        <v>11337.9664398</v>
      </c>
      <c r="E16" s="0" t="n">
        <f aca="false">-E12</f>
        <v>13014.01365264</v>
      </c>
      <c r="F16" s="0" t="n">
        <f aca="false">-F12</f>
        <v>14640.76535922</v>
      </c>
      <c r="G16" s="0" t="n">
        <f aca="false">-G12</f>
        <v>15665.6189343654</v>
      </c>
      <c r="H16" s="0" t="n">
        <f aca="false">-H12</f>
        <v>16605.5560704273</v>
      </c>
      <c r="I16" s="0" t="n">
        <f aca="false">-I12</f>
        <v>17435.8338739487</v>
      </c>
      <c r="J16" s="0" t="n">
        <f aca="false">-J12</f>
        <v>18133.2672289066</v>
      </c>
      <c r="K16" s="0" t="n">
        <f aca="false">-K12</f>
        <v>18767.9315819184</v>
      </c>
      <c r="L16" s="0" t="n">
        <f aca="false">-L12</f>
        <v>19330.9695293759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-15684.93381</v>
      </c>
      <c r="D17" s="4" t="n">
        <f aca="false">-D6*Assumptions!D46/100</f>
        <v>-16760.4721284</v>
      </c>
      <c r="E17" s="4" t="n">
        <f aca="false">-E6*Assumptions!E46/100</f>
        <v>-17352.01820352</v>
      </c>
      <c r="F17" s="4" t="n">
        <f aca="false">-F6*Assumptions!F46/100</f>
        <v>-17568.918431064</v>
      </c>
      <c r="G17" s="4" t="n">
        <f aca="false">-G6*Assumptions!G46/100</f>
        <v>-18172.1179638639</v>
      </c>
      <c r="H17" s="4" t="n">
        <f aca="false">-H6*Assumptions!H46/100</f>
        <v>-18598.2227988786</v>
      </c>
      <c r="I17" s="4" t="n">
        <f aca="false">-I6*Assumptions!I46/100</f>
        <v>-18830.7005838646</v>
      </c>
      <c r="J17" s="4" t="n">
        <f aca="false">-J6*Assumptions!J46/100</f>
        <v>-19583.9286072192</v>
      </c>
      <c r="K17" s="4" t="n">
        <f aca="false">-K6*Assumptions!K46/100</f>
        <v>-20269.3661084719</v>
      </c>
      <c r="L17" s="4" t="n">
        <f aca="false">-L6*Assumptions!L46/100</f>
        <v>-20877.447091726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-457.2867</v>
      </c>
      <c r="D18" s="4" t="n">
        <f aca="false">(D6-C6)*Assumptions!$B$51/100</f>
        <v>2240.70483</v>
      </c>
      <c r="E18" s="4" t="n">
        <f aca="false">(E6-D6)*Assumptions!$B$51/100</f>
        <v>2464.775313</v>
      </c>
      <c r="F18" s="4" t="n">
        <f aca="false">(F6-E6)*Assumptions!$B$51/100</f>
        <v>2169.00227544</v>
      </c>
      <c r="G18" s="4" t="n">
        <f aca="false">(G6-F6)*Assumptions!$B$51/100</f>
        <v>2049.7071502908</v>
      </c>
      <c r="H18" s="4" t="n">
        <f aca="false">(H6-G6)*Assumptions!$B$51/100</f>
        <v>1879.87427212385</v>
      </c>
      <c r="I18" s="4" t="n">
        <f aca="false">(I6-H6)*Assumptions!$B$51/100</f>
        <v>1660.55560704274</v>
      </c>
      <c r="J18" s="4" t="n">
        <f aca="false">(J6-I6)*Assumptions!$B$51/100</f>
        <v>1394.8667099159</v>
      </c>
      <c r="K18" s="4" t="n">
        <f aca="false">(K6-J6)*Assumptions!$B$51/100</f>
        <v>1269.32870602346</v>
      </c>
      <c r="L18" s="4" t="n">
        <f aca="false">(L6-K6)*Assumptions!$B$51/100</f>
        <v>1126.0758949151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16034.3008488</v>
      </c>
      <c r="D19" s="0" t="n">
        <f aca="false">D15+D16+D17+D18</f>
        <v>26913.10571313</v>
      </c>
      <c r="E19" s="0" t="n">
        <f aca="false">E15+E16+E17+E18</f>
        <v>35254.6672119642</v>
      </c>
      <c r="F19" s="0" t="n">
        <f aca="false">F15+F16+F17+F18</f>
        <v>42435.4992429028</v>
      </c>
      <c r="G19" s="0" t="n">
        <f aca="false">G15+G16+G17+G18</f>
        <v>49538.4643879261</v>
      </c>
      <c r="H19" s="0" t="n">
        <f aca="false">H15+H16+H17+H18</f>
        <v>55228.5442595858</v>
      </c>
      <c r="I19" s="0" t="n">
        <f aca="false">I15+I16+I17+I18</f>
        <v>58292.1440296281</v>
      </c>
      <c r="J19" s="0" t="n">
        <f aca="false">J15+J16+J17+J18</f>
        <v>60291.7186694047</v>
      </c>
      <c r="K19" s="0" t="n">
        <f aca="false">K15+K16+K17+K18</f>
        <v>62227.5704840944</v>
      </c>
      <c r="L19" s="0" t="n">
        <f aca="false">L15+L16+L17+L18</f>
        <v>63913.0649263281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14576.6371352727</v>
      </c>
      <c r="D21" s="0" t="n">
        <f aca="false">D19*D20</f>
        <v>22242.2361265537</v>
      </c>
      <c r="E21" s="0" t="n">
        <f aca="false">E19*E20</f>
        <v>26487.3532772083</v>
      </c>
      <c r="F21" s="0" t="n">
        <f aca="false">F19*F20</f>
        <v>28984.0169680369</v>
      </c>
      <c r="G21" s="0" t="n">
        <f aca="false">G19*G20</f>
        <v>30759.4888500699</v>
      </c>
      <c r="H21" s="0" t="n">
        <f aca="false">H19*H20</f>
        <v>31175.0734293573</v>
      </c>
      <c r="I21" s="0" t="n">
        <f aca="false">I19*I20</f>
        <v>29913.0869378773</v>
      </c>
      <c r="J21" s="0" t="n">
        <f aca="false">J19*J20</f>
        <v>28126.5317248062</v>
      </c>
      <c r="K21" s="0" t="n">
        <f aca="false">K19*K20</f>
        <v>26390.5644394103</v>
      </c>
      <c r="L21" s="0" t="n">
        <f aca="false">L19*L20</f>
        <v>24641.2532892198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0.65</v>
      </c>
      <c r="D23" s="4" t="n">
        <f aca="false">Assumptions!D44</f>
        <v>0.65</v>
      </c>
      <c r="E23" s="4" t="n">
        <f aca="false">Assumptions!E44</f>
        <v>0.65</v>
      </c>
      <c r="F23" s="4" t="n">
        <f aca="false">Assumptions!F44</f>
        <v>0.6</v>
      </c>
      <c r="G23" s="4" t="n">
        <f aca="false">Assumptions!G44</f>
        <v>0.6</v>
      </c>
      <c r="H23" s="4" t="n">
        <f aca="false">Assumptions!H44</f>
        <v>0.6</v>
      </c>
      <c r="I23" s="4" t="n">
        <f aca="false">Assumptions!I44</f>
        <v>0.6</v>
      </c>
      <c r="J23" s="4" t="n">
        <f aca="false">Assumptions!J44</f>
        <v>0.6</v>
      </c>
      <c r="K23" s="4" t="n">
        <f aca="false">Assumptions!K44</f>
        <v>0.6</v>
      </c>
      <c r="L23" s="4" t="n">
        <f aca="false">Assumptions!L44</f>
        <v>0.6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-2912.916279</v>
      </c>
      <c r="D24" s="0" t="n">
        <f aca="false">-D6*D23/100</f>
        <v>-3204.2079069</v>
      </c>
      <c r="E24" s="0" t="n">
        <f aca="false">-E6*E23/100</f>
        <v>-3524.62869759</v>
      </c>
      <c r="F24" s="0" t="n">
        <f aca="false">-F6*F23/100</f>
        <v>-3513.7836862128</v>
      </c>
      <c r="G24" s="0" t="n">
        <f aca="false">-G6*G23/100</f>
        <v>-3759.7485442477</v>
      </c>
      <c r="H24" s="0" t="n">
        <f aca="false">-H6*H23/100</f>
        <v>-3985.33345690256</v>
      </c>
      <c r="I24" s="0" t="n">
        <f aca="false">-I6*I23/100</f>
        <v>-4184.60012974769</v>
      </c>
      <c r="J24" s="0" t="n">
        <f aca="false">-J6*J23/100</f>
        <v>-4351.9841349376</v>
      </c>
      <c r="K24" s="0" t="n">
        <f aca="false">-K6*K23/100</f>
        <v>-4504.30357966041</v>
      </c>
      <c r="L24" s="0" t="n">
        <f aca="false">-L6*L23/100</f>
        <v>-4639.43268705022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263296.242177812</v>
      </c>
    </row>
    <row r="31" customFormat="false" ht="15" hidden="false" customHeight="false" outlineLevel="0" collapsed="false">
      <c r="A31" s="0" t="s">
        <v>135</v>
      </c>
      <c r="B31" s="0" t="n">
        <f aca="false">L19</f>
        <v>63913.0649263281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940435.098201685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958695.973894922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940435.098201685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362578.441255662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625874.683433475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843694.683433475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37.3432364413095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0.40072154693584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39401.3792240049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43865.7905578524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41.0287706398994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548587.14061765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24.7322790117886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18.1840414155147</v>
      </c>
      <c r="C4" s="0" t="n">
        <f aca="false">B4/Assumptions!$B$2-1</f>
        <v>-0.317927928900426</v>
      </c>
      <c r="D4" s="4" t="n">
        <f aca="false">Assumptions!$B$24</f>
        <v>0.3</v>
      </c>
      <c r="E4" s="4" t="n">
        <f aca="false">DCF_Bear!$B$43</f>
        <v>20.92374871865</v>
      </c>
      <c r="F4" s="4" t="n">
        <f aca="false">DCF_Bear!$B$47</f>
        <v>14.8919383780829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27.7919483036595</v>
      </c>
      <c r="C5" s="0" t="n">
        <f aca="false">B5/Assumptions!$B$2-1</f>
        <v>0.0424586760562451</v>
      </c>
      <c r="D5" s="4" t="n">
        <f aca="false">Assumptions!$B$38</f>
        <v>0.5</v>
      </c>
      <c r="E5" s="4" t="n">
        <f aca="false">DCF_Base!$B$43</f>
        <v>30.9477135636629</v>
      </c>
      <c r="F5" s="4" t="n">
        <f aca="false">DCF_Base!$B$47</f>
        <v>19.6136310562564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37.3432364413095</v>
      </c>
      <c r="C6" s="0" t="n">
        <f aca="false">B6/Assumptions!$B$2-1</f>
        <v>0.40072154693584</v>
      </c>
      <c r="D6" s="4" t="n">
        <f aca="false">Assumptions!$B$52</f>
        <v>0.2</v>
      </c>
      <c r="E6" s="4" t="n">
        <f aca="false">DCF_Bull!$B$43</f>
        <v>41.0287706398994</v>
      </c>
      <c r="F6" s="4" t="n">
        <f aca="false">DCF_Bull!$B$47</f>
        <v>24.7322790117886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26.819833864746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29.9567355254064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0.00595953970304541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-5.09527814500862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19.2208528439108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29.418106234791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27.7919483036595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25.3226086468708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23.4094473275804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19.6136310562564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30.9811863257517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30.9811863257517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30.9811863257517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30.9811863257517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30.9811863257517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29.0861735649304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29.418106234791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29.418106234791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29.418106234791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29.418106234791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26.4033725730964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27.0513745806925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27.7919483036595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27.9939229553778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27.9939229553778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24.3270829874559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24.79556565071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25.3226086468708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25.9199240425198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26.6025702089758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22.674786218049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23.0227835857218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23.4094473275804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23.8416009214223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24.3277737144946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2026-10-16T19:17:50Z</dcterms:created>
  <dc:creator>openpyxl</dc:creator>
  <dc:description/>
  <dc:language>en-NZ</dc:language>
  <cp:lastModifiedBy/>
  <dcterms:modified xsi:type="dcterms:W3CDTF">2026-10-16T19:17:50Z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