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<sst xmlns="http://schemas.openxmlformats.org/spreadsheetml/2006/main" count="372" uniqueCount="175">
  <si>
    <t xml:space="preserve">Ticker</t>
  </si>
  <si>
    <t xml:space="preserve">C38U.SI</t>
  </si>
  <si>
    <t xml:space="preserve">Company</t>
  </si>
  <si>
    <t xml:space="preserve">CapitaLand Integrated Commercial Trust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</si>
  <si>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</si>
  <si>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</si>
  <si>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</si>
  <si>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</si>
  <si>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2026-10-23T09:10:25Z (SGX regular close, Yahoo chart API)</t>
  </si>
  <si>
    <t xml:space="preserve">Balance sheet date</t>
  </si>
  <si>
    <t xml:space="preserve">2025-12-31</t>
  </si>
  <si>
    <t xml:space="preserve">Model</t>
  </si>
  <si>
    <t xml:space="preserve">REIT distributable income capitalisation at cost of equity (engine route)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</si>
  <si>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</si>
  <si>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</si>
  <si>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</si>
  <si>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</si>
  <si>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</si>
  <si>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</si>
  <si>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</si>
  <si>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</si>
  <si>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2026-10-24T00:50:40Z</t>
  </si>
  <si>
    <t xml:space="preserve">Drivers file</t>
  </si>
  <si>
    <t xml:space="preserve">C38U.SI_Drivers.json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</si>
  <si>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</si>
  <si>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</si>
  <si>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</si>
  <si>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Capitalise what unitholders actually receive: distributable income (post-interest, post-tax, attributable to unitholders) less the management fees paid in units (a real dilution cost DI adds back) and less a sustaining-capex charge DI does not deduct, discounted at the SGD cost of equity with net debt held at zero. Cross-check against adjusted NAV per unit (S$2.09, 31 Dec 2025) and the ~5% distribution yield.
key_risks_to_valuation: Interest rates: 26% floating debt and a 4.0-yr average maturity; each +50bp on the full S$10bn book is ~S$50m, ~6% of DI.; Office exposure (Singapore CBD supply, Frankfurt Gallileo/MAC, Sydney) - occupancy 95.7% vs retail 98.7%.; Acquisition-led growth funded by placements: per-unit accretion depends on placement price vs NAV.; Sustaining-capex charge (4% of revenue) is an estimate; disclosed capex (S$285m FY2025) mixes AEIs with maintenance.; 1H 2026 figures and the post-placement unit count come from Analysis.json, not an extracted filing; the Asia Square Tower 2 sale must still complete for the ~2.1% accretion.</t>
  </si>
  <si>
    <t xml:space="preserve">Data sources</t>
  </si>
  <si>
    <t xml:space="preserve">price: Yahoo Finance chart API at inputs.price_as_of; 52-week range 2.20-2.57
financials: CICT FY2021-FY2025 annual financial statements, FY2025 results news release (6 Feb 2026) and FY2025 results presentation in research/C38U.SI/Extracted; Metrics.csv / kpis (DistributableIncome, DPU, NAVPerShare, Gearing, CostOfDebt, Occupancy).
qualitative: C38U.SI_Analysis.json (2026-10-24; carries the 1H 2026 results, Paragon/AST2 reconstitution and Apr 2026 placement), plus the FY2025 news release and presentation.</t>
  </si>
  <si>
    <t xml:space="preserve">Scenario narrative: bear</t>
  </si>
  <si>
    <t xml:space="preserve">Office softness and debt repricing hold top-line growth at 1-1.5% while the DI margin falls ~2.5pts; a higher cost of equity and a 15x exit cap.</t>
  </si>
  <si>
    <t xml:space="preserve">Scenario narrative: base</t>
  </si>
  <si>
    <t xml:space="preserve">Singapore-centric (94% of value) retail/office/integrated portfolio compounding per-unit distributions at ~2.5-3% early, fading to 2%, with flat DI margin and a sustaining-capex and fees-in-units charge. Value is roughly NAV (S$2.09 adjusted NAV, Dec 2025).</t>
  </si>
  <si>
    <t xml:space="preserve">Scenario narrative: bull</t>
  </si>
  <si>
    <t xml:space="preserve">Lower-for-longer SGD rates plus continued positive reversions and accretive redevelopment lift DPU growth toward 3.5% and the DI margin by 1.5pts; the market pays ~20x owner distributable income at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</si>
  <si>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</si>
  <si>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</si>
  <si>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</si>
  <si>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</si>
  <si>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</si>
  <si>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</si>
  <si>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</si>
  <si>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</si>
  <si>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</si>
  <si>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</si>
  <si>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</si>
  <si>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</si>
  <si>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</si>
  <si>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</si>
  <si>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</si>
  <si>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</si>
  <si>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</si>
  <si>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</si>
  <si>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</si>
  <si>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</si>
  <si>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</si>
  <si>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</si>
  <si>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</si>
  <si>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</si>
  <si>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</si>
  <si>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</si>
  <si>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</si>
  <si>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CostOfDebt</t>
  </si>
  <si>
    <t xml:space="preserve">DistributableIncome</t>
  </si>
  <si>
    <t xml:space="preserve">DistributionPerSecurity</t>
  </si>
  <si>
    <t xml:space="preserve">Gearing</t>
  </si>
  <si>
    <t xml:space="preserve">NAVPerShare</t>
  </si>
  <si>
    <t xml:space="preserve">NPIMargin</t>
  </si>
  <si>
    <t xml:space="preserve">NetPropertyIncome</t>
  </si>
  <si>
    <t xml:space="preserve">NonControllingInterests</t>
  </si>
  <si>
    <t xml:space="preserve">Occupancy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</si>
  <si>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</si>
  <si>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</si>
  <si>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</si>
  <si>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</si>
  <si>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</si>
  <si>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</si>
  <si>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</si>
  <si>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</si>
  <si>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</si>
  <si>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</si>
  <si>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</si>
  <si>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</si>
  <si>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</si>
  <si>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</si>
  <si>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</si>
  <si>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</si>
  <si>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</si>
  <si>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</si>
  <si>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</si>
  <si>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</si>
  <si>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</si>
  <si>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</si>
  <si>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</si>
  <si>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</si>
  <si>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</si>
  <si>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</si>
  <si>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</si>
  <si>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</si>
  <si>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</si>
  <si>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</si>
  <si>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</si>
  <si>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</si>
  <si>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</si>
  <si>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</si>
  <si>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</si>
  <si>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</si>
  <si>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</si>
  <si>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</si>
  <si>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</si>
  <si>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</si>
  <si>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</si>
  <si>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</si>
  <si>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</si>
  <si>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</si>
  <si>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</si>
  <si>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</si>
  <si>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</si>
  <si>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</si>
  <si>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C38U.SI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</si>
  <si>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</si>
  <si>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</si>
  <si>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</si>
  <si>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</si>
  <si>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</si>
  <si>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</si>
  <si>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</si>
  <si>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</si>
  <si>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</si>
  <si>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</si>
  <si>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</si>
  <si>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</si>
  <si>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</si>
  <si>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</si>
  <si>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</si>
  <si>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</si>
  <si>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</si>
  <si>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</si>
  <si>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</si>
  <si>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</si>
  <si>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</si>
  <si>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</si>
  <si>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</si>
  <si>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</si>
  <si>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</si>
  <si>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</si>
  <si>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</si>
  <si>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</si>
  <si>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</si>
  <si>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</si>
  <si>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C38U.SI owner-FCF component DCF: base case (millions, SGD)</t>
  </si>
  <si>
    <t xml:space="preserve">C38U.SI owner-FCF component DCF: bull case (millions, SGD)</t>
  </si>
  <si>
    <t xml:space="preserve">C38U.SI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</si>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</sst>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</row>
    <row r="2" customFormat="false" ht="15" hidden="false" customHeight="false" outlineLevel="0" collapsed="false">
      <c r="A2" s="0" t="s">
        <v>72</v>
      </c>
      <c r="B2" s="0" t="n">
        <v>669.002</v>
      </c>
      <c r="D2" s="0" t="n">
        <v>466.164</v>
      </c>
      <c r="E2" s="0" t="n">
        <v>69.7</v>
      </c>
      <c r="I2" s="0" t="n">
        <v>579.805</v>
      </c>
      <c r="J2" s="0" t="n">
        <v>86.7</v>
      </c>
      <c r="K2" s="0" t="n">
        <v>0.1665</v>
      </c>
      <c r="L2" s="0" t="n">
        <v>422.37</v>
      </c>
      <c r="M2" s="0" t="n">
        <v>95.687</v>
      </c>
      <c r="N2" s="0" t="n">
        <v>326.683</v>
      </c>
      <c r="O2" s="0" t="n">
        <v>6693.163</v>
      </c>
      <c r="P2" s="0" t="n">
        <v>10355.745</v>
      </c>
      <c r="Q2" s="0" t="n">
        <v>3662.582</v>
      </c>
      <c r="R2" s="0" t="n">
        <v>3312.156</v>
      </c>
      <c r="S2" s="0" t="n">
        <v>604.31</v>
      </c>
      <c r="T2" s="0" t="n">
        <v>3541.168714</v>
      </c>
      <c r="U2" s="0" t="n">
        <v>0</v>
      </c>
      <c r="V2" s="0" t="n">
        <v>0.1125</v>
      </c>
      <c r="AA2" s="0" t="s">
        <v>17</v>
      </c>
      <c r="AB2" s="0" t="s">
        <v>14</v>
      </c>
      <c r="AD2" s="0" t="n">
        <v>392.001</v>
      </c>
      <c r="AE2" s="0" t="n">
        <v>0.1125</v>
      </c>
      <c r="AG2" s="0" t="n">
        <v>1.89</v>
      </c>
      <c r="AH2" s="0" t="n">
        <v>69.7</v>
      </c>
      <c r="AI2" s="0" t="n">
        <v>466.164</v>
      </c>
    </row>
    <row r="3" customFormat="false" ht="15" hidden="false" customHeight="false" outlineLevel="0" collapsed="false">
      <c r="A3" s="0" t="s">
        <v>73</v>
      </c>
      <c r="B3" s="0" t="n">
        <v>689.732</v>
      </c>
      <c r="D3" s="0" t="n">
        <v>479.679</v>
      </c>
      <c r="E3" s="0" t="n">
        <v>69.5</v>
      </c>
      <c r="I3" s="0" t="n">
        <v>469.4</v>
      </c>
      <c r="J3" s="0" t="n">
        <v>68.1</v>
      </c>
      <c r="K3" s="0" t="n">
        <v>0.1325</v>
      </c>
      <c r="L3" s="0" t="n">
        <v>432.858</v>
      </c>
      <c r="M3" s="0" t="n">
        <v>76.531</v>
      </c>
      <c r="N3" s="0" t="n">
        <v>356.327</v>
      </c>
      <c r="O3" s="0" t="n">
        <v>6692.222</v>
      </c>
      <c r="P3" s="0" t="n">
        <v>10326.732</v>
      </c>
      <c r="Q3" s="0" t="n">
        <v>3634.51</v>
      </c>
      <c r="R3" s="0" t="n">
        <v>3288.312</v>
      </c>
      <c r="S3" s="0" t="n">
        <v>483.462</v>
      </c>
      <c r="T3" s="0" t="n">
        <v>3543.069556</v>
      </c>
      <c r="U3" s="0" t="n">
        <v>0</v>
      </c>
      <c r="V3" s="0" t="n">
        <v>0.1113</v>
      </c>
      <c r="AA3" s="0" t="s">
        <v>17</v>
      </c>
      <c r="AB3" s="0" t="s">
        <v>14</v>
      </c>
      <c r="AC3" s="0" t="n">
        <v>3.2</v>
      </c>
      <c r="AD3" s="0" t="n">
        <v>394.323</v>
      </c>
      <c r="AE3" s="0" t="n">
        <v>0.1113</v>
      </c>
      <c r="AF3" s="0" t="n">
        <v>34.8</v>
      </c>
      <c r="AG3" s="0" t="n">
        <v>1.89</v>
      </c>
      <c r="AH3" s="0" t="n">
        <v>69.5</v>
      </c>
      <c r="AI3" s="0" t="n">
        <v>479.679</v>
      </c>
      <c r="AK3" s="0" t="n">
        <v>98.5</v>
      </c>
    </row>
    <row r="4" customFormat="false" ht="15" hidden="false" customHeight="false" outlineLevel="0" collapsed="false">
      <c r="A4" s="0" t="s">
        <v>74</v>
      </c>
      <c r="B4" s="0" t="n">
        <v>682.469</v>
      </c>
      <c r="D4" s="0" t="n">
        <v>478.234</v>
      </c>
      <c r="E4" s="0" t="n">
        <v>70.1</v>
      </c>
      <c r="I4" s="0" t="n">
        <v>657.648</v>
      </c>
      <c r="J4" s="0" t="n">
        <v>96.4</v>
      </c>
      <c r="K4" s="0" t="n">
        <v>0.1855</v>
      </c>
      <c r="L4" s="0" t="n">
        <v>427.73</v>
      </c>
      <c r="M4" s="0" t="n">
        <v>99.332</v>
      </c>
      <c r="N4" s="0" t="n">
        <v>328.398</v>
      </c>
      <c r="O4" s="0" t="n">
        <v>6928.045</v>
      </c>
      <c r="P4" s="0" t="n">
        <v>10504.442</v>
      </c>
      <c r="Q4" s="0" t="n">
        <v>3576.397</v>
      </c>
      <c r="R4" s="0" t="n">
        <v>3183.101</v>
      </c>
      <c r="S4" s="0" t="n">
        <v>522.745</v>
      </c>
      <c r="T4" s="0" t="n">
        <v>3546.423043</v>
      </c>
      <c r="U4" s="0" t="n">
        <v>0</v>
      </c>
      <c r="V4" s="0" t="n">
        <v>0.1116</v>
      </c>
      <c r="AA4" s="0" t="s">
        <v>17</v>
      </c>
      <c r="AB4" s="0" t="s">
        <v>14</v>
      </c>
      <c r="AC4" s="0" t="n">
        <v>3.2</v>
      </c>
      <c r="AD4" s="0" t="n">
        <v>395.824</v>
      </c>
      <c r="AE4" s="0" t="n">
        <v>0.1116</v>
      </c>
      <c r="AF4" s="0" t="n">
        <v>34.2</v>
      </c>
      <c r="AG4" s="0" t="n">
        <v>1.95</v>
      </c>
      <c r="AH4" s="0" t="n">
        <v>70.1</v>
      </c>
      <c r="AI4" s="0" t="n">
        <v>478.234</v>
      </c>
      <c r="AK4" s="0" t="n">
        <v>99.2</v>
      </c>
    </row>
    <row r="5" customFormat="false" ht="15" hidden="false" customHeight="false" outlineLevel="0" collapsed="false">
      <c r="A5" s="0" t="s">
        <v>75</v>
      </c>
      <c r="B5" s="0" t="n">
        <v>697.521</v>
      </c>
      <c r="D5" s="0" t="n">
        <v>493.548</v>
      </c>
      <c r="E5" s="0" t="n">
        <v>70.8</v>
      </c>
      <c r="I5" s="0" t="n">
        <v>676.745</v>
      </c>
      <c r="J5" s="0" t="n">
        <v>97</v>
      </c>
      <c r="K5" s="0" t="n">
        <v>0.1896</v>
      </c>
      <c r="L5" s="0" t="n">
        <v>455.912</v>
      </c>
      <c r="M5" s="0" t="n">
        <v>201.505</v>
      </c>
      <c r="N5" s="0" t="n">
        <v>254.407</v>
      </c>
      <c r="O5" s="0" t="n">
        <v>7429.3</v>
      </c>
      <c r="P5" s="0" t="n">
        <v>11501.67</v>
      </c>
      <c r="Q5" s="0" t="n">
        <v>4072.37</v>
      </c>
      <c r="R5" s="0" t="n">
        <v>3627.817</v>
      </c>
      <c r="S5" s="0" t="n">
        <v>348.503</v>
      </c>
      <c r="T5" s="0" t="n">
        <v>3686.902315</v>
      </c>
      <c r="U5" s="0" t="n">
        <v>0</v>
      </c>
      <c r="V5" s="0" t="n">
        <v>0.115</v>
      </c>
      <c r="AA5" s="0" t="s">
        <v>17</v>
      </c>
      <c r="AB5" s="0" t="s">
        <v>14</v>
      </c>
      <c r="AC5" s="0" t="n">
        <v>3.1</v>
      </c>
      <c r="AD5" s="0" t="n">
        <v>410.675</v>
      </c>
      <c r="AE5" s="0" t="n">
        <v>0.115</v>
      </c>
      <c r="AF5" s="0" t="n">
        <v>34.2</v>
      </c>
      <c r="AG5" s="0" t="n">
        <v>2.02</v>
      </c>
      <c r="AH5" s="0" t="n">
        <v>70.8</v>
      </c>
      <c r="AI5" s="0" t="n">
        <v>493.548</v>
      </c>
      <c r="AK5" s="0" t="n">
        <v>99.2</v>
      </c>
    </row>
    <row r="6" customFormat="false" ht="15" hidden="false" customHeight="false" outlineLevel="0" collapsed="false">
      <c r="A6" s="0" t="s">
        <v>76</v>
      </c>
      <c r="B6" s="0" t="n">
        <v>786.736</v>
      </c>
      <c r="D6" s="0" t="n">
        <v>558.215</v>
      </c>
      <c r="E6" s="0" t="n">
        <v>71</v>
      </c>
      <c r="I6" s="0" t="n">
        <v>696.93</v>
      </c>
      <c r="J6" s="0" t="n">
        <v>88.6</v>
      </c>
      <c r="K6" s="0" t="n">
        <v>0.189</v>
      </c>
      <c r="L6" s="0" t="n">
        <v>511.514</v>
      </c>
      <c r="M6" s="0" t="n">
        <v>126.715</v>
      </c>
      <c r="N6" s="0" t="n">
        <v>384.799</v>
      </c>
      <c r="O6" s="0" t="n">
        <v>7767.239</v>
      </c>
      <c r="P6" s="0" t="n">
        <v>11731.659</v>
      </c>
      <c r="Q6" s="0" t="n">
        <v>3964.42</v>
      </c>
      <c r="R6" s="0" t="n">
        <v>3560.877</v>
      </c>
      <c r="S6" s="0" t="n">
        <v>202.198</v>
      </c>
      <c r="T6" s="0" t="n">
        <v>3688.8041</v>
      </c>
      <c r="U6" s="0" t="n">
        <v>0</v>
      </c>
      <c r="V6" s="0" t="n">
        <v>0.1197</v>
      </c>
      <c r="AA6" s="0" t="s">
        <v>17</v>
      </c>
      <c r="AB6" s="0" t="s">
        <v>14</v>
      </c>
      <c r="AC6" s="0" t="n">
        <v>3.2</v>
      </c>
      <c r="AD6" s="0" t="n">
        <v>441.596</v>
      </c>
      <c r="AE6" s="0" t="n">
        <v>0.1197</v>
      </c>
      <c r="AF6" s="0" t="n">
        <v>32.9</v>
      </c>
      <c r="AG6" s="0" t="n">
        <v>2.11</v>
      </c>
      <c r="AH6" s="0" t="n">
        <v>71</v>
      </c>
      <c r="AI6" s="0" t="n">
        <v>558.215</v>
      </c>
      <c r="AK6" s="0" t="n">
        <v>99.3</v>
      </c>
    </row>
    <row r="7" customFormat="false" ht="15" hidden="false" customHeight="false" outlineLevel="0" collapsed="false">
      <c r="A7" s="0" t="s">
        <v>77</v>
      </c>
      <c r="B7" s="0" t="n">
        <v>745.209</v>
      </c>
      <c r="D7" s="0" t="n">
        <v>512.74</v>
      </c>
      <c r="E7" s="0" t="n">
        <v>68.8</v>
      </c>
      <c r="I7" s="0" t="n">
        <v>349.819</v>
      </c>
      <c r="J7" s="0" t="n">
        <v>46.9</v>
      </c>
      <c r="K7" s="0" t="n">
        <v>0.0835</v>
      </c>
      <c r="L7" s="0" t="n">
        <v>379.681</v>
      </c>
      <c r="M7" s="0" t="n">
        <v>54.181</v>
      </c>
      <c r="N7" s="0" t="n">
        <v>325.5</v>
      </c>
      <c r="O7" s="0" t="n">
        <v>13037.638</v>
      </c>
      <c r="P7" s="0" t="n">
        <v>22416.378</v>
      </c>
      <c r="Q7" s="0" t="n">
        <v>9348.44</v>
      </c>
      <c r="R7" s="0" t="n">
        <v>8726.245</v>
      </c>
      <c r="S7" s="0" t="n">
        <v>183.617</v>
      </c>
      <c r="T7" s="0" t="n">
        <v>6470.704116</v>
      </c>
      <c r="U7" s="0" t="n">
        <v>0</v>
      </c>
      <c r="V7" s="0" t="n">
        <v>0.0869</v>
      </c>
      <c r="AA7" s="0" t="s">
        <v>17</v>
      </c>
      <c r="AB7" s="0" t="s">
        <v>14</v>
      </c>
      <c r="AC7" s="0" t="n">
        <v>2.8</v>
      </c>
      <c r="AD7" s="0" t="n">
        <v>369.384</v>
      </c>
      <c r="AE7" s="0" t="n">
        <v>0.0869</v>
      </c>
      <c r="AF7" s="0" t="n">
        <v>40.6</v>
      </c>
      <c r="AG7" s="0" t="n">
        <v>2.01</v>
      </c>
      <c r="AH7" s="0" t="n">
        <v>68.8</v>
      </c>
      <c r="AI7" s="0" t="n">
        <v>512.74</v>
      </c>
      <c r="AJ7" s="0" t="n">
        <v>30.3</v>
      </c>
      <c r="AK7" s="0" t="n">
        <v>96.4</v>
      </c>
    </row>
    <row r="8" customFormat="false" ht="15" hidden="false" customHeight="false" outlineLevel="0" collapsed="false">
      <c r="A8" s="0" t="s">
        <v>78</v>
      </c>
      <c r="B8" s="0" t="n">
        <v>1305.051</v>
      </c>
      <c r="D8" s="0" t="n">
        <v>951.082</v>
      </c>
      <c r="E8" s="0" t="n">
        <v>72.9</v>
      </c>
      <c r="I8" s="0" t="n">
        <v>1083.086</v>
      </c>
      <c r="J8" s="0" t="n">
        <v>83</v>
      </c>
      <c r="K8" s="0" t="n">
        <v>0.1668</v>
      </c>
      <c r="L8" s="0" t="n">
        <v>827.532</v>
      </c>
      <c r="M8" s="0" t="n">
        <v>93.561</v>
      </c>
      <c r="N8" s="0" t="n">
        <v>733.971</v>
      </c>
      <c r="O8" s="0" t="n">
        <v>13667.754</v>
      </c>
      <c r="P8" s="0" t="n">
        <v>22741.85</v>
      </c>
      <c r="Q8" s="0" t="n">
        <v>9046.15</v>
      </c>
      <c r="R8" s="0" t="n">
        <v>8177.277</v>
      </c>
      <c r="S8" s="0" t="n">
        <v>365.133</v>
      </c>
      <c r="T8" s="0" t="n">
        <v>6608.61834</v>
      </c>
      <c r="U8" s="0" t="n">
        <v>0</v>
      </c>
      <c r="V8" s="0" t="n">
        <v>0.104</v>
      </c>
      <c r="AA8" s="0" t="s">
        <v>17</v>
      </c>
      <c r="AB8" s="0" t="s">
        <v>14</v>
      </c>
      <c r="AC8" s="0" t="n">
        <v>2.3</v>
      </c>
      <c r="AD8" s="0" t="n">
        <v>674.713</v>
      </c>
      <c r="AE8" s="0" t="n">
        <v>0.104</v>
      </c>
      <c r="AF8" s="0" t="n">
        <v>37.2</v>
      </c>
      <c r="AG8" s="0" t="n">
        <v>2.06</v>
      </c>
      <c r="AH8" s="0" t="n">
        <v>72.9</v>
      </c>
      <c r="AI8" s="0" t="n">
        <v>951.082</v>
      </c>
      <c r="AJ8" s="0" t="n">
        <v>27.946</v>
      </c>
      <c r="AK8" s="0" t="n">
        <v>93.9</v>
      </c>
    </row>
    <row r="9" customFormat="false" ht="15" hidden="false" customHeight="false" outlineLevel="0" collapsed="false">
      <c r="A9" s="0" t="s">
        <v>79</v>
      </c>
      <c r="B9" s="0" t="n">
        <v>1441.747</v>
      </c>
      <c r="D9" s="0" t="n">
        <v>1043.283</v>
      </c>
      <c r="E9" s="0" t="n">
        <v>72.4</v>
      </c>
      <c r="I9" s="0" t="n">
        <v>723.369</v>
      </c>
      <c r="J9" s="0" t="n">
        <v>50.2</v>
      </c>
      <c r="K9" s="0" t="n">
        <v>0.1089</v>
      </c>
      <c r="L9" s="0" t="n">
        <v>1023.539</v>
      </c>
      <c r="M9" s="0" t="n">
        <v>126.904</v>
      </c>
      <c r="N9" s="0" t="n">
        <v>896.635</v>
      </c>
      <c r="O9" s="0" t="n">
        <v>14073.447</v>
      </c>
      <c r="P9" s="0" t="n">
        <v>24666.623</v>
      </c>
      <c r="Q9" s="0" t="n">
        <v>10387.23</v>
      </c>
      <c r="R9" s="0" t="n">
        <v>9585.261</v>
      </c>
      <c r="S9" s="0" t="n">
        <v>248.396</v>
      </c>
      <c r="T9" s="0" t="n">
        <v>6635.122255</v>
      </c>
      <c r="U9" s="0" t="n">
        <v>0</v>
      </c>
      <c r="V9" s="0" t="n">
        <v>0.1058</v>
      </c>
      <c r="AA9" s="0" t="s">
        <v>17</v>
      </c>
      <c r="AB9" s="0" t="s">
        <v>14</v>
      </c>
      <c r="AC9" s="0" t="n">
        <v>2.7</v>
      </c>
      <c r="AD9" s="0" t="n">
        <v>702.374</v>
      </c>
      <c r="AE9" s="0" t="n">
        <v>0.1058</v>
      </c>
      <c r="AF9" s="0" t="n">
        <v>40.4</v>
      </c>
      <c r="AG9" s="0" t="n">
        <v>2.12</v>
      </c>
      <c r="AH9" s="0" t="n">
        <v>72.4</v>
      </c>
      <c r="AI9" s="0" t="n">
        <v>1043.283</v>
      </c>
      <c r="AJ9" s="0" t="n">
        <v>205.946</v>
      </c>
      <c r="AK9" s="0" t="n">
        <v>95.8</v>
      </c>
    </row>
    <row r="10" customFormat="false" ht="15" hidden="false" customHeight="false" outlineLevel="0" collapsed="false">
      <c r="A10" s="0" t="s">
        <v>80</v>
      </c>
      <c r="B10" s="0" t="n">
        <v>1559.934</v>
      </c>
      <c r="D10" s="0" t="n">
        <v>1115.907</v>
      </c>
      <c r="E10" s="0" t="n">
        <v>71.5</v>
      </c>
      <c r="I10" s="0" t="n">
        <v>862.57</v>
      </c>
      <c r="J10" s="0" t="n">
        <v>55.3</v>
      </c>
      <c r="K10" s="0" t="n">
        <v>0.1294</v>
      </c>
      <c r="L10" s="0" t="n">
        <v>1079.809</v>
      </c>
      <c r="M10" s="0" t="n">
        <v>118.132</v>
      </c>
      <c r="N10" s="0" t="n">
        <v>961.677</v>
      </c>
      <c r="O10" s="0" t="n">
        <v>14199.813</v>
      </c>
      <c r="P10" s="0" t="n">
        <v>24739.126</v>
      </c>
      <c r="Q10" s="0" t="n">
        <v>10337.406</v>
      </c>
      <c r="R10" s="0" t="n">
        <v>9477.73</v>
      </c>
      <c r="S10" s="0" t="n">
        <v>140.7</v>
      </c>
      <c r="T10" s="0" t="n">
        <v>6657.723344</v>
      </c>
      <c r="U10" s="0" t="n">
        <v>0</v>
      </c>
      <c r="V10" s="0" t="n">
        <v>0.1075</v>
      </c>
      <c r="AA10" s="0" t="s">
        <v>17</v>
      </c>
      <c r="AB10" s="0" t="s">
        <v>14</v>
      </c>
      <c r="AC10" s="0" t="n">
        <v>3.4</v>
      </c>
      <c r="AD10" s="0" t="n">
        <v>715.726</v>
      </c>
      <c r="AE10" s="0" t="n">
        <v>0.1075</v>
      </c>
      <c r="AF10" s="0" t="n">
        <v>39.9</v>
      </c>
      <c r="AG10" s="0" t="n">
        <v>2.13</v>
      </c>
      <c r="AH10" s="0" t="n">
        <v>71.5</v>
      </c>
      <c r="AI10" s="0" t="n">
        <v>1115.907</v>
      </c>
      <c r="AJ10" s="0" t="n">
        <v>201.907</v>
      </c>
      <c r="AK10" s="0" t="n">
        <v>97.3</v>
      </c>
    </row>
    <row r="11" customFormat="false" ht="15" hidden="false" customHeight="false" outlineLevel="0" collapsed="false">
      <c r="A11" s="0" t="s">
        <v>81</v>
      </c>
      <c r="B11" s="0" t="n">
        <v>1586.329</v>
      </c>
      <c r="D11" s="0" t="n">
        <v>1153.478</v>
      </c>
      <c r="E11" s="0" t="n">
        <v>72.7</v>
      </c>
      <c r="I11" s="0" t="n">
        <v>933.683</v>
      </c>
      <c r="J11" s="0" t="n">
        <v>58.9</v>
      </c>
      <c r="K11" s="0" t="n">
        <v>0.1357</v>
      </c>
      <c r="L11" s="0" t="n">
        <v>1044.198</v>
      </c>
      <c r="M11" s="0" t="n">
        <v>178.294</v>
      </c>
      <c r="N11" s="0" t="n">
        <v>865.904</v>
      </c>
      <c r="O11" s="0" t="n">
        <v>15524.456</v>
      </c>
      <c r="P11" s="0" t="n">
        <v>25513.002</v>
      </c>
      <c r="Q11" s="0" t="n">
        <v>9790.831</v>
      </c>
      <c r="R11" s="0" t="n">
        <v>8945.147</v>
      </c>
      <c r="S11" s="0" t="n">
        <v>156.358</v>
      </c>
      <c r="T11" s="0" t="n">
        <v>7298.469763</v>
      </c>
      <c r="U11" s="0" t="n">
        <v>0</v>
      </c>
      <c r="V11" s="0" t="n">
        <v>0.1088</v>
      </c>
      <c r="AA11" s="0" t="s">
        <v>17</v>
      </c>
      <c r="AB11" s="0" t="s">
        <v>14</v>
      </c>
      <c r="AC11" s="0" t="n">
        <v>3.6</v>
      </c>
      <c r="AD11" s="0" t="n">
        <v>752.211</v>
      </c>
      <c r="AE11" s="0" t="n">
        <v>0.1088</v>
      </c>
      <c r="AF11" s="0" t="n">
        <v>38.5</v>
      </c>
      <c r="AG11" s="0" t="n">
        <v>2.12</v>
      </c>
      <c r="AH11" s="0" t="n">
        <v>72.7</v>
      </c>
      <c r="AI11" s="0" t="n">
        <v>1153.478</v>
      </c>
      <c r="AJ11" s="0" t="n">
        <v>197.715</v>
      </c>
      <c r="AK11" s="0" t="n">
        <v>96.7</v>
      </c>
    </row>
    <row r="12" customFormat="false" ht="15" hidden="false" customHeight="false" outlineLevel="0" collapsed="false">
      <c r="A12" s="0" t="s">
        <v>82</v>
      </c>
      <c r="B12" s="0" t="n">
        <v>1619.174</v>
      </c>
      <c r="D12" s="0" t="n">
        <v>1189.749</v>
      </c>
      <c r="E12" s="0" t="n">
        <v>73.5</v>
      </c>
      <c r="I12" s="0" t="n">
        <v>937.287</v>
      </c>
      <c r="J12" s="0" t="n">
        <v>57.9</v>
      </c>
      <c r="K12" s="0" t="n">
        <v>0.126</v>
      </c>
      <c r="L12" s="0" t="n">
        <v>1096.977</v>
      </c>
      <c r="M12" s="0" t="n">
        <v>285.04</v>
      </c>
      <c r="N12" s="0" t="n">
        <v>811.937</v>
      </c>
      <c r="O12" s="0" t="n">
        <v>16292.063</v>
      </c>
      <c r="P12" s="0" t="n">
        <v>27431.344</v>
      </c>
      <c r="Q12" s="0" t="n">
        <v>10941.027</v>
      </c>
      <c r="R12" s="0" t="n">
        <v>9989.523</v>
      </c>
      <c r="S12" s="0" t="n">
        <v>149.489</v>
      </c>
      <c r="T12" s="0" t="n">
        <v>7611.317783</v>
      </c>
      <c r="U12" s="0" t="n">
        <v>0</v>
      </c>
      <c r="V12" s="0" t="n">
        <v>0.1158</v>
      </c>
      <c r="AA12" s="0" t="s">
        <v>17</v>
      </c>
      <c r="AB12" s="0" t="s">
        <v>14</v>
      </c>
      <c r="AC12" s="0" t="n">
        <v>3.2</v>
      </c>
      <c r="AD12" s="0" t="n">
        <v>860.874</v>
      </c>
      <c r="AE12" s="0" t="n">
        <v>0.1158</v>
      </c>
      <c r="AF12" s="0" t="n">
        <v>38.6</v>
      </c>
      <c r="AG12" s="0" t="n">
        <v>2.14</v>
      </c>
      <c r="AH12" s="0" t="n">
        <v>73.5</v>
      </c>
      <c r="AI12" s="0" t="n">
        <v>1189.749</v>
      </c>
      <c r="AJ12" s="0" t="n">
        <v>198.254</v>
      </c>
      <c r="AK12" s="0" t="n">
        <v>96.9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2.3</v>
      </c>
    </row>
    <row r="3" customFormat="false" ht="15" hidden="false" customHeight="false" outlineLevel="0" collapsed="false">
      <c r="A3" s="0" t="s">
        <v>86</v>
      </c>
      <c r="B3" s="3" t="n">
        <v>7900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1619.174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7</v>
      </c>
      <c r="D13" s="3" t="n">
        <v>3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54.5</v>
      </c>
      <c r="D14" s="3" t="n">
        <v>53.5</v>
      </c>
      <c r="E14" s="3" t="n">
        <v>53</v>
      </c>
      <c r="F14" s="3" t="n">
        <v>52.5</v>
      </c>
      <c r="G14" s="3" t="n">
        <v>52</v>
      </c>
      <c r="H14" s="3" t="n">
        <v>52</v>
      </c>
      <c r="I14" s="3" t="n">
        <v>52</v>
      </c>
      <c r="J14" s="3" t="n">
        <v>52</v>
      </c>
      <c r="K14" s="3" t="n">
        <v>52</v>
      </c>
      <c r="L14" s="3" t="n">
        <v>52</v>
      </c>
    </row>
    <row r="15" customFormat="false" ht="15" hidden="false" customHeight="false" outlineLevel="0" collapsed="false">
      <c r="A15" s="0" t="s">
        <v>108</v>
      </c>
      <c r="C15" s="3" t="n">
        <v>3.3</v>
      </c>
      <c r="D15" s="3" t="n">
        <v>3.3</v>
      </c>
      <c r="E15" s="3" t="n">
        <v>3.3</v>
      </c>
      <c r="F15" s="3" t="n">
        <v>3.3</v>
      </c>
      <c r="G15" s="3" t="n">
        <v>3.3</v>
      </c>
      <c r="H15" s="3" t="n">
        <v>3.3</v>
      </c>
      <c r="I15" s="3" t="n">
        <v>3.3</v>
      </c>
      <c r="J15" s="3" t="n">
        <v>3.3</v>
      </c>
      <c r="K15" s="3" t="n">
        <v>3.3</v>
      </c>
      <c r="L15" s="3" t="n">
        <v>3.3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5</v>
      </c>
      <c r="D18" s="3" t="n">
        <v>5</v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113</v>
      </c>
      <c r="B20" s="3" t="n">
        <v>7.75</v>
      </c>
    </row>
    <row r="21" customFormat="false" ht="15" hidden="false" customHeight="false" outlineLevel="0" collapsed="false">
      <c r="A21" s="0" t="s">
        <v>114</v>
      </c>
      <c r="B21" s="3" t="n">
        <v>1.25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8</v>
      </c>
      <c r="D27" s="3" t="n">
        <v>4.5</v>
      </c>
      <c r="E27" s="3" t="n">
        <v>3</v>
      </c>
      <c r="F27" s="3" t="n">
        <v>2.75</v>
      </c>
      <c r="G27" s="3" t="n">
        <v>2.5</v>
      </c>
      <c r="H27" s="3" t="n">
        <v>2.5</v>
      </c>
      <c r="I27" s="3" t="n">
        <v>2.25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55</v>
      </c>
      <c r="D28" s="3" t="n">
        <v>54.3</v>
      </c>
      <c r="E28" s="3" t="n">
        <v>54.3</v>
      </c>
      <c r="F28" s="3" t="n">
        <v>54.3</v>
      </c>
      <c r="G28" s="3" t="n">
        <v>54.3</v>
      </c>
      <c r="H28" s="3" t="n">
        <v>54.3</v>
      </c>
      <c r="I28" s="3" t="n">
        <v>54.3</v>
      </c>
      <c r="J28" s="3" t="n">
        <v>54.3</v>
      </c>
      <c r="K28" s="3" t="n">
        <v>54.3</v>
      </c>
      <c r="L28" s="3" t="n">
        <v>54.3</v>
      </c>
    </row>
    <row r="29" customFormat="false" ht="15" hidden="false" customHeight="false" outlineLevel="0" collapsed="false">
      <c r="A29" s="0" t="s">
        <v>108</v>
      </c>
      <c r="C29" s="3" t="n">
        <v>3.2</v>
      </c>
      <c r="D29" s="3" t="n">
        <v>3.2</v>
      </c>
      <c r="E29" s="3" t="n">
        <v>3.2</v>
      </c>
      <c r="F29" s="3" t="n">
        <v>3.2</v>
      </c>
      <c r="G29" s="3" t="n">
        <v>3.2</v>
      </c>
      <c r="H29" s="3" t="n">
        <v>3.2</v>
      </c>
      <c r="I29" s="3" t="n">
        <v>3.2</v>
      </c>
      <c r="J29" s="3" t="n">
        <v>3.2</v>
      </c>
      <c r="K29" s="3" t="n">
        <v>3.2</v>
      </c>
      <c r="L29" s="3" t="n">
        <v>3.2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4</v>
      </c>
      <c r="D32" s="3" t="n">
        <v>4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112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8.5</v>
      </c>
      <c r="D41" s="3" t="n">
        <v>5.25</v>
      </c>
      <c r="E41" s="3" t="n">
        <v>3.75</v>
      </c>
      <c r="F41" s="3" t="n">
        <v>3.5</v>
      </c>
      <c r="G41" s="3" t="n">
        <v>3.25</v>
      </c>
      <c r="H41" s="3" t="n">
        <v>3</v>
      </c>
      <c r="I41" s="3" t="n">
        <v>2.75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55.3</v>
      </c>
      <c r="D42" s="3" t="n">
        <v>55</v>
      </c>
      <c r="E42" s="3" t="n">
        <v>55.5</v>
      </c>
      <c r="F42" s="3" t="n">
        <v>56</v>
      </c>
      <c r="G42" s="3" t="n">
        <v>56</v>
      </c>
      <c r="H42" s="3" t="n">
        <v>56</v>
      </c>
      <c r="I42" s="3" t="n">
        <v>56</v>
      </c>
      <c r="J42" s="3" t="n">
        <v>56</v>
      </c>
      <c r="K42" s="3" t="n">
        <v>56</v>
      </c>
      <c r="L42" s="3" t="n">
        <v>56</v>
      </c>
    </row>
    <row r="43" customFormat="false" ht="15" hidden="false" customHeight="false" outlineLevel="0" collapsed="false">
      <c r="A43" s="0" t="s">
        <v>108</v>
      </c>
      <c r="C43" s="3" t="n">
        <v>3.2</v>
      </c>
      <c r="D43" s="3" t="n">
        <v>3.2</v>
      </c>
      <c r="E43" s="3" t="n">
        <v>3.2</v>
      </c>
      <c r="F43" s="3" t="n">
        <v>3.2</v>
      </c>
      <c r="G43" s="3" t="n">
        <v>3.2</v>
      </c>
      <c r="H43" s="3" t="n">
        <v>3.2</v>
      </c>
      <c r="I43" s="3" t="n">
        <v>3.2</v>
      </c>
      <c r="J43" s="3" t="n">
        <v>3.2</v>
      </c>
      <c r="K43" s="3" t="n">
        <v>3.2</v>
      </c>
      <c r="L43" s="3" t="n">
        <v>3.2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3.5</v>
      </c>
      <c r="D46" s="3" t="n">
        <v>3.5</v>
      </c>
      <c r="E46" s="3" t="n">
        <v>3.5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112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113</v>
      </c>
      <c r="B48" s="3" t="n">
        <v>6.5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7</v>
      </c>
      <c r="D5" s="4" t="n">
        <f aca="false">Assumptions!D13</f>
        <v>3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1619.174</v>
      </c>
      <c r="C6" s="0" t="n">
        <f aca="false">B6*(1+C5/100)</f>
        <v>1732.51618</v>
      </c>
      <c r="D6" s="0" t="n">
        <f aca="false">C6*(1+D5/100)</f>
        <v>1784.4916654</v>
      </c>
      <c r="E6" s="0" t="n">
        <f aca="false">D6*(1+E5/100)</f>
        <v>1802.336582054</v>
      </c>
      <c r="F6" s="0" t="n">
        <f aca="false">E6*(1+F5/100)</f>
        <v>1829.37163078481</v>
      </c>
      <c r="G6" s="0" t="n">
        <f aca="false">F6*(1+G5/100)</f>
        <v>1856.81220524658</v>
      </c>
      <c r="H6" s="0" t="n">
        <f aca="false">G6*(1+H5/100)</f>
        <v>1884.66438832528</v>
      </c>
      <c r="I6" s="0" t="n">
        <f aca="false">H6*(1+I5/100)</f>
        <v>1912.93435415016</v>
      </c>
      <c r="J6" s="0" t="n">
        <f aca="false">I6*(1+J5/100)</f>
        <v>1941.62836946241</v>
      </c>
      <c r="K6" s="0" t="n">
        <f aca="false">J6*(1+K5/100)</f>
        <v>1970.75279500435</v>
      </c>
      <c r="L6" s="0" t="n">
        <f aca="false">K6*(1+L5/100)</f>
        <v>2000.31408692941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54.5</v>
      </c>
      <c r="D7" s="4" t="n">
        <f aca="false">Assumptions!D14</f>
        <v>53.5</v>
      </c>
      <c r="E7" s="4" t="n">
        <f aca="false">Assumptions!E14</f>
        <v>53</v>
      </c>
      <c r="F7" s="4" t="n">
        <f aca="false">Assumptions!F14</f>
        <v>52.5</v>
      </c>
      <c r="G7" s="4" t="n">
        <f aca="false">Assumptions!G14</f>
        <v>52</v>
      </c>
      <c r="H7" s="4" t="n">
        <f aca="false">Assumptions!H14</f>
        <v>52</v>
      </c>
      <c r="I7" s="4" t="n">
        <f aca="false">Assumptions!I14</f>
        <v>52</v>
      </c>
      <c r="J7" s="4" t="n">
        <f aca="false">Assumptions!J14</f>
        <v>52</v>
      </c>
      <c r="K7" s="4" t="n">
        <f aca="false">Assumptions!K14</f>
        <v>52</v>
      </c>
      <c r="L7" s="4" t="n">
        <f aca="false">Assumptions!L14</f>
        <v>52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944.2213181</v>
      </c>
      <c r="D8" s="0" t="n">
        <f aca="false">D6*D7/100</f>
        <v>954.703040989</v>
      </c>
      <c r="E8" s="0" t="n">
        <f aca="false">E6*E7/100</f>
        <v>955.23838848862</v>
      </c>
      <c r="F8" s="0" t="n">
        <f aca="false">F6*F7/100</f>
        <v>960.420106162025</v>
      </c>
      <c r="G8" s="0" t="n">
        <f aca="false">G6*G7/100</f>
        <v>965.542346728223</v>
      </c>
      <c r="H8" s="0" t="n">
        <f aca="false">H6*H7/100</f>
        <v>980.025481929146</v>
      </c>
      <c r="I8" s="0" t="n">
        <f aca="false">I6*I7/100</f>
        <v>994.725864158083</v>
      </c>
      <c r="J8" s="0" t="n">
        <f aca="false">J6*J7/100</f>
        <v>1009.64675212045</v>
      </c>
      <c r="K8" s="0" t="n">
        <f aca="false">K6*K7/100</f>
        <v>1024.79145340226</v>
      </c>
      <c r="L8" s="0" t="n">
        <f aca="false">L6*L7/100</f>
        <v>1040.16332520329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3.3</v>
      </c>
      <c r="D9" s="4" t="n">
        <f aca="false">Assumptions!D15</f>
        <v>3.3</v>
      </c>
      <c r="E9" s="4" t="n">
        <f aca="false">Assumptions!E15</f>
        <v>3.3</v>
      </c>
      <c r="F9" s="4" t="n">
        <f aca="false">Assumptions!F15</f>
        <v>3.3</v>
      </c>
      <c r="G9" s="4" t="n">
        <f aca="false">Assumptions!G15</f>
        <v>3.3</v>
      </c>
      <c r="H9" s="4" t="n">
        <f aca="false">Assumptions!H15</f>
        <v>3.3</v>
      </c>
      <c r="I9" s="4" t="n">
        <f aca="false">Assumptions!I15</f>
        <v>3.3</v>
      </c>
      <c r="J9" s="4" t="n">
        <f aca="false">Assumptions!J15</f>
        <v>3.3</v>
      </c>
      <c r="K9" s="4" t="n">
        <f aca="false">Assumptions!K15</f>
        <v>3.3</v>
      </c>
      <c r="L9" s="4" t="n">
        <f aca="false">Assumptions!L15</f>
        <v>3.3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-57.17303394</v>
      </c>
      <c r="D10" s="0" t="n">
        <f aca="false">-D6*D9/100</f>
        <v>-58.8882249582</v>
      </c>
      <c r="E10" s="0" t="n">
        <f aca="false">-E6*E9/100</f>
        <v>-59.477107207782</v>
      </c>
      <c r="F10" s="0" t="n">
        <f aca="false">-F6*F9/100</f>
        <v>-60.3692638158987</v>
      </c>
      <c r="G10" s="0" t="n">
        <f aca="false">-G6*G9/100</f>
        <v>-61.2748027731372</v>
      </c>
      <c r="H10" s="0" t="n">
        <f aca="false">-H6*H9/100</f>
        <v>-62.1939248147343</v>
      </c>
      <c r="I10" s="0" t="n">
        <f aca="false">-I6*I9/100</f>
        <v>-63.1268336869553</v>
      </c>
      <c r="J10" s="0" t="n">
        <f aca="false">-J6*J9/100</f>
        <v>-64.0737361922596</v>
      </c>
      <c r="K10" s="0" t="n">
        <f aca="false">-K6*K9/100</f>
        <v>-65.0348422351435</v>
      </c>
      <c r="L10" s="0" t="n">
        <f aca="false">-L6*L9/100</f>
        <v>-66.0103648686706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887.04828416</v>
      </c>
      <c r="D11" s="0" t="n">
        <f aca="false">D8+D10+D24</f>
        <v>895.8148160308</v>
      </c>
      <c r="E11" s="0" t="n">
        <f aca="false">E8+E10+E24</f>
        <v>895.761281280838</v>
      </c>
      <c r="F11" s="0" t="n">
        <f aca="false">F8+F10+F24</f>
        <v>900.050842346126</v>
      </c>
      <c r="G11" s="0" t="n">
        <f aca="false">G8+G10+G24</f>
        <v>904.267543955085</v>
      </c>
      <c r="H11" s="0" t="n">
        <f aca="false">H8+H10+H24</f>
        <v>917.831557114412</v>
      </c>
      <c r="I11" s="0" t="n">
        <f aca="false">I8+I10+I24</f>
        <v>931.599030471128</v>
      </c>
      <c r="J11" s="0" t="n">
        <f aca="false">J8+J10+J24</f>
        <v>945.573015928195</v>
      </c>
      <c r="K11" s="0" t="n">
        <f aca="false">K8+K10+K24</f>
        <v>959.756611167117</v>
      </c>
      <c r="L11" s="0" t="n">
        <f aca="false">L8+L10+L24</f>
        <v>974.152960334624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887.04828416</v>
      </c>
      <c r="D13" s="0" t="n">
        <f aca="false">D11+D12</f>
        <v>895.8148160308</v>
      </c>
      <c r="E13" s="0" t="n">
        <f aca="false">E11+E12</f>
        <v>895.761281280838</v>
      </c>
      <c r="F13" s="0" t="n">
        <f aca="false">F11+F12</f>
        <v>900.050842346126</v>
      </c>
      <c r="G13" s="0" t="n">
        <f aca="false">G11+G12</f>
        <v>904.267543955085</v>
      </c>
      <c r="H13" s="0" t="n">
        <f aca="false">H11+H12</f>
        <v>917.831557114412</v>
      </c>
      <c r="I13" s="0" t="n">
        <f aca="false">I11+I12</f>
        <v>931.599030471128</v>
      </c>
      <c r="J13" s="0" t="n">
        <f aca="false">J11+J12</f>
        <v>945.573015928195</v>
      </c>
      <c r="K13" s="0" t="n">
        <f aca="false">K11+K12</f>
        <v>959.756611167117</v>
      </c>
      <c r="L13" s="0" t="n">
        <f aca="false">L11+L12</f>
        <v>974.152960334624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887.04828416</v>
      </c>
      <c r="D15" s="0" t="n">
        <f aca="false">D13-MAX(0,D13)*D14/100</f>
        <v>895.8148160308</v>
      </c>
      <c r="E15" s="0" t="n">
        <f aca="false">E13-MAX(0,E13)*E14/100</f>
        <v>895.761281280838</v>
      </c>
      <c r="F15" s="0" t="n">
        <f aca="false">F13-MAX(0,F13)*F14/100</f>
        <v>900.050842346126</v>
      </c>
      <c r="G15" s="0" t="n">
        <f aca="false">G13-MAX(0,G13)*G14/100</f>
        <v>904.267543955085</v>
      </c>
      <c r="H15" s="0" t="n">
        <f aca="false">H13-MAX(0,H13)*H14/100</f>
        <v>917.831557114412</v>
      </c>
      <c r="I15" s="0" t="n">
        <f aca="false">I13-MAX(0,I13)*I14/100</f>
        <v>931.599030471128</v>
      </c>
      <c r="J15" s="0" t="n">
        <f aca="false">J13-MAX(0,J13)*J14/100</f>
        <v>945.573015928195</v>
      </c>
      <c r="K15" s="0" t="n">
        <f aca="false">K13-MAX(0,K13)*K14/100</f>
        <v>959.756611167117</v>
      </c>
      <c r="L15" s="0" t="n">
        <f aca="false">L13-MAX(0,L13)*L14/100</f>
        <v>974.152960334624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-86.625809</v>
      </c>
      <c r="D17" s="4" t="n">
        <f aca="false">-D6*Assumptions!D18/100</f>
        <v>-89.22458327</v>
      </c>
      <c r="E17" s="4" t="n">
        <f aca="false">-E6*Assumptions!E18/100</f>
        <v>-90.1168291027</v>
      </c>
      <c r="F17" s="4" t="n">
        <f aca="false">-F6*Assumptions!F18/100</f>
        <v>-91.4685815392405</v>
      </c>
      <c r="G17" s="4" t="n">
        <f aca="false">-G6*Assumptions!G18/100</f>
        <v>-92.8406102623291</v>
      </c>
      <c r="H17" s="4" t="n">
        <f aca="false">-H6*Assumptions!H18/100</f>
        <v>-94.233219416264</v>
      </c>
      <c r="I17" s="4" t="n">
        <f aca="false">-I6*Assumptions!I18/100</f>
        <v>-95.646717707508</v>
      </c>
      <c r="J17" s="4" t="n">
        <f aca="false">-J6*Assumptions!J18/100</f>
        <v>-97.0814184731206</v>
      </c>
      <c r="K17" s="4" t="n">
        <f aca="false">-K6*Assumptions!K18/100</f>
        <v>-98.5376397502174</v>
      </c>
      <c r="L17" s="4" t="n">
        <f aca="false">-L6*Assumptions!L18/100</f>
        <v>-100.015704346471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800.42247516</v>
      </c>
      <c r="D19" s="0" t="n">
        <f aca="false">D15+D16+D17+D18</f>
        <v>806.5902327608</v>
      </c>
      <c r="E19" s="0" t="n">
        <f aca="false">E15+E16+E17+E18</f>
        <v>805.644452178138</v>
      </c>
      <c r="F19" s="0" t="n">
        <f aca="false">F15+F16+F17+F18</f>
        <v>808.582260806886</v>
      </c>
      <c r="G19" s="0" t="n">
        <f aca="false">G15+G16+G17+G18</f>
        <v>811.426933692756</v>
      </c>
      <c r="H19" s="0" t="n">
        <f aca="false">H15+H16+H17+H18</f>
        <v>823.598337698148</v>
      </c>
      <c r="I19" s="0" t="n">
        <f aca="false">I15+I16+I17+I18</f>
        <v>835.95231276362</v>
      </c>
      <c r="J19" s="0" t="n">
        <f aca="false">J15+J16+J17+J18</f>
        <v>848.491597455074</v>
      </c>
      <c r="K19" s="0" t="n">
        <f aca="false">K15+K16+K17+K18</f>
        <v>861.2189714169</v>
      </c>
      <c r="L19" s="0" t="n">
        <f aca="false">L15+L16+L17+L18</f>
        <v>874.137255988154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0.928074245939675</v>
      </c>
      <c r="D20" s="0" t="n">
        <f aca="false">1/(1+$B$27/100)^D4</f>
        <v>0.861321805976497</v>
      </c>
      <c r="E20" s="0" t="n">
        <f aca="false">1/(1+$B$27/100)^E4</f>
        <v>0.799370585593037</v>
      </c>
      <c r="F20" s="0" t="n">
        <f aca="false">1/(1+$B$27/100)^F4</f>
        <v>0.741875253450614</v>
      </c>
      <c r="G20" s="0" t="n">
        <f aca="false">1/(1+$B$27/100)^G4</f>
        <v>0.688515316427484</v>
      </c>
      <c r="H20" s="0" t="n">
        <f aca="false">1/(1+$B$27/100)^H4</f>
        <v>0.638993333111354</v>
      </c>
      <c r="I20" s="0" t="n">
        <f aca="false">1/(1+$B$27/100)^I4</f>
        <v>0.5930332557878</v>
      </c>
      <c r="J20" s="0" t="n">
        <f aca="false">1/(1+$B$27/100)^J4</f>
        <v>0.550378891682413</v>
      </c>
      <c r="K20" s="0" t="n">
        <f aca="false">1/(1+$B$27/100)^K4</f>
        <v>0.51079247487927</v>
      </c>
      <c r="L20" s="0" t="n">
        <f aca="false">1/(1+$B$27/100)^L4</f>
        <v>0.474053340955239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742.851485067286</v>
      </c>
      <c r="D21" s="0" t="n">
        <f aca="false">D19*D20</f>
        <v>694.733755964535</v>
      </c>
      <c r="E21" s="0" t="n">
        <f aca="false">E19*E20</f>
        <v>644.008477517419</v>
      </c>
      <c r="F21" s="0" t="n">
        <f aca="false">F19*F20</f>
        <v>599.867169671779</v>
      </c>
      <c r="G21" s="0" t="n">
        <f aca="false">G19*G20</f>
        <v>558.679872009251</v>
      </c>
      <c r="H21" s="0" t="n">
        <f aca="false">H19*H20</f>
        <v>526.27384695071</v>
      </c>
      <c r="I21" s="0" t="n">
        <f aca="false">I19*I20</f>
        <v>495.747521721551</v>
      </c>
      <c r="J21" s="0" t="n">
        <f aca="false">J19*J20</f>
        <v>466.991865009164</v>
      </c>
      <c r="K21" s="0" t="n">
        <f aca="false">K19*K20</f>
        <v>439.904169823017</v>
      </c>
      <c r="L21" s="0" t="n">
        <f aca="false">L19*L20</f>
        <v>414.387686654629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7.75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1.25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5583.44585038934</v>
      </c>
    </row>
    <row r="31" customFormat="false" ht="15" hidden="false" customHeight="false" outlineLevel="0" collapsed="false">
      <c r="A31" s="0" t="s">
        <v>137</v>
      </c>
      <c r="B31" s="0" t="n">
        <f aca="false">L19</f>
        <v>874.137255988154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13616.3687952001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13112.0588398223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13112.0588398223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6215.81529981943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11799.2611502088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11799.2611502088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1.49357736078592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-0.35061853878873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415.256274725566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487.439837364823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1.60784269143027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6436.82888500368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0.721651696914037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8</v>
      </c>
      <c r="D5" s="4" t="n">
        <f aca="false">Assumptions!D27</f>
        <v>4.5</v>
      </c>
      <c r="E5" s="4" t="n">
        <f aca="false">Assumptions!E27</f>
        <v>3</v>
      </c>
      <c r="F5" s="4" t="n">
        <f aca="false">Assumptions!F27</f>
        <v>2.75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2.25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1619.174</v>
      </c>
      <c r="C6" s="0" t="n">
        <f aca="false">B6*(1+C5/100)</f>
        <v>1748.70792</v>
      </c>
      <c r="D6" s="0" t="n">
        <f aca="false">C6*(1+D5/100)</f>
        <v>1827.3997764</v>
      </c>
      <c r="E6" s="0" t="n">
        <f aca="false">D6*(1+E5/100)</f>
        <v>1882.221769692</v>
      </c>
      <c r="F6" s="0" t="n">
        <f aca="false">E6*(1+F5/100)</f>
        <v>1933.98286835853</v>
      </c>
      <c r="G6" s="0" t="n">
        <f aca="false">F6*(1+G5/100)</f>
        <v>1982.33244006749</v>
      </c>
      <c r="H6" s="0" t="n">
        <f aca="false">G6*(1+H5/100)</f>
        <v>2031.89075106918</v>
      </c>
      <c r="I6" s="0" t="n">
        <f aca="false">H6*(1+I5/100)</f>
        <v>2077.60829296824</v>
      </c>
      <c r="J6" s="0" t="n">
        <f aca="false">I6*(1+J5/100)</f>
        <v>2119.1604588276</v>
      </c>
      <c r="K6" s="0" t="n">
        <f aca="false">J6*(1+K5/100)</f>
        <v>2161.54366800415</v>
      </c>
      <c r="L6" s="0" t="n">
        <f aca="false">K6*(1+L5/100)</f>
        <v>2204.77454136424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55</v>
      </c>
      <c r="D7" s="4" t="n">
        <f aca="false">Assumptions!D28</f>
        <v>54.3</v>
      </c>
      <c r="E7" s="4" t="n">
        <f aca="false">Assumptions!E28</f>
        <v>54.3</v>
      </c>
      <c r="F7" s="4" t="n">
        <f aca="false">Assumptions!F28</f>
        <v>54.3</v>
      </c>
      <c r="G7" s="4" t="n">
        <f aca="false">Assumptions!G28</f>
        <v>54.3</v>
      </c>
      <c r="H7" s="4" t="n">
        <f aca="false">Assumptions!H28</f>
        <v>54.3</v>
      </c>
      <c r="I7" s="4" t="n">
        <f aca="false">Assumptions!I28</f>
        <v>54.3</v>
      </c>
      <c r="J7" s="4" t="n">
        <f aca="false">Assumptions!J28</f>
        <v>54.3</v>
      </c>
      <c r="K7" s="4" t="n">
        <f aca="false">Assumptions!K28</f>
        <v>54.3</v>
      </c>
      <c r="L7" s="4" t="n">
        <f aca="false">Assumptions!L28</f>
        <v>54.3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961.789356</v>
      </c>
      <c r="D8" s="0" t="n">
        <f aca="false">D6*D7/100</f>
        <v>992.2780785852</v>
      </c>
      <c r="E8" s="0" t="n">
        <f aca="false">E6*E7/100</f>
        <v>1022.04642094276</v>
      </c>
      <c r="F8" s="0" t="n">
        <f aca="false">F6*F7/100</f>
        <v>1050.15269751868</v>
      </c>
      <c r="G8" s="0" t="n">
        <f aca="false">G6*G7/100</f>
        <v>1076.40651495665</v>
      </c>
      <c r="H8" s="0" t="n">
        <f aca="false">H6*H7/100</f>
        <v>1103.31667783057</v>
      </c>
      <c r="I8" s="0" t="n">
        <f aca="false">I6*I7/100</f>
        <v>1128.14130308175</v>
      </c>
      <c r="J8" s="0" t="n">
        <f aca="false">J6*J7/100</f>
        <v>1150.70412914339</v>
      </c>
      <c r="K8" s="0" t="n">
        <f aca="false">K6*K7/100</f>
        <v>1173.71821172626</v>
      </c>
      <c r="L8" s="0" t="n">
        <f aca="false">L6*L7/100</f>
        <v>1197.19257596078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3.2</v>
      </c>
      <c r="D9" s="4" t="n">
        <f aca="false">Assumptions!D29</f>
        <v>3.2</v>
      </c>
      <c r="E9" s="4" t="n">
        <f aca="false">Assumptions!E29</f>
        <v>3.2</v>
      </c>
      <c r="F9" s="4" t="n">
        <f aca="false">Assumptions!F29</f>
        <v>3.2</v>
      </c>
      <c r="G9" s="4" t="n">
        <f aca="false">Assumptions!G29</f>
        <v>3.2</v>
      </c>
      <c r="H9" s="4" t="n">
        <f aca="false">Assumptions!H29</f>
        <v>3.2</v>
      </c>
      <c r="I9" s="4" t="n">
        <f aca="false">Assumptions!I29</f>
        <v>3.2</v>
      </c>
      <c r="J9" s="4" t="n">
        <f aca="false">Assumptions!J29</f>
        <v>3.2</v>
      </c>
      <c r="K9" s="4" t="n">
        <f aca="false">Assumptions!K29</f>
        <v>3.2</v>
      </c>
      <c r="L9" s="4" t="n">
        <f aca="false">Assumptions!L29</f>
        <v>3.2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-55.95865344</v>
      </c>
      <c r="D10" s="0" t="n">
        <f aca="false">-D6*D9/100</f>
        <v>-58.4767928448</v>
      </c>
      <c r="E10" s="0" t="n">
        <f aca="false">-E6*E9/100</f>
        <v>-60.231096630144</v>
      </c>
      <c r="F10" s="0" t="n">
        <f aca="false">-F6*F9/100</f>
        <v>-61.887451787473</v>
      </c>
      <c r="G10" s="0" t="n">
        <f aca="false">-G6*G9/100</f>
        <v>-63.4346380821598</v>
      </c>
      <c r="H10" s="0" t="n">
        <f aca="false">-H6*H9/100</f>
        <v>-65.0205040342138</v>
      </c>
      <c r="I10" s="0" t="n">
        <f aca="false">-I6*I9/100</f>
        <v>-66.4834653749836</v>
      </c>
      <c r="J10" s="0" t="n">
        <f aca="false">-J6*J9/100</f>
        <v>-67.8131346824833</v>
      </c>
      <c r="K10" s="0" t="n">
        <f aca="false">-K6*K9/100</f>
        <v>-69.1693973761329</v>
      </c>
      <c r="L10" s="0" t="n">
        <f aca="false">-L6*L9/100</f>
        <v>-70.5527853236556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905.83070256</v>
      </c>
      <c r="D11" s="0" t="n">
        <f aca="false">D8+D10+D24</f>
        <v>933.8012857404</v>
      </c>
      <c r="E11" s="0" t="n">
        <f aca="false">E8+E10+E24</f>
        <v>961.815324312612</v>
      </c>
      <c r="F11" s="0" t="n">
        <f aca="false">F8+F10+F24</f>
        <v>988.265245731209</v>
      </c>
      <c r="G11" s="0" t="n">
        <f aca="false">G8+G10+G24</f>
        <v>1012.97187687449</v>
      </c>
      <c r="H11" s="0" t="n">
        <f aca="false">H8+H10+H24</f>
        <v>1038.29617379635</v>
      </c>
      <c r="I11" s="0" t="n">
        <f aca="false">I8+I10+I24</f>
        <v>1061.65783770677</v>
      </c>
      <c r="J11" s="0" t="n">
        <f aca="false">J8+J10+J24</f>
        <v>1082.8909944609</v>
      </c>
      <c r="K11" s="0" t="n">
        <f aca="false">K8+K10+K24</f>
        <v>1104.54881435012</v>
      </c>
      <c r="L11" s="0" t="n">
        <f aca="false">L8+L10+L24</f>
        <v>1126.63979063712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905.83070256</v>
      </c>
      <c r="D13" s="0" t="n">
        <f aca="false">D11+D12</f>
        <v>933.8012857404</v>
      </c>
      <c r="E13" s="0" t="n">
        <f aca="false">E11+E12</f>
        <v>961.815324312612</v>
      </c>
      <c r="F13" s="0" t="n">
        <f aca="false">F11+F12</f>
        <v>988.265245731209</v>
      </c>
      <c r="G13" s="0" t="n">
        <f aca="false">G11+G12</f>
        <v>1012.97187687449</v>
      </c>
      <c r="H13" s="0" t="n">
        <f aca="false">H11+H12</f>
        <v>1038.29617379635</v>
      </c>
      <c r="I13" s="0" t="n">
        <f aca="false">I11+I12</f>
        <v>1061.65783770677</v>
      </c>
      <c r="J13" s="0" t="n">
        <f aca="false">J11+J12</f>
        <v>1082.8909944609</v>
      </c>
      <c r="K13" s="0" t="n">
        <f aca="false">K11+K12</f>
        <v>1104.54881435012</v>
      </c>
      <c r="L13" s="0" t="n">
        <f aca="false">L11+L12</f>
        <v>1126.63979063712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905.83070256</v>
      </c>
      <c r="D15" s="0" t="n">
        <f aca="false">D13-MAX(0,D13)*D14/100</f>
        <v>933.8012857404</v>
      </c>
      <c r="E15" s="0" t="n">
        <f aca="false">E13-MAX(0,E13)*E14/100</f>
        <v>961.815324312612</v>
      </c>
      <c r="F15" s="0" t="n">
        <f aca="false">F13-MAX(0,F13)*F14/100</f>
        <v>988.265245731209</v>
      </c>
      <c r="G15" s="0" t="n">
        <f aca="false">G13-MAX(0,G13)*G14/100</f>
        <v>1012.97187687449</v>
      </c>
      <c r="H15" s="0" t="n">
        <f aca="false">H13-MAX(0,H13)*H14/100</f>
        <v>1038.29617379635</v>
      </c>
      <c r="I15" s="0" t="n">
        <f aca="false">I13-MAX(0,I13)*I14/100</f>
        <v>1061.65783770677</v>
      </c>
      <c r="J15" s="0" t="n">
        <f aca="false">J13-MAX(0,J13)*J14/100</f>
        <v>1082.8909944609</v>
      </c>
      <c r="K15" s="0" t="n">
        <f aca="false">K13-MAX(0,K13)*K14/100</f>
        <v>1104.54881435012</v>
      </c>
      <c r="L15" s="0" t="n">
        <f aca="false">L13-MAX(0,L13)*L14/100</f>
        <v>1126.63979063712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-69.9483168</v>
      </c>
      <c r="D17" s="4" t="n">
        <f aca="false">-D6*Assumptions!D32/100</f>
        <v>-73.095991056</v>
      </c>
      <c r="E17" s="4" t="n">
        <f aca="false">-E6*Assumptions!E32/100</f>
        <v>-75.28887078768</v>
      </c>
      <c r="F17" s="4" t="n">
        <f aca="false">-F6*Assumptions!F32/100</f>
        <v>-77.3593147343412</v>
      </c>
      <c r="G17" s="4" t="n">
        <f aca="false">-G6*Assumptions!G32/100</f>
        <v>-79.2932976026997</v>
      </c>
      <c r="H17" s="4" t="n">
        <f aca="false">-H6*Assumptions!H32/100</f>
        <v>-81.2756300427672</v>
      </c>
      <c r="I17" s="4" t="n">
        <f aca="false">-I6*Assumptions!I32/100</f>
        <v>-83.1043317187295</v>
      </c>
      <c r="J17" s="4" t="n">
        <f aca="false">-J6*Assumptions!J32/100</f>
        <v>-84.7664183531041</v>
      </c>
      <c r="K17" s="4" t="n">
        <f aca="false">-K6*Assumptions!K32/100</f>
        <v>-86.4617467201662</v>
      </c>
      <c r="L17" s="4" t="n">
        <f aca="false">-L6*Assumptions!L32/100</f>
        <v>-88.1909816545695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835.88238576</v>
      </c>
      <c r="D19" s="0" t="n">
        <f aca="false">D15+D16+D17+D18</f>
        <v>860.7052946844</v>
      </c>
      <c r="E19" s="0" t="n">
        <f aca="false">E15+E16+E17+E18</f>
        <v>886.526453524932</v>
      </c>
      <c r="F19" s="0" t="n">
        <f aca="false">F15+F16+F17+F18</f>
        <v>910.905930996868</v>
      </c>
      <c r="G19" s="0" t="n">
        <f aca="false">G15+G16+G17+G18</f>
        <v>933.678579271789</v>
      </c>
      <c r="H19" s="0" t="n">
        <f aca="false">H15+H16+H17+H18</f>
        <v>957.020543753584</v>
      </c>
      <c r="I19" s="0" t="n">
        <f aca="false">I15+I16+I17+I18</f>
        <v>978.55350598804</v>
      </c>
      <c r="J19" s="0" t="n">
        <f aca="false">J15+J16+J17+J18</f>
        <v>998.1245761078</v>
      </c>
      <c r="K19" s="0" t="n">
        <f aca="false">K15+K16+K17+K18</f>
        <v>1018.08706762996</v>
      </c>
      <c r="L19" s="0" t="n">
        <f aca="false">L15+L16+L17+L18</f>
        <v>1038.44880898256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781.198491364486</v>
      </c>
      <c r="D21" s="0" t="n">
        <f aca="false">D19*D20</f>
        <v>751.773338007162</v>
      </c>
      <c r="E21" s="0" t="n">
        <f aca="false">E19*E20</f>
        <v>723.669661819978</v>
      </c>
      <c r="F21" s="0" t="n">
        <f aca="false">F19*F20</f>
        <v>694.925773383204</v>
      </c>
      <c r="G21" s="0" t="n">
        <f aca="false">G19*G20</f>
        <v>665.699923100732</v>
      </c>
      <c r="H21" s="0" t="n">
        <f aca="false">H19*H20</f>
        <v>637.703197362851</v>
      </c>
      <c r="I21" s="0" t="n">
        <f aca="false">I19*I20</f>
        <v>609.393943274313</v>
      </c>
      <c r="J21" s="0" t="n">
        <f aca="false">J19*J20</f>
        <v>580.917590784859</v>
      </c>
      <c r="K21" s="0" t="n">
        <f aca="false">K19*K20</f>
        <v>553.771908972483</v>
      </c>
      <c r="L21" s="0" t="n">
        <f aca="false">L19*L20</f>
        <v>527.894716964423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6526.94854503449</v>
      </c>
    </row>
    <row r="31" customFormat="false" ht="15" hidden="false" customHeight="false" outlineLevel="0" collapsed="false">
      <c r="A31" s="0" t="s">
        <v>137</v>
      </c>
      <c r="B31" s="0" t="n">
        <f aca="false">L19</f>
        <v>1038.44880898256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21184.3557032441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18692.078561686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18692.078561686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9502.10490535961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16029.0534503941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16029.0534503941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2.02899410764482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-0.117828648850077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442.667237351233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731.655352939225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2.17764253679551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8147.82911663236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0.837166356861509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8.5</v>
      </c>
      <c r="D5" s="4" t="n">
        <f aca="false">Assumptions!D41</f>
        <v>5.25</v>
      </c>
      <c r="E5" s="4" t="n">
        <f aca="false">Assumptions!E41</f>
        <v>3.75</v>
      </c>
      <c r="F5" s="4" t="n">
        <f aca="false">Assumptions!F41</f>
        <v>3.5</v>
      </c>
      <c r="G5" s="4" t="n">
        <f aca="false">Assumptions!G41</f>
        <v>3.25</v>
      </c>
      <c r="H5" s="4" t="n">
        <f aca="false">Assumptions!H41</f>
        <v>3</v>
      </c>
      <c r="I5" s="4" t="n">
        <f aca="false">Assumptions!I41</f>
        <v>2.75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1619.174</v>
      </c>
      <c r="C6" s="0" t="n">
        <f aca="false">B6*(1+C5/100)</f>
        <v>1756.80379</v>
      </c>
      <c r="D6" s="0" t="n">
        <f aca="false">C6*(1+D5/100)</f>
        <v>1849.035988975</v>
      </c>
      <c r="E6" s="0" t="n">
        <f aca="false">D6*(1+E5/100)</f>
        <v>1918.37483856156</v>
      </c>
      <c r="F6" s="0" t="n">
        <f aca="false">E6*(1+F5/100)</f>
        <v>1985.51795791122</v>
      </c>
      <c r="G6" s="0" t="n">
        <f aca="false">F6*(1+G5/100)</f>
        <v>2050.04729154333</v>
      </c>
      <c r="H6" s="0" t="n">
        <f aca="false">G6*(1+H5/100)</f>
        <v>2111.54871028963</v>
      </c>
      <c r="I6" s="0" t="n">
        <f aca="false">H6*(1+I5/100)</f>
        <v>2169.6162998226</v>
      </c>
      <c r="J6" s="0" t="n">
        <f aca="false">I6*(1+J5/100)</f>
        <v>2223.85670731816</v>
      </c>
      <c r="K6" s="0" t="n">
        <f aca="false">J6*(1+K5/100)</f>
        <v>2279.45312500112</v>
      </c>
      <c r="L6" s="0" t="n">
        <f aca="false">K6*(1+L5/100)</f>
        <v>2336.43945312614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55.3</v>
      </c>
      <c r="D7" s="4" t="n">
        <f aca="false">Assumptions!D42</f>
        <v>55</v>
      </c>
      <c r="E7" s="4" t="n">
        <f aca="false">Assumptions!E42</f>
        <v>55.5</v>
      </c>
      <c r="F7" s="4" t="n">
        <f aca="false">Assumptions!F42</f>
        <v>56</v>
      </c>
      <c r="G7" s="4" t="n">
        <f aca="false">Assumptions!G42</f>
        <v>56</v>
      </c>
      <c r="H7" s="4" t="n">
        <f aca="false">Assumptions!H42</f>
        <v>56</v>
      </c>
      <c r="I7" s="4" t="n">
        <f aca="false">Assumptions!I42</f>
        <v>56</v>
      </c>
      <c r="J7" s="4" t="n">
        <f aca="false">Assumptions!J42</f>
        <v>56</v>
      </c>
      <c r="K7" s="4" t="n">
        <f aca="false">Assumptions!K42</f>
        <v>56</v>
      </c>
      <c r="L7" s="4" t="n">
        <f aca="false">Assumptions!L42</f>
        <v>56</v>
      </c>
    </row>
    <row r="8" customFormat="false" ht="15" hidden="false" customHeight="false" outlineLevel="0" collapsed="false">
      <c r="A8" s="0" t="s">
        <v>43</v>
      </c>
      <c r="C8" s="0" t="n">
        <f aca="false">C6*C7/100</f>
        <v>971.51249587</v>
      </c>
      <c r="D8" s="0" t="n">
        <f aca="false">D6*D7/100</f>
        <v>1016.96979393625</v>
      </c>
      <c r="E8" s="0" t="n">
        <f aca="false">E6*E7/100</f>
        <v>1064.69803540167</v>
      </c>
      <c r="F8" s="0" t="n">
        <f aca="false">F6*F7/100</f>
        <v>1111.89005643028</v>
      </c>
      <c r="G8" s="0" t="n">
        <f aca="false">G6*G7/100</f>
        <v>1148.02648326427</v>
      </c>
      <c r="H8" s="0" t="n">
        <f aca="false">H6*H7/100</f>
        <v>1182.46727776219</v>
      </c>
      <c r="I8" s="0" t="n">
        <f aca="false">I6*I7/100</f>
        <v>1214.98512790065</v>
      </c>
      <c r="J8" s="0" t="n">
        <f aca="false">J6*J7/100</f>
        <v>1245.35975609817</v>
      </c>
      <c r="K8" s="0" t="n">
        <f aca="false">K6*K7/100</f>
        <v>1276.49375000062</v>
      </c>
      <c r="L8" s="0" t="n">
        <f aca="false">L6*L7/100</f>
        <v>1308.40609375064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3.2</v>
      </c>
      <c r="D9" s="4" t="n">
        <f aca="false">Assumptions!D43</f>
        <v>3.2</v>
      </c>
      <c r="E9" s="4" t="n">
        <f aca="false">Assumptions!E43</f>
        <v>3.2</v>
      </c>
      <c r="F9" s="4" t="n">
        <f aca="false">Assumptions!F43</f>
        <v>3.2</v>
      </c>
      <c r="G9" s="4" t="n">
        <f aca="false">Assumptions!G43</f>
        <v>3.2</v>
      </c>
      <c r="H9" s="4" t="n">
        <f aca="false">Assumptions!H43</f>
        <v>3.2</v>
      </c>
      <c r="I9" s="4" t="n">
        <f aca="false">Assumptions!I43</f>
        <v>3.2</v>
      </c>
      <c r="J9" s="4" t="n">
        <f aca="false">Assumptions!J43</f>
        <v>3.2</v>
      </c>
      <c r="K9" s="4" t="n">
        <f aca="false">Assumptions!K43</f>
        <v>3.2</v>
      </c>
      <c r="L9" s="4" t="n">
        <f aca="false">Assumptions!L43</f>
        <v>3.2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-56.21772128</v>
      </c>
      <c r="D10" s="0" t="n">
        <f aca="false">-D6*D9/100</f>
        <v>-59.1691516472</v>
      </c>
      <c r="E10" s="0" t="n">
        <f aca="false">-E6*E9/100</f>
        <v>-61.38799483397</v>
      </c>
      <c r="F10" s="0" t="n">
        <f aca="false">-F6*F9/100</f>
        <v>-63.536574653159</v>
      </c>
      <c r="G10" s="0" t="n">
        <f aca="false">-G6*G9/100</f>
        <v>-65.6015133293866</v>
      </c>
      <c r="H10" s="0" t="n">
        <f aca="false">-H6*H9/100</f>
        <v>-67.5695587292682</v>
      </c>
      <c r="I10" s="0" t="n">
        <f aca="false">-I6*I9/100</f>
        <v>-69.4277215943231</v>
      </c>
      <c r="J10" s="0" t="n">
        <f aca="false">-J6*J9/100</f>
        <v>-71.1634146341812</v>
      </c>
      <c r="K10" s="0" t="n">
        <f aca="false">-K6*K9/100</f>
        <v>-72.9425000000357</v>
      </c>
      <c r="L10" s="0" t="n">
        <f aca="false">-L6*L9/100</f>
        <v>-74.7660625000366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915.29477459</v>
      </c>
      <c r="D11" s="0" t="n">
        <f aca="false">D8+D10+D24</f>
        <v>957.80064228905</v>
      </c>
      <c r="E11" s="0" t="n">
        <f aca="false">E8+E10+E24</f>
        <v>1003.3100405677</v>
      </c>
      <c r="F11" s="0" t="n">
        <f aca="false">F8+F10+F24</f>
        <v>1048.35348177712</v>
      </c>
      <c r="G11" s="0" t="n">
        <f aca="false">G8+G10+G24</f>
        <v>1082.42496993488</v>
      </c>
      <c r="H11" s="0" t="n">
        <f aca="false">H8+H10+H24</f>
        <v>1114.89771903293</v>
      </c>
      <c r="I11" s="0" t="n">
        <f aca="false">I8+I10+I24</f>
        <v>1145.55740630633</v>
      </c>
      <c r="J11" s="0" t="n">
        <f aca="false">J8+J10+J24</f>
        <v>1174.19634146399</v>
      </c>
      <c r="K11" s="0" t="n">
        <f aca="false">K8+K10+K24</f>
        <v>1203.55125000059</v>
      </c>
      <c r="L11" s="0" t="n">
        <f aca="false">L8+L10+L24</f>
        <v>1233.6400312506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915.29477459</v>
      </c>
      <c r="D13" s="0" t="n">
        <f aca="false">D11+D12</f>
        <v>957.80064228905</v>
      </c>
      <c r="E13" s="0" t="n">
        <f aca="false">E11+E12</f>
        <v>1003.3100405677</v>
      </c>
      <c r="F13" s="0" t="n">
        <f aca="false">F11+F12</f>
        <v>1048.35348177712</v>
      </c>
      <c r="G13" s="0" t="n">
        <f aca="false">G11+G12</f>
        <v>1082.42496993488</v>
      </c>
      <c r="H13" s="0" t="n">
        <f aca="false">H11+H12</f>
        <v>1114.89771903293</v>
      </c>
      <c r="I13" s="0" t="n">
        <f aca="false">I11+I12</f>
        <v>1145.55740630633</v>
      </c>
      <c r="J13" s="0" t="n">
        <f aca="false">J11+J12</f>
        <v>1174.19634146399</v>
      </c>
      <c r="K13" s="0" t="n">
        <f aca="false">K11+K12</f>
        <v>1203.55125000059</v>
      </c>
      <c r="L13" s="0" t="n">
        <f aca="false">L11+L12</f>
        <v>1233.6400312506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915.29477459</v>
      </c>
      <c r="D15" s="0" t="n">
        <f aca="false">D13-MAX(0,D13)*D14/100</f>
        <v>957.80064228905</v>
      </c>
      <c r="E15" s="0" t="n">
        <f aca="false">E13-MAX(0,E13)*E14/100</f>
        <v>1003.3100405677</v>
      </c>
      <c r="F15" s="0" t="n">
        <f aca="false">F13-MAX(0,F13)*F14/100</f>
        <v>1048.35348177712</v>
      </c>
      <c r="G15" s="0" t="n">
        <f aca="false">G13-MAX(0,G13)*G14/100</f>
        <v>1082.42496993488</v>
      </c>
      <c r="H15" s="0" t="n">
        <f aca="false">H13-MAX(0,H13)*H14/100</f>
        <v>1114.89771903293</v>
      </c>
      <c r="I15" s="0" t="n">
        <f aca="false">I13-MAX(0,I13)*I14/100</f>
        <v>1145.55740630633</v>
      </c>
      <c r="J15" s="0" t="n">
        <f aca="false">J13-MAX(0,J13)*J14/100</f>
        <v>1174.19634146399</v>
      </c>
      <c r="K15" s="0" t="n">
        <f aca="false">K13-MAX(0,K13)*K14/100</f>
        <v>1203.55125000059</v>
      </c>
      <c r="L15" s="0" t="n">
        <f aca="false">L13-MAX(0,L13)*L14/100</f>
        <v>1233.6400312506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-61.48813265</v>
      </c>
      <c r="D17" s="4" t="n">
        <f aca="false">-D6*Assumptions!D46/100</f>
        <v>-64.716259614125</v>
      </c>
      <c r="E17" s="4" t="n">
        <f aca="false">-E6*Assumptions!E46/100</f>
        <v>-67.1431193496547</v>
      </c>
      <c r="F17" s="4" t="n">
        <f aca="false">-F6*Assumptions!F46/100</f>
        <v>-69.4931285268926</v>
      </c>
      <c r="G17" s="4" t="n">
        <f aca="false">-G6*Assumptions!G46/100</f>
        <v>-71.7516552040166</v>
      </c>
      <c r="H17" s="4" t="n">
        <f aca="false">-H6*Assumptions!H46/100</f>
        <v>-73.9042048601371</v>
      </c>
      <c r="I17" s="4" t="n">
        <f aca="false">-I6*Assumptions!I46/100</f>
        <v>-75.9365704937909</v>
      </c>
      <c r="J17" s="4" t="n">
        <f aca="false">-J6*Assumptions!J46/100</f>
        <v>-77.8349847561357</v>
      </c>
      <c r="K17" s="4" t="n">
        <f aca="false">-K6*Assumptions!K46/100</f>
        <v>-79.780859375039</v>
      </c>
      <c r="L17" s="4" t="n">
        <f aca="false">-L6*Assumptions!L46/100</f>
        <v>-81.775380859415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853.80664194</v>
      </c>
      <c r="D19" s="0" t="n">
        <f aca="false">D15+D16+D17+D18</f>
        <v>893.084382674925</v>
      </c>
      <c r="E19" s="0" t="n">
        <f aca="false">E15+E16+E17+E18</f>
        <v>936.166921218043</v>
      </c>
      <c r="F19" s="0" t="n">
        <f aca="false">F15+F16+F17+F18</f>
        <v>978.86035325023</v>
      </c>
      <c r="G19" s="0" t="n">
        <f aca="false">G15+G16+G17+G18</f>
        <v>1010.67331473086</v>
      </c>
      <c r="H19" s="0" t="n">
        <f aca="false">H15+H16+H17+H18</f>
        <v>1040.99351417279</v>
      </c>
      <c r="I19" s="0" t="n">
        <f aca="false">I15+I16+I17+I18</f>
        <v>1069.62083581254</v>
      </c>
      <c r="J19" s="0" t="n">
        <f aca="false">J15+J16+J17+J18</f>
        <v>1096.36135670785</v>
      </c>
      <c r="K19" s="0" t="n">
        <f aca="false">K15+K16+K17+K18</f>
        <v>1123.77039062555</v>
      </c>
      <c r="L19" s="0" t="n">
        <f aca="false">L15+L16+L17+L18</f>
        <v>1151.86465039119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801.696377408451</v>
      </c>
      <c r="D21" s="0" t="n">
        <f aca="false">D19*D20</f>
        <v>787.396136282418</v>
      </c>
      <c r="E21" s="0" t="n">
        <f aca="false">E19*E20</f>
        <v>775.004935506348</v>
      </c>
      <c r="F21" s="0" t="n">
        <f aca="false">F19*F20</f>
        <v>760.890755342861</v>
      </c>
      <c r="G21" s="0" t="n">
        <f aca="false">G19*G20</f>
        <v>737.671084405169</v>
      </c>
      <c r="H21" s="0" t="n">
        <f aca="false">H19*H20</f>
        <v>713.428372711102</v>
      </c>
      <c r="I21" s="0" t="n">
        <f aca="false">I19*I20</f>
        <v>688.307655362119</v>
      </c>
      <c r="J21" s="0" t="n">
        <f aca="false">J19*J20</f>
        <v>662.455724644293</v>
      </c>
      <c r="K21" s="0" t="n">
        <f aca="false">K19*K20</f>
        <v>637.57475846047</v>
      </c>
      <c r="L21" s="0" t="n">
        <f aca="false">L19*L20</f>
        <v>613.628288659138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7178.05408878237</v>
      </c>
    </row>
    <row r="31" customFormat="false" ht="15" hidden="false" customHeight="false" outlineLevel="0" collapsed="false">
      <c r="A31" s="0" t="s">
        <v>137</v>
      </c>
      <c r="B31" s="0" t="n">
        <f aca="false">L19</f>
        <v>1151.86465039119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29516.5316662742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23037.2930078238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23037.2930078238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12272.5657731828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19450.6198619651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19450.6198619651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2.46210377999559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0.0704799043459068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468.241394091648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1020.63934422007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2.65056969623758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9445.29013320775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0.917075760472494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1.49357736078592</v>
      </c>
      <c r="C4" s="0" t="n">
        <f aca="false">B4/Assumptions!$B$2-1</f>
        <v>-0.35061853878873</v>
      </c>
      <c r="D4" s="4" t="n">
        <f aca="false">Assumptions!$B$24</f>
        <v>0.25</v>
      </c>
      <c r="E4" s="4" t="n">
        <f aca="false">DCF_Bear!$B$43</f>
        <v>1.60784269143027</v>
      </c>
      <c r="F4" s="4" t="n">
        <f aca="false">DCF_Bear!$B$47</f>
        <v>0.721651696914037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2.02899410764482</v>
      </c>
      <c r="C5" s="0" t="n">
        <f aca="false">B5/Assumptions!$B$2-1</f>
        <v>-0.117828648850077</v>
      </c>
      <c r="D5" s="4" t="n">
        <f aca="false">Assumptions!$B$38</f>
        <v>0.5</v>
      </c>
      <c r="E5" s="4" t="n">
        <f aca="false">DCF_Base!$B$43</f>
        <v>2.17764253679551</v>
      </c>
      <c r="F5" s="4" t="n">
        <f aca="false">DCF_Base!$B$47</f>
        <v>0.837166356861509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2.46210377999559</v>
      </c>
      <c r="C6" s="0" t="n">
        <f aca="false">B6/Assumptions!$B$2-1</f>
        <v>0.0704799043459068</v>
      </c>
      <c r="D6" s="4" t="n">
        <f aca="false">Assumptions!$B$52</f>
        <v>0.25</v>
      </c>
      <c r="E6" s="4" t="n">
        <f aca="false">DCF_Bull!$B$43</f>
        <v>2.65056969623758</v>
      </c>
      <c r="F6" s="4" t="n">
        <f aca="false">DCF_Bull!$B$47</f>
        <v>0.917075760472494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2.00341733901779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2.15342436531472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-0.148038381821941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197.712512742665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0.828265042777387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2.02899410764482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1.56127355606189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1.36506260741045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1.21249167832185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1.09046696784013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0.837166356861509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2.36427822888229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2.36427822888229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2.36427822888229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2.36427822888229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2.36427822888229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2.18859220311857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2.18859220311857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2.18859220311857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2.18859220311857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2.18859220311857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1.95103497222814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2.02899410764482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2.02899410764482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2.02899410764482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2.02899410764482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1.66638265093346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1.73864345829365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1.82294773354721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1.88383415456367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1.88383415456367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1.45319700107519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1.50363272673565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1.56127355606189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1.62778220528448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1.7053756293775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2026-10-24T00:50:40Z</dcterms:created>
  <dc:creator>openpyxl</dc:creator>
  <dc:description/>
  <dc:language>en-NZ</dc:language>
  <cp:lastModifiedBy/>
  <dcterms:modified xsi:type="dcterms:W3CDTF">2026-10-24T00:50:40Z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