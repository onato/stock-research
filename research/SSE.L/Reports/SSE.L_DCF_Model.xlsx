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<sst xmlns="http://schemas.openxmlformats.org/spreadsheetml/2006/main" count="356" uniqueCount="166">
  <si>
    <t xml:space="preserve">Ticker</t>
  </si>
  <si>
    <t xml:space="preserve">SSE.L</t>
  </si>
  <si>
    <t xml:space="preserve">Company</t>
  </si>
  <si>
    <t xml:space="preserve">SSE plc</t>
  </si>
  <si>
    <t xml:space="preserve">Valuation date</t>
  </si>
  <si>
    <t xml:space="preserve">2026-10-10</t>
  </si>
  <si>
    <t xml:space="preserve">Current price</t>
  </si>
  <si>
    <t xml:space="preserve">Price as of</t>
  </si>
  <si>
    <t xml:space="preserve">2026-10-09T15:49:17Z regular close (Yahoo Finance chart API)</t>
  </si>
  <si>
    <t xml:space="preserve">Balance sheet date</t>
  </si>
  <si>
    <t xml:space="preserve">2026-03-31</t>
  </si>
  <si>
    <t xml:space="preserve">Model</t>
  </si>
  <si>
    <t xml:space="preserve">owner_fcf_dcf_component</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</si>
  <si>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</si>
  <si>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</si>
  <si>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</si>
  <si>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</si>
  <si>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</si>
  <si>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</si>
  <si>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</si>
  <si>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</si>
  <si>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</si>
  <si>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2026-10-10T01:39:54Z</t>
  </si>
  <si>
    <t xml:space="preserve">Drivers file</t>
  </si>
  <si>
    <t xml:space="preserve">SSE.L_Drivers.json</t>
  </si>
  <si>
    <t xml:space="preserve">Convention</t>
  </si>
  <si>
    <t xml:space="preserve">Percents stored as percents; formulas divide by 100. Blue = input, green = link, black = formula.</t>
  </si>
  <si>
    <t xml:space="preserve">Methodology</t>
  </si>
  <si>
    <t xml:space="preserve">summary: Unlevered owner-FCF DCF through a regulated capex supercycle: ten explicit years of negative-then-recovering free cash flow at a GBP nominal WACC of 6.5%, terminal value capped at a utility exit multiple, with hybrid capital and the Transmission minority deducted as claims and JV shareholder loans added as a matching asset. Growth capex at regulated returns is treated as value-neutral beyond the horizon, so the value is the enlarged asset base in place by FY2036, not a bet on perpetual RAV growth. The market price above the base IV is the RAV premium / growth-at-above-WACC-returns the market is prepared to pay; the required-return table shows what discount rate the price implies.
key_risks_to_valuation: Regulatory: Ofgem ED3 (2028-33) and T3 reopeners set the return on ~75% of FY2030 EBITDA; a 50bp cut in allowed return on a GBP40bn+ RAV is ~GBP150-200m of EBIT; Delivery: 11 major Transmission projects (ASTI/LOTI) with HVDC supply-chain and consenting risk; overruns above allowances are shareholder cost; Funding: ND/EBITDA guided below 4.5x; a slip in EBITDA or capex phasing forces dividend rebasing or a second equity raise (dilution not in the flat share count); Merchant exposure: ~30% of EBITDA (Renewables, Thermal, Energy Markets) depends on wind yield, capture prices and capacity-market/CfD policy; Rates: a 1pp move in gilt yields moves both WACC and allowed returns; the model's terminal cap (22x FCF) binds, so value is more sensitive to the exit multiple than to terminal growth; Bridge estimates: NCI fair value (GBP1.4bn) and JV loans at book are judgement; each GBP500m is ~41p/share; Terminal dependence: with negative interim flows the terminal value exceeds 100% of enterprise value; the valuation is a view on FY2036 steady-state FCF and its multiple
entry_price_interpretation: The 15%-hurdle entry price is NEGATIVE in every scenario (weighted about -830p) and the required-return table turns negative above ~10%: with six years of negative owner FCF and GBP11.6bn of net debt plus hybrids ahead of the equity, no positive purchase price delivers a 15% IRR under the plan. This is the finding, not an error: SSE is a 6-7% nominal-IRR regulated asset, and the sensitivity grid shows the current price implies a discount rate of roughly 5% at a 22x exit multiple (4.5% WACC -&gt; 2,648p, 5.5% -&gt; 2,275p). The terminal cap binds in all scenarios so terminal growth is not a driver; WACC and the exit multiple are.</t>
  </si>
  <si>
    <t xml:space="preserve">Data sources</t>
  </si>
  <si>
    <t xml:space="preserve">price: Yahoo Finance chart API regular close at inputs.price_as_of; 52-week range 1,794.5-2,767.5p
financials: SSE.L_Metrics.csv / core_metrics (FY2019-FY2026 annual, H1 FY2021-FY2026) built from SSE plc annual reports; FY2026 AR (year to 31 March 2026) for adjusted EBITDA (note 5.1(v)), balance sheet, hybrid equity (note 22), NCI debt (note 1.2), JV loans (note 16), share counts (note 11.2 and note 22); Q1 FY2027 trading statement (16 Jul 2026) and H1 FY2027 trading update (1 Oct 2026) for guidance
qualitative: SSE.L_Analysis.json (growth drivers, bull/bear cases, risks) plus the FY2026 annual report strategy and outlook sections (GBP33bn five-year plan, RAV targets, EPS guidance, ND/EBITDA guardrail)</t>
  </si>
  <si>
    <t xml:space="preserve">Scenario narrative: bear</t>
  </si>
  <si>
    <t xml:space="preserve">Ofgem's ED3 determination cuts allowed returns, Transmission cost overruns and supply-chain delays (HVDC cables, consents) fall outside allowances, renewables output and capture prices disappoint (CfD/zonal-pricing policy uncertainty), and higher-for-longer gilt yields raise financing cost faster than indexation compensates. Adjusted EPS stalls near ~160p FY2027 and ~185p FY2030, leverage tests the 4.5x ceiling and the dividend or a second equity raise is on the table. Terminal exit at 20x FCF (~8x EBITDA, the 2022-23 UK-utility sector trough; UK networks have not traded below ~1.0x RAV even under stress, which a lower multiple would imply) reflects a de-rated UK utility sector.</t>
  </si>
  <si>
    <t xml:space="preserve">Scenario narrative: base</t>
  </si>
  <si>
    <t xml:space="preserve">Management delivers the GBP33bn FY2026-30 plan broadly on time: SSEN Transmission's 11 major ASTI/LOTI projects energise within RIIO-T3 allowances, gross RAV reaches ~GBP40bn by FY2030 and ~80% of group EBITDA is index-linked. Adjusted EPS lands at the low end of guidance (~170p FY2027, ~228p FY2030) as Distribution's ED3 settlement (from April 2028) is adequate but not generous and renewables capture prices are average. Leverage peaks near but below 4.5x ND/EBITDA; no further equity is needed. Owner FCF is negative through FY2032 and the business is worth its enlarged regulated and contracted asset base at a ~10x terminal EBITDA multiple. Cash tax stays low under full expensing until capex tapers.</t>
  </si>
  <si>
    <t xml:space="preserve">Scenario narrative: bull</t>
  </si>
  <si>
    <t xml:space="preserve">Transmission RAV growth runs ahead of plan (T3 reopeners and accelerated grid connections), ED3 is set at RIIO-T3-like returns, the consented 4.1GW Berwick Bank reaches FID in 2027 with Phase A joining Phase B's AR7 CfD, Dogger Bank completes on schedule and wind yields and capture prices are favourable. Adjusted EPS reaches the top of the range (~195p FY2027, ~250p+ FY2030), the market pays a UK-network RAV premium (25x terminal FCF, ~11x EBITDA) and the group's index-linked earnings re-rate as gilt yields ease.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</si>
  <si>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</si>
  <si>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</si>
  <si>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</si>
  <si>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</si>
  <si>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</si>
  <si>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</si>
  <si>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</si>
  <si>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</si>
  <si>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</si>
  <si>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</si>
  <si>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</si>
  <si>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</si>
  <si>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</si>
  <si>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</si>
  <si>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</si>
  <si>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</si>
  <si>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</si>
  <si>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</si>
  <si>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</si>
  <si>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</si>
  <si>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</si>
  <si>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</si>
  <si>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</si>
  <si>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</si>
  <si>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</si>
  <si>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</si>
  <si>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</si>
  <si>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CapexIntangibles</t>
  </si>
  <si>
    <t xml:space="preserve">CapexPPE</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</si>
  <si>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</si>
  <si>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</si>
  <si>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</si>
  <si>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</si>
  <si>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</si>
  <si>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</si>
  <si>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</si>
  <si>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</si>
  <si>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</si>
  <si>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</si>
  <si>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</si>
  <si>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</si>
  <si>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</si>
  <si>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</si>
  <si>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</si>
  <si>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</si>
  <si>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</si>
  <si>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</si>
  <si>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</si>
  <si>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</si>
  <si>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</si>
  <si>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</si>
  <si>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</si>
  <si>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</si>
  <si>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</si>
  <si>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</si>
  <si>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</si>
  <si>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</si>
  <si>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</si>
  <si>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</si>
  <si>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</si>
  <si>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</si>
  <si>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</si>
  <si>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</si>
  <si>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</si>
  <si>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</si>
  <si>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</si>
  <si>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</si>
  <si>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</si>
  <si>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</si>
  <si>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</si>
  <si>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</si>
  <si>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</si>
  <si>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</si>
  <si>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</si>
  <si>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SSE.L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</si>
  <si>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</si>
  <si>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</si>
  <si>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</si>
  <si>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</si>
  <si>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</si>
  <si>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</si>
  <si>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</si>
  <si>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</si>
  <si>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</si>
  <si>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</si>
  <si>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</si>
  <si>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</si>
  <si>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</si>
  <si>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</si>
  <si>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</si>
  <si>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</si>
  <si>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</si>
  <si>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</si>
  <si>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</si>
  <si>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</si>
  <si>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</si>
  <si>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</si>
  <si>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</si>
  <si>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</si>
  <si>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</si>
  <si>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</si>
  <si>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</si>
  <si>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</si>
  <si>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</si>
  <si>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</si>
  <si>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SSE.L owner-FCF component DCF: base case (millions, GBP)</t>
  </si>
  <si>
    <t xml:space="preserve">SSE.L owner-FCF component DCF: bull case (millions, GBP)</t>
  </si>
  <si>
    <t xml:space="preserve">SSE.L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</si>
  <si>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</si>
  <si>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</si>
  <si>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</si>
  <si>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</si>
  <si>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</si>
  <si>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</si>
  <si>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</si>
  <si>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</si>
  <si>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</si>
  <si>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</si>
  <si>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</si>
  <si>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</si>
  <si>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</si>
  <si>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</si>
  <si>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6.5%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</si>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</sst>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2454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35.0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7301.5</v>
      </c>
      <c r="C2" s="0" t="n">
        <v>5910.7</v>
      </c>
      <c r="D2" s="0" t="n">
        <v>1390.8</v>
      </c>
      <c r="E2" s="0" t="n">
        <v>19</v>
      </c>
      <c r="F2" s="0" t="n">
        <v>1613.6</v>
      </c>
      <c r="G2" s="0" t="n">
        <v>22.1</v>
      </c>
      <c r="I2" s="0" t="n">
        <v>1409.1</v>
      </c>
      <c r="J2" s="0" t="n">
        <v>19.3</v>
      </c>
      <c r="K2" s="0" t="n">
        <v>1.379</v>
      </c>
      <c r="L2" s="0" t="n">
        <v>1176.7</v>
      </c>
      <c r="M2" s="0" t="n">
        <v>1508.8</v>
      </c>
      <c r="N2" s="0" t="n">
        <v>-332.1</v>
      </c>
      <c r="O2" s="0" t="n">
        <v>4622.6</v>
      </c>
      <c r="P2" s="0" t="n">
        <v>22469.3</v>
      </c>
      <c r="Q2" s="0" t="n">
        <v>16677</v>
      </c>
      <c r="R2" s="0" t="n">
        <v>9367.6</v>
      </c>
      <c r="S2" s="0" t="n">
        <v>431.6</v>
      </c>
      <c r="T2" s="0" t="n">
        <v>1021.7</v>
      </c>
      <c r="U2" s="0" t="n">
        <v>20.8</v>
      </c>
      <c r="AA2" s="0" t="s">
        <v>18</v>
      </c>
      <c r="AB2" s="0" t="s">
        <v>14</v>
      </c>
      <c r="AC2" s="0" t="n">
        <v>282.4</v>
      </c>
      <c r="AD2" s="0" t="n">
        <v>1226.4</v>
      </c>
    </row>
    <row r="3" customFormat="false" ht="15" hidden="false" customHeight="false" outlineLevel="0" collapsed="false">
      <c r="A3" s="0" t="s">
        <v>67</v>
      </c>
      <c r="B3" s="0" t="n">
        <v>6800.6</v>
      </c>
      <c r="C3" s="0" t="n">
        <v>4784.3</v>
      </c>
      <c r="D3" s="0" t="n">
        <v>2016.3</v>
      </c>
      <c r="E3" s="0" t="n">
        <v>29.6</v>
      </c>
      <c r="F3" s="0" t="n">
        <v>963.4</v>
      </c>
      <c r="G3" s="0" t="n">
        <v>14.2</v>
      </c>
      <c r="I3" s="0" t="n">
        <v>-59</v>
      </c>
      <c r="J3" s="0" t="n">
        <v>-0.9</v>
      </c>
      <c r="K3" s="0" t="n">
        <v>-0.057</v>
      </c>
      <c r="L3" s="0" t="n">
        <v>1300.2</v>
      </c>
      <c r="M3" s="0" t="n">
        <v>1210.9</v>
      </c>
      <c r="N3" s="0" t="n">
        <v>89.3</v>
      </c>
      <c r="O3" s="0" t="n">
        <v>3750.4</v>
      </c>
      <c r="P3" s="0" t="n">
        <v>21031.7</v>
      </c>
      <c r="Q3" s="0" t="n">
        <v>16111.6</v>
      </c>
      <c r="R3" s="0" t="n">
        <v>10172.4</v>
      </c>
      <c r="S3" s="0" t="n">
        <v>164.6</v>
      </c>
      <c r="T3" s="0" t="n">
        <v>1032.5</v>
      </c>
      <c r="U3" s="0" t="n">
        <v>24.5</v>
      </c>
      <c r="AA3" s="0" t="s">
        <v>18</v>
      </c>
      <c r="AB3" s="0" t="s">
        <v>14</v>
      </c>
      <c r="AC3" s="0" t="n">
        <v>396.8</v>
      </c>
      <c r="AD3" s="0" t="n">
        <v>814.1</v>
      </c>
    </row>
    <row r="4" customFormat="false" ht="15" hidden="false" customHeight="false" outlineLevel="0" collapsed="false">
      <c r="A4" s="0" t="s">
        <v>68</v>
      </c>
      <c r="B4" s="0" t="n">
        <v>6826.4</v>
      </c>
      <c r="C4" s="0" t="n">
        <v>4134.1</v>
      </c>
      <c r="D4" s="0" t="n">
        <v>2692.3</v>
      </c>
      <c r="E4" s="0" t="n">
        <v>39.4</v>
      </c>
      <c r="F4" s="0" t="n">
        <v>2654.9</v>
      </c>
      <c r="G4" s="0" t="n">
        <v>38.9</v>
      </c>
      <c r="I4" s="0" t="n">
        <v>2276.2</v>
      </c>
      <c r="J4" s="0" t="n">
        <v>33.3</v>
      </c>
      <c r="K4" s="0" t="n">
        <v>2.187</v>
      </c>
      <c r="L4" s="0" t="n">
        <v>1817.2</v>
      </c>
      <c r="M4" s="0" t="n">
        <v>1177.3</v>
      </c>
      <c r="N4" s="0" t="n">
        <v>639.9</v>
      </c>
      <c r="O4" s="0" t="n">
        <v>5208.7</v>
      </c>
      <c r="P4" s="0" t="n">
        <v>21591.6</v>
      </c>
      <c r="Q4" s="0" t="n">
        <v>14910.5</v>
      </c>
      <c r="R4" s="0" t="n">
        <v>9410.6</v>
      </c>
      <c r="S4" s="0" t="n">
        <v>1600.2</v>
      </c>
      <c r="T4" s="0" t="n">
        <v>1040.9</v>
      </c>
      <c r="U4" s="0" t="n">
        <v>18.1</v>
      </c>
      <c r="AA4" s="0" t="s">
        <v>18</v>
      </c>
      <c r="AB4" s="0" t="s">
        <v>14</v>
      </c>
      <c r="AC4" s="0" t="n">
        <v>192.3</v>
      </c>
      <c r="AD4" s="0" t="n">
        <v>985</v>
      </c>
    </row>
    <row r="5" customFormat="false" ht="15" hidden="false" customHeight="false" outlineLevel="0" collapsed="false">
      <c r="A5" s="0" t="s">
        <v>69</v>
      </c>
      <c r="B5" s="0" t="n">
        <v>8608.2</v>
      </c>
      <c r="C5" s="0" t="n">
        <v>4213</v>
      </c>
      <c r="D5" s="0" t="n">
        <v>4395.2</v>
      </c>
      <c r="E5" s="0" t="n">
        <v>51.1</v>
      </c>
      <c r="F5" s="0" t="n">
        <v>3755.4</v>
      </c>
      <c r="G5" s="0" t="n">
        <v>43.6</v>
      </c>
      <c r="I5" s="0" t="n">
        <v>3031.4</v>
      </c>
      <c r="J5" s="0" t="n">
        <v>35.2</v>
      </c>
      <c r="K5" s="0" t="n">
        <v>2.873</v>
      </c>
      <c r="L5" s="0" t="n">
        <v>1627.9</v>
      </c>
      <c r="M5" s="0" t="n">
        <v>1455.8</v>
      </c>
      <c r="N5" s="0" t="n">
        <v>172.1</v>
      </c>
      <c r="O5" s="0" t="n">
        <v>8082.2</v>
      </c>
      <c r="P5" s="0" t="n">
        <v>25761.4</v>
      </c>
      <c r="Q5" s="0" t="n">
        <v>16587.6</v>
      </c>
      <c r="R5" s="0" t="n">
        <v>9064.7</v>
      </c>
      <c r="S5" s="0" t="n">
        <v>1049.3</v>
      </c>
      <c r="T5" s="0" t="n">
        <v>1055</v>
      </c>
      <c r="U5" s="0" t="n">
        <v>20.8</v>
      </c>
      <c r="AA5" s="0" t="s">
        <v>18</v>
      </c>
      <c r="AB5" s="0" t="s">
        <v>14</v>
      </c>
      <c r="AC5" s="0" t="n">
        <v>182.2</v>
      </c>
      <c r="AD5" s="0" t="n">
        <v>1273.6</v>
      </c>
    </row>
    <row r="6" customFormat="false" ht="15" hidden="false" customHeight="false" outlineLevel="0" collapsed="false">
      <c r="A6" s="0" t="s">
        <v>70</v>
      </c>
      <c r="B6" s="0" t="n">
        <v>12490.7</v>
      </c>
      <c r="C6" s="0" t="n">
        <v>12650.4</v>
      </c>
      <c r="D6" s="0" t="n">
        <v>-159.7</v>
      </c>
      <c r="E6" s="0" t="n">
        <v>-1.3</v>
      </c>
      <c r="F6" s="0" t="n">
        <v>-146.3</v>
      </c>
      <c r="G6" s="0" t="n">
        <v>-1.2</v>
      </c>
      <c r="I6" s="0" t="n">
        <v>-123</v>
      </c>
      <c r="J6" s="0" t="n">
        <v>-1</v>
      </c>
      <c r="K6" s="0" t="n">
        <v>-0.114</v>
      </c>
      <c r="L6" s="0" t="n">
        <v>1494</v>
      </c>
      <c r="M6" s="0" t="n">
        <v>1816.1</v>
      </c>
      <c r="N6" s="0" t="n">
        <v>-322.1</v>
      </c>
      <c r="O6" s="0" t="n">
        <v>8551.7</v>
      </c>
      <c r="P6" s="0" t="n">
        <v>27177.1</v>
      </c>
      <c r="Q6" s="0" t="n">
        <v>16093.9</v>
      </c>
      <c r="R6" s="0" t="n">
        <v>9059.9</v>
      </c>
      <c r="S6" s="0" t="n">
        <v>891.8</v>
      </c>
      <c r="T6" s="0" t="n">
        <v>1075.6</v>
      </c>
      <c r="U6" s="0" t="n">
        <v>18.7</v>
      </c>
      <c r="AA6" s="0" t="s">
        <v>18</v>
      </c>
      <c r="AB6" s="0" t="s">
        <v>14</v>
      </c>
      <c r="AC6" s="0" t="n">
        <v>336.4</v>
      </c>
      <c r="AD6" s="0" t="n">
        <v>1479.7</v>
      </c>
    </row>
    <row r="7" customFormat="false" ht="15" hidden="false" customHeight="false" outlineLevel="0" collapsed="false">
      <c r="A7" s="0" t="s">
        <v>71</v>
      </c>
      <c r="B7" s="0" t="n">
        <v>10457.2</v>
      </c>
      <c r="C7" s="0" t="n">
        <v>6107</v>
      </c>
      <c r="D7" s="0" t="n">
        <v>4350.2</v>
      </c>
      <c r="E7" s="0" t="n">
        <v>41.6</v>
      </c>
      <c r="F7" s="0" t="n">
        <v>2608.2</v>
      </c>
      <c r="G7" s="0" t="n">
        <v>24.9</v>
      </c>
      <c r="I7" s="0" t="n">
        <v>1710.5</v>
      </c>
      <c r="J7" s="0" t="n">
        <v>16.4</v>
      </c>
      <c r="K7" s="0" t="n">
        <v>1.567</v>
      </c>
      <c r="L7" s="0" t="n">
        <v>3860</v>
      </c>
      <c r="M7" s="0" t="n">
        <v>2512.5</v>
      </c>
      <c r="N7" s="0" t="n">
        <v>1347.5</v>
      </c>
      <c r="O7" s="0" t="n">
        <v>9170.8</v>
      </c>
      <c r="P7" s="0" t="n">
        <v>28270.2</v>
      </c>
      <c r="Q7" s="0" t="n">
        <v>16467.1</v>
      </c>
      <c r="R7" s="0" t="n">
        <v>9133.7</v>
      </c>
      <c r="S7" s="0" t="n">
        <v>1035.9</v>
      </c>
      <c r="T7" s="0" t="n">
        <v>1091.6</v>
      </c>
      <c r="U7" s="0" t="n">
        <v>20.2</v>
      </c>
      <c r="AA7" s="0" t="s">
        <v>18</v>
      </c>
      <c r="AB7" s="0" t="s">
        <v>14</v>
      </c>
      <c r="AC7" s="0" t="n">
        <v>542.2</v>
      </c>
      <c r="AD7" s="0" t="n">
        <v>1970.3</v>
      </c>
    </row>
    <row r="8" customFormat="false" ht="15" hidden="false" customHeight="false" outlineLevel="0" collapsed="false">
      <c r="A8" s="0" t="s">
        <v>72</v>
      </c>
      <c r="B8" s="0" t="n">
        <v>10131.9</v>
      </c>
      <c r="C8" s="0" t="n">
        <v>6268.3</v>
      </c>
      <c r="D8" s="0" t="n">
        <v>3863.6</v>
      </c>
      <c r="E8" s="0" t="n">
        <v>38.1</v>
      </c>
      <c r="F8" s="0" t="n">
        <v>1962.2</v>
      </c>
      <c r="G8" s="0" t="n">
        <v>19.4</v>
      </c>
      <c r="I8" s="0" t="n">
        <v>1189.4</v>
      </c>
      <c r="J8" s="0" t="n">
        <v>11.7</v>
      </c>
      <c r="K8" s="0" t="n">
        <v>1.082</v>
      </c>
      <c r="L8" s="0" t="n">
        <v>2476.8</v>
      </c>
      <c r="M8" s="0" t="n">
        <v>3131</v>
      </c>
      <c r="N8" s="0" t="n">
        <v>-654.2</v>
      </c>
      <c r="O8" s="0" t="n">
        <v>10181.6</v>
      </c>
      <c r="P8" s="0" t="n">
        <v>30363.6</v>
      </c>
      <c r="Q8" s="0" t="n">
        <v>17670.8</v>
      </c>
      <c r="R8" s="0" t="n">
        <v>10604.4</v>
      </c>
      <c r="S8" s="0" t="n">
        <v>1090.5</v>
      </c>
      <c r="T8" s="0" t="n">
        <v>1099.2</v>
      </c>
      <c r="U8" s="0" t="n">
        <v>22.3</v>
      </c>
      <c r="AA8" s="0" t="s">
        <v>18</v>
      </c>
      <c r="AB8" s="0" t="s">
        <v>14</v>
      </c>
      <c r="AC8" s="0" t="n">
        <v>441.8</v>
      </c>
      <c r="AD8" s="0" t="n">
        <v>2689.2</v>
      </c>
    </row>
    <row r="9" customFormat="false" ht="15" hidden="false" customHeight="false" outlineLevel="0" collapsed="false">
      <c r="A9" s="0" t="s">
        <v>73</v>
      </c>
      <c r="B9" s="0" t="n">
        <v>10186.5</v>
      </c>
      <c r="C9" s="0" t="n">
        <v>6412.3</v>
      </c>
      <c r="D9" s="0" t="n">
        <v>3774.2</v>
      </c>
      <c r="E9" s="0" t="n">
        <v>37.1</v>
      </c>
      <c r="F9" s="0" t="n">
        <v>1888.9</v>
      </c>
      <c r="G9" s="0" t="n">
        <v>18.5</v>
      </c>
      <c r="I9" s="0" t="n">
        <v>1208.7</v>
      </c>
      <c r="J9" s="0" t="n">
        <v>11.9</v>
      </c>
      <c r="K9" s="0" t="n">
        <v>1.055</v>
      </c>
      <c r="L9" s="0" t="n">
        <v>3435.2</v>
      </c>
      <c r="M9" s="0" t="n">
        <v>4443.6</v>
      </c>
      <c r="N9" s="0" t="n">
        <v>-1008.4</v>
      </c>
      <c r="O9" s="0" t="n">
        <v>12663.9</v>
      </c>
      <c r="P9" s="0" t="n">
        <v>35353.6</v>
      </c>
      <c r="Q9" s="0" t="n">
        <v>18952.3</v>
      </c>
      <c r="R9" s="0" t="n">
        <v>10121.2</v>
      </c>
      <c r="S9" s="0" t="n">
        <v>1542.9</v>
      </c>
      <c r="T9" s="0" t="n">
        <v>1145.4</v>
      </c>
      <c r="U9" s="0" t="n">
        <v>29.6</v>
      </c>
      <c r="AA9" s="0" t="s">
        <v>18</v>
      </c>
      <c r="AB9" s="0" t="s">
        <v>14</v>
      </c>
      <c r="AC9" s="0" t="n">
        <v>296.6</v>
      </c>
      <c r="AD9" s="0" t="n">
        <v>4147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2454</v>
      </c>
    </row>
    <row r="3" customFormat="false" ht="15" hidden="false" customHeight="false" outlineLevel="0" collapsed="false">
      <c r="A3" s="0" t="s">
        <v>77</v>
      </c>
      <c r="B3" s="3" t="n">
        <v>1214</v>
      </c>
    </row>
    <row r="4" customFormat="false" ht="15" hidden="false" customHeight="false" outlineLevel="0" collapsed="false">
      <c r="A4" s="0" t="s">
        <v>78</v>
      </c>
      <c r="B4" s="3" t="n">
        <v>8578.3</v>
      </c>
    </row>
    <row r="5" customFormat="false" ht="15" hidden="false" customHeight="false" outlineLevel="0" collapsed="false">
      <c r="A5" s="0" t="s">
        <v>79</v>
      </c>
      <c r="B5" s="3" t="n">
        <v>-2764.6</v>
      </c>
    </row>
    <row r="6" customFormat="false" ht="15" hidden="false" customHeight="false" outlineLevel="0" collapsed="false">
      <c r="A6" s="0" t="s">
        <v>80</v>
      </c>
      <c r="B6" s="3" t="n">
        <v>15</v>
      </c>
    </row>
    <row r="7" customFormat="false" ht="15" hidden="false" customHeight="false" outlineLevel="0" collapsed="false">
      <c r="A7" s="0" t="s">
        <v>81</v>
      </c>
      <c r="B7" s="3" t="n">
        <v>10186.5</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100</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4</v>
      </c>
      <c r="D13" s="3" t="n">
        <v>4</v>
      </c>
      <c r="E13" s="3" t="n">
        <v>4</v>
      </c>
      <c r="F13" s="3" t="n">
        <v>3</v>
      </c>
      <c r="G13" s="3" t="n">
        <v>3</v>
      </c>
      <c r="H13" s="3" t="n">
        <v>3</v>
      </c>
      <c r="I13" s="3" t="n">
        <v>2.5</v>
      </c>
      <c r="J13" s="3" t="n">
        <v>2.5</v>
      </c>
      <c r="K13" s="3" t="n">
        <v>2.5</v>
      </c>
      <c r="L13" s="3" t="n">
        <v>2.5</v>
      </c>
    </row>
    <row r="14" customFormat="false" ht="15" hidden="false" customHeight="false" outlineLevel="0" collapsed="false">
      <c r="A14" s="0" t="s">
        <v>98</v>
      </c>
      <c r="C14" s="3" t="n">
        <v>35</v>
      </c>
      <c r="D14" s="3" t="n">
        <v>36.5</v>
      </c>
      <c r="E14" s="3" t="n">
        <v>38</v>
      </c>
      <c r="F14" s="3" t="n">
        <v>39.5</v>
      </c>
      <c r="G14" s="3" t="n">
        <v>40.5</v>
      </c>
      <c r="H14" s="3" t="n">
        <v>41.5</v>
      </c>
      <c r="I14" s="3" t="n">
        <v>42</v>
      </c>
      <c r="J14" s="3" t="n">
        <v>42</v>
      </c>
      <c r="K14" s="3" t="n">
        <v>42</v>
      </c>
      <c r="L14" s="3" t="n">
        <v>42</v>
      </c>
    </row>
    <row r="15" customFormat="false" ht="15" hidden="false" customHeight="false" outlineLevel="0" collapsed="false">
      <c r="A15" s="0" t="s">
        <v>99</v>
      </c>
      <c r="C15" s="3" t="n">
        <v>0.3</v>
      </c>
      <c r="D15" s="3" t="n">
        <v>0.3</v>
      </c>
      <c r="E15" s="3" t="n">
        <v>0.3</v>
      </c>
      <c r="F15" s="3" t="n">
        <v>0.3</v>
      </c>
      <c r="G15" s="3" t="n">
        <v>0.3</v>
      </c>
      <c r="H15" s="3" t="n">
        <v>0.3</v>
      </c>
      <c r="I15" s="3" t="n">
        <v>0.3</v>
      </c>
      <c r="J15" s="3" t="n">
        <v>0.3</v>
      </c>
      <c r="K15" s="3" t="n">
        <v>0.3</v>
      </c>
      <c r="L15" s="3" t="n">
        <v>0.3</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10.5</v>
      </c>
      <c r="D17" s="3" t="n">
        <v>10.8</v>
      </c>
      <c r="E17" s="3" t="n">
        <v>11.2</v>
      </c>
      <c r="F17" s="3" t="n">
        <v>11.8</v>
      </c>
      <c r="G17" s="3" t="n">
        <v>12.4</v>
      </c>
      <c r="H17" s="3" t="n">
        <v>13</v>
      </c>
      <c r="I17" s="3" t="n">
        <v>13.4</v>
      </c>
      <c r="J17" s="3" t="n">
        <v>13.6</v>
      </c>
      <c r="K17" s="3" t="n">
        <v>13.8</v>
      </c>
      <c r="L17" s="3" t="n">
        <v>14</v>
      </c>
    </row>
    <row r="18" customFormat="false" ht="15" hidden="false" customHeight="false" outlineLevel="0" collapsed="false">
      <c r="A18" s="0" t="s">
        <v>102</v>
      </c>
      <c r="C18" s="3" t="n">
        <v>51</v>
      </c>
      <c r="D18" s="3" t="n">
        <v>57.2</v>
      </c>
      <c r="E18" s="3" t="n">
        <v>61.1</v>
      </c>
      <c r="F18" s="3" t="n">
        <v>61</v>
      </c>
      <c r="G18" s="3" t="n">
        <v>51.8</v>
      </c>
      <c r="H18" s="3" t="n">
        <v>43.1</v>
      </c>
      <c r="I18" s="3" t="n">
        <v>35.1</v>
      </c>
      <c r="J18" s="3" t="n">
        <v>28.9</v>
      </c>
      <c r="K18" s="3" t="n">
        <v>22.2</v>
      </c>
      <c r="L18" s="3" t="n">
        <v>17.7</v>
      </c>
    </row>
    <row r="19" customFormat="false" ht="15" hidden="false" customHeight="false" outlineLevel="0" collapsed="false">
      <c r="A19" s="0" t="s">
        <v>103</v>
      </c>
      <c r="C19" s="3" t="n">
        <v>8</v>
      </c>
      <c r="D19" s="3" t="n">
        <v>9</v>
      </c>
      <c r="E19" s="3" t="n">
        <v>10</v>
      </c>
      <c r="F19" s="3" t="n">
        <v>11</v>
      </c>
      <c r="G19" s="3" t="n">
        <v>13</v>
      </c>
      <c r="H19" s="3" t="n">
        <v>16</v>
      </c>
      <c r="I19" s="3" t="n">
        <v>19</v>
      </c>
      <c r="J19" s="3" t="n">
        <v>22</v>
      </c>
      <c r="K19" s="3" t="n">
        <v>25</v>
      </c>
      <c r="L19" s="3" t="n">
        <v>25</v>
      </c>
    </row>
    <row r="20" customFormat="false" ht="15" hidden="false" customHeight="false" outlineLevel="0" collapsed="false">
      <c r="A20" s="0" t="s">
        <v>104</v>
      </c>
      <c r="B20" s="3" t="n">
        <v>6.5</v>
      </c>
    </row>
    <row r="21" customFormat="false" ht="15" hidden="false" customHeight="false" outlineLevel="0" collapsed="false">
      <c r="A21" s="0" t="s">
        <v>105</v>
      </c>
      <c r="B21" s="3" t="n">
        <v>2</v>
      </c>
    </row>
    <row r="22" customFormat="false" ht="15" hidden="false" customHeight="false" outlineLevel="0" collapsed="false">
      <c r="A22" s="0" t="s">
        <v>106</v>
      </c>
      <c r="B22" s="3" t="n">
        <v>20</v>
      </c>
    </row>
    <row r="23" customFormat="false" ht="15" hidden="false" customHeight="false" outlineLevel="0" collapsed="false">
      <c r="A23" s="0" t="s">
        <v>107</v>
      </c>
      <c r="B23" s="3" t="n">
        <v>0</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6</v>
      </c>
      <c r="D27" s="3" t="n">
        <v>6</v>
      </c>
      <c r="E27" s="3" t="n">
        <v>6</v>
      </c>
      <c r="F27" s="3" t="n">
        <v>5</v>
      </c>
      <c r="G27" s="3" t="n">
        <v>5</v>
      </c>
      <c r="H27" s="3" t="n">
        <v>4</v>
      </c>
      <c r="I27" s="3" t="n">
        <v>3.5</v>
      </c>
      <c r="J27" s="3" t="n">
        <v>3</v>
      </c>
      <c r="K27" s="3" t="n">
        <v>3</v>
      </c>
      <c r="L27" s="3" t="n">
        <v>3</v>
      </c>
    </row>
    <row r="28" customFormat="false" ht="15" hidden="false" customHeight="false" outlineLevel="0" collapsed="false">
      <c r="A28" s="0" t="s">
        <v>98</v>
      </c>
      <c r="C28" s="3" t="n">
        <v>37</v>
      </c>
      <c r="D28" s="3" t="n">
        <v>39.5</v>
      </c>
      <c r="E28" s="3" t="n">
        <v>42</v>
      </c>
      <c r="F28" s="3" t="n">
        <v>44.5</v>
      </c>
      <c r="G28" s="3" t="n">
        <v>46</v>
      </c>
      <c r="H28" s="3" t="n">
        <v>47</v>
      </c>
      <c r="I28" s="3" t="n">
        <v>47.5</v>
      </c>
      <c r="J28" s="3" t="n">
        <v>47.5</v>
      </c>
      <c r="K28" s="3" t="n">
        <v>47.5</v>
      </c>
      <c r="L28" s="3" t="n">
        <v>47.5</v>
      </c>
    </row>
    <row r="29" customFormat="false" ht="15" hidden="false" customHeight="false" outlineLevel="0" collapsed="false">
      <c r="A29" s="0" t="s">
        <v>99</v>
      </c>
      <c r="C29" s="3" t="n">
        <v>0.3</v>
      </c>
      <c r="D29" s="3" t="n">
        <v>0.3</v>
      </c>
      <c r="E29" s="3" t="n">
        <v>0.3</v>
      </c>
      <c r="F29" s="3" t="n">
        <v>0.3</v>
      </c>
      <c r="G29" s="3" t="n">
        <v>0.3</v>
      </c>
      <c r="H29" s="3" t="n">
        <v>0.3</v>
      </c>
      <c r="I29" s="3" t="n">
        <v>0.3</v>
      </c>
      <c r="J29" s="3" t="n">
        <v>0.3</v>
      </c>
      <c r="K29" s="3" t="n">
        <v>0.3</v>
      </c>
      <c r="L29" s="3" t="n">
        <v>0.3</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10.5</v>
      </c>
      <c r="D31" s="3" t="n">
        <v>10.8</v>
      </c>
      <c r="E31" s="3" t="n">
        <v>11.2</v>
      </c>
      <c r="F31" s="3" t="n">
        <v>11.8</v>
      </c>
      <c r="G31" s="3" t="n">
        <v>12.4</v>
      </c>
      <c r="H31" s="3" t="n">
        <v>13</v>
      </c>
      <c r="I31" s="3" t="n">
        <v>13.4</v>
      </c>
      <c r="J31" s="3" t="n">
        <v>13.6</v>
      </c>
      <c r="K31" s="3" t="n">
        <v>13.8</v>
      </c>
      <c r="L31" s="3" t="n">
        <v>14</v>
      </c>
    </row>
    <row r="32" customFormat="false" ht="15" hidden="false" customHeight="false" outlineLevel="0" collapsed="false">
      <c r="A32" s="0" t="s">
        <v>102</v>
      </c>
      <c r="C32" s="3" t="n">
        <v>50.9</v>
      </c>
      <c r="D32" s="3" t="n">
        <v>56.8</v>
      </c>
      <c r="E32" s="3" t="n">
        <v>61.8</v>
      </c>
      <c r="F32" s="3" t="n">
        <v>62.8</v>
      </c>
      <c r="G32" s="3" t="n">
        <v>52.3</v>
      </c>
      <c r="H32" s="3" t="n">
        <v>43.1</v>
      </c>
      <c r="I32" s="3" t="n">
        <v>34.7</v>
      </c>
      <c r="J32" s="3" t="n">
        <v>28.3</v>
      </c>
      <c r="K32" s="3" t="n">
        <v>21.6</v>
      </c>
      <c r="L32" s="3" t="n">
        <v>17.5</v>
      </c>
    </row>
    <row r="33" customFormat="false" ht="15" hidden="false" customHeight="false" outlineLevel="0" collapsed="false">
      <c r="A33" s="0" t="s">
        <v>103</v>
      </c>
      <c r="C33" s="3" t="n">
        <v>8</v>
      </c>
      <c r="D33" s="3" t="n">
        <v>9</v>
      </c>
      <c r="E33" s="3" t="n">
        <v>10</v>
      </c>
      <c r="F33" s="3" t="n">
        <v>11</v>
      </c>
      <c r="G33" s="3" t="n">
        <v>13</v>
      </c>
      <c r="H33" s="3" t="n">
        <v>16</v>
      </c>
      <c r="I33" s="3" t="n">
        <v>19</v>
      </c>
      <c r="J33" s="3" t="n">
        <v>22</v>
      </c>
      <c r="K33" s="3" t="n">
        <v>25</v>
      </c>
      <c r="L33" s="3" t="n">
        <v>25</v>
      </c>
    </row>
    <row r="34" customFormat="false" ht="15" hidden="false" customHeight="false" outlineLevel="0" collapsed="false">
      <c r="A34" s="0" t="s">
        <v>104</v>
      </c>
      <c r="B34" s="3" t="n">
        <v>6.5</v>
      </c>
    </row>
    <row r="35" customFormat="false" ht="15" hidden="false" customHeight="false" outlineLevel="0" collapsed="false">
      <c r="A35" s="0" t="s">
        <v>105</v>
      </c>
      <c r="B35" s="3" t="n">
        <v>2.5</v>
      </c>
    </row>
    <row r="36" customFormat="false" ht="15" hidden="false" customHeight="false" outlineLevel="0" collapsed="false">
      <c r="A36" s="0" t="s">
        <v>106</v>
      </c>
      <c r="B36" s="3" t="n">
        <v>22</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7</v>
      </c>
      <c r="D41" s="3" t="n">
        <v>7</v>
      </c>
      <c r="E41" s="3" t="n">
        <v>7</v>
      </c>
      <c r="F41" s="3" t="n">
        <v>6</v>
      </c>
      <c r="G41" s="3" t="n">
        <v>6</v>
      </c>
      <c r="H41" s="3" t="n">
        <v>5</v>
      </c>
      <c r="I41" s="3" t="n">
        <v>4</v>
      </c>
      <c r="J41" s="3" t="n">
        <v>3.5</v>
      </c>
      <c r="K41" s="3" t="n">
        <v>3</v>
      </c>
      <c r="L41" s="3" t="n">
        <v>3</v>
      </c>
    </row>
    <row r="42" customFormat="false" ht="15" hidden="false" customHeight="false" outlineLevel="0" collapsed="false">
      <c r="A42" s="0" t="s">
        <v>98</v>
      </c>
      <c r="C42" s="3" t="n">
        <v>38.5</v>
      </c>
      <c r="D42" s="3" t="n">
        <v>41.5</v>
      </c>
      <c r="E42" s="3" t="n">
        <v>44.5</v>
      </c>
      <c r="F42" s="3" t="n">
        <v>47</v>
      </c>
      <c r="G42" s="3" t="n">
        <v>48.5</v>
      </c>
      <c r="H42" s="3" t="n">
        <v>49.5</v>
      </c>
      <c r="I42" s="3" t="n">
        <v>50</v>
      </c>
      <c r="J42" s="3" t="n">
        <v>50</v>
      </c>
      <c r="K42" s="3" t="n">
        <v>50</v>
      </c>
      <c r="L42" s="3" t="n">
        <v>50</v>
      </c>
    </row>
    <row r="43" customFormat="false" ht="15" hidden="false" customHeight="false" outlineLevel="0" collapsed="false">
      <c r="A43" s="0" t="s">
        <v>99</v>
      </c>
      <c r="C43" s="3" t="n">
        <v>0.3</v>
      </c>
      <c r="D43" s="3" t="n">
        <v>0.3</v>
      </c>
      <c r="E43" s="3" t="n">
        <v>0.3</v>
      </c>
      <c r="F43" s="3" t="n">
        <v>0.3</v>
      </c>
      <c r="G43" s="3" t="n">
        <v>0.3</v>
      </c>
      <c r="H43" s="3" t="n">
        <v>0.3</v>
      </c>
      <c r="I43" s="3" t="n">
        <v>0.3</v>
      </c>
      <c r="J43" s="3" t="n">
        <v>0.3</v>
      </c>
      <c r="K43" s="3" t="n">
        <v>0.3</v>
      </c>
      <c r="L43" s="3" t="n">
        <v>0.3</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10.5</v>
      </c>
      <c r="D45" s="3" t="n">
        <v>10.8</v>
      </c>
      <c r="E45" s="3" t="n">
        <v>11.2</v>
      </c>
      <c r="F45" s="3" t="n">
        <v>11.8</v>
      </c>
      <c r="G45" s="3" t="n">
        <v>12.4</v>
      </c>
      <c r="H45" s="3" t="n">
        <v>13</v>
      </c>
      <c r="I45" s="3" t="n">
        <v>13.4</v>
      </c>
      <c r="J45" s="3" t="n">
        <v>13.6</v>
      </c>
      <c r="K45" s="3" t="n">
        <v>13.8</v>
      </c>
      <c r="L45" s="3" t="n">
        <v>14</v>
      </c>
    </row>
    <row r="46" customFormat="false" ht="15" hidden="false" customHeight="false" outlineLevel="0" collapsed="false">
      <c r="A46" s="0" t="s">
        <v>102</v>
      </c>
      <c r="C46" s="3" t="n">
        <v>51.4</v>
      </c>
      <c r="D46" s="3" t="n">
        <v>57.4</v>
      </c>
      <c r="E46" s="3" t="n">
        <v>62.5</v>
      </c>
      <c r="F46" s="3" t="n">
        <v>62.7</v>
      </c>
      <c r="G46" s="3" t="n">
        <v>53.5</v>
      </c>
      <c r="H46" s="3" t="n">
        <v>44.1</v>
      </c>
      <c r="I46" s="3" t="n">
        <v>34.6</v>
      </c>
      <c r="J46" s="3" t="n">
        <v>27.8</v>
      </c>
      <c r="K46" s="3" t="n">
        <v>21.4</v>
      </c>
      <c r="L46" s="3" t="n">
        <v>17.5</v>
      </c>
    </row>
    <row r="47" customFormat="false" ht="15" hidden="false" customHeight="false" outlineLevel="0" collapsed="false">
      <c r="A47" s="0" t="s">
        <v>103</v>
      </c>
      <c r="C47" s="3" t="n">
        <v>8</v>
      </c>
      <c r="D47" s="3" t="n">
        <v>9</v>
      </c>
      <c r="E47" s="3" t="n">
        <v>10</v>
      </c>
      <c r="F47" s="3" t="n">
        <v>11</v>
      </c>
      <c r="G47" s="3" t="n">
        <v>13</v>
      </c>
      <c r="H47" s="3" t="n">
        <v>16</v>
      </c>
      <c r="I47" s="3" t="n">
        <v>19</v>
      </c>
      <c r="J47" s="3" t="n">
        <v>22</v>
      </c>
      <c r="K47" s="3" t="n">
        <v>25</v>
      </c>
      <c r="L47" s="3" t="n">
        <v>25</v>
      </c>
    </row>
    <row r="48" customFormat="false" ht="15" hidden="false" customHeight="false" outlineLevel="0" collapsed="false">
      <c r="A48" s="0" t="s">
        <v>104</v>
      </c>
      <c r="B48" s="3" t="n">
        <v>6.5</v>
      </c>
    </row>
    <row r="49" customFormat="false" ht="15" hidden="false" customHeight="false" outlineLevel="0" collapsed="false">
      <c r="A49" s="0" t="s">
        <v>105</v>
      </c>
      <c r="B49" s="3" t="n">
        <v>3</v>
      </c>
    </row>
    <row r="50" customFormat="false" ht="15" hidden="false" customHeight="false" outlineLevel="0" collapsed="false">
      <c r="A50" s="0" t="s">
        <v>106</v>
      </c>
      <c r="B50" s="3" t="n">
        <v>25</v>
      </c>
    </row>
    <row r="51" customFormat="false" ht="15" hidden="false" customHeight="false" outlineLevel="0" collapsed="false">
      <c r="A51" s="0" t="s">
        <v>107</v>
      </c>
      <c r="B51" s="3" t="n">
        <v>0</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4</v>
      </c>
      <c r="D5" s="4" t="n">
        <f aca="false">Assumptions!D13</f>
        <v>4</v>
      </c>
      <c r="E5" s="4" t="n">
        <f aca="false">Assumptions!E13</f>
        <v>4</v>
      </c>
      <c r="F5" s="4" t="n">
        <f aca="false">Assumptions!F13</f>
        <v>3</v>
      </c>
      <c r="G5" s="4" t="n">
        <f aca="false">Assumptions!G13</f>
        <v>3</v>
      </c>
      <c r="H5" s="4" t="n">
        <f aca="false">Assumptions!H13</f>
        <v>3</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38</v>
      </c>
      <c r="B6" s="3" t="n">
        <v>10186.5</v>
      </c>
      <c r="C6" s="0" t="n">
        <f aca="false">B6*(1+C5/100)</f>
        <v>10593.96</v>
      </c>
      <c r="D6" s="0" t="n">
        <f aca="false">C6*(1+D5/100)</f>
        <v>11017.7184</v>
      </c>
      <c r="E6" s="0" t="n">
        <f aca="false">D6*(1+E5/100)</f>
        <v>11458.427136</v>
      </c>
      <c r="F6" s="0" t="n">
        <f aca="false">E6*(1+F5/100)</f>
        <v>11802.17995008</v>
      </c>
      <c r="G6" s="0" t="n">
        <f aca="false">F6*(1+G5/100)</f>
        <v>12156.2453485824</v>
      </c>
      <c r="H6" s="0" t="n">
        <f aca="false">G6*(1+H5/100)</f>
        <v>12520.9327090399</v>
      </c>
      <c r="I6" s="0" t="n">
        <f aca="false">H6*(1+I5/100)</f>
        <v>12833.9560267659</v>
      </c>
      <c r="J6" s="0" t="n">
        <f aca="false">I6*(1+J5/100)</f>
        <v>13154.804927435</v>
      </c>
      <c r="K6" s="0" t="n">
        <f aca="false">J6*(1+K5/100)</f>
        <v>13483.6750506209</v>
      </c>
      <c r="L6" s="0" t="n">
        <f aca="false">K6*(1+L5/100)</f>
        <v>13820.7669268864</v>
      </c>
    </row>
    <row r="7" customFormat="false" ht="15" hidden="false" customHeight="false" outlineLevel="0" collapsed="false">
      <c r="A7" s="0" t="s">
        <v>98</v>
      </c>
      <c r="C7" s="4" t="n">
        <f aca="false">Assumptions!C14</f>
        <v>35</v>
      </c>
      <c r="D7" s="4" t="n">
        <f aca="false">Assumptions!D14</f>
        <v>36.5</v>
      </c>
      <c r="E7" s="4" t="n">
        <f aca="false">Assumptions!E14</f>
        <v>38</v>
      </c>
      <c r="F7" s="4" t="n">
        <f aca="false">Assumptions!F14</f>
        <v>39.5</v>
      </c>
      <c r="G7" s="4" t="n">
        <f aca="false">Assumptions!G14</f>
        <v>40.5</v>
      </c>
      <c r="H7" s="4" t="n">
        <f aca="false">Assumptions!H14</f>
        <v>41.5</v>
      </c>
      <c r="I7" s="4" t="n">
        <f aca="false">Assumptions!I14</f>
        <v>42</v>
      </c>
      <c r="J7" s="4" t="n">
        <f aca="false">Assumptions!J14</f>
        <v>42</v>
      </c>
      <c r="K7" s="4" t="n">
        <f aca="false">Assumptions!K14</f>
        <v>42</v>
      </c>
      <c r="L7" s="4" t="n">
        <f aca="false">Assumptions!L14</f>
        <v>42</v>
      </c>
    </row>
    <row r="8" customFormat="false" ht="15" hidden="false" customHeight="false" outlineLevel="0" collapsed="false">
      <c r="A8" s="0" t="s">
        <v>44</v>
      </c>
      <c r="C8" s="0" t="n">
        <f aca="false">C6*C7/100</f>
        <v>3707.886</v>
      </c>
      <c r="D8" s="0" t="n">
        <f aca="false">D6*D7/100</f>
        <v>4021.467216</v>
      </c>
      <c r="E8" s="0" t="n">
        <f aca="false">E6*E7/100</f>
        <v>4354.20231168</v>
      </c>
      <c r="F8" s="0" t="n">
        <f aca="false">F6*F7/100</f>
        <v>4661.8610802816</v>
      </c>
      <c r="G8" s="0" t="n">
        <f aca="false">G6*G7/100</f>
        <v>4923.27936617587</v>
      </c>
      <c r="H8" s="0" t="n">
        <f aca="false">H6*H7/100</f>
        <v>5196.18707425155</v>
      </c>
      <c r="I8" s="0" t="n">
        <f aca="false">I6*I7/100</f>
        <v>5390.26153124167</v>
      </c>
      <c r="J8" s="0" t="n">
        <f aca="false">J6*J7/100</f>
        <v>5525.01806952271</v>
      </c>
      <c r="K8" s="0" t="n">
        <f aca="false">K6*K7/100</f>
        <v>5663.14352126077</v>
      </c>
      <c r="L8" s="0" t="n">
        <f aca="false">L6*L7/100</f>
        <v>5804.72210929229</v>
      </c>
    </row>
    <row r="9" customFormat="false" ht="15" hidden="false" customHeight="false" outlineLevel="0" collapsed="false">
      <c r="A9" s="0" t="s">
        <v>99</v>
      </c>
      <c r="C9" s="4" t="n">
        <f aca="false">Assumptions!C15</f>
        <v>0.3</v>
      </c>
      <c r="D9" s="4" t="n">
        <f aca="false">Assumptions!D15</f>
        <v>0.3</v>
      </c>
      <c r="E9" s="4" t="n">
        <f aca="false">Assumptions!E15</f>
        <v>0.3</v>
      </c>
      <c r="F9" s="4" t="n">
        <f aca="false">Assumptions!F15</f>
        <v>0.3</v>
      </c>
      <c r="G9" s="4" t="n">
        <f aca="false">Assumptions!G15</f>
        <v>0.3</v>
      </c>
      <c r="H9" s="4" t="n">
        <f aca="false">Assumptions!H15</f>
        <v>0.3</v>
      </c>
      <c r="I9" s="4" t="n">
        <f aca="false">Assumptions!I15</f>
        <v>0.3</v>
      </c>
      <c r="J9" s="4" t="n">
        <f aca="false">Assumptions!J15</f>
        <v>0.3</v>
      </c>
      <c r="K9" s="4" t="n">
        <f aca="false">Assumptions!K15</f>
        <v>0.3</v>
      </c>
      <c r="L9" s="4" t="n">
        <f aca="false">Assumptions!L15</f>
        <v>0.3</v>
      </c>
    </row>
    <row r="10" customFormat="false" ht="15" hidden="false" customHeight="false" outlineLevel="0" collapsed="false">
      <c r="A10" s="0" t="s">
        <v>114</v>
      </c>
      <c r="C10" s="0" t="n">
        <f aca="false">-C6*C9/100</f>
        <v>-31.78188</v>
      </c>
      <c r="D10" s="0" t="n">
        <f aca="false">-D6*D9/100</f>
        <v>-33.0531552</v>
      </c>
      <c r="E10" s="0" t="n">
        <f aca="false">-E6*E9/100</f>
        <v>-34.375281408</v>
      </c>
      <c r="F10" s="0" t="n">
        <f aca="false">-F6*F9/100</f>
        <v>-35.40653985024</v>
      </c>
      <c r="G10" s="0" t="n">
        <f aca="false">-G6*G9/100</f>
        <v>-36.4687360457472</v>
      </c>
      <c r="H10" s="0" t="n">
        <f aca="false">-H6*H9/100</f>
        <v>-37.5627981271196</v>
      </c>
      <c r="I10" s="0" t="n">
        <f aca="false">-I6*I9/100</f>
        <v>-38.5018680802976</v>
      </c>
      <c r="J10" s="0" t="n">
        <f aca="false">-J6*J9/100</f>
        <v>-39.4644147823051</v>
      </c>
      <c r="K10" s="0" t="n">
        <f aca="false">-K6*K9/100</f>
        <v>-40.4510251518627</v>
      </c>
      <c r="L10" s="0" t="n">
        <f aca="false">-L6*L9/100</f>
        <v>-41.4623007806592</v>
      </c>
    </row>
    <row r="11" customFormat="false" ht="15" hidden="false" customHeight="false" outlineLevel="0" collapsed="false">
      <c r="A11" s="0" t="s">
        <v>115</v>
      </c>
      <c r="C11" s="0" t="n">
        <f aca="false">C8+C10+C24</f>
        <v>3676.10412</v>
      </c>
      <c r="D11" s="0" t="n">
        <f aca="false">D8+D10+D24</f>
        <v>3988.4140608</v>
      </c>
      <c r="E11" s="0" t="n">
        <f aca="false">E8+E10+E24</f>
        <v>4319.827030272</v>
      </c>
      <c r="F11" s="0" t="n">
        <f aca="false">F8+F10+F24</f>
        <v>4626.45454043136</v>
      </c>
      <c r="G11" s="0" t="n">
        <f aca="false">G8+G10+G24</f>
        <v>4886.81063013013</v>
      </c>
      <c r="H11" s="0" t="n">
        <f aca="false">H8+H10+H24</f>
        <v>5158.62427612443</v>
      </c>
      <c r="I11" s="0" t="n">
        <f aca="false">I8+I10+I24</f>
        <v>5351.75966316137</v>
      </c>
      <c r="J11" s="0" t="n">
        <f aca="false">J8+J10+J24</f>
        <v>5485.5536547404</v>
      </c>
      <c r="K11" s="0" t="n">
        <f aca="false">K8+K10+K24</f>
        <v>5622.69249610891</v>
      </c>
      <c r="L11" s="0" t="n">
        <f aca="false">L8+L10+L24</f>
        <v>5763.25980851163</v>
      </c>
    </row>
    <row r="12" customFormat="false" ht="15" hidden="false" customHeight="false" outlineLevel="0" collapsed="false">
      <c r="A12" s="0" t="s">
        <v>116</v>
      </c>
      <c r="C12" s="4" t="n">
        <f aca="false">-C6*Assumptions!C17/100</f>
        <v>-1112.3658</v>
      </c>
      <c r="D12" s="4" t="n">
        <f aca="false">-D6*Assumptions!D17/100</f>
        <v>-1189.9135872</v>
      </c>
      <c r="E12" s="4" t="n">
        <f aca="false">-E6*Assumptions!E17/100</f>
        <v>-1283.343839232</v>
      </c>
      <c r="F12" s="4" t="n">
        <f aca="false">-F6*Assumptions!F17/100</f>
        <v>-1392.65723410944</v>
      </c>
      <c r="G12" s="4" t="n">
        <f aca="false">-G6*Assumptions!G17/100</f>
        <v>-1507.37442322422</v>
      </c>
      <c r="H12" s="4" t="n">
        <f aca="false">-H6*Assumptions!H17/100</f>
        <v>-1627.72125217518</v>
      </c>
      <c r="I12" s="4" t="n">
        <f aca="false">-I6*Assumptions!I17/100</f>
        <v>-1719.75010758663</v>
      </c>
      <c r="J12" s="4" t="n">
        <f aca="false">-J6*Assumptions!J17/100</f>
        <v>-1789.05347013116</v>
      </c>
      <c r="K12" s="4" t="n">
        <f aca="false">-K6*Assumptions!K17/100</f>
        <v>-1860.74715698568</v>
      </c>
      <c r="L12" s="4" t="n">
        <f aca="false">-L6*Assumptions!L17/100</f>
        <v>-1934.9073697641</v>
      </c>
    </row>
    <row r="13" customFormat="false" ht="15" hidden="false" customHeight="false" outlineLevel="0" collapsed="false">
      <c r="A13" s="0" t="s">
        <v>117</v>
      </c>
      <c r="C13" s="0" t="n">
        <f aca="false">C11+C12</f>
        <v>2563.73832</v>
      </c>
      <c r="D13" s="0" t="n">
        <f aca="false">D11+D12</f>
        <v>2798.5004736</v>
      </c>
      <c r="E13" s="0" t="n">
        <f aca="false">E11+E12</f>
        <v>3036.48319104</v>
      </c>
      <c r="F13" s="0" t="n">
        <f aca="false">F11+F12</f>
        <v>3233.79730632192</v>
      </c>
      <c r="G13" s="0" t="n">
        <f aca="false">G11+G12</f>
        <v>3379.43620690591</v>
      </c>
      <c r="H13" s="0" t="n">
        <f aca="false">H11+H12</f>
        <v>3530.90302394925</v>
      </c>
      <c r="I13" s="0" t="n">
        <f aca="false">I11+I12</f>
        <v>3632.00955557474</v>
      </c>
      <c r="J13" s="0" t="n">
        <f aca="false">J11+J12</f>
        <v>3696.50018460924</v>
      </c>
      <c r="K13" s="0" t="n">
        <f aca="false">K11+K12</f>
        <v>3761.94533912323</v>
      </c>
      <c r="L13" s="0" t="n">
        <f aca="false">L11+L12</f>
        <v>3828.35243874754</v>
      </c>
    </row>
    <row r="14" customFormat="false" ht="15" hidden="false" customHeight="false" outlineLevel="0" collapsed="false">
      <c r="A14" s="0" t="s">
        <v>103</v>
      </c>
      <c r="C14" s="4" t="n">
        <f aca="false">Assumptions!C19</f>
        <v>8</v>
      </c>
      <c r="D14" s="4" t="n">
        <f aca="false">Assumptions!D19</f>
        <v>9</v>
      </c>
      <c r="E14" s="4" t="n">
        <f aca="false">Assumptions!E19</f>
        <v>10</v>
      </c>
      <c r="F14" s="4" t="n">
        <f aca="false">Assumptions!F19</f>
        <v>11</v>
      </c>
      <c r="G14" s="4" t="n">
        <f aca="false">Assumptions!G19</f>
        <v>13</v>
      </c>
      <c r="H14" s="4" t="n">
        <f aca="false">Assumptions!H19</f>
        <v>16</v>
      </c>
      <c r="I14" s="4" t="n">
        <f aca="false">Assumptions!I19</f>
        <v>19</v>
      </c>
      <c r="J14" s="4" t="n">
        <f aca="false">Assumptions!J19</f>
        <v>22</v>
      </c>
      <c r="K14" s="4" t="n">
        <f aca="false">Assumptions!K19</f>
        <v>25</v>
      </c>
      <c r="L14" s="4" t="n">
        <f aca="false">Assumptions!L19</f>
        <v>25</v>
      </c>
    </row>
    <row r="15" customFormat="false" ht="15" hidden="false" customHeight="false" outlineLevel="0" collapsed="false">
      <c r="A15" s="0" t="s">
        <v>118</v>
      </c>
      <c r="C15" s="0" t="n">
        <f aca="false">C13-MAX(0,C13)*C14/100</f>
        <v>2358.6392544</v>
      </c>
      <c r="D15" s="0" t="n">
        <f aca="false">D13-MAX(0,D13)*D14/100</f>
        <v>2546.635430976</v>
      </c>
      <c r="E15" s="0" t="n">
        <f aca="false">E13-MAX(0,E13)*E14/100</f>
        <v>2732.834871936</v>
      </c>
      <c r="F15" s="0" t="n">
        <f aca="false">F13-MAX(0,F13)*F14/100</f>
        <v>2878.07960262651</v>
      </c>
      <c r="G15" s="0" t="n">
        <f aca="false">G13-MAX(0,G13)*G14/100</f>
        <v>2940.10950000814</v>
      </c>
      <c r="H15" s="0" t="n">
        <f aca="false">H13-MAX(0,H13)*H14/100</f>
        <v>2965.95854011737</v>
      </c>
      <c r="I15" s="0" t="n">
        <f aca="false">I13-MAX(0,I13)*I14/100</f>
        <v>2941.92774001554</v>
      </c>
      <c r="J15" s="0" t="n">
        <f aca="false">J13-MAX(0,J13)*J14/100</f>
        <v>2883.27014399521</v>
      </c>
      <c r="K15" s="0" t="n">
        <f aca="false">K13-MAX(0,K13)*K14/100</f>
        <v>2821.45900434242</v>
      </c>
      <c r="L15" s="0" t="n">
        <f aca="false">L13-MAX(0,L13)*L14/100</f>
        <v>2871.26432906065</v>
      </c>
    </row>
    <row r="16" customFormat="false" ht="15" hidden="false" customHeight="false" outlineLevel="0" collapsed="false">
      <c r="A16" s="0" t="s">
        <v>119</v>
      </c>
      <c r="C16" s="0" t="n">
        <f aca="false">-C12</f>
        <v>1112.3658</v>
      </c>
      <c r="D16" s="0" t="n">
        <f aca="false">-D12</f>
        <v>1189.9135872</v>
      </c>
      <c r="E16" s="0" t="n">
        <f aca="false">-E12</f>
        <v>1283.343839232</v>
      </c>
      <c r="F16" s="0" t="n">
        <f aca="false">-F12</f>
        <v>1392.65723410944</v>
      </c>
      <c r="G16" s="0" t="n">
        <f aca="false">-G12</f>
        <v>1507.37442322422</v>
      </c>
      <c r="H16" s="0" t="n">
        <f aca="false">-H12</f>
        <v>1627.72125217518</v>
      </c>
      <c r="I16" s="0" t="n">
        <f aca="false">-I12</f>
        <v>1719.75010758663</v>
      </c>
      <c r="J16" s="0" t="n">
        <f aca="false">-J12</f>
        <v>1789.05347013116</v>
      </c>
      <c r="K16" s="0" t="n">
        <f aca="false">-K12</f>
        <v>1860.74715698568</v>
      </c>
      <c r="L16" s="0" t="n">
        <f aca="false">-L12</f>
        <v>1934.9073697641</v>
      </c>
    </row>
    <row r="17" customFormat="false" ht="15" hidden="false" customHeight="false" outlineLevel="0" collapsed="false">
      <c r="A17" s="0" t="s">
        <v>120</v>
      </c>
      <c r="C17" s="4" t="n">
        <f aca="false">-C6*Assumptions!C18/100</f>
        <v>-5402.9196</v>
      </c>
      <c r="D17" s="4" t="n">
        <f aca="false">-D6*Assumptions!D18/100</f>
        <v>-6302.1349248</v>
      </c>
      <c r="E17" s="4" t="n">
        <f aca="false">-E6*Assumptions!E18/100</f>
        <v>-7001.098980096</v>
      </c>
      <c r="F17" s="4" t="n">
        <f aca="false">-F6*Assumptions!F18/100</f>
        <v>-7199.3297695488</v>
      </c>
      <c r="G17" s="4" t="n">
        <f aca="false">-G6*Assumptions!G18/100</f>
        <v>-6296.93509056568</v>
      </c>
      <c r="H17" s="4" t="n">
        <f aca="false">-H6*Assumptions!H18/100</f>
        <v>-5396.52199759619</v>
      </c>
      <c r="I17" s="4" t="n">
        <f aca="false">-I6*Assumptions!I18/100</f>
        <v>-4504.71856539482</v>
      </c>
      <c r="J17" s="4" t="n">
        <f aca="false">-J6*Assumptions!J18/100</f>
        <v>-3801.73862402872</v>
      </c>
      <c r="K17" s="4" t="n">
        <f aca="false">-K6*Assumptions!K18/100</f>
        <v>-2993.37586123784</v>
      </c>
      <c r="L17" s="4" t="n">
        <f aca="false">-L6*Assumptions!L18/100</f>
        <v>-2446.27574605889</v>
      </c>
    </row>
    <row r="18" customFormat="false" ht="15" hidden="false" customHeight="false" outlineLevel="0" collapsed="false">
      <c r="A18" s="0" t="s">
        <v>121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122</v>
      </c>
      <c r="C19" s="0" t="n">
        <f aca="false">C15+C16+C17+C18</f>
        <v>-1931.9145456</v>
      </c>
      <c r="D19" s="0" t="n">
        <f aca="false">D15+D16+D17+D18</f>
        <v>-2565.585906624</v>
      </c>
      <c r="E19" s="0" t="n">
        <f aca="false">E15+E16+E17+E18</f>
        <v>-2984.920268928</v>
      </c>
      <c r="F19" s="0" t="n">
        <f aca="false">F15+F16+F17+F18</f>
        <v>-2928.59293281285</v>
      </c>
      <c r="G19" s="0" t="n">
        <f aca="false">G15+G16+G17+G18</f>
        <v>-1849.45116733333</v>
      </c>
      <c r="H19" s="0" t="n">
        <f aca="false">H15+H16+H17+H18</f>
        <v>-802.842205303638</v>
      </c>
      <c r="I19" s="0" t="n">
        <f aca="false">I15+I16+I17+I18</f>
        <v>156.959282207346</v>
      </c>
      <c r="J19" s="0" t="n">
        <f aca="false">J15+J16+J17+J18</f>
        <v>870.584990097649</v>
      </c>
      <c r="K19" s="0" t="n">
        <f aca="false">K15+K16+K17+K18</f>
        <v>1688.83030009027</v>
      </c>
      <c r="L19" s="0" t="n">
        <f aca="false">L15+L16+L17+L18</f>
        <v>2359.89595276585</v>
      </c>
    </row>
    <row r="20" customFormat="false" ht="15" hidden="false" customHeight="false" outlineLevel="0" collapsed="false">
      <c r="A20" s="0" t="s">
        <v>123</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124</v>
      </c>
      <c r="C21" s="0" t="n">
        <f aca="false">C19*C20</f>
        <v>-1814.00426816901</v>
      </c>
      <c r="D21" s="0" t="n">
        <f aca="false">D19*D20</f>
        <v>-2261.97263031938</v>
      </c>
      <c r="E21" s="0" t="n">
        <f aca="false">E19*E20</f>
        <v>-2471.06353373635</v>
      </c>
      <c r="F21" s="0" t="n">
        <f aca="false">F19*F20</f>
        <v>-2276.4629105068</v>
      </c>
      <c r="G21" s="0" t="n">
        <f aca="false">G19*G20</f>
        <v>-1349.8789651179</v>
      </c>
      <c r="H21" s="0" t="n">
        <f aca="false">H19*H20</f>
        <v>-550.215155306429</v>
      </c>
      <c r="I21" s="0" t="n">
        <f aca="false">I19*I20</f>
        <v>101.00427357643</v>
      </c>
      <c r="J21" s="0" t="n">
        <f aca="false">J19*J20</f>
        <v>526.034602506756</v>
      </c>
      <c r="K21" s="0" t="n">
        <f aca="false">K19*K20</f>
        <v>958.163322012245</v>
      </c>
      <c r="L21" s="0" t="n">
        <f aca="false">L19*L20</f>
        <v>1257.17801515789</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6.5</v>
      </c>
    </row>
    <row r="28" customFormat="false" ht="15" hidden="false" customHeight="false" outlineLevel="0" collapsed="false">
      <c r="A28" s="0" t="s">
        <v>105</v>
      </c>
      <c r="B28" s="4" t="n">
        <f aca="false">Assumptions!$B$21</f>
        <v>2</v>
      </c>
    </row>
    <row r="29" customFormat="false" ht="15" hidden="false" customHeight="false" outlineLevel="0" collapsed="false">
      <c r="A29" s="0" t="s">
        <v>106</v>
      </c>
      <c r="B29" s="4" t="n">
        <f aca="false">Assumptions!$B$22</f>
        <v>20</v>
      </c>
    </row>
    <row r="30" customFormat="false" ht="15" hidden="false" customHeight="false" outlineLevel="0" collapsed="false">
      <c r="A30" s="0" t="s">
        <v>127</v>
      </c>
      <c r="B30" s="0" t="n">
        <f aca="false">SUM(C21:L21)</f>
        <v>-7881.21724990256</v>
      </c>
    </row>
    <row r="31" customFormat="false" ht="15" hidden="false" customHeight="false" outlineLevel="0" collapsed="false">
      <c r="A31" s="0" t="s">
        <v>128</v>
      </c>
      <c r="B31" s="0" t="n">
        <f aca="false">L19</f>
        <v>2359.89595276585</v>
      </c>
    </row>
    <row r="32" customFormat="false" ht="15" hidden="false" customHeight="false" outlineLevel="0" collapsed="false">
      <c r="A32" s="0" t="s">
        <v>129</v>
      </c>
      <c r="B32" s="0" t="n">
        <f aca="false">IF(B27&gt;B28,B31*(1+B28/100)/((B27-B28)/100),B31*B29)</f>
        <v>53490.9749293594</v>
      </c>
    </row>
    <row r="33" customFormat="false" ht="15" hidden="false" customHeight="false" outlineLevel="0" collapsed="false">
      <c r="A33" s="0" t="s">
        <v>130</v>
      </c>
      <c r="B33" s="0" t="n">
        <f aca="false">B31*B29</f>
        <v>47197.9190553171</v>
      </c>
    </row>
    <row r="34" customFormat="false" ht="15" hidden="false" customHeight="false" outlineLevel="0" collapsed="false">
      <c r="A34" s="0" t="s">
        <v>131</v>
      </c>
      <c r="B34" s="0" t="n">
        <f aca="false">MAX(0,MIN(B32,B33))</f>
        <v>47197.9190553171</v>
      </c>
    </row>
    <row r="35" customFormat="false" ht="15" hidden="false" customHeight="false" outlineLevel="0" collapsed="false">
      <c r="A35" s="0" t="s">
        <v>132</v>
      </c>
      <c r="B35" s="0" t="n">
        <f aca="false">B34/(1+B27/100)^L4</f>
        <v>25143.5603031579</v>
      </c>
    </row>
    <row r="36" customFormat="false" ht="15" hidden="false" customHeight="false" outlineLevel="0" collapsed="false">
      <c r="A36" s="0" t="s">
        <v>133</v>
      </c>
      <c r="B36" s="0" t="n">
        <f aca="false">B30+B35</f>
        <v>17262.3430532553</v>
      </c>
    </row>
    <row r="37" customFormat="false" ht="15" hidden="false" customHeight="false" outlineLevel="0" collapsed="false">
      <c r="A37" s="0" t="s">
        <v>134</v>
      </c>
      <c r="B37" s="0" t="n">
        <f aca="false">B36+Assumptions!$B$5-Assumptions!$B$4</f>
        <v>5919.44305325534</v>
      </c>
    </row>
    <row r="38" customFormat="false" ht="15" hidden="false" customHeight="false" outlineLevel="0" collapsed="false">
      <c r="A38" s="0" t="s">
        <v>135</v>
      </c>
      <c r="B38" s="0" t="n">
        <f aca="false">B37/Assumptions!$B$3*Assumptions!$B$10</f>
        <v>487.598274567985</v>
      </c>
    </row>
    <row r="39" customFormat="false" ht="15" hidden="false" customHeight="false" outlineLevel="0" collapsed="false">
      <c r="A39" s="0" t="s">
        <v>136</v>
      </c>
      <c r="B39" s="4" t="n">
        <f aca="false">B38/Assumptions!$B$2-1</f>
        <v>-0.801304696590063</v>
      </c>
    </row>
    <row r="41" customFormat="false" ht="15" hidden="false" customHeight="false" outlineLevel="0" collapsed="false">
      <c r="A41" s="0" t="s">
        <v>137</v>
      </c>
      <c r="B41" s="0" t="n">
        <f aca="false">SUMPRODUCT(-C10:L10/(1+$B$27/100)^C4:L4)</f>
        <v>260.984415579502</v>
      </c>
    </row>
    <row r="42" customFormat="false" ht="15" hidden="false" customHeight="false" outlineLevel="0" collapsed="false">
      <c r="A42" s="0" t="s">
        <v>138</v>
      </c>
      <c r="B42" s="0" t="n">
        <f aca="false">IF(B27&gt;B28,-L10*(1+B28/100)/((B27-B28)/100),-L10*20)/(1+B27/100)^L4</f>
        <v>500.662401351314</v>
      </c>
    </row>
    <row r="43" customFormat="false" ht="15" hidden="false" customHeight="false" outlineLevel="0" collapsed="false">
      <c r="A43" s="0" t="s">
        <v>139</v>
      </c>
      <c r="B43" s="0" t="n">
        <f aca="false">(B37+B41+B42)/Assumptions!$B$3*Assumptions!$B$10</f>
        <v>550.336892107591</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18516.1067063167</v>
      </c>
    </row>
    <row r="47" customFormat="false" ht="15" hidden="false" customHeight="false" outlineLevel="0" collapsed="false">
      <c r="A47" s="0" t="s">
        <v>141</v>
      </c>
      <c r="B47" s="0" t="n">
        <f aca="false">(SUMPRODUCT(C19:L19/(1+B45/100)^C4:L4)+B46/(1+B45/100)^L4+Assumptions!$B$5-Assumptions!$B$4)/Assumptions!$B$3*Assumptions!$B$10</f>
        <v>-1143.53674327004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6</v>
      </c>
      <c r="D5" s="4" t="n">
        <f aca="false">Assumptions!D27</f>
        <v>6</v>
      </c>
      <c r="E5" s="4" t="n">
        <f aca="false">Assumptions!E27</f>
        <v>6</v>
      </c>
      <c r="F5" s="4" t="n">
        <f aca="false">Assumptions!F27</f>
        <v>5</v>
      </c>
      <c r="G5" s="4" t="n">
        <f aca="false">Assumptions!G27</f>
        <v>5</v>
      </c>
      <c r="H5" s="4" t="n">
        <f aca="false">Assumptions!H27</f>
        <v>4</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38</v>
      </c>
      <c r="B6" s="3" t="n">
        <v>10186.5</v>
      </c>
      <c r="C6" s="0" t="n">
        <f aca="false">B6*(1+C5/100)</f>
        <v>10797.69</v>
      </c>
      <c r="D6" s="0" t="n">
        <f aca="false">C6*(1+D5/100)</f>
        <v>11445.5514</v>
      </c>
      <c r="E6" s="0" t="n">
        <f aca="false">D6*(1+E5/100)</f>
        <v>12132.284484</v>
      </c>
      <c r="F6" s="0" t="n">
        <f aca="false">E6*(1+F5/100)</f>
        <v>12738.8987082</v>
      </c>
      <c r="G6" s="0" t="n">
        <f aca="false">F6*(1+G5/100)</f>
        <v>13375.84364361</v>
      </c>
      <c r="H6" s="0" t="n">
        <f aca="false">G6*(1+H5/100)</f>
        <v>13910.8773893544</v>
      </c>
      <c r="I6" s="0" t="n">
        <f aca="false">H6*(1+I5/100)</f>
        <v>14397.7580979818</v>
      </c>
      <c r="J6" s="0" t="n">
        <f aca="false">I6*(1+J5/100)</f>
        <v>14829.6908409213</v>
      </c>
      <c r="K6" s="0" t="n">
        <f aca="false">J6*(1+K5/100)</f>
        <v>15274.5815661489</v>
      </c>
      <c r="L6" s="0" t="n">
        <f aca="false">K6*(1+L5/100)</f>
        <v>15732.8190131334</v>
      </c>
    </row>
    <row r="7" customFormat="false" ht="15" hidden="false" customHeight="false" outlineLevel="0" collapsed="false">
      <c r="A7" s="0" t="s">
        <v>98</v>
      </c>
      <c r="C7" s="4" t="n">
        <f aca="false">Assumptions!C28</f>
        <v>37</v>
      </c>
      <c r="D7" s="4" t="n">
        <f aca="false">Assumptions!D28</f>
        <v>39.5</v>
      </c>
      <c r="E7" s="4" t="n">
        <f aca="false">Assumptions!E28</f>
        <v>42</v>
      </c>
      <c r="F7" s="4" t="n">
        <f aca="false">Assumptions!F28</f>
        <v>44.5</v>
      </c>
      <c r="G7" s="4" t="n">
        <f aca="false">Assumptions!G28</f>
        <v>46</v>
      </c>
      <c r="H7" s="4" t="n">
        <f aca="false">Assumptions!H28</f>
        <v>47</v>
      </c>
      <c r="I7" s="4" t="n">
        <f aca="false">Assumptions!I28</f>
        <v>47.5</v>
      </c>
      <c r="J7" s="4" t="n">
        <f aca="false">Assumptions!J28</f>
        <v>47.5</v>
      </c>
      <c r="K7" s="4" t="n">
        <f aca="false">Assumptions!K28</f>
        <v>47.5</v>
      </c>
      <c r="L7" s="4" t="n">
        <f aca="false">Assumptions!L28</f>
        <v>47.5</v>
      </c>
    </row>
    <row r="8" customFormat="false" ht="15" hidden="false" customHeight="false" outlineLevel="0" collapsed="false">
      <c r="A8" s="0" t="s">
        <v>44</v>
      </c>
      <c r="C8" s="0" t="n">
        <f aca="false">C6*C7/100</f>
        <v>3995.1453</v>
      </c>
      <c r="D8" s="0" t="n">
        <f aca="false">D6*D7/100</f>
        <v>4520.992803</v>
      </c>
      <c r="E8" s="0" t="n">
        <f aca="false">E6*E7/100</f>
        <v>5095.55948328</v>
      </c>
      <c r="F8" s="0" t="n">
        <f aca="false">F6*F7/100</f>
        <v>5668.809925149</v>
      </c>
      <c r="G8" s="0" t="n">
        <f aca="false">G6*G7/100</f>
        <v>6152.8880760606</v>
      </c>
      <c r="H8" s="0" t="n">
        <f aca="false">H6*H7/100</f>
        <v>6538.11237299657</v>
      </c>
      <c r="I8" s="0" t="n">
        <f aca="false">I6*I7/100</f>
        <v>6838.93509654136</v>
      </c>
      <c r="J8" s="0" t="n">
        <f aca="false">J6*J7/100</f>
        <v>7044.1031494376</v>
      </c>
      <c r="K8" s="0" t="n">
        <f aca="false">K6*K7/100</f>
        <v>7255.42624392073</v>
      </c>
      <c r="L8" s="0" t="n">
        <f aca="false">L6*L7/100</f>
        <v>7473.08903123835</v>
      </c>
    </row>
    <row r="9" customFormat="false" ht="15" hidden="false" customHeight="false" outlineLevel="0" collapsed="false">
      <c r="A9" s="0" t="s">
        <v>99</v>
      </c>
      <c r="C9" s="4" t="n">
        <f aca="false">Assumptions!C29</f>
        <v>0.3</v>
      </c>
      <c r="D9" s="4" t="n">
        <f aca="false">Assumptions!D29</f>
        <v>0.3</v>
      </c>
      <c r="E9" s="4" t="n">
        <f aca="false">Assumptions!E29</f>
        <v>0.3</v>
      </c>
      <c r="F9" s="4" t="n">
        <f aca="false">Assumptions!F29</f>
        <v>0.3</v>
      </c>
      <c r="G9" s="4" t="n">
        <f aca="false">Assumptions!G29</f>
        <v>0.3</v>
      </c>
      <c r="H9" s="4" t="n">
        <f aca="false">Assumptions!H29</f>
        <v>0.3</v>
      </c>
      <c r="I9" s="4" t="n">
        <f aca="false">Assumptions!I29</f>
        <v>0.3</v>
      </c>
      <c r="J9" s="4" t="n">
        <f aca="false">Assumptions!J29</f>
        <v>0.3</v>
      </c>
      <c r="K9" s="4" t="n">
        <f aca="false">Assumptions!K29</f>
        <v>0.3</v>
      </c>
      <c r="L9" s="4" t="n">
        <f aca="false">Assumptions!L29</f>
        <v>0.3</v>
      </c>
    </row>
    <row r="10" customFormat="false" ht="15" hidden="false" customHeight="false" outlineLevel="0" collapsed="false">
      <c r="A10" s="0" t="s">
        <v>114</v>
      </c>
      <c r="C10" s="0" t="n">
        <f aca="false">-C6*C9/100</f>
        <v>-32.39307</v>
      </c>
      <c r="D10" s="0" t="n">
        <f aca="false">-D6*D9/100</f>
        <v>-34.3366542</v>
      </c>
      <c r="E10" s="0" t="n">
        <f aca="false">-E6*E9/100</f>
        <v>-36.396853452</v>
      </c>
      <c r="F10" s="0" t="n">
        <f aca="false">-F6*F9/100</f>
        <v>-38.2166961246</v>
      </c>
      <c r="G10" s="0" t="n">
        <f aca="false">-G6*G9/100</f>
        <v>-40.12753093083</v>
      </c>
      <c r="H10" s="0" t="n">
        <f aca="false">-H6*H9/100</f>
        <v>-41.7326321680632</v>
      </c>
      <c r="I10" s="0" t="n">
        <f aca="false">-I6*I9/100</f>
        <v>-43.1932742939454</v>
      </c>
      <c r="J10" s="0" t="n">
        <f aca="false">-J6*J9/100</f>
        <v>-44.4890725227638</v>
      </c>
      <c r="K10" s="0" t="n">
        <f aca="false">-K6*K9/100</f>
        <v>-45.8237446984467</v>
      </c>
      <c r="L10" s="0" t="n">
        <f aca="false">-L6*L9/100</f>
        <v>-47.1984570394001</v>
      </c>
    </row>
    <row r="11" customFormat="false" ht="15" hidden="false" customHeight="false" outlineLevel="0" collapsed="false">
      <c r="A11" s="0" t="s">
        <v>115</v>
      </c>
      <c r="C11" s="0" t="n">
        <f aca="false">C8+C10+C24</f>
        <v>3962.75223</v>
      </c>
      <c r="D11" s="0" t="n">
        <f aca="false">D8+D10+D24</f>
        <v>4486.6561488</v>
      </c>
      <c r="E11" s="0" t="n">
        <f aca="false">E8+E10+E24</f>
        <v>5059.162629828</v>
      </c>
      <c r="F11" s="0" t="n">
        <f aca="false">F8+F10+F24</f>
        <v>5630.5932290244</v>
      </c>
      <c r="G11" s="0" t="n">
        <f aca="false">G8+G10+G24</f>
        <v>6112.76054512977</v>
      </c>
      <c r="H11" s="0" t="n">
        <f aca="false">H8+H10+H24</f>
        <v>6496.37974082851</v>
      </c>
      <c r="I11" s="0" t="n">
        <f aca="false">I8+I10+I24</f>
        <v>6795.74182224741</v>
      </c>
      <c r="J11" s="0" t="n">
        <f aca="false">J8+J10+J24</f>
        <v>6999.61407691484</v>
      </c>
      <c r="K11" s="0" t="n">
        <f aca="false">K8+K10+K24</f>
        <v>7209.60249922228</v>
      </c>
      <c r="L11" s="0" t="n">
        <f aca="false">L8+L10+L24</f>
        <v>7425.89057419895</v>
      </c>
    </row>
    <row r="12" customFormat="false" ht="15" hidden="false" customHeight="false" outlineLevel="0" collapsed="false">
      <c r="A12" s="0" t="s">
        <v>116</v>
      </c>
      <c r="C12" s="4" t="n">
        <f aca="false">-C6*Assumptions!C31/100</f>
        <v>-1133.75745</v>
      </c>
      <c r="D12" s="4" t="n">
        <f aca="false">-D6*Assumptions!D31/100</f>
        <v>-1236.1195512</v>
      </c>
      <c r="E12" s="4" t="n">
        <f aca="false">-E6*Assumptions!E31/100</f>
        <v>-1358.815862208</v>
      </c>
      <c r="F12" s="4" t="n">
        <f aca="false">-F6*Assumptions!F31/100</f>
        <v>-1503.1900475676</v>
      </c>
      <c r="G12" s="4" t="n">
        <f aca="false">-G6*Assumptions!G31/100</f>
        <v>-1658.60461180764</v>
      </c>
      <c r="H12" s="4" t="n">
        <f aca="false">-H6*Assumptions!H31/100</f>
        <v>-1808.41406061607</v>
      </c>
      <c r="I12" s="4" t="n">
        <f aca="false">-I6*Assumptions!I31/100</f>
        <v>-1929.29958512956</v>
      </c>
      <c r="J12" s="4" t="n">
        <f aca="false">-J6*Assumptions!J31/100</f>
        <v>-2016.83795436529</v>
      </c>
      <c r="K12" s="4" t="n">
        <f aca="false">-K6*Assumptions!K31/100</f>
        <v>-2107.89225612855</v>
      </c>
      <c r="L12" s="4" t="n">
        <f aca="false">-L6*Assumptions!L31/100</f>
        <v>-2202.59466183867</v>
      </c>
    </row>
    <row r="13" customFormat="false" ht="15" hidden="false" customHeight="false" outlineLevel="0" collapsed="false">
      <c r="A13" s="0" t="s">
        <v>117</v>
      </c>
      <c r="C13" s="0" t="n">
        <f aca="false">C11+C12</f>
        <v>2828.99478</v>
      </c>
      <c r="D13" s="0" t="n">
        <f aca="false">D11+D12</f>
        <v>3250.5365976</v>
      </c>
      <c r="E13" s="0" t="n">
        <f aca="false">E11+E12</f>
        <v>3700.34676762</v>
      </c>
      <c r="F13" s="0" t="n">
        <f aca="false">F11+F12</f>
        <v>4127.4031814568</v>
      </c>
      <c r="G13" s="0" t="n">
        <f aca="false">G11+G12</f>
        <v>4454.15593332213</v>
      </c>
      <c r="H13" s="0" t="n">
        <f aca="false">H11+H12</f>
        <v>4687.96568021243</v>
      </c>
      <c r="I13" s="0" t="n">
        <f aca="false">I11+I12</f>
        <v>4866.44223711785</v>
      </c>
      <c r="J13" s="0" t="n">
        <f aca="false">J11+J12</f>
        <v>4982.77612254954</v>
      </c>
      <c r="K13" s="0" t="n">
        <f aca="false">K11+K12</f>
        <v>5101.71024309373</v>
      </c>
      <c r="L13" s="0" t="n">
        <f aca="false">L11+L12</f>
        <v>5223.29591236028</v>
      </c>
    </row>
    <row r="14" customFormat="false" ht="15" hidden="false" customHeight="false" outlineLevel="0" collapsed="false">
      <c r="A14" s="0" t="s">
        <v>103</v>
      </c>
      <c r="C14" s="4" t="n">
        <f aca="false">Assumptions!C33</f>
        <v>8</v>
      </c>
      <c r="D14" s="4" t="n">
        <f aca="false">Assumptions!D33</f>
        <v>9</v>
      </c>
      <c r="E14" s="4" t="n">
        <f aca="false">Assumptions!E33</f>
        <v>10</v>
      </c>
      <c r="F14" s="4" t="n">
        <f aca="false">Assumptions!F33</f>
        <v>11</v>
      </c>
      <c r="G14" s="4" t="n">
        <f aca="false">Assumptions!G33</f>
        <v>13</v>
      </c>
      <c r="H14" s="4" t="n">
        <f aca="false">Assumptions!H33</f>
        <v>16</v>
      </c>
      <c r="I14" s="4" t="n">
        <f aca="false">Assumptions!I33</f>
        <v>19</v>
      </c>
      <c r="J14" s="4" t="n">
        <f aca="false">Assumptions!J33</f>
        <v>22</v>
      </c>
      <c r="K14" s="4" t="n">
        <f aca="false">Assumptions!K33</f>
        <v>25</v>
      </c>
      <c r="L14" s="4" t="n">
        <f aca="false">Assumptions!L33</f>
        <v>25</v>
      </c>
    </row>
    <row r="15" customFormat="false" ht="15" hidden="false" customHeight="false" outlineLevel="0" collapsed="false">
      <c r="A15" s="0" t="s">
        <v>118</v>
      </c>
      <c r="C15" s="0" t="n">
        <f aca="false">C13-MAX(0,C13)*C14/100</f>
        <v>2602.6751976</v>
      </c>
      <c r="D15" s="0" t="n">
        <f aca="false">D13-MAX(0,D13)*D14/100</f>
        <v>2957.988303816</v>
      </c>
      <c r="E15" s="0" t="n">
        <f aca="false">E13-MAX(0,E13)*E14/100</f>
        <v>3330.312090858</v>
      </c>
      <c r="F15" s="0" t="n">
        <f aca="false">F13-MAX(0,F13)*F14/100</f>
        <v>3673.38883149655</v>
      </c>
      <c r="G15" s="0" t="n">
        <f aca="false">G13-MAX(0,G13)*G14/100</f>
        <v>3875.11566199025</v>
      </c>
      <c r="H15" s="0" t="n">
        <f aca="false">H13-MAX(0,H13)*H14/100</f>
        <v>3937.89117137844</v>
      </c>
      <c r="I15" s="0" t="n">
        <f aca="false">I13-MAX(0,I13)*I14/100</f>
        <v>3941.81821206546</v>
      </c>
      <c r="J15" s="0" t="n">
        <f aca="false">J13-MAX(0,J13)*J14/100</f>
        <v>3886.56537558864</v>
      </c>
      <c r="K15" s="0" t="n">
        <f aca="false">K13-MAX(0,K13)*K14/100</f>
        <v>3826.2826823203</v>
      </c>
      <c r="L15" s="0" t="n">
        <f aca="false">L13-MAX(0,L13)*L14/100</f>
        <v>3917.47193427021</v>
      </c>
    </row>
    <row r="16" customFormat="false" ht="15" hidden="false" customHeight="false" outlineLevel="0" collapsed="false">
      <c r="A16" s="0" t="s">
        <v>119</v>
      </c>
      <c r="C16" s="0" t="n">
        <f aca="false">-C12</f>
        <v>1133.75745</v>
      </c>
      <c r="D16" s="0" t="n">
        <f aca="false">-D12</f>
        <v>1236.1195512</v>
      </c>
      <c r="E16" s="0" t="n">
        <f aca="false">-E12</f>
        <v>1358.815862208</v>
      </c>
      <c r="F16" s="0" t="n">
        <f aca="false">-F12</f>
        <v>1503.1900475676</v>
      </c>
      <c r="G16" s="0" t="n">
        <f aca="false">-G12</f>
        <v>1658.60461180764</v>
      </c>
      <c r="H16" s="0" t="n">
        <f aca="false">-H12</f>
        <v>1808.41406061607</v>
      </c>
      <c r="I16" s="0" t="n">
        <f aca="false">-I12</f>
        <v>1929.29958512956</v>
      </c>
      <c r="J16" s="0" t="n">
        <f aca="false">-J12</f>
        <v>2016.83795436529</v>
      </c>
      <c r="K16" s="0" t="n">
        <f aca="false">-K12</f>
        <v>2107.89225612855</v>
      </c>
      <c r="L16" s="0" t="n">
        <f aca="false">-L12</f>
        <v>2202.59466183867</v>
      </c>
    </row>
    <row r="17" customFormat="false" ht="15" hidden="false" customHeight="false" outlineLevel="0" collapsed="false">
      <c r="A17" s="0" t="s">
        <v>120</v>
      </c>
      <c r="C17" s="4" t="n">
        <f aca="false">-C6*Assumptions!C32/100</f>
        <v>-5496.02421</v>
      </c>
      <c r="D17" s="4" t="n">
        <f aca="false">-D6*Assumptions!D32/100</f>
        <v>-6501.0731952</v>
      </c>
      <c r="E17" s="4" t="n">
        <f aca="false">-E6*Assumptions!E32/100</f>
        <v>-7497.751811112</v>
      </c>
      <c r="F17" s="4" t="n">
        <f aca="false">-F6*Assumptions!F32/100</f>
        <v>-8000.0283887496</v>
      </c>
      <c r="G17" s="4" t="n">
        <f aca="false">-G6*Assumptions!G32/100</f>
        <v>-6995.56622560803</v>
      </c>
      <c r="H17" s="4" t="n">
        <f aca="false">-H6*Assumptions!H32/100</f>
        <v>-5995.58815481175</v>
      </c>
      <c r="I17" s="4" t="n">
        <f aca="false">-I6*Assumptions!I32/100</f>
        <v>-4996.02205999969</v>
      </c>
      <c r="J17" s="4" t="n">
        <f aca="false">-J6*Assumptions!J32/100</f>
        <v>-4196.80250798072</v>
      </c>
      <c r="K17" s="4" t="n">
        <f aca="false">-K6*Assumptions!K32/100</f>
        <v>-3299.30961828816</v>
      </c>
      <c r="L17" s="4" t="n">
        <f aca="false">-L6*Assumptions!L32/100</f>
        <v>-2753.24332729834</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-1759.5915624</v>
      </c>
      <c r="D19" s="0" t="n">
        <f aca="false">D15+D16+D17+D18</f>
        <v>-2306.965340184</v>
      </c>
      <c r="E19" s="0" t="n">
        <f aca="false">E15+E16+E17+E18</f>
        <v>-2808.623858046</v>
      </c>
      <c r="F19" s="0" t="n">
        <f aca="false">F15+F16+F17+F18</f>
        <v>-2823.44950968545</v>
      </c>
      <c r="G19" s="0" t="n">
        <f aca="false">G15+G16+G17+G18</f>
        <v>-1461.84595181014</v>
      </c>
      <c r="H19" s="0" t="n">
        <f aca="false">H15+H16+H17+H18</f>
        <v>-249.282922817232</v>
      </c>
      <c r="I19" s="0" t="n">
        <f aca="false">I15+I16+I17+I18</f>
        <v>875.095737195333</v>
      </c>
      <c r="J19" s="0" t="n">
        <f aca="false">J15+J16+J17+J18</f>
        <v>1706.60082197322</v>
      </c>
      <c r="K19" s="0" t="n">
        <f aca="false">K15+K16+K17+K18</f>
        <v>2634.86532016069</v>
      </c>
      <c r="L19" s="0" t="n">
        <f aca="false">L15+L16+L17+L18</f>
        <v>3366.82326881054</v>
      </c>
    </row>
    <row r="20" customFormat="false" ht="15" hidden="false" customHeight="false" outlineLevel="0" collapsed="false">
      <c r="A20" s="0" t="s">
        <v>123</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124</v>
      </c>
      <c r="C21" s="0" t="n">
        <f aca="false">C19*C20</f>
        <v>-1652.19865014084</v>
      </c>
      <c r="D21" s="0" t="n">
        <f aca="false">D19*D20</f>
        <v>-2033.95740720228</v>
      </c>
      <c r="E21" s="0" t="n">
        <f aca="false">E19*E20</f>
        <v>-2325.11671009956</v>
      </c>
      <c r="F21" s="0" t="n">
        <f aca="false">F19*F20</f>
        <v>-2194.73249985415</v>
      </c>
      <c r="G21" s="0" t="n">
        <f aca="false">G19*G20</f>
        <v>-1066.97334617196</v>
      </c>
      <c r="H21" s="0" t="n">
        <f aca="false">H19*H20</f>
        <v>-170.842092240592</v>
      </c>
      <c r="I21" s="0" t="n">
        <f aca="false">I19*I20</f>
        <v>563.129545460602</v>
      </c>
      <c r="J21" s="0" t="n">
        <f aca="false">J19*J20</f>
        <v>1031.18144148533</v>
      </c>
      <c r="K21" s="0" t="n">
        <f aca="false">K19*K20</f>
        <v>1494.89934428881</v>
      </c>
      <c r="L21" s="0" t="n">
        <f aca="false">L19*L20</f>
        <v>1793.59441229171</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6.5</v>
      </c>
    </row>
    <row r="28" customFormat="false" ht="15" hidden="false" customHeight="false" outlineLevel="0" collapsed="false">
      <c r="A28" s="0" t="s">
        <v>105</v>
      </c>
      <c r="B28" s="4" t="n">
        <f aca="false">Assumptions!$B$35</f>
        <v>2.5</v>
      </c>
    </row>
    <row r="29" customFormat="false" ht="15" hidden="false" customHeight="false" outlineLevel="0" collapsed="false">
      <c r="A29" s="0" t="s">
        <v>106</v>
      </c>
      <c r="B29" s="4" t="n">
        <f aca="false">Assumptions!$B$36</f>
        <v>22</v>
      </c>
    </row>
    <row r="30" customFormat="false" ht="15" hidden="false" customHeight="false" outlineLevel="0" collapsed="false">
      <c r="A30" s="0" t="s">
        <v>127</v>
      </c>
      <c r="B30" s="0" t="n">
        <f aca="false">SUM(C21:L21)</f>
        <v>-4561.01596218293</v>
      </c>
    </row>
    <row r="31" customFormat="false" ht="15" hidden="false" customHeight="false" outlineLevel="0" collapsed="false">
      <c r="A31" s="0" t="s">
        <v>128</v>
      </c>
      <c r="B31" s="0" t="n">
        <f aca="false">L19</f>
        <v>3366.82326881054</v>
      </c>
    </row>
    <row r="32" customFormat="false" ht="15" hidden="false" customHeight="false" outlineLevel="0" collapsed="false">
      <c r="A32" s="0" t="s">
        <v>129</v>
      </c>
      <c r="B32" s="0" t="n">
        <f aca="false">IF(B27&gt;B28,B31*(1+B28/100)/((B27-B28)/100),B31*B29)</f>
        <v>86274.8462632701</v>
      </c>
    </row>
    <row r="33" customFormat="false" ht="15" hidden="false" customHeight="false" outlineLevel="0" collapsed="false">
      <c r="A33" s="0" t="s">
        <v>130</v>
      </c>
      <c r="B33" s="0" t="n">
        <f aca="false">B31*B29</f>
        <v>74070.1119138319</v>
      </c>
    </row>
    <row r="34" customFormat="false" ht="15" hidden="false" customHeight="false" outlineLevel="0" collapsed="false">
      <c r="A34" s="0" t="s">
        <v>131</v>
      </c>
      <c r="B34" s="0" t="n">
        <f aca="false">MAX(0,MIN(B32,B33))</f>
        <v>74070.1119138319</v>
      </c>
    </row>
    <row r="35" customFormat="false" ht="15" hidden="false" customHeight="false" outlineLevel="0" collapsed="false">
      <c r="A35" s="0" t="s">
        <v>132</v>
      </c>
      <c r="B35" s="0" t="n">
        <f aca="false">B34/(1+B27/100)^L4</f>
        <v>39459.0770704176</v>
      </c>
    </row>
    <row r="36" customFormat="false" ht="15" hidden="false" customHeight="false" outlineLevel="0" collapsed="false">
      <c r="A36" s="0" t="s">
        <v>133</v>
      </c>
      <c r="B36" s="0" t="n">
        <f aca="false">B30+B35</f>
        <v>34898.0611082346</v>
      </c>
    </row>
    <row r="37" customFormat="false" ht="15" hidden="false" customHeight="false" outlineLevel="0" collapsed="false">
      <c r="A37" s="0" t="s">
        <v>134</v>
      </c>
      <c r="B37" s="0" t="n">
        <f aca="false">B36+Assumptions!$B$5-Assumptions!$B$4</f>
        <v>23555.1611082346</v>
      </c>
    </row>
    <row r="38" customFormat="false" ht="15" hidden="false" customHeight="false" outlineLevel="0" collapsed="false">
      <c r="A38" s="0" t="s">
        <v>135</v>
      </c>
      <c r="B38" s="0" t="n">
        <f aca="false">B37/Assumptions!$B$3*Assumptions!$B$10</f>
        <v>1940.29333675738</v>
      </c>
    </row>
    <row r="39" customFormat="false" ht="15" hidden="false" customHeight="false" outlineLevel="0" collapsed="false">
      <c r="A39" s="0" t="s">
        <v>136</v>
      </c>
      <c r="B39" s="4" t="n">
        <f aca="false">B38/Assumptions!$B$2-1</f>
        <v>-0.209334418599273</v>
      </c>
    </row>
    <row r="41" customFormat="false" ht="15" hidden="false" customHeight="false" outlineLevel="0" collapsed="false">
      <c r="A41" s="0" t="s">
        <v>137</v>
      </c>
      <c r="B41" s="0" t="n">
        <f aca="false">SUMPRODUCT(-C10:L10/(1+$B$27/100)^C4:L4)</f>
        <v>284.235114990927</v>
      </c>
    </row>
    <row r="42" customFormat="false" ht="15" hidden="false" customHeight="false" outlineLevel="0" collapsed="false">
      <c r="A42" s="0" t="s">
        <v>138</v>
      </c>
      <c r="B42" s="0" t="n">
        <f aca="false">IF(B27&gt;B28,-L10*(1+B28/100)/((B27-B28)/100),-L10*20)/(1+B27/100)^L4</f>
        <v>644.311076845444</v>
      </c>
    </row>
    <row r="43" customFormat="false" ht="15" hidden="false" customHeight="false" outlineLevel="0" collapsed="false">
      <c r="A43" s="0" t="s">
        <v>139</v>
      </c>
      <c r="B43" s="0" t="n">
        <f aca="false">(B37+B41+B42)/Assumptions!$B$3*Assumptions!$B$10</f>
        <v>2016.77984349843</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27607.9508042464</v>
      </c>
    </row>
    <row r="47" customFormat="false" ht="15" hidden="false" customHeight="false" outlineLevel="0" collapsed="false">
      <c r="A47" s="0" t="s">
        <v>141</v>
      </c>
      <c r="B47" s="0" t="n">
        <f aca="false">(SUMPRODUCT(C19:L19/(1+B45/100)^C4:L4)+B46/(1+B45/100)^L4+Assumptions!$B$5-Assumptions!$B$4)/Assumptions!$B$3*Assumptions!$B$10</f>
        <v>-792.472932478267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7</v>
      </c>
      <c r="D5" s="4" t="n">
        <f aca="false">Assumptions!D41</f>
        <v>7</v>
      </c>
      <c r="E5" s="4" t="n">
        <f aca="false">Assumptions!E41</f>
        <v>7</v>
      </c>
      <c r="F5" s="4" t="n">
        <f aca="false">Assumptions!F41</f>
        <v>6</v>
      </c>
      <c r="G5" s="4" t="n">
        <f aca="false">Assumptions!G41</f>
        <v>6</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10186.5</v>
      </c>
      <c r="C6" s="0" t="n">
        <f aca="false">B6*(1+C5/100)</f>
        <v>10899.555</v>
      </c>
      <c r="D6" s="0" t="n">
        <f aca="false">C6*(1+D5/100)</f>
        <v>11662.52385</v>
      </c>
      <c r="E6" s="0" t="n">
        <f aca="false">D6*(1+E5/100)</f>
        <v>12478.9005195</v>
      </c>
      <c r="F6" s="0" t="n">
        <f aca="false">E6*(1+F5/100)</f>
        <v>13227.63455067</v>
      </c>
      <c r="G6" s="0" t="n">
        <f aca="false">F6*(1+G5/100)</f>
        <v>14021.2926237102</v>
      </c>
      <c r="H6" s="0" t="n">
        <f aca="false">G6*(1+H5/100)</f>
        <v>14722.3572548957</v>
      </c>
      <c r="I6" s="0" t="n">
        <f aca="false">H6*(1+I5/100)</f>
        <v>15311.2515450915</v>
      </c>
      <c r="J6" s="0" t="n">
        <f aca="false">I6*(1+J5/100)</f>
        <v>15847.1453491697</v>
      </c>
      <c r="K6" s="0" t="n">
        <f aca="false">J6*(1+K5/100)</f>
        <v>16322.5597096448</v>
      </c>
      <c r="L6" s="0" t="n">
        <f aca="false">K6*(1+L5/100)</f>
        <v>16812.2365009342</v>
      </c>
    </row>
    <row r="7" customFormat="false" ht="15" hidden="false" customHeight="false" outlineLevel="0" collapsed="false">
      <c r="A7" s="0" t="s">
        <v>98</v>
      </c>
      <c r="C7" s="4" t="n">
        <f aca="false">Assumptions!C42</f>
        <v>38.5</v>
      </c>
      <c r="D7" s="4" t="n">
        <f aca="false">Assumptions!D42</f>
        <v>41.5</v>
      </c>
      <c r="E7" s="4" t="n">
        <f aca="false">Assumptions!E42</f>
        <v>44.5</v>
      </c>
      <c r="F7" s="4" t="n">
        <f aca="false">Assumptions!F42</f>
        <v>47</v>
      </c>
      <c r="G7" s="4" t="n">
        <f aca="false">Assumptions!G42</f>
        <v>48.5</v>
      </c>
      <c r="H7" s="4" t="n">
        <f aca="false">Assumptions!H42</f>
        <v>49.5</v>
      </c>
      <c r="I7" s="4" t="n">
        <f aca="false">Assumptions!I42</f>
        <v>50</v>
      </c>
      <c r="J7" s="4" t="n">
        <f aca="false">Assumptions!J42</f>
        <v>50</v>
      </c>
      <c r="K7" s="4" t="n">
        <f aca="false">Assumptions!K42</f>
        <v>50</v>
      </c>
      <c r="L7" s="4" t="n">
        <f aca="false">Assumptions!L42</f>
        <v>50</v>
      </c>
    </row>
    <row r="8" customFormat="false" ht="15" hidden="false" customHeight="false" outlineLevel="0" collapsed="false">
      <c r="A8" s="0" t="s">
        <v>44</v>
      </c>
      <c r="C8" s="0" t="n">
        <f aca="false">C6*C7/100</f>
        <v>4196.328675</v>
      </c>
      <c r="D8" s="0" t="n">
        <f aca="false">D6*D7/100</f>
        <v>4839.94739775</v>
      </c>
      <c r="E8" s="0" t="n">
        <f aca="false">E6*E7/100</f>
        <v>5553.1107311775</v>
      </c>
      <c r="F8" s="0" t="n">
        <f aca="false">F6*F7/100</f>
        <v>6216.9882388149</v>
      </c>
      <c r="G8" s="0" t="n">
        <f aca="false">G6*G7/100</f>
        <v>6800.32692249945</v>
      </c>
      <c r="H8" s="0" t="n">
        <f aca="false">H6*H7/100</f>
        <v>7287.56684117338</v>
      </c>
      <c r="I8" s="0" t="n">
        <f aca="false">I6*I7/100</f>
        <v>7655.62577254577</v>
      </c>
      <c r="J8" s="0" t="n">
        <f aca="false">J6*J7/100</f>
        <v>7923.57267458487</v>
      </c>
      <c r="K8" s="0" t="n">
        <f aca="false">K6*K7/100</f>
        <v>8161.27985482242</v>
      </c>
      <c r="L8" s="0" t="n">
        <f aca="false">L6*L7/100</f>
        <v>8406.11825046709</v>
      </c>
    </row>
    <row r="9" customFormat="false" ht="15" hidden="false" customHeight="false" outlineLevel="0" collapsed="false">
      <c r="A9" s="0" t="s">
        <v>99</v>
      </c>
      <c r="C9" s="4" t="n">
        <f aca="false">Assumptions!C43</f>
        <v>0.3</v>
      </c>
      <c r="D9" s="4" t="n">
        <f aca="false">Assumptions!D43</f>
        <v>0.3</v>
      </c>
      <c r="E9" s="4" t="n">
        <f aca="false">Assumptions!E43</f>
        <v>0.3</v>
      </c>
      <c r="F9" s="4" t="n">
        <f aca="false">Assumptions!F43</f>
        <v>0.3</v>
      </c>
      <c r="G9" s="4" t="n">
        <f aca="false">Assumptions!G43</f>
        <v>0.3</v>
      </c>
      <c r="H9" s="4" t="n">
        <f aca="false">Assumptions!H43</f>
        <v>0.3</v>
      </c>
      <c r="I9" s="4" t="n">
        <f aca="false">Assumptions!I43</f>
        <v>0.3</v>
      </c>
      <c r="J9" s="4" t="n">
        <f aca="false">Assumptions!J43</f>
        <v>0.3</v>
      </c>
      <c r="K9" s="4" t="n">
        <f aca="false">Assumptions!K43</f>
        <v>0.3</v>
      </c>
      <c r="L9" s="4" t="n">
        <f aca="false">Assumptions!L43</f>
        <v>0.3</v>
      </c>
    </row>
    <row r="10" customFormat="false" ht="15" hidden="false" customHeight="false" outlineLevel="0" collapsed="false">
      <c r="A10" s="0" t="s">
        <v>114</v>
      </c>
      <c r="C10" s="0" t="n">
        <f aca="false">-C6*C9/100</f>
        <v>-32.698665</v>
      </c>
      <c r="D10" s="0" t="n">
        <f aca="false">-D6*D9/100</f>
        <v>-34.98757155</v>
      </c>
      <c r="E10" s="0" t="n">
        <f aca="false">-E6*E9/100</f>
        <v>-37.4367015585</v>
      </c>
      <c r="F10" s="0" t="n">
        <f aca="false">-F6*F9/100</f>
        <v>-39.68290365201</v>
      </c>
      <c r="G10" s="0" t="n">
        <f aca="false">-G6*G9/100</f>
        <v>-42.0638778711306</v>
      </c>
      <c r="H10" s="0" t="n">
        <f aca="false">-H6*H9/100</f>
        <v>-44.1670717646871</v>
      </c>
      <c r="I10" s="0" t="n">
        <f aca="false">-I6*I9/100</f>
        <v>-45.9337546352746</v>
      </c>
      <c r="J10" s="0" t="n">
        <f aca="false">-J6*J9/100</f>
        <v>-47.5414360475092</v>
      </c>
      <c r="K10" s="0" t="n">
        <f aca="false">-K6*K9/100</f>
        <v>-48.9676791289345</v>
      </c>
      <c r="L10" s="0" t="n">
        <f aca="false">-L6*L9/100</f>
        <v>-50.4367095028026</v>
      </c>
    </row>
    <row r="11" customFormat="false" ht="15" hidden="false" customHeight="false" outlineLevel="0" collapsed="false">
      <c r="A11" s="0" t="s">
        <v>115</v>
      </c>
      <c r="C11" s="0" t="n">
        <f aca="false">C8+C10+C24</f>
        <v>4163.63001</v>
      </c>
      <c r="D11" s="0" t="n">
        <f aca="false">D8+D10+D24</f>
        <v>4804.9598262</v>
      </c>
      <c r="E11" s="0" t="n">
        <f aca="false">E8+E10+E24</f>
        <v>5515.674029619</v>
      </c>
      <c r="F11" s="0" t="n">
        <f aca="false">F8+F10+F24</f>
        <v>6177.30533516289</v>
      </c>
      <c r="G11" s="0" t="n">
        <f aca="false">G8+G10+G24</f>
        <v>6758.26304462832</v>
      </c>
      <c r="H11" s="0" t="n">
        <f aca="false">H8+H10+H24</f>
        <v>7243.39976940869</v>
      </c>
      <c r="I11" s="0" t="n">
        <f aca="false">I8+I10+I24</f>
        <v>7609.6920179105</v>
      </c>
      <c r="J11" s="0" t="n">
        <f aca="false">J8+J10+J24</f>
        <v>7876.03123853736</v>
      </c>
      <c r="K11" s="0" t="n">
        <f aca="false">K8+K10+K24</f>
        <v>8112.31217569349</v>
      </c>
      <c r="L11" s="0" t="n">
        <f aca="false">L8+L10+L24</f>
        <v>8355.68154096429</v>
      </c>
    </row>
    <row r="12" customFormat="false" ht="15" hidden="false" customHeight="false" outlineLevel="0" collapsed="false">
      <c r="A12" s="0" t="s">
        <v>116</v>
      </c>
      <c r="C12" s="4" t="n">
        <f aca="false">-C6*Assumptions!C45/100</f>
        <v>-1144.453275</v>
      </c>
      <c r="D12" s="4" t="n">
        <f aca="false">-D6*Assumptions!D45/100</f>
        <v>-1259.5525758</v>
      </c>
      <c r="E12" s="4" t="n">
        <f aca="false">-E6*Assumptions!E45/100</f>
        <v>-1397.636858184</v>
      </c>
      <c r="F12" s="4" t="n">
        <f aca="false">-F6*Assumptions!F45/100</f>
        <v>-1560.86087697906</v>
      </c>
      <c r="G12" s="4" t="n">
        <f aca="false">-G6*Assumptions!G45/100</f>
        <v>-1738.64028534007</v>
      </c>
      <c r="H12" s="4" t="n">
        <f aca="false">-H6*Assumptions!H45/100</f>
        <v>-1913.90644313644</v>
      </c>
      <c r="I12" s="4" t="n">
        <f aca="false">-I6*Assumptions!I45/100</f>
        <v>-2051.70770704227</v>
      </c>
      <c r="J12" s="4" t="n">
        <f aca="false">-J6*Assumptions!J45/100</f>
        <v>-2155.21176748709</v>
      </c>
      <c r="K12" s="4" t="n">
        <f aca="false">-K6*Assumptions!K45/100</f>
        <v>-2252.51323993099</v>
      </c>
      <c r="L12" s="4" t="n">
        <f aca="false">-L6*Assumptions!L45/100</f>
        <v>-2353.71311013079</v>
      </c>
    </row>
    <row r="13" customFormat="false" ht="15" hidden="false" customHeight="false" outlineLevel="0" collapsed="false">
      <c r="A13" s="0" t="s">
        <v>117</v>
      </c>
      <c r="C13" s="0" t="n">
        <f aca="false">C11+C12</f>
        <v>3019.176735</v>
      </c>
      <c r="D13" s="0" t="n">
        <f aca="false">D11+D12</f>
        <v>3545.4072504</v>
      </c>
      <c r="E13" s="0" t="n">
        <f aca="false">E11+E12</f>
        <v>4118.037171435</v>
      </c>
      <c r="F13" s="0" t="n">
        <f aca="false">F11+F12</f>
        <v>4616.44445818383</v>
      </c>
      <c r="G13" s="0" t="n">
        <f aca="false">G11+G12</f>
        <v>5019.62275928825</v>
      </c>
      <c r="H13" s="0" t="n">
        <f aca="false">H11+H12</f>
        <v>5329.49332627225</v>
      </c>
      <c r="I13" s="0" t="n">
        <f aca="false">I11+I12</f>
        <v>5557.98431086823</v>
      </c>
      <c r="J13" s="0" t="n">
        <f aca="false">J11+J12</f>
        <v>5720.81947105028</v>
      </c>
      <c r="K13" s="0" t="n">
        <f aca="false">K11+K12</f>
        <v>5859.7989357625</v>
      </c>
      <c r="L13" s="0" t="n">
        <f aca="false">L11+L12</f>
        <v>6001.9684308335</v>
      </c>
    </row>
    <row r="14" customFormat="false" ht="15" hidden="false" customHeight="false" outlineLevel="0" collapsed="false">
      <c r="A14" s="0" t="s">
        <v>103</v>
      </c>
      <c r="C14" s="4" t="n">
        <f aca="false">Assumptions!C47</f>
        <v>8</v>
      </c>
      <c r="D14" s="4" t="n">
        <f aca="false">Assumptions!D47</f>
        <v>9</v>
      </c>
      <c r="E14" s="4" t="n">
        <f aca="false">Assumptions!E47</f>
        <v>10</v>
      </c>
      <c r="F14" s="4" t="n">
        <f aca="false">Assumptions!F47</f>
        <v>11</v>
      </c>
      <c r="G14" s="4" t="n">
        <f aca="false">Assumptions!G47</f>
        <v>13</v>
      </c>
      <c r="H14" s="4" t="n">
        <f aca="false">Assumptions!H47</f>
        <v>16</v>
      </c>
      <c r="I14" s="4" t="n">
        <f aca="false">Assumptions!I47</f>
        <v>19</v>
      </c>
      <c r="J14" s="4" t="n">
        <f aca="false">Assumptions!J47</f>
        <v>22</v>
      </c>
      <c r="K14" s="4" t="n">
        <f aca="false">Assumptions!K47</f>
        <v>25</v>
      </c>
      <c r="L14" s="4" t="n">
        <f aca="false">Assumptions!L47</f>
        <v>25</v>
      </c>
    </row>
    <row r="15" customFormat="false" ht="15" hidden="false" customHeight="false" outlineLevel="0" collapsed="false">
      <c r="A15" s="0" t="s">
        <v>118</v>
      </c>
      <c r="C15" s="0" t="n">
        <f aca="false">C13-MAX(0,C13)*C14/100</f>
        <v>2777.6425962</v>
      </c>
      <c r="D15" s="0" t="n">
        <f aca="false">D13-MAX(0,D13)*D14/100</f>
        <v>3226.320597864</v>
      </c>
      <c r="E15" s="0" t="n">
        <f aca="false">E13-MAX(0,E13)*E14/100</f>
        <v>3706.2334542915</v>
      </c>
      <c r="F15" s="0" t="n">
        <f aca="false">F13-MAX(0,F13)*F14/100</f>
        <v>4108.63556778361</v>
      </c>
      <c r="G15" s="0" t="n">
        <f aca="false">G13-MAX(0,G13)*G14/100</f>
        <v>4367.07180058078</v>
      </c>
      <c r="H15" s="0" t="n">
        <f aca="false">H13-MAX(0,H13)*H14/100</f>
        <v>4476.77439406869</v>
      </c>
      <c r="I15" s="0" t="n">
        <f aca="false">I13-MAX(0,I13)*I14/100</f>
        <v>4501.96729180327</v>
      </c>
      <c r="J15" s="0" t="n">
        <f aca="false">J13-MAX(0,J13)*J14/100</f>
        <v>4462.23918741922</v>
      </c>
      <c r="K15" s="0" t="n">
        <f aca="false">K13-MAX(0,K13)*K14/100</f>
        <v>4394.84920182187</v>
      </c>
      <c r="L15" s="0" t="n">
        <f aca="false">L13-MAX(0,L13)*L14/100</f>
        <v>4501.47632312513</v>
      </c>
    </row>
    <row r="16" customFormat="false" ht="15" hidden="false" customHeight="false" outlineLevel="0" collapsed="false">
      <c r="A16" s="0" t="s">
        <v>119</v>
      </c>
      <c r="C16" s="0" t="n">
        <f aca="false">-C12</f>
        <v>1144.453275</v>
      </c>
      <c r="D16" s="0" t="n">
        <f aca="false">-D12</f>
        <v>1259.5525758</v>
      </c>
      <c r="E16" s="0" t="n">
        <f aca="false">-E12</f>
        <v>1397.636858184</v>
      </c>
      <c r="F16" s="0" t="n">
        <f aca="false">-F12</f>
        <v>1560.86087697906</v>
      </c>
      <c r="G16" s="0" t="n">
        <f aca="false">-G12</f>
        <v>1738.64028534007</v>
      </c>
      <c r="H16" s="0" t="n">
        <f aca="false">-H12</f>
        <v>1913.90644313644</v>
      </c>
      <c r="I16" s="0" t="n">
        <f aca="false">-I12</f>
        <v>2051.70770704227</v>
      </c>
      <c r="J16" s="0" t="n">
        <f aca="false">-J12</f>
        <v>2155.21176748709</v>
      </c>
      <c r="K16" s="0" t="n">
        <f aca="false">-K12</f>
        <v>2252.51323993099</v>
      </c>
      <c r="L16" s="0" t="n">
        <f aca="false">-L12</f>
        <v>2353.71311013079</v>
      </c>
    </row>
    <row r="17" customFormat="false" ht="15" hidden="false" customHeight="false" outlineLevel="0" collapsed="false">
      <c r="A17" s="0" t="s">
        <v>120</v>
      </c>
      <c r="C17" s="4" t="n">
        <f aca="false">-C6*Assumptions!C46/100</f>
        <v>-5602.37127</v>
      </c>
      <c r="D17" s="4" t="n">
        <f aca="false">-D6*Assumptions!D46/100</f>
        <v>-6694.2886899</v>
      </c>
      <c r="E17" s="4" t="n">
        <f aca="false">-E6*Assumptions!E46/100</f>
        <v>-7799.3128246875</v>
      </c>
      <c r="F17" s="4" t="n">
        <f aca="false">-F6*Assumptions!F46/100</f>
        <v>-8293.72686327009</v>
      </c>
      <c r="G17" s="4" t="n">
        <f aca="false">-G6*Assumptions!G46/100</f>
        <v>-7501.39155368496</v>
      </c>
      <c r="H17" s="4" t="n">
        <f aca="false">-H6*Assumptions!H46/100</f>
        <v>-6492.55954940901</v>
      </c>
      <c r="I17" s="4" t="n">
        <f aca="false">-I6*Assumptions!I46/100</f>
        <v>-5297.69303460167</v>
      </c>
      <c r="J17" s="4" t="n">
        <f aca="false">-J6*Assumptions!J46/100</f>
        <v>-4405.50640706919</v>
      </c>
      <c r="K17" s="4" t="n">
        <f aca="false">-K6*Assumptions!K46/100</f>
        <v>-3493.027777864</v>
      </c>
      <c r="L17" s="4" t="n">
        <f aca="false">-L6*Assumptions!L46/100</f>
        <v>-2942.14138766348</v>
      </c>
    </row>
    <row r="18" customFormat="false" ht="15" hidden="false" customHeight="false" outlineLevel="0" collapsed="false">
      <c r="A18" s="0" t="s">
        <v>121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122</v>
      </c>
      <c r="C19" s="0" t="n">
        <f aca="false">C15+C16+C17+C18</f>
        <v>-1680.2753988</v>
      </c>
      <c r="D19" s="0" t="n">
        <f aca="false">D15+D16+D17+D18</f>
        <v>-2208.415516236</v>
      </c>
      <c r="E19" s="0" t="n">
        <f aca="false">E15+E16+E17+E18</f>
        <v>-2695.442512212</v>
      </c>
      <c r="F19" s="0" t="n">
        <f aca="false">F15+F16+F17+F18</f>
        <v>-2624.23041850742</v>
      </c>
      <c r="G19" s="0" t="n">
        <f aca="false">G15+G16+G17+G18</f>
        <v>-1395.67946776411</v>
      </c>
      <c r="H19" s="0" t="n">
        <f aca="false">H15+H16+H17+H18</f>
        <v>-101.878712203878</v>
      </c>
      <c r="I19" s="0" t="n">
        <f aca="false">I15+I16+I17+I18</f>
        <v>1255.98196424386</v>
      </c>
      <c r="J19" s="0" t="n">
        <f aca="false">J15+J16+J17+J18</f>
        <v>2211.94454783711</v>
      </c>
      <c r="K19" s="0" t="n">
        <f aca="false">K15+K16+K17+K18</f>
        <v>3154.33466388887</v>
      </c>
      <c r="L19" s="0" t="n">
        <f aca="false">L15+L16+L17+L18</f>
        <v>3913.04804559243</v>
      </c>
    </row>
    <row r="20" customFormat="false" ht="15" hidden="false" customHeight="false" outlineLevel="0" collapsed="false">
      <c r="A20" s="0" t="s">
        <v>123</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124</v>
      </c>
      <c r="C21" s="0" t="n">
        <f aca="false">C19*C20</f>
        <v>-1577.72337915493</v>
      </c>
      <c r="D21" s="0" t="n">
        <f aca="false">D19*D20</f>
        <v>-1947.07004010316</v>
      </c>
      <c r="E21" s="0" t="n">
        <f aca="false">E19*E20</f>
        <v>-2231.41963574185</v>
      </c>
      <c r="F21" s="0" t="n">
        <f aca="false">F19*F20</f>
        <v>-2039.87490013439</v>
      </c>
      <c r="G21" s="0" t="n">
        <f aca="false">G19*G20</f>
        <v>-1018.67969744679</v>
      </c>
      <c r="H21" s="0" t="n">
        <f aca="false">H19*H20</f>
        <v>-69.8209574526238</v>
      </c>
      <c r="I21" s="0" t="n">
        <f aca="false">I19*I20</f>
        <v>808.232199711293</v>
      </c>
      <c r="J21" s="0" t="n">
        <f aca="false">J19*J20</f>
        <v>1336.52588112962</v>
      </c>
      <c r="K21" s="0" t="n">
        <f aca="false">K19*K20</f>
        <v>1789.6219532114</v>
      </c>
      <c r="L21" s="0" t="n">
        <f aca="false">L19*L20</f>
        <v>2084.58257212981</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6.5</v>
      </c>
    </row>
    <row r="28" customFormat="false" ht="15" hidden="false" customHeight="false" outlineLevel="0" collapsed="false">
      <c r="A28" s="0" t="s">
        <v>105</v>
      </c>
      <c r="B28" s="4" t="n">
        <f aca="false">Assumptions!$B$49</f>
        <v>3</v>
      </c>
    </row>
    <row r="29" customFormat="false" ht="15" hidden="false" customHeight="false" outlineLevel="0" collapsed="false">
      <c r="A29" s="0" t="s">
        <v>106</v>
      </c>
      <c r="B29" s="4" t="n">
        <f aca="false">Assumptions!$B$50</f>
        <v>25</v>
      </c>
    </row>
    <row r="30" customFormat="false" ht="15" hidden="false" customHeight="false" outlineLevel="0" collapsed="false">
      <c r="A30" s="0" t="s">
        <v>127</v>
      </c>
      <c r="B30" s="0" t="n">
        <f aca="false">SUM(C21:L21)</f>
        <v>-2865.62600385162</v>
      </c>
    </row>
    <row r="31" customFormat="false" ht="15" hidden="false" customHeight="false" outlineLevel="0" collapsed="false">
      <c r="A31" s="0" t="s">
        <v>128</v>
      </c>
      <c r="B31" s="0" t="n">
        <f aca="false">L19</f>
        <v>3913.04804559243</v>
      </c>
    </row>
    <row r="32" customFormat="false" ht="15" hidden="false" customHeight="false" outlineLevel="0" collapsed="false">
      <c r="A32" s="0" t="s">
        <v>129</v>
      </c>
      <c r="B32" s="0" t="n">
        <f aca="false">IF(B27&gt;B28,B31*(1+B28/100)/((B27-B28)/100),B31*B29)</f>
        <v>115155.413913149</v>
      </c>
    </row>
    <row r="33" customFormat="false" ht="15" hidden="false" customHeight="false" outlineLevel="0" collapsed="false">
      <c r="A33" s="0" t="s">
        <v>130</v>
      </c>
      <c r="B33" s="0" t="n">
        <f aca="false">B31*B29</f>
        <v>97826.2011398108</v>
      </c>
    </row>
    <row r="34" customFormat="false" ht="15" hidden="false" customHeight="false" outlineLevel="0" collapsed="false">
      <c r="A34" s="0" t="s">
        <v>131</v>
      </c>
      <c r="B34" s="0" t="n">
        <f aca="false">MAX(0,MIN(B32,B33))</f>
        <v>97826.2011398108</v>
      </c>
    </row>
    <row r="35" customFormat="false" ht="15" hidden="false" customHeight="false" outlineLevel="0" collapsed="false">
      <c r="A35" s="0" t="s">
        <v>132</v>
      </c>
      <c r="B35" s="0" t="n">
        <f aca="false">B34/(1+B27/100)^L4</f>
        <v>52114.5643032452</v>
      </c>
    </row>
    <row r="36" customFormat="false" ht="15" hidden="false" customHeight="false" outlineLevel="0" collapsed="false">
      <c r="A36" s="0" t="s">
        <v>133</v>
      </c>
      <c r="B36" s="0" t="n">
        <f aca="false">B30+B35</f>
        <v>49248.9382993936</v>
      </c>
    </row>
    <row r="37" customFormat="false" ht="15" hidden="false" customHeight="false" outlineLevel="0" collapsed="false">
      <c r="A37" s="0" t="s">
        <v>134</v>
      </c>
      <c r="B37" s="0" t="n">
        <f aca="false">B36+Assumptions!$B$5-Assumptions!$B$4</f>
        <v>37906.0382993936</v>
      </c>
    </row>
    <row r="38" customFormat="false" ht="15" hidden="false" customHeight="false" outlineLevel="0" collapsed="false">
      <c r="A38" s="0" t="s">
        <v>135</v>
      </c>
      <c r="B38" s="0" t="n">
        <f aca="false">B37/Assumptions!$B$3*Assumptions!$B$10</f>
        <v>3122.40842663868</v>
      </c>
    </row>
    <row r="39" customFormat="false" ht="15" hidden="false" customHeight="false" outlineLevel="0" collapsed="false">
      <c r="A39" s="0" t="s">
        <v>136</v>
      </c>
      <c r="B39" s="4" t="n">
        <f aca="false">B38/Assumptions!$B$2-1</f>
        <v>0.272375071979903</v>
      </c>
    </row>
    <row r="41" customFormat="false" ht="15" hidden="false" customHeight="false" outlineLevel="0" collapsed="false">
      <c r="A41" s="0" t="s">
        <v>137</v>
      </c>
      <c r="B41" s="0" t="n">
        <f aca="false">SUMPRODUCT(-C10:L10/(1+$B$27/100)^C4:L4)</f>
        <v>297.294879407827</v>
      </c>
    </row>
    <row r="42" customFormat="false" ht="15" hidden="false" customHeight="false" outlineLevel="0" collapsed="false">
      <c r="A42" s="0" t="s">
        <v>138</v>
      </c>
      <c r="B42" s="0" t="n">
        <f aca="false">IF(B27&gt;B28,-L10*(1+B28/100)/((B27-B28)/100),-L10*20)/(1+B27/100)^L4</f>
        <v>790.71476420207</v>
      </c>
    </row>
    <row r="43" customFormat="false" ht="15" hidden="false" customHeight="false" outlineLevel="0" collapsed="false">
      <c r="A43" s="0" t="s">
        <v>139</v>
      </c>
      <c r="B43" s="0" t="n">
        <f aca="false">(B37+B41+B42)/Assumptions!$B$3*Assumptions!$B$10</f>
        <v>3212.03030831989</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33586.9957246684</v>
      </c>
    </row>
    <row r="47" customFormat="false" ht="15" hidden="false" customHeight="false" outlineLevel="0" collapsed="false">
      <c r="A47" s="0" t="s">
        <v>141</v>
      </c>
      <c r="B47" s="0" t="n">
        <f aca="false">(SUMPRODUCT(C19:L19/(1+B45/100)^C4:L4)+B46/(1+B45/100)^L4+Assumptions!$B$5-Assumptions!$B$4)/Assumptions!$B$3*Assumptions!$B$10</f>
        <v>-586.753495645507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487.598274567985</v>
      </c>
      <c r="C4" s="0" t="n">
        <f aca="false">B4/Assumptions!$B$2-1</f>
        <v>-0.801304696590063</v>
      </c>
      <c r="D4" s="4" t="n">
        <f aca="false">Assumptions!$B$24</f>
        <v>0.25</v>
      </c>
      <c r="E4" s="4" t="n">
        <f aca="false">DCF_Bear!$B$43</f>
        <v>550.336892107591</v>
      </c>
      <c r="F4" s="4" t="n">
        <f aca="false">DCF_Bear!$B$47</f>
        <v>-1143.53674327004</v>
      </c>
    </row>
    <row r="5" customFormat="false" ht="15" hidden="false" customHeight="false" outlineLevel="0" collapsed="false">
      <c r="A5" s="0" t="s">
        <v>150</v>
      </c>
      <c r="B5" s="4" t="n">
        <f aca="false">DCF_Base!$B$38</f>
        <v>1940.29333675738</v>
      </c>
      <c r="C5" s="0" t="n">
        <f aca="false">B5/Assumptions!$B$2-1</f>
        <v>-0.209334418599273</v>
      </c>
      <c r="D5" s="4" t="n">
        <f aca="false">Assumptions!$B$38</f>
        <v>0.5</v>
      </c>
      <c r="E5" s="4" t="n">
        <f aca="false">DCF_Base!$B$43</f>
        <v>2016.77984349843</v>
      </c>
      <c r="F5" s="4" t="n">
        <f aca="false">DCF_Base!$B$47</f>
        <v>-792.472932478267</v>
      </c>
    </row>
    <row r="6" customFormat="false" ht="15" hidden="false" customHeight="false" outlineLevel="0" collapsed="false">
      <c r="A6" s="0" t="s">
        <v>151</v>
      </c>
      <c r="B6" s="4" t="n">
        <f aca="false">DCF_Bull!$B$38</f>
        <v>3122.40842663868</v>
      </c>
      <c r="C6" s="0" t="n">
        <f aca="false">B6/Assumptions!$B$2-1</f>
        <v>0.272375071979903</v>
      </c>
      <c r="D6" s="4" t="n">
        <f aca="false">Assumptions!$B$52</f>
        <v>0.25</v>
      </c>
      <c r="E6" s="4" t="n">
        <f aca="false">DCF_Bull!$B$43</f>
        <v>3212.03030831989</v>
      </c>
      <c r="F6" s="4" t="n">
        <f aca="false">DCF_Bull!$B$47</f>
        <v>-586.753495645507</v>
      </c>
    </row>
    <row r="8" customFormat="false" ht="15" hidden="false" customHeight="false" outlineLevel="0" collapsed="false">
      <c r="A8" s="0" t="s">
        <v>152</v>
      </c>
      <c r="B8" s="0" t="n">
        <f aca="false">SUMPRODUCT(B4:B6,D4:D6)</f>
        <v>1872.64834368036</v>
      </c>
    </row>
    <row r="9" customFormat="false" ht="15" hidden="false" customHeight="false" outlineLevel="0" collapsed="false">
      <c r="A9" s="0" t="s">
        <v>153</v>
      </c>
      <c r="B9" s="0" t="n">
        <f aca="false">SUMPRODUCT(E4:E6,D4:D6)</f>
        <v>1948.98172185609</v>
      </c>
    </row>
    <row r="10" customFormat="false" ht="15" hidden="false" customHeight="false" outlineLevel="0" collapsed="false">
      <c r="A10" s="0" t="s">
        <v>154</v>
      </c>
      <c r="B10" s="0" t="n">
        <f aca="false">1-Assumptions!$B$2/B8</f>
        <v>-0.310443580227721</v>
      </c>
    </row>
    <row r="11" customFormat="false" ht="15" hidden="false" customHeight="false" outlineLevel="0" collapsed="false">
      <c r="A11" s="0" t="s">
        <v>155</v>
      </c>
      <c r="B11" s="0" t="n">
        <f aca="false">IF(ABS(B9-B8)&gt;0.01*ABS(B8),(Assumptions!$B$2-B8)/(B9-B8)*100,"n/a")</f>
        <v>761.595608910808</v>
      </c>
    </row>
    <row r="12" customFormat="false" ht="15" hidden="false" customHeight="false" outlineLevel="0" collapsed="false">
      <c r="A12" s="0" t="s">
        <v>156</v>
      </c>
      <c r="B12" s="0" t="n">
        <f aca="false">SUMPRODUCT(F4:F6,D4:D6)</f>
        <v>-828.809025968021</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1940.29333675738</v>
      </c>
      <c r="C15" s="3" t="n">
        <v>6.5</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513.230616739974</v>
      </c>
      <c r="C16" s="3" t="n">
        <v>9</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120.648231592993</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-167.905352989387</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-386.07422504013</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-792.472932478267</v>
      </c>
      <c r="C20" s="3" t="n">
        <v>15</v>
      </c>
    </row>
    <row r="22" customFormat="false" ht="15" hidden="false" customHeight="false" outlineLevel="0" collapsed="false">
      <c r="A22" s="2" t="s">
        <v>165</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4.5</v>
      </c>
      <c r="B24" s="0" t="n">
        <f aca="false">(SUMPRODUCT(DCF_Base!$C$19:$L$19/(1+$A$24/100)^DCF_Base!$C$4:$L$4)+MAX(0,MIN(IF($A$24&gt;$B$23,DCF_Base!$L$19*(1+$B$23/100)/(($A$24-$B$23)/100),DCF_Base!$L$19*DCF_Base!$B$29),DCF_Base!$L$19*DCF_Base!$B$29))/(1+$A$24/100)^DCF_Base!$L$4+Assumptions!$B$5-Assumptions!$B$4)/Assumptions!$B$3*Assumptions!$B$10</f>
        <v>2648.04918253906</v>
      </c>
      <c r="C24" s="0" t="n">
        <f aca="false">(SUMPRODUCT(DCF_Base!$C$19:$L$19/(1+$A$24/100)^DCF_Base!$C$4:$L$4)+MAX(0,MIN(IF($A$24&gt;$C$23,DCF_Base!$L$19*(1+$C$23/100)/(($A$24-$C$23)/100),DCF_Base!$L$19*DCF_Base!$B$29),DCF_Base!$L$19*DCF_Base!$B$29))/(1+$A$24/100)^DCF_Base!$L$4+Assumptions!$B$5-Assumptions!$B$4)/Assumptions!$B$3*Assumptions!$B$10</f>
        <v>2648.04918253906</v>
      </c>
      <c r="D24" s="0" t="n">
        <f aca="false">(SUMPRODUCT(DCF_Base!$C$19:$L$19/(1+$A$24/100)^DCF_Base!$C$4:$L$4)+MAX(0,MIN(IF($A$24&gt;$D$23,DCF_Base!$L$19*(1+$D$23/100)/(($A$24-$D$23)/100),DCF_Base!$L$19*DCF_Base!$B$29),DCF_Base!$L$19*DCF_Base!$B$29))/(1+$A$24/100)^DCF_Base!$L$4+Assumptions!$B$5-Assumptions!$B$4)/Assumptions!$B$3*Assumptions!$B$10</f>
        <v>2648.04918253906</v>
      </c>
      <c r="E24" s="0" t="n">
        <f aca="false">(SUMPRODUCT(DCF_Base!$C$19:$L$19/(1+$A$24/100)^DCF_Base!$C$4:$L$4)+MAX(0,MIN(IF($A$24&gt;$E$23,DCF_Base!$L$19*(1+$E$23/100)/(($A$24-$E$23)/100),DCF_Base!$L$19*DCF_Base!$B$29),DCF_Base!$L$19*DCF_Base!$B$29))/(1+$A$24/100)^DCF_Base!$L$4+Assumptions!$B$5-Assumptions!$B$4)/Assumptions!$B$3*Assumptions!$B$10</f>
        <v>2648.04918253906</v>
      </c>
      <c r="F24" s="0" t="n">
        <f aca="false">(SUMPRODUCT(DCF_Base!$C$19:$L$19/(1+$A$24/100)^DCF_Base!$C$4:$L$4)+MAX(0,MIN(IF($A$24&gt;$F$23,DCF_Base!$L$19*(1+$F$23/100)/(($A$24-$F$23)/100),DCF_Base!$L$19*DCF_Base!$B$29),DCF_Base!$L$19*DCF_Base!$B$29))/(1+$A$24/100)^DCF_Base!$L$4+Assumptions!$B$5-Assumptions!$B$4)/Assumptions!$B$3*Assumptions!$B$10</f>
        <v>2648.04918253906</v>
      </c>
    </row>
    <row r="25" customFormat="false" ht="15" hidden="false" customHeight="false" outlineLevel="0" collapsed="false">
      <c r="A25" s="3" t="n">
        <v>5.5</v>
      </c>
      <c r="B25" s="0" t="n">
        <f aca="false">(SUMPRODUCT(DCF_Base!$C$19:$L$19/(1+$A$25/100)^DCF_Base!$C$4:$L$4)+MAX(0,MIN(IF($A$25&gt;$B$23,DCF_Base!$L$19*(1+$B$23/100)/(($A$25-$B$23)/100),DCF_Base!$L$19*DCF_Base!$B$29),DCF_Base!$L$19*DCF_Base!$B$29))/(1+$A$25/100)^DCF_Base!$L$4+Assumptions!$B$5-Assumptions!$B$4)/Assumptions!$B$3*Assumptions!$B$10</f>
        <v>2275.2187749408</v>
      </c>
      <c r="C25" s="0" t="n">
        <f aca="false">(SUMPRODUCT(DCF_Base!$C$19:$L$19/(1+$A$25/100)^DCF_Base!$C$4:$L$4)+MAX(0,MIN(IF($A$25&gt;$C$23,DCF_Base!$L$19*(1+$C$23/100)/(($A$25-$C$23)/100),DCF_Base!$L$19*DCF_Base!$B$29),DCF_Base!$L$19*DCF_Base!$B$29))/(1+$A$25/100)^DCF_Base!$L$4+Assumptions!$B$5-Assumptions!$B$4)/Assumptions!$B$3*Assumptions!$B$10</f>
        <v>2275.2187749408</v>
      </c>
      <c r="D25" s="0" t="n">
        <f aca="false">(SUMPRODUCT(DCF_Base!$C$19:$L$19/(1+$A$25/100)^DCF_Base!$C$4:$L$4)+MAX(0,MIN(IF($A$25&gt;$D$23,DCF_Base!$L$19*(1+$D$23/100)/(($A$25-$D$23)/100),DCF_Base!$L$19*DCF_Base!$B$29),DCF_Base!$L$19*DCF_Base!$B$29))/(1+$A$25/100)^DCF_Base!$L$4+Assumptions!$B$5-Assumptions!$B$4)/Assumptions!$B$3*Assumptions!$B$10</f>
        <v>2275.2187749408</v>
      </c>
      <c r="E25" s="0" t="n">
        <f aca="false">(SUMPRODUCT(DCF_Base!$C$19:$L$19/(1+$A$25/100)^DCF_Base!$C$4:$L$4)+MAX(0,MIN(IF($A$25&gt;$E$23,DCF_Base!$L$19*(1+$E$23/100)/(($A$25-$E$23)/100),DCF_Base!$L$19*DCF_Base!$B$29),DCF_Base!$L$19*DCF_Base!$B$29))/(1+$A$25/100)^DCF_Base!$L$4+Assumptions!$B$5-Assumptions!$B$4)/Assumptions!$B$3*Assumptions!$B$10</f>
        <v>2275.2187749408</v>
      </c>
      <c r="F25" s="0" t="n">
        <f aca="false">(SUMPRODUCT(DCF_Base!$C$19:$L$19/(1+$A$25/100)^DCF_Base!$C$4:$L$4)+MAX(0,MIN(IF($A$25&gt;$F$23,DCF_Base!$L$19*(1+$F$23/100)/(($A$25-$F$23)/100),DCF_Base!$L$19*DCF_Base!$B$29),DCF_Base!$L$19*DCF_Base!$B$29))/(1+$A$25/100)^DCF_Base!$L$4+Assumptions!$B$5-Assumptions!$B$4)/Assumptions!$B$3*Assumptions!$B$10</f>
        <v>2275.2187749408</v>
      </c>
    </row>
    <row r="26" customFormat="false" ht="15" hidden="false" customHeight="false" outlineLevel="0" collapsed="false">
      <c r="A26" s="3" t="n">
        <v>6.5</v>
      </c>
      <c r="B26" s="0" t="n">
        <f aca="false">(SUMPRODUCT(DCF_Base!$C$19:$L$19/(1+$A$26/100)^DCF_Base!$C$4:$L$4)+MAX(0,MIN(IF($A$26&gt;$B$23,DCF_Base!$L$19*(1+$B$23/100)/(($A$26-$B$23)/100),DCF_Base!$L$19*DCF_Base!$B$29),DCF_Base!$L$19*DCF_Base!$B$29))/(1+$A$26/100)^DCF_Base!$L$4+Assumptions!$B$5-Assumptions!$B$4)/Assumptions!$B$3*Assumptions!$B$10</f>
        <v>1689.13102202131</v>
      </c>
      <c r="C26" s="0" t="n">
        <f aca="false">(SUMPRODUCT(DCF_Base!$C$19:$L$19/(1+$A$26/100)^DCF_Base!$C$4:$L$4)+MAX(0,MIN(IF($A$26&gt;$C$23,DCF_Base!$L$19*(1+$C$23/100)/(($A$26-$C$23)/100),DCF_Base!$L$19*DCF_Base!$B$29),DCF_Base!$L$19*DCF_Base!$B$29))/(1+$A$26/100)^DCF_Base!$L$4+Assumptions!$B$5-Assumptions!$B$4)/Assumptions!$B$3*Assumptions!$B$10</f>
        <v>1940.29333675738</v>
      </c>
      <c r="D26" s="0" t="n">
        <f aca="false">(SUMPRODUCT(DCF_Base!$C$19:$L$19/(1+$A$26/100)^DCF_Base!$C$4:$L$4)+MAX(0,MIN(IF($A$26&gt;$D$23,DCF_Base!$L$19*(1+$D$23/100)/(($A$26-$D$23)/100),DCF_Base!$L$19*DCF_Base!$B$29),DCF_Base!$L$19*DCF_Base!$B$29))/(1+$A$26/100)^DCF_Base!$L$4+Assumptions!$B$5-Assumptions!$B$4)/Assumptions!$B$3*Assumptions!$B$10</f>
        <v>1940.29333675738</v>
      </c>
      <c r="E26" s="0" t="n">
        <f aca="false">(SUMPRODUCT(DCF_Base!$C$19:$L$19/(1+$A$26/100)^DCF_Base!$C$4:$L$4)+MAX(0,MIN(IF($A$26&gt;$E$23,DCF_Base!$L$19*(1+$E$23/100)/(($A$26-$E$23)/100),DCF_Base!$L$19*DCF_Base!$B$29),DCF_Base!$L$19*DCF_Base!$B$29))/(1+$A$26/100)^DCF_Base!$L$4+Assumptions!$B$5-Assumptions!$B$4)/Assumptions!$B$3*Assumptions!$B$10</f>
        <v>1940.29333675738</v>
      </c>
      <c r="F26" s="0" t="n">
        <f aca="false">(SUMPRODUCT(DCF_Base!$C$19:$L$19/(1+$A$26/100)^DCF_Base!$C$4:$L$4)+MAX(0,MIN(IF($A$26&gt;$F$23,DCF_Base!$L$19*(1+$F$23/100)/(($A$26-$F$23)/100),DCF_Base!$L$19*DCF_Base!$B$29),DCF_Base!$L$19*DCF_Base!$B$29))/(1+$A$26/100)^DCF_Base!$L$4+Assumptions!$B$5-Assumptions!$B$4)/Assumptions!$B$3*Assumptions!$B$10</f>
        <v>1940.29333675738</v>
      </c>
    </row>
    <row r="27" customFormat="false" ht="15" hidden="false" customHeight="false" outlineLevel="0" collapsed="false">
      <c r="A27" s="3" t="n">
        <v>7.5</v>
      </c>
      <c r="B27" s="0" t="n">
        <f aca="false">(SUMPRODUCT(DCF_Base!$C$19:$L$19/(1+$A$27/100)^DCF_Base!$C$4:$L$4)+MAX(0,MIN(IF($A$27&gt;$B$23,DCF_Base!$L$19*(1+$B$23/100)/(($A$27-$B$23)/100),DCF_Base!$L$19*DCF_Base!$B$29),DCF_Base!$L$19*DCF_Base!$B$29))/(1+$A$27/100)^DCF_Base!$L$4+Assumptions!$B$5-Assumptions!$B$4)/Assumptions!$B$3*Assumptions!$B$10</f>
        <v>955.174142011827</v>
      </c>
      <c r="C27" s="0" t="n">
        <f aca="false">(SUMPRODUCT(DCF_Base!$C$19:$L$19/(1+$A$27/100)^DCF_Base!$C$4:$L$4)+MAX(0,MIN(IF($A$27&gt;$C$23,DCF_Base!$L$19*(1+$C$23/100)/(($A$27-$C$23)/100),DCF_Base!$L$19*DCF_Base!$B$29),DCF_Base!$L$19*DCF_Base!$B$29))/(1+$A$27/100)^DCF_Base!$L$4+Assumptions!$B$5-Assumptions!$B$4)/Assumptions!$B$3*Assumptions!$B$10</f>
        <v>1174.34434984815</v>
      </c>
      <c r="D27" s="0" t="n">
        <f aca="false">(SUMPRODUCT(DCF_Base!$C$19:$L$19/(1+$A$27/100)^DCF_Base!$C$4:$L$4)+MAX(0,MIN(IF($A$27&gt;$D$23,DCF_Base!$L$19*(1+$D$23/100)/(($A$27-$D$23)/100),DCF_Base!$L$19*DCF_Base!$B$29),DCF_Base!$L$19*DCF_Base!$B$29))/(1+$A$27/100)^DCF_Base!$L$4+Assumptions!$B$5-Assumptions!$B$4)/Assumptions!$B$3*Assumptions!$B$10</f>
        <v>1437.34859925175</v>
      </c>
      <c r="E27" s="0" t="n">
        <f aca="false">(SUMPRODUCT(DCF_Base!$C$19:$L$19/(1+$A$27/100)^DCF_Base!$C$4:$L$4)+MAX(0,MIN(IF($A$27&gt;$E$23,DCF_Base!$L$19*(1+$E$23/100)/(($A$27-$E$23)/100),DCF_Base!$L$19*DCF_Base!$B$29),DCF_Base!$L$19*DCF_Base!$B$29))/(1+$A$27/100)^DCF_Base!$L$4+Assumptions!$B$5-Assumptions!$B$4)/Assumptions!$B$3*Assumptions!$B$10</f>
        <v>1639.18906972427</v>
      </c>
      <c r="F27" s="0" t="n">
        <f aca="false">(SUMPRODUCT(DCF_Base!$C$19:$L$19/(1+$A$27/100)^DCF_Base!$C$4:$L$4)+MAX(0,MIN(IF($A$27&gt;$F$23,DCF_Base!$L$19*(1+$F$23/100)/(($A$27-$F$23)/100),DCF_Base!$L$19*DCF_Base!$B$29),DCF_Base!$L$19*DCF_Base!$B$29))/(1+$A$27/100)^DCF_Base!$L$4+Assumptions!$B$5-Assumptions!$B$4)/Assumptions!$B$3*Assumptions!$B$10</f>
        <v>1639.18906972427</v>
      </c>
    </row>
    <row r="28" customFormat="false" ht="15" hidden="false" customHeight="false" outlineLevel="0" collapsed="false">
      <c r="A28" s="3" t="n">
        <v>8.5</v>
      </c>
      <c r="B28" s="0" t="n">
        <f aca="false">(SUMPRODUCT(DCF_Base!$C$19:$L$19/(1+$A$28/100)^DCF_Base!$C$4:$L$4)+MAX(0,MIN(IF($A$28&gt;$B$23,DCF_Base!$L$19*(1+$B$23/100)/(($A$28-$B$23)/100),DCF_Base!$L$19*DCF_Base!$B$29),DCF_Base!$L$19*DCF_Base!$B$29))/(1+$A$28/100)^DCF_Base!$L$4+Assumptions!$B$5-Assumptions!$B$4)/Assumptions!$B$3*Assumptions!$B$10</f>
        <v>448.33919043684</v>
      </c>
      <c r="C28" s="0" t="n">
        <f aca="false">(SUMPRODUCT(DCF_Base!$C$19:$L$19/(1+$A$28/100)^DCF_Base!$C$4:$L$4)+MAX(0,MIN(IF($A$28&gt;$C$23,DCF_Base!$L$19*(1+$C$23/100)/(($A$28-$C$23)/100),DCF_Base!$L$19*DCF_Base!$B$29),DCF_Base!$L$19*DCF_Base!$B$29))/(1+$A$28/100)^DCF_Base!$L$4+Assumptions!$B$5-Assumptions!$B$4)/Assumptions!$B$3*Assumptions!$B$10</f>
        <v>594.588086745465</v>
      </c>
      <c r="D28" s="0" t="n">
        <f aca="false">(SUMPRODUCT(DCF_Base!$C$19:$L$19/(1+$A$28/100)^DCF_Base!$C$4:$L$4)+MAX(0,MIN(IF($A$28&gt;$D$23,DCF_Base!$L$19*(1+$D$23/100)/(($A$28-$D$23)/100),DCF_Base!$L$19*DCF_Base!$B$29),DCF_Base!$L$19*DCF_Base!$B$29))/(1+$A$28/100)^DCF_Base!$L$4+Assumptions!$B$5-Assumptions!$B$4)/Assumptions!$B$3*Assumptions!$B$10</f>
        <v>765.211799105527</v>
      </c>
      <c r="E28" s="0" t="n">
        <f aca="false">(SUMPRODUCT(DCF_Base!$C$19:$L$19/(1+$A$28/100)^DCF_Base!$C$4:$L$4)+MAX(0,MIN(IF($A$28&gt;$E$23,DCF_Base!$L$19*(1+$E$23/100)/(($A$28-$E$23)/100),DCF_Base!$L$19*DCF_Base!$B$29),DCF_Base!$L$19*DCF_Base!$B$29))/(1+$A$28/100)^DCF_Base!$L$4+Assumptions!$B$5-Assumptions!$B$4)/Assumptions!$B$3*Assumptions!$B$10</f>
        <v>966.858004621963</v>
      </c>
      <c r="F28" s="0" t="n">
        <f aca="false">(SUMPRODUCT(DCF_Base!$C$19:$L$19/(1+$A$28/100)^DCF_Base!$C$4:$L$4)+MAX(0,MIN(IF($A$28&gt;$F$23,DCF_Base!$L$19*(1+$F$23/100)/(($A$28-$F$23)/100),DCF_Base!$L$19*DCF_Base!$B$29),DCF_Base!$L$19*DCF_Base!$B$29))/(1+$A$28/100)^DCF_Base!$L$4+Assumptions!$B$5-Assumptions!$B$4)/Assumptions!$B$3*Assumptions!$B$10</f>
        <v>1208.83345124169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2026-10-10T01:39:54Z</dcterms:created>
  <dc:creator>openpyxl</dc:creator>
  <dc:description/>
  <dc:language>en-NZ</dc:language>
  <cp:lastModifiedBy/>
  <dcterms:modified xsi:type="dcterms:W3CDTF">2026-10-10T01:39:54Z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