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Info" sheetId="1" state="visible" r:id="rId1"/>
    <sheet xmlns:r="http://schemas.openxmlformats.org/officeDocument/2006/relationships" name="Actual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DCF_Bear" sheetId="4" state="visible" r:id="rId4"/>
    <sheet xmlns:r="http://schemas.openxmlformats.org/officeDocument/2006/relationships" name="DCF_Base" sheetId="5" state="visible" r:id="rId5"/>
    <sheet xmlns:r="http://schemas.openxmlformats.org/officeDocument/2006/relationships" name="DCF_Bull" sheetId="6" state="visible" r:id="rId6"/>
    <sheet xmlns:r="http://schemas.openxmlformats.org/officeDocument/2006/relationships" name="FCF_Quality" sheetId="7" state="visible" r:id="rId7"/>
    <sheet xmlns:r="http://schemas.openxmlformats.org/officeDocument/2006/relationships" name="Valu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#,##0.0"/>
    <numFmt numFmtId="165" formatCode="0.0%"/>
    <numFmt numFmtId="166" formatCode="$#,##0.00"/>
    <numFmt numFmtId="167" formatCode="#,##0.000"/>
    <numFmt numFmtId="168" formatCode="0.0"/>
    <numFmt numFmtId="169" formatCode="0.0000"/>
    <numFmt numFmtId="170" formatCode="0.0x"/>
  </numFmts>
  <fonts count="4">
    <font>
      <name val="Calibri"/>
      <family val="2"/>
      <color theme="1"/>
      <sz val="11"/>
      <scheme val="minor"/>
    </font>
    <font>
      <b val="1"/>
    </font>
    <font>
      <color rgb="000000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FFFF99"/>
      </patternFill>
    </fill>
    <fill>
      <patternFill patternType="solid">
        <f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164" fontId="2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165" fontId="2" fillId="0" borderId="0" pivotButton="0" quotePrefix="0" xfId="0"/>
    <xf numFmtId="168" fontId="2" fillId="0" borderId="0" pivotButton="0" quotePrefix="0" xfId="0"/>
    <xf numFmtId="165" fontId="2" fillId="2" borderId="0" pivotButton="0" quotePrefix="0" xfId="0"/>
    <xf numFmtId="165" fontId="3" fillId="0" borderId="0" pivotButton="0" quotePrefix="0" xfId="0"/>
    <xf numFmtId="164" fontId="3" fillId="0" borderId="0" pivotButton="0" quotePrefix="0" xfId="0"/>
    <xf numFmtId="164" fontId="1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167" fontId="3" fillId="0" borderId="0" pivotButton="0" quotePrefix="0" xfId="0"/>
    <xf numFmtId="166" fontId="1" fillId="3" borderId="0" pivotButton="0" quotePrefix="0" xfId="0"/>
    <xf numFmtId="166" fontId="0" fillId="0" borderId="0" pivotButton="0" quotePrefix="0" xfId="0"/>
    <xf numFmtId="166" fontId="3" fillId="0" borderId="0" pivotButton="0" quotePrefix="0" xfId="0"/>
    <xf numFmtId="166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2" customWidth="1" min="1" max="1"/>
    <col width="140" customWidth="1" min="2" max="2"/>
  </cols>
  <sheetData>
    <row r="1">
      <c r="A1" s="1" t="inlineStr">
        <is>
          <t>ASX.AX -- ASX Limited owner-FCF DCF model</t>
        </is>
      </c>
      <c r="B1" s="2" t="inlineStr"/>
    </row>
    <row r="2">
      <c r="A2" s="1" t="inlineStr">
        <is>
          <t>Version</t>
        </is>
      </c>
      <c r="B2" s="2" t="inlineStr">
        <is>
          <t>1.0, fresh build 2026-09-21 (no prior DCF for this ticker).</t>
        </is>
      </c>
    </row>
    <row r="3">
      <c r="A3" s="1" t="inlineStr">
        <is>
          <t>Built by</t>
        </is>
      </c>
      <c r="B3" s="2" t="inlineStr">
        <is>
          <t>dcf-analyst agent (Claude Fable 5.1), 2026-09-21, at the request of the research-stock orchestrator for Stephen Williams.</t>
        </is>
      </c>
    </row>
    <row r="4">
      <c r="A4" s="1" t="inlineStr">
        <is>
          <t>Companion file</t>
        </is>
      </c>
      <c r="B4" s="2" t="inlineStr">
        <is>
          <t>research/ASX.AX/Reports/ASX.AX_DCF.json -- the JSON is the published record; this workbook re-implements the same model with live formulas.</t>
        </is>
      </c>
    </row>
    <row r="5">
      <c r="A5" s="1" t="inlineStr">
        <is>
          <t>Data vintage: price</t>
        </is>
      </c>
      <c r="B5" s="2" t="inlineStr">
        <is>
          <t>A$56.74 regular-session quote, Yahoo Finance, 2026-09-21T06:10:29Z regular session (Yahoo, AUD). Stale within days; refresh on Assumptions!B3.</t>
        </is>
      </c>
    </row>
    <row r="6">
      <c r="A6" s="1" t="inlineStr">
        <is>
          <t>Data vintage: balance sheet</t>
        </is>
      </c>
      <c r="B6" s="2" t="inlineStr">
        <is>
          <t>30 June 2026, ASX Limited Annual Report 2026 (notes 10, 11, 16, 19, 20, 25.2).</t>
        </is>
      </c>
    </row>
    <row r="7">
      <c r="A7" s="1" t="inlineStr">
        <is>
          <t>Data vintage: share count</t>
        </is>
      </c>
      <c r="B7" s="2" t="inlineStr">
        <is>
          <t>195,409,849 ordinary shares on issue at 30-Jun-2026 (AR FY26 five-year summary). Held flat; SBC expensed in flows.</t>
        </is>
      </c>
    </row>
    <row r="8">
      <c r="A8" s="1" t="inlineStr">
        <is>
          <t>Data vintage: guidance</t>
        </is>
      </c>
      <c r="B8" s="2" t="inlineStr">
        <is>
          <t>FY26 results 13-Aug-2026: no numeric FY27 revenue/NPAT guidance; payout 75-85% (bottom of range for next two dividends); underlying ROE guidance 12-14% (May-2026); A$150m NTA charge by 30-Jun-2027.</t>
        </is>
      </c>
    </row>
    <row r="9">
      <c r="A9" s="1" t="inlineStr">
        <is>
          <t>Methodology: model</t>
        </is>
      </c>
      <c r="B9" s="2" t="inlineStr">
        <is>
          <t>Owner-FCF DCF, component build, 10-year horizon, on an EQUITY-flow basis (net interest income inside EBITDA, FRN/lease interest charged in flows) discounted at the AUD cost of equity (9.0%). Rejected: earnings-at-CoE (hides A$120m/yr capex-over-D&amp;A gap), reported FCF (participant margin flows make it meaningless).</t>
        </is>
      </c>
    </row>
    <row r="10">
      <c r="A10" s="1" t="inlineStr">
        <is>
          <t>Methodology: revenue</t>
        </is>
      </c>
      <c r="B10" s="2" t="inlineStr">
        <is>
          <t>Segment operating revenue ex interest (A$1,254.6m FY26), the consistent 22-period series.</t>
        </is>
      </c>
    </row>
    <row r="11">
      <c r="A11" s="1" t="inlineStr">
        <is>
          <t>Methodology: interest</t>
        </is>
      </c>
      <c r="B11" s="2" t="inlineStr">
        <is>
          <t>Collateral NII (A$46.2m) and interest on regulatory capital (A$46.2m) stay in flows as operating income; interest on the A$250.2m surplus own cash (A$9.4m) stripped because that cash is credited in the bridge; FRN/borrowing interest (A$18.9m) removed because the A$275m FRN is deducted in the bridge.</t>
        </is>
      </c>
    </row>
    <row r="12">
      <c r="A12" s="1" t="inlineStr">
        <is>
          <t>Methodology: leases</t>
        </is>
      </c>
      <c r="B12" s="2" t="inlineStr">
        <is>
          <t>Treatment B: lease principal + interest (A$22.5m) deducted inside adj. EBITDA; lease liabilities (A$215.2m) excluded from net debt; tax-shield D&amp;A excludes ROU depreciation.</t>
        </is>
      </c>
    </row>
    <row r="13">
      <c r="A13" s="1" t="inlineStr">
        <is>
          <t>Methodology: net debt</t>
        </is>
      </c>
      <c r="B13" s="2" t="inlineStr">
        <is>
          <t>FRN A$275.0m - available own cash A$250.2m (own cash A$1,485.2m less regulatory/licence requirements A$1,235.0m) + ASIC NTA shortfall A$132.9m = A$157.7m. Consolidated cash (A$680.8m) and amounts owing to participants (A$9,161.5m) are NOT used.</t>
        </is>
      </c>
    </row>
    <row r="14">
      <c r="A14" s="1" t="inlineStr">
        <is>
          <t>Methodology: regulatory capital</t>
        </is>
      </c>
      <c r="B14" s="2" t="inlineStr">
        <is>
          <t>Growth-driven build modelled as negative working capital (-13.5% of incremental revenue, calibrated to FY26 +A$20m). One-off ASIC A$150m charge in the bridge, treated as permanently locked (conservative by ~A$0.5/share).</t>
        </is>
      </c>
    </row>
    <row r="15">
      <c r="A15" s="1" t="inlineStr">
        <is>
          <t>Methodology: terminal value</t>
        </is>
      </c>
      <c r="B15" s="2" t="inlineStr">
        <is>
          <t>max(0, min(Gordon, 20x FCF10)). Gordon binds in all three scenarios at 9% CoE.</t>
        </is>
      </c>
    </row>
    <row r="16">
      <c r="A16" s="1" t="inlineStr">
        <is>
          <t>Methodology: entry price</t>
        </is>
      </c>
      <c r="B16" s="2" t="inlineStr">
        <is>
          <t>15% IRR with the terminal value rebuilt at the hurdle rate; probability-weighted across scenarios.</t>
        </is>
      </c>
    </row>
    <row r="17">
      <c r="A17" s="1" t="inlineStr">
        <is>
          <t>Scenario drivers</t>
        </is>
      </c>
      <c r="B17" s="2" t="inlineStr">
        <is>
          <t>Agent judgment set 2026-09-21 from FY26 AR + Analysis.json. Weights 25/50/25 (bear raised for single-regulator gating and CHESS execution precedent; bull cut because it needs three things to coincide).</t>
        </is>
      </c>
    </row>
    <row r="18">
      <c r="A18" s="1" t="inlineStr">
        <is>
          <t>Refresh after next print</t>
        </is>
      </c>
      <c r="B18" s="2" t="inlineStr">
        <is>
          <t>H1 FY27 (Feb-2027): price/timestamp, own cash &amp; regulatory requirement (note 25.2), NTA vs A$1,189.7m minimum, FRN refinancing (Feb-2027 maturity), capex run-rate, CHESS Release 2 timetable, FY27 opex growth. Re-judge only the FY27 driver year unless new evidence moves later years.</t>
        </is>
      </c>
    </row>
    <row r="19">
      <c r="A19" s="1" t="inlineStr">
        <is>
          <t>Cell colours</t>
        </is>
      </c>
      <c r="B19" s="2" t="inlineStr">
        <is>
          <t>BLUE font = hardcoded input; YELLOW fill = key lever (driver rows 5, 7, 9, 14, 46, 47 on DCF tabs); BLACK = formula; GREEN font = cross-sheet link.</t>
        </is>
      </c>
    </row>
    <row r="20">
      <c r="A20" s="1" t="inlineStr">
        <is>
          <t>Caveat</t>
        </is>
      </c>
      <c r="B20" s="2" t="inlineStr">
        <is>
          <t>All figures go stale. Text in this workbook never begins with '='. Sheet names contain no spaces.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6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Reported history (A$m, segment basis; source ASX.AX_Metrics.csv / annual reports)</t>
        </is>
      </c>
    </row>
    <row r="3">
      <c r="A3" s="1" t="inlineStr">
        <is>
          <t>Metric</t>
        </is>
      </c>
      <c r="B3" s="1" t="inlineStr">
        <is>
          <t>FY2021</t>
        </is>
      </c>
      <c r="C3" s="1" t="inlineStr">
        <is>
          <t>FY2022</t>
        </is>
      </c>
      <c r="D3" s="1" t="inlineStr">
        <is>
          <t>FY2023</t>
        </is>
      </c>
      <c r="E3" s="1" t="inlineStr">
        <is>
          <t>FY2024</t>
        </is>
      </c>
      <c r="F3" s="1" t="inlineStr">
        <is>
          <t>FY2025</t>
        </is>
      </c>
      <c r="G3" s="1" t="inlineStr">
        <is>
          <t>FY2026</t>
        </is>
      </c>
    </row>
    <row r="4">
      <c r="A4" t="inlineStr">
        <is>
          <t>Operating revenue (segment, ex interest)</t>
        </is>
      </c>
      <c r="B4" s="3" t="n">
        <v>951.5</v>
      </c>
      <c r="C4" s="3" t="n">
        <v>1022.7</v>
      </c>
      <c r="D4" s="3" t="n">
        <v>1010.2</v>
      </c>
      <c r="E4" s="3" t="n">
        <v>1034.3</v>
      </c>
      <c r="F4" s="3" t="n">
        <v>1107.2</v>
      </c>
      <c r="G4" s="3" t="n">
        <v>1254.6</v>
      </c>
    </row>
    <row r="5">
      <c r="A5" t="inlineStr">
        <is>
          <t>Segment EBITDA (after SBC; FY26 incl A$30.8m ASIC Inquiry)</t>
        </is>
      </c>
      <c r="B5" s="3" t="n">
        <v>694.7</v>
      </c>
      <c r="C5" s="3" t="n">
        <v>739.5</v>
      </c>
      <c r="D5" s="3" t="n">
        <v>672.5</v>
      </c>
      <c r="E5" s="3" t="n">
        <v>641.8</v>
      </c>
      <c r="F5" s="3" t="n">
        <v>695.3</v>
      </c>
      <c r="G5" s="3" t="n">
        <v>765</v>
      </c>
    </row>
    <row r="6">
      <c r="A6" t="inlineStr">
        <is>
          <t>D&amp;A (statutory)</t>
        </is>
      </c>
      <c r="B6" s="3" t="n">
        <v>55.5</v>
      </c>
      <c r="C6" s="3" t="n">
        <v>52.4</v>
      </c>
      <c r="D6" s="3" t="n">
        <v>39.1</v>
      </c>
      <c r="E6" s="3" t="n">
        <v>40</v>
      </c>
      <c r="F6" s="3" t="n">
        <v>49.3</v>
      </c>
      <c r="G6" s="3" t="n">
        <v>68.2</v>
      </c>
    </row>
    <row r="7">
      <c r="A7" t="inlineStr">
        <is>
          <t>Net interest income</t>
        </is>
      </c>
      <c r="B7" s="3" t="n">
        <v>46.7</v>
      </c>
      <c r="C7" s="3" t="n">
        <v>41.1</v>
      </c>
      <c r="D7" s="3" t="n">
        <v>70.8</v>
      </c>
      <c r="E7" s="3" t="n">
        <v>76.7</v>
      </c>
      <c r="F7" s="3" t="n">
        <v>86.8</v>
      </c>
      <c r="G7" s="3" t="n">
        <v>73.2</v>
      </c>
    </row>
    <row r="8">
      <c r="A8" t="inlineStr">
        <is>
          <t>Underlying NPAT</t>
        </is>
      </c>
      <c r="B8" s="3" t="n">
        <v>480.9</v>
      </c>
      <c r="C8" s="3" t="n">
        <v>508.5</v>
      </c>
      <c r="D8" s="3" t="n">
        <v>491.1</v>
      </c>
      <c r="E8" s="3" t="n">
        <v>474.2</v>
      </c>
      <c r="F8" s="3" t="n">
        <v>510</v>
      </c>
      <c r="G8" s="3" t="n">
        <v>536.4</v>
      </c>
    </row>
    <row r="9">
      <c r="A9" t="inlineStr">
        <is>
          <t>Statutory NPAT</t>
        </is>
      </c>
      <c r="B9" s="3" t="n">
        <v>480.9</v>
      </c>
      <c r="C9" s="3" t="n">
        <v>508.5</v>
      </c>
      <c r="D9" s="3" t="n">
        <v>317.3</v>
      </c>
      <c r="E9" s="3" t="n">
        <v>474.2</v>
      </c>
      <c r="F9" s="3" t="n">
        <v>502.6</v>
      </c>
      <c r="G9" s="3" t="n">
        <v>484.9</v>
      </c>
    </row>
    <row r="10">
      <c r="A10" t="inlineStr">
        <is>
          <t>Cash capex (CFS)</t>
        </is>
      </c>
      <c r="B10" s="3" t="n">
        <v>101.3</v>
      </c>
      <c r="C10" s="3" t="n">
        <v>105.8</v>
      </c>
      <c r="D10" s="3" t="n">
        <v>103.1</v>
      </c>
      <c r="E10" s="3" t="n">
        <v>137.8</v>
      </c>
      <c r="F10" s="3" t="n">
        <v>171.9</v>
      </c>
      <c r="G10" s="3" t="n">
        <v>189</v>
      </c>
    </row>
    <row r="11">
      <c r="A11" t="inlineStr">
        <is>
          <t>Lease principal paid (est. pre-FY25)</t>
        </is>
      </c>
      <c r="B11" s="3" t="n">
        <v>12</v>
      </c>
      <c r="C11" s="3" t="n">
        <v>12</v>
      </c>
      <c r="D11" s="3" t="n">
        <v>12</v>
      </c>
      <c r="E11" s="3" t="n">
        <v>13</v>
      </c>
      <c r="F11" s="3" t="n">
        <v>13.2</v>
      </c>
      <c r="G11" s="3" t="n">
        <v>12.8</v>
      </c>
    </row>
    <row r="12">
      <c r="A12" t="inlineStr">
        <is>
          <t>Reported OCF (incl participant flows)</t>
        </is>
      </c>
      <c r="B12" s="3" t="n">
        <v>5095</v>
      </c>
      <c r="C12" s="3" t="n">
        <v>203.4</v>
      </c>
      <c r="D12" s="3" t="n">
        <v>-3404</v>
      </c>
      <c r="E12" s="3" t="n">
        <v>480.3</v>
      </c>
      <c r="F12" s="3" t="n">
        <v>302.9</v>
      </c>
      <c r="G12" s="3" t="n">
        <v>262.1</v>
      </c>
    </row>
    <row r="13">
      <c r="A13" t="inlineStr">
        <is>
          <t>Reported FCF = OCF - capex (UNUSABLE)</t>
        </is>
      </c>
      <c r="B13" s="3" t="n">
        <v>4993.7</v>
      </c>
      <c r="C13" s="3" t="n">
        <v>97.59999999999999</v>
      </c>
      <c r="D13" s="3" t="n">
        <v>-3507.1</v>
      </c>
      <c r="E13" s="3" t="n">
        <v>342.5</v>
      </c>
      <c r="F13" s="3" t="n">
        <v>131</v>
      </c>
      <c r="G13" s="3" t="n">
        <v>73.09999999999999</v>
      </c>
    </row>
    <row r="14">
      <c r="A14" t="inlineStr">
        <is>
          <t>Underlying EPS (A$)</t>
        </is>
      </c>
      <c r="B14" s="3" t="n">
        <v>2.484</v>
      </c>
      <c r="C14" s="3" t="n">
        <v>2.627</v>
      </c>
      <c r="D14" s="3" t="n">
        <v>2.537</v>
      </c>
      <c r="E14" s="3" t="n">
        <v>2.448</v>
      </c>
      <c r="F14" s="3" t="n">
        <v>2.629</v>
      </c>
      <c r="G14" s="3" t="n">
        <v>2.758</v>
      </c>
    </row>
    <row r="15">
      <c r="A15" t="inlineStr">
        <is>
          <t>Dividend per share (A$)</t>
        </is>
      </c>
      <c r="B15" s="3" t="n">
        <v>2.236</v>
      </c>
      <c r="C15" s="3" t="n">
        <v>2.364</v>
      </c>
      <c r="D15" s="3" t="n">
        <v>2.283</v>
      </c>
      <c r="E15" s="3" t="n">
        <v>2.08</v>
      </c>
      <c r="F15" s="3" t="n">
        <v>2.233</v>
      </c>
      <c r="G15" s="3" t="n">
        <v>2.065</v>
      </c>
    </row>
    <row r="16">
      <c r="A16" t="inlineStr">
        <is>
          <t>Shareholders' equity</t>
        </is>
      </c>
      <c r="B16" s="3" t="n">
        <v>3736.3</v>
      </c>
      <c r="C16" s="3" t="n">
        <v>3805.4</v>
      </c>
      <c r="D16" s="3" t="n">
        <v>3640.6</v>
      </c>
      <c r="E16" s="3" t="n">
        <v>3724.7</v>
      </c>
      <c r="F16" s="3" t="n">
        <v>3872.8</v>
      </c>
      <c r="G16" s="3" t="n">
        <v>3986.4</v>
      </c>
    </row>
    <row r="17">
      <c r="A17" t="inlineStr">
        <is>
          <t>Shares on issue (m)</t>
        </is>
      </c>
      <c r="B17" s="3" t="n">
        <v>193.595</v>
      </c>
      <c r="C17" s="3" t="n">
        <v>193.595</v>
      </c>
      <c r="D17" s="3" t="n">
        <v>193.595</v>
      </c>
      <c r="E17" s="3" t="n">
        <v>193.888</v>
      </c>
      <c r="F17" s="3" t="n">
        <v>194.299</v>
      </c>
      <c r="G17" s="3" t="n">
        <v>195.41</v>
      </c>
    </row>
    <row r="19">
      <c r="A19" s="1" t="inlineStr">
        <is>
          <t>Balance-sheet snapshot 30-Jun-2026 (A$m)</t>
        </is>
      </c>
    </row>
    <row r="20">
      <c r="A20" t="inlineStr">
        <is>
          <t>Cash and cash equivalents (consolidated, NOT used)</t>
        </is>
      </c>
      <c r="B20" s="3" t="n">
        <v>680.8</v>
      </c>
    </row>
    <row r="21">
      <c r="A21" t="inlineStr">
        <is>
          <t>Financial assets at amortised cost</t>
        </is>
      </c>
      <c r="B21" s="3" t="n">
        <v>9965.9</v>
      </c>
    </row>
    <row r="22">
      <c r="A22" t="inlineStr">
        <is>
          <t>Amounts owing to participants</t>
        </is>
      </c>
      <c r="B22" s="3" t="n">
        <v>9161.5</v>
      </c>
    </row>
    <row r="23">
      <c r="A23" t="inlineStr">
        <is>
          <t>ASX Group own cash + ST investments (note 25.2)</t>
        </is>
      </c>
      <c r="B23" s="3" t="n">
        <v>1485.2</v>
      </c>
    </row>
    <row r="24">
      <c r="A24" t="inlineStr">
        <is>
          <t>Regulatory capital + licence requirements</t>
        </is>
      </c>
      <c r="B24" s="3" t="n">
        <v>1235</v>
      </c>
    </row>
    <row r="25">
      <c r="A25" t="inlineStr">
        <is>
          <t>Available own cash</t>
        </is>
      </c>
      <c r="B25" s="3" t="n">
        <v>250.2</v>
      </c>
    </row>
    <row r="26">
      <c r="A26" t="inlineStr">
        <is>
          <t>Debt securities on issue (FRN, Feb-2027)</t>
        </is>
      </c>
      <c r="B26" s="3" t="n">
        <v>275</v>
      </c>
    </row>
    <row r="27">
      <c r="A27" t="inlineStr">
        <is>
          <t>Lease liabilities (excluded, treatment B)</t>
        </is>
      </c>
      <c r="B27" s="3" t="n">
        <v>215.2</v>
      </c>
    </row>
    <row r="28">
      <c r="A28" t="inlineStr">
        <is>
          <t>NTA</t>
        </is>
      </c>
      <c r="B28" s="3" t="n">
        <v>1056.8</v>
      </c>
    </row>
    <row r="29">
      <c r="A29" t="inlineStr">
        <is>
          <t>Minimum NTA by 30-Jun-2027</t>
        </is>
      </c>
      <c r="B29" s="3" t="n">
        <v>1189.7</v>
      </c>
    </row>
    <row r="30">
      <c r="A30" t="inlineStr">
        <is>
          <t>ASIC NTA shortfall</t>
        </is>
      </c>
      <c r="B30" s="3" t="n">
        <v>132.9</v>
      </c>
    </row>
    <row r="31">
      <c r="A31" t="inlineStr">
        <is>
          <t>Regulatory capital FY26 / FY25</t>
        </is>
      </c>
      <c r="B31" s="4" t="inlineStr">
        <is>
          <t>1,154.0 / 1,134.0</t>
        </is>
      </c>
    </row>
    <row r="33">
      <c r="A33" s="1" t="inlineStr">
        <is>
          <t>FY2026 owner-FCF component build (formulas)</t>
        </is>
      </c>
    </row>
    <row r="34">
      <c r="A34" t="inlineStr">
        <is>
          <t>Segment EBITDA</t>
        </is>
      </c>
      <c r="B34" s="3" t="n">
        <v>765</v>
      </c>
    </row>
    <row r="35">
      <c r="A35" t="inlineStr">
        <is>
          <t>add: SBC (expensed in segment EBITDA)</t>
        </is>
      </c>
      <c r="B35" s="3" t="n">
        <v>17</v>
      </c>
    </row>
    <row r="36">
      <c r="A36" t="inlineStr">
        <is>
          <t>add: net interest on participant collateral</t>
        </is>
      </c>
      <c r="B36" s="3" t="n">
        <v>46.2</v>
      </c>
    </row>
    <row r="37">
      <c r="A37" t="inlineStr">
        <is>
          <t>add: interest on regulatory capital (55.6 gross less surplus share)</t>
        </is>
      </c>
      <c r="B37" s="3" t="n">
        <v>46.2</v>
      </c>
    </row>
    <row r="38">
      <c r="A38" t="inlineStr">
        <is>
          <t>less: lease principal + interest</t>
        </is>
      </c>
      <c r="B38" s="3" t="n">
        <v>-22.5</v>
      </c>
    </row>
    <row r="39">
      <c r="A39" t="inlineStr">
        <is>
          <t>Adj EBITDA pre-SBC (owner basis)</t>
        </is>
      </c>
      <c r="B39" s="5">
        <f>SUM(B34:B38)</f>
        <v/>
      </c>
    </row>
    <row r="40">
      <c r="A40" t="inlineStr">
        <is>
          <t>less: SBC</t>
        </is>
      </c>
      <c r="B40" s="3" t="n">
        <v>-17</v>
      </c>
    </row>
    <row r="41">
      <c r="A41" t="inlineStr">
        <is>
          <t>Owner EBITDA</t>
        </is>
      </c>
      <c r="B41" s="5">
        <f>B39+B40</f>
        <v/>
      </c>
    </row>
    <row r="42">
      <c r="A42" t="inlineStr">
        <is>
          <t>less: D&amp;A ex ROU</t>
        </is>
      </c>
      <c r="B42" s="3" t="n">
        <v>-48.2</v>
      </c>
    </row>
    <row r="43">
      <c r="A43" t="inlineStr">
        <is>
          <t>EBIT</t>
        </is>
      </c>
      <c r="B43" s="5">
        <f>B41+B42</f>
        <v/>
      </c>
    </row>
    <row r="44">
      <c r="A44" t="inlineStr">
        <is>
          <t>Cash tax 30%</t>
        </is>
      </c>
      <c r="B44" s="5">
        <f>-MAX(0,B43)*0.3</f>
        <v/>
      </c>
    </row>
    <row r="45">
      <c r="A45" t="inlineStr">
        <is>
          <t>NOPAT</t>
        </is>
      </c>
      <c r="B45" s="5">
        <f>B43+B44</f>
        <v/>
      </c>
    </row>
    <row r="46">
      <c r="A46" t="inlineStr">
        <is>
          <t>add back D&amp;A</t>
        </is>
      </c>
      <c r="B46" s="5">
        <f>-B42</f>
        <v/>
      </c>
    </row>
    <row r="47">
      <c r="A47" t="inlineStr">
        <is>
          <t>less: capex</t>
        </is>
      </c>
      <c r="B47" s="3" t="n">
        <v>-189</v>
      </c>
    </row>
    <row r="48">
      <c r="A48" t="inlineStr">
        <is>
          <t>less: regulatory capital build</t>
        </is>
      </c>
      <c r="B48" s="3" t="n">
        <v>-20</v>
      </c>
    </row>
    <row r="49">
      <c r="A49" t="inlineStr">
        <is>
          <t>Owner FCF FY2026</t>
        </is>
      </c>
      <c r="B49" s="5">
        <f>SUM(B45:B48)</f>
        <v/>
      </c>
    </row>
    <row r="50">
      <c r="A50" t="inlineStr">
        <is>
          <t>Owner FCF margin</t>
        </is>
      </c>
      <c r="B50" s="6">
        <f>B49/1254.6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58" customWidth="1" min="1" max="1"/>
    <col width="18" customWidth="1" min="2" max="2"/>
    <col width="90" customWidth="1" min="3" max="3"/>
  </cols>
  <sheetData>
    <row r="1">
      <c r="A1" s="1" t="inlineStr">
        <is>
          <t>Global assumptions (blue = input)</t>
        </is>
      </c>
    </row>
    <row r="3">
      <c r="A3" t="inlineStr">
        <is>
          <t>Current price (A$)</t>
        </is>
      </c>
      <c r="B3" s="7" t="n">
        <v>56.74</v>
      </c>
      <c r="C3" t="inlineStr">
        <is>
          <t>2026-09-21T06:10:29Z regular session (Yahoo, AUD)</t>
        </is>
      </c>
    </row>
    <row r="4">
      <c r="A4" t="inlineStr">
        <is>
          <t>Price timestamp</t>
        </is>
      </c>
      <c r="B4" s="4" t="inlineStr">
        <is>
          <t>2026-09-21T06:10:29Z regular session (Yahoo, AUD)</t>
        </is>
      </c>
      <c r="C4" t="inlineStr">
        <is>
          <t>Yahoo regular session</t>
        </is>
      </c>
    </row>
    <row r="5">
      <c r="A5" t="inlineStr">
        <is>
          <t>Shares outstanding (m), flat</t>
        </is>
      </c>
      <c r="B5" s="8" t="n">
        <v>195.409849</v>
      </c>
      <c r="C5" t="inlineStr">
        <is>
          <t>Ordinary shares on issue 30-Jun-2026</t>
        </is>
      </c>
    </row>
    <row r="6">
      <c r="A6" t="inlineStr">
        <is>
          <t>Net debt (A$m)</t>
        </is>
      </c>
      <c r="B6" s="3" t="n">
        <v>157.7</v>
      </c>
      <c r="C6" t="inlineStr">
        <is>
          <t>FRN 275.0 - available own cash 250.2 + ASIC NTA shortfall 132.9</t>
        </is>
      </c>
    </row>
    <row r="7">
      <c r="A7" t="inlineStr">
        <is>
          <t>Balance sheet date</t>
        </is>
      </c>
      <c r="B7" s="4" t="inlineStr">
        <is>
          <t>2026-06-30</t>
        </is>
      </c>
      <c r="C7" t="inlineStr">
        <is>
          <t>FY26 annual report</t>
        </is>
      </c>
    </row>
    <row r="8">
      <c r="A8" t="inlineStr">
        <is>
          <t>WC capture % of incremental revenue (regulatory capital build)</t>
        </is>
      </c>
      <c r="B8" s="9" t="n">
        <v>-0.135</v>
      </c>
      <c r="C8" t="inlineStr">
        <is>
          <t>Negative: reg capital grows with the business; FY26 +20 on +147.4 revenue</t>
        </is>
      </c>
    </row>
    <row r="9">
      <c r="A9" t="inlineStr">
        <is>
          <t>Terminal value cap (x FCF10)</t>
        </is>
      </c>
      <c r="B9" s="10" t="n">
        <v>20</v>
      </c>
      <c r="C9" t="inlineStr">
        <is>
          <t>House default 20x</t>
        </is>
      </c>
    </row>
    <row r="10">
      <c r="A10" t="inlineStr">
        <is>
          <t>Hurdle rate (entry price)</t>
        </is>
      </c>
      <c r="B10" s="9" t="n">
        <v>0.15</v>
      </c>
      <c r="C10" t="inlineStr">
        <is>
          <t>15% IRR</t>
        </is>
      </c>
    </row>
    <row r="11">
      <c r="A11" t="inlineStr">
        <is>
          <t>FY2026 revenue (A$m)</t>
        </is>
      </c>
      <c r="B11" s="3" t="n">
        <v>1254.6</v>
      </c>
      <c r="C11" t="inlineStr">
        <is>
          <t>Segment operating revenue</t>
        </is>
      </c>
    </row>
    <row r="13">
      <c r="A13" s="1" t="inlineStr">
        <is>
          <t>Scenario</t>
        </is>
      </c>
      <c r="B13" s="1" t="inlineStr">
        <is>
          <t>Cost of equity</t>
        </is>
      </c>
      <c r="C13" s="1" t="inlineStr">
        <is>
          <t>Terminal growth</t>
        </is>
      </c>
      <c r="D13" s="1" t="inlineStr">
        <is>
          <t>Probability</t>
        </is>
      </c>
    </row>
    <row r="14">
      <c r="A14" t="inlineStr">
        <is>
          <t>Bear</t>
        </is>
      </c>
      <c r="B14" s="11" t="n">
        <v>0.09</v>
      </c>
      <c r="C14" s="11" t="n">
        <v>0.025</v>
      </c>
      <c r="D14" s="11" t="n">
        <v>0.25</v>
      </c>
    </row>
    <row r="15">
      <c r="A15" t="inlineStr">
        <is>
          <t>Base</t>
        </is>
      </c>
      <c r="B15" s="11" t="n">
        <v>0.09</v>
      </c>
      <c r="C15" s="11" t="n">
        <v>0.03</v>
      </c>
      <c r="D15" s="11" t="n">
        <v>0.5</v>
      </c>
    </row>
    <row r="16">
      <c r="A16" t="inlineStr">
        <is>
          <t>Bull</t>
        </is>
      </c>
      <c r="B16" s="11" t="n">
        <v>0.09</v>
      </c>
      <c r="C16" s="11" t="n">
        <v>0.035</v>
      </c>
      <c r="D16" s="11" t="n">
        <v>0.25</v>
      </c>
    </row>
    <row r="17">
      <c r="A17" t="inlineStr">
        <is>
          <t>Weights check (must be 100%)</t>
        </is>
      </c>
      <c r="D17" s="6">
        <f>SUM(D14:D16)</f>
        <v/>
      </c>
    </row>
    <row r="19">
      <c r="A19" s="1" t="inlineStr">
        <is>
          <t>Scenario narratives</t>
        </is>
      </c>
    </row>
    <row r="20">
      <c r="A20" t="inlineStr">
        <is>
          <t>Bear</t>
        </is>
      </c>
      <c r="B20" s="2" t="inlineStr">
        <is>
          <t>Regulatory ratchet. CHESS Release 2 slips again (Drop 5 already moved to Oct-26), remediation and Accelerate spend persist, ASIC's 2025 access/pricing rules and TMX Australia (ex-Cboe, ~20% share) cap trading-fee economics, and FY26's record volumes mean-revert (flat revenue FY27, then 1.5-3%). Owner EBITDA margin compresses to 64-65% and never recovers; capex stays at 15% through FY28 and 10% thereafter. Capital charge not released. Terminal growth 2.5%.</t>
        </is>
      </c>
    </row>
    <row r="21">
      <c r="A21" t="inlineStr">
        <is>
          <t>Base</t>
        </is>
      </c>
      <c r="B21" s="2" t="inlineStr">
        <is>
          <t>Franchise intact, costs stay elevated. Revenue +5%/yr near term (5-yr CAGR 5.7%), fading to 3% as FY26's record futures/cash-market volumes normalise but listings recover and super-pool growth continues. Owner EBITDA margin 68% in FY27 (FY26 ex-Inquiry 70.4% less continued Accelerate/technology cost growth and lower own-funds rates), recovering to 70% by FY32 once CHESS Release 2 is delivered (late FY28/FY29 assumed). Capex stays at 14-14.5% of revenue through FY28 then falls to a 9% run-rate; D&amp;A rises to 8.5% as capitalised software amortises. Regulatory capital grows with the business; the A$132.9m ASIC NTA charge is treated as permanently locked (conservative).</t>
        </is>
      </c>
    </row>
    <row r="22">
      <c r="A22" t="inlineStr">
        <is>
          <t>Bull</t>
        </is>
      </c>
      <c r="B22" s="2" t="inlineStr">
        <is>
          <t>New CEO delivers. Cost discipline arrives with the Attia/Accelerate reset, CHESS Release 2 lands on the revised timetable, ASIC releases the A$150m capital charge from FY28 and the payout returns to 80-90%. Revenue +8% in FY27 on sustained rate-volatility-driven derivatives volumes and a fuller IPO window, fading to 3.5%. Owner EBITDA margin recovers to 72% (FY16-19 segment margins were 70-71%). Capex normalises faster (8% by FY33). Terminal growth 3.5%.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4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Bear scenario -- owner FCF, A$m</t>
        </is>
      </c>
    </row>
    <row r="2">
      <c r="A2" t="inlineStr">
        <is>
          <t>Cost of equity</t>
        </is>
      </c>
      <c r="B2" s="12">
        <f>Assumptions!$B$14</f>
        <v/>
      </c>
    </row>
    <row r="3">
      <c r="A3" t="inlineStr">
        <is>
          <t>Year</t>
        </is>
      </c>
      <c r="B3" t="inlineStr">
        <is>
          <t>FY2026A</t>
        </is>
      </c>
      <c r="C3" t="inlineStr">
        <is>
          <t>FY2027E</t>
        </is>
      </c>
      <c r="D3" t="inlineStr">
        <is>
          <t>FY2028E</t>
        </is>
      </c>
      <c r="E3" t="inlineStr">
        <is>
          <t>FY2029E</t>
        </is>
      </c>
      <c r="F3" t="inlineStr">
        <is>
          <t>FY2030E</t>
        </is>
      </c>
      <c r="G3" t="inlineStr">
        <is>
          <t>FY2031E</t>
        </is>
      </c>
      <c r="H3" t="inlineStr">
        <is>
          <t>FY2032E</t>
        </is>
      </c>
      <c r="I3" t="inlineStr">
        <is>
          <t>FY2033E</t>
        </is>
      </c>
      <c r="J3" t="inlineStr">
        <is>
          <t>FY2034E</t>
        </is>
      </c>
      <c r="K3" t="inlineStr">
        <is>
          <t>FY2035E</t>
        </is>
      </c>
      <c r="L3" t="inlineStr">
        <is>
          <t>FY2036E</t>
        </is>
      </c>
    </row>
    <row r="4">
      <c r="A4" t="inlineStr">
        <is>
          <t>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YoY</t>
        </is>
      </c>
      <c r="C5" s="11" t="n">
        <v>0</v>
      </c>
      <c r="D5" s="11" t="n">
        <v>0.015</v>
      </c>
      <c r="E5" s="11" t="n">
        <v>0.025</v>
      </c>
      <c r="F5" s="11" t="n">
        <v>0.03</v>
      </c>
      <c r="G5" s="11" t="n">
        <v>0.03</v>
      </c>
      <c r="H5" s="11" t="n">
        <v>0.03</v>
      </c>
      <c r="I5" s="11" t="n">
        <v>0.025</v>
      </c>
      <c r="J5" s="11" t="n">
        <v>0.025</v>
      </c>
      <c r="K5" s="11" t="n">
        <v>0.025</v>
      </c>
      <c r="L5" s="11" t="n">
        <v>0.025</v>
      </c>
    </row>
    <row r="6">
      <c r="A6" t="inlineStr">
        <is>
          <t>Revenue</t>
        </is>
      </c>
      <c r="B6" s="3" t="n">
        <v>1254.6</v>
      </c>
      <c r="C6" s="5">
        <f>B6*(1+C5)</f>
        <v/>
      </c>
      <c r="D6" s="5">
        <f>C6*(1+D5)</f>
        <v/>
      </c>
      <c r="E6" s="5">
        <f>D6*(1+E5)</f>
        <v/>
      </c>
      <c r="F6" s="5">
        <f>E6*(1+F5)</f>
        <v/>
      </c>
      <c r="G6" s="5">
        <f>F6*(1+G5)</f>
        <v/>
      </c>
      <c r="H6" s="5">
        <f>G6*(1+H5)</f>
        <v/>
      </c>
      <c r="I6" s="5">
        <f>H6*(1+I5)</f>
        <v/>
      </c>
      <c r="J6" s="5">
        <f>I6*(1+J5)</f>
        <v/>
      </c>
      <c r="K6" s="5">
        <f>J6*(1+K5)</f>
        <v/>
      </c>
      <c r="L6" s="5">
        <f>K6*(1+L5)</f>
        <v/>
      </c>
    </row>
    <row r="7">
      <c r="A7" t="inlineStr">
        <is>
          <t>Adj EBITDA margin (owner basis, pre-SBC)</t>
        </is>
      </c>
      <c r="B7" s="9" t="n">
        <v>0.679047906827035</v>
      </c>
      <c r="C7" s="11" t="n">
        <v>0.65</v>
      </c>
      <c r="D7" s="11" t="n">
        <v>0.64</v>
      </c>
      <c r="E7" s="11" t="n">
        <v>0.64</v>
      </c>
      <c r="F7" s="11" t="n">
        <v>0.645</v>
      </c>
      <c r="G7" s="11" t="n">
        <v>0.65</v>
      </c>
      <c r="H7" s="11" t="n">
        <v>0.65</v>
      </c>
      <c r="I7" s="11" t="n">
        <v>0.65</v>
      </c>
      <c r="J7" s="11" t="n">
        <v>0.65</v>
      </c>
      <c r="K7" s="11" t="n">
        <v>0.65</v>
      </c>
      <c r="L7" s="11" t="n">
        <v>0.65</v>
      </c>
    </row>
    <row r="8">
      <c r="A8" t="inlineStr">
        <is>
          <t>Adj EBITDA</t>
        </is>
      </c>
      <c r="B8" s="5">
        <f>B6*B7</f>
        <v/>
      </c>
      <c r="C8" s="5">
        <f>C6*C7</f>
        <v/>
      </c>
      <c r="D8" s="5">
        <f>D6*D7</f>
        <v/>
      </c>
      <c r="E8" s="5">
        <f>E6*E7</f>
        <v/>
      </c>
      <c r="F8" s="5">
        <f>F6*F7</f>
        <v/>
      </c>
      <c r="G8" s="5">
        <f>G6*G7</f>
        <v/>
      </c>
      <c r="H8" s="5">
        <f>H6*H7</f>
        <v/>
      </c>
      <c r="I8" s="5">
        <f>I6*I7</f>
        <v/>
      </c>
      <c r="J8" s="5">
        <f>J6*J7</f>
        <v/>
      </c>
      <c r="K8" s="5">
        <f>K6*K7</f>
        <v/>
      </c>
      <c r="L8" s="5">
        <f>L6*L7</f>
        <v/>
      </c>
    </row>
    <row r="9">
      <c r="A9" t="inlineStr">
        <is>
          <t>SBC % of revenue</t>
        </is>
      </c>
      <c r="B9" s="9" t="n">
        <v>0.01355013550135501</v>
      </c>
      <c r="C9" s="11" t="n">
        <v>0.012</v>
      </c>
      <c r="D9" s="11" t="n">
        <v>0.012</v>
      </c>
      <c r="E9" s="11" t="n">
        <v>0.012</v>
      </c>
      <c r="F9" s="11" t="n">
        <v>0.012</v>
      </c>
      <c r="G9" s="11" t="n">
        <v>0.012</v>
      </c>
      <c r="H9" s="11" t="n">
        <v>0.012</v>
      </c>
      <c r="I9" s="11" t="n">
        <v>0.012</v>
      </c>
      <c r="J9" s="11" t="n">
        <v>0.012</v>
      </c>
      <c r="K9" s="11" t="n">
        <v>0.012</v>
      </c>
      <c r="L9" s="11" t="n">
        <v>0.012</v>
      </c>
    </row>
    <row r="10">
      <c r="A10" t="inlineStr">
        <is>
          <t>SBC</t>
        </is>
      </c>
      <c r="B10" s="5">
        <f>-B6*B9</f>
        <v/>
      </c>
      <c r="C10" s="5">
        <f>-C6*C9</f>
        <v/>
      </c>
      <c r="D10" s="5">
        <f>-D6*D9</f>
        <v/>
      </c>
      <c r="E10" s="5">
        <f>-E6*E9</f>
        <v/>
      </c>
      <c r="F10" s="5">
        <f>-F6*F9</f>
        <v/>
      </c>
      <c r="G10" s="5">
        <f>-G6*G9</f>
        <v/>
      </c>
      <c r="H10" s="5">
        <f>-H6*H9</f>
        <v/>
      </c>
      <c r="I10" s="5">
        <f>-I6*I9</f>
        <v/>
      </c>
      <c r="J10" s="5">
        <f>-J6*J9</f>
        <v/>
      </c>
      <c r="K10" s="5">
        <f>-K6*K9</f>
        <v/>
      </c>
      <c r="L10" s="5">
        <f>-L6*L9</f>
        <v/>
      </c>
    </row>
    <row r="11">
      <c r="A11" t="inlineStr">
        <is>
          <t>Owner EBITDA</t>
        </is>
      </c>
      <c r="B11" s="5">
        <f>B8+B10</f>
        <v/>
      </c>
      <c r="C11" s="5">
        <f>C8+C10</f>
        <v/>
      </c>
      <c r="D11" s="5">
        <f>D8+D10</f>
        <v/>
      </c>
      <c r="E11" s="5">
        <f>E8+E10</f>
        <v/>
      </c>
      <c r="F11" s="5">
        <f>F8+F10</f>
        <v/>
      </c>
      <c r="G11" s="5">
        <f>G8+G10</f>
        <v/>
      </c>
      <c r="H11" s="5">
        <f>H8+H10</f>
        <v/>
      </c>
      <c r="I11" s="5">
        <f>I8+I10</f>
        <v/>
      </c>
      <c r="J11" s="5">
        <f>J8+J10</f>
        <v/>
      </c>
      <c r="K11" s="5">
        <f>K8+K10</f>
        <v/>
      </c>
      <c r="L11" s="5">
        <f>L8+L10</f>
        <v/>
      </c>
    </row>
    <row r="12">
      <c r="A12" t="inlineStr">
        <is>
          <t>D&amp;A ex ROU (tax shield)</t>
        </is>
      </c>
      <c r="B12" s="5">
        <f>-B6*B46</f>
        <v/>
      </c>
      <c r="C12" s="5">
        <f>-C6*C46</f>
        <v/>
      </c>
      <c r="D12" s="5">
        <f>-D6*D46</f>
        <v/>
      </c>
      <c r="E12" s="5">
        <f>-E6*E46</f>
        <v/>
      </c>
      <c r="F12" s="5">
        <f>-F6*F46</f>
        <v/>
      </c>
      <c r="G12" s="5">
        <f>-G6*G46</f>
        <v/>
      </c>
      <c r="H12" s="5">
        <f>-H6*H46</f>
        <v/>
      </c>
      <c r="I12" s="5">
        <f>-I6*I46</f>
        <v/>
      </c>
      <c r="J12" s="5">
        <f>-J6*J46</f>
        <v/>
      </c>
      <c r="K12" s="5">
        <f>-K6*K46</f>
        <v/>
      </c>
      <c r="L12" s="5">
        <f>-L6*L46</f>
        <v/>
      </c>
    </row>
    <row r="13">
      <c r="A13" t="inlineStr">
        <is>
          <t>EBIT</t>
        </is>
      </c>
      <c r="B13" s="5">
        <f>B11+B12</f>
        <v/>
      </c>
      <c r="C13" s="5">
        <f>C11+C12</f>
        <v/>
      </c>
      <c r="D13" s="5">
        <f>D11+D12</f>
        <v/>
      </c>
      <c r="E13" s="5">
        <f>E11+E12</f>
        <v/>
      </c>
      <c r="F13" s="5">
        <f>F11+F12</f>
        <v/>
      </c>
      <c r="G13" s="5">
        <f>G11+G12</f>
        <v/>
      </c>
      <c r="H13" s="5">
        <f>H11+H12</f>
        <v/>
      </c>
      <c r="I13" s="5">
        <f>I11+I12</f>
        <v/>
      </c>
      <c r="J13" s="5">
        <f>J11+J12</f>
        <v/>
      </c>
      <c r="K13" s="5">
        <f>K11+K12</f>
        <v/>
      </c>
      <c r="L13" s="5">
        <f>L11+L12</f>
        <v/>
      </c>
    </row>
    <row r="14">
      <c r="A14" t="inlineStr">
        <is>
          <t>Cash tax rate</t>
        </is>
      </c>
      <c r="B14" s="4" t="n">
        <v>0.3</v>
      </c>
      <c r="C14" s="11" t="n">
        <v>0.3</v>
      </c>
      <c r="D14" s="11" t="n">
        <v>0.3</v>
      </c>
      <c r="E14" s="11" t="n">
        <v>0.3</v>
      </c>
      <c r="F14" s="11" t="n">
        <v>0.3</v>
      </c>
      <c r="G14" s="11" t="n">
        <v>0.3</v>
      </c>
      <c r="H14" s="11" t="n">
        <v>0.3</v>
      </c>
      <c r="I14" s="11" t="n">
        <v>0.3</v>
      </c>
      <c r="J14" s="11" t="n">
        <v>0.3</v>
      </c>
      <c r="K14" s="11" t="n">
        <v>0.3</v>
      </c>
      <c r="L14" s="11" t="n">
        <v>0.3</v>
      </c>
    </row>
    <row r="15">
      <c r="A15" t="inlineStr">
        <is>
          <t>NOPAT</t>
        </is>
      </c>
      <c r="B15" s="5">
        <f>B13-MAX(0,B13)*B14</f>
        <v/>
      </c>
      <c r="C15" s="5">
        <f>C13-MAX(0,C13)*C14</f>
        <v/>
      </c>
      <c r="D15" s="5">
        <f>D13-MAX(0,D13)*D14</f>
        <v/>
      </c>
      <c r="E15" s="5">
        <f>E13-MAX(0,E13)*E14</f>
        <v/>
      </c>
      <c r="F15" s="5">
        <f>F13-MAX(0,F13)*F14</f>
        <v/>
      </c>
      <c r="G15" s="5">
        <f>G13-MAX(0,G13)*G14</f>
        <v/>
      </c>
      <c r="H15" s="5">
        <f>H13-MAX(0,H13)*H14</f>
        <v/>
      </c>
      <c r="I15" s="5">
        <f>I13-MAX(0,I13)*I14</f>
        <v/>
      </c>
      <c r="J15" s="5">
        <f>J13-MAX(0,J13)*J14</f>
        <v/>
      </c>
      <c r="K15" s="5">
        <f>K13-MAX(0,K13)*K14</f>
        <v/>
      </c>
      <c r="L15" s="5">
        <f>L13-MAX(0,L13)*L14</f>
        <v/>
      </c>
    </row>
    <row r="16">
      <c r="A16" t="inlineStr">
        <is>
          <t>add back D&amp;A</t>
        </is>
      </c>
      <c r="B16" s="5">
        <f>-B12</f>
        <v/>
      </c>
      <c r="C16" s="5">
        <f>-C12</f>
        <v/>
      </c>
      <c r="D16" s="5">
        <f>-D12</f>
        <v/>
      </c>
      <c r="E16" s="5">
        <f>-E12</f>
        <v/>
      </c>
      <c r="F16" s="5">
        <f>-F12</f>
        <v/>
      </c>
      <c r="G16" s="5">
        <f>-G12</f>
        <v/>
      </c>
      <c r="H16" s="5">
        <f>-H12</f>
        <v/>
      </c>
      <c r="I16" s="5">
        <f>-I12</f>
        <v/>
      </c>
      <c r="J16" s="5">
        <f>-J12</f>
        <v/>
      </c>
      <c r="K16" s="5">
        <f>-K12</f>
        <v/>
      </c>
      <c r="L16" s="5">
        <f>-L12</f>
        <v/>
      </c>
    </row>
    <row r="17">
      <c r="A17" t="inlineStr">
        <is>
          <t>less capex</t>
        </is>
      </c>
      <c r="B17" s="5">
        <f>-B6*B47</f>
        <v/>
      </c>
      <c r="C17" s="5">
        <f>-C6*C47</f>
        <v/>
      </c>
      <c r="D17" s="5">
        <f>-D6*D47</f>
        <v/>
      </c>
      <c r="E17" s="5">
        <f>-E6*E47</f>
        <v/>
      </c>
      <c r="F17" s="5">
        <f>-F6*F47</f>
        <v/>
      </c>
      <c r="G17" s="5">
        <f>-G6*G47</f>
        <v/>
      </c>
      <c r="H17" s="5">
        <f>-H6*H47</f>
        <v/>
      </c>
      <c r="I17" s="5">
        <f>-I6*I47</f>
        <v/>
      </c>
      <c r="J17" s="5">
        <f>-J6*J47</f>
        <v/>
      </c>
      <c r="K17" s="5">
        <f>-K6*K47</f>
        <v/>
      </c>
      <c r="L17" s="5">
        <f>-L6*L47</f>
        <v/>
      </c>
    </row>
    <row r="18">
      <c r="A18" t="inlineStr">
        <is>
          <t>less regulatory capital build (WC)</t>
        </is>
      </c>
      <c r="B18" s="3" t="n">
        <v>-20</v>
      </c>
      <c r="C18" s="13">
        <f>Assumptions!$B$8*(C6-B6)</f>
        <v/>
      </c>
      <c r="D18" s="13">
        <f>Assumptions!$B$8*(D6-C6)</f>
        <v/>
      </c>
      <c r="E18" s="13">
        <f>Assumptions!$B$8*(E6-D6)</f>
        <v/>
      </c>
      <c r="F18" s="13">
        <f>Assumptions!$B$8*(F6-E6)</f>
        <v/>
      </c>
      <c r="G18" s="13">
        <f>Assumptions!$B$8*(G6-F6)</f>
        <v/>
      </c>
      <c r="H18" s="13">
        <f>Assumptions!$B$8*(H6-G6)</f>
        <v/>
      </c>
      <c r="I18" s="13">
        <f>Assumptions!$B$8*(I6-H6)</f>
        <v/>
      </c>
      <c r="J18" s="13">
        <f>Assumptions!$B$8*(J6-I6)</f>
        <v/>
      </c>
      <c r="K18" s="13">
        <f>Assumptions!$B$8*(K6-J6)</f>
        <v/>
      </c>
      <c r="L18" s="13">
        <f>Assumptions!$B$8*(L6-K6)</f>
        <v/>
      </c>
    </row>
    <row r="19">
      <c r="A19" t="inlineStr">
        <is>
          <t>Owner FCF (post-interest)</t>
        </is>
      </c>
      <c r="B19" s="5">
        <f>B15+B16+B17+B18</f>
        <v/>
      </c>
      <c r="C19" s="14">
        <f>C15+C16+C17+C18</f>
        <v/>
      </c>
      <c r="D19" s="14">
        <f>D15+D16+D17+D18</f>
        <v/>
      </c>
      <c r="E19" s="14">
        <f>E15+E16+E17+E18</f>
        <v/>
      </c>
      <c r="F19" s="14">
        <f>F15+F16+F17+F18</f>
        <v/>
      </c>
      <c r="G19" s="14">
        <f>G15+G16+G17+G18</f>
        <v/>
      </c>
      <c r="H19" s="14">
        <f>H15+H16+H17+H18</f>
        <v/>
      </c>
      <c r="I19" s="14">
        <f>I15+I16+I17+I18</f>
        <v/>
      </c>
      <c r="J19" s="14">
        <f>J15+J16+J17+J18</f>
        <v/>
      </c>
      <c r="K19" s="14">
        <f>K15+K16+K17+K18</f>
        <v/>
      </c>
      <c r="L19" s="14">
        <f>L15+L16+L17+L18</f>
        <v/>
      </c>
    </row>
    <row r="20">
      <c r="A20" t="inlineStr">
        <is>
          <t>Discount factor</t>
        </is>
      </c>
      <c r="B20" s="15" t="n"/>
      <c r="C20" s="15">
        <f>1/(1+$B$2)^C4</f>
        <v/>
      </c>
      <c r="D20" s="15">
        <f>1/(1+$B$2)^D4</f>
        <v/>
      </c>
      <c r="E20" s="15">
        <f>1/(1+$B$2)^E4</f>
        <v/>
      </c>
      <c r="F20" s="15">
        <f>1/(1+$B$2)^F4</f>
        <v/>
      </c>
      <c r="G20" s="15">
        <f>1/(1+$B$2)^G4</f>
        <v/>
      </c>
      <c r="H20" s="15">
        <f>1/(1+$B$2)^H4</f>
        <v/>
      </c>
      <c r="I20" s="15">
        <f>1/(1+$B$2)^I4</f>
        <v/>
      </c>
      <c r="J20" s="15">
        <f>1/(1+$B$2)^J4</f>
        <v/>
      </c>
      <c r="K20" s="15">
        <f>1/(1+$B$2)^K4</f>
        <v/>
      </c>
      <c r="L20" s="15">
        <f>1/(1+$B$2)^L4</f>
        <v/>
      </c>
    </row>
    <row r="21">
      <c r="A21" t="inlineStr">
        <is>
          <t>PV of FCF</t>
        </is>
      </c>
      <c r="B21" s="5" t="n"/>
      <c r="C21" s="5">
        <f>C19*C20</f>
        <v/>
      </c>
      <c r="D21" s="5">
        <f>D19*D20</f>
        <v/>
      </c>
      <c r="E21" s="5">
        <f>E19*E20</f>
        <v/>
      </c>
      <c r="F21" s="5">
        <f>F19*F20</f>
        <v/>
      </c>
      <c r="G21" s="5">
        <f>G19*G20</f>
        <v/>
      </c>
      <c r="H21" s="5">
        <f>H19*H20</f>
        <v/>
      </c>
      <c r="I21" s="5">
        <f>I19*I20</f>
        <v/>
      </c>
      <c r="J21" s="5">
        <f>J19*J20</f>
        <v/>
      </c>
      <c r="K21" s="5">
        <f>K19*K20</f>
        <v/>
      </c>
      <c r="L21" s="5">
        <f>L19*L20</f>
        <v/>
      </c>
    </row>
    <row r="23">
      <c r="A23" t="inlineStr">
        <is>
          <t>Memo: FCF before SBC</t>
        </is>
      </c>
      <c r="B23" s="5">
        <f>B19-B10</f>
        <v/>
      </c>
      <c r="C23" s="5">
        <f>C19-C10</f>
        <v/>
      </c>
      <c r="D23" s="5">
        <f>D19-D10</f>
        <v/>
      </c>
      <c r="E23" s="5">
        <f>E19-E10</f>
        <v/>
      </c>
      <c r="F23" s="5">
        <f>F19-F10</f>
        <v/>
      </c>
      <c r="G23" s="5">
        <f>G19-G10</f>
        <v/>
      </c>
      <c r="H23" s="5">
        <f>H19-H10</f>
        <v/>
      </c>
      <c r="I23" s="5">
        <f>I19-I10</f>
        <v/>
      </c>
      <c r="J23" s="5">
        <f>J19-J10</f>
        <v/>
      </c>
      <c r="K23" s="5">
        <f>K19-K10</f>
        <v/>
      </c>
      <c r="L23" s="5">
        <f>L19-L10</f>
        <v/>
      </c>
    </row>
    <row r="24">
      <c r="A24" t="inlineStr">
        <is>
          <t>Memo: owner FCF margin</t>
        </is>
      </c>
      <c r="B24" s="6">
        <f>B19/B6</f>
        <v/>
      </c>
      <c r="C24" s="6">
        <f>C19/C6</f>
        <v/>
      </c>
      <c r="D24" s="6">
        <f>D19/D6</f>
        <v/>
      </c>
      <c r="E24" s="6">
        <f>E19/E6</f>
        <v/>
      </c>
      <c r="F24" s="6">
        <f>F19/F6</f>
        <v/>
      </c>
      <c r="G24" s="6">
        <f>G19/G6</f>
        <v/>
      </c>
      <c r="H24" s="6">
        <f>H19/H6</f>
        <v/>
      </c>
      <c r="I24" s="6">
        <f>I19/I6</f>
        <v/>
      </c>
      <c r="J24" s="6">
        <f>J19/J6</f>
        <v/>
      </c>
      <c r="K24" s="6">
        <f>K19/K6</f>
        <v/>
      </c>
      <c r="L24" s="6">
        <f>L19/L6</f>
        <v/>
      </c>
    </row>
    <row r="26">
      <c r="A26" t="inlineStr">
        <is>
          <t>Sum of PV (FY27-FY36)</t>
        </is>
      </c>
      <c r="B26" s="5">
        <f>SUM(C21:L21)</f>
        <v/>
      </c>
    </row>
    <row r="27">
      <c r="A27" t="inlineStr">
        <is>
          <t>Terminal growth</t>
        </is>
      </c>
      <c r="B27" s="12">
        <f>Assumptions!$C$14</f>
        <v/>
      </c>
    </row>
    <row r="28">
      <c r="A28" t="inlineStr">
        <is>
          <t>Terminal-year FCF x (1+g)</t>
        </is>
      </c>
      <c r="B28" s="5">
        <f>L19*(1+B27)</f>
        <v/>
      </c>
    </row>
    <row r="29">
      <c r="A29" t="inlineStr">
        <is>
          <t>Gordon TV</t>
        </is>
      </c>
      <c r="B29" s="5">
        <f>IF(B2&gt;B27,B28/(B2-B27),0)</f>
        <v/>
      </c>
    </row>
    <row r="30">
      <c r="A30" t="inlineStr">
        <is>
          <t>Cap TV (cap x FCF10)</t>
        </is>
      </c>
      <c r="B30" s="13">
        <f>Assumptions!$B$9*L19</f>
        <v/>
      </c>
    </row>
    <row r="31">
      <c r="A31" t="inlineStr">
        <is>
          <t>TV used = MAX(0,MIN(Gordon,cap))</t>
        </is>
      </c>
      <c r="B31" s="5">
        <f>MAX(0,MIN(B29,B30))</f>
        <v/>
      </c>
    </row>
    <row r="32">
      <c r="A32" t="inlineStr">
        <is>
          <t>Implied exit multiple (TV/FCF10)</t>
        </is>
      </c>
      <c r="B32" s="16">
        <f>IF(L19&lt;&gt;0,B31/L19,0)</f>
        <v/>
      </c>
    </row>
    <row r="33">
      <c r="A33" t="inlineStr">
        <is>
          <t>PV of TV</t>
        </is>
      </c>
      <c r="B33" s="5">
        <f>B31*L20</f>
        <v/>
      </c>
    </row>
    <row r="34">
      <c r="A34" t="inlineStr">
        <is>
          <t>Enterprise value (PV of equity flows)</t>
        </is>
      </c>
      <c r="B34" s="5">
        <f>B26+B33</f>
        <v/>
      </c>
    </row>
    <row r="35">
      <c r="A35" t="inlineStr">
        <is>
          <t>less net debt</t>
        </is>
      </c>
      <c r="B35" s="13">
        <f>-Assumptions!$B$6</f>
        <v/>
      </c>
    </row>
    <row r="36">
      <c r="A36" t="inlineStr">
        <is>
          <t>Equity value</t>
        </is>
      </c>
      <c r="B36" s="5">
        <f>B34+B35</f>
        <v/>
      </c>
    </row>
    <row r="37">
      <c r="A37" t="inlineStr">
        <is>
          <t>Shares (m)</t>
        </is>
      </c>
      <c r="B37" s="17">
        <f>Assumptions!$B$5</f>
        <v/>
      </c>
    </row>
    <row r="38">
      <c r="A38" t="inlineStr">
        <is>
          <t>VALUE PER SHARE (A$)</t>
        </is>
      </c>
      <c r="B38" s="18">
        <f>B36/B37</f>
        <v/>
      </c>
    </row>
    <row r="39">
      <c r="A39" t="inlineStr">
        <is>
          <t>Upside vs price</t>
        </is>
      </c>
      <c r="B39" s="12">
        <f>B38/Assumptions!$B$3-1</f>
        <v/>
      </c>
    </row>
    <row r="41">
      <c r="A41" t="inlineStr">
        <is>
          <t>Street memo: PV of explicit SBC</t>
        </is>
      </c>
      <c r="B41" s="5">
        <f>SUMPRODUCT(-C10:L10/(1+B2)^C4:L4)</f>
        <v/>
      </c>
    </row>
    <row r="42">
      <c r="A42" t="inlineStr">
        <is>
          <t>Street memo: PV of terminal SBC</t>
        </is>
      </c>
      <c r="B42" s="5">
        <f>IF(B2&gt;B27,(-L10*(1+B27)/(B2-B27))*L20,0)</f>
        <v/>
      </c>
    </row>
    <row r="43">
      <c r="A43" t="inlineStr">
        <is>
          <t>Street value per share (A$)</t>
        </is>
      </c>
      <c r="B43" s="19">
        <f>(B36+B41+B42)/B37</f>
        <v/>
      </c>
    </row>
    <row r="45">
      <c r="A45" t="inlineStr">
        <is>
          <t>Per-year driver paths</t>
        </is>
      </c>
    </row>
    <row r="46">
      <c r="A46" t="inlineStr">
        <is>
          <t>D&amp;A % of revenue (ex ROU)</t>
        </is>
      </c>
      <c r="B46" s="4" t="n">
        <v>0.03841861948031246</v>
      </c>
      <c r="C46" s="11" t="n">
        <v>0.045</v>
      </c>
      <c r="D46" s="11" t="n">
        <v>0.055</v>
      </c>
      <c r="E46" s="11" t="n">
        <v>0.065</v>
      </c>
      <c r="F46" s="11" t="n">
        <v>0.075</v>
      </c>
      <c r="G46" s="11" t="n">
        <v>0.08500000000000001</v>
      </c>
      <c r="H46" s="11" t="n">
        <v>0.09</v>
      </c>
      <c r="I46" s="11" t="n">
        <v>0.09</v>
      </c>
      <c r="J46" s="11" t="n">
        <v>0.09</v>
      </c>
      <c r="K46" s="11" t="n">
        <v>0.09</v>
      </c>
      <c r="L46" s="11" t="n">
        <v>0.09</v>
      </c>
    </row>
    <row r="47">
      <c r="A47" t="inlineStr">
        <is>
          <t>Capex % of revenue</t>
        </is>
      </c>
      <c r="B47" s="4" t="n">
        <v>0.1506456241032999</v>
      </c>
      <c r="C47" s="11" t="n">
        <v>0.15</v>
      </c>
      <c r="D47" s="11" t="n">
        <v>0.15</v>
      </c>
      <c r="E47" s="11" t="n">
        <v>0.14</v>
      </c>
      <c r="F47" s="11" t="n">
        <v>0.13</v>
      </c>
      <c r="G47" s="11" t="n">
        <v>0.12</v>
      </c>
      <c r="H47" s="11" t="n">
        <v>0.11</v>
      </c>
      <c r="I47" s="11" t="n">
        <v>0.1</v>
      </c>
      <c r="J47" s="11" t="n">
        <v>0.1</v>
      </c>
      <c r="K47" s="11" t="n">
        <v>0.1</v>
      </c>
      <c r="L47" s="11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4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Base scenario -- owner FCF, A$m</t>
        </is>
      </c>
    </row>
    <row r="2">
      <c r="A2" t="inlineStr">
        <is>
          <t>Cost of equity</t>
        </is>
      </c>
      <c r="B2" s="12">
        <f>Assumptions!$B$15</f>
        <v/>
      </c>
    </row>
    <row r="3">
      <c r="A3" t="inlineStr">
        <is>
          <t>Year</t>
        </is>
      </c>
      <c r="B3" t="inlineStr">
        <is>
          <t>FY2026A</t>
        </is>
      </c>
      <c r="C3" t="inlineStr">
        <is>
          <t>FY2027E</t>
        </is>
      </c>
      <c r="D3" t="inlineStr">
        <is>
          <t>FY2028E</t>
        </is>
      </c>
      <c r="E3" t="inlineStr">
        <is>
          <t>FY2029E</t>
        </is>
      </c>
      <c r="F3" t="inlineStr">
        <is>
          <t>FY2030E</t>
        </is>
      </c>
      <c r="G3" t="inlineStr">
        <is>
          <t>FY2031E</t>
        </is>
      </c>
      <c r="H3" t="inlineStr">
        <is>
          <t>FY2032E</t>
        </is>
      </c>
      <c r="I3" t="inlineStr">
        <is>
          <t>FY2033E</t>
        </is>
      </c>
      <c r="J3" t="inlineStr">
        <is>
          <t>FY2034E</t>
        </is>
      </c>
      <c r="K3" t="inlineStr">
        <is>
          <t>FY2035E</t>
        </is>
      </c>
      <c r="L3" t="inlineStr">
        <is>
          <t>FY2036E</t>
        </is>
      </c>
    </row>
    <row r="4">
      <c r="A4" t="inlineStr">
        <is>
          <t>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YoY</t>
        </is>
      </c>
      <c r="C5" s="11" t="n">
        <v>0.05</v>
      </c>
      <c r="D5" s="11" t="n">
        <v>0.05</v>
      </c>
      <c r="E5" s="11" t="n">
        <v>0.045</v>
      </c>
      <c r="F5" s="11" t="n">
        <v>0.045</v>
      </c>
      <c r="G5" s="11" t="n">
        <v>0.04</v>
      </c>
      <c r="H5" s="11" t="n">
        <v>0.04</v>
      </c>
      <c r="I5" s="11" t="n">
        <v>0.035</v>
      </c>
      <c r="J5" s="11" t="n">
        <v>0.035</v>
      </c>
      <c r="K5" s="11" t="n">
        <v>0.03</v>
      </c>
      <c r="L5" s="11" t="n">
        <v>0.03</v>
      </c>
    </row>
    <row r="6">
      <c r="A6" t="inlineStr">
        <is>
          <t>Revenue</t>
        </is>
      </c>
      <c r="B6" s="3" t="n">
        <v>1254.6</v>
      </c>
      <c r="C6" s="5">
        <f>B6*(1+C5)</f>
        <v/>
      </c>
      <c r="D6" s="5">
        <f>C6*(1+D5)</f>
        <v/>
      </c>
      <c r="E6" s="5">
        <f>D6*(1+E5)</f>
        <v/>
      </c>
      <c r="F6" s="5">
        <f>E6*(1+F5)</f>
        <v/>
      </c>
      <c r="G6" s="5">
        <f>F6*(1+G5)</f>
        <v/>
      </c>
      <c r="H6" s="5">
        <f>G6*(1+H5)</f>
        <v/>
      </c>
      <c r="I6" s="5">
        <f>H6*(1+I5)</f>
        <v/>
      </c>
      <c r="J6" s="5">
        <f>I6*(1+J5)</f>
        <v/>
      </c>
      <c r="K6" s="5">
        <f>J6*(1+K5)</f>
        <v/>
      </c>
      <c r="L6" s="5">
        <f>K6*(1+L5)</f>
        <v/>
      </c>
    </row>
    <row r="7">
      <c r="A7" t="inlineStr">
        <is>
          <t>Adj EBITDA margin (owner basis, pre-SBC)</t>
        </is>
      </c>
      <c r="B7" s="9" t="n">
        <v>0.679047906827035</v>
      </c>
      <c r="C7" s="11" t="n">
        <v>0.68</v>
      </c>
      <c r="D7" s="11" t="n">
        <v>0.68</v>
      </c>
      <c r="E7" s="11" t="n">
        <v>0.6850000000000001</v>
      </c>
      <c r="F7" s="11" t="n">
        <v>0.6899999999999999</v>
      </c>
      <c r="G7" s="11" t="n">
        <v>0.695</v>
      </c>
      <c r="H7" s="11" t="n">
        <v>0.7</v>
      </c>
      <c r="I7" s="11" t="n">
        <v>0.7</v>
      </c>
      <c r="J7" s="11" t="n">
        <v>0.7</v>
      </c>
      <c r="K7" s="11" t="n">
        <v>0.7</v>
      </c>
      <c r="L7" s="11" t="n">
        <v>0.7</v>
      </c>
    </row>
    <row r="8">
      <c r="A8" t="inlineStr">
        <is>
          <t>Adj EBITDA</t>
        </is>
      </c>
      <c r="B8" s="5">
        <f>B6*B7</f>
        <v/>
      </c>
      <c r="C8" s="5">
        <f>C6*C7</f>
        <v/>
      </c>
      <c r="D8" s="5">
        <f>D6*D7</f>
        <v/>
      </c>
      <c r="E8" s="5">
        <f>E6*E7</f>
        <v/>
      </c>
      <c r="F8" s="5">
        <f>F6*F7</f>
        <v/>
      </c>
      <c r="G8" s="5">
        <f>G6*G7</f>
        <v/>
      </c>
      <c r="H8" s="5">
        <f>H6*H7</f>
        <v/>
      </c>
      <c r="I8" s="5">
        <f>I6*I7</f>
        <v/>
      </c>
      <c r="J8" s="5">
        <f>J6*J7</f>
        <v/>
      </c>
      <c r="K8" s="5">
        <f>K6*K7</f>
        <v/>
      </c>
      <c r="L8" s="5">
        <f>L6*L7</f>
        <v/>
      </c>
    </row>
    <row r="9">
      <c r="A9" t="inlineStr">
        <is>
          <t>SBC % of revenue</t>
        </is>
      </c>
      <c r="B9" s="9" t="n">
        <v>0.01355013550135501</v>
      </c>
      <c r="C9" s="11" t="n">
        <v>0.012</v>
      </c>
      <c r="D9" s="11" t="n">
        <v>0.012</v>
      </c>
      <c r="E9" s="11" t="n">
        <v>0.012</v>
      </c>
      <c r="F9" s="11" t="n">
        <v>0.012</v>
      </c>
      <c r="G9" s="11" t="n">
        <v>0.012</v>
      </c>
      <c r="H9" s="11" t="n">
        <v>0.012</v>
      </c>
      <c r="I9" s="11" t="n">
        <v>0.012</v>
      </c>
      <c r="J9" s="11" t="n">
        <v>0.012</v>
      </c>
      <c r="K9" s="11" t="n">
        <v>0.012</v>
      </c>
      <c r="L9" s="11" t="n">
        <v>0.012</v>
      </c>
    </row>
    <row r="10">
      <c r="A10" t="inlineStr">
        <is>
          <t>SBC</t>
        </is>
      </c>
      <c r="B10" s="5">
        <f>-B6*B9</f>
        <v/>
      </c>
      <c r="C10" s="5">
        <f>-C6*C9</f>
        <v/>
      </c>
      <c r="D10" s="5">
        <f>-D6*D9</f>
        <v/>
      </c>
      <c r="E10" s="5">
        <f>-E6*E9</f>
        <v/>
      </c>
      <c r="F10" s="5">
        <f>-F6*F9</f>
        <v/>
      </c>
      <c r="G10" s="5">
        <f>-G6*G9</f>
        <v/>
      </c>
      <c r="H10" s="5">
        <f>-H6*H9</f>
        <v/>
      </c>
      <c r="I10" s="5">
        <f>-I6*I9</f>
        <v/>
      </c>
      <c r="J10" s="5">
        <f>-J6*J9</f>
        <v/>
      </c>
      <c r="K10" s="5">
        <f>-K6*K9</f>
        <v/>
      </c>
      <c r="L10" s="5">
        <f>-L6*L9</f>
        <v/>
      </c>
    </row>
    <row r="11">
      <c r="A11" t="inlineStr">
        <is>
          <t>Owner EBITDA</t>
        </is>
      </c>
      <c r="B11" s="5">
        <f>B8+B10</f>
        <v/>
      </c>
      <c r="C11" s="5">
        <f>C8+C10</f>
        <v/>
      </c>
      <c r="D11" s="5">
        <f>D8+D10</f>
        <v/>
      </c>
      <c r="E11" s="5">
        <f>E8+E10</f>
        <v/>
      </c>
      <c r="F11" s="5">
        <f>F8+F10</f>
        <v/>
      </c>
      <c r="G11" s="5">
        <f>G8+G10</f>
        <v/>
      </c>
      <c r="H11" s="5">
        <f>H8+H10</f>
        <v/>
      </c>
      <c r="I11" s="5">
        <f>I8+I10</f>
        <v/>
      </c>
      <c r="J11" s="5">
        <f>J8+J10</f>
        <v/>
      </c>
      <c r="K11" s="5">
        <f>K8+K10</f>
        <v/>
      </c>
      <c r="L11" s="5">
        <f>L8+L10</f>
        <v/>
      </c>
    </row>
    <row r="12">
      <c r="A12" t="inlineStr">
        <is>
          <t>D&amp;A ex ROU (tax shield)</t>
        </is>
      </c>
      <c r="B12" s="5">
        <f>-B6*B46</f>
        <v/>
      </c>
      <c r="C12" s="5">
        <f>-C6*C46</f>
        <v/>
      </c>
      <c r="D12" s="5">
        <f>-D6*D46</f>
        <v/>
      </c>
      <c r="E12" s="5">
        <f>-E6*E46</f>
        <v/>
      </c>
      <c r="F12" s="5">
        <f>-F6*F46</f>
        <v/>
      </c>
      <c r="G12" s="5">
        <f>-G6*G46</f>
        <v/>
      </c>
      <c r="H12" s="5">
        <f>-H6*H46</f>
        <v/>
      </c>
      <c r="I12" s="5">
        <f>-I6*I46</f>
        <v/>
      </c>
      <c r="J12" s="5">
        <f>-J6*J46</f>
        <v/>
      </c>
      <c r="K12" s="5">
        <f>-K6*K46</f>
        <v/>
      </c>
      <c r="L12" s="5">
        <f>-L6*L46</f>
        <v/>
      </c>
    </row>
    <row r="13">
      <c r="A13" t="inlineStr">
        <is>
          <t>EBIT</t>
        </is>
      </c>
      <c r="B13" s="5">
        <f>B11+B12</f>
        <v/>
      </c>
      <c r="C13" s="5">
        <f>C11+C12</f>
        <v/>
      </c>
      <c r="D13" s="5">
        <f>D11+D12</f>
        <v/>
      </c>
      <c r="E13" s="5">
        <f>E11+E12</f>
        <v/>
      </c>
      <c r="F13" s="5">
        <f>F11+F12</f>
        <v/>
      </c>
      <c r="G13" s="5">
        <f>G11+G12</f>
        <v/>
      </c>
      <c r="H13" s="5">
        <f>H11+H12</f>
        <v/>
      </c>
      <c r="I13" s="5">
        <f>I11+I12</f>
        <v/>
      </c>
      <c r="J13" s="5">
        <f>J11+J12</f>
        <v/>
      </c>
      <c r="K13" s="5">
        <f>K11+K12</f>
        <v/>
      </c>
      <c r="L13" s="5">
        <f>L11+L12</f>
        <v/>
      </c>
    </row>
    <row r="14">
      <c r="A14" t="inlineStr">
        <is>
          <t>Cash tax rate</t>
        </is>
      </c>
      <c r="B14" s="4" t="n">
        <v>0.3</v>
      </c>
      <c r="C14" s="11" t="n">
        <v>0.3</v>
      </c>
      <c r="D14" s="11" t="n">
        <v>0.3</v>
      </c>
      <c r="E14" s="11" t="n">
        <v>0.3</v>
      </c>
      <c r="F14" s="11" t="n">
        <v>0.3</v>
      </c>
      <c r="G14" s="11" t="n">
        <v>0.3</v>
      </c>
      <c r="H14" s="11" t="n">
        <v>0.3</v>
      </c>
      <c r="I14" s="11" t="n">
        <v>0.3</v>
      </c>
      <c r="J14" s="11" t="n">
        <v>0.3</v>
      </c>
      <c r="K14" s="11" t="n">
        <v>0.3</v>
      </c>
      <c r="L14" s="11" t="n">
        <v>0.3</v>
      </c>
    </row>
    <row r="15">
      <c r="A15" t="inlineStr">
        <is>
          <t>NOPAT</t>
        </is>
      </c>
      <c r="B15" s="5">
        <f>B13-MAX(0,B13)*B14</f>
        <v/>
      </c>
      <c r="C15" s="5">
        <f>C13-MAX(0,C13)*C14</f>
        <v/>
      </c>
      <c r="D15" s="5">
        <f>D13-MAX(0,D13)*D14</f>
        <v/>
      </c>
      <c r="E15" s="5">
        <f>E13-MAX(0,E13)*E14</f>
        <v/>
      </c>
      <c r="F15" s="5">
        <f>F13-MAX(0,F13)*F14</f>
        <v/>
      </c>
      <c r="G15" s="5">
        <f>G13-MAX(0,G13)*G14</f>
        <v/>
      </c>
      <c r="H15" s="5">
        <f>H13-MAX(0,H13)*H14</f>
        <v/>
      </c>
      <c r="I15" s="5">
        <f>I13-MAX(0,I13)*I14</f>
        <v/>
      </c>
      <c r="J15" s="5">
        <f>J13-MAX(0,J13)*J14</f>
        <v/>
      </c>
      <c r="K15" s="5">
        <f>K13-MAX(0,K13)*K14</f>
        <v/>
      </c>
      <c r="L15" s="5">
        <f>L13-MAX(0,L13)*L14</f>
        <v/>
      </c>
    </row>
    <row r="16">
      <c r="A16" t="inlineStr">
        <is>
          <t>add back D&amp;A</t>
        </is>
      </c>
      <c r="B16" s="5">
        <f>-B12</f>
        <v/>
      </c>
      <c r="C16" s="5">
        <f>-C12</f>
        <v/>
      </c>
      <c r="D16" s="5">
        <f>-D12</f>
        <v/>
      </c>
      <c r="E16" s="5">
        <f>-E12</f>
        <v/>
      </c>
      <c r="F16" s="5">
        <f>-F12</f>
        <v/>
      </c>
      <c r="G16" s="5">
        <f>-G12</f>
        <v/>
      </c>
      <c r="H16" s="5">
        <f>-H12</f>
        <v/>
      </c>
      <c r="I16" s="5">
        <f>-I12</f>
        <v/>
      </c>
      <c r="J16" s="5">
        <f>-J12</f>
        <v/>
      </c>
      <c r="K16" s="5">
        <f>-K12</f>
        <v/>
      </c>
      <c r="L16" s="5">
        <f>-L12</f>
        <v/>
      </c>
    </row>
    <row r="17">
      <c r="A17" t="inlineStr">
        <is>
          <t>less capex</t>
        </is>
      </c>
      <c r="B17" s="5">
        <f>-B6*B47</f>
        <v/>
      </c>
      <c r="C17" s="5">
        <f>-C6*C47</f>
        <v/>
      </c>
      <c r="D17" s="5">
        <f>-D6*D47</f>
        <v/>
      </c>
      <c r="E17" s="5">
        <f>-E6*E47</f>
        <v/>
      </c>
      <c r="F17" s="5">
        <f>-F6*F47</f>
        <v/>
      </c>
      <c r="G17" s="5">
        <f>-G6*G47</f>
        <v/>
      </c>
      <c r="H17" s="5">
        <f>-H6*H47</f>
        <v/>
      </c>
      <c r="I17" s="5">
        <f>-I6*I47</f>
        <v/>
      </c>
      <c r="J17" s="5">
        <f>-J6*J47</f>
        <v/>
      </c>
      <c r="K17" s="5">
        <f>-K6*K47</f>
        <v/>
      </c>
      <c r="L17" s="5">
        <f>-L6*L47</f>
        <v/>
      </c>
    </row>
    <row r="18">
      <c r="A18" t="inlineStr">
        <is>
          <t>less regulatory capital build (WC)</t>
        </is>
      </c>
      <c r="B18" s="3" t="n">
        <v>-20</v>
      </c>
      <c r="C18" s="13">
        <f>Assumptions!$B$8*(C6-B6)</f>
        <v/>
      </c>
      <c r="D18" s="13">
        <f>Assumptions!$B$8*(D6-C6)</f>
        <v/>
      </c>
      <c r="E18" s="13">
        <f>Assumptions!$B$8*(E6-D6)</f>
        <v/>
      </c>
      <c r="F18" s="13">
        <f>Assumptions!$B$8*(F6-E6)</f>
        <v/>
      </c>
      <c r="G18" s="13">
        <f>Assumptions!$B$8*(G6-F6)</f>
        <v/>
      </c>
      <c r="H18" s="13">
        <f>Assumptions!$B$8*(H6-G6)</f>
        <v/>
      </c>
      <c r="I18" s="13">
        <f>Assumptions!$B$8*(I6-H6)</f>
        <v/>
      </c>
      <c r="J18" s="13">
        <f>Assumptions!$B$8*(J6-I6)</f>
        <v/>
      </c>
      <c r="K18" s="13">
        <f>Assumptions!$B$8*(K6-J6)</f>
        <v/>
      </c>
      <c r="L18" s="13">
        <f>Assumptions!$B$8*(L6-K6)</f>
        <v/>
      </c>
    </row>
    <row r="19">
      <c r="A19" t="inlineStr">
        <is>
          <t>Owner FCF (post-interest)</t>
        </is>
      </c>
      <c r="B19" s="5">
        <f>B15+B16+B17+B18</f>
        <v/>
      </c>
      <c r="C19" s="14">
        <f>C15+C16+C17+C18</f>
        <v/>
      </c>
      <c r="D19" s="14">
        <f>D15+D16+D17+D18</f>
        <v/>
      </c>
      <c r="E19" s="14">
        <f>E15+E16+E17+E18</f>
        <v/>
      </c>
      <c r="F19" s="14">
        <f>F15+F16+F17+F18</f>
        <v/>
      </c>
      <c r="G19" s="14">
        <f>G15+G16+G17+G18</f>
        <v/>
      </c>
      <c r="H19" s="14">
        <f>H15+H16+H17+H18</f>
        <v/>
      </c>
      <c r="I19" s="14">
        <f>I15+I16+I17+I18</f>
        <v/>
      </c>
      <c r="J19" s="14">
        <f>J15+J16+J17+J18</f>
        <v/>
      </c>
      <c r="K19" s="14">
        <f>K15+K16+K17+K18</f>
        <v/>
      </c>
      <c r="L19" s="14">
        <f>L15+L16+L17+L18</f>
        <v/>
      </c>
    </row>
    <row r="20">
      <c r="A20" t="inlineStr">
        <is>
          <t>Discount factor</t>
        </is>
      </c>
      <c r="B20" s="15" t="n"/>
      <c r="C20" s="15">
        <f>1/(1+$B$2)^C4</f>
        <v/>
      </c>
      <c r="D20" s="15">
        <f>1/(1+$B$2)^D4</f>
        <v/>
      </c>
      <c r="E20" s="15">
        <f>1/(1+$B$2)^E4</f>
        <v/>
      </c>
      <c r="F20" s="15">
        <f>1/(1+$B$2)^F4</f>
        <v/>
      </c>
      <c r="G20" s="15">
        <f>1/(1+$B$2)^G4</f>
        <v/>
      </c>
      <c r="H20" s="15">
        <f>1/(1+$B$2)^H4</f>
        <v/>
      </c>
      <c r="I20" s="15">
        <f>1/(1+$B$2)^I4</f>
        <v/>
      </c>
      <c r="J20" s="15">
        <f>1/(1+$B$2)^J4</f>
        <v/>
      </c>
      <c r="K20" s="15">
        <f>1/(1+$B$2)^K4</f>
        <v/>
      </c>
      <c r="L20" s="15">
        <f>1/(1+$B$2)^L4</f>
        <v/>
      </c>
    </row>
    <row r="21">
      <c r="A21" t="inlineStr">
        <is>
          <t>PV of FCF</t>
        </is>
      </c>
      <c r="B21" s="5" t="n"/>
      <c r="C21" s="5">
        <f>C19*C20</f>
        <v/>
      </c>
      <c r="D21" s="5">
        <f>D19*D20</f>
        <v/>
      </c>
      <c r="E21" s="5">
        <f>E19*E20</f>
        <v/>
      </c>
      <c r="F21" s="5">
        <f>F19*F20</f>
        <v/>
      </c>
      <c r="G21" s="5">
        <f>G19*G20</f>
        <v/>
      </c>
      <c r="H21" s="5">
        <f>H19*H20</f>
        <v/>
      </c>
      <c r="I21" s="5">
        <f>I19*I20</f>
        <v/>
      </c>
      <c r="J21" s="5">
        <f>J19*J20</f>
        <v/>
      </c>
      <c r="K21" s="5">
        <f>K19*K20</f>
        <v/>
      </c>
      <c r="L21" s="5">
        <f>L19*L20</f>
        <v/>
      </c>
    </row>
    <row r="23">
      <c r="A23" t="inlineStr">
        <is>
          <t>Memo: FCF before SBC</t>
        </is>
      </c>
      <c r="B23" s="5">
        <f>B19-B10</f>
        <v/>
      </c>
      <c r="C23" s="5">
        <f>C19-C10</f>
        <v/>
      </c>
      <c r="D23" s="5">
        <f>D19-D10</f>
        <v/>
      </c>
      <c r="E23" s="5">
        <f>E19-E10</f>
        <v/>
      </c>
      <c r="F23" s="5">
        <f>F19-F10</f>
        <v/>
      </c>
      <c r="G23" s="5">
        <f>G19-G10</f>
        <v/>
      </c>
      <c r="H23" s="5">
        <f>H19-H10</f>
        <v/>
      </c>
      <c r="I23" s="5">
        <f>I19-I10</f>
        <v/>
      </c>
      <c r="J23" s="5">
        <f>J19-J10</f>
        <v/>
      </c>
      <c r="K23" s="5">
        <f>K19-K10</f>
        <v/>
      </c>
      <c r="L23" s="5">
        <f>L19-L10</f>
        <v/>
      </c>
    </row>
    <row r="24">
      <c r="A24" t="inlineStr">
        <is>
          <t>Memo: owner FCF margin</t>
        </is>
      </c>
      <c r="B24" s="6">
        <f>B19/B6</f>
        <v/>
      </c>
      <c r="C24" s="6">
        <f>C19/C6</f>
        <v/>
      </c>
      <c r="D24" s="6">
        <f>D19/D6</f>
        <v/>
      </c>
      <c r="E24" s="6">
        <f>E19/E6</f>
        <v/>
      </c>
      <c r="F24" s="6">
        <f>F19/F6</f>
        <v/>
      </c>
      <c r="G24" s="6">
        <f>G19/G6</f>
        <v/>
      </c>
      <c r="H24" s="6">
        <f>H19/H6</f>
        <v/>
      </c>
      <c r="I24" s="6">
        <f>I19/I6</f>
        <v/>
      </c>
      <c r="J24" s="6">
        <f>J19/J6</f>
        <v/>
      </c>
      <c r="K24" s="6">
        <f>K19/K6</f>
        <v/>
      </c>
      <c r="L24" s="6">
        <f>L19/L6</f>
        <v/>
      </c>
    </row>
    <row r="26">
      <c r="A26" t="inlineStr">
        <is>
          <t>Sum of PV (FY27-FY36)</t>
        </is>
      </c>
      <c r="B26" s="5">
        <f>SUM(C21:L21)</f>
        <v/>
      </c>
    </row>
    <row r="27">
      <c r="A27" t="inlineStr">
        <is>
          <t>Terminal growth</t>
        </is>
      </c>
      <c r="B27" s="12">
        <f>Assumptions!$C$15</f>
        <v/>
      </c>
    </row>
    <row r="28">
      <c r="A28" t="inlineStr">
        <is>
          <t>Terminal-year FCF x (1+g)</t>
        </is>
      </c>
      <c r="B28" s="5">
        <f>L19*(1+B27)</f>
        <v/>
      </c>
    </row>
    <row r="29">
      <c r="A29" t="inlineStr">
        <is>
          <t>Gordon TV</t>
        </is>
      </c>
      <c r="B29" s="5">
        <f>IF(B2&gt;B27,B28/(B2-B27),0)</f>
        <v/>
      </c>
    </row>
    <row r="30">
      <c r="A30" t="inlineStr">
        <is>
          <t>Cap TV (cap x FCF10)</t>
        </is>
      </c>
      <c r="B30" s="13">
        <f>Assumptions!$B$9*L19</f>
        <v/>
      </c>
    </row>
    <row r="31">
      <c r="A31" t="inlineStr">
        <is>
          <t>TV used = MAX(0,MIN(Gordon,cap))</t>
        </is>
      </c>
      <c r="B31" s="5">
        <f>MAX(0,MIN(B29,B30))</f>
        <v/>
      </c>
    </row>
    <row r="32">
      <c r="A32" t="inlineStr">
        <is>
          <t>Implied exit multiple (TV/FCF10)</t>
        </is>
      </c>
      <c r="B32" s="16">
        <f>IF(L19&lt;&gt;0,B31/L19,0)</f>
        <v/>
      </c>
    </row>
    <row r="33">
      <c r="A33" t="inlineStr">
        <is>
          <t>PV of TV</t>
        </is>
      </c>
      <c r="B33" s="5">
        <f>B31*L20</f>
        <v/>
      </c>
    </row>
    <row r="34">
      <c r="A34" t="inlineStr">
        <is>
          <t>Enterprise value (PV of equity flows)</t>
        </is>
      </c>
      <c r="B34" s="5">
        <f>B26+B33</f>
        <v/>
      </c>
    </row>
    <row r="35">
      <c r="A35" t="inlineStr">
        <is>
          <t>less net debt</t>
        </is>
      </c>
      <c r="B35" s="13">
        <f>-Assumptions!$B$6</f>
        <v/>
      </c>
    </row>
    <row r="36">
      <c r="A36" t="inlineStr">
        <is>
          <t>Equity value</t>
        </is>
      </c>
      <c r="B36" s="5">
        <f>B34+B35</f>
        <v/>
      </c>
    </row>
    <row r="37">
      <c r="A37" t="inlineStr">
        <is>
          <t>Shares (m)</t>
        </is>
      </c>
      <c r="B37" s="17">
        <f>Assumptions!$B$5</f>
        <v/>
      </c>
    </row>
    <row r="38">
      <c r="A38" t="inlineStr">
        <is>
          <t>VALUE PER SHARE (A$)</t>
        </is>
      </c>
      <c r="B38" s="18">
        <f>B36/B37</f>
        <v/>
      </c>
    </row>
    <row r="39">
      <c r="A39" t="inlineStr">
        <is>
          <t>Upside vs price</t>
        </is>
      </c>
      <c r="B39" s="12">
        <f>B38/Assumptions!$B$3-1</f>
        <v/>
      </c>
    </row>
    <row r="41">
      <c r="A41" t="inlineStr">
        <is>
          <t>Street memo: PV of explicit SBC</t>
        </is>
      </c>
      <c r="B41" s="5">
        <f>SUMPRODUCT(-C10:L10/(1+B2)^C4:L4)</f>
        <v/>
      </c>
    </row>
    <row r="42">
      <c r="A42" t="inlineStr">
        <is>
          <t>Street memo: PV of terminal SBC</t>
        </is>
      </c>
      <c r="B42" s="5">
        <f>IF(B2&gt;B27,(-L10*(1+B27)/(B2-B27))*L20,0)</f>
        <v/>
      </c>
    </row>
    <row r="43">
      <c r="A43" t="inlineStr">
        <is>
          <t>Street value per share (A$)</t>
        </is>
      </c>
      <c r="B43" s="19">
        <f>(B36+B41+B42)/B37</f>
        <v/>
      </c>
    </row>
    <row r="45">
      <c r="A45" t="inlineStr">
        <is>
          <t>Per-year driver paths</t>
        </is>
      </c>
    </row>
    <row r="46">
      <c r="A46" t="inlineStr">
        <is>
          <t>D&amp;A % of revenue (ex ROU)</t>
        </is>
      </c>
      <c r="B46" s="4" t="n">
        <v>0.03841861948031246</v>
      </c>
      <c r="C46" s="11" t="n">
        <v>0.045</v>
      </c>
      <c r="D46" s="11" t="n">
        <v>0.055</v>
      </c>
      <c r="E46" s="11" t="n">
        <v>0.065</v>
      </c>
      <c r="F46" s="11" t="n">
        <v>0.075</v>
      </c>
      <c r="G46" s="11" t="n">
        <v>0.08</v>
      </c>
      <c r="H46" s="11" t="n">
        <v>0.08500000000000001</v>
      </c>
      <c r="I46" s="11" t="n">
        <v>0.08500000000000001</v>
      </c>
      <c r="J46" s="11" t="n">
        <v>0.08500000000000001</v>
      </c>
      <c r="K46" s="11" t="n">
        <v>0.08500000000000001</v>
      </c>
      <c r="L46" s="11" t="n">
        <v>0.08500000000000001</v>
      </c>
    </row>
    <row r="47">
      <c r="A47" t="inlineStr">
        <is>
          <t>Capex % of revenue</t>
        </is>
      </c>
      <c r="B47" s="4" t="n">
        <v>0.1506456241032999</v>
      </c>
      <c r="C47" s="11" t="n">
        <v>0.145</v>
      </c>
      <c r="D47" s="11" t="n">
        <v>0.14</v>
      </c>
      <c r="E47" s="11" t="n">
        <v>0.125</v>
      </c>
      <c r="F47" s="11" t="n">
        <v>0.11</v>
      </c>
      <c r="G47" s="11" t="n">
        <v>0.1</v>
      </c>
      <c r="H47" s="11" t="n">
        <v>0.095</v>
      </c>
      <c r="I47" s="11" t="n">
        <v>0.09</v>
      </c>
      <c r="J47" s="11" t="n">
        <v>0.09</v>
      </c>
      <c r="K47" s="11" t="n">
        <v>0.09</v>
      </c>
      <c r="L47" s="11" t="n">
        <v>0.09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4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Bull scenario -- owner FCF, A$m</t>
        </is>
      </c>
    </row>
    <row r="2">
      <c r="A2" t="inlineStr">
        <is>
          <t>Cost of equity</t>
        </is>
      </c>
      <c r="B2" s="12">
        <f>Assumptions!$B$16</f>
        <v/>
      </c>
    </row>
    <row r="3">
      <c r="A3" t="inlineStr">
        <is>
          <t>Year</t>
        </is>
      </c>
      <c r="B3" t="inlineStr">
        <is>
          <t>FY2026A</t>
        </is>
      </c>
      <c r="C3" t="inlineStr">
        <is>
          <t>FY2027E</t>
        </is>
      </c>
      <c r="D3" t="inlineStr">
        <is>
          <t>FY2028E</t>
        </is>
      </c>
      <c r="E3" t="inlineStr">
        <is>
          <t>FY2029E</t>
        </is>
      </c>
      <c r="F3" t="inlineStr">
        <is>
          <t>FY2030E</t>
        </is>
      </c>
      <c r="G3" t="inlineStr">
        <is>
          <t>FY2031E</t>
        </is>
      </c>
      <c r="H3" t="inlineStr">
        <is>
          <t>FY2032E</t>
        </is>
      </c>
      <c r="I3" t="inlineStr">
        <is>
          <t>FY2033E</t>
        </is>
      </c>
      <c r="J3" t="inlineStr">
        <is>
          <t>FY2034E</t>
        </is>
      </c>
      <c r="K3" t="inlineStr">
        <is>
          <t>FY2035E</t>
        </is>
      </c>
      <c r="L3" t="inlineStr">
        <is>
          <t>FY2036E</t>
        </is>
      </c>
    </row>
    <row r="4">
      <c r="A4" t="inlineStr">
        <is>
          <t>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YoY</t>
        </is>
      </c>
      <c r="C5" s="11" t="n">
        <v>0.08</v>
      </c>
      <c r="D5" s="11" t="n">
        <v>0.07000000000000001</v>
      </c>
      <c r="E5" s="11" t="n">
        <v>0.065</v>
      </c>
      <c r="F5" s="11" t="n">
        <v>0.06</v>
      </c>
      <c r="G5" s="11" t="n">
        <v>0.055</v>
      </c>
      <c r="H5" s="11" t="n">
        <v>0.05</v>
      </c>
      <c r="I5" s="11" t="n">
        <v>0.045</v>
      </c>
      <c r="J5" s="11" t="n">
        <v>0.04</v>
      </c>
      <c r="K5" s="11" t="n">
        <v>0.04</v>
      </c>
      <c r="L5" s="11" t="n">
        <v>0.035</v>
      </c>
    </row>
    <row r="6">
      <c r="A6" t="inlineStr">
        <is>
          <t>Revenue</t>
        </is>
      </c>
      <c r="B6" s="3" t="n">
        <v>1254.6</v>
      </c>
      <c r="C6" s="5">
        <f>B6*(1+C5)</f>
        <v/>
      </c>
      <c r="D6" s="5">
        <f>C6*(1+D5)</f>
        <v/>
      </c>
      <c r="E6" s="5">
        <f>D6*(1+E5)</f>
        <v/>
      </c>
      <c r="F6" s="5">
        <f>E6*(1+F5)</f>
        <v/>
      </c>
      <c r="G6" s="5">
        <f>F6*(1+G5)</f>
        <v/>
      </c>
      <c r="H6" s="5">
        <f>G6*(1+H5)</f>
        <v/>
      </c>
      <c r="I6" s="5">
        <f>H6*(1+I5)</f>
        <v/>
      </c>
      <c r="J6" s="5">
        <f>I6*(1+J5)</f>
        <v/>
      </c>
      <c r="K6" s="5">
        <f>J6*(1+K5)</f>
        <v/>
      </c>
      <c r="L6" s="5">
        <f>K6*(1+L5)</f>
        <v/>
      </c>
    </row>
    <row r="7">
      <c r="A7" t="inlineStr">
        <is>
          <t>Adj EBITDA margin (owner basis, pre-SBC)</t>
        </is>
      </c>
      <c r="B7" s="9" t="n">
        <v>0.679047906827035</v>
      </c>
      <c r="C7" s="11" t="n">
        <v>0.6899999999999999</v>
      </c>
      <c r="D7" s="11" t="n">
        <v>0.695</v>
      </c>
      <c r="E7" s="11" t="n">
        <v>0.705</v>
      </c>
      <c r="F7" s="11" t="n">
        <v>0.71</v>
      </c>
      <c r="G7" s="11" t="n">
        <v>0.715</v>
      </c>
      <c r="H7" s="11" t="n">
        <v>0.72</v>
      </c>
      <c r="I7" s="11" t="n">
        <v>0.72</v>
      </c>
      <c r="J7" s="11" t="n">
        <v>0.72</v>
      </c>
      <c r="K7" s="11" t="n">
        <v>0.72</v>
      </c>
      <c r="L7" s="11" t="n">
        <v>0.72</v>
      </c>
    </row>
    <row r="8">
      <c r="A8" t="inlineStr">
        <is>
          <t>Adj EBITDA</t>
        </is>
      </c>
      <c r="B8" s="5">
        <f>B6*B7</f>
        <v/>
      </c>
      <c r="C8" s="5">
        <f>C6*C7</f>
        <v/>
      </c>
      <c r="D8" s="5">
        <f>D6*D7</f>
        <v/>
      </c>
      <c r="E8" s="5">
        <f>E6*E7</f>
        <v/>
      </c>
      <c r="F8" s="5">
        <f>F6*F7</f>
        <v/>
      </c>
      <c r="G8" s="5">
        <f>G6*G7</f>
        <v/>
      </c>
      <c r="H8" s="5">
        <f>H6*H7</f>
        <v/>
      </c>
      <c r="I8" s="5">
        <f>I6*I7</f>
        <v/>
      </c>
      <c r="J8" s="5">
        <f>J6*J7</f>
        <v/>
      </c>
      <c r="K8" s="5">
        <f>K6*K7</f>
        <v/>
      </c>
      <c r="L8" s="5">
        <f>L6*L7</f>
        <v/>
      </c>
    </row>
    <row r="9">
      <c r="A9" t="inlineStr">
        <is>
          <t>SBC % of revenue</t>
        </is>
      </c>
      <c r="B9" s="9" t="n">
        <v>0.01355013550135501</v>
      </c>
      <c r="C9" s="11" t="n">
        <v>0.012</v>
      </c>
      <c r="D9" s="11" t="n">
        <v>0.012</v>
      </c>
      <c r="E9" s="11" t="n">
        <v>0.012</v>
      </c>
      <c r="F9" s="11" t="n">
        <v>0.012</v>
      </c>
      <c r="G9" s="11" t="n">
        <v>0.012</v>
      </c>
      <c r="H9" s="11" t="n">
        <v>0.012</v>
      </c>
      <c r="I9" s="11" t="n">
        <v>0.012</v>
      </c>
      <c r="J9" s="11" t="n">
        <v>0.012</v>
      </c>
      <c r="K9" s="11" t="n">
        <v>0.012</v>
      </c>
      <c r="L9" s="11" t="n">
        <v>0.012</v>
      </c>
    </row>
    <row r="10">
      <c r="A10" t="inlineStr">
        <is>
          <t>SBC</t>
        </is>
      </c>
      <c r="B10" s="5">
        <f>-B6*B9</f>
        <v/>
      </c>
      <c r="C10" s="5">
        <f>-C6*C9</f>
        <v/>
      </c>
      <c r="D10" s="5">
        <f>-D6*D9</f>
        <v/>
      </c>
      <c r="E10" s="5">
        <f>-E6*E9</f>
        <v/>
      </c>
      <c r="F10" s="5">
        <f>-F6*F9</f>
        <v/>
      </c>
      <c r="G10" s="5">
        <f>-G6*G9</f>
        <v/>
      </c>
      <c r="H10" s="5">
        <f>-H6*H9</f>
        <v/>
      </c>
      <c r="I10" s="5">
        <f>-I6*I9</f>
        <v/>
      </c>
      <c r="J10" s="5">
        <f>-J6*J9</f>
        <v/>
      </c>
      <c r="K10" s="5">
        <f>-K6*K9</f>
        <v/>
      </c>
      <c r="L10" s="5">
        <f>-L6*L9</f>
        <v/>
      </c>
    </row>
    <row r="11">
      <c r="A11" t="inlineStr">
        <is>
          <t>Owner EBITDA</t>
        </is>
      </c>
      <c r="B11" s="5">
        <f>B8+B10</f>
        <v/>
      </c>
      <c r="C11" s="5">
        <f>C8+C10</f>
        <v/>
      </c>
      <c r="D11" s="5">
        <f>D8+D10</f>
        <v/>
      </c>
      <c r="E11" s="5">
        <f>E8+E10</f>
        <v/>
      </c>
      <c r="F11" s="5">
        <f>F8+F10</f>
        <v/>
      </c>
      <c r="G11" s="5">
        <f>G8+G10</f>
        <v/>
      </c>
      <c r="H11" s="5">
        <f>H8+H10</f>
        <v/>
      </c>
      <c r="I11" s="5">
        <f>I8+I10</f>
        <v/>
      </c>
      <c r="J11" s="5">
        <f>J8+J10</f>
        <v/>
      </c>
      <c r="K11" s="5">
        <f>K8+K10</f>
        <v/>
      </c>
      <c r="L11" s="5">
        <f>L8+L10</f>
        <v/>
      </c>
    </row>
    <row r="12">
      <c r="A12" t="inlineStr">
        <is>
          <t>D&amp;A ex ROU (tax shield)</t>
        </is>
      </c>
      <c r="B12" s="5">
        <f>-B6*B46</f>
        <v/>
      </c>
      <c r="C12" s="5">
        <f>-C6*C46</f>
        <v/>
      </c>
      <c r="D12" s="5">
        <f>-D6*D46</f>
        <v/>
      </c>
      <c r="E12" s="5">
        <f>-E6*E46</f>
        <v/>
      </c>
      <c r="F12" s="5">
        <f>-F6*F46</f>
        <v/>
      </c>
      <c r="G12" s="5">
        <f>-G6*G46</f>
        <v/>
      </c>
      <c r="H12" s="5">
        <f>-H6*H46</f>
        <v/>
      </c>
      <c r="I12" s="5">
        <f>-I6*I46</f>
        <v/>
      </c>
      <c r="J12" s="5">
        <f>-J6*J46</f>
        <v/>
      </c>
      <c r="K12" s="5">
        <f>-K6*K46</f>
        <v/>
      </c>
      <c r="L12" s="5">
        <f>-L6*L46</f>
        <v/>
      </c>
    </row>
    <row r="13">
      <c r="A13" t="inlineStr">
        <is>
          <t>EBIT</t>
        </is>
      </c>
      <c r="B13" s="5">
        <f>B11+B12</f>
        <v/>
      </c>
      <c r="C13" s="5">
        <f>C11+C12</f>
        <v/>
      </c>
      <c r="D13" s="5">
        <f>D11+D12</f>
        <v/>
      </c>
      <c r="E13" s="5">
        <f>E11+E12</f>
        <v/>
      </c>
      <c r="F13" s="5">
        <f>F11+F12</f>
        <v/>
      </c>
      <c r="G13" s="5">
        <f>G11+G12</f>
        <v/>
      </c>
      <c r="H13" s="5">
        <f>H11+H12</f>
        <v/>
      </c>
      <c r="I13" s="5">
        <f>I11+I12</f>
        <v/>
      </c>
      <c r="J13" s="5">
        <f>J11+J12</f>
        <v/>
      </c>
      <c r="K13" s="5">
        <f>K11+K12</f>
        <v/>
      </c>
      <c r="L13" s="5">
        <f>L11+L12</f>
        <v/>
      </c>
    </row>
    <row r="14">
      <c r="A14" t="inlineStr">
        <is>
          <t>Cash tax rate</t>
        </is>
      </c>
      <c r="B14" s="4" t="n">
        <v>0.3</v>
      </c>
      <c r="C14" s="11" t="n">
        <v>0.3</v>
      </c>
      <c r="D14" s="11" t="n">
        <v>0.3</v>
      </c>
      <c r="E14" s="11" t="n">
        <v>0.3</v>
      </c>
      <c r="F14" s="11" t="n">
        <v>0.3</v>
      </c>
      <c r="G14" s="11" t="n">
        <v>0.3</v>
      </c>
      <c r="H14" s="11" t="n">
        <v>0.3</v>
      </c>
      <c r="I14" s="11" t="n">
        <v>0.3</v>
      </c>
      <c r="J14" s="11" t="n">
        <v>0.3</v>
      </c>
      <c r="K14" s="11" t="n">
        <v>0.3</v>
      </c>
      <c r="L14" s="11" t="n">
        <v>0.3</v>
      </c>
    </row>
    <row r="15">
      <c r="A15" t="inlineStr">
        <is>
          <t>NOPAT</t>
        </is>
      </c>
      <c r="B15" s="5">
        <f>B13-MAX(0,B13)*B14</f>
        <v/>
      </c>
      <c r="C15" s="5">
        <f>C13-MAX(0,C13)*C14</f>
        <v/>
      </c>
      <c r="D15" s="5">
        <f>D13-MAX(0,D13)*D14</f>
        <v/>
      </c>
      <c r="E15" s="5">
        <f>E13-MAX(0,E13)*E14</f>
        <v/>
      </c>
      <c r="F15" s="5">
        <f>F13-MAX(0,F13)*F14</f>
        <v/>
      </c>
      <c r="G15" s="5">
        <f>G13-MAX(0,G13)*G14</f>
        <v/>
      </c>
      <c r="H15" s="5">
        <f>H13-MAX(0,H13)*H14</f>
        <v/>
      </c>
      <c r="I15" s="5">
        <f>I13-MAX(0,I13)*I14</f>
        <v/>
      </c>
      <c r="J15" s="5">
        <f>J13-MAX(0,J13)*J14</f>
        <v/>
      </c>
      <c r="K15" s="5">
        <f>K13-MAX(0,K13)*K14</f>
        <v/>
      </c>
      <c r="L15" s="5">
        <f>L13-MAX(0,L13)*L14</f>
        <v/>
      </c>
    </row>
    <row r="16">
      <c r="A16" t="inlineStr">
        <is>
          <t>add back D&amp;A</t>
        </is>
      </c>
      <c r="B16" s="5">
        <f>-B12</f>
        <v/>
      </c>
      <c r="C16" s="5">
        <f>-C12</f>
        <v/>
      </c>
      <c r="D16" s="5">
        <f>-D12</f>
        <v/>
      </c>
      <c r="E16" s="5">
        <f>-E12</f>
        <v/>
      </c>
      <c r="F16" s="5">
        <f>-F12</f>
        <v/>
      </c>
      <c r="G16" s="5">
        <f>-G12</f>
        <v/>
      </c>
      <c r="H16" s="5">
        <f>-H12</f>
        <v/>
      </c>
      <c r="I16" s="5">
        <f>-I12</f>
        <v/>
      </c>
      <c r="J16" s="5">
        <f>-J12</f>
        <v/>
      </c>
      <c r="K16" s="5">
        <f>-K12</f>
        <v/>
      </c>
      <c r="L16" s="5">
        <f>-L12</f>
        <v/>
      </c>
    </row>
    <row r="17">
      <c r="A17" t="inlineStr">
        <is>
          <t>less capex</t>
        </is>
      </c>
      <c r="B17" s="5">
        <f>-B6*B47</f>
        <v/>
      </c>
      <c r="C17" s="5">
        <f>-C6*C47</f>
        <v/>
      </c>
      <c r="D17" s="5">
        <f>-D6*D47</f>
        <v/>
      </c>
      <c r="E17" s="5">
        <f>-E6*E47</f>
        <v/>
      </c>
      <c r="F17" s="5">
        <f>-F6*F47</f>
        <v/>
      </c>
      <c r="G17" s="5">
        <f>-G6*G47</f>
        <v/>
      </c>
      <c r="H17" s="5">
        <f>-H6*H47</f>
        <v/>
      </c>
      <c r="I17" s="5">
        <f>-I6*I47</f>
        <v/>
      </c>
      <c r="J17" s="5">
        <f>-J6*J47</f>
        <v/>
      </c>
      <c r="K17" s="5">
        <f>-K6*K47</f>
        <v/>
      </c>
      <c r="L17" s="5">
        <f>-L6*L47</f>
        <v/>
      </c>
    </row>
    <row r="18">
      <c r="A18" t="inlineStr">
        <is>
          <t>less regulatory capital build (WC)</t>
        </is>
      </c>
      <c r="B18" s="3" t="n">
        <v>-20</v>
      </c>
      <c r="C18" s="13">
        <f>Assumptions!$B$8*(C6-B6)</f>
        <v/>
      </c>
      <c r="D18" s="13">
        <f>Assumptions!$B$8*(D6-C6)</f>
        <v/>
      </c>
      <c r="E18" s="13">
        <f>Assumptions!$B$8*(E6-D6)</f>
        <v/>
      </c>
      <c r="F18" s="13">
        <f>Assumptions!$B$8*(F6-E6)</f>
        <v/>
      </c>
      <c r="G18" s="13">
        <f>Assumptions!$B$8*(G6-F6)</f>
        <v/>
      </c>
      <c r="H18" s="13">
        <f>Assumptions!$B$8*(H6-G6)</f>
        <v/>
      </c>
      <c r="I18" s="13">
        <f>Assumptions!$B$8*(I6-H6)</f>
        <v/>
      </c>
      <c r="J18" s="13">
        <f>Assumptions!$B$8*(J6-I6)</f>
        <v/>
      </c>
      <c r="K18" s="13">
        <f>Assumptions!$B$8*(K6-J6)</f>
        <v/>
      </c>
      <c r="L18" s="13">
        <f>Assumptions!$B$8*(L6-K6)</f>
        <v/>
      </c>
    </row>
    <row r="19">
      <c r="A19" t="inlineStr">
        <is>
          <t>Owner FCF (post-interest)</t>
        </is>
      </c>
      <c r="B19" s="5">
        <f>B15+B16+B17+B18</f>
        <v/>
      </c>
      <c r="C19" s="14">
        <f>C15+C16+C17+C18</f>
        <v/>
      </c>
      <c r="D19" s="14">
        <f>D15+D16+D17+D18</f>
        <v/>
      </c>
      <c r="E19" s="14">
        <f>E15+E16+E17+E18</f>
        <v/>
      </c>
      <c r="F19" s="14">
        <f>F15+F16+F17+F18</f>
        <v/>
      </c>
      <c r="G19" s="14">
        <f>G15+G16+G17+G18</f>
        <v/>
      </c>
      <c r="H19" s="14">
        <f>H15+H16+H17+H18</f>
        <v/>
      </c>
      <c r="I19" s="14">
        <f>I15+I16+I17+I18</f>
        <v/>
      </c>
      <c r="J19" s="14">
        <f>J15+J16+J17+J18</f>
        <v/>
      </c>
      <c r="K19" s="14">
        <f>K15+K16+K17+K18</f>
        <v/>
      </c>
      <c r="L19" s="14">
        <f>L15+L16+L17+L18</f>
        <v/>
      </c>
    </row>
    <row r="20">
      <c r="A20" t="inlineStr">
        <is>
          <t>Discount factor</t>
        </is>
      </c>
      <c r="B20" s="15" t="n"/>
      <c r="C20" s="15">
        <f>1/(1+$B$2)^C4</f>
        <v/>
      </c>
      <c r="D20" s="15">
        <f>1/(1+$B$2)^D4</f>
        <v/>
      </c>
      <c r="E20" s="15">
        <f>1/(1+$B$2)^E4</f>
        <v/>
      </c>
      <c r="F20" s="15">
        <f>1/(1+$B$2)^F4</f>
        <v/>
      </c>
      <c r="G20" s="15">
        <f>1/(1+$B$2)^G4</f>
        <v/>
      </c>
      <c r="H20" s="15">
        <f>1/(1+$B$2)^H4</f>
        <v/>
      </c>
      <c r="I20" s="15">
        <f>1/(1+$B$2)^I4</f>
        <v/>
      </c>
      <c r="J20" s="15">
        <f>1/(1+$B$2)^J4</f>
        <v/>
      </c>
      <c r="K20" s="15">
        <f>1/(1+$B$2)^K4</f>
        <v/>
      </c>
      <c r="L20" s="15">
        <f>1/(1+$B$2)^L4</f>
        <v/>
      </c>
    </row>
    <row r="21">
      <c r="A21" t="inlineStr">
        <is>
          <t>PV of FCF</t>
        </is>
      </c>
      <c r="B21" s="5" t="n"/>
      <c r="C21" s="5">
        <f>C19*C20</f>
        <v/>
      </c>
      <c r="D21" s="5">
        <f>D19*D20</f>
        <v/>
      </c>
      <c r="E21" s="5">
        <f>E19*E20</f>
        <v/>
      </c>
      <c r="F21" s="5">
        <f>F19*F20</f>
        <v/>
      </c>
      <c r="G21" s="5">
        <f>G19*G20</f>
        <v/>
      </c>
      <c r="H21" s="5">
        <f>H19*H20</f>
        <v/>
      </c>
      <c r="I21" s="5">
        <f>I19*I20</f>
        <v/>
      </c>
      <c r="J21" s="5">
        <f>J19*J20</f>
        <v/>
      </c>
      <c r="K21" s="5">
        <f>K19*K20</f>
        <v/>
      </c>
      <c r="L21" s="5">
        <f>L19*L20</f>
        <v/>
      </c>
    </row>
    <row r="23">
      <c r="A23" t="inlineStr">
        <is>
          <t>Memo: FCF before SBC</t>
        </is>
      </c>
      <c r="B23" s="5">
        <f>B19-B10</f>
        <v/>
      </c>
      <c r="C23" s="5">
        <f>C19-C10</f>
        <v/>
      </c>
      <c r="D23" s="5">
        <f>D19-D10</f>
        <v/>
      </c>
      <c r="E23" s="5">
        <f>E19-E10</f>
        <v/>
      </c>
      <c r="F23" s="5">
        <f>F19-F10</f>
        <v/>
      </c>
      <c r="G23" s="5">
        <f>G19-G10</f>
        <v/>
      </c>
      <c r="H23" s="5">
        <f>H19-H10</f>
        <v/>
      </c>
      <c r="I23" s="5">
        <f>I19-I10</f>
        <v/>
      </c>
      <c r="J23" s="5">
        <f>J19-J10</f>
        <v/>
      </c>
      <c r="K23" s="5">
        <f>K19-K10</f>
        <v/>
      </c>
      <c r="L23" s="5">
        <f>L19-L10</f>
        <v/>
      </c>
    </row>
    <row r="24">
      <c r="A24" t="inlineStr">
        <is>
          <t>Memo: owner FCF margin</t>
        </is>
      </c>
      <c r="B24" s="6">
        <f>B19/B6</f>
        <v/>
      </c>
      <c r="C24" s="6">
        <f>C19/C6</f>
        <v/>
      </c>
      <c r="D24" s="6">
        <f>D19/D6</f>
        <v/>
      </c>
      <c r="E24" s="6">
        <f>E19/E6</f>
        <v/>
      </c>
      <c r="F24" s="6">
        <f>F19/F6</f>
        <v/>
      </c>
      <c r="G24" s="6">
        <f>G19/G6</f>
        <v/>
      </c>
      <c r="H24" s="6">
        <f>H19/H6</f>
        <v/>
      </c>
      <c r="I24" s="6">
        <f>I19/I6</f>
        <v/>
      </c>
      <c r="J24" s="6">
        <f>J19/J6</f>
        <v/>
      </c>
      <c r="K24" s="6">
        <f>K19/K6</f>
        <v/>
      </c>
      <c r="L24" s="6">
        <f>L19/L6</f>
        <v/>
      </c>
    </row>
    <row r="26">
      <c r="A26" t="inlineStr">
        <is>
          <t>Sum of PV (FY27-FY36)</t>
        </is>
      </c>
      <c r="B26" s="5">
        <f>SUM(C21:L21)</f>
        <v/>
      </c>
    </row>
    <row r="27">
      <c r="A27" t="inlineStr">
        <is>
          <t>Terminal growth</t>
        </is>
      </c>
      <c r="B27" s="12">
        <f>Assumptions!$C$16</f>
        <v/>
      </c>
    </row>
    <row r="28">
      <c r="A28" t="inlineStr">
        <is>
          <t>Terminal-year FCF x (1+g)</t>
        </is>
      </c>
      <c r="B28" s="5">
        <f>L19*(1+B27)</f>
        <v/>
      </c>
    </row>
    <row r="29">
      <c r="A29" t="inlineStr">
        <is>
          <t>Gordon TV</t>
        </is>
      </c>
      <c r="B29" s="5">
        <f>IF(B2&gt;B27,B28/(B2-B27),0)</f>
        <v/>
      </c>
    </row>
    <row r="30">
      <c r="A30" t="inlineStr">
        <is>
          <t>Cap TV (cap x FCF10)</t>
        </is>
      </c>
      <c r="B30" s="13">
        <f>Assumptions!$B$9*L19</f>
        <v/>
      </c>
    </row>
    <row r="31">
      <c r="A31" t="inlineStr">
        <is>
          <t>TV used = MAX(0,MIN(Gordon,cap))</t>
        </is>
      </c>
      <c r="B31" s="5">
        <f>MAX(0,MIN(B29,B30))</f>
        <v/>
      </c>
    </row>
    <row r="32">
      <c r="A32" t="inlineStr">
        <is>
          <t>Implied exit multiple (TV/FCF10)</t>
        </is>
      </c>
      <c r="B32" s="16">
        <f>IF(L19&lt;&gt;0,B31/L19,0)</f>
        <v/>
      </c>
    </row>
    <row r="33">
      <c r="A33" t="inlineStr">
        <is>
          <t>PV of TV</t>
        </is>
      </c>
      <c r="B33" s="5">
        <f>B31*L20</f>
        <v/>
      </c>
    </row>
    <row r="34">
      <c r="A34" t="inlineStr">
        <is>
          <t>Enterprise value (PV of equity flows)</t>
        </is>
      </c>
      <c r="B34" s="5">
        <f>B26+B33</f>
        <v/>
      </c>
    </row>
    <row r="35">
      <c r="A35" t="inlineStr">
        <is>
          <t>less net debt</t>
        </is>
      </c>
      <c r="B35" s="13">
        <f>-Assumptions!$B$6</f>
        <v/>
      </c>
    </row>
    <row r="36">
      <c r="A36" t="inlineStr">
        <is>
          <t>Equity value</t>
        </is>
      </c>
      <c r="B36" s="5">
        <f>B34+B35</f>
        <v/>
      </c>
    </row>
    <row r="37">
      <c r="A37" t="inlineStr">
        <is>
          <t>Shares (m)</t>
        </is>
      </c>
      <c r="B37" s="17">
        <f>Assumptions!$B$5</f>
        <v/>
      </c>
    </row>
    <row r="38">
      <c r="A38" t="inlineStr">
        <is>
          <t>VALUE PER SHARE (A$)</t>
        </is>
      </c>
      <c r="B38" s="18">
        <f>B36/B37</f>
        <v/>
      </c>
    </row>
    <row r="39">
      <c r="A39" t="inlineStr">
        <is>
          <t>Upside vs price</t>
        </is>
      </c>
      <c r="B39" s="12">
        <f>B38/Assumptions!$B$3-1</f>
        <v/>
      </c>
    </row>
    <row r="41">
      <c r="A41" t="inlineStr">
        <is>
          <t>Street memo: PV of explicit SBC</t>
        </is>
      </c>
      <c r="B41" s="5">
        <f>SUMPRODUCT(-C10:L10/(1+B2)^C4:L4)</f>
        <v/>
      </c>
    </row>
    <row r="42">
      <c r="A42" t="inlineStr">
        <is>
          <t>Street memo: PV of terminal SBC</t>
        </is>
      </c>
      <c r="B42" s="5">
        <f>IF(B2&gt;B27,(-L10*(1+B27)/(B2-B27))*L20,0)</f>
        <v/>
      </c>
    </row>
    <row r="43">
      <c r="A43" t="inlineStr">
        <is>
          <t>Street value per share (A$)</t>
        </is>
      </c>
      <c r="B43" s="19">
        <f>(B36+B41+B42)/B37</f>
        <v/>
      </c>
    </row>
    <row r="45">
      <c r="A45" t="inlineStr">
        <is>
          <t>Per-year driver paths</t>
        </is>
      </c>
    </row>
    <row r="46">
      <c r="A46" t="inlineStr">
        <is>
          <t>D&amp;A % of revenue (ex ROU)</t>
        </is>
      </c>
      <c r="B46" s="4" t="n">
        <v>0.03841861948031246</v>
      </c>
      <c r="C46" s="11" t="n">
        <v>0.045</v>
      </c>
      <c r="D46" s="11" t="n">
        <v>0.055</v>
      </c>
      <c r="E46" s="11" t="n">
        <v>0.065</v>
      </c>
      <c r="F46" s="11" t="n">
        <v>0.07000000000000001</v>
      </c>
      <c r="G46" s="11" t="n">
        <v>0.075</v>
      </c>
      <c r="H46" s="11" t="n">
        <v>0.075</v>
      </c>
      <c r="I46" s="11" t="n">
        <v>0.075</v>
      </c>
      <c r="J46" s="11" t="n">
        <v>0.075</v>
      </c>
      <c r="K46" s="11" t="n">
        <v>0.075</v>
      </c>
      <c r="L46" s="11" t="n">
        <v>0.075</v>
      </c>
    </row>
    <row r="47">
      <c r="A47" t="inlineStr">
        <is>
          <t>Capex % of revenue</t>
        </is>
      </c>
      <c r="B47" s="4" t="n">
        <v>0.1506456241032999</v>
      </c>
      <c r="C47" s="11" t="n">
        <v>0.14</v>
      </c>
      <c r="D47" s="11" t="n">
        <v>0.13</v>
      </c>
      <c r="E47" s="11" t="n">
        <v>0.11</v>
      </c>
      <c r="F47" s="11" t="n">
        <v>0.095</v>
      </c>
      <c r="G47" s="11" t="n">
        <v>0.09</v>
      </c>
      <c r="H47" s="11" t="n">
        <v>0.08500000000000001</v>
      </c>
      <c r="I47" s="11" t="n">
        <v>0.08</v>
      </c>
      <c r="J47" s="11" t="n">
        <v>0.08</v>
      </c>
      <c r="K47" s="11" t="n">
        <v>0.08</v>
      </c>
      <c r="L47" s="11" t="n">
        <v>0.08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58" customWidth="1" min="1" max="1"/>
  </cols>
  <sheetData>
    <row r="1">
      <c r="A1" s="1" t="inlineStr">
        <is>
          <t>Reported FCF vs owner-FCF proxy, A$m (why reported FCF is unusable for ASX)</t>
        </is>
      </c>
    </row>
    <row r="3">
      <c r="A3" s="1" t="inlineStr">
        <is>
          <t>Metric</t>
        </is>
      </c>
      <c r="B3" s="1" t="inlineStr">
        <is>
          <t>FY2021</t>
        </is>
      </c>
      <c r="C3" s="1" t="inlineStr">
        <is>
          <t>FY2022</t>
        </is>
      </c>
      <c r="D3" s="1" t="inlineStr">
        <is>
          <t>FY2023</t>
        </is>
      </c>
      <c r="E3" s="1" t="inlineStr">
        <is>
          <t>FY2024</t>
        </is>
      </c>
      <c r="F3" s="1" t="inlineStr">
        <is>
          <t>FY2025</t>
        </is>
      </c>
      <c r="G3" s="1" t="inlineStr">
        <is>
          <t>FY2026</t>
        </is>
      </c>
    </row>
    <row r="4">
      <c r="A4" t="inlineStr">
        <is>
          <t>Reported OCF</t>
        </is>
      </c>
      <c r="B4" s="3" t="n">
        <v>5095</v>
      </c>
      <c r="C4" s="3" t="n">
        <v>203.4</v>
      </c>
      <c r="D4" s="3" t="n">
        <v>-3404</v>
      </c>
      <c r="E4" s="3" t="n">
        <v>480.3</v>
      </c>
      <c r="F4" s="3" t="n">
        <v>302.9</v>
      </c>
      <c r="G4" s="3" t="n">
        <v>262.1</v>
      </c>
    </row>
    <row r="5">
      <c r="A5" t="inlineStr">
        <is>
          <t>less cash capex</t>
        </is>
      </c>
      <c r="B5" s="3" t="n">
        <v>-101.3</v>
      </c>
      <c r="C5" s="3" t="n">
        <v>-105.8</v>
      </c>
      <c r="D5" s="3" t="n">
        <v>-103.1</v>
      </c>
      <c r="E5" s="3" t="n">
        <v>-137.8</v>
      </c>
      <c r="F5" s="3" t="n">
        <v>-171.9</v>
      </c>
      <c r="G5" s="3" t="n">
        <v>-189</v>
      </c>
    </row>
    <row r="6">
      <c r="A6" t="inlineStr">
        <is>
          <t>Reported FCF (company-style)</t>
        </is>
      </c>
      <c r="B6" s="5">
        <f>B4+B5</f>
        <v/>
      </c>
      <c r="C6" s="5">
        <f>C4+C5</f>
        <v/>
      </c>
      <c r="D6" s="5">
        <f>D4+D5</f>
        <v/>
      </c>
      <c r="E6" s="5">
        <f>E4+E5</f>
        <v/>
      </c>
      <c r="F6" s="5">
        <f>F4+F5</f>
        <v/>
      </c>
      <c r="G6" s="5">
        <f>G4+G5</f>
        <v/>
      </c>
    </row>
    <row r="7">
      <c r="A7" t="inlineStr">
        <is>
          <t>Memo: participant margin/financial-asset flows inside OCF</t>
        </is>
      </c>
      <c r="B7" s="3" t="n">
        <v>4695</v>
      </c>
      <c r="C7" s="3" t="n">
        <v>-184</v>
      </c>
      <c r="D7" s="3" t="n">
        <v>-3860</v>
      </c>
      <c r="E7" s="3" t="n">
        <v>145</v>
      </c>
      <c r="F7" s="3" t="n">
        <v>-271.4</v>
      </c>
      <c r="G7" s="3" t="n">
        <v>-358.1</v>
      </c>
    </row>
    <row r="8">
      <c r="A8" t="inlineStr">
        <is>
          <t>Underlying NPAT</t>
        </is>
      </c>
      <c r="B8" s="3" t="n">
        <v>480.9</v>
      </c>
      <c r="C8" s="3" t="n">
        <v>508.5</v>
      </c>
      <c r="D8" s="3" t="n">
        <v>491.1</v>
      </c>
      <c r="E8" s="3" t="n">
        <v>474.2</v>
      </c>
      <c r="F8" s="3" t="n">
        <v>510</v>
      </c>
      <c r="G8" s="3" t="n">
        <v>536.4</v>
      </c>
    </row>
    <row r="9">
      <c r="A9" t="inlineStr">
        <is>
          <t>add D&amp;A</t>
        </is>
      </c>
      <c r="B9" s="3" t="n">
        <v>55.5</v>
      </c>
      <c r="C9" s="3" t="n">
        <v>52.4</v>
      </c>
      <c r="D9" s="3" t="n">
        <v>39.1</v>
      </c>
      <c r="E9" s="3" t="n">
        <v>40</v>
      </c>
      <c r="F9" s="3" t="n">
        <v>49.3</v>
      </c>
      <c r="G9" s="3" t="n">
        <v>68.2</v>
      </c>
    </row>
    <row r="10">
      <c r="A10" t="inlineStr">
        <is>
          <t>less cash capex</t>
        </is>
      </c>
      <c r="B10" s="3" t="n">
        <v>-101.3</v>
      </c>
      <c r="C10" s="3" t="n">
        <v>-105.8</v>
      </c>
      <c r="D10" s="3" t="n">
        <v>-103.1</v>
      </c>
      <c r="E10" s="3" t="n">
        <v>-137.8</v>
      </c>
      <c r="F10" s="3" t="n">
        <v>-171.9</v>
      </c>
      <c r="G10" s="3" t="n">
        <v>-189</v>
      </c>
    </row>
    <row r="11">
      <c r="A11" t="inlineStr">
        <is>
          <t>less lease principal</t>
        </is>
      </c>
      <c r="B11" s="3" t="n">
        <v>-12</v>
      </c>
      <c r="C11" s="3" t="n">
        <v>-12</v>
      </c>
      <c r="D11" s="3" t="n">
        <v>-12</v>
      </c>
      <c r="E11" s="3" t="n">
        <v>-13</v>
      </c>
      <c r="F11" s="3" t="n">
        <v>-13.2</v>
      </c>
      <c r="G11" s="3" t="n">
        <v>-12.8</v>
      </c>
    </row>
    <row r="12">
      <c r="A12" t="inlineStr">
        <is>
          <t>Owner-FCF proxy (post-interest, pre reg-capital build)</t>
        </is>
      </c>
      <c r="B12" s="5">
        <f>SUM(B8:B11)</f>
        <v/>
      </c>
      <c r="C12" s="5">
        <f>SUM(C8:C11)</f>
        <v/>
      </c>
      <c r="D12" s="5">
        <f>SUM(D8:D11)</f>
        <v/>
      </c>
      <c r="E12" s="5">
        <f>SUM(E8:E11)</f>
        <v/>
      </c>
      <c r="F12" s="5">
        <f>SUM(F8:F11)</f>
        <v/>
      </c>
      <c r="G12" s="5">
        <f>SUM(G8:G11)</f>
        <v/>
      </c>
    </row>
    <row r="13">
      <c r="A13" t="inlineStr">
        <is>
          <t>Revenue</t>
        </is>
      </c>
      <c r="B13" s="3" t="n">
        <v>951.5</v>
      </c>
      <c r="C13" s="3" t="n">
        <v>1022.7</v>
      </c>
      <c r="D13" s="3" t="n">
        <v>1010.2</v>
      </c>
      <c r="E13" s="3" t="n">
        <v>1034.3</v>
      </c>
      <c r="F13" s="3" t="n">
        <v>1107.2</v>
      </c>
      <c r="G13" s="3" t="n">
        <v>1254.6</v>
      </c>
    </row>
    <row r="14">
      <c r="A14" t="inlineStr">
        <is>
          <t>Reported FCF margin</t>
        </is>
      </c>
      <c r="B14" s="6">
        <f>B6/B13</f>
        <v/>
      </c>
      <c r="C14" s="6">
        <f>C6/C13</f>
        <v/>
      </c>
      <c r="D14" s="6">
        <f>D6/D13</f>
        <v/>
      </c>
      <c r="E14" s="6">
        <f>E6/E13</f>
        <v/>
      </c>
      <c r="F14" s="6">
        <f>F6/F13</f>
        <v/>
      </c>
      <c r="G14" s="6">
        <f>G6/G13</f>
        <v/>
      </c>
    </row>
    <row r="15">
      <c r="A15" t="inlineStr">
        <is>
          <t>Owner-FCF proxy margin</t>
        </is>
      </c>
      <c r="B15" s="6">
        <f>B12/B13</f>
        <v/>
      </c>
      <c r="C15" s="6">
        <f>C12/C13</f>
        <v/>
      </c>
      <c r="D15" s="6">
        <f>D12/D13</f>
        <v/>
      </c>
      <c r="E15" s="6">
        <f>E12/E13</f>
        <v/>
      </c>
      <c r="F15" s="6">
        <f>F12/F13</f>
        <v/>
      </c>
      <c r="G15" s="6">
        <f>G12/G13</f>
        <v/>
      </c>
    </row>
    <row r="16">
      <c r="A16" t="inlineStr">
        <is>
          <t>Capex % of revenue</t>
        </is>
      </c>
      <c r="B16" s="6">
        <f>-B10/B13</f>
        <v/>
      </c>
      <c r="C16" s="6">
        <f>-C10/C13</f>
        <v/>
      </c>
      <c r="D16" s="6">
        <f>-D10/D13</f>
        <v/>
      </c>
      <c r="E16" s="6">
        <f>-E10/E13</f>
        <v/>
      </c>
      <c r="F16" s="6">
        <f>-F10/F13</f>
        <v/>
      </c>
      <c r="G16" s="6">
        <f>-G10/G13</f>
        <v/>
      </c>
    </row>
    <row r="17">
      <c r="A17" t="inlineStr">
        <is>
          <t>Memo: cash tax paid</t>
        </is>
      </c>
      <c r="B17" s="3" t="n">
        <v>209.4</v>
      </c>
      <c r="C17" s="3" t="n">
        <v>219.6</v>
      </c>
      <c r="D17" s="3" t="n">
        <v>173.4</v>
      </c>
      <c r="E17" s="3" t="n">
        <v>211.6</v>
      </c>
      <c r="F17" s="3" t="n">
        <v>192.7</v>
      </c>
      <c r="G17" s="3" t="n">
        <v>239.3</v>
      </c>
    </row>
    <row r="18">
      <c r="A18" t="inlineStr">
        <is>
          <t>Memo: SBC (reserve movement / expense)</t>
        </is>
      </c>
      <c r="B18" s="3" t="n">
        <v>1.2</v>
      </c>
      <c r="C18" s="3" t="n">
        <v>-0.9</v>
      </c>
      <c r="D18" s="3" t="n">
        <v>8</v>
      </c>
      <c r="E18" s="3" t="n">
        <v>7.7</v>
      </c>
      <c r="F18" s="3" t="n">
        <v>9.699999999999999</v>
      </c>
      <c r="G18" s="3" t="n">
        <v>17</v>
      </c>
    </row>
    <row r="21">
      <c r="A21" t="inlineStr">
        <is>
          <t>Note: the owner-FCF proxy is flat-to-down FY21-FY26 while revenue compounded 5.7%/yr, because capex rose from ~10% to 15% of revenue on the CHESS programme.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Valuation summary (A$ per share)</t>
        </is>
      </c>
    </row>
    <row r="3">
      <c r="A3" s="1" t="inlineStr">
        <is>
          <t>Scenario</t>
        </is>
      </c>
      <c r="B3" s="1" t="inlineStr">
        <is>
          <t>Value/share</t>
        </is>
      </c>
      <c r="C3" s="1" t="inlineStr">
        <is>
          <t>Upside vs price</t>
        </is>
      </c>
      <c r="D3" s="1" t="inlineStr">
        <is>
          <t>Probability</t>
        </is>
      </c>
      <c r="E3" s="1" t="inlineStr">
        <is>
          <t>Street value/share</t>
        </is>
      </c>
      <c r="F3" s="1" t="inlineStr">
        <is>
          <t>Entry price @15%</t>
        </is>
      </c>
    </row>
    <row r="4">
      <c r="A4" t="inlineStr">
        <is>
          <t>Bear</t>
        </is>
      </c>
      <c r="B4" s="20">
        <f>DCF_Bear!$B$38</f>
        <v/>
      </c>
      <c r="C4" s="6">
        <f>B4/Assumptions!$B$3-1</f>
        <v/>
      </c>
      <c r="D4" s="12">
        <f>Assumptions!$D$14</f>
        <v/>
      </c>
      <c r="E4" s="20">
        <f>DCF_Bear!$B$43</f>
        <v/>
      </c>
      <c r="F4" s="19">
        <f>(SUMPRODUCT(DCF_Bear!$C$19:$L$19/(1+Assumptions!$B$10)^DCF_Bear!$C$4:$L$4)+MAX(0,MIN(IF(Assumptions!$B$10&gt;Assumptions!$C$14,DCF_Bear!$L$19*(1+Assumptions!$C$14)/(Assumptions!$B$10-Assumptions!$C$14),0),Assumptions!$B$9*DCF_Bear!$L$19))/(1+Assumptions!$B$10)^10-Assumptions!$B$6)/Assumptions!$B$5</f>
        <v/>
      </c>
    </row>
    <row r="5">
      <c r="A5" t="inlineStr">
        <is>
          <t>Base</t>
        </is>
      </c>
      <c r="B5" s="20">
        <f>DCF_Base!$B$38</f>
        <v/>
      </c>
      <c r="C5" s="6">
        <f>B5/Assumptions!$B$3-1</f>
        <v/>
      </c>
      <c r="D5" s="12">
        <f>Assumptions!$D$15</f>
        <v/>
      </c>
      <c r="E5" s="20">
        <f>DCF_Base!$B$43</f>
        <v/>
      </c>
      <c r="F5" s="19">
        <f>(SUMPRODUCT(DCF_Base!$C$19:$L$19/(1+Assumptions!$B$10)^DCF_Base!$C$4:$L$4)+MAX(0,MIN(IF(Assumptions!$B$10&gt;Assumptions!$C$15,DCF_Base!$L$19*(1+Assumptions!$C$15)/(Assumptions!$B$10-Assumptions!$C$15),0),Assumptions!$B$9*DCF_Base!$L$19))/(1+Assumptions!$B$10)^10-Assumptions!$B$6)/Assumptions!$B$5</f>
        <v/>
      </c>
    </row>
    <row r="6">
      <c r="A6" t="inlineStr">
        <is>
          <t>Bull</t>
        </is>
      </c>
      <c r="B6" s="20">
        <f>DCF_Bull!$B$38</f>
        <v/>
      </c>
      <c r="C6" s="6">
        <f>B6/Assumptions!$B$3-1</f>
        <v/>
      </c>
      <c r="D6" s="12">
        <f>Assumptions!$D$16</f>
        <v/>
      </c>
      <c r="E6" s="20">
        <f>DCF_Bull!$B$43</f>
        <v/>
      </c>
      <c r="F6" s="19">
        <f>(SUMPRODUCT(DCF_Bull!$C$19:$L$19/(1+Assumptions!$B$10)^DCF_Bull!$C$4:$L$4)+MAX(0,MIN(IF(Assumptions!$B$10&gt;Assumptions!$C$16,DCF_Bull!$L$19*(1+Assumptions!$C$16)/(Assumptions!$B$10-Assumptions!$C$16),0),Assumptions!$B$9*DCF_Bull!$L$19))/(1+Assumptions!$B$10)^10-Assumptions!$B$6)/Assumptions!$B$5</f>
        <v/>
      </c>
    </row>
    <row r="8">
      <c r="A8" t="inlineStr">
        <is>
          <t>Probability-weighted value/share</t>
        </is>
      </c>
      <c r="B8" s="18">
        <f>SUMPRODUCT(B4:B6,D4:D6)</f>
        <v/>
      </c>
    </row>
    <row r="9">
      <c r="A9" t="inlineStr">
        <is>
          <t>Current price</t>
        </is>
      </c>
      <c r="B9" s="20">
        <f>Assumptions!$B$3</f>
        <v/>
      </c>
    </row>
    <row r="10">
      <c r="A10" t="inlineStr">
        <is>
          <t>Margin of safety (1 - price/weighted)</t>
        </is>
      </c>
      <c r="B10" s="6">
        <f>1-B9/B8</f>
        <v/>
      </c>
    </row>
    <row r="11">
      <c r="A11" t="inlineStr">
        <is>
          <t>Street weighted value/share</t>
        </is>
      </c>
      <c r="B11" s="19">
        <f>SUMPRODUCT(E4:E6,D4:D6)</f>
        <v/>
      </c>
    </row>
    <row r="12">
      <c r="A12" t="inlineStr">
        <is>
          <t>Band position (price-house)/(street-house)</t>
        </is>
      </c>
      <c r="B12" s="6">
        <f>IF(B11&lt;&gt;B8,(B9-B8)/(B11-B8),"n/a")</f>
        <v/>
      </c>
    </row>
    <row r="13">
      <c r="A13" t="inlineStr">
        <is>
          <t>Weighted entry price @15% hurdle (buy-below)</t>
        </is>
      </c>
      <c r="B13" s="21">
        <f>SUMPRODUCT(F4:F6,D4:D6)</f>
        <v/>
      </c>
    </row>
    <row r="16">
      <c r="A16" s="1" t="inlineStr">
        <is>
          <t>Required-return table (base case; TV rebuilt at each rate)</t>
        </is>
      </c>
    </row>
    <row r="17">
      <c r="A17" t="inlineStr">
        <is>
          <t>Required return</t>
        </is>
      </c>
      <c r="B17" t="inlineStr">
        <is>
          <t>Value/share</t>
        </is>
      </c>
    </row>
    <row r="18">
      <c r="A18" s="9" t="n">
        <v>0.09</v>
      </c>
      <c r="B18" s="19">
        <f>(SUMPRODUCT(DCF_Base!$C$19:$L$19/(1+$A18)^DCF_Base!$C$4:$L$4)+MAX(0,MIN(IF($A18&gt;Assumptions!$C$15,DCF_Base!$L$19*(1+Assumptions!$C$15)/($A18-Assumptions!$C$15),0),Assumptions!$B$9*DCF_Base!$L$19))/(1+$A18)^10-Assumptions!$B$6)/Assumptions!$B$5</f>
        <v/>
      </c>
    </row>
    <row r="19">
      <c r="A19" s="9" t="n">
        <v>0.1</v>
      </c>
      <c r="B19" s="19">
        <f>(SUMPRODUCT(DCF_Base!$C$19:$L$19/(1+$A19)^DCF_Base!$C$4:$L$4)+MAX(0,MIN(IF($A19&gt;Assumptions!$C$15,DCF_Base!$L$19*(1+Assumptions!$C$15)/($A19-Assumptions!$C$15),0),Assumptions!$B$9*DCF_Base!$L$19))/(1+$A19)^10-Assumptions!$B$6)/Assumptions!$B$5</f>
        <v/>
      </c>
    </row>
    <row r="20">
      <c r="A20" s="9" t="n">
        <v>0.11</v>
      </c>
      <c r="B20" s="19">
        <f>(SUMPRODUCT(DCF_Base!$C$19:$L$19/(1+$A20)^DCF_Base!$C$4:$L$4)+MAX(0,MIN(IF($A20&gt;Assumptions!$C$15,DCF_Base!$L$19*(1+Assumptions!$C$15)/($A20-Assumptions!$C$15),0),Assumptions!$B$9*DCF_Base!$L$19))/(1+$A20)^10-Assumptions!$B$6)/Assumptions!$B$5</f>
        <v/>
      </c>
    </row>
    <row r="21">
      <c r="A21" s="9" t="n">
        <v>0.12</v>
      </c>
      <c r="B21" s="19">
        <f>(SUMPRODUCT(DCF_Base!$C$19:$L$19/(1+$A21)^DCF_Base!$C$4:$L$4)+MAX(0,MIN(IF($A21&gt;Assumptions!$C$15,DCF_Base!$L$19*(1+Assumptions!$C$15)/($A21-Assumptions!$C$15),0),Assumptions!$B$9*DCF_Base!$L$19))/(1+$A21)^10-Assumptions!$B$6)/Assumptions!$B$5</f>
        <v/>
      </c>
    </row>
    <row r="22">
      <c r="A22" s="9" t="n">
        <v>0.15</v>
      </c>
      <c r="B22" s="19">
        <f>(SUMPRODUCT(DCF_Base!$C$19:$L$19/(1+$A22)^DCF_Base!$C$4:$L$4)+MAX(0,MIN(IF($A22&gt;Assumptions!$C$15,DCF_Base!$L$19*(1+Assumptions!$C$15)/($A22-Assumptions!$C$15),0),Assumptions!$B$9*DCF_Base!$L$19))/(1+$A22)^10-Assumptions!$B$6)/Assumptions!$B$5</f>
        <v/>
      </c>
    </row>
    <row r="23">
      <c r="A23" s="12">
        <f>Assumptions!$B$15</f>
        <v/>
      </c>
      <c r="B23" s="19">
        <f>(SUMPRODUCT(DCF_Base!$C$19:$L$19/(1+$A23)^DCF_Base!$C$4:$L$4)+MAX(0,MIN(IF($A23&gt;Assumptions!$C$15,DCF_Base!$L$19*(1+Assumptions!$C$15)/($A23-Assumptions!$C$15),0),Assumptions!$B$9*DCF_Base!$L$19))/(1+$A23)^10-Assumptions!$B$6)/Assumptions!$B$5</f>
        <v/>
      </c>
      <c r="C23" t="inlineStr">
        <is>
          <t>model CoE row: must equal DCF_Base!B38</t>
        </is>
      </c>
    </row>
    <row r="26">
      <c r="A26" s="1" t="inlineStr">
        <is>
          <t>Sensitivity: cost of equity (rows) x terminal growth (cols), base case, A$/share</t>
        </is>
      </c>
    </row>
    <row r="27">
      <c r="B27" s="9" t="n">
        <v>0.02</v>
      </c>
      <c r="C27" s="9" t="n">
        <v>0.025</v>
      </c>
      <c r="D27" s="9" t="n">
        <v>0.03</v>
      </c>
      <c r="E27" s="9" t="n">
        <v>0.035</v>
      </c>
      <c r="F27" s="9" t="n">
        <v>0.04</v>
      </c>
    </row>
    <row r="28">
      <c r="A28" s="9" t="n">
        <v>0.07000000000000001</v>
      </c>
      <c r="B28" s="19">
        <f>IF($A28&gt;B$27,(SUMPRODUCT(DCF_Base!$C$19:$L$19/(1+$A28)^DCF_Base!$C$4:$L$4)+MAX(0,MIN(IF($A28&gt;B$27,DCF_Base!$L$19*(1+B$27)/($A28-B$27),0),Assumptions!$B$9*DCF_Base!$L$19))/(1+$A28)^10-Assumptions!$B$6)/Assumptions!$B$5,"n/a")</f>
        <v/>
      </c>
      <c r="C28" s="19">
        <f>IF($A28&gt;C$27,(SUMPRODUCT(DCF_Base!$C$19:$L$19/(1+$A28)^DCF_Base!$C$4:$L$4)+MAX(0,MIN(IF($A28&gt;C$27,DCF_Base!$L$19*(1+C$27)/($A28-C$27),0),Assumptions!$B$9*DCF_Base!$L$19))/(1+$A28)^10-Assumptions!$B$6)/Assumptions!$B$5,"n/a")</f>
        <v/>
      </c>
      <c r="D28" s="19">
        <f>IF($A28&gt;D$27,(SUMPRODUCT(DCF_Base!$C$19:$L$19/(1+$A28)^DCF_Base!$C$4:$L$4)+MAX(0,MIN(IF($A28&gt;D$27,DCF_Base!$L$19*(1+D$27)/($A28-D$27),0),Assumptions!$B$9*DCF_Base!$L$19))/(1+$A28)^10-Assumptions!$B$6)/Assumptions!$B$5,"n/a")</f>
        <v/>
      </c>
      <c r="E28" s="19">
        <f>IF($A28&gt;E$27,(SUMPRODUCT(DCF_Base!$C$19:$L$19/(1+$A28)^DCF_Base!$C$4:$L$4)+MAX(0,MIN(IF($A28&gt;E$27,DCF_Base!$L$19*(1+E$27)/($A28-E$27),0),Assumptions!$B$9*DCF_Base!$L$19))/(1+$A28)^10-Assumptions!$B$6)/Assumptions!$B$5,"n/a")</f>
        <v/>
      </c>
      <c r="F28" s="19">
        <f>IF($A28&gt;F$27,(SUMPRODUCT(DCF_Base!$C$19:$L$19/(1+$A28)^DCF_Base!$C$4:$L$4)+MAX(0,MIN(IF($A28&gt;F$27,DCF_Base!$L$19*(1+F$27)/($A28-F$27),0),Assumptions!$B$9*DCF_Base!$L$19))/(1+$A28)^10-Assumptions!$B$6)/Assumptions!$B$5,"n/a")</f>
        <v/>
      </c>
    </row>
    <row r="29">
      <c r="A29" s="9" t="n">
        <v>0.08</v>
      </c>
      <c r="B29" s="19">
        <f>IF($A29&gt;B$27,(SUMPRODUCT(DCF_Base!$C$19:$L$19/(1+$A29)^DCF_Base!$C$4:$L$4)+MAX(0,MIN(IF($A29&gt;B$27,DCF_Base!$L$19*(1+B$27)/($A29-B$27),0),Assumptions!$B$9*DCF_Base!$L$19))/(1+$A29)^10-Assumptions!$B$6)/Assumptions!$B$5,"n/a")</f>
        <v/>
      </c>
      <c r="C29" s="19">
        <f>IF($A29&gt;C$27,(SUMPRODUCT(DCF_Base!$C$19:$L$19/(1+$A29)^DCF_Base!$C$4:$L$4)+MAX(0,MIN(IF($A29&gt;C$27,DCF_Base!$L$19*(1+C$27)/($A29-C$27),0),Assumptions!$B$9*DCF_Base!$L$19))/(1+$A29)^10-Assumptions!$B$6)/Assumptions!$B$5,"n/a")</f>
        <v/>
      </c>
      <c r="D29" s="19">
        <f>IF($A29&gt;D$27,(SUMPRODUCT(DCF_Base!$C$19:$L$19/(1+$A29)^DCF_Base!$C$4:$L$4)+MAX(0,MIN(IF($A29&gt;D$27,DCF_Base!$L$19*(1+D$27)/($A29-D$27),0),Assumptions!$B$9*DCF_Base!$L$19))/(1+$A29)^10-Assumptions!$B$6)/Assumptions!$B$5,"n/a")</f>
        <v/>
      </c>
      <c r="E29" s="19">
        <f>IF($A29&gt;E$27,(SUMPRODUCT(DCF_Base!$C$19:$L$19/(1+$A29)^DCF_Base!$C$4:$L$4)+MAX(0,MIN(IF($A29&gt;E$27,DCF_Base!$L$19*(1+E$27)/($A29-E$27),0),Assumptions!$B$9*DCF_Base!$L$19))/(1+$A29)^10-Assumptions!$B$6)/Assumptions!$B$5,"n/a")</f>
        <v/>
      </c>
      <c r="F29" s="19">
        <f>IF($A29&gt;F$27,(SUMPRODUCT(DCF_Base!$C$19:$L$19/(1+$A29)^DCF_Base!$C$4:$L$4)+MAX(0,MIN(IF($A29&gt;F$27,DCF_Base!$L$19*(1+F$27)/($A29-F$27),0),Assumptions!$B$9*DCF_Base!$L$19))/(1+$A29)^10-Assumptions!$B$6)/Assumptions!$B$5,"n/a")</f>
        <v/>
      </c>
    </row>
    <row r="30">
      <c r="A30" s="9" t="n">
        <v>0.09</v>
      </c>
      <c r="B30" s="19">
        <f>IF($A30&gt;B$27,(SUMPRODUCT(DCF_Base!$C$19:$L$19/(1+$A30)^DCF_Base!$C$4:$L$4)+MAX(0,MIN(IF($A30&gt;B$27,DCF_Base!$L$19*(1+B$27)/($A30-B$27),0),Assumptions!$B$9*DCF_Base!$L$19))/(1+$A30)^10-Assumptions!$B$6)/Assumptions!$B$5,"n/a")</f>
        <v/>
      </c>
      <c r="C30" s="19">
        <f>IF($A30&gt;C$27,(SUMPRODUCT(DCF_Base!$C$19:$L$19/(1+$A30)^DCF_Base!$C$4:$L$4)+MAX(0,MIN(IF($A30&gt;C$27,DCF_Base!$L$19*(1+C$27)/($A30-C$27),0),Assumptions!$B$9*DCF_Base!$L$19))/(1+$A30)^10-Assumptions!$B$6)/Assumptions!$B$5,"n/a")</f>
        <v/>
      </c>
      <c r="D30" s="21">
        <f>IF($A30&gt;D$27,(SUMPRODUCT(DCF_Base!$C$19:$L$19/(1+$A30)^DCF_Base!$C$4:$L$4)+MAX(0,MIN(IF($A30&gt;D$27,DCF_Base!$L$19*(1+D$27)/($A30-D$27),0),Assumptions!$B$9*DCF_Base!$L$19))/(1+$A30)^10-Assumptions!$B$6)/Assumptions!$B$5,"n/a")</f>
        <v/>
      </c>
      <c r="E30" s="19">
        <f>IF($A30&gt;E$27,(SUMPRODUCT(DCF_Base!$C$19:$L$19/(1+$A30)^DCF_Base!$C$4:$L$4)+MAX(0,MIN(IF($A30&gt;E$27,DCF_Base!$L$19*(1+E$27)/($A30-E$27),0),Assumptions!$B$9*DCF_Base!$L$19))/(1+$A30)^10-Assumptions!$B$6)/Assumptions!$B$5,"n/a")</f>
        <v/>
      </c>
      <c r="F30" s="19">
        <f>IF($A30&gt;F$27,(SUMPRODUCT(DCF_Base!$C$19:$L$19/(1+$A30)^DCF_Base!$C$4:$L$4)+MAX(0,MIN(IF($A30&gt;F$27,DCF_Base!$L$19*(1+F$27)/($A30-F$27),0),Assumptions!$B$9*DCF_Base!$L$19))/(1+$A30)^10-Assumptions!$B$6)/Assumptions!$B$5,"n/a")</f>
        <v/>
      </c>
    </row>
    <row r="31">
      <c r="A31" s="9" t="n">
        <v>0.1</v>
      </c>
      <c r="B31" s="19">
        <f>IF($A31&gt;B$27,(SUMPRODUCT(DCF_Base!$C$19:$L$19/(1+$A31)^DCF_Base!$C$4:$L$4)+MAX(0,MIN(IF($A31&gt;B$27,DCF_Base!$L$19*(1+B$27)/($A31-B$27),0),Assumptions!$B$9*DCF_Base!$L$19))/(1+$A31)^10-Assumptions!$B$6)/Assumptions!$B$5,"n/a")</f>
        <v/>
      </c>
      <c r="C31" s="19">
        <f>IF($A31&gt;C$27,(SUMPRODUCT(DCF_Base!$C$19:$L$19/(1+$A31)^DCF_Base!$C$4:$L$4)+MAX(0,MIN(IF($A31&gt;C$27,DCF_Base!$L$19*(1+C$27)/($A31-C$27),0),Assumptions!$B$9*DCF_Base!$L$19))/(1+$A31)^10-Assumptions!$B$6)/Assumptions!$B$5,"n/a")</f>
        <v/>
      </c>
      <c r="D31" s="19">
        <f>IF($A31&gt;D$27,(SUMPRODUCT(DCF_Base!$C$19:$L$19/(1+$A31)^DCF_Base!$C$4:$L$4)+MAX(0,MIN(IF($A31&gt;D$27,DCF_Base!$L$19*(1+D$27)/($A31-D$27),0),Assumptions!$B$9*DCF_Base!$L$19))/(1+$A31)^10-Assumptions!$B$6)/Assumptions!$B$5,"n/a")</f>
        <v/>
      </c>
      <c r="E31" s="19">
        <f>IF($A31&gt;E$27,(SUMPRODUCT(DCF_Base!$C$19:$L$19/(1+$A31)^DCF_Base!$C$4:$L$4)+MAX(0,MIN(IF($A31&gt;E$27,DCF_Base!$L$19*(1+E$27)/($A31-E$27),0),Assumptions!$B$9*DCF_Base!$L$19))/(1+$A31)^10-Assumptions!$B$6)/Assumptions!$B$5,"n/a")</f>
        <v/>
      </c>
      <c r="F31" s="19">
        <f>IF($A31&gt;F$27,(SUMPRODUCT(DCF_Base!$C$19:$L$19/(1+$A31)^DCF_Base!$C$4:$L$4)+MAX(0,MIN(IF($A31&gt;F$27,DCF_Base!$L$19*(1+F$27)/($A31-F$27),0),Assumptions!$B$9*DCF_Base!$L$19))/(1+$A31)^10-Assumptions!$B$6)/Assumptions!$B$5,"n/a")</f>
        <v/>
      </c>
    </row>
    <row r="32">
      <c r="A32" s="9" t="n">
        <v>0.11</v>
      </c>
      <c r="B32" s="19">
        <f>IF($A32&gt;B$27,(SUMPRODUCT(DCF_Base!$C$19:$L$19/(1+$A32)^DCF_Base!$C$4:$L$4)+MAX(0,MIN(IF($A32&gt;B$27,DCF_Base!$L$19*(1+B$27)/($A32-B$27),0),Assumptions!$B$9*DCF_Base!$L$19))/(1+$A32)^10-Assumptions!$B$6)/Assumptions!$B$5,"n/a")</f>
        <v/>
      </c>
      <c r="C32" s="19">
        <f>IF($A32&gt;C$27,(SUMPRODUCT(DCF_Base!$C$19:$L$19/(1+$A32)^DCF_Base!$C$4:$L$4)+MAX(0,MIN(IF($A32&gt;C$27,DCF_Base!$L$19*(1+C$27)/($A32-C$27),0),Assumptions!$B$9*DCF_Base!$L$19))/(1+$A32)^10-Assumptions!$B$6)/Assumptions!$B$5,"n/a")</f>
        <v/>
      </c>
      <c r="D32" s="19">
        <f>IF($A32&gt;D$27,(SUMPRODUCT(DCF_Base!$C$19:$L$19/(1+$A32)^DCF_Base!$C$4:$L$4)+MAX(0,MIN(IF($A32&gt;D$27,DCF_Base!$L$19*(1+D$27)/($A32-D$27),0),Assumptions!$B$9*DCF_Base!$L$19))/(1+$A32)^10-Assumptions!$B$6)/Assumptions!$B$5,"n/a")</f>
        <v/>
      </c>
      <c r="E32" s="19">
        <f>IF($A32&gt;E$27,(SUMPRODUCT(DCF_Base!$C$19:$L$19/(1+$A32)^DCF_Base!$C$4:$L$4)+MAX(0,MIN(IF($A32&gt;E$27,DCF_Base!$L$19*(1+E$27)/($A32-E$27),0),Assumptions!$B$9*DCF_Base!$L$19))/(1+$A32)^10-Assumptions!$B$6)/Assumptions!$B$5,"n/a")</f>
        <v/>
      </c>
      <c r="F32" s="19">
        <f>IF($A32&gt;F$27,(SUMPRODUCT(DCF_Base!$C$19:$L$19/(1+$A32)^DCF_Base!$C$4:$L$4)+MAX(0,MIN(IF($A32&gt;F$27,DCF_Base!$L$19*(1+F$27)/($A32-F$27),0),Assumptions!$B$9*DCF_Base!$L$19))/(1+$A32)^10-Assumptions!$B$6)/Assumptions!$B$5,"n/a")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2026-09-21T11:46:43Z</dcterms:created>
  <dcterms:modified xsi:type="dcterms:W3CDTF">2026-09-21T11:46:43Z</dcterms:modified>
</cp:coreProperties>
</file>