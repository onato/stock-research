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<sst xmlns="http://schemas.openxmlformats.org/spreadsheetml/2006/main" count="358" uniqueCount="166">
  <si>
    <t xml:space="preserve">Ticker</t>
  </si>
  <si>
    <t xml:space="preserve">2020.HK</t>
  </si>
  <si>
    <t xml:space="preserve">Company</t>
  </si>
  <si>
    <t xml:space="preserve">ANTA Sports Products Limited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</si>
  <si>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</si>
  <si>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</si>
  <si>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</si>
  <si>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</si>
  <si>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(HKEX regular close, 16:08 HKT)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</si>
  <si>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</si>
  <si>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</si>
  <si>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</si>
  <si>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</si>
  <si>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</si>
  <si>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</si>
  <si>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</si>
  <si>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</si>
  <si>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</si>
  <si>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</si>
  <si>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</si>
  <si>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</si>
  <si>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</si>
  <si>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2026-10-17T01:49:31Z</t>
  </si>
  <si>
    <t xml:space="preserve">Drivers file</t>
  </si>
  <si>
    <t xml:space="preserve">2020.HK_Drivers.json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</si>
  <si>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</si>
  <si>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</si>
  <si>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</si>
  <si>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ANTA is valued as an operating business plus two listed stakes. The operating DCF charges leases as an operating cost, folds the ~15% minority share into a combined leakage rate, strips interest income, and values the operating flows at a 10% RMB cost of equity; the Amer Sports stake and the pending PUMA stake are marked to market and added with net cash. Much of the gap between price and value is the market applying a China-consumer discount the 10% WACC only partly captures; the required-return table shows what IRR today's price implies.
key_risks_to_valuation: China discretionary consumption and sportswear price competition (ANTA brand only +4.8% in H1 FY2026); FILA fashion-cycle reversal risk; Government subsidies (RMB2,780m FY2025, ~3.5% of revenue) inside operating profit could be cut; Amer Sports and PUMA stakes carry market and FX risk; together RMB47bn of bridge value, roughly a quarter of the market cap; PUMA bought at EUR35 vs EUR24 market; capital allocation to premium-priced minority stakes; Part of the cash sits in non-wholly-owned subsidiaries and is not fully attributable; June cash includes H1 seasonal inflow; 2029 CB converts at HKD99.80; in the bull case the count rises ~4.4% (treated here as debt at principal); RMB/HKD FX: per-share values move one-for-one with CNYHKD</t>
  </si>
  <si>
    <t xml:space="preserve">Data sources</t>
  </si>
  <si>
    <t xml:space="preserve">price: Yahoo Finance chart API at inputs.price_as_of; 52-week range 66.85-89.30 HKD. FX from Yahoo CNYHKD=X, USDCNY=X, EURCNY=X, HKD=X; Amer Sports (AS, NYSE) and PUMA (PUM.DE) quotes from the same API on 2026-10-16.
financials: ANTA annual reports FY2018-FY2025 and interim reports H1 FY2024-H1 FY2026 (research/2020.HK/Extracted), via 2020.HK_Metrics.csv; balance sheet, net cash table, CB and associate notes read directly from the H1 FY2026 interim report.
qualitative: Interim report FY2026 MD&amp;A and outlook; 2020.HK_Analysis.json was not yet available when this was built.</t>
  </si>
  <si>
    <t xml:space="preserve">Scenario narrative: bear</t>
  </si>
  <si>
    <t xml:space="preserve">China sportswear enters a prolonged price war: the ANTA brand stagnates as domestic rivals and Nike/Adidas discount, FILA's fashion cycle rolls over as it did in 2022 (FILA has a history of sharp reversals), the outdoor boom fades and DESCENTE/KOLON growth collapses to mid-single digits, and local-government subsidies (RMB2.8bn, ~14% of operating profit) are cut. Inventory builds force discounting; pre-lease EBITDA margin falls ~3pp to 29%. Capital allocation to Amer/PUMA is at premium prices with weak returns.</t>
  </si>
  <si>
    <t xml:space="preserve">Scenario narrative: base</t>
  </si>
  <si>
    <t xml:space="preserve">ANTA brand grows low-to-mid single digit in a deflationary China mass market, defending share against Li Ning, Xtep and 361 Degrees through value pricing and kids/outlet channels; FILA keeps mid-single-digit growth with stable ~68% gross margins in premium sports-fashion; DESCENTE and KOLON SPORT carry group growth on the premium-outdoor boom but decelerate from 40%+ as the category matures; JACK WOLFSKIN's revitalisation is slow and roughly margin-neutral. Government subsidies persist at ~3% of revenue. Amer Sports and the pending PUMA stake are valued at market, not on synergy.</t>
  </si>
  <si>
    <t xml:space="preserve">Scenario narrative: bull</t>
  </si>
  <si>
    <t xml:space="preserve">China discretionary demand recovers with stimulus and the outdoor/premium mix shift continues: DESCENTE and KOLON sustain 25%+ growth for several years, FILA re-accelerates, overseas expansion (Southeast Asia, Middle East, US via the Amer network) and a revitalised JACK WOLFSKIN add a second growth engine, and PUMA as an associate opens global sourcing and distribution synergies. Operating leverage and DTC efficiency lift pre-lease EBITDA margin to 33.5% and lease cost dilutes as sales per store rise.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</si>
  <si>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</si>
  <si>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</si>
  <si>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</si>
  <si>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</si>
  <si>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</si>
  <si>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</si>
  <si>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</si>
  <si>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</si>
  <si>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</si>
  <si>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</si>
  <si>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</si>
  <si>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</si>
  <si>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</si>
  <si>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</si>
  <si>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</si>
  <si>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</si>
  <si>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</si>
  <si>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</si>
  <si>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</si>
  <si>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</si>
  <si>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</si>
  <si>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</si>
  <si>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</si>
  <si>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</si>
  <si>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</si>
  <si>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</si>
  <si>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</si>
  <si>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EPSBasic</t>
  </si>
  <si>
    <t xml:space="preserve">NetIncomeInclNCI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</si>
  <si>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</si>
  <si>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</si>
  <si>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</si>
  <si>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</si>
  <si>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</si>
  <si>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</si>
  <si>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</si>
  <si>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</si>
  <si>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</si>
  <si>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</si>
  <si>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</si>
  <si>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</si>
  <si>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</si>
  <si>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</si>
  <si>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</si>
  <si>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</si>
  <si>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</si>
  <si>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</si>
  <si>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</si>
  <si>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</si>
  <si>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</si>
  <si>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</si>
  <si>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</si>
  <si>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</si>
  <si>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</si>
  <si>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</si>
  <si>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</si>
  <si>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</si>
  <si>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</si>
  <si>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</si>
  <si>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</si>
  <si>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</si>
  <si>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</si>
  <si>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</si>
  <si>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</si>
  <si>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</si>
  <si>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</si>
  <si>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</si>
  <si>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</si>
  <si>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</si>
  <si>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</si>
  <si>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</si>
  <si>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</si>
  <si>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</si>
  <si>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</si>
  <si>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</si>
  <si>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2020.HK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</si>
  <si>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</si>
  <si>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</si>
  <si>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</si>
  <si>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</si>
  <si>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</si>
  <si>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</si>
  <si>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</si>
  <si>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</si>
  <si>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</si>
  <si>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</si>
  <si>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</si>
  <si>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</si>
  <si>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</si>
  <si>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</si>
  <si>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</si>
  <si>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</si>
  <si>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</si>
  <si>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</si>
  <si>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</si>
  <si>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</si>
  <si>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</si>
  <si>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</si>
  <si>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</si>
  <si>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</si>
  <si>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</si>
  <si>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</si>
  <si>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</si>
  <si>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</si>
  <si>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</si>
  <si>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</si>
  <si>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2020.HK owner-FCF component DCF: base case (millions, CNY)</t>
  </si>
  <si>
    <t xml:space="preserve">2020.HK owner-FCF component DCF: bull case (millions, CNY)</t>
  </si>
  <si>
    <t xml:space="preserve">2020.HK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</si>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</sst>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77.95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16692.5</v>
      </c>
      <c r="C2" s="0" t="n">
        <v>8451.3</v>
      </c>
      <c r="D2" s="0" t="n">
        <v>8241.2</v>
      </c>
      <c r="E2" s="0" t="n">
        <v>49.4</v>
      </c>
      <c r="F2" s="0" t="n">
        <v>3988.7</v>
      </c>
      <c r="G2" s="0" t="n">
        <v>23.9</v>
      </c>
      <c r="H2" s="0" t="n">
        <v>4239</v>
      </c>
      <c r="I2" s="0" t="n">
        <v>3088</v>
      </c>
      <c r="J2" s="0" t="n">
        <v>18.5</v>
      </c>
      <c r="K2" s="0" t="n">
        <v>1.17</v>
      </c>
      <c r="L2" s="0" t="n">
        <v>3181.5</v>
      </c>
      <c r="M2" s="0" t="n">
        <v>89.2</v>
      </c>
      <c r="N2" s="0" t="n">
        <v>3092.3</v>
      </c>
      <c r="O2" s="0" t="n">
        <v>13706.4</v>
      </c>
      <c r="P2" s="0" t="n">
        <v>19074.2</v>
      </c>
      <c r="Q2" s="0" t="n">
        <v>4713.7</v>
      </c>
      <c r="R2" s="0" t="n">
        <v>147.9</v>
      </c>
      <c r="S2" s="0" t="n">
        <v>9404</v>
      </c>
      <c r="U2" s="0" t="n">
        <v>0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67</v>
      </c>
      <c r="B3" s="0" t="n">
        <v>24100</v>
      </c>
      <c r="C3" s="0" t="n">
        <v>11412.8</v>
      </c>
      <c r="D3" s="0" t="n">
        <v>12687.3</v>
      </c>
      <c r="E3" s="0" t="n">
        <v>52.6</v>
      </c>
      <c r="F3" s="0" t="n">
        <v>5699.8</v>
      </c>
      <c r="G3" s="0" t="n">
        <v>23.7</v>
      </c>
      <c r="H3" s="0" t="n">
        <v>6042</v>
      </c>
      <c r="I3" s="0" t="n">
        <v>4103</v>
      </c>
      <c r="J3" s="0" t="n">
        <v>17</v>
      </c>
      <c r="K3" s="0" t="n">
        <v>1.53</v>
      </c>
      <c r="L3" s="0" t="n">
        <v>4439.7</v>
      </c>
      <c r="M3" s="0" t="n">
        <v>527.9</v>
      </c>
      <c r="N3" s="0" t="n">
        <v>3911.8</v>
      </c>
      <c r="O3" s="0" t="n">
        <v>15777.3</v>
      </c>
      <c r="P3" s="0" t="n">
        <v>24374.2</v>
      </c>
      <c r="Q3" s="0" t="n">
        <v>7854.4</v>
      </c>
      <c r="R3" s="0" t="n">
        <v>1313.6</v>
      </c>
      <c r="S3" s="0" t="n">
        <v>10091.5</v>
      </c>
      <c r="T3" s="0" t="n">
        <v>2687.1</v>
      </c>
      <c r="U3" s="0" t="n">
        <v>0</v>
      </c>
      <c r="AA3" s="0" t="s">
        <v>18</v>
      </c>
      <c r="AB3" s="0" t="s">
        <v>14</v>
      </c>
      <c r="AC3" s="0" t="n">
        <v>1.53</v>
      </c>
      <c r="AD3" s="0" t="n">
        <v>4234.2</v>
      </c>
    </row>
    <row r="4" customFormat="false" ht="15" hidden="false" customHeight="false" outlineLevel="0" collapsed="false">
      <c r="A4" s="0" t="s">
        <v>68</v>
      </c>
      <c r="B4" s="0" t="n">
        <v>33927.8</v>
      </c>
      <c r="C4" s="0" t="n">
        <v>15268.9</v>
      </c>
      <c r="D4" s="0" t="n">
        <v>18659</v>
      </c>
      <c r="E4" s="0" t="n">
        <v>55</v>
      </c>
      <c r="F4" s="0" t="n">
        <v>8694.7</v>
      </c>
      <c r="G4" s="0" t="n">
        <v>25.6</v>
      </c>
      <c r="H4" s="0" t="n">
        <v>10163.8</v>
      </c>
      <c r="I4" s="0" t="n">
        <v>5344</v>
      </c>
      <c r="J4" s="0" t="n">
        <v>15.8</v>
      </c>
      <c r="K4" s="0" t="n">
        <v>1.99</v>
      </c>
      <c r="L4" s="0" t="n">
        <v>7485</v>
      </c>
      <c r="M4" s="0" t="n">
        <v>901.1</v>
      </c>
      <c r="N4" s="0" t="n">
        <v>6583.9</v>
      </c>
      <c r="O4" s="0" t="n">
        <v>20081.7</v>
      </c>
      <c r="P4" s="0" t="n">
        <v>41218.4</v>
      </c>
      <c r="Q4" s="0" t="n">
        <v>20157.3</v>
      </c>
      <c r="R4" s="0" t="n">
        <v>9203</v>
      </c>
      <c r="S4" s="0" t="n">
        <v>12602.7</v>
      </c>
      <c r="T4" s="0" t="n">
        <v>2692.2</v>
      </c>
      <c r="U4" s="0" t="n">
        <v>87.7</v>
      </c>
      <c r="AA4" s="0" t="s">
        <v>18</v>
      </c>
      <c r="AB4" s="0" t="s">
        <v>14</v>
      </c>
      <c r="AC4" s="0" t="n">
        <v>1.99</v>
      </c>
      <c r="AD4" s="0" t="n">
        <v>5624.1</v>
      </c>
    </row>
    <row r="5" customFormat="false" ht="15" hidden="false" customHeight="false" outlineLevel="0" collapsed="false">
      <c r="A5" s="0" t="s">
        <v>69</v>
      </c>
      <c r="B5" s="0" t="n">
        <v>35512</v>
      </c>
      <c r="C5" s="0" t="n">
        <v>14861</v>
      </c>
      <c r="D5" s="0" t="n">
        <v>20651</v>
      </c>
      <c r="E5" s="0" t="n">
        <v>58.2</v>
      </c>
      <c r="F5" s="0" t="n">
        <v>9152</v>
      </c>
      <c r="G5" s="0" t="n">
        <v>25.8</v>
      </c>
      <c r="H5" s="0" t="n">
        <v>11231</v>
      </c>
      <c r="I5" s="0" t="n">
        <v>5162</v>
      </c>
      <c r="J5" s="0" t="n">
        <v>14.5</v>
      </c>
      <c r="K5" s="0" t="n">
        <v>1.89</v>
      </c>
      <c r="L5" s="0" t="n">
        <v>7458</v>
      </c>
      <c r="M5" s="0" t="n">
        <v>508</v>
      </c>
      <c r="N5" s="0" t="n">
        <v>6950</v>
      </c>
      <c r="O5" s="0" t="n">
        <v>24013</v>
      </c>
      <c r="P5" s="0" t="n">
        <v>51867</v>
      </c>
      <c r="Q5" s="0" t="n">
        <v>26043</v>
      </c>
      <c r="R5" s="0" t="n">
        <v>14424</v>
      </c>
      <c r="S5" s="0" t="n">
        <v>20346</v>
      </c>
      <c r="T5" s="0" t="n">
        <v>2768.2</v>
      </c>
      <c r="U5" s="0" t="n">
        <v>324</v>
      </c>
      <c r="AA5" s="0" t="s">
        <v>18</v>
      </c>
      <c r="AB5" s="0" t="s">
        <v>14</v>
      </c>
      <c r="AC5" s="0" t="n">
        <v>1.92</v>
      </c>
      <c r="AD5" s="0" t="n">
        <v>5569</v>
      </c>
    </row>
    <row r="6" customFormat="false" ht="15" hidden="false" customHeight="false" outlineLevel="0" collapsed="false">
      <c r="A6" s="0" t="s">
        <v>70</v>
      </c>
      <c r="B6" s="0" t="n">
        <v>49328</v>
      </c>
      <c r="C6" s="0" t="n">
        <v>18924</v>
      </c>
      <c r="D6" s="0" t="n">
        <v>30404</v>
      </c>
      <c r="E6" s="0" t="n">
        <v>61.6</v>
      </c>
      <c r="F6" s="0" t="n">
        <v>10989</v>
      </c>
      <c r="G6" s="0" t="n">
        <v>22.3</v>
      </c>
      <c r="H6" s="0" t="n">
        <v>14255</v>
      </c>
      <c r="I6" s="0" t="n">
        <v>7720</v>
      </c>
      <c r="J6" s="0" t="n">
        <v>15.7</v>
      </c>
      <c r="K6" s="0" t="n">
        <v>2.81</v>
      </c>
      <c r="L6" s="0" t="n">
        <v>11861</v>
      </c>
      <c r="M6" s="0" t="n">
        <v>873</v>
      </c>
      <c r="N6" s="0" t="n">
        <v>10988</v>
      </c>
      <c r="O6" s="0" t="n">
        <v>28923</v>
      </c>
      <c r="P6" s="0" t="n">
        <v>62668</v>
      </c>
      <c r="Q6" s="0" t="n">
        <v>31005</v>
      </c>
      <c r="R6" s="0" t="n">
        <v>13173</v>
      </c>
      <c r="S6" s="0" t="n">
        <v>24577</v>
      </c>
      <c r="T6" s="0" t="n">
        <v>2775.9</v>
      </c>
      <c r="U6" s="0" t="n">
        <v>168</v>
      </c>
      <c r="AA6" s="0" t="s">
        <v>18</v>
      </c>
      <c r="AB6" s="0" t="s">
        <v>14</v>
      </c>
      <c r="AC6" s="0" t="n">
        <v>2.87</v>
      </c>
      <c r="AD6" s="0" t="n">
        <v>8219</v>
      </c>
    </row>
    <row r="7" customFormat="false" ht="15" hidden="false" customHeight="false" outlineLevel="0" collapsed="false">
      <c r="A7" s="0" t="s">
        <v>71</v>
      </c>
      <c r="B7" s="0" t="n">
        <v>53651</v>
      </c>
      <c r="C7" s="0" t="n">
        <v>21333</v>
      </c>
      <c r="D7" s="0" t="n">
        <v>32318</v>
      </c>
      <c r="E7" s="0" t="n">
        <v>60.2</v>
      </c>
      <c r="F7" s="0" t="n">
        <v>11230</v>
      </c>
      <c r="G7" s="0" t="n">
        <v>20.9</v>
      </c>
      <c r="H7" s="0" t="n">
        <v>15694</v>
      </c>
      <c r="I7" s="0" t="n">
        <v>7590</v>
      </c>
      <c r="J7" s="0" t="n">
        <v>14.1</v>
      </c>
      <c r="K7" s="0" t="n">
        <v>2.76</v>
      </c>
      <c r="L7" s="0" t="n">
        <v>12147</v>
      </c>
      <c r="M7" s="0" t="n">
        <v>1089</v>
      </c>
      <c r="N7" s="0" t="n">
        <v>11058</v>
      </c>
      <c r="O7" s="0" t="n">
        <v>34400</v>
      </c>
      <c r="P7" s="0" t="n">
        <v>69195</v>
      </c>
      <c r="Q7" s="0" t="n">
        <v>31356</v>
      </c>
      <c r="R7" s="0" t="n">
        <v>12690</v>
      </c>
      <c r="S7" s="0" t="n">
        <v>27683</v>
      </c>
      <c r="T7" s="0" t="n">
        <v>2781</v>
      </c>
      <c r="U7" s="0" t="n">
        <v>250</v>
      </c>
      <c r="AA7" s="0" t="s">
        <v>18</v>
      </c>
      <c r="AB7" s="0" t="s">
        <v>14</v>
      </c>
      <c r="AC7" s="0" t="n">
        <v>2.82</v>
      </c>
      <c r="AD7" s="0" t="n">
        <v>8245</v>
      </c>
    </row>
    <row r="8" customFormat="false" ht="15" hidden="false" customHeight="false" outlineLevel="0" collapsed="false">
      <c r="A8" s="0" t="s">
        <v>72</v>
      </c>
      <c r="B8" s="0" t="n">
        <v>62356</v>
      </c>
      <c r="C8" s="0" t="n">
        <v>23328</v>
      </c>
      <c r="D8" s="0" t="n">
        <v>39028</v>
      </c>
      <c r="E8" s="0" t="n">
        <v>62.6</v>
      </c>
      <c r="F8" s="0" t="n">
        <v>15367</v>
      </c>
      <c r="G8" s="0" t="n">
        <v>24.6</v>
      </c>
      <c r="H8" s="0" t="n">
        <v>20354</v>
      </c>
      <c r="I8" s="0" t="n">
        <v>10236</v>
      </c>
      <c r="J8" s="0" t="n">
        <v>16.4</v>
      </c>
      <c r="K8" s="0" t="n">
        <v>3.6</v>
      </c>
      <c r="L8" s="0" t="n">
        <v>19634</v>
      </c>
      <c r="M8" s="0" t="n">
        <v>977</v>
      </c>
      <c r="N8" s="0" t="n">
        <v>18657</v>
      </c>
      <c r="O8" s="0" t="n">
        <v>51460</v>
      </c>
      <c r="P8" s="0" t="n">
        <v>92228</v>
      </c>
      <c r="Q8" s="0" t="n">
        <v>36218</v>
      </c>
      <c r="R8" s="0" t="n">
        <v>14944</v>
      </c>
      <c r="S8" s="0" t="n">
        <v>36676</v>
      </c>
      <c r="T8" s="0" t="n">
        <v>2867.1</v>
      </c>
      <c r="U8" s="0" t="n">
        <v>215</v>
      </c>
      <c r="AA8" s="0" t="s">
        <v>18</v>
      </c>
      <c r="AB8" s="0" t="s">
        <v>14</v>
      </c>
      <c r="AC8" s="0" t="n">
        <v>3.69</v>
      </c>
      <c r="AD8" s="0" t="n">
        <v>11277</v>
      </c>
    </row>
    <row r="9" customFormat="false" ht="15" hidden="false" customHeight="false" outlineLevel="0" collapsed="false">
      <c r="A9" s="0" t="s">
        <v>73</v>
      </c>
      <c r="B9" s="0" t="n">
        <v>70826</v>
      </c>
      <c r="C9" s="0" t="n">
        <v>26794</v>
      </c>
      <c r="D9" s="0" t="n">
        <v>44032</v>
      </c>
      <c r="E9" s="0" t="n">
        <v>62.2</v>
      </c>
      <c r="F9" s="0" t="n">
        <v>16595</v>
      </c>
      <c r="G9" s="0" t="n">
        <v>23.4</v>
      </c>
      <c r="H9" s="0" t="n">
        <v>22066</v>
      </c>
      <c r="I9" s="0" t="n">
        <v>15596</v>
      </c>
      <c r="J9" s="0" t="n">
        <v>22</v>
      </c>
      <c r="K9" s="0" t="n">
        <v>5.41</v>
      </c>
      <c r="L9" s="0" t="n">
        <v>16741</v>
      </c>
      <c r="M9" s="0" t="n">
        <v>2614</v>
      </c>
      <c r="N9" s="0" t="n">
        <v>14127</v>
      </c>
      <c r="O9" s="0" t="n">
        <v>61729</v>
      </c>
      <c r="P9" s="0" t="n">
        <v>112615</v>
      </c>
      <c r="Q9" s="0" t="n">
        <v>45876</v>
      </c>
      <c r="R9" s="0" t="n">
        <v>20816</v>
      </c>
      <c r="S9" s="0" t="n">
        <v>30427</v>
      </c>
      <c r="T9" s="0" t="n">
        <v>2906</v>
      </c>
      <c r="U9" s="0" t="n">
        <v>275</v>
      </c>
      <c r="AA9" s="0" t="s">
        <v>18</v>
      </c>
      <c r="AB9" s="0" t="s">
        <v>14</v>
      </c>
      <c r="AC9" s="0" t="n">
        <v>5.55</v>
      </c>
      <c r="AD9" s="0" t="n">
        <v>16989</v>
      </c>
    </row>
    <row r="10" customFormat="false" ht="15" hidden="false" customHeight="false" outlineLevel="0" collapsed="false">
      <c r="A10" s="0" t="s">
        <v>74</v>
      </c>
      <c r="B10" s="0" t="n">
        <v>80219</v>
      </c>
      <c r="C10" s="0" t="n">
        <v>30485</v>
      </c>
      <c r="D10" s="0" t="n">
        <v>49734</v>
      </c>
      <c r="E10" s="0" t="n">
        <v>62</v>
      </c>
      <c r="F10" s="0" t="n">
        <v>19091</v>
      </c>
      <c r="G10" s="0" t="n">
        <v>23.8</v>
      </c>
      <c r="H10" s="0" t="n">
        <v>25426</v>
      </c>
      <c r="I10" s="0" t="n">
        <v>13588</v>
      </c>
      <c r="J10" s="0" t="n">
        <v>16.9</v>
      </c>
      <c r="K10" s="0" t="n">
        <v>4.8</v>
      </c>
      <c r="L10" s="0" t="n">
        <v>20996</v>
      </c>
      <c r="M10" s="0" t="n">
        <v>1419</v>
      </c>
      <c r="N10" s="0" t="n">
        <v>19577</v>
      </c>
      <c r="O10" s="0" t="n">
        <v>65782</v>
      </c>
      <c r="P10" s="0" t="n">
        <v>124295</v>
      </c>
      <c r="Q10" s="0" t="n">
        <v>51890</v>
      </c>
      <c r="R10" s="0" t="n">
        <v>23302</v>
      </c>
      <c r="S10" s="0" t="n">
        <v>36456</v>
      </c>
      <c r="T10" s="0" t="n">
        <v>2904</v>
      </c>
      <c r="U10" s="0" t="n">
        <v>324</v>
      </c>
      <c r="AA10" s="0" t="s">
        <v>18</v>
      </c>
      <c r="AB10" s="0" t="s">
        <v>14</v>
      </c>
      <c r="AC10" s="0" t="n">
        <v>4.89</v>
      </c>
      <c r="AD10" s="0" t="n">
        <v>15662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77.95</v>
      </c>
    </row>
    <row r="3" customFormat="false" ht="15" hidden="false" customHeight="false" outlineLevel="0" collapsed="false">
      <c r="A3" s="0" t="s">
        <v>78</v>
      </c>
      <c r="B3" s="3" t="n">
        <v>2771</v>
      </c>
    </row>
    <row r="4" customFormat="false" ht="15" hidden="false" customHeight="false" outlineLevel="0" collapsed="false">
      <c r="A4" s="0" t="s">
        <v>79</v>
      </c>
      <c r="B4" s="3" t="n">
        <v>-37838</v>
      </c>
    </row>
    <row r="5" customFormat="false" ht="15" hidden="false" customHeight="false" outlineLevel="0" collapsed="false">
      <c r="A5" s="0" t="s">
        <v>80</v>
      </c>
      <c r="B5" s="3" t="n">
        <v>34785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80219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1.1724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8</v>
      </c>
      <c r="D13" s="3" t="n">
        <v>5</v>
      </c>
      <c r="E13" s="3" t="n">
        <v>4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99</v>
      </c>
      <c r="C14" s="3" t="n">
        <v>31.5</v>
      </c>
      <c r="D14" s="3" t="n">
        <v>30.5</v>
      </c>
      <c r="E14" s="3" t="n">
        <v>29.8</v>
      </c>
      <c r="F14" s="3" t="n">
        <v>29.2</v>
      </c>
      <c r="G14" s="3" t="n">
        <v>29</v>
      </c>
      <c r="H14" s="3" t="n">
        <v>29</v>
      </c>
      <c r="I14" s="3" t="n">
        <v>29</v>
      </c>
      <c r="J14" s="3" t="n">
        <v>29</v>
      </c>
      <c r="K14" s="3" t="n">
        <v>29</v>
      </c>
      <c r="L14" s="3" t="n">
        <v>29</v>
      </c>
    </row>
    <row r="15" customFormat="false" ht="15" hidden="false" customHeight="false" outlineLevel="0" collapsed="false">
      <c r="A15" s="0" t="s">
        <v>100</v>
      </c>
      <c r="C15" s="3" t="n">
        <v>0.4</v>
      </c>
      <c r="D15" s="3" t="n">
        <v>0.4</v>
      </c>
      <c r="E15" s="3" t="n">
        <v>0.4</v>
      </c>
      <c r="F15" s="3" t="n">
        <v>0.4</v>
      </c>
      <c r="G15" s="3" t="n">
        <v>0.4</v>
      </c>
      <c r="H15" s="3" t="n">
        <v>0.4</v>
      </c>
      <c r="I15" s="3" t="n">
        <v>0.4</v>
      </c>
      <c r="J15" s="3" t="n">
        <v>0.4</v>
      </c>
      <c r="K15" s="3" t="n">
        <v>0.4</v>
      </c>
      <c r="L15" s="3" t="n">
        <v>0.4</v>
      </c>
    </row>
    <row r="16" customFormat="false" ht="15" hidden="false" customHeight="false" outlineLevel="0" collapsed="false">
      <c r="A16" s="0" t="s">
        <v>101</v>
      </c>
      <c r="C16" s="3" t="n">
        <v>5.9</v>
      </c>
      <c r="D16" s="3" t="n">
        <v>6</v>
      </c>
      <c r="E16" s="3" t="n">
        <v>6.1</v>
      </c>
      <c r="F16" s="3" t="n">
        <v>6.2</v>
      </c>
      <c r="G16" s="3" t="n">
        <v>6.2</v>
      </c>
      <c r="H16" s="3" t="n">
        <v>6.2</v>
      </c>
      <c r="I16" s="3" t="n">
        <v>6.2</v>
      </c>
      <c r="J16" s="3" t="n">
        <v>6.2</v>
      </c>
      <c r="K16" s="3" t="n">
        <v>6.2</v>
      </c>
      <c r="L16" s="3" t="n">
        <v>6.2</v>
      </c>
    </row>
    <row r="17" customFormat="false" ht="15" hidden="false" customHeight="false" outlineLevel="0" collapsed="false">
      <c r="A17" s="0" t="s">
        <v>102</v>
      </c>
      <c r="C17" s="3" t="n">
        <v>2.2</v>
      </c>
      <c r="D17" s="3" t="n">
        <v>2.3</v>
      </c>
      <c r="E17" s="3" t="n">
        <v>2.4</v>
      </c>
      <c r="F17" s="3" t="n">
        <v>2.5</v>
      </c>
      <c r="G17" s="3" t="n">
        <v>2.6</v>
      </c>
      <c r="H17" s="3" t="n">
        <v>2.7</v>
      </c>
      <c r="I17" s="3" t="n">
        <v>2.8</v>
      </c>
      <c r="J17" s="3" t="n">
        <v>2.8</v>
      </c>
      <c r="K17" s="3" t="n">
        <v>2.8</v>
      </c>
      <c r="L17" s="3" t="n">
        <v>2.8</v>
      </c>
    </row>
    <row r="18" customFormat="false" ht="15" hidden="false" customHeight="false" outlineLevel="0" collapsed="false">
      <c r="A18" s="0" t="s">
        <v>103</v>
      </c>
      <c r="C18" s="3" t="n">
        <v>3.5</v>
      </c>
      <c r="D18" s="3" t="n">
        <v>3.5</v>
      </c>
      <c r="E18" s="3" t="n">
        <v>3.3</v>
      </c>
      <c r="F18" s="3" t="n">
        <v>3.1</v>
      </c>
      <c r="G18" s="3" t="n">
        <v>3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104</v>
      </c>
      <c r="C19" s="3" t="n">
        <v>40</v>
      </c>
      <c r="D19" s="3" t="n">
        <v>41</v>
      </c>
      <c r="E19" s="3" t="n">
        <v>41</v>
      </c>
      <c r="F19" s="3" t="n">
        <v>41</v>
      </c>
      <c r="G19" s="3" t="n">
        <v>41</v>
      </c>
      <c r="H19" s="3" t="n">
        <v>41</v>
      </c>
      <c r="I19" s="3" t="n">
        <v>41</v>
      </c>
      <c r="J19" s="3" t="n">
        <v>41</v>
      </c>
      <c r="K19" s="3" t="n">
        <v>41</v>
      </c>
      <c r="L19" s="3" t="n">
        <v>41</v>
      </c>
    </row>
    <row r="20" customFormat="false" ht="15" hidden="false" customHeight="false" outlineLevel="0" collapsed="false">
      <c r="A20" s="0" t="s">
        <v>105</v>
      </c>
      <c r="B20" s="3" t="n">
        <v>10</v>
      </c>
    </row>
    <row r="21" customFormat="false" ht="15" hidden="false" customHeight="false" outlineLevel="0" collapsed="false">
      <c r="A21" s="0" t="s">
        <v>106</v>
      </c>
      <c r="B21" s="3" t="n">
        <v>2.5</v>
      </c>
    </row>
    <row r="22" customFormat="false" ht="15" hidden="false" customHeight="false" outlineLevel="0" collapsed="false">
      <c r="A22" s="0" t="s">
        <v>107</v>
      </c>
      <c r="B22" s="3" t="n">
        <v>15</v>
      </c>
    </row>
    <row r="23" customFormat="false" ht="15" hidden="false" customHeight="false" outlineLevel="0" collapsed="false">
      <c r="A23" s="0" t="s">
        <v>108</v>
      </c>
      <c r="B23" s="3" t="n">
        <v>-15</v>
      </c>
    </row>
    <row r="24" customFormat="false" ht="15" hidden="false" customHeight="false" outlineLevel="0" collapsed="false">
      <c r="A24" s="0" t="s">
        <v>109</v>
      </c>
      <c r="B24" s="3" t="n">
        <v>0.2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11</v>
      </c>
      <c r="D27" s="3" t="n">
        <v>9</v>
      </c>
      <c r="E27" s="3" t="n">
        <v>8</v>
      </c>
      <c r="F27" s="3" t="n">
        <v>7</v>
      </c>
      <c r="G27" s="3" t="n">
        <v>6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99</v>
      </c>
      <c r="C28" s="3" t="n">
        <v>32.1</v>
      </c>
      <c r="D28" s="3" t="n">
        <v>32.2</v>
      </c>
      <c r="E28" s="3" t="n">
        <v>32.3</v>
      </c>
      <c r="F28" s="3" t="n">
        <v>32.4</v>
      </c>
      <c r="G28" s="3" t="n">
        <v>32.5</v>
      </c>
      <c r="H28" s="3" t="n">
        <v>32.5</v>
      </c>
      <c r="I28" s="3" t="n">
        <v>32.5</v>
      </c>
      <c r="J28" s="3" t="n">
        <v>32.5</v>
      </c>
      <c r="K28" s="3" t="n">
        <v>32.5</v>
      </c>
      <c r="L28" s="3" t="n">
        <v>32.5</v>
      </c>
    </row>
    <row r="29" customFormat="false" ht="15" hidden="false" customHeight="false" outlineLevel="0" collapsed="false">
      <c r="A29" s="0" t="s">
        <v>100</v>
      </c>
      <c r="C29" s="3" t="n">
        <v>0.4</v>
      </c>
      <c r="D29" s="3" t="n">
        <v>0.4</v>
      </c>
      <c r="E29" s="3" t="n">
        <v>0.4</v>
      </c>
      <c r="F29" s="3" t="n">
        <v>0.4</v>
      </c>
      <c r="G29" s="3" t="n">
        <v>0.4</v>
      </c>
      <c r="H29" s="3" t="n">
        <v>0.4</v>
      </c>
      <c r="I29" s="3" t="n">
        <v>0.4</v>
      </c>
      <c r="J29" s="3" t="n">
        <v>0.4</v>
      </c>
      <c r="K29" s="3" t="n">
        <v>0.4</v>
      </c>
      <c r="L29" s="3" t="n">
        <v>0.4</v>
      </c>
    </row>
    <row r="30" customFormat="false" ht="15" hidden="false" customHeight="false" outlineLevel="0" collapsed="false">
      <c r="A30" s="0" t="s">
        <v>101</v>
      </c>
      <c r="C30" s="3" t="n">
        <v>5.9</v>
      </c>
      <c r="D30" s="3" t="n">
        <v>5.9</v>
      </c>
      <c r="E30" s="3" t="n">
        <v>5.9</v>
      </c>
      <c r="F30" s="3" t="n">
        <v>5.9</v>
      </c>
      <c r="G30" s="3" t="n">
        <v>5.9</v>
      </c>
      <c r="H30" s="3" t="n">
        <v>5.9</v>
      </c>
      <c r="I30" s="3" t="n">
        <v>5.9</v>
      </c>
      <c r="J30" s="3" t="n">
        <v>5.9</v>
      </c>
      <c r="K30" s="3" t="n">
        <v>5.9</v>
      </c>
      <c r="L30" s="3" t="n">
        <v>5.9</v>
      </c>
    </row>
    <row r="31" customFormat="false" ht="15" hidden="false" customHeight="false" outlineLevel="0" collapsed="false">
      <c r="A31" s="0" t="s">
        <v>102</v>
      </c>
      <c r="C31" s="3" t="n">
        <v>2.2</v>
      </c>
      <c r="D31" s="3" t="n">
        <v>2.3</v>
      </c>
      <c r="E31" s="3" t="n">
        <v>2.4</v>
      </c>
      <c r="F31" s="3" t="n">
        <v>2.5</v>
      </c>
      <c r="G31" s="3" t="n">
        <v>2.6</v>
      </c>
      <c r="H31" s="3" t="n">
        <v>2.7</v>
      </c>
      <c r="I31" s="3" t="n">
        <v>2.8</v>
      </c>
      <c r="J31" s="3" t="n">
        <v>2.8</v>
      </c>
      <c r="K31" s="3" t="n">
        <v>2.8</v>
      </c>
      <c r="L31" s="3" t="n">
        <v>2.8</v>
      </c>
    </row>
    <row r="32" customFormat="false" ht="15" hidden="false" customHeight="false" outlineLevel="0" collapsed="false">
      <c r="A32" s="0" t="s">
        <v>103</v>
      </c>
      <c r="C32" s="3" t="n">
        <v>3.5</v>
      </c>
      <c r="D32" s="3" t="n">
        <v>3.5</v>
      </c>
      <c r="E32" s="3" t="n">
        <v>3.3</v>
      </c>
      <c r="F32" s="3" t="n">
        <v>3.1</v>
      </c>
      <c r="G32" s="3" t="n">
        <v>3</v>
      </c>
      <c r="H32" s="3" t="n">
        <v>3</v>
      </c>
      <c r="I32" s="3" t="n">
        <v>3</v>
      </c>
      <c r="J32" s="3" t="n">
        <v>3</v>
      </c>
      <c r="K32" s="3" t="n">
        <v>3</v>
      </c>
      <c r="L32" s="3" t="n">
        <v>3</v>
      </c>
    </row>
    <row r="33" customFormat="false" ht="15" hidden="false" customHeight="false" outlineLevel="0" collapsed="false">
      <c r="A33" s="0" t="s">
        <v>104</v>
      </c>
      <c r="C33" s="3" t="n">
        <v>39.5</v>
      </c>
      <c r="D33" s="3" t="n">
        <v>40</v>
      </c>
      <c r="E33" s="3" t="n">
        <v>40</v>
      </c>
      <c r="F33" s="3" t="n">
        <v>40</v>
      </c>
      <c r="G33" s="3" t="n">
        <v>40</v>
      </c>
      <c r="H33" s="3" t="n">
        <v>40</v>
      </c>
      <c r="I33" s="3" t="n">
        <v>40</v>
      </c>
      <c r="J33" s="3" t="n">
        <v>40</v>
      </c>
      <c r="K33" s="3" t="n">
        <v>40</v>
      </c>
      <c r="L33" s="3" t="n">
        <v>40</v>
      </c>
    </row>
    <row r="34" customFormat="false" ht="15" hidden="false" customHeight="false" outlineLevel="0" collapsed="false">
      <c r="A34" s="0" t="s">
        <v>105</v>
      </c>
      <c r="B34" s="3" t="n">
        <v>10</v>
      </c>
    </row>
    <row r="35" customFormat="false" ht="15" hidden="false" customHeight="false" outlineLevel="0" collapsed="false">
      <c r="A35" s="0" t="s">
        <v>106</v>
      </c>
      <c r="B35" s="3" t="n">
        <v>2.5</v>
      </c>
    </row>
    <row r="36" customFormat="false" ht="15" hidden="false" customHeight="false" outlineLevel="0" collapsed="false">
      <c r="A36" s="0" t="s">
        <v>107</v>
      </c>
      <c r="B36" s="3" t="n">
        <v>15</v>
      </c>
    </row>
    <row r="37" customFormat="false" ht="15" hidden="false" customHeight="false" outlineLevel="0" collapsed="false">
      <c r="A37" s="0" t="s">
        <v>108</v>
      </c>
      <c r="B37" s="3" t="n">
        <v>-15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13</v>
      </c>
      <c r="D41" s="3" t="n">
        <v>12</v>
      </c>
      <c r="E41" s="3" t="n">
        <v>11</v>
      </c>
      <c r="F41" s="3" t="n">
        <v>10</v>
      </c>
      <c r="G41" s="3" t="n">
        <v>9</v>
      </c>
      <c r="H41" s="3" t="n">
        <v>8</v>
      </c>
      <c r="I41" s="3" t="n">
        <v>7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99</v>
      </c>
      <c r="C42" s="3" t="n">
        <v>32.3</v>
      </c>
      <c r="D42" s="3" t="n">
        <v>32.6</v>
      </c>
      <c r="E42" s="3" t="n">
        <v>32.9</v>
      </c>
      <c r="F42" s="3" t="n">
        <v>33.2</v>
      </c>
      <c r="G42" s="3" t="n">
        <v>33.5</v>
      </c>
      <c r="H42" s="3" t="n">
        <v>33.5</v>
      </c>
      <c r="I42" s="3" t="n">
        <v>33.5</v>
      </c>
      <c r="J42" s="3" t="n">
        <v>33.5</v>
      </c>
      <c r="K42" s="3" t="n">
        <v>33.5</v>
      </c>
      <c r="L42" s="3" t="n">
        <v>33.5</v>
      </c>
    </row>
    <row r="43" customFormat="false" ht="15" hidden="false" customHeight="false" outlineLevel="0" collapsed="false">
      <c r="A43" s="0" t="s">
        <v>100</v>
      </c>
      <c r="C43" s="3" t="n">
        <v>0.4</v>
      </c>
      <c r="D43" s="3" t="n">
        <v>0.4</v>
      </c>
      <c r="E43" s="3" t="n">
        <v>0.4</v>
      </c>
      <c r="F43" s="3" t="n">
        <v>0.4</v>
      </c>
      <c r="G43" s="3" t="n">
        <v>0.4</v>
      </c>
      <c r="H43" s="3" t="n">
        <v>0.4</v>
      </c>
      <c r="I43" s="3" t="n">
        <v>0.4</v>
      </c>
      <c r="J43" s="3" t="n">
        <v>0.4</v>
      </c>
      <c r="K43" s="3" t="n">
        <v>0.4</v>
      </c>
      <c r="L43" s="3" t="n">
        <v>0.4</v>
      </c>
    </row>
    <row r="44" customFormat="false" ht="15" hidden="false" customHeight="false" outlineLevel="0" collapsed="false">
      <c r="A44" s="0" t="s">
        <v>101</v>
      </c>
      <c r="C44" s="3" t="n">
        <v>5.9</v>
      </c>
      <c r="D44" s="3" t="n">
        <v>5.8</v>
      </c>
      <c r="E44" s="3" t="n">
        <v>5.7</v>
      </c>
      <c r="F44" s="3" t="n">
        <v>5.6</v>
      </c>
      <c r="G44" s="3" t="n">
        <v>5.5</v>
      </c>
      <c r="H44" s="3" t="n">
        <v>5.5</v>
      </c>
      <c r="I44" s="3" t="n">
        <v>5.5</v>
      </c>
      <c r="J44" s="3" t="n">
        <v>5.5</v>
      </c>
      <c r="K44" s="3" t="n">
        <v>5.5</v>
      </c>
      <c r="L44" s="3" t="n">
        <v>5.5</v>
      </c>
    </row>
    <row r="45" customFormat="false" ht="15" hidden="false" customHeight="false" outlineLevel="0" collapsed="false">
      <c r="A45" s="0" t="s">
        <v>102</v>
      </c>
      <c r="C45" s="3" t="n">
        <v>2.2</v>
      </c>
      <c r="D45" s="3" t="n">
        <v>2.3</v>
      </c>
      <c r="E45" s="3" t="n">
        <v>2.4</v>
      </c>
      <c r="F45" s="3" t="n">
        <v>2.5</v>
      </c>
      <c r="G45" s="3" t="n">
        <v>2.6</v>
      </c>
      <c r="H45" s="3" t="n">
        <v>2.7</v>
      </c>
      <c r="I45" s="3" t="n">
        <v>2.8</v>
      </c>
      <c r="J45" s="3" t="n">
        <v>2.8</v>
      </c>
      <c r="K45" s="3" t="n">
        <v>2.8</v>
      </c>
      <c r="L45" s="3" t="n">
        <v>2.8</v>
      </c>
    </row>
    <row r="46" customFormat="false" ht="15" hidden="false" customHeight="false" outlineLevel="0" collapsed="false">
      <c r="A46" s="0" t="s">
        <v>103</v>
      </c>
      <c r="C46" s="3" t="n">
        <v>3.5</v>
      </c>
      <c r="D46" s="3" t="n">
        <v>3.5</v>
      </c>
      <c r="E46" s="3" t="n">
        <v>3.3</v>
      </c>
      <c r="F46" s="3" t="n">
        <v>3.1</v>
      </c>
      <c r="G46" s="3" t="n">
        <v>3</v>
      </c>
      <c r="H46" s="3" t="n">
        <v>3</v>
      </c>
      <c r="I46" s="3" t="n">
        <v>3</v>
      </c>
      <c r="J46" s="3" t="n">
        <v>3</v>
      </c>
      <c r="K46" s="3" t="n">
        <v>3</v>
      </c>
      <c r="L46" s="3" t="n">
        <v>3</v>
      </c>
    </row>
    <row r="47" customFormat="false" ht="15" hidden="false" customHeight="false" outlineLevel="0" collapsed="false">
      <c r="A47" s="0" t="s">
        <v>104</v>
      </c>
      <c r="C47" s="3" t="n">
        <v>39.5</v>
      </c>
      <c r="D47" s="3" t="n">
        <v>40</v>
      </c>
      <c r="E47" s="3" t="n">
        <v>40</v>
      </c>
      <c r="F47" s="3" t="n">
        <v>40</v>
      </c>
      <c r="G47" s="3" t="n">
        <v>40</v>
      </c>
      <c r="H47" s="3" t="n">
        <v>40</v>
      </c>
      <c r="I47" s="3" t="n">
        <v>40</v>
      </c>
      <c r="J47" s="3" t="n">
        <v>40</v>
      </c>
      <c r="K47" s="3" t="n">
        <v>40</v>
      </c>
      <c r="L47" s="3" t="n">
        <v>40</v>
      </c>
    </row>
    <row r="48" customFormat="false" ht="15" hidden="false" customHeight="false" outlineLevel="0" collapsed="false">
      <c r="A48" s="0" t="s">
        <v>105</v>
      </c>
      <c r="B48" s="3" t="n">
        <v>10</v>
      </c>
    </row>
    <row r="49" customFormat="false" ht="15" hidden="false" customHeight="false" outlineLevel="0" collapsed="false">
      <c r="A49" s="0" t="s">
        <v>106</v>
      </c>
      <c r="B49" s="3" t="n">
        <v>2.5</v>
      </c>
    </row>
    <row r="50" customFormat="false" ht="15" hidden="false" customHeight="false" outlineLevel="0" collapsed="false">
      <c r="A50" s="0" t="s">
        <v>107</v>
      </c>
      <c r="B50" s="3" t="n">
        <v>15</v>
      </c>
    </row>
    <row r="51" customFormat="false" ht="15" hidden="false" customHeight="false" outlineLevel="0" collapsed="false">
      <c r="A51" s="0" t="s">
        <v>108</v>
      </c>
      <c r="B51" s="3" t="n">
        <v>-15</v>
      </c>
    </row>
    <row r="52" customFormat="false" ht="15" hidden="false" customHeight="false" outlineLevel="0" collapsed="false">
      <c r="A52" s="0" t="s">
        <v>109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8</v>
      </c>
      <c r="D5" s="4" t="n">
        <f aca="false">Assumptions!D13</f>
        <v>5</v>
      </c>
      <c r="E5" s="4" t="n">
        <f aca="false">Assumptions!E13</f>
        <v>4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80219</v>
      </c>
      <c r="C6" s="0" t="n">
        <f aca="false">B6*(1+C5/100)</f>
        <v>86636.52</v>
      </c>
      <c r="D6" s="0" t="n">
        <f aca="false">C6*(1+D5/100)</f>
        <v>90968.346</v>
      </c>
      <c r="E6" s="0" t="n">
        <f aca="false">D6*(1+E5/100)</f>
        <v>94607.07984</v>
      </c>
      <c r="F6" s="0" t="n">
        <f aca="false">E6*(1+F5/100)</f>
        <v>97445.2922352</v>
      </c>
      <c r="G6" s="0" t="n">
        <f aca="false">F6*(1+G5/100)</f>
        <v>100368.651002256</v>
      </c>
      <c r="H6" s="0" t="n">
        <f aca="false">G6*(1+H5/100)</f>
        <v>103379.710532324</v>
      </c>
      <c r="I6" s="0" t="n">
        <f aca="false">H6*(1+I5/100)</f>
        <v>105964.203295632</v>
      </c>
      <c r="J6" s="0" t="n">
        <f aca="false">I6*(1+J5/100)</f>
        <v>108613.308378023</v>
      </c>
      <c r="K6" s="0" t="n">
        <f aca="false">J6*(1+K5/100)</f>
        <v>110785.574545583</v>
      </c>
      <c r="L6" s="0" t="n">
        <f aca="false">K6*(1+L5/100)</f>
        <v>113001.286036495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31.5</v>
      </c>
      <c r="D7" s="4" t="n">
        <f aca="false">Assumptions!D14</f>
        <v>30.5</v>
      </c>
      <c r="E7" s="4" t="n">
        <f aca="false">Assumptions!E14</f>
        <v>29.8</v>
      </c>
      <c r="F7" s="4" t="n">
        <f aca="false">Assumptions!F14</f>
        <v>29.2</v>
      </c>
      <c r="G7" s="4" t="n">
        <f aca="false">Assumptions!G14</f>
        <v>29</v>
      </c>
      <c r="H7" s="4" t="n">
        <f aca="false">Assumptions!H14</f>
        <v>29</v>
      </c>
      <c r="I7" s="4" t="n">
        <f aca="false">Assumptions!I14</f>
        <v>29</v>
      </c>
      <c r="J7" s="4" t="n">
        <f aca="false">Assumptions!J14</f>
        <v>29</v>
      </c>
      <c r="K7" s="4" t="n">
        <f aca="false">Assumptions!K14</f>
        <v>29</v>
      </c>
      <c r="L7" s="4" t="n">
        <f aca="false">Assumptions!L14</f>
        <v>29</v>
      </c>
    </row>
    <row r="8" customFormat="false" ht="15" hidden="false" customHeight="false" outlineLevel="0" collapsed="false">
      <c r="A8" s="0" t="s">
        <v>44</v>
      </c>
      <c r="C8" s="0" t="n">
        <f aca="false">C6*C7/100</f>
        <v>27290.5038</v>
      </c>
      <c r="D8" s="0" t="n">
        <f aca="false">D6*D7/100</f>
        <v>27745.34553</v>
      </c>
      <c r="E8" s="0" t="n">
        <f aca="false">E6*E7/100</f>
        <v>28192.90979232</v>
      </c>
      <c r="F8" s="0" t="n">
        <f aca="false">F6*F7/100</f>
        <v>28454.0253326784</v>
      </c>
      <c r="G8" s="0" t="n">
        <f aca="false">G6*G7/100</f>
        <v>29106.9087906542</v>
      </c>
      <c r="H8" s="0" t="n">
        <f aca="false">H6*H7/100</f>
        <v>29980.1160543739</v>
      </c>
      <c r="I8" s="0" t="n">
        <f aca="false">I6*I7/100</f>
        <v>30729.6189557332</v>
      </c>
      <c r="J8" s="0" t="n">
        <f aca="false">J6*J7/100</f>
        <v>31497.8594296265</v>
      </c>
      <c r="K8" s="0" t="n">
        <f aca="false">K6*K7/100</f>
        <v>32127.8166182191</v>
      </c>
      <c r="L8" s="0" t="n">
        <f aca="false">L6*L7/100</f>
        <v>32770.3729505835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0.4</v>
      </c>
      <c r="D9" s="4" t="n">
        <f aca="false">Assumptions!D15</f>
        <v>0.4</v>
      </c>
      <c r="E9" s="4" t="n">
        <f aca="false">Assumptions!E15</f>
        <v>0.4</v>
      </c>
      <c r="F9" s="4" t="n">
        <f aca="false">Assumptions!F15</f>
        <v>0.4</v>
      </c>
      <c r="G9" s="4" t="n">
        <f aca="false">Assumptions!G15</f>
        <v>0.4</v>
      </c>
      <c r="H9" s="4" t="n">
        <f aca="false">Assumptions!H15</f>
        <v>0.4</v>
      </c>
      <c r="I9" s="4" t="n">
        <f aca="false">Assumptions!I15</f>
        <v>0.4</v>
      </c>
      <c r="J9" s="4" t="n">
        <f aca="false">Assumptions!J15</f>
        <v>0.4</v>
      </c>
      <c r="K9" s="4" t="n">
        <f aca="false">Assumptions!K15</f>
        <v>0.4</v>
      </c>
      <c r="L9" s="4" t="n">
        <f aca="false">Assumptions!L15</f>
        <v>0.4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-346.54608</v>
      </c>
      <c r="D10" s="0" t="n">
        <f aca="false">-D6*D9/100</f>
        <v>-363.873384</v>
      </c>
      <c r="E10" s="0" t="n">
        <f aca="false">-E6*E9/100</f>
        <v>-378.42831936</v>
      </c>
      <c r="F10" s="0" t="n">
        <f aca="false">-F6*F9/100</f>
        <v>-389.7811689408</v>
      </c>
      <c r="G10" s="0" t="n">
        <f aca="false">-G6*G9/100</f>
        <v>-401.474604009024</v>
      </c>
      <c r="H10" s="0" t="n">
        <f aca="false">-H6*H9/100</f>
        <v>-413.518842129295</v>
      </c>
      <c r="I10" s="0" t="n">
        <f aca="false">-I6*I9/100</f>
        <v>-423.856813182527</v>
      </c>
      <c r="J10" s="0" t="n">
        <f aca="false">-J6*J9/100</f>
        <v>-434.45323351209</v>
      </c>
      <c r="K10" s="0" t="n">
        <f aca="false">-K6*K9/100</f>
        <v>-443.142298182332</v>
      </c>
      <c r="L10" s="0" t="n">
        <f aca="false">-L6*L9/100</f>
        <v>-452.005144145979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21832.40304</v>
      </c>
      <c r="D11" s="0" t="n">
        <f aca="false">D8+D10+D24</f>
        <v>21923.371386</v>
      </c>
      <c r="E11" s="0" t="n">
        <f aca="false">E8+E10+E24</f>
        <v>22043.44960272</v>
      </c>
      <c r="F11" s="0" t="n">
        <f aca="false">F8+F10+F24</f>
        <v>22022.6360451552</v>
      </c>
      <c r="G11" s="0" t="n">
        <f aca="false">G8+G10+G24</f>
        <v>22482.5778245053</v>
      </c>
      <c r="H11" s="0" t="n">
        <f aca="false">H8+H10+H24</f>
        <v>23157.0551592405</v>
      </c>
      <c r="I11" s="0" t="n">
        <f aca="false">I8+I10+I24</f>
        <v>23735.9815382215</v>
      </c>
      <c r="J11" s="0" t="n">
        <f aca="false">J8+J10+J24</f>
        <v>24329.3810766771</v>
      </c>
      <c r="K11" s="0" t="n">
        <f aca="false">K8+K10+K24</f>
        <v>24815.9686982106</v>
      </c>
      <c r="L11" s="0" t="n">
        <f aca="false">L8+L10+L24</f>
        <v>25312.2880721748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-1906.00344</v>
      </c>
      <c r="D12" s="4" t="n">
        <f aca="false">-D6*Assumptions!D17/100</f>
        <v>-2092.271958</v>
      </c>
      <c r="E12" s="4" t="n">
        <f aca="false">-E6*Assumptions!E17/100</f>
        <v>-2270.56991616</v>
      </c>
      <c r="F12" s="4" t="n">
        <f aca="false">-F6*Assumptions!F17/100</f>
        <v>-2436.13230588</v>
      </c>
      <c r="G12" s="4" t="n">
        <f aca="false">-G6*Assumptions!G17/100</f>
        <v>-2609.58492605866</v>
      </c>
      <c r="H12" s="4" t="n">
        <f aca="false">-H6*Assumptions!H17/100</f>
        <v>-2791.25218437274</v>
      </c>
      <c r="I12" s="4" t="n">
        <f aca="false">-I6*Assumptions!I17/100</f>
        <v>-2966.99769227769</v>
      </c>
      <c r="J12" s="4" t="n">
        <f aca="false">-J6*Assumptions!J17/100</f>
        <v>-3041.17263458463</v>
      </c>
      <c r="K12" s="4" t="n">
        <f aca="false">-K6*Assumptions!K17/100</f>
        <v>-3101.99608727632</v>
      </c>
      <c r="L12" s="4" t="n">
        <f aca="false">-L6*Assumptions!L17/100</f>
        <v>-3164.03600902185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19926.3996</v>
      </c>
      <c r="D13" s="0" t="n">
        <f aca="false">D11+D12</f>
        <v>19831.099428</v>
      </c>
      <c r="E13" s="0" t="n">
        <f aca="false">E11+E12</f>
        <v>19772.87968656</v>
      </c>
      <c r="F13" s="0" t="n">
        <f aca="false">F11+F12</f>
        <v>19586.5037392752</v>
      </c>
      <c r="G13" s="0" t="n">
        <f aca="false">G11+G12</f>
        <v>19872.9928984467</v>
      </c>
      <c r="H13" s="0" t="n">
        <f aca="false">H11+H12</f>
        <v>20365.8029748678</v>
      </c>
      <c r="I13" s="0" t="n">
        <f aca="false">I11+I12</f>
        <v>20768.9838459438</v>
      </c>
      <c r="J13" s="0" t="n">
        <f aca="false">J11+J12</f>
        <v>21288.2084420924</v>
      </c>
      <c r="K13" s="0" t="n">
        <f aca="false">K11+K12</f>
        <v>21713.9726109343</v>
      </c>
      <c r="L13" s="0" t="n">
        <f aca="false">L11+L12</f>
        <v>22148.252063153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40</v>
      </c>
      <c r="D14" s="4" t="n">
        <f aca="false">Assumptions!D19</f>
        <v>41</v>
      </c>
      <c r="E14" s="4" t="n">
        <f aca="false">Assumptions!E19</f>
        <v>41</v>
      </c>
      <c r="F14" s="4" t="n">
        <f aca="false">Assumptions!F19</f>
        <v>41</v>
      </c>
      <c r="G14" s="4" t="n">
        <f aca="false">Assumptions!G19</f>
        <v>41</v>
      </c>
      <c r="H14" s="4" t="n">
        <f aca="false">Assumptions!H19</f>
        <v>41</v>
      </c>
      <c r="I14" s="4" t="n">
        <f aca="false">Assumptions!I19</f>
        <v>41</v>
      </c>
      <c r="J14" s="4" t="n">
        <f aca="false">Assumptions!J19</f>
        <v>41</v>
      </c>
      <c r="K14" s="4" t="n">
        <f aca="false">Assumptions!K19</f>
        <v>41</v>
      </c>
      <c r="L14" s="4" t="n">
        <f aca="false">Assumptions!L19</f>
        <v>41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11955.83976</v>
      </c>
      <c r="D15" s="0" t="n">
        <f aca="false">D13-MAX(0,D13)*D14/100</f>
        <v>11700.34866252</v>
      </c>
      <c r="E15" s="0" t="n">
        <f aca="false">E13-MAX(0,E13)*E14/100</f>
        <v>11665.9990150704</v>
      </c>
      <c r="F15" s="0" t="n">
        <f aca="false">F13-MAX(0,F13)*F14/100</f>
        <v>11556.0372061724</v>
      </c>
      <c r="G15" s="0" t="n">
        <f aca="false">G13-MAX(0,G13)*G14/100</f>
        <v>11725.0658100835</v>
      </c>
      <c r="H15" s="0" t="n">
        <f aca="false">H13-MAX(0,H13)*H14/100</f>
        <v>12015.823755172</v>
      </c>
      <c r="I15" s="0" t="n">
        <f aca="false">I13-MAX(0,I13)*I14/100</f>
        <v>12253.7004691069</v>
      </c>
      <c r="J15" s="0" t="n">
        <f aca="false">J13-MAX(0,J13)*J14/100</f>
        <v>12560.0429808345</v>
      </c>
      <c r="K15" s="0" t="n">
        <f aca="false">K13-MAX(0,K13)*K14/100</f>
        <v>12811.2438404512</v>
      </c>
      <c r="L15" s="0" t="n">
        <f aca="false">L13-MAX(0,L13)*L14/100</f>
        <v>13067.4687172602</v>
      </c>
    </row>
    <row r="16" customFormat="false" ht="15" hidden="false" customHeight="false" outlineLevel="0" collapsed="false">
      <c r="A16" s="0" t="s">
        <v>120</v>
      </c>
      <c r="C16" s="0" t="n">
        <f aca="false">-C12</f>
        <v>1906.00344</v>
      </c>
      <c r="D16" s="0" t="n">
        <f aca="false">-D12</f>
        <v>2092.271958</v>
      </c>
      <c r="E16" s="0" t="n">
        <f aca="false">-E12</f>
        <v>2270.56991616</v>
      </c>
      <c r="F16" s="0" t="n">
        <f aca="false">-F12</f>
        <v>2436.13230588</v>
      </c>
      <c r="G16" s="0" t="n">
        <f aca="false">-G12</f>
        <v>2609.58492605866</v>
      </c>
      <c r="H16" s="0" t="n">
        <f aca="false">-H12</f>
        <v>2791.25218437274</v>
      </c>
      <c r="I16" s="0" t="n">
        <f aca="false">-I12</f>
        <v>2966.99769227769</v>
      </c>
      <c r="J16" s="0" t="n">
        <f aca="false">-J12</f>
        <v>3041.17263458463</v>
      </c>
      <c r="K16" s="0" t="n">
        <f aca="false">-K12</f>
        <v>3101.99608727632</v>
      </c>
      <c r="L16" s="0" t="n">
        <f aca="false">-L12</f>
        <v>3164.03600902185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-3032.2782</v>
      </c>
      <c r="D17" s="4" t="n">
        <f aca="false">-D6*Assumptions!D18/100</f>
        <v>-3183.89211</v>
      </c>
      <c r="E17" s="4" t="n">
        <f aca="false">-E6*Assumptions!E18/100</f>
        <v>-3122.03363472</v>
      </c>
      <c r="F17" s="4" t="n">
        <f aca="false">-F6*Assumptions!F18/100</f>
        <v>-3020.8040592912</v>
      </c>
      <c r="G17" s="4" t="n">
        <f aca="false">-G6*Assumptions!G18/100</f>
        <v>-3011.05953006768</v>
      </c>
      <c r="H17" s="4" t="n">
        <f aca="false">-H6*Assumptions!H18/100</f>
        <v>-3101.39131596971</v>
      </c>
      <c r="I17" s="4" t="n">
        <f aca="false">-I6*Assumptions!I18/100</f>
        <v>-3178.92609886895</v>
      </c>
      <c r="J17" s="4" t="n">
        <f aca="false">-J6*Assumptions!J18/100</f>
        <v>-3258.39925134068</v>
      </c>
      <c r="K17" s="4" t="n">
        <f aca="false">-K6*Assumptions!K18/100</f>
        <v>-3323.56723636749</v>
      </c>
      <c r="L17" s="4" t="n">
        <f aca="false">-L6*Assumptions!L18/100</f>
        <v>-3390.03858109484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-962.628000000001</v>
      </c>
      <c r="D18" s="4" t="n">
        <f aca="false">(D6-C6)*Assumptions!$B$23/100</f>
        <v>-649.7739</v>
      </c>
      <c r="E18" s="4" t="n">
        <f aca="false">(E6-D6)*Assumptions!$B$23/100</f>
        <v>-545.810076</v>
      </c>
      <c r="F18" s="4" t="n">
        <f aca="false">(F6-E6)*Assumptions!$B$23/100</f>
        <v>-425.731859279999</v>
      </c>
      <c r="G18" s="4" t="n">
        <f aca="false">(G6-F6)*Assumptions!$B$23/100</f>
        <v>-438.503815058401</v>
      </c>
      <c r="H18" s="4" t="n">
        <f aca="false">(H6-G6)*Assumptions!$B$23/100</f>
        <v>-451.658929510152</v>
      </c>
      <c r="I18" s="4" t="n">
        <f aca="false">(I6-H6)*Assumptions!$B$23/100</f>
        <v>-387.673914496212</v>
      </c>
      <c r="J18" s="4" t="n">
        <f aca="false">(J6-I6)*Assumptions!$B$23/100</f>
        <v>-397.365762358618</v>
      </c>
      <c r="K18" s="4" t="n">
        <f aca="false">(K6-J6)*Assumptions!$B$23/100</f>
        <v>-325.839925134067</v>
      </c>
      <c r="L18" s="4" t="n">
        <f aca="false">(L6-K6)*Assumptions!$B$23/100</f>
        <v>-332.35672363675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9866.937</v>
      </c>
      <c r="D19" s="0" t="n">
        <f aca="false">D15+D16+D17+D18</f>
        <v>9958.95461052</v>
      </c>
      <c r="E19" s="0" t="n">
        <f aca="false">E15+E16+E17+E18</f>
        <v>10268.7252205104</v>
      </c>
      <c r="F19" s="0" t="n">
        <f aca="false">F15+F16+F17+F18</f>
        <v>10545.6335934812</v>
      </c>
      <c r="G19" s="0" t="n">
        <f aca="false">G15+G16+G17+G18</f>
        <v>10885.0873910161</v>
      </c>
      <c r="H19" s="0" t="n">
        <f aca="false">H15+H16+H17+H18</f>
        <v>11254.0256940649</v>
      </c>
      <c r="I19" s="0" t="n">
        <f aca="false">I15+I16+I17+I18</f>
        <v>11654.0981480194</v>
      </c>
      <c r="J19" s="0" t="n">
        <f aca="false">J15+J16+J17+J18</f>
        <v>11945.4506017199</v>
      </c>
      <c r="K19" s="0" t="n">
        <f aca="false">K15+K16+K17+K18</f>
        <v>12263.832766226</v>
      </c>
      <c r="L19" s="0" t="n">
        <f aca="false">L15+L16+L17+L18</f>
        <v>12509.1094215505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8969.94272727272</v>
      </c>
      <c r="D21" s="0" t="n">
        <f aca="false">D19*D20</f>
        <v>8230.54100042975</v>
      </c>
      <c r="E21" s="0" t="n">
        <f aca="false">E19*E20</f>
        <v>7715.04524456078</v>
      </c>
      <c r="F21" s="0" t="n">
        <f aca="false">F19*F20</f>
        <v>7202.80963969754</v>
      </c>
      <c r="G21" s="0" t="n">
        <f aca="false">G19*G20</f>
        <v>6758.78286444426</v>
      </c>
      <c r="H21" s="0" t="n">
        <f aca="false">H19*H20</f>
        <v>6352.60411245498</v>
      </c>
      <c r="I21" s="0" t="n">
        <f aca="false">I19*I20</f>
        <v>5980.39507531359</v>
      </c>
      <c r="J21" s="0" t="n">
        <f aca="false">J19*J20</f>
        <v>5572.64086563311</v>
      </c>
      <c r="K21" s="0" t="n">
        <f aca="false">K19*K20</f>
        <v>5201.06226827488</v>
      </c>
      <c r="L21" s="0" t="n">
        <f aca="false">L19*L20</f>
        <v>4822.80319421853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5.9</v>
      </c>
      <c r="D23" s="4" t="n">
        <f aca="false">Assumptions!D16</f>
        <v>6</v>
      </c>
      <c r="E23" s="4" t="n">
        <f aca="false">Assumptions!E16</f>
        <v>6.1</v>
      </c>
      <c r="F23" s="4" t="n">
        <f aca="false">Assumptions!F16</f>
        <v>6.2</v>
      </c>
      <c r="G23" s="4" t="n">
        <f aca="false">Assumptions!G16</f>
        <v>6.2</v>
      </c>
      <c r="H23" s="4" t="n">
        <f aca="false">Assumptions!H16</f>
        <v>6.2</v>
      </c>
      <c r="I23" s="4" t="n">
        <f aca="false">Assumptions!I16</f>
        <v>6.2</v>
      </c>
      <c r="J23" s="4" t="n">
        <f aca="false">Assumptions!J16</f>
        <v>6.2</v>
      </c>
      <c r="K23" s="4" t="n">
        <f aca="false">Assumptions!K16</f>
        <v>6.2</v>
      </c>
      <c r="L23" s="4" t="n">
        <f aca="false">Assumptions!L16</f>
        <v>6.2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-5111.55468</v>
      </c>
      <c r="D24" s="0" t="n">
        <f aca="false">-D6*D23/100</f>
        <v>-5458.10076</v>
      </c>
      <c r="E24" s="0" t="n">
        <f aca="false">-E6*E23/100</f>
        <v>-5771.03187024</v>
      </c>
      <c r="F24" s="0" t="n">
        <f aca="false">-F6*F23/100</f>
        <v>-6041.6081185824</v>
      </c>
      <c r="G24" s="0" t="n">
        <f aca="false">-G6*G23/100</f>
        <v>-6222.85636213987</v>
      </c>
      <c r="H24" s="0" t="n">
        <f aca="false">-H6*H23/100</f>
        <v>-6409.54205300407</v>
      </c>
      <c r="I24" s="0" t="n">
        <f aca="false">-I6*I23/100</f>
        <v>-6569.78060432917</v>
      </c>
      <c r="J24" s="0" t="n">
        <f aca="false">-J6*J23/100</f>
        <v>-6734.0251194374</v>
      </c>
      <c r="K24" s="0" t="n">
        <f aca="false">-K6*K23/100</f>
        <v>-6868.70562182615</v>
      </c>
      <c r="L24" s="0" t="n">
        <f aca="false">-L6*L23/100</f>
        <v>-7006.07973426267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66806.6269923001</v>
      </c>
    </row>
    <row r="31" customFormat="false" ht="15" hidden="false" customHeight="false" outlineLevel="0" collapsed="false">
      <c r="A31" s="0" t="s">
        <v>129</v>
      </c>
      <c r="B31" s="0" t="n">
        <f aca="false">L19</f>
        <v>12509.1094215505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170957.82876119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187636.641323258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170957.82876119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65911.6436543199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132718.27064662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205341.27064662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86.879143163514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0.114549623649955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2431.39737239541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2381.65651821251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88.9155287215612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102574.697256714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64.3154004304744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11</v>
      </c>
      <c r="D5" s="4" t="n">
        <f aca="false">Assumptions!D27</f>
        <v>9</v>
      </c>
      <c r="E5" s="4" t="n">
        <f aca="false">Assumptions!E27</f>
        <v>8</v>
      </c>
      <c r="F5" s="4" t="n">
        <f aca="false">Assumptions!F27</f>
        <v>7</v>
      </c>
      <c r="G5" s="4" t="n">
        <f aca="false">Assumptions!G27</f>
        <v>6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80219</v>
      </c>
      <c r="C6" s="0" t="n">
        <f aca="false">B6*(1+C5/100)</f>
        <v>89043.09</v>
      </c>
      <c r="D6" s="0" t="n">
        <f aca="false">C6*(1+D5/100)</f>
        <v>97056.9681</v>
      </c>
      <c r="E6" s="0" t="n">
        <f aca="false">D6*(1+E5/100)</f>
        <v>104821.525548</v>
      </c>
      <c r="F6" s="0" t="n">
        <f aca="false">E6*(1+F5/100)</f>
        <v>112159.03233636</v>
      </c>
      <c r="G6" s="0" t="n">
        <f aca="false">F6*(1+G5/100)</f>
        <v>118888.574276542</v>
      </c>
      <c r="H6" s="0" t="n">
        <f aca="false">G6*(1+H5/100)</f>
        <v>124833.002990369</v>
      </c>
      <c r="I6" s="0" t="n">
        <f aca="false">H6*(1+I5/100)</f>
        <v>130450.488124935</v>
      </c>
      <c r="J6" s="0" t="n">
        <f aca="false">I6*(1+J5/100)</f>
        <v>135668.507649933</v>
      </c>
      <c r="K6" s="0" t="n">
        <f aca="false">J6*(1+K5/100)</f>
        <v>140416.90541768</v>
      </c>
      <c r="L6" s="0" t="n">
        <f aca="false">K6*(1+L5/100)</f>
        <v>144629.412580211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32.1</v>
      </c>
      <c r="D7" s="4" t="n">
        <f aca="false">Assumptions!D28</f>
        <v>32.2</v>
      </c>
      <c r="E7" s="4" t="n">
        <f aca="false">Assumptions!E28</f>
        <v>32.3</v>
      </c>
      <c r="F7" s="4" t="n">
        <f aca="false">Assumptions!F28</f>
        <v>32.4</v>
      </c>
      <c r="G7" s="4" t="n">
        <f aca="false">Assumptions!G28</f>
        <v>32.5</v>
      </c>
      <c r="H7" s="4" t="n">
        <f aca="false">Assumptions!H28</f>
        <v>32.5</v>
      </c>
      <c r="I7" s="4" t="n">
        <f aca="false">Assumptions!I28</f>
        <v>32.5</v>
      </c>
      <c r="J7" s="4" t="n">
        <f aca="false">Assumptions!J28</f>
        <v>32.5</v>
      </c>
      <c r="K7" s="4" t="n">
        <f aca="false">Assumptions!K28</f>
        <v>32.5</v>
      </c>
      <c r="L7" s="4" t="n">
        <f aca="false">Assumptions!L28</f>
        <v>32.5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28582.83189</v>
      </c>
      <c r="D8" s="0" t="n">
        <f aca="false">D6*D7/100</f>
        <v>31252.3437282</v>
      </c>
      <c r="E8" s="0" t="n">
        <f aca="false">E6*E7/100</f>
        <v>33857.352752004</v>
      </c>
      <c r="F8" s="0" t="n">
        <f aca="false">F6*F7/100</f>
        <v>36339.5264769806</v>
      </c>
      <c r="G8" s="0" t="n">
        <f aca="false">G6*G7/100</f>
        <v>38638.786639876</v>
      </c>
      <c r="H8" s="0" t="n">
        <f aca="false">H6*H7/100</f>
        <v>40570.7259718698</v>
      </c>
      <c r="I8" s="0" t="n">
        <f aca="false">I6*I7/100</f>
        <v>42396.408640604</v>
      </c>
      <c r="J8" s="0" t="n">
        <f aca="false">J6*J7/100</f>
        <v>44092.2649862281</v>
      </c>
      <c r="K8" s="0" t="n">
        <f aca="false">K6*K7/100</f>
        <v>45635.4942607461</v>
      </c>
      <c r="L8" s="0" t="n">
        <f aca="false">L6*L7/100</f>
        <v>47004.5590885685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0.4</v>
      </c>
      <c r="D9" s="4" t="n">
        <f aca="false">Assumptions!D29</f>
        <v>0.4</v>
      </c>
      <c r="E9" s="4" t="n">
        <f aca="false">Assumptions!E29</f>
        <v>0.4</v>
      </c>
      <c r="F9" s="4" t="n">
        <f aca="false">Assumptions!F29</f>
        <v>0.4</v>
      </c>
      <c r="G9" s="4" t="n">
        <f aca="false">Assumptions!G29</f>
        <v>0.4</v>
      </c>
      <c r="H9" s="4" t="n">
        <f aca="false">Assumptions!H29</f>
        <v>0.4</v>
      </c>
      <c r="I9" s="4" t="n">
        <f aca="false">Assumptions!I29</f>
        <v>0.4</v>
      </c>
      <c r="J9" s="4" t="n">
        <f aca="false">Assumptions!J29</f>
        <v>0.4</v>
      </c>
      <c r="K9" s="4" t="n">
        <f aca="false">Assumptions!K29</f>
        <v>0.4</v>
      </c>
      <c r="L9" s="4" t="n">
        <f aca="false">Assumptions!L29</f>
        <v>0.4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-356.17236</v>
      </c>
      <c r="D10" s="0" t="n">
        <f aca="false">-D6*D9/100</f>
        <v>-388.2278724</v>
      </c>
      <c r="E10" s="0" t="n">
        <f aca="false">-E6*E9/100</f>
        <v>-419.286102192</v>
      </c>
      <c r="F10" s="0" t="n">
        <f aca="false">-F6*F9/100</f>
        <v>-448.63612934544</v>
      </c>
      <c r="G10" s="0" t="n">
        <f aca="false">-G6*G9/100</f>
        <v>-475.554297106167</v>
      </c>
      <c r="H10" s="0" t="n">
        <f aca="false">-H6*H9/100</f>
        <v>-499.332011961475</v>
      </c>
      <c r="I10" s="0" t="n">
        <f aca="false">-I6*I9/100</f>
        <v>-521.801952499741</v>
      </c>
      <c r="J10" s="0" t="n">
        <f aca="false">-J6*J9/100</f>
        <v>-542.674030599731</v>
      </c>
      <c r="K10" s="0" t="n">
        <f aca="false">-K6*K9/100</f>
        <v>-561.667621670722</v>
      </c>
      <c r="L10" s="0" t="n">
        <f aca="false">-L6*L9/100</f>
        <v>-578.517650320843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22973.11722</v>
      </c>
      <c r="D11" s="0" t="n">
        <f aca="false">D8+D10+D24</f>
        <v>25137.7547379</v>
      </c>
      <c r="E11" s="0" t="n">
        <f aca="false">E8+E10+E24</f>
        <v>27253.59664248</v>
      </c>
      <c r="F11" s="0" t="n">
        <f aca="false">F8+F10+F24</f>
        <v>29273.50743979</v>
      </c>
      <c r="G11" s="0" t="n">
        <f aca="false">G8+G10+G24</f>
        <v>31148.8064604539</v>
      </c>
      <c r="H11" s="0" t="n">
        <f aca="false">H8+H10+H24</f>
        <v>32706.2467834766</v>
      </c>
      <c r="I11" s="0" t="n">
        <f aca="false">I8+I10+I24</f>
        <v>34178.027888733</v>
      </c>
      <c r="J11" s="0" t="n">
        <f aca="false">J8+J10+J24</f>
        <v>35545.1490042824</v>
      </c>
      <c r="K11" s="0" t="n">
        <f aca="false">K8+K10+K24</f>
        <v>36789.2292194323</v>
      </c>
      <c r="L11" s="0" t="n">
        <f aca="false">L8+L10+L24</f>
        <v>37892.9060960152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-1958.94798</v>
      </c>
      <c r="D12" s="4" t="n">
        <f aca="false">-D6*Assumptions!D31/100</f>
        <v>-2232.3102663</v>
      </c>
      <c r="E12" s="4" t="n">
        <f aca="false">-E6*Assumptions!E31/100</f>
        <v>-2515.716613152</v>
      </c>
      <c r="F12" s="4" t="n">
        <f aca="false">-F6*Assumptions!F31/100</f>
        <v>-2803.975808409</v>
      </c>
      <c r="G12" s="4" t="n">
        <f aca="false">-G6*Assumptions!G31/100</f>
        <v>-3091.10293119008</v>
      </c>
      <c r="H12" s="4" t="n">
        <f aca="false">-H6*Assumptions!H31/100</f>
        <v>-3370.49108073996</v>
      </c>
      <c r="I12" s="4" t="n">
        <f aca="false">-I6*Assumptions!I31/100</f>
        <v>-3652.61366749819</v>
      </c>
      <c r="J12" s="4" t="n">
        <f aca="false">-J6*Assumptions!J31/100</f>
        <v>-3798.71821419812</v>
      </c>
      <c r="K12" s="4" t="n">
        <f aca="false">-K6*Assumptions!K31/100</f>
        <v>-3931.67335169505</v>
      </c>
      <c r="L12" s="4" t="n">
        <f aca="false">-L6*Assumptions!L31/100</f>
        <v>-4049.6235522459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21014.16924</v>
      </c>
      <c r="D13" s="0" t="n">
        <f aca="false">D11+D12</f>
        <v>22905.4444716</v>
      </c>
      <c r="E13" s="0" t="n">
        <f aca="false">E11+E12</f>
        <v>24737.880029328</v>
      </c>
      <c r="F13" s="0" t="n">
        <f aca="false">F11+F12</f>
        <v>26469.531631381</v>
      </c>
      <c r="G13" s="0" t="n">
        <f aca="false">G11+G12</f>
        <v>28057.7035292638</v>
      </c>
      <c r="H13" s="0" t="n">
        <f aca="false">H11+H12</f>
        <v>29335.7557027367</v>
      </c>
      <c r="I13" s="0" t="n">
        <f aca="false">I11+I12</f>
        <v>30525.4142212349</v>
      </c>
      <c r="J13" s="0" t="n">
        <f aca="false">J11+J12</f>
        <v>31746.4307900843</v>
      </c>
      <c r="K13" s="0" t="n">
        <f aca="false">K11+K12</f>
        <v>32857.5558677372</v>
      </c>
      <c r="L13" s="0" t="n">
        <f aca="false">L11+L12</f>
        <v>33843.2825437693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39.5</v>
      </c>
      <c r="D14" s="4" t="n">
        <f aca="false">Assumptions!D33</f>
        <v>40</v>
      </c>
      <c r="E14" s="4" t="n">
        <f aca="false">Assumptions!E33</f>
        <v>40</v>
      </c>
      <c r="F14" s="4" t="n">
        <f aca="false">Assumptions!F33</f>
        <v>40</v>
      </c>
      <c r="G14" s="4" t="n">
        <f aca="false">Assumptions!G33</f>
        <v>40</v>
      </c>
      <c r="H14" s="4" t="n">
        <f aca="false">Assumptions!H33</f>
        <v>40</v>
      </c>
      <c r="I14" s="4" t="n">
        <f aca="false">Assumptions!I33</f>
        <v>40</v>
      </c>
      <c r="J14" s="4" t="n">
        <f aca="false">Assumptions!J33</f>
        <v>40</v>
      </c>
      <c r="K14" s="4" t="n">
        <f aca="false">Assumptions!K33</f>
        <v>40</v>
      </c>
      <c r="L14" s="4" t="n">
        <f aca="false">Assumptions!L33</f>
        <v>40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12713.5723902</v>
      </c>
      <c r="D15" s="0" t="n">
        <f aca="false">D13-MAX(0,D13)*D14/100</f>
        <v>13743.26668296</v>
      </c>
      <c r="E15" s="0" t="n">
        <f aca="false">E13-MAX(0,E13)*E14/100</f>
        <v>14842.7280175968</v>
      </c>
      <c r="F15" s="0" t="n">
        <f aca="false">F13-MAX(0,F13)*F14/100</f>
        <v>15881.7189788286</v>
      </c>
      <c r="G15" s="0" t="n">
        <f aca="false">G13-MAX(0,G13)*G14/100</f>
        <v>16834.6221175583</v>
      </c>
      <c r="H15" s="0" t="n">
        <f aca="false">H13-MAX(0,H13)*H14/100</f>
        <v>17601.453421642</v>
      </c>
      <c r="I15" s="0" t="n">
        <f aca="false">I13-MAX(0,I13)*I14/100</f>
        <v>18315.2485327409</v>
      </c>
      <c r="J15" s="0" t="n">
        <f aca="false">J13-MAX(0,J13)*J14/100</f>
        <v>19047.8584740506</v>
      </c>
      <c r="K15" s="0" t="n">
        <f aca="false">K13-MAX(0,K13)*K14/100</f>
        <v>19714.5335206423</v>
      </c>
      <c r="L15" s="0" t="n">
        <f aca="false">L13-MAX(0,L13)*L14/100</f>
        <v>20305.9695262616</v>
      </c>
    </row>
    <row r="16" customFormat="false" ht="15" hidden="false" customHeight="false" outlineLevel="0" collapsed="false">
      <c r="A16" s="0" t="s">
        <v>120</v>
      </c>
      <c r="C16" s="0" t="n">
        <f aca="false">-C12</f>
        <v>1958.94798</v>
      </c>
      <c r="D16" s="0" t="n">
        <f aca="false">-D12</f>
        <v>2232.3102663</v>
      </c>
      <c r="E16" s="0" t="n">
        <f aca="false">-E12</f>
        <v>2515.716613152</v>
      </c>
      <c r="F16" s="0" t="n">
        <f aca="false">-F12</f>
        <v>2803.975808409</v>
      </c>
      <c r="G16" s="0" t="n">
        <f aca="false">-G12</f>
        <v>3091.10293119008</v>
      </c>
      <c r="H16" s="0" t="n">
        <f aca="false">-H12</f>
        <v>3370.49108073996</v>
      </c>
      <c r="I16" s="0" t="n">
        <f aca="false">-I12</f>
        <v>3652.61366749819</v>
      </c>
      <c r="J16" s="0" t="n">
        <f aca="false">-J12</f>
        <v>3798.71821419812</v>
      </c>
      <c r="K16" s="0" t="n">
        <f aca="false">-K12</f>
        <v>3931.67335169505</v>
      </c>
      <c r="L16" s="0" t="n">
        <f aca="false">-L12</f>
        <v>4049.6235522459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-3116.50815</v>
      </c>
      <c r="D17" s="4" t="n">
        <f aca="false">-D6*Assumptions!D32/100</f>
        <v>-3396.9938835</v>
      </c>
      <c r="E17" s="4" t="n">
        <f aca="false">-E6*Assumptions!E32/100</f>
        <v>-3459.110343084</v>
      </c>
      <c r="F17" s="4" t="n">
        <f aca="false">-F6*Assumptions!F32/100</f>
        <v>-3476.93000242716</v>
      </c>
      <c r="G17" s="4" t="n">
        <f aca="false">-G6*Assumptions!G32/100</f>
        <v>-3566.65722829625</v>
      </c>
      <c r="H17" s="4" t="n">
        <f aca="false">-H6*Assumptions!H32/100</f>
        <v>-3744.99008971106</v>
      </c>
      <c r="I17" s="4" t="n">
        <f aca="false">-I6*Assumptions!I32/100</f>
        <v>-3913.51464374806</v>
      </c>
      <c r="J17" s="4" t="n">
        <f aca="false">-J6*Assumptions!J32/100</f>
        <v>-4070.05522949798</v>
      </c>
      <c r="K17" s="4" t="n">
        <f aca="false">-K6*Assumptions!K32/100</f>
        <v>-4212.50716253041</v>
      </c>
      <c r="L17" s="4" t="n">
        <f aca="false">-L6*Assumptions!L32/100</f>
        <v>-4338.88237740632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-1323.6135</v>
      </c>
      <c r="D18" s="4" t="n">
        <f aca="false">(D6-C6)*Assumptions!$B$37/100</f>
        <v>-1202.081715</v>
      </c>
      <c r="E18" s="4" t="n">
        <f aca="false">(E6-D6)*Assumptions!$B$37/100</f>
        <v>-1164.6836172</v>
      </c>
      <c r="F18" s="4" t="n">
        <f aca="false">(F6-E6)*Assumptions!$B$37/100</f>
        <v>-1100.626018254</v>
      </c>
      <c r="G18" s="4" t="n">
        <f aca="false">(G6-F6)*Assumptions!$B$37/100</f>
        <v>-1009.43129102724</v>
      </c>
      <c r="H18" s="4" t="n">
        <f aca="false">(H6-G6)*Assumptions!$B$37/100</f>
        <v>-891.664307074063</v>
      </c>
      <c r="I18" s="4" t="n">
        <f aca="false">(I6-H6)*Assumptions!$B$37/100</f>
        <v>-842.622770184987</v>
      </c>
      <c r="J18" s="4" t="n">
        <f aca="false">(J6-I6)*Assumptions!$B$37/100</f>
        <v>-782.702928749613</v>
      </c>
      <c r="K18" s="4" t="n">
        <f aca="false">(K6-J6)*Assumptions!$B$37/100</f>
        <v>-712.259665162145</v>
      </c>
      <c r="L18" s="4" t="n">
        <f aca="false">(L6-K6)*Assumptions!$B$37/100</f>
        <v>-631.876074379562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10232.3987202</v>
      </c>
      <c r="D19" s="0" t="n">
        <f aca="false">D15+D16+D17+D18</f>
        <v>11376.50135076</v>
      </c>
      <c r="E19" s="0" t="n">
        <f aca="false">E15+E16+E17+E18</f>
        <v>12734.6506704648</v>
      </c>
      <c r="F19" s="0" t="n">
        <f aca="false">F15+F16+F17+F18</f>
        <v>14108.1387665564</v>
      </c>
      <c r="G19" s="0" t="n">
        <f aca="false">G15+G16+G17+G18</f>
        <v>15349.6365294249</v>
      </c>
      <c r="H19" s="0" t="n">
        <f aca="false">H15+H16+H17+H18</f>
        <v>16335.2901055968</v>
      </c>
      <c r="I19" s="0" t="n">
        <f aca="false">I15+I16+I17+I18</f>
        <v>17211.7247863061</v>
      </c>
      <c r="J19" s="0" t="n">
        <f aca="false">J15+J16+J17+J18</f>
        <v>17993.8185300011</v>
      </c>
      <c r="K19" s="0" t="n">
        <f aca="false">K15+K16+K17+K18</f>
        <v>18721.4400446448</v>
      </c>
      <c r="L19" s="0" t="n">
        <f aca="false">L15+L16+L17+L18</f>
        <v>19384.8346267216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9302.18065472728</v>
      </c>
      <c r="D21" s="0" t="n">
        <f aca="false">D19*D20</f>
        <v>9402.06723203306</v>
      </c>
      <c r="E21" s="0" t="n">
        <f aca="false">E19*E20</f>
        <v>9567.7315330314</v>
      </c>
      <c r="F21" s="0" t="n">
        <f aca="false">F19*F20</f>
        <v>9636.0486077156</v>
      </c>
      <c r="G21" s="0" t="n">
        <f aca="false">G19*G20</f>
        <v>9530.91662232764</v>
      </c>
      <c r="H21" s="0" t="n">
        <f aca="false">H19*H20</f>
        <v>9220.84540447482</v>
      </c>
      <c r="I21" s="0" t="n">
        <f aca="false">I19*I20</f>
        <v>8832.33630284562</v>
      </c>
      <c r="J21" s="0" t="n">
        <f aca="false">J19*J20</f>
        <v>8394.24914240015</v>
      </c>
      <c r="K21" s="0" t="n">
        <f aca="false">K19*K20</f>
        <v>7939.71813543713</v>
      </c>
      <c r="L21" s="0" t="n">
        <f aca="false">L19*L20</f>
        <v>7473.69290703373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5.9</v>
      </c>
      <c r="D23" s="4" t="n">
        <f aca="false">Assumptions!D30</f>
        <v>5.9</v>
      </c>
      <c r="E23" s="4" t="n">
        <f aca="false">Assumptions!E30</f>
        <v>5.9</v>
      </c>
      <c r="F23" s="4" t="n">
        <f aca="false">Assumptions!F30</f>
        <v>5.9</v>
      </c>
      <c r="G23" s="4" t="n">
        <f aca="false">Assumptions!G30</f>
        <v>5.9</v>
      </c>
      <c r="H23" s="4" t="n">
        <f aca="false">Assumptions!H30</f>
        <v>5.9</v>
      </c>
      <c r="I23" s="4" t="n">
        <f aca="false">Assumptions!I30</f>
        <v>5.9</v>
      </c>
      <c r="J23" s="4" t="n">
        <f aca="false">Assumptions!J30</f>
        <v>5.9</v>
      </c>
      <c r="K23" s="4" t="n">
        <f aca="false">Assumptions!K30</f>
        <v>5.9</v>
      </c>
      <c r="L23" s="4" t="n">
        <f aca="false">Assumptions!L30</f>
        <v>5.9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-5253.54231</v>
      </c>
      <c r="D24" s="0" t="n">
        <f aca="false">-D6*D23/100</f>
        <v>-5726.3611179</v>
      </c>
      <c r="E24" s="0" t="n">
        <f aca="false">-E6*E23/100</f>
        <v>-6184.470007332</v>
      </c>
      <c r="F24" s="0" t="n">
        <f aca="false">-F6*F23/100</f>
        <v>-6617.38290784524</v>
      </c>
      <c r="G24" s="0" t="n">
        <f aca="false">-G6*G23/100</f>
        <v>-7014.42588231596</v>
      </c>
      <c r="H24" s="0" t="n">
        <f aca="false">-H6*H23/100</f>
        <v>-7365.14717643176</v>
      </c>
      <c r="I24" s="0" t="n">
        <f aca="false">-I6*I23/100</f>
        <v>-7696.57879937118</v>
      </c>
      <c r="J24" s="0" t="n">
        <f aca="false">-J6*J23/100</f>
        <v>-8004.44195134603</v>
      </c>
      <c r="K24" s="0" t="n">
        <f aca="false">-K6*K23/100</f>
        <v>-8284.59741964314</v>
      </c>
      <c r="L24" s="0" t="n">
        <f aca="false">-L6*L23/100</f>
        <v>-8533.13534223244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89299.7865420264</v>
      </c>
    </row>
    <row r="31" customFormat="false" ht="15" hidden="false" customHeight="false" outlineLevel="0" collapsed="false">
      <c r="A31" s="0" t="s">
        <v>129</v>
      </c>
      <c r="B31" s="0" t="n">
        <f aca="false">L19</f>
        <v>19384.8346267216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264926.073231862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290772.519400824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264926.073231862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102140.469729461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191440.256271487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264063.256271487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111.724201246009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0.433280323874398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2825.39845662402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3048.26250460246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114.209325789835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158955.643939117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77.4325041058057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13</v>
      </c>
      <c r="D5" s="4" t="n">
        <f aca="false">Assumptions!D41</f>
        <v>12</v>
      </c>
      <c r="E5" s="4" t="n">
        <f aca="false">Assumptions!E41</f>
        <v>11</v>
      </c>
      <c r="F5" s="4" t="n">
        <f aca="false">Assumptions!F41</f>
        <v>10</v>
      </c>
      <c r="G5" s="4" t="n">
        <f aca="false">Assumptions!G41</f>
        <v>9</v>
      </c>
      <c r="H5" s="4" t="n">
        <f aca="false">Assumptions!H41</f>
        <v>8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38</v>
      </c>
      <c r="B6" s="3" t="n">
        <v>80219</v>
      </c>
      <c r="C6" s="0" t="n">
        <f aca="false">B6*(1+C5/100)</f>
        <v>90647.47</v>
      </c>
      <c r="D6" s="0" t="n">
        <f aca="false">C6*(1+D5/100)</f>
        <v>101525.1664</v>
      </c>
      <c r="E6" s="0" t="n">
        <f aca="false">D6*(1+E5/100)</f>
        <v>112692.934704</v>
      </c>
      <c r="F6" s="0" t="n">
        <f aca="false">E6*(1+F5/100)</f>
        <v>123962.2281744</v>
      </c>
      <c r="G6" s="0" t="n">
        <f aca="false">F6*(1+G5/100)</f>
        <v>135118.828710096</v>
      </c>
      <c r="H6" s="0" t="n">
        <f aca="false">G6*(1+H5/100)</f>
        <v>145928.335006904</v>
      </c>
      <c r="I6" s="0" t="n">
        <f aca="false">H6*(1+I5/100)</f>
        <v>156143.318457387</v>
      </c>
      <c r="J6" s="0" t="n">
        <f aca="false">I6*(1+J5/100)</f>
        <v>165511.91756483</v>
      </c>
      <c r="K6" s="0" t="n">
        <f aca="false">J6*(1+K5/100)</f>
        <v>173787.513443072</v>
      </c>
      <c r="L6" s="0" t="n">
        <f aca="false">K6*(1+L5/100)</f>
        <v>180739.013980795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32.3</v>
      </c>
      <c r="D7" s="4" t="n">
        <f aca="false">Assumptions!D42</f>
        <v>32.6</v>
      </c>
      <c r="E7" s="4" t="n">
        <f aca="false">Assumptions!E42</f>
        <v>32.9</v>
      </c>
      <c r="F7" s="4" t="n">
        <f aca="false">Assumptions!F42</f>
        <v>33.2</v>
      </c>
      <c r="G7" s="4" t="n">
        <f aca="false">Assumptions!G42</f>
        <v>33.5</v>
      </c>
      <c r="H7" s="4" t="n">
        <f aca="false">Assumptions!H42</f>
        <v>33.5</v>
      </c>
      <c r="I7" s="4" t="n">
        <f aca="false">Assumptions!I42</f>
        <v>33.5</v>
      </c>
      <c r="J7" s="4" t="n">
        <f aca="false">Assumptions!J42</f>
        <v>33.5</v>
      </c>
      <c r="K7" s="4" t="n">
        <f aca="false">Assumptions!K42</f>
        <v>33.5</v>
      </c>
      <c r="L7" s="4" t="n">
        <f aca="false">Assumptions!L42</f>
        <v>33.5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29279.13281</v>
      </c>
      <c r="D8" s="0" t="n">
        <f aca="false">D6*D7/100</f>
        <v>33097.2042464</v>
      </c>
      <c r="E8" s="0" t="n">
        <f aca="false">E6*E7/100</f>
        <v>37075.975517616</v>
      </c>
      <c r="F8" s="0" t="n">
        <f aca="false">F6*F7/100</f>
        <v>41155.4597539008</v>
      </c>
      <c r="G8" s="0" t="n">
        <f aca="false">G6*G7/100</f>
        <v>45264.8076178822</v>
      </c>
      <c r="H8" s="0" t="n">
        <f aca="false">H6*H7/100</f>
        <v>48885.9922273128</v>
      </c>
      <c r="I8" s="0" t="n">
        <f aca="false">I6*I7/100</f>
        <v>52308.0116832246</v>
      </c>
      <c r="J8" s="0" t="n">
        <f aca="false">J6*J7/100</f>
        <v>55446.4923842181</v>
      </c>
      <c r="K8" s="0" t="n">
        <f aca="false">K6*K7/100</f>
        <v>58218.817003429</v>
      </c>
      <c r="L8" s="0" t="n">
        <f aca="false">L6*L7/100</f>
        <v>60547.5696835662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0.4</v>
      </c>
      <c r="D9" s="4" t="n">
        <f aca="false">Assumptions!D43</f>
        <v>0.4</v>
      </c>
      <c r="E9" s="4" t="n">
        <f aca="false">Assumptions!E43</f>
        <v>0.4</v>
      </c>
      <c r="F9" s="4" t="n">
        <f aca="false">Assumptions!F43</f>
        <v>0.4</v>
      </c>
      <c r="G9" s="4" t="n">
        <f aca="false">Assumptions!G43</f>
        <v>0.4</v>
      </c>
      <c r="H9" s="4" t="n">
        <f aca="false">Assumptions!H43</f>
        <v>0.4</v>
      </c>
      <c r="I9" s="4" t="n">
        <f aca="false">Assumptions!I43</f>
        <v>0.4</v>
      </c>
      <c r="J9" s="4" t="n">
        <f aca="false">Assumptions!J43</f>
        <v>0.4</v>
      </c>
      <c r="K9" s="4" t="n">
        <f aca="false">Assumptions!K43</f>
        <v>0.4</v>
      </c>
      <c r="L9" s="4" t="n">
        <f aca="false">Assumptions!L43</f>
        <v>0.4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-362.58988</v>
      </c>
      <c r="D10" s="0" t="n">
        <f aca="false">-D6*D9/100</f>
        <v>-406.1006656</v>
      </c>
      <c r="E10" s="0" t="n">
        <f aca="false">-E6*E9/100</f>
        <v>-450.771738816</v>
      </c>
      <c r="F10" s="0" t="n">
        <f aca="false">-F6*F9/100</f>
        <v>-495.8489126976</v>
      </c>
      <c r="G10" s="0" t="n">
        <f aca="false">-G6*G9/100</f>
        <v>-540.475314840384</v>
      </c>
      <c r="H10" s="0" t="n">
        <f aca="false">-H6*H9/100</f>
        <v>-583.713340027615</v>
      </c>
      <c r="I10" s="0" t="n">
        <f aca="false">-I6*I9/100</f>
        <v>-624.573273829548</v>
      </c>
      <c r="J10" s="0" t="n">
        <f aca="false">-J6*J9/100</f>
        <v>-662.047670259321</v>
      </c>
      <c r="K10" s="0" t="n">
        <f aca="false">-K6*K9/100</f>
        <v>-695.150053772287</v>
      </c>
      <c r="L10" s="0" t="n">
        <f aca="false">-L6*L9/100</f>
        <v>-722.956055923179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23568.3422</v>
      </c>
      <c r="D11" s="0" t="n">
        <f aca="false">D8+D10+D24</f>
        <v>26802.6439296</v>
      </c>
      <c r="E11" s="0" t="n">
        <f aca="false">E8+E10+E24</f>
        <v>30201.706500672</v>
      </c>
      <c r="F11" s="0" t="n">
        <f aca="false">F8+F10+F24</f>
        <v>33717.7260634368</v>
      </c>
      <c r="G11" s="0" t="n">
        <f aca="false">G8+G10+G24</f>
        <v>37292.7967239865</v>
      </c>
      <c r="H11" s="0" t="n">
        <f aca="false">H8+H10+H24</f>
        <v>40276.2204619054</v>
      </c>
      <c r="I11" s="0" t="n">
        <f aca="false">I8+I10+I24</f>
        <v>43095.5558942388</v>
      </c>
      <c r="J11" s="0" t="n">
        <f aca="false">J8+J10+J24</f>
        <v>45681.2892478932</v>
      </c>
      <c r="K11" s="0" t="n">
        <f aca="false">K8+K10+K24</f>
        <v>47965.3537102878</v>
      </c>
      <c r="L11" s="0" t="n">
        <f aca="false">L8+L10+L24</f>
        <v>49883.9678586993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-1994.24434</v>
      </c>
      <c r="D12" s="4" t="n">
        <f aca="false">-D6*Assumptions!D45/100</f>
        <v>-2335.0788272</v>
      </c>
      <c r="E12" s="4" t="n">
        <f aca="false">-E6*Assumptions!E45/100</f>
        <v>-2704.630432896</v>
      </c>
      <c r="F12" s="4" t="n">
        <f aca="false">-F6*Assumptions!F45/100</f>
        <v>-3099.05570436</v>
      </c>
      <c r="G12" s="4" t="n">
        <f aca="false">-G6*Assumptions!G45/100</f>
        <v>-3513.0895464625</v>
      </c>
      <c r="H12" s="4" t="n">
        <f aca="false">-H6*Assumptions!H45/100</f>
        <v>-3940.0650451864</v>
      </c>
      <c r="I12" s="4" t="n">
        <f aca="false">-I6*Assumptions!I45/100</f>
        <v>-4372.01291680684</v>
      </c>
      <c r="J12" s="4" t="n">
        <f aca="false">-J6*Assumptions!J45/100</f>
        <v>-4634.33369181525</v>
      </c>
      <c r="K12" s="4" t="n">
        <f aca="false">-K6*Assumptions!K45/100</f>
        <v>-4866.05037640601</v>
      </c>
      <c r="L12" s="4" t="n">
        <f aca="false">-L6*Assumptions!L45/100</f>
        <v>-5060.69239146225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21574.09786</v>
      </c>
      <c r="D13" s="0" t="n">
        <f aca="false">D11+D12</f>
        <v>24467.5651024</v>
      </c>
      <c r="E13" s="0" t="n">
        <f aca="false">E11+E12</f>
        <v>27497.076067776</v>
      </c>
      <c r="F13" s="0" t="n">
        <f aca="false">F11+F12</f>
        <v>30618.6703590768</v>
      </c>
      <c r="G13" s="0" t="n">
        <f aca="false">G11+G12</f>
        <v>33779.707177524</v>
      </c>
      <c r="H13" s="0" t="n">
        <f aca="false">H11+H12</f>
        <v>36336.155416719</v>
      </c>
      <c r="I13" s="0" t="n">
        <f aca="false">I11+I12</f>
        <v>38723.542977432</v>
      </c>
      <c r="J13" s="0" t="n">
        <f aca="false">J11+J12</f>
        <v>41046.9555560779</v>
      </c>
      <c r="K13" s="0" t="n">
        <f aca="false">K11+K12</f>
        <v>43099.3033338818</v>
      </c>
      <c r="L13" s="0" t="n">
        <f aca="false">L11+L12</f>
        <v>44823.2754672371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39.5</v>
      </c>
      <c r="D14" s="4" t="n">
        <f aca="false">Assumptions!D47</f>
        <v>40</v>
      </c>
      <c r="E14" s="4" t="n">
        <f aca="false">Assumptions!E47</f>
        <v>40</v>
      </c>
      <c r="F14" s="4" t="n">
        <f aca="false">Assumptions!F47</f>
        <v>40</v>
      </c>
      <c r="G14" s="4" t="n">
        <f aca="false">Assumptions!G47</f>
        <v>40</v>
      </c>
      <c r="H14" s="4" t="n">
        <f aca="false">Assumptions!H47</f>
        <v>40</v>
      </c>
      <c r="I14" s="4" t="n">
        <f aca="false">Assumptions!I47</f>
        <v>40</v>
      </c>
      <c r="J14" s="4" t="n">
        <f aca="false">Assumptions!J47</f>
        <v>40</v>
      </c>
      <c r="K14" s="4" t="n">
        <f aca="false">Assumptions!K47</f>
        <v>40</v>
      </c>
      <c r="L14" s="4" t="n">
        <f aca="false">Assumptions!L47</f>
        <v>40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13052.3292053</v>
      </c>
      <c r="D15" s="0" t="n">
        <f aca="false">D13-MAX(0,D13)*D14/100</f>
        <v>14680.53906144</v>
      </c>
      <c r="E15" s="0" t="n">
        <f aca="false">E13-MAX(0,E13)*E14/100</f>
        <v>16498.2456406656</v>
      </c>
      <c r="F15" s="0" t="n">
        <f aca="false">F13-MAX(0,F13)*F14/100</f>
        <v>18371.2022154461</v>
      </c>
      <c r="G15" s="0" t="n">
        <f aca="false">G13-MAX(0,G13)*G14/100</f>
        <v>20267.8243065144</v>
      </c>
      <c r="H15" s="0" t="n">
        <f aca="false">H13-MAX(0,H13)*H14/100</f>
        <v>21801.6932500314</v>
      </c>
      <c r="I15" s="0" t="n">
        <f aca="false">I13-MAX(0,I13)*I14/100</f>
        <v>23234.1257864592</v>
      </c>
      <c r="J15" s="0" t="n">
        <f aca="false">J13-MAX(0,J13)*J14/100</f>
        <v>24628.1733336467</v>
      </c>
      <c r="K15" s="0" t="n">
        <f aca="false">K13-MAX(0,K13)*K14/100</f>
        <v>25859.5820003291</v>
      </c>
      <c r="L15" s="0" t="n">
        <f aca="false">L13-MAX(0,L13)*L14/100</f>
        <v>26893.9652803422</v>
      </c>
    </row>
    <row r="16" customFormat="false" ht="15" hidden="false" customHeight="false" outlineLevel="0" collapsed="false">
      <c r="A16" s="0" t="s">
        <v>120</v>
      </c>
      <c r="C16" s="0" t="n">
        <f aca="false">-C12</f>
        <v>1994.24434</v>
      </c>
      <c r="D16" s="0" t="n">
        <f aca="false">-D12</f>
        <v>2335.0788272</v>
      </c>
      <c r="E16" s="0" t="n">
        <f aca="false">-E12</f>
        <v>2704.630432896</v>
      </c>
      <c r="F16" s="0" t="n">
        <f aca="false">-F12</f>
        <v>3099.05570436</v>
      </c>
      <c r="G16" s="0" t="n">
        <f aca="false">-G12</f>
        <v>3513.0895464625</v>
      </c>
      <c r="H16" s="0" t="n">
        <f aca="false">-H12</f>
        <v>3940.0650451864</v>
      </c>
      <c r="I16" s="0" t="n">
        <f aca="false">-I12</f>
        <v>4372.01291680684</v>
      </c>
      <c r="J16" s="0" t="n">
        <f aca="false">-J12</f>
        <v>4634.33369181525</v>
      </c>
      <c r="K16" s="0" t="n">
        <f aca="false">-K12</f>
        <v>4866.05037640601</v>
      </c>
      <c r="L16" s="0" t="n">
        <f aca="false">-L12</f>
        <v>5060.69239146225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-3172.66145</v>
      </c>
      <c r="D17" s="4" t="n">
        <f aca="false">-D6*Assumptions!D46/100</f>
        <v>-3553.380824</v>
      </c>
      <c r="E17" s="4" t="n">
        <f aca="false">-E6*Assumptions!E46/100</f>
        <v>-3718.866845232</v>
      </c>
      <c r="F17" s="4" t="n">
        <f aca="false">-F6*Assumptions!F46/100</f>
        <v>-3842.8290734064</v>
      </c>
      <c r="G17" s="4" t="n">
        <f aca="false">-G6*Assumptions!G46/100</f>
        <v>-4053.56486130288</v>
      </c>
      <c r="H17" s="4" t="n">
        <f aca="false">-H6*Assumptions!H46/100</f>
        <v>-4377.85005020711</v>
      </c>
      <c r="I17" s="4" t="n">
        <f aca="false">-I6*Assumptions!I46/100</f>
        <v>-4684.29955372161</v>
      </c>
      <c r="J17" s="4" t="n">
        <f aca="false">-J6*Assumptions!J46/100</f>
        <v>-4965.35752694491</v>
      </c>
      <c r="K17" s="4" t="n">
        <f aca="false">-K6*Assumptions!K46/100</f>
        <v>-5213.62540329215</v>
      </c>
      <c r="L17" s="4" t="n">
        <f aca="false">-L6*Assumptions!L46/100</f>
        <v>-5422.17041942384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-1564.2705</v>
      </c>
      <c r="D18" s="4" t="n">
        <f aca="false">(D6-C6)*Assumptions!$B$51/100</f>
        <v>-1631.65446</v>
      </c>
      <c r="E18" s="4" t="n">
        <f aca="false">(E6-D6)*Assumptions!$B$51/100</f>
        <v>-1675.1652456</v>
      </c>
      <c r="F18" s="4" t="n">
        <f aca="false">(F6-E6)*Assumptions!$B$51/100</f>
        <v>-1690.39402056</v>
      </c>
      <c r="G18" s="4" t="n">
        <f aca="false">(G6-F6)*Assumptions!$B$51/100</f>
        <v>-1673.4900803544</v>
      </c>
      <c r="H18" s="4" t="n">
        <f aca="false">(H6-G6)*Assumptions!$B$51/100</f>
        <v>-1621.42594452115</v>
      </c>
      <c r="I18" s="4" t="n">
        <f aca="false">(I6-H6)*Assumptions!$B$51/100</f>
        <v>-1532.24751757249</v>
      </c>
      <c r="J18" s="4" t="n">
        <f aca="false">(J6-I6)*Assumptions!$B$51/100</f>
        <v>-1405.28986611649</v>
      </c>
      <c r="K18" s="4" t="n">
        <f aca="false">(K6-J6)*Assumptions!$B$51/100</f>
        <v>-1241.33938173623</v>
      </c>
      <c r="L18" s="4" t="n">
        <f aca="false">(L6-K6)*Assumptions!$B$51/100</f>
        <v>-1042.72508065843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10309.6415953</v>
      </c>
      <c r="D19" s="0" t="n">
        <f aca="false">D15+D16+D17+D18</f>
        <v>11830.58260464</v>
      </c>
      <c r="E19" s="0" t="n">
        <f aca="false">E15+E16+E17+E18</f>
        <v>13808.8439827296</v>
      </c>
      <c r="F19" s="0" t="n">
        <f aca="false">F15+F16+F17+F18</f>
        <v>15937.0348258397</v>
      </c>
      <c r="G19" s="0" t="n">
        <f aca="false">G15+G16+G17+G18</f>
        <v>18053.8589113196</v>
      </c>
      <c r="H19" s="0" t="n">
        <f aca="false">H15+H16+H17+H18</f>
        <v>19742.4823004896</v>
      </c>
      <c r="I19" s="0" t="n">
        <f aca="false">I15+I16+I17+I18</f>
        <v>21389.5916319719</v>
      </c>
      <c r="J19" s="0" t="n">
        <f aca="false">J15+J16+J17+J18</f>
        <v>22891.8596324006</v>
      </c>
      <c r="K19" s="0" t="n">
        <f aca="false">K15+K16+K17+K18</f>
        <v>24270.6675917067</v>
      </c>
      <c r="L19" s="0" t="n">
        <f aca="false">L15+L16+L17+L18</f>
        <v>25489.7621717222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9372.40145027272</v>
      </c>
      <c r="D21" s="0" t="n">
        <f aca="false">D19*D20</f>
        <v>9777.34099557025</v>
      </c>
      <c r="E21" s="0" t="n">
        <f aca="false">E19*E20</f>
        <v>10374.7888675654</v>
      </c>
      <c r="F21" s="0" t="n">
        <f aca="false">F19*F20</f>
        <v>10885.2092246702</v>
      </c>
      <c r="G21" s="0" t="n">
        <f aca="false">G19*G20</f>
        <v>11210.0259615399</v>
      </c>
      <c r="H21" s="0" t="n">
        <f aca="false">H19*H20</f>
        <v>11144.1165731745</v>
      </c>
      <c r="I21" s="0" t="n">
        <f aca="false">I19*I20</f>
        <v>10976.242591586</v>
      </c>
      <c r="J21" s="0" t="n">
        <f aca="false">J19*J20</f>
        <v>10679.2214652401</v>
      </c>
      <c r="K21" s="0" t="n">
        <f aca="false">K19*K20</f>
        <v>10293.1323219531</v>
      </c>
      <c r="L21" s="0" t="n">
        <f aca="false">L19*L20</f>
        <v>9827.40675446223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5.9</v>
      </c>
      <c r="D23" s="4" t="n">
        <f aca="false">Assumptions!D44</f>
        <v>5.8</v>
      </c>
      <c r="E23" s="4" t="n">
        <f aca="false">Assumptions!E44</f>
        <v>5.7</v>
      </c>
      <c r="F23" s="4" t="n">
        <f aca="false">Assumptions!F44</f>
        <v>5.6</v>
      </c>
      <c r="G23" s="4" t="n">
        <f aca="false">Assumptions!G44</f>
        <v>5.5</v>
      </c>
      <c r="H23" s="4" t="n">
        <f aca="false">Assumptions!H44</f>
        <v>5.5</v>
      </c>
      <c r="I23" s="4" t="n">
        <f aca="false">Assumptions!I44</f>
        <v>5.5</v>
      </c>
      <c r="J23" s="4" t="n">
        <f aca="false">Assumptions!J44</f>
        <v>5.5</v>
      </c>
      <c r="K23" s="4" t="n">
        <f aca="false">Assumptions!K44</f>
        <v>5.5</v>
      </c>
      <c r="L23" s="4" t="n">
        <f aca="false">Assumptions!L44</f>
        <v>5.5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-5348.20073</v>
      </c>
      <c r="D24" s="0" t="n">
        <f aca="false">-D6*D23/100</f>
        <v>-5888.4596512</v>
      </c>
      <c r="E24" s="0" t="n">
        <f aca="false">-E6*E23/100</f>
        <v>-6423.497278128</v>
      </c>
      <c r="F24" s="0" t="n">
        <f aca="false">-F6*F23/100</f>
        <v>-6941.8847777664</v>
      </c>
      <c r="G24" s="0" t="n">
        <f aca="false">-G6*G23/100</f>
        <v>-7431.53557905528</v>
      </c>
      <c r="H24" s="0" t="n">
        <f aca="false">-H6*H23/100</f>
        <v>-8026.05842537971</v>
      </c>
      <c r="I24" s="0" t="n">
        <f aca="false">-I6*I23/100</f>
        <v>-8587.88251515629</v>
      </c>
      <c r="J24" s="0" t="n">
        <f aca="false">-J6*J23/100</f>
        <v>-9103.15546606566</v>
      </c>
      <c r="K24" s="0" t="n">
        <f aca="false">-K6*K23/100</f>
        <v>-9558.31323936895</v>
      </c>
      <c r="L24" s="0" t="n">
        <f aca="false">-L6*L23/100</f>
        <v>-9940.64576894371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104539.886206034</v>
      </c>
    </row>
    <row r="31" customFormat="false" ht="15" hidden="false" customHeight="false" outlineLevel="0" collapsed="false">
      <c r="A31" s="0" t="s">
        <v>129</v>
      </c>
      <c r="B31" s="0" t="n">
        <f aca="false">L19</f>
        <v>25489.7621717222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348360.083013537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382346.432575833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348360.083013537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134307.892310984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238847.778517018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311470.778517018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131.782151112722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0.69059847482645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3210.57142572481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3809.32169748618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134.752242306389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209016.049808122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87.4228398423582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86.879143163514</v>
      </c>
      <c r="C4" s="0" t="n">
        <f aca="false">B4/Assumptions!$B$2-1</f>
        <v>0.114549623649955</v>
      </c>
      <c r="D4" s="4" t="n">
        <f aca="false">Assumptions!$B$24</f>
        <v>0.2</v>
      </c>
      <c r="E4" s="4" t="n">
        <f aca="false">DCF_Bear!$B$43</f>
        <v>88.9155287215612</v>
      </c>
      <c r="F4" s="4" t="n">
        <f aca="false">DCF_Bear!$B$47</f>
        <v>64.3154004304744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111.724201246009</v>
      </c>
      <c r="C5" s="0" t="n">
        <f aca="false">B5/Assumptions!$B$2-1</f>
        <v>0.433280323874398</v>
      </c>
      <c r="D5" s="4" t="n">
        <f aca="false">Assumptions!$B$38</f>
        <v>0.5</v>
      </c>
      <c r="E5" s="4" t="n">
        <f aca="false">DCF_Base!$B$43</f>
        <v>114.209325789835</v>
      </c>
      <c r="F5" s="4" t="n">
        <f aca="false">DCF_Base!$B$47</f>
        <v>77.4325041058057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131.782151112722</v>
      </c>
      <c r="C6" s="0" t="n">
        <f aca="false">B6/Assumptions!$B$2-1</f>
        <v>0.69059847482645</v>
      </c>
      <c r="D6" s="4" t="n">
        <f aca="false">Assumptions!$B$52</f>
        <v>0.3</v>
      </c>
      <c r="E6" s="4" t="n">
        <f aca="false">DCF_Bull!$B$43</f>
        <v>134.752242306389</v>
      </c>
      <c r="F6" s="4" t="n">
        <f aca="false">DCF_Bull!$B$47</f>
        <v>87.4228398423582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112.772574589524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115.313441331147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0.308785843688265</v>
      </c>
    </row>
    <row r="11" customFormat="false" ht="15" hidden="false" customHeight="false" outlineLevel="0" collapsed="false">
      <c r="A11" s="0" t="s">
        <v>156</v>
      </c>
      <c r="B11" s="0" t="n">
        <f aca="false">IF(ABS(B9-B8)&gt;0.01*ABS(B8),(Assumptions!$B$2-B8)/(B9-B8)*100,"n/a")</f>
        <v>-1370.49983846398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77.8061840917052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122.36367003327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111.724201246009</v>
      </c>
      <c r="C16" s="3" t="n">
        <v>10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101.582234258103</v>
      </c>
      <c r="C17" s="3" t="n">
        <v>11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93.6022021059506</v>
      </c>
      <c r="C18" s="3" t="n">
        <v>12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77.4325041058057</v>
      </c>
      <c r="C19" s="3" t="n">
        <v>15</v>
      </c>
    </row>
    <row r="21" customFormat="false" ht="15" hidden="false" customHeight="false" outlineLevel="0" collapsed="false">
      <c r="A21" s="2" t="s">
        <v>165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129.409677598949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129.409677598949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129.409677598949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129.409677598949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129.409677598949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117.282452047077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120.878898543798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122.36367003327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122.36367003327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122.36367003327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106.268042107239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108.825616703538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111.724201246009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115.036869294548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115.940324216877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97.6116716877613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99.4866595682002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101.582234258103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103.939755784243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106.611613513868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90.6371913309024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92.0455714490503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93.6022021059506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95.3317917247288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97.2648624751279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2026-10-17T01:49:31Z</dcterms:created>
  <dc:creator>openpyxl</dc:creator>
  <dc:description/>
  <dc:language>en-NZ</dc:language>
  <cp:lastModifiedBy/>
  <dcterms:modified xsi:type="dcterms:W3CDTF">2026-10-17T01:49:31Z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