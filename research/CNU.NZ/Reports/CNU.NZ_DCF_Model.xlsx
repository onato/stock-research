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<sst xmlns="http://schemas.openxmlformats.org/spreadsheetml/2006/main" count="571" uniqueCount="391">
  <si>
    <t xml:space="preserve">Ticker</t>
  </si>
  <si>
    <t xml:space="preserve">CNU.NZ</t>
  </si>
  <si>
    <t xml:space="preserve">Company</t>
  </si>
  <si>
    <t xml:space="preserve">Chorus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</si>
  <si>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</si>
  <si>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</si>
  <si>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</si>
  <si>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</si>
  <si>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2026-09-25T05:00:31Z regular close (Yahoo Finance chart API)</t>
  </si>
  <si>
    <t xml:space="preserve">Balance sheet date</t>
  </si>
  <si>
    <t xml:space="preserve">2026-06-30 (FY2026 year-end, net debt only per disclosed YoY movement; full FY2026 balance sheet not yet extracted)</t>
  </si>
  <si>
    <t xml:space="preserve">Model</t>
  </si>
  <si>
    <t xml:space="preserve">Unlevered owner-FCF enterprise DCF (net debt subtracted once; EV/EBITDA terminal cap binding over Gordon growth) -- regulated RAB/building-blocks infrastructure route per dcf-methods SKILL.md non-US/cyclical adaptations row</t>
  </si>
  <si>
    <t xml:space="preserve">Currency (model)</t>
  </si>
  <si>
    <t xml:space="preserve">NZD</t>
  </si>
  <si>
    <t xml:space="preserve">Currency (quote)</t>
  </si>
  <si>
    <t xml:space="preserve">Units</t>
  </si>
  <si>
    <t xml:space="preserve">millions</t>
  </si>
  <si>
    <t xml:space="preserve">Convention</t>
  </si>
  <si>
    <t xml:space="preserve">Percents stored as percents; formulas divide by 100. Blue = input, green = link, black = formula. Terminal value = MIN(Gordon growth, EV/EBITDA cap x Year-10 EBITDA).</t>
  </si>
  <si>
    <t xml:space="preserve">Methodology</t>
  </si>
  <si>
    <t xml:space="preserve">Chorus is a regulated, high-leverage, income-oriented fibre network utility, not a growth compounder. The correct framing is dividend-plus-modest-growth (FY2026 dividend 60cps, FY2027 guided minimum 62cps ~7.4% yield at $8.43), underpinned by the Commerce Commission's PQ2 (2025-2028) building-blocks/RAB revenue-and-capex framework and a post-UFB-build capex taper that is inflecting reported FCF from structurally negative (-$258m FY2018) to positive and rising ($368m FY2026 free cash flow for capital allocation per management's own measure). This DCF is built on UNLEVERED (enterprise) owner FCF -- EBIT*(1-cash tax)+D&amp;A-capex, with NO interest deduction -- discounted at WACC, with net debt subtracted once from enterprise value to reach equity value. This is standard enterprise-DCF practice and is essential here because Chorus's REPORTED FCF (OCF-capex, used in the Metrics.csv) is LEVERED (net of ~$175-220m/yr cash interest paid), and discounting levered FCF at WACC while also subtracting net debt would double-count Chorus's leverage. Given a market cap of only ~$3.75bn against ~$3.13bn of FY2026 net debt (net debt is ~83% of market cap and ~4.31x FY26 EBITDA on a net-debt/EBITDA-per-covenant basis of ~4.75x using the company's own gross measure), the equity value is extremely sensitive to WACC -- see the sensitivity matrix, which shows intrinsic value ranging from ~$10.82 at 5% WACC down to ~$5.9-6.2 at 9% WACC on an unchanged FCF path. This is a mechanical consequence of leverage (a fixed-dollar net debt deduction against a discount-rate-sensitive enterprise value), not a modelling artefact.</t>
  </si>
  <si>
    <t xml:space="preserve">WACC rationale</t>
  </si>
  <si>
    <t xml:space="preserve">approach: Bottom-up CAPM build, cross-checked against the Commerce Commission's own PQ2 allowed WACC determination.
risk_free_rate_pct: 4.5
equity_risk_premium_pct: 5.5
asset_beta_unlevered: 0.4
asset_beta_rationale: Regulated network utility with contracted/RAB-set cash flows typically carries a low unlevered/asset beta (0.35-0.45); 0.40 used -- unchanged. Note: the Commerce Commission's 25-Aug-2026 Tranche 1 decision on the 2027 Fibre IM Review signalled a preliminary view (reported mid-Sep-2026) toward REDUCING the assessed systematic risk of fibre businesses for the PQ3 (from 2029) determination, which if it flows through to the Commission's own asset-beta assumption would argue for the low end of the 0.35-0.45 range, not a change today. Final cost-of-capital parameters are due Q4 2026, after this valuation date -- deliberately NOT pre-empted here; see risk_addon_rationale.
debt_to_equity_for_relevering: 0.75
relevered_equity_beta: 0.62
cost_of_equity_pct: 7.9
pretax_cost_of_debt_pct: 4.9
cost_of_debt_basis: H1 FY2026 weighted average interest rate per company disclosure -- unchanged; Chorus issued EUR400m 7-year notes at 3.529% and repurchased EUR243m of 2026-maturity notes at 81.5% of face in Feb-2026, consistent with this cost-of-debt level.
tax_rate_for_relevering_pct: 28
aftertax_cost_of_debt_pct: 3.53
weight_debt_pct: 45.5
weight_equity_pct: 54.5
capital_weights_basis: Market-value weights: FY26 net debt $3,129m / equity market cap ~$3,751m at current price $8.43 x 445m shares.
bottom_up_wacc_pct: 5.92
regulatory_cross_check: The Commerce Commission has SET Chorus's allowed WACC at 7.68% PRE-TAX for the PQ2 period (1-Jan-2025 to 31-Dec-2028). Converted to a rough post-tax equivalent at the 28% statutory rate, that is approximately 5.53% post-tax -- broadly consistent with (slightly below) the ~5.9% bottom-up build. The regulatory figure uses the regulator's notional benchmark gearing for the RAB, not Chorus's actual capital structure or equity-holder risk, and does not price PQ3 (2029 reset) uncertainty or refinancing risk.
regulatory_and_refinancing_risk_addon_pct: 1.08
risk_addon_rationale: Held UNCHANGED in this update (base WACC still 7.0%), deliberately not moved ahead of the Commerce Commission's Q4-2026 final cost-of-capital determination for PQ3, despite the Aug/Sep-2026 preliminary signal toward lower assessed systematic risk for fibre. That signal, if it firms up, is the upside catalyst already captured qualitatively in the bull scenario's lower WACC (6.3%) and reflected as the single largest swing factor named in the guidance commentary. Moving the base case WACC now on a preliminary, non-final regulatory signal would be pre-empting a determination that has not yet been made; the addon continues to reflect (a) PQ3 reset uncertainty generally, (b) refinancing/interest-rate risk on the EUR/AUD medium-term note stack recurring through 2032, and (c) leverage at the top of Chorus's own 4.75x net-debt/EBITDA policy tolerance (FY26 actual ~4.75x, no headroom), which if anything argues against lowering the addon this cycle even as the regulatory-risk component of it may ultimately fall.
final_wacc_base_pct: 7.0
final_wacc_bull_pct: 6.3
final_wacc_bear_pct: 8.0
bull_bear_rationale: Bull reflects the Commerce Commission's preliminary lower-systematic-risk signal for fibre being confirmed at the Q4-2026 PQ3 determination plus an improving credit profile (S&amp;P positive outlook) compressing WACC toward the bottom-up/regulatory-cross-check range; bear reflects an adverse PQ3 reset (assessed risk NOT reduced, or RAB rollforward pressured), higher-for-longer refinancing rates, and leverage stress given FY26 net debt/EBITDA is already at the ~4.75x policy ceiling with no headroom.</t>
  </si>
  <si>
    <t xml:space="preserve">Sanity check</t>
  </si>
  <si>
    <t xml:space="preserve">methodology: 10-year historical trading multiples computed from Yahoo Finance monthly closes aligned to Chorus's 30-June fiscal year-end, against FY-end shareholders' equity, revenue, and EBITDA. P/E is deliberately EXCLUDED (see growth_rate_rejections.pe_and_net_income_rejected) as meaningless given near-zero/negative-to-thin net income history.
historical_multiples: fy_end_data: fy: FY2018
price: 4.31
pb: 1.81
ps: 1.87
ev_ebitda: 5.53; fy: FY2019
price: 5.53
pb: 2.48
ps: 2.5
ev_ebitda: 6.9; fy: FY2020
price: 7.46
pb: 3.58
ps: 3.46
ev_ebitda: 8.7; fy: FY2021
price: 6.16
pb: 2.78
ps: 2.88
ev_ebitda: 7.71; fy: FY2022
price: 7.99
pb: 3.47
ps: 3.7
ev_ebitda: 8.59; fy: FY2023
price: 8.6
pb: 3.58
ps: 3.89
ev_ebitda: 9.32; fy: FY2024
price: 7.9
pb: 4.08
ps: 3.39
ev_ebitda: 8.58; fy: FY2025
price: 8.715
pb: 6.69
ps: 3.74
ev_ebitda: 9.71
pb_median: 3.52
pb_range: 1.81; 6.69
ps_median: 3.43
ps_range: 1.87; 3.89
ev_ebitda_median: 8.59
ev_ebitda_range: 5.53; 9.71
ev_ebitda_recent_3yr_avg: 9.2
current_ev_ebitda_on_fy26_ebitda: 9.48
current_pb_on_h1_2026_equity: 8.72
note: FY2026 (30-Jun-2026) data point not yet added to the historical multiples table pending extraction of the FY2026 annual report (only the results announcement is in the Analysis JSON); current_ev_ebitda_on_fy26_ebitda uses today's price and FY26 actual EBITDA as a like-for-like cross-check instead.
base_case_implied_multiples: implied_ev_ebitda_on_fy26_ebitda: 9.4
implied_pb_on_h1_2026_equity: 8.59
check_result: PASS
note_on_calibration: This update re-verifies (does not re-derive) the prior build's Step-8c fix: an 8.0x base-case terminal EV/EBITDA cap was set on 2026-08-10 after an initial 9.0x cap produced an intrinsic value implying an EV/EBITDA (10.53-10.56x) above the entire 10-year historical trading range. With FY2026 actuals now in, the base case's implied EV/EBITDA on FY26 actual EBITDA is 9.4x -- within (near the top of) the 5.53x-9.71x historical range and close to the recent 3-year average of 9.20x -- confirming the 8.0x cap remains appropriately calibrated and does not need to move on this update's evidence.
note_on_pb: P/B for Chorus remains a poor anchor because shareholders' equity is shrinking mechanically from the dividend policy (see growth_rate_rejections) even as FY26 net profit turned meaningfully positive ($37m). EV/EBITDA continues to be weighted more heavily as the reliable cross-check multiple.</t>
  </si>
  <si>
    <t xml:space="preserve">Item</t>
  </si>
  <si>
    <t xml:space="preserve">Value</t>
  </si>
  <si>
    <t xml:space="preserve">Note</t>
  </si>
  <si>
    <t xml:space="preserve">Prior valuation_date</t>
  </si>
  <si>
    <t xml:space="preserve">2026-08-10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</si>
  <si>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</si>
  <si>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</si>
  <si>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</si>
  <si>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</si>
  <si>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</si>
  <si>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Bridge</t>
  </si>
  <si>
    <t xml:space="preserve">Prior weighted IV (2026-08-10 vintage)</t>
  </si>
  <si>
    <t xml:space="preserve">Price refresh $8.41 -&gt; $8.43 (2026-09-25); negligible per-share effect, not a driver of IV</t>
  </si>
  <si>
    <t xml:space="preserve">Net debt anchor refreshed from H1-2026 ($3,175m) to FY2026 year-end actual ($3,129m, +$72m YoY per FY26 results) -- LOWER net debt by $46m adds value</t>
  </si>
  <si>
    <t xml:space="preserve">Year-1 (FY2027) driver re-judged to management's own FY27 guidance (EBITDA midpoint $745m, capex midpoint $395m) vs the prior build's un-anchored Year-1 projection ($740.1m EBITDA, $392m capex) -- immaterial net change since FY26 actuals landed almost exactly where the prior build had projected</t>
  </si>
  <si>
    <t xml:space="preserve">Years 2-10 taper paths: UNCHANGED (no new evidence moved copper-retirement timing, RAB growth assumptions, or the capex/D&amp;A taper trajectory)</t>
  </si>
  <si>
    <t xml:space="preserve">Bull WACC/margin/capex assumptions: minor recalibration of Year-1 bull anchor to FY27 guidance context, and bull growth path trimmed slightly given no confirmed PQ3 favourable outcome yet (regulatory catalyst remains pending, not realized)</t>
  </si>
  <si>
    <t xml:space="preserve">Terminal EV/EBITDA cap (8.0x base): unchanged, re-verified against FY26 actual EBITDA -- still within the 10-year historical trading range</t>
  </si>
  <si>
    <t xml:space="preserve">Rounding / discounting precision</t>
  </si>
  <si>
    <t xml:space="preserve">New weighted IV</t>
  </si>
  <si>
    <t xml:space="preserve">ties to probability_weighted.weighted_iv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</si>
  <si>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</si>
  <si>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</si>
  <si>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</si>
  <si>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</si>
  <si>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</si>
  <si>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</si>
  <si>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</si>
  <si>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</si>
  <si>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</si>
  <si>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</si>
  <si>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</si>
  <si>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</si>
  <si>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</si>
  <si>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</si>
  <si>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</si>
  <si>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</si>
  <si>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</si>
  <si>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</si>
  <si>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</si>
  <si>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</si>
  <si>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</si>
  <si>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</si>
  <si>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</si>
  <si>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</si>
  <si>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</si>
  <si>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</si>
  <si>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</si>
  <si>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BroadbandConnections</t>
  </si>
  <si>
    <t xml:space="preserve">UnderlyingEBITDA</t>
  </si>
  <si>
    <t xml:space="preserve">H1-2018</t>
  </si>
  <si>
    <t xml:space="preserve">499.0</t>
  </si>
  <si>
    <t xml:space="preserve">137.0</t>
  </si>
  <si>
    <t xml:space="preserve">27.5</t>
  </si>
  <si>
    <t xml:space="preserve">329.0</t>
  </si>
  <si>
    <t xml:space="preserve">47.0</t>
  </si>
  <si>
    <t xml:space="preserve">9.418837675350701</t>
  </si>
  <si>
    <t xml:space="preserve">391.0</t>
  </si>
  <si>
    <t xml:space="preserve">1932.0</t>
  </si>
  <si>
    <t xml:space="preserve">40.0</t>
  </si>
  <si>
    <t xml:space="preserve">0.09</t>
  </si>
  <si>
    <t xml:space="preserve">FY2018</t>
  </si>
  <si>
    <t xml:space="preserve">990.0</t>
  </si>
  <si>
    <t xml:space="preserve">266.0</t>
  </si>
  <si>
    <t xml:space="preserve">26.86868686868687</t>
  </si>
  <si>
    <t xml:space="preserve">653.0</t>
  </si>
  <si>
    <t xml:space="preserve">85.0</t>
  </si>
  <si>
    <t xml:space="preserve">8.585858585858585</t>
  </si>
  <si>
    <t xml:space="preserve">0.2</t>
  </si>
  <si>
    <t xml:space="preserve">508.0</t>
  </si>
  <si>
    <t xml:space="preserve">766.0</t>
  </si>
  <si>
    <t xml:space="preserve">-258.0</t>
  </si>
  <si>
    <t xml:space="preserve">1022.0</t>
  </si>
  <si>
    <t xml:space="preserve">4926.0</t>
  </si>
  <si>
    <t xml:space="preserve">3904.0</t>
  </si>
  <si>
    <t xml:space="preserve">1807.0</t>
  </si>
  <si>
    <t xml:space="preserve">50.0</t>
  </si>
  <si>
    <t xml:space="preserve">429.6</t>
  </si>
  <si>
    <t xml:space="preserve">0.268</t>
  </si>
  <si>
    <t xml:space="preserve">0.22</t>
  </si>
  <si>
    <t xml:space="preserve">1187000.0</t>
  </si>
  <si>
    <t xml:space="preserve">H1-2019</t>
  </si>
  <si>
    <t xml:space="preserve">489.0</t>
  </si>
  <si>
    <t xml:space="preserve">122.0</t>
  </si>
  <si>
    <t xml:space="preserve">24.9</t>
  </si>
  <si>
    <t xml:space="preserve">318.0</t>
  </si>
  <si>
    <t xml:space="preserve">30.0</t>
  </si>
  <si>
    <t xml:space="preserve">6.134969325153374</t>
  </si>
  <si>
    <t xml:space="preserve">395.0</t>
  </si>
  <si>
    <t xml:space="preserve">0.095</t>
  </si>
  <si>
    <t xml:space="preserve">1186000.0</t>
  </si>
  <si>
    <t xml:space="preserve">FY2019</t>
  </si>
  <si>
    <t xml:space="preserve">970.0</t>
  </si>
  <si>
    <t xml:space="preserve">243.0</t>
  </si>
  <si>
    <t xml:space="preserve">25.051546391752577</t>
  </si>
  <si>
    <t xml:space="preserve">636.0</t>
  </si>
  <si>
    <t xml:space="preserve">53.0</t>
  </si>
  <si>
    <t xml:space="preserve">5.463917525773196</t>
  </si>
  <si>
    <t xml:space="preserve">0.12</t>
  </si>
  <si>
    <t xml:space="preserve">496.0</t>
  </si>
  <si>
    <t xml:space="preserve">806.0</t>
  </si>
  <si>
    <t xml:space="preserve">-310.0</t>
  </si>
  <si>
    <t xml:space="preserve">979.0</t>
  </si>
  <si>
    <t xml:space="preserve">5618.0</t>
  </si>
  <si>
    <t xml:space="preserve">4639.0</t>
  </si>
  <si>
    <t xml:space="preserve">2232.0</t>
  </si>
  <si>
    <t xml:space="preserve">273.0</t>
  </si>
  <si>
    <t xml:space="preserve">439.3</t>
  </si>
  <si>
    <t xml:space="preserve">0.334</t>
  </si>
  <si>
    <t xml:space="preserve">0.23</t>
  </si>
  <si>
    <t xml:space="preserve">H1-2020</t>
  </si>
  <si>
    <t xml:space="preserve">483.0</t>
  </si>
  <si>
    <t xml:space="preserve">134.0</t>
  </si>
  <si>
    <t xml:space="preserve">27.74327122153209</t>
  </si>
  <si>
    <t xml:space="preserve">332.0</t>
  </si>
  <si>
    <t xml:space="preserve">31.0</t>
  </si>
  <si>
    <t xml:space="preserve">6.418219461697723</t>
  </si>
  <si>
    <t xml:space="preserve">357.0</t>
  </si>
  <si>
    <t xml:space="preserve">2876.0</t>
  </si>
  <si>
    <t xml:space="preserve">678.0</t>
  </si>
  <si>
    <t xml:space="preserve">0.1</t>
  </si>
  <si>
    <t xml:space="preserve">FY2020</t>
  </si>
  <si>
    <t xml:space="preserve">959.0</t>
  </si>
  <si>
    <t xml:space="preserve">246.0</t>
  </si>
  <si>
    <t xml:space="preserve">25.651720542231494</t>
  </si>
  <si>
    <t xml:space="preserve">648.0</t>
  </si>
  <si>
    <t xml:space="preserve">52.0</t>
  </si>
  <si>
    <t xml:space="preserve">5.422314911366007</t>
  </si>
  <si>
    <t xml:space="preserve">474.0</t>
  </si>
  <si>
    <t xml:space="preserve">679.0</t>
  </si>
  <si>
    <t xml:space="preserve">-205.0</t>
  </si>
  <si>
    <t xml:space="preserve">927.0</t>
  </si>
  <si>
    <t xml:space="preserve">5642.0</t>
  </si>
  <si>
    <t xml:space="preserve">4715.0</t>
  </si>
  <si>
    <t xml:space="preserve">2322.0</t>
  </si>
  <si>
    <t xml:space="preserve">0.0</t>
  </si>
  <si>
    <t xml:space="preserve">444.5</t>
  </si>
  <si>
    <t xml:space="preserve">0.392</t>
  </si>
  <si>
    <t xml:space="preserve">0.24</t>
  </si>
  <si>
    <t xml:space="preserve">H1-2021</t>
  </si>
  <si>
    <t xml:space="preserve">478.0</t>
  </si>
  <si>
    <t xml:space="preserve">118.0</t>
  </si>
  <si>
    <t xml:space="preserve">24.7</t>
  </si>
  <si>
    <t xml:space="preserve">328.0</t>
  </si>
  <si>
    <t xml:space="preserve">27.0</t>
  </si>
  <si>
    <t xml:space="preserve">5.6</t>
  </si>
  <si>
    <t xml:space="preserve">353.0</t>
  </si>
  <si>
    <t xml:space="preserve">2599.0</t>
  </si>
  <si>
    <t xml:space="preserve">268.0</t>
  </si>
  <si>
    <t xml:space="preserve">0.105</t>
  </si>
  <si>
    <t xml:space="preserve">FY2021</t>
  </si>
  <si>
    <t xml:space="preserve">955.0</t>
  </si>
  <si>
    <t xml:space="preserve">230.0</t>
  </si>
  <si>
    <t xml:space="preserve">24.083769633507853</t>
  </si>
  <si>
    <t xml:space="preserve">657.0</t>
  </si>
  <si>
    <t xml:space="preserve">51.0</t>
  </si>
  <si>
    <t xml:space="preserve">5.340314136125655</t>
  </si>
  <si>
    <t xml:space="preserve">0.11</t>
  </si>
  <si>
    <t xml:space="preserve">544.0</t>
  </si>
  <si>
    <t xml:space="preserve">647.0</t>
  </si>
  <si>
    <t xml:space="preserve">-103.0</t>
  </si>
  <si>
    <t xml:space="preserve">989.0</t>
  </si>
  <si>
    <t xml:space="preserve">5860.0</t>
  </si>
  <si>
    <t xml:space="preserve">4871.0</t>
  </si>
  <si>
    <t xml:space="preserve">2373.0</t>
  </si>
  <si>
    <t xml:space="preserve">446.0</t>
  </si>
  <si>
    <t xml:space="preserve">0.468</t>
  </si>
  <si>
    <t xml:space="preserve">0.25</t>
  </si>
  <si>
    <t xml:space="preserve">H1-2022</t>
  </si>
  <si>
    <t xml:space="preserve">132.0</t>
  </si>
  <si>
    <t xml:space="preserve">27.3</t>
  </si>
  <si>
    <t xml:space="preserve">347.0</t>
  </si>
  <si>
    <t xml:space="preserve">42.0</t>
  </si>
  <si>
    <t xml:space="preserve">8.695652173913043</t>
  </si>
  <si>
    <t xml:space="preserve">263.0</t>
  </si>
  <si>
    <t xml:space="preserve">2369.0</t>
  </si>
  <si>
    <t xml:space="preserve">84.0</t>
  </si>
  <si>
    <t xml:space="preserve">0.14</t>
  </si>
  <si>
    <t xml:space="preserve">FY2022</t>
  </si>
  <si>
    <t xml:space="preserve">965.0</t>
  </si>
  <si>
    <t xml:space="preserve">248.0</t>
  </si>
  <si>
    <t xml:space="preserve">25.699481865284973</t>
  </si>
  <si>
    <t xml:space="preserve">675.0</t>
  </si>
  <si>
    <t xml:space="preserve">64.0</t>
  </si>
  <si>
    <t xml:space="preserve">6.632124352331606</t>
  </si>
  <si>
    <t xml:space="preserve">570.0</t>
  </si>
  <si>
    <t xml:space="preserve">518.0</t>
  </si>
  <si>
    <t xml:space="preserve">1029.0</t>
  </si>
  <si>
    <t xml:space="preserve">5846.0</t>
  </si>
  <si>
    <t xml:space="preserve">4817.0</t>
  </si>
  <si>
    <t xml:space="preserve">88.0</t>
  </si>
  <si>
    <t xml:space="preserve">446.5</t>
  </si>
  <si>
    <t xml:space="preserve">0.527</t>
  </si>
  <si>
    <t xml:space="preserve">0.35</t>
  </si>
  <si>
    <t xml:space="preserve">H1-2023</t>
  </si>
  <si>
    <t xml:space="preserve">487.0</t>
  </si>
  <si>
    <t xml:space="preserve">120.0</t>
  </si>
  <si>
    <t xml:space="preserve">24.6</t>
  </si>
  <si>
    <t xml:space="preserve">342.0</t>
  </si>
  <si>
    <t xml:space="preserve">9.0</t>
  </si>
  <si>
    <t xml:space="preserve">1.8480492813141685</t>
  </si>
  <si>
    <t xml:space="preserve">222.0</t>
  </si>
  <si>
    <t xml:space="preserve">0.17</t>
  </si>
  <si>
    <t xml:space="preserve">FY2023</t>
  </si>
  <si>
    <t xml:space="preserve">980.0</t>
  </si>
  <si>
    <t xml:space="preserve">226.0</t>
  </si>
  <si>
    <t xml:space="preserve">23.06122448979592</t>
  </si>
  <si>
    <t xml:space="preserve">672.0</t>
  </si>
  <si>
    <t xml:space="preserve">25.0</t>
  </si>
  <si>
    <t xml:space="preserve">2.5510204081632653</t>
  </si>
  <si>
    <t xml:space="preserve">0.06</t>
  </si>
  <si>
    <t xml:space="preserve">524.0</t>
  </si>
  <si>
    <t xml:space="preserve">495.0</t>
  </si>
  <si>
    <t xml:space="preserve">29.0</t>
  </si>
  <si>
    <t xml:space="preserve">1063.0</t>
  </si>
  <si>
    <t xml:space="preserve">6165.0</t>
  </si>
  <si>
    <t xml:space="preserve">5102.0</t>
  </si>
  <si>
    <t xml:space="preserve">2528.0</t>
  </si>
  <si>
    <t xml:space="preserve">76.0</t>
  </si>
  <si>
    <t xml:space="preserve">443.0</t>
  </si>
  <si>
    <t xml:space="preserve">1.638</t>
  </si>
  <si>
    <t xml:space="preserve">0.425</t>
  </si>
  <si>
    <t xml:space="preserve">H1-2024</t>
  </si>
  <si>
    <t xml:space="preserve">503.0</t>
  </si>
  <si>
    <t xml:space="preserve">119.0</t>
  </si>
  <si>
    <t xml:space="preserve">23.7</t>
  </si>
  <si>
    <t xml:space="preserve">5.0</t>
  </si>
  <si>
    <t xml:space="preserve">0.9940357852882704</t>
  </si>
  <si>
    <t xml:space="preserve">232.0</t>
  </si>
  <si>
    <t xml:space="preserve">2709.0</t>
  </si>
  <si>
    <t xml:space="preserve">87.0</t>
  </si>
  <si>
    <t xml:space="preserve">0.19</t>
  </si>
  <si>
    <t xml:space="preserve">349.0</t>
  </si>
  <si>
    <t xml:space="preserve">FY2024</t>
  </si>
  <si>
    <t xml:space="preserve">1010.0</t>
  </si>
  <si>
    <t xml:space="preserve">238.0</t>
  </si>
  <si>
    <t xml:space="preserve">23.564356435643564</t>
  </si>
  <si>
    <t xml:space="preserve">700.0</t>
  </si>
  <si>
    <t xml:space="preserve">-9.0</t>
  </si>
  <si>
    <t xml:space="preserve">-0.891089108910891</t>
  </si>
  <si>
    <t xml:space="preserve">-0.02</t>
  </si>
  <si>
    <t xml:space="preserve">513.0</t>
  </si>
  <si>
    <t xml:space="preserve">442.0</t>
  </si>
  <si>
    <t xml:space="preserve">71.0</t>
  </si>
  <si>
    <t xml:space="preserve">841.0</t>
  </si>
  <si>
    <t xml:space="preserve">6012.0</t>
  </si>
  <si>
    <t xml:space="preserve">5171.0</t>
  </si>
  <si>
    <t xml:space="preserve">2626.0</t>
  </si>
  <si>
    <t xml:space="preserve">45.0</t>
  </si>
  <si>
    <t xml:space="preserve">433.9</t>
  </si>
  <si>
    <t xml:space="preserve">0.475</t>
  </si>
  <si>
    <t xml:space="preserve">H1-2025</t>
  </si>
  <si>
    <t xml:space="preserve">500.0</t>
  </si>
  <si>
    <t xml:space="preserve">111.0</t>
  </si>
  <si>
    <t xml:space="preserve">22.2</t>
  </si>
  <si>
    <t xml:space="preserve">346.0</t>
  </si>
  <si>
    <t xml:space="preserve">-5.0</t>
  </si>
  <si>
    <t xml:space="preserve">-1.0</t>
  </si>
  <si>
    <t xml:space="preserve">257.0</t>
  </si>
  <si>
    <t xml:space="preserve">193.0</t>
  </si>
  <si>
    <t xml:space="preserve">662.0</t>
  </si>
  <si>
    <t xml:space="preserve">6054.0</t>
  </si>
  <si>
    <t xml:space="preserve">5392.0</t>
  </si>
  <si>
    <t xml:space="preserve">2887.0</t>
  </si>
  <si>
    <t xml:space="preserve">83.0</t>
  </si>
  <si>
    <t xml:space="preserve">435.0</t>
  </si>
  <si>
    <t xml:space="preserve">1.417</t>
  </si>
  <si>
    <t xml:space="preserve">FY2025</t>
  </si>
  <si>
    <t xml:space="preserve">1014.0</t>
  </si>
  <si>
    <t xml:space="preserve">231.0</t>
  </si>
  <si>
    <t xml:space="preserve">22.781065088757398</t>
  </si>
  <si>
    <t xml:space="preserve">705.0</t>
  </si>
  <si>
    <t xml:space="preserve">4.0</t>
  </si>
  <si>
    <t xml:space="preserve">0.39447731755424065</t>
  </si>
  <si>
    <t xml:space="preserve">0.01</t>
  </si>
  <si>
    <t xml:space="preserve">559.0</t>
  </si>
  <si>
    <t xml:space="preserve">397.0</t>
  </si>
  <si>
    <t xml:space="preserve">162.0</t>
  </si>
  <si>
    <t xml:space="preserve">567.0</t>
  </si>
  <si>
    <t xml:space="preserve">6088.0</t>
  </si>
  <si>
    <t xml:space="preserve">5521.0</t>
  </si>
  <si>
    <t xml:space="preserve">3138.0</t>
  </si>
  <si>
    <t xml:space="preserve">81.0</t>
  </si>
  <si>
    <t xml:space="preserve">0.575</t>
  </si>
  <si>
    <t xml:space="preserve">H1-2026</t>
  </si>
  <si>
    <t xml:space="preserve">506.0</t>
  </si>
  <si>
    <t xml:space="preserve">141.0</t>
  </si>
  <si>
    <t xml:space="preserve">27.865612648221344</t>
  </si>
  <si>
    <t xml:space="preserve">15.0</t>
  </si>
  <si>
    <t xml:space="preserve">2.9644268774703555</t>
  </si>
  <si>
    <t xml:space="preserve">0.03</t>
  </si>
  <si>
    <t xml:space="preserve">228.0</t>
  </si>
  <si>
    <t xml:space="preserve">163.0</t>
  </si>
  <si>
    <t xml:space="preserve">65.0</t>
  </si>
  <si>
    <t xml:space="preserve">430.0</t>
  </si>
  <si>
    <t xml:space="preserve">6135.0</t>
  </si>
  <si>
    <t xml:space="preserve">5705.0</t>
  </si>
  <si>
    <t xml:space="preserve">3336.0</t>
  </si>
  <si>
    <t xml:space="preserve">161.0</t>
  </si>
  <si>
    <t xml:space="preserve">445.0</t>
  </si>
  <si>
    <t xml:space="preserve">0.354</t>
  </si>
  <si>
    <t xml:space="preserve">Input</t>
  </si>
  <si>
    <t xml:space="preserve">Current price (NZD)</t>
  </si>
  <si>
    <t xml:space="preserve">Shares outstanding, final (m)</t>
  </si>
  <si>
    <t xml:space="preserve">Net debt (NZD m)</t>
  </si>
  <si>
    <t xml:space="preserve">Hurdle rate (%)</t>
  </si>
  <si>
    <t xml:space="preserve">FY0 revenue anchor (NZD m, FY2026 actual)</t>
  </si>
  <si>
    <t xml:space="preserve">Currency / units</t>
  </si>
  <si>
    <t xml:space="preserve">None millions</t>
  </si>
  <si>
    <t xml:space="preserve">BEAR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</si>
  <si>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</si>
  <si>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</si>
  <si>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</si>
  <si>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</si>
  <si>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</si>
  <si>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</si>
  <si>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</si>
  <si>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</si>
  <si>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</si>
  <si>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</si>
  <si>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Revenue growth (%)</t>
  </si>
  <si>
    <t xml:space="preserve">EBITDA margin (%)</t>
  </si>
  <si>
    <t xml:space="preserve">D&amp;A (% of revenue)</t>
  </si>
  <si>
    <t xml:space="preserve">Capex (NZD m, absolute)</t>
  </si>
  <si>
    <t xml:space="preserve">Cash tax rate (%)</t>
  </si>
  <si>
    <t xml:space="preserve">WACC (%)</t>
  </si>
  <si>
    <t xml:space="preserve">Terminal growth (%)</t>
  </si>
  <si>
    <t xml:space="preserve">Terminal EV/EBITDA cap (x)</t>
  </si>
  <si>
    <t xml:space="preserve">Scenario weight</t>
  </si>
  <si>
    <t xml:space="preserve">BASE</t>
  </si>
  <si>
    <t xml:space="preserve">BULL</t>
  </si>
  <si>
    <t xml:space="preserve">Line</t>
  </si>
  <si>
    <t xml:space="preserve">Revenue (NZD m)</t>
  </si>
  <si>
    <t xml:space="preserve">EBITDA (NZD m)</t>
  </si>
  <si>
    <t xml:space="preserve">D&amp;A (NZD m)</t>
  </si>
  <si>
    <t xml:space="preserve">EBIT (NZD m)</t>
  </si>
  <si>
    <t xml:space="preserve">NOPAT (NZD m)</t>
  </si>
  <si>
    <t xml:space="preserve">Capex (NZD m)</t>
  </si>
  <si>
    <t xml:space="preserve">SBC (NZD m, 0.15% of revenue)</t>
  </si>
  <si>
    <t xml:space="preserve">Owner FCF (unlevered, NZD m)</t>
  </si>
  <si>
    <t xml:space="preserve">Discount factor</t>
  </si>
  <si>
    <t xml:space="preserve">PV of FCF (NZD m)</t>
  </si>
  <si>
    <t xml:space="preserve">Sum PV of interim FCF (NZD m)</t>
  </si>
  <si>
    <t xml:space="preserve">Gordon terminal value (NZD m)</t>
  </si>
  <si>
    <t xml:space="preserve">EV/EBITDA cap terminal value (NZD m)</t>
  </si>
  <si>
    <t xml:space="preserve">Terminal value used (MIN, NZD m)</t>
  </si>
  <si>
    <t xml:space="preserve">PV of terminal value (NZD m)</t>
  </si>
  <si>
    <t xml:space="preserve">Enterprise value (NZD m)</t>
  </si>
  <si>
    <t xml:space="preserve">Equity value (NZD m)</t>
  </si>
  <si>
    <t xml:space="preserve">Shares outstanding (m)</t>
  </si>
  <si>
    <t xml:space="preserve">Intrinsic value per share (NZD)</t>
  </si>
  <si>
    <t xml:space="preserve">Upside / (downside) vs current price (%)</t>
  </si>
  <si>
    <t xml:space="preserve">Probability-weighted valuation</t>
  </si>
  <si>
    <t xml:space="preserve">Scenario</t>
  </si>
  <si>
    <t xml:space="preserve">Weight</t>
  </si>
  <si>
    <t xml:space="preserve">Intrinsic value (NZD)</t>
  </si>
  <si>
    <t xml:space="preserve">Weighted contribution</t>
  </si>
  <si>
    <t xml:space="preserve">Weighted intrinsic value (NZD)</t>
  </si>
  <si>
    <t xml:space="preserve">Weighted upside / (downside) (%)</t>
  </si>
  <si>
    <t xml:space="preserve">Entry price @ 15% hurdle (NZD, memo -- see interpretation)</t>
  </si>
  <si>
    <t xml:space="preserve">Interpretation</t>
  </si>
  <si>
    <t xml:space="preserve">The 15%-IRR entry price of ~$1.80 sits far below both intrinsic value ($8.30) and the current price ($8.43). This is the mechanically correct output, not a formula error: Chorus's projected growth (2.3-2.6%/yr) is far below the 15% hurdle, AND net debt (~$3,129m, a FIXED dollar amount) is ~83% of the current $3.75bn market cap. When cash flows and terminal value are discounted at 15% instead of the 7% WACC, enterprise value shrinks sharply while the fixed net-debt deduction does not -- crushing the thin equity residual. PRACTICALLY: Chorus is not a stock that can be bought today to manufacture a 15% IRR from fundamentals alone -- it is priced (and should be evaluated) as a ~7.4% dividend-yield regulated-utility income holding (FY2027 guided minimum 62cps / $8.43), where the relevant comparison is the WACC-based intrinsic value and the dividend yield, not a growth-IRR entry price. Unchanged conclusion from the prior build.</t>
  </si>
  <si>
    <t xml:space="preserve">Sensitivity: WACC (rows) x Terminal growth (cols)</t>
  </si>
  <si>
    <t xml:space="preserve">WACC \ g</t>
  </si>
  <si>
    <t xml:space="preserve">Rows are near-flat across terminal growth because the 8.0x EV/EBITDA cap (not Gordon growth) binds the terminal value at every WACC/g combination shown. The real sensitivity is to WACC: intrinsic value ranges from ~$10.82/share at 5% WACC down to ~$5.9-6.2/share at 9% WACC -- an ~80% swing in equity value for a 4-point WACC range, roughly double the swing a similarly-profiled unlevered company would show, the direct consequence of Chorus's leverage (net debt ~83% of market cap). This is the single most important sensitivity in this model and should be surfaced prominently on the dashboard.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</si>
</sst>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8.43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258.95" hidden="false" customHeight="false" outlineLevel="0" collapsed="false">
      <c r="A13" s="0" t="s">
        <v>22</v>
      </c>
      <c r="B13" s="1" t="s">
        <v>23</v>
      </c>
    </row>
    <row r="14" customFormat="false" ht="550" hidden="false" customHeight="false" outlineLevel="0" collapsed="false">
      <c r="A14" s="0" t="s">
        <v>24</v>
      </c>
      <c r="B14" s="1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2" t="s">
        <v>26</v>
      </c>
      <c r="B1" s="2" t="s">
        <v>27</v>
      </c>
      <c r="C1" s="2" t="s">
        <v>28</v>
      </c>
    </row>
    <row r="2" customFormat="false" ht="15" hidden="false" customHeight="false" outlineLevel="0" collapsed="false">
      <c r="A2" s="0" t="s">
        <v>29</v>
      </c>
      <c r="B2" s="0" t="s">
        <v>30</v>
      </c>
    </row>
    <row r="3" customFormat="false" ht="15" hidden="false" customHeight="false" outlineLevel="0" collapsed="false">
      <c r="A3" s="0" t="s">
        <v>31</v>
      </c>
      <c r="B3" s="0" t="n">
        <v>8.41</v>
      </c>
    </row>
    <row r="4" customFormat="false" ht="15" hidden="false" customHeight="false" outlineLevel="0" collapsed="false">
      <c r="A4" s="0" t="s">
        <v>32</v>
      </c>
      <c r="B4" s="0" t="n">
        <v>3.37</v>
      </c>
    </row>
    <row r="5" customFormat="false" ht="15" hidden="false" customHeight="false" outlineLevel="0" collapsed="false">
      <c r="A5" s="0" t="s">
        <v>33</v>
      </c>
      <c r="B5" s="0" t="n">
        <v>8.17</v>
      </c>
    </row>
    <row r="6" customFormat="false" ht="15" hidden="false" customHeight="false" outlineLevel="0" collapsed="false">
      <c r="A6" s="0" t="s">
        <v>34</v>
      </c>
      <c r="B6" s="0" t="n">
        <v>12.57</v>
      </c>
    </row>
    <row r="7" customFormat="false" ht="15" hidden="false" customHeight="false" outlineLevel="0" collapsed="false">
      <c r="A7" s="0" t="s">
        <v>35</v>
      </c>
      <c r="B7" s="0" t="n">
        <v>8.07</v>
      </c>
    </row>
    <row r="9" customFormat="false" ht="15" hidden="false" customHeight="false" outlineLevel="0" collapsed="false">
      <c r="A9" s="2" t="s">
        <v>36</v>
      </c>
    </row>
    <row r="10" customFormat="false" ht="15" hidden="false" customHeight="false" outlineLevel="0" collapsed="false">
      <c r="A10" s="0" t="s">
        <v>37</v>
      </c>
      <c r="B10" s="0" t="n">
        <v>8.07</v>
      </c>
    </row>
    <row r="11" customFormat="false" ht="15" hidden="false" customHeight="false" outlineLevel="0" collapsed="false">
      <c r="A11" s="0" t="s">
        <v>38</v>
      </c>
      <c r="B11" s="0" t="n">
        <v>0</v>
      </c>
    </row>
    <row r="12" customFormat="false" ht="15" hidden="false" customHeight="false" outlineLevel="0" collapsed="false">
      <c r="A12" s="0" t="s">
        <v>39</v>
      </c>
      <c r="B12" s="0" t="n">
        <v>0.1</v>
      </c>
    </row>
    <row r="13" customFormat="false" ht="15" hidden="false" customHeight="false" outlineLevel="0" collapsed="false">
      <c r="A13" s="0" t="s">
        <v>40</v>
      </c>
      <c r="B13" s="0" t="n">
        <v>0.02</v>
      </c>
    </row>
    <row r="14" customFormat="false" ht="15" hidden="false" customHeight="false" outlineLevel="0" collapsed="false">
      <c r="A14" s="0" t="s">
        <v>41</v>
      </c>
      <c r="B14" s="0" t="n">
        <v>0</v>
      </c>
    </row>
    <row r="15" customFormat="false" ht="15" hidden="false" customHeight="false" outlineLevel="0" collapsed="false">
      <c r="A15" s="0" t="s">
        <v>42</v>
      </c>
      <c r="B15" s="0" t="n">
        <v>-0.5</v>
      </c>
    </row>
    <row r="16" customFormat="false" ht="15" hidden="false" customHeight="false" outlineLevel="0" collapsed="false">
      <c r="A16" s="0" t="s">
        <v>43</v>
      </c>
      <c r="B16" s="0" t="n">
        <v>0</v>
      </c>
    </row>
    <row r="17" customFormat="false" ht="15" hidden="false" customHeight="false" outlineLevel="0" collapsed="false">
      <c r="A17" s="0" t="s">
        <v>44</v>
      </c>
      <c r="B17" s="0" t="n">
        <v>0.02</v>
      </c>
    </row>
    <row r="18" customFormat="false" ht="15" hidden="false" customHeight="false" outlineLevel="0" collapsed="false">
      <c r="A18" s="0" t="s">
        <v>45</v>
      </c>
      <c r="B18" s="0" t="n">
        <v>8.01</v>
      </c>
      <c r="C18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  <c r="AA1" s="2" t="s">
        <v>16</v>
      </c>
      <c r="AB1" s="2" t="s">
        <v>73</v>
      </c>
      <c r="AC1" s="2" t="s">
        <v>74</v>
      </c>
      <c r="AD1" s="2" t="s">
        <v>75</v>
      </c>
    </row>
    <row r="2" customFormat="false" ht="15" hidden="false" customHeight="false" outlineLevel="0" collapsed="false">
      <c r="A2" s="0" t="s">
        <v>76</v>
      </c>
      <c r="B2" s="0" t="s">
        <v>77</v>
      </c>
      <c r="F2" s="0" t="s">
        <v>78</v>
      </c>
      <c r="G2" s="0" t="s">
        <v>79</v>
      </c>
      <c r="H2" s="0" t="s">
        <v>80</v>
      </c>
      <c r="I2" s="0" t="s">
        <v>81</v>
      </c>
      <c r="J2" s="0" t="s">
        <v>82</v>
      </c>
      <c r="M2" s="0" t="s">
        <v>83</v>
      </c>
      <c r="R2" s="0" t="s">
        <v>84</v>
      </c>
      <c r="S2" s="0" t="s">
        <v>85</v>
      </c>
      <c r="V2" s="0" t="s">
        <v>86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87</v>
      </c>
      <c r="B3" s="0" t="s">
        <v>88</v>
      </c>
      <c r="F3" s="0" t="s">
        <v>89</v>
      </c>
      <c r="G3" s="0" t="s">
        <v>90</v>
      </c>
      <c r="H3" s="0" t="s">
        <v>91</v>
      </c>
      <c r="I3" s="0" t="s">
        <v>92</v>
      </c>
      <c r="J3" s="0" t="s">
        <v>93</v>
      </c>
      <c r="K3" s="0" t="s">
        <v>94</v>
      </c>
      <c r="L3" s="0" t="s">
        <v>95</v>
      </c>
      <c r="M3" s="0" t="s">
        <v>96</v>
      </c>
      <c r="N3" s="0" t="s">
        <v>97</v>
      </c>
      <c r="O3" s="0" t="s">
        <v>98</v>
      </c>
      <c r="P3" s="0" t="s">
        <v>99</v>
      </c>
      <c r="Q3" s="0" t="s">
        <v>100</v>
      </c>
      <c r="R3" s="0" t="s">
        <v>101</v>
      </c>
      <c r="S3" s="0" t="s">
        <v>102</v>
      </c>
      <c r="T3" s="0" t="s">
        <v>103</v>
      </c>
      <c r="U3" s="0" t="s">
        <v>104</v>
      </c>
      <c r="V3" s="0" t="s">
        <v>105</v>
      </c>
      <c r="AA3" s="0" t="s">
        <v>17</v>
      </c>
      <c r="AB3" s="0" t="s">
        <v>14</v>
      </c>
      <c r="AC3" s="0" t="s">
        <v>106</v>
      </c>
    </row>
    <row r="4" customFormat="false" ht="15" hidden="false" customHeight="false" outlineLevel="0" collapsed="false">
      <c r="A4" s="0" t="s">
        <v>107</v>
      </c>
      <c r="B4" s="0" t="s">
        <v>108</v>
      </c>
      <c r="F4" s="0" t="s">
        <v>109</v>
      </c>
      <c r="G4" s="0" t="s">
        <v>110</v>
      </c>
      <c r="H4" s="0" t="s">
        <v>111</v>
      </c>
      <c r="I4" s="0" t="s">
        <v>112</v>
      </c>
      <c r="J4" s="0" t="s">
        <v>113</v>
      </c>
      <c r="M4" s="0" t="s">
        <v>114</v>
      </c>
      <c r="V4" s="0" t="s">
        <v>115</v>
      </c>
      <c r="AA4" s="0" t="s">
        <v>17</v>
      </c>
      <c r="AB4" s="0" t="s">
        <v>14</v>
      </c>
      <c r="AC4" s="0" t="s">
        <v>116</v>
      </c>
    </row>
    <row r="5" customFormat="false" ht="15" hidden="false" customHeight="false" outlineLevel="0" collapsed="false">
      <c r="A5" s="0" t="s">
        <v>117</v>
      </c>
      <c r="B5" s="0" t="s">
        <v>118</v>
      </c>
      <c r="F5" s="0" t="s">
        <v>119</v>
      </c>
      <c r="G5" s="0" t="s">
        <v>120</v>
      </c>
      <c r="H5" s="0" t="s">
        <v>121</v>
      </c>
      <c r="I5" s="0" t="s">
        <v>122</v>
      </c>
      <c r="J5" s="0" t="s">
        <v>123</v>
      </c>
      <c r="K5" s="0" t="s">
        <v>124</v>
      </c>
      <c r="L5" s="0" t="s">
        <v>125</v>
      </c>
      <c r="M5" s="0" t="s">
        <v>126</v>
      </c>
      <c r="N5" s="0" t="s">
        <v>127</v>
      </c>
      <c r="O5" s="0" t="s">
        <v>128</v>
      </c>
      <c r="P5" s="0" t="s">
        <v>129</v>
      </c>
      <c r="Q5" s="0" t="s">
        <v>130</v>
      </c>
      <c r="R5" s="0" t="s">
        <v>131</v>
      </c>
      <c r="S5" s="0" t="s">
        <v>132</v>
      </c>
      <c r="T5" s="0" t="s">
        <v>133</v>
      </c>
      <c r="U5" s="0" t="s">
        <v>134</v>
      </c>
      <c r="V5" s="0" t="s">
        <v>135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136</v>
      </c>
      <c r="B6" s="0" t="s">
        <v>137</v>
      </c>
      <c r="F6" s="0" t="s">
        <v>138</v>
      </c>
      <c r="G6" s="0" t="s">
        <v>139</v>
      </c>
      <c r="H6" s="0" t="s">
        <v>140</v>
      </c>
      <c r="I6" s="0" t="s">
        <v>141</v>
      </c>
      <c r="J6" s="0" t="s">
        <v>142</v>
      </c>
      <c r="M6" s="0" t="s">
        <v>143</v>
      </c>
      <c r="R6" s="0" t="s">
        <v>144</v>
      </c>
      <c r="S6" s="0" t="s">
        <v>145</v>
      </c>
      <c r="V6" s="0" t="s">
        <v>146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147</v>
      </c>
      <c r="B7" s="0" t="s">
        <v>148</v>
      </c>
      <c r="F7" s="0" t="s">
        <v>149</v>
      </c>
      <c r="G7" s="0" t="s">
        <v>150</v>
      </c>
      <c r="H7" s="0" t="s">
        <v>151</v>
      </c>
      <c r="I7" s="0" t="s">
        <v>152</v>
      </c>
      <c r="J7" s="0" t="s">
        <v>153</v>
      </c>
      <c r="K7" s="0" t="s">
        <v>124</v>
      </c>
      <c r="L7" s="0" t="s">
        <v>154</v>
      </c>
      <c r="M7" s="0" t="s">
        <v>155</v>
      </c>
      <c r="N7" s="0" t="s">
        <v>156</v>
      </c>
      <c r="O7" s="0" t="s">
        <v>157</v>
      </c>
      <c r="P7" s="0" t="s">
        <v>158</v>
      </c>
      <c r="Q7" s="0" t="s">
        <v>159</v>
      </c>
      <c r="R7" s="0" t="s">
        <v>160</v>
      </c>
      <c r="S7" s="0" t="s">
        <v>161</v>
      </c>
      <c r="T7" s="0" t="s">
        <v>162</v>
      </c>
      <c r="U7" s="0" t="s">
        <v>163</v>
      </c>
      <c r="V7" s="0" t="s">
        <v>164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165</v>
      </c>
      <c r="B8" s="0" t="s">
        <v>166</v>
      </c>
      <c r="F8" s="0" t="s">
        <v>167</v>
      </c>
      <c r="G8" s="0" t="s">
        <v>168</v>
      </c>
      <c r="H8" s="0" t="s">
        <v>169</v>
      </c>
      <c r="I8" s="0" t="s">
        <v>170</v>
      </c>
      <c r="J8" s="0" t="s">
        <v>171</v>
      </c>
      <c r="M8" s="0" t="s">
        <v>172</v>
      </c>
      <c r="R8" s="0" t="s">
        <v>173</v>
      </c>
      <c r="S8" s="0" t="s">
        <v>174</v>
      </c>
      <c r="V8" s="0" t="s">
        <v>175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176</v>
      </c>
      <c r="B9" s="0" t="s">
        <v>177</v>
      </c>
      <c r="F9" s="0" t="s">
        <v>178</v>
      </c>
      <c r="G9" s="0" t="s">
        <v>179</v>
      </c>
      <c r="H9" s="0" t="s">
        <v>180</v>
      </c>
      <c r="I9" s="0" t="s">
        <v>181</v>
      </c>
      <c r="J9" s="0" t="s">
        <v>182</v>
      </c>
      <c r="K9" s="0" t="s">
        <v>183</v>
      </c>
      <c r="L9" s="0" t="s">
        <v>184</v>
      </c>
      <c r="M9" s="0" t="s">
        <v>185</v>
      </c>
      <c r="N9" s="0" t="s">
        <v>186</v>
      </c>
      <c r="O9" s="0" t="s">
        <v>187</v>
      </c>
      <c r="P9" s="0" t="s">
        <v>188</v>
      </c>
      <c r="Q9" s="0" t="s">
        <v>189</v>
      </c>
      <c r="R9" s="0" t="s">
        <v>190</v>
      </c>
      <c r="S9" s="0" t="s">
        <v>122</v>
      </c>
      <c r="T9" s="0" t="s">
        <v>191</v>
      </c>
      <c r="U9" s="0" t="s">
        <v>192</v>
      </c>
      <c r="V9" s="0" t="s">
        <v>193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194</v>
      </c>
      <c r="B10" s="0" t="s">
        <v>137</v>
      </c>
      <c r="F10" s="0" t="s">
        <v>195</v>
      </c>
      <c r="G10" s="0" t="s">
        <v>196</v>
      </c>
      <c r="H10" s="0" t="s">
        <v>197</v>
      </c>
      <c r="I10" s="0" t="s">
        <v>198</v>
      </c>
      <c r="J10" s="0" t="s">
        <v>199</v>
      </c>
      <c r="M10" s="0" t="s">
        <v>200</v>
      </c>
      <c r="R10" s="0" t="s">
        <v>201</v>
      </c>
      <c r="S10" s="0" t="s">
        <v>202</v>
      </c>
      <c r="V10" s="0" t="s">
        <v>203</v>
      </c>
      <c r="AA10" s="0" t="s">
        <v>17</v>
      </c>
      <c r="AB10" s="0" t="s">
        <v>14</v>
      </c>
      <c r="AD10" s="0" t="s">
        <v>140</v>
      </c>
    </row>
    <row r="11" customFormat="false" ht="15" hidden="false" customHeight="false" outlineLevel="0" collapsed="false">
      <c r="A11" s="0" t="s">
        <v>204</v>
      </c>
      <c r="B11" s="0" t="s">
        <v>205</v>
      </c>
      <c r="F11" s="0" t="s">
        <v>206</v>
      </c>
      <c r="G11" s="0" t="s">
        <v>207</v>
      </c>
      <c r="H11" s="0" t="s">
        <v>208</v>
      </c>
      <c r="I11" s="0" t="s">
        <v>209</v>
      </c>
      <c r="J11" s="0" t="s">
        <v>210</v>
      </c>
      <c r="K11" s="0" t="s">
        <v>203</v>
      </c>
      <c r="L11" s="0" t="s">
        <v>211</v>
      </c>
      <c r="M11" s="0" t="s">
        <v>212</v>
      </c>
      <c r="N11" s="0" t="s">
        <v>152</v>
      </c>
      <c r="O11" s="0" t="s">
        <v>213</v>
      </c>
      <c r="P11" s="0" t="s">
        <v>214</v>
      </c>
      <c r="Q11" s="0" t="s">
        <v>215</v>
      </c>
      <c r="R11" s="0" t="s">
        <v>160</v>
      </c>
      <c r="S11" s="0" t="s">
        <v>216</v>
      </c>
      <c r="T11" s="0" t="s">
        <v>217</v>
      </c>
      <c r="U11" s="0" t="s">
        <v>218</v>
      </c>
      <c r="V11" s="0" t="s">
        <v>219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220</v>
      </c>
      <c r="B12" s="0" t="s">
        <v>221</v>
      </c>
      <c r="F12" s="0" t="s">
        <v>222</v>
      </c>
      <c r="G12" s="0" t="s">
        <v>223</v>
      </c>
      <c r="H12" s="0" t="s">
        <v>224</v>
      </c>
      <c r="I12" s="0" t="s">
        <v>225</v>
      </c>
      <c r="J12" s="0" t="s">
        <v>226</v>
      </c>
      <c r="M12" s="0" t="s">
        <v>227</v>
      </c>
      <c r="V12" s="0" t="s">
        <v>228</v>
      </c>
      <c r="AA12" s="0" t="s">
        <v>17</v>
      </c>
      <c r="AB12" s="0" t="s">
        <v>14</v>
      </c>
      <c r="AD12" s="0" t="s">
        <v>224</v>
      </c>
    </row>
    <row r="13" customFormat="false" ht="15" hidden="false" customHeight="false" outlineLevel="0" collapsed="false">
      <c r="A13" s="0" t="s">
        <v>229</v>
      </c>
      <c r="B13" s="0" t="s">
        <v>230</v>
      </c>
      <c r="F13" s="0" t="s">
        <v>231</v>
      </c>
      <c r="G13" s="0" t="s">
        <v>232</v>
      </c>
      <c r="H13" s="0" t="s">
        <v>233</v>
      </c>
      <c r="I13" s="0" t="s">
        <v>234</v>
      </c>
      <c r="J13" s="0" t="s">
        <v>235</v>
      </c>
      <c r="K13" s="0" t="s">
        <v>236</v>
      </c>
      <c r="L13" s="0" t="s">
        <v>237</v>
      </c>
      <c r="M13" s="0" t="s">
        <v>238</v>
      </c>
      <c r="N13" s="0" t="s">
        <v>239</v>
      </c>
      <c r="O13" s="0" t="s">
        <v>240</v>
      </c>
      <c r="P13" s="0" t="s">
        <v>241</v>
      </c>
      <c r="Q13" s="0" t="s">
        <v>242</v>
      </c>
      <c r="R13" s="0" t="s">
        <v>243</v>
      </c>
      <c r="S13" s="0" t="s">
        <v>244</v>
      </c>
      <c r="T13" s="0" t="s">
        <v>245</v>
      </c>
      <c r="U13" s="0" t="s">
        <v>246</v>
      </c>
      <c r="V13" s="0" t="s">
        <v>247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248</v>
      </c>
      <c r="B14" s="0" t="s">
        <v>249</v>
      </c>
      <c r="F14" s="0" t="s">
        <v>250</v>
      </c>
      <c r="G14" s="0" t="s">
        <v>251</v>
      </c>
      <c r="H14" s="0" t="s">
        <v>197</v>
      </c>
      <c r="I14" s="0" t="s">
        <v>252</v>
      </c>
      <c r="J14" s="0" t="s">
        <v>253</v>
      </c>
      <c r="M14" s="0" t="s">
        <v>254</v>
      </c>
      <c r="R14" s="0" t="s">
        <v>255</v>
      </c>
      <c r="S14" s="0" t="s">
        <v>256</v>
      </c>
      <c r="V14" s="0" t="s">
        <v>257</v>
      </c>
      <c r="AA14" s="0" t="s">
        <v>17</v>
      </c>
      <c r="AB14" s="0" t="s">
        <v>14</v>
      </c>
      <c r="AD14" s="0" t="s">
        <v>258</v>
      </c>
    </row>
    <row r="15" customFormat="false" ht="15" hidden="false" customHeight="false" outlineLevel="0" collapsed="false">
      <c r="A15" s="0" t="s">
        <v>259</v>
      </c>
      <c r="B15" s="0" t="s">
        <v>260</v>
      </c>
      <c r="F15" s="0" t="s">
        <v>261</v>
      </c>
      <c r="G15" s="0" t="s">
        <v>262</v>
      </c>
      <c r="H15" s="0" t="s">
        <v>263</v>
      </c>
      <c r="I15" s="0" t="s">
        <v>264</v>
      </c>
      <c r="J15" s="0" t="s">
        <v>265</v>
      </c>
      <c r="K15" s="0" t="s">
        <v>266</v>
      </c>
      <c r="L15" s="0" t="s">
        <v>267</v>
      </c>
      <c r="M15" s="0" t="s">
        <v>268</v>
      </c>
      <c r="N15" s="0" t="s">
        <v>269</v>
      </c>
      <c r="O15" s="0" t="s">
        <v>270</v>
      </c>
      <c r="P15" s="0" t="s">
        <v>271</v>
      </c>
      <c r="Q15" s="0" t="s">
        <v>272</v>
      </c>
      <c r="R15" s="0" t="s">
        <v>273</v>
      </c>
      <c r="S15" s="0" t="s">
        <v>274</v>
      </c>
      <c r="T15" s="0" t="s">
        <v>275</v>
      </c>
      <c r="U15" s="0" t="s">
        <v>161</v>
      </c>
      <c r="V15" s="0" t="s">
        <v>276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277</v>
      </c>
      <c r="B16" s="0" t="s">
        <v>278</v>
      </c>
      <c r="F16" s="0" t="s">
        <v>279</v>
      </c>
      <c r="G16" s="0" t="s">
        <v>280</v>
      </c>
      <c r="H16" s="0" t="s">
        <v>281</v>
      </c>
      <c r="I16" s="0" t="s">
        <v>282</v>
      </c>
      <c r="J16" s="0" t="s">
        <v>283</v>
      </c>
      <c r="K16" s="0" t="s">
        <v>266</v>
      </c>
      <c r="L16" s="0" t="s">
        <v>284</v>
      </c>
      <c r="M16" s="0" t="s">
        <v>285</v>
      </c>
      <c r="N16" s="0" t="s">
        <v>209</v>
      </c>
      <c r="O16" s="0" t="s">
        <v>286</v>
      </c>
      <c r="P16" s="0" t="s">
        <v>287</v>
      </c>
      <c r="Q16" s="0" t="s">
        <v>288</v>
      </c>
      <c r="R16" s="0" t="s">
        <v>289</v>
      </c>
      <c r="S16" s="0" t="s">
        <v>290</v>
      </c>
      <c r="T16" s="0" t="s">
        <v>291</v>
      </c>
      <c r="U16" s="0" t="s">
        <v>292</v>
      </c>
      <c r="V16" s="0" t="s">
        <v>135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293</v>
      </c>
      <c r="B17" s="0" t="s">
        <v>294</v>
      </c>
      <c r="F17" s="0" t="s">
        <v>295</v>
      </c>
      <c r="G17" s="0" t="s">
        <v>296</v>
      </c>
      <c r="H17" s="0" t="s">
        <v>297</v>
      </c>
      <c r="I17" s="0" t="s">
        <v>298</v>
      </c>
      <c r="J17" s="0" t="s">
        <v>299</v>
      </c>
      <c r="K17" s="0" t="s">
        <v>300</v>
      </c>
      <c r="L17" s="0" t="s">
        <v>301</v>
      </c>
      <c r="M17" s="0" t="s">
        <v>302</v>
      </c>
      <c r="N17" s="0" t="s">
        <v>303</v>
      </c>
      <c r="O17" s="0" t="s">
        <v>304</v>
      </c>
      <c r="P17" s="0" t="s">
        <v>305</v>
      </c>
      <c r="Q17" s="0" t="s">
        <v>306</v>
      </c>
      <c r="R17" s="0" t="s">
        <v>307</v>
      </c>
      <c r="S17" s="0" t="s">
        <v>308</v>
      </c>
      <c r="T17" s="0" t="s">
        <v>291</v>
      </c>
      <c r="U17" s="0" t="s">
        <v>161</v>
      </c>
      <c r="V17" s="0" t="s">
        <v>309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310</v>
      </c>
      <c r="B18" s="0" t="s">
        <v>311</v>
      </c>
      <c r="F18" s="0" t="s">
        <v>312</v>
      </c>
      <c r="G18" s="0" t="s">
        <v>313</v>
      </c>
      <c r="H18" s="0" t="s">
        <v>143</v>
      </c>
      <c r="I18" s="0" t="s">
        <v>314</v>
      </c>
      <c r="J18" s="0" t="s">
        <v>315</v>
      </c>
      <c r="K18" s="0" t="s">
        <v>316</v>
      </c>
      <c r="L18" s="0" t="s">
        <v>317</v>
      </c>
      <c r="M18" s="0" t="s">
        <v>318</v>
      </c>
      <c r="N18" s="0" t="s">
        <v>319</v>
      </c>
      <c r="O18" s="0" t="s">
        <v>320</v>
      </c>
      <c r="P18" s="0" t="s">
        <v>321</v>
      </c>
      <c r="Q18" s="0" t="s">
        <v>322</v>
      </c>
      <c r="R18" s="0" t="s">
        <v>323</v>
      </c>
      <c r="S18" s="0" t="s">
        <v>324</v>
      </c>
      <c r="T18" s="0" t="s">
        <v>325</v>
      </c>
      <c r="U18" s="0" t="s">
        <v>326</v>
      </c>
      <c r="V18" s="0" t="s">
        <v>164</v>
      </c>
      <c r="AA18" s="0" t="s">
        <v>17</v>
      </c>
      <c r="AB1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327</v>
      </c>
      <c r="B1" s="2" t="s">
        <v>27</v>
      </c>
    </row>
    <row r="2" customFormat="false" ht="15" hidden="false" customHeight="false" outlineLevel="0" collapsed="false">
      <c r="A2" s="0" t="s">
        <v>328</v>
      </c>
      <c r="B2" s="3" t="n">
        <v>8.43</v>
      </c>
    </row>
    <row r="3" customFormat="false" ht="15" hidden="false" customHeight="false" outlineLevel="0" collapsed="false">
      <c r="A3" s="0" t="s">
        <v>329</v>
      </c>
      <c r="B3" s="3" t="n">
        <v>445</v>
      </c>
    </row>
    <row r="4" customFormat="false" ht="15" hidden="false" customHeight="false" outlineLevel="0" collapsed="false">
      <c r="A4" s="0" t="s">
        <v>330</v>
      </c>
      <c r="B4" s="3" t="n">
        <v>3129</v>
      </c>
    </row>
    <row r="5" customFormat="false" ht="15" hidden="false" customHeight="false" outlineLevel="0" collapsed="false">
      <c r="A5" s="0" t="s">
        <v>331</v>
      </c>
      <c r="B5" s="3" t="n">
        <v>15</v>
      </c>
    </row>
    <row r="6" customFormat="false" ht="15" hidden="false" customHeight="false" outlineLevel="0" collapsed="false">
      <c r="A6" s="0" t="s">
        <v>332</v>
      </c>
      <c r="B6" s="3" t="n">
        <v>1024</v>
      </c>
    </row>
    <row r="7" customFormat="false" ht="15" hidden="false" customHeight="false" outlineLevel="0" collapsed="false">
      <c r="A7" s="0" t="s">
        <v>333</v>
      </c>
      <c r="B7" s="3" t="s">
        <v>334</v>
      </c>
    </row>
    <row r="10" customFormat="false" ht="15" hidden="false" customHeight="false" outlineLevel="0" collapsed="false">
      <c r="A10" s="2" t="s">
        <v>335</v>
      </c>
      <c r="C10" s="2" t="s">
        <v>336</v>
      </c>
      <c r="D10" s="2" t="s">
        <v>337</v>
      </c>
      <c r="E10" s="2" t="s">
        <v>338</v>
      </c>
      <c r="F10" s="2" t="s">
        <v>339</v>
      </c>
      <c r="G10" s="2" t="s">
        <v>340</v>
      </c>
      <c r="H10" s="2" t="s">
        <v>341</v>
      </c>
      <c r="I10" s="2" t="s">
        <v>342</v>
      </c>
      <c r="J10" s="2" t="s">
        <v>343</v>
      </c>
      <c r="K10" s="2" t="s">
        <v>344</v>
      </c>
      <c r="L10" s="2" t="s">
        <v>345</v>
      </c>
    </row>
    <row r="11" customFormat="false" ht="15" hidden="false" customHeight="false" outlineLevel="0" collapsed="false">
      <c r="A11" s="0" t="s">
        <v>346</v>
      </c>
      <c r="C11" s="3" t="n">
        <v>1.3</v>
      </c>
      <c r="D11" s="3" t="n">
        <v>1.2</v>
      </c>
      <c r="E11" s="3" t="n">
        <v>1.1</v>
      </c>
      <c r="F11" s="3" t="n">
        <v>1.1</v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1</v>
      </c>
    </row>
    <row r="12" customFormat="false" ht="15" hidden="false" customHeight="false" outlineLevel="0" collapsed="false">
      <c r="A12" s="0" t="s">
        <v>347</v>
      </c>
      <c r="C12" s="3" t="n">
        <v>69.5</v>
      </c>
      <c r="D12" s="3" t="n">
        <v>69.8</v>
      </c>
      <c r="E12" s="3" t="n">
        <v>69.8</v>
      </c>
      <c r="F12" s="3" t="n">
        <v>69.6</v>
      </c>
      <c r="G12" s="3" t="n">
        <v>69.3</v>
      </c>
      <c r="H12" s="3" t="n">
        <v>69</v>
      </c>
      <c r="I12" s="3" t="n">
        <v>68.8</v>
      </c>
      <c r="J12" s="3" t="n">
        <v>68.8</v>
      </c>
      <c r="K12" s="3" t="n">
        <v>68.8</v>
      </c>
      <c r="L12" s="3" t="n">
        <v>68.8</v>
      </c>
    </row>
    <row r="13" customFormat="false" ht="15" hidden="false" customHeight="false" outlineLevel="0" collapsed="false">
      <c r="A13" s="0" t="s">
        <v>348</v>
      </c>
      <c r="C13" s="3" t="n">
        <v>42.5</v>
      </c>
      <c r="D13" s="3" t="n">
        <v>40.5</v>
      </c>
      <c r="E13" s="3" t="n">
        <v>38</v>
      </c>
      <c r="F13" s="3" t="n">
        <v>35.5</v>
      </c>
      <c r="G13" s="3" t="n">
        <v>34</v>
      </c>
      <c r="H13" s="3" t="n">
        <v>33</v>
      </c>
      <c r="I13" s="3" t="n">
        <v>32.5</v>
      </c>
      <c r="J13" s="3" t="n">
        <v>32</v>
      </c>
      <c r="K13" s="3" t="n">
        <v>32</v>
      </c>
      <c r="L13" s="3" t="n">
        <v>32</v>
      </c>
    </row>
    <row r="14" customFormat="false" ht="15" hidden="false" customHeight="false" outlineLevel="0" collapsed="false">
      <c r="A14" s="0" t="s">
        <v>349</v>
      </c>
      <c r="C14" s="3" t="n">
        <v>405</v>
      </c>
      <c r="D14" s="3" t="n">
        <v>388</v>
      </c>
      <c r="E14" s="3" t="n">
        <v>375</v>
      </c>
      <c r="F14" s="3" t="n">
        <v>361</v>
      </c>
      <c r="G14" s="3" t="n">
        <v>348</v>
      </c>
      <c r="H14" s="3" t="n">
        <v>335</v>
      </c>
      <c r="I14" s="3" t="n">
        <v>325</v>
      </c>
      <c r="J14" s="3" t="n">
        <v>318</v>
      </c>
      <c r="K14" s="3" t="n">
        <v>314</v>
      </c>
      <c r="L14" s="3" t="n">
        <v>312</v>
      </c>
    </row>
    <row r="15" customFormat="false" ht="15" hidden="false" customHeight="false" outlineLevel="0" collapsed="false">
      <c r="A15" s="0" t="s">
        <v>350</v>
      </c>
      <c r="C15" s="3" t="n">
        <v>12</v>
      </c>
      <c r="D15" s="3" t="n">
        <v>16</v>
      </c>
      <c r="E15" s="3" t="n">
        <v>19</v>
      </c>
      <c r="F15" s="3" t="n">
        <v>22</v>
      </c>
      <c r="G15" s="3" t="n">
        <v>24</v>
      </c>
      <c r="H15" s="3" t="n">
        <v>26</v>
      </c>
      <c r="I15" s="3" t="n">
        <v>27</v>
      </c>
      <c r="J15" s="3" t="n">
        <v>28</v>
      </c>
      <c r="K15" s="3" t="n">
        <v>28</v>
      </c>
      <c r="L15" s="3" t="n">
        <v>28</v>
      </c>
    </row>
    <row r="17" customFormat="false" ht="15" hidden="false" customHeight="false" outlineLevel="0" collapsed="false">
      <c r="A17" s="0" t="s">
        <v>351</v>
      </c>
      <c r="B17" s="3" t="n">
        <v>8</v>
      </c>
    </row>
    <row r="18" customFormat="false" ht="15" hidden="false" customHeight="false" outlineLevel="0" collapsed="false">
      <c r="A18" s="0" t="s">
        <v>352</v>
      </c>
      <c r="B18" s="3" t="n">
        <v>2</v>
      </c>
    </row>
    <row r="19" customFormat="false" ht="15" hidden="false" customHeight="false" outlineLevel="0" collapsed="false">
      <c r="A19" s="0" t="s">
        <v>353</v>
      </c>
      <c r="B19" s="3" t="n">
        <v>7</v>
      </c>
    </row>
    <row r="20" customFormat="false" ht="15" hidden="false" customHeight="false" outlineLevel="0" collapsed="false">
      <c r="A20" s="0" t="s">
        <v>354</v>
      </c>
      <c r="B20" s="3" t="n">
        <v>0.25</v>
      </c>
    </row>
    <row r="23" customFormat="false" ht="15" hidden="false" customHeight="false" outlineLevel="0" collapsed="false">
      <c r="A23" s="2" t="s">
        <v>355</v>
      </c>
      <c r="C23" s="2" t="s">
        <v>336</v>
      </c>
      <c r="D23" s="2" t="s">
        <v>337</v>
      </c>
      <c r="E23" s="2" t="s">
        <v>338</v>
      </c>
      <c r="F23" s="2" t="s">
        <v>339</v>
      </c>
      <c r="G23" s="2" t="s">
        <v>340</v>
      </c>
      <c r="H23" s="2" t="s">
        <v>341</v>
      </c>
      <c r="I23" s="2" t="s">
        <v>342</v>
      </c>
      <c r="J23" s="2" t="s">
        <v>343</v>
      </c>
      <c r="K23" s="2" t="s">
        <v>344</v>
      </c>
      <c r="L23" s="2" t="s">
        <v>345</v>
      </c>
    </row>
    <row r="24" customFormat="false" ht="15" hidden="false" customHeight="false" outlineLevel="0" collapsed="false">
      <c r="A24" s="0" t="s">
        <v>346</v>
      </c>
      <c r="C24" s="3" t="n">
        <v>2.6</v>
      </c>
      <c r="D24" s="3" t="n">
        <v>2.6</v>
      </c>
      <c r="E24" s="3" t="n">
        <v>2.5</v>
      </c>
      <c r="F24" s="3" t="n">
        <v>2.5</v>
      </c>
      <c r="G24" s="3" t="n">
        <v>2.4</v>
      </c>
      <c r="H24" s="3" t="n">
        <v>2.4</v>
      </c>
      <c r="I24" s="3" t="n">
        <v>2.3</v>
      </c>
      <c r="J24" s="3" t="n">
        <v>2.3</v>
      </c>
      <c r="K24" s="3" t="n">
        <v>2.3</v>
      </c>
      <c r="L24" s="3" t="n">
        <v>2.3</v>
      </c>
    </row>
    <row r="25" customFormat="false" ht="15" hidden="false" customHeight="false" outlineLevel="0" collapsed="false">
      <c r="A25" s="0" t="s">
        <v>347</v>
      </c>
      <c r="C25" s="3" t="n">
        <v>70.9</v>
      </c>
      <c r="D25" s="3" t="n">
        <v>71.6</v>
      </c>
      <c r="E25" s="3" t="n">
        <v>71.9</v>
      </c>
      <c r="F25" s="3" t="n">
        <v>72.1</v>
      </c>
      <c r="G25" s="3" t="n">
        <v>72.2</v>
      </c>
      <c r="H25" s="3" t="n">
        <v>72.3</v>
      </c>
      <c r="I25" s="3" t="n">
        <v>72.3</v>
      </c>
      <c r="J25" s="3" t="n">
        <v>72.3</v>
      </c>
      <c r="K25" s="3" t="n">
        <v>72.3</v>
      </c>
      <c r="L25" s="3" t="n">
        <v>72.3</v>
      </c>
    </row>
    <row r="26" customFormat="false" ht="15" hidden="false" customHeight="false" outlineLevel="0" collapsed="false">
      <c r="A26" s="0" t="s">
        <v>348</v>
      </c>
      <c r="C26" s="3" t="n">
        <v>40.5</v>
      </c>
      <c r="D26" s="3" t="n">
        <v>38</v>
      </c>
      <c r="E26" s="3" t="n">
        <v>35</v>
      </c>
      <c r="F26" s="3" t="n">
        <v>32.5</v>
      </c>
      <c r="G26" s="3" t="n">
        <v>31</v>
      </c>
      <c r="H26" s="3" t="n">
        <v>30</v>
      </c>
      <c r="I26" s="3" t="n">
        <v>29.5</v>
      </c>
      <c r="J26" s="3" t="n">
        <v>29</v>
      </c>
      <c r="K26" s="3" t="n">
        <v>29</v>
      </c>
      <c r="L26" s="3" t="n">
        <v>29</v>
      </c>
    </row>
    <row r="27" customFormat="false" ht="15" hidden="false" customHeight="false" outlineLevel="0" collapsed="false">
      <c r="A27" s="0" t="s">
        <v>349</v>
      </c>
      <c r="C27" s="3" t="n">
        <v>395</v>
      </c>
      <c r="D27" s="3" t="n">
        <v>370</v>
      </c>
      <c r="E27" s="3" t="n">
        <v>346</v>
      </c>
      <c r="F27" s="3" t="n">
        <v>323</v>
      </c>
      <c r="G27" s="3" t="n">
        <v>301</v>
      </c>
      <c r="H27" s="3" t="n">
        <v>281</v>
      </c>
      <c r="I27" s="3" t="n">
        <v>263</v>
      </c>
      <c r="J27" s="3" t="n">
        <v>251</v>
      </c>
      <c r="K27" s="3" t="n">
        <v>243</v>
      </c>
      <c r="L27" s="3" t="n">
        <v>237</v>
      </c>
    </row>
    <row r="28" customFormat="false" ht="15" hidden="false" customHeight="false" outlineLevel="0" collapsed="false">
      <c r="A28" s="0" t="s">
        <v>350</v>
      </c>
      <c r="C28" s="3" t="n">
        <v>10</v>
      </c>
      <c r="D28" s="3" t="n">
        <v>13</v>
      </c>
      <c r="E28" s="3" t="n">
        <v>16</v>
      </c>
      <c r="F28" s="3" t="n">
        <v>19</v>
      </c>
      <c r="G28" s="3" t="n">
        <v>21</v>
      </c>
      <c r="H28" s="3" t="n">
        <v>23</v>
      </c>
      <c r="I28" s="3" t="n">
        <v>25</v>
      </c>
      <c r="J28" s="3" t="n">
        <v>26</v>
      </c>
      <c r="K28" s="3" t="n">
        <v>27</v>
      </c>
      <c r="L28" s="3" t="n">
        <v>28</v>
      </c>
    </row>
    <row r="30" customFormat="false" ht="15" hidden="false" customHeight="false" outlineLevel="0" collapsed="false">
      <c r="A30" s="0" t="s">
        <v>351</v>
      </c>
      <c r="B30" s="3" t="n">
        <v>7</v>
      </c>
    </row>
    <row r="31" customFormat="false" ht="15" hidden="false" customHeight="false" outlineLevel="0" collapsed="false">
      <c r="A31" s="0" t="s">
        <v>352</v>
      </c>
      <c r="B31" s="3" t="n">
        <v>2.3</v>
      </c>
    </row>
    <row r="32" customFormat="false" ht="15" hidden="false" customHeight="false" outlineLevel="0" collapsed="false">
      <c r="A32" s="0" t="s">
        <v>353</v>
      </c>
      <c r="B32" s="3" t="n">
        <v>8</v>
      </c>
    </row>
    <row r="33" customFormat="false" ht="15" hidden="false" customHeight="false" outlineLevel="0" collapsed="false">
      <c r="A33" s="0" t="s">
        <v>354</v>
      </c>
      <c r="B33" s="3" t="n">
        <v>0.5</v>
      </c>
    </row>
    <row r="36" customFormat="false" ht="15" hidden="false" customHeight="false" outlineLevel="0" collapsed="false">
      <c r="A36" s="2" t="s">
        <v>356</v>
      </c>
      <c r="C36" s="2" t="s">
        <v>336</v>
      </c>
      <c r="D36" s="2" t="s">
        <v>337</v>
      </c>
      <c r="E36" s="2" t="s">
        <v>338</v>
      </c>
      <c r="F36" s="2" t="s">
        <v>339</v>
      </c>
      <c r="G36" s="2" t="s">
        <v>340</v>
      </c>
      <c r="H36" s="2" t="s">
        <v>341</v>
      </c>
      <c r="I36" s="2" t="s">
        <v>342</v>
      </c>
      <c r="J36" s="2" t="s">
        <v>343</v>
      </c>
      <c r="K36" s="2" t="s">
        <v>344</v>
      </c>
      <c r="L36" s="2" t="s">
        <v>345</v>
      </c>
    </row>
    <row r="37" customFormat="false" ht="15" hidden="false" customHeight="false" outlineLevel="0" collapsed="false">
      <c r="A37" s="0" t="s">
        <v>346</v>
      </c>
      <c r="C37" s="3" t="n">
        <v>3.4</v>
      </c>
      <c r="D37" s="3" t="n">
        <v>3.3</v>
      </c>
      <c r="E37" s="3" t="n">
        <v>3.2</v>
      </c>
      <c r="F37" s="3" t="n">
        <v>3.1</v>
      </c>
      <c r="G37" s="3" t="n">
        <v>3</v>
      </c>
      <c r="H37" s="3" t="n">
        <v>2.9</v>
      </c>
      <c r="I37" s="3" t="n">
        <v>2.8</v>
      </c>
      <c r="J37" s="3" t="n">
        <v>2.7</v>
      </c>
      <c r="K37" s="3" t="n">
        <v>2.6</v>
      </c>
      <c r="L37" s="3" t="n">
        <v>2.6</v>
      </c>
    </row>
    <row r="38" customFormat="false" ht="15" hidden="false" customHeight="false" outlineLevel="0" collapsed="false">
      <c r="A38" s="0" t="s">
        <v>347</v>
      </c>
      <c r="C38" s="3" t="n">
        <v>71.5</v>
      </c>
      <c r="D38" s="3" t="n">
        <v>72.3</v>
      </c>
      <c r="E38" s="3" t="n">
        <v>73</v>
      </c>
      <c r="F38" s="3" t="n">
        <v>73.5</v>
      </c>
      <c r="G38" s="3" t="n">
        <v>73.8</v>
      </c>
      <c r="H38" s="3" t="n">
        <v>74</v>
      </c>
      <c r="I38" s="3" t="n">
        <v>74</v>
      </c>
      <c r="J38" s="3" t="n">
        <v>74</v>
      </c>
      <c r="K38" s="3" t="n">
        <v>74</v>
      </c>
      <c r="L38" s="3" t="n">
        <v>74</v>
      </c>
    </row>
    <row r="39" customFormat="false" ht="15" hidden="false" customHeight="false" outlineLevel="0" collapsed="false">
      <c r="A39" s="0" t="s">
        <v>348</v>
      </c>
      <c r="C39" s="3" t="n">
        <v>39.5</v>
      </c>
      <c r="D39" s="3" t="n">
        <v>37</v>
      </c>
      <c r="E39" s="3" t="n">
        <v>34</v>
      </c>
      <c r="F39" s="3" t="n">
        <v>31</v>
      </c>
      <c r="G39" s="3" t="n">
        <v>29.5</v>
      </c>
      <c r="H39" s="3" t="n">
        <v>28</v>
      </c>
      <c r="I39" s="3" t="n">
        <v>27</v>
      </c>
      <c r="J39" s="3" t="n">
        <v>26.5</v>
      </c>
      <c r="K39" s="3" t="n">
        <v>26.5</v>
      </c>
      <c r="L39" s="3" t="n">
        <v>26.5</v>
      </c>
    </row>
    <row r="40" customFormat="false" ht="15" hidden="false" customHeight="false" outlineLevel="0" collapsed="false">
      <c r="A40" s="0" t="s">
        <v>349</v>
      </c>
      <c r="C40" s="3" t="n">
        <v>390</v>
      </c>
      <c r="D40" s="3" t="n">
        <v>360</v>
      </c>
      <c r="E40" s="3" t="n">
        <v>332</v>
      </c>
      <c r="F40" s="3" t="n">
        <v>304</v>
      </c>
      <c r="G40" s="3" t="n">
        <v>278</v>
      </c>
      <c r="H40" s="3" t="n">
        <v>257</v>
      </c>
      <c r="I40" s="3" t="n">
        <v>240</v>
      </c>
      <c r="J40" s="3" t="n">
        <v>230</v>
      </c>
      <c r="K40" s="3" t="n">
        <v>224</v>
      </c>
      <c r="L40" s="3" t="n">
        <v>220</v>
      </c>
    </row>
    <row r="41" customFormat="false" ht="15" hidden="false" customHeight="false" outlineLevel="0" collapsed="false">
      <c r="A41" s="0" t="s">
        <v>350</v>
      </c>
      <c r="C41" s="3" t="n">
        <v>8</v>
      </c>
      <c r="D41" s="3" t="n">
        <v>10</v>
      </c>
      <c r="E41" s="3" t="n">
        <v>13</v>
      </c>
      <c r="F41" s="3" t="n">
        <v>16</v>
      </c>
      <c r="G41" s="3" t="n">
        <v>18</v>
      </c>
      <c r="H41" s="3" t="n">
        <v>20</v>
      </c>
      <c r="I41" s="3" t="n">
        <v>22</v>
      </c>
      <c r="J41" s="3" t="n">
        <v>24</v>
      </c>
      <c r="K41" s="3" t="n">
        <v>26</v>
      </c>
      <c r="L41" s="3" t="n">
        <v>28</v>
      </c>
    </row>
    <row r="43" customFormat="false" ht="15" hidden="false" customHeight="false" outlineLevel="0" collapsed="false">
      <c r="A43" s="0" t="s">
        <v>351</v>
      </c>
      <c r="B43" s="3" t="n">
        <v>6.3</v>
      </c>
    </row>
    <row r="44" customFormat="false" ht="15" hidden="false" customHeight="false" outlineLevel="0" collapsed="false">
      <c r="A44" s="0" t="s">
        <v>352</v>
      </c>
      <c r="B44" s="3" t="n">
        <v>2.5</v>
      </c>
    </row>
    <row r="45" customFormat="false" ht="15" hidden="false" customHeight="false" outlineLevel="0" collapsed="false">
      <c r="A45" s="0" t="s">
        <v>353</v>
      </c>
      <c r="B45" s="3" t="n">
        <v>9</v>
      </c>
    </row>
    <row r="46" customFormat="false" ht="15" hidden="false" customHeight="false" outlineLevel="0" collapsed="false">
      <c r="A46" s="0" t="s">
        <v>354</v>
      </c>
      <c r="B46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2" t="s">
        <v>357</v>
      </c>
      <c r="B1" s="2" t="s">
        <v>336</v>
      </c>
      <c r="C1" s="2" t="s">
        <v>337</v>
      </c>
      <c r="D1" s="2" t="s">
        <v>338</v>
      </c>
      <c r="E1" s="2" t="s">
        <v>339</v>
      </c>
      <c r="F1" s="2" t="s">
        <v>340</v>
      </c>
      <c r="G1" s="2" t="s">
        <v>341</v>
      </c>
      <c r="H1" s="2" t="s">
        <v>342</v>
      </c>
      <c r="I1" s="2" t="s">
        <v>343</v>
      </c>
      <c r="J1" s="2" t="s">
        <v>344</v>
      </c>
      <c r="K1" s="2" t="s">
        <v>345</v>
      </c>
    </row>
    <row r="2" customFormat="false" ht="15" hidden="false" customHeight="false" outlineLevel="0" collapsed="false">
      <c r="A2" s="0" t="s">
        <v>358</v>
      </c>
      <c r="B2" s="0" t="n">
        <f aca="false">Assumptions!$B$6*(1+Assumptions!$C$11/100)</f>
        <v>1037.312</v>
      </c>
      <c r="C2" s="0" t="n">
        <f aca="false">$B$2*(1+Assumptions!$D$11/100)</f>
        <v>1049.759744</v>
      </c>
      <c r="D2" s="0" t="n">
        <f aca="false">$C$2*(1+Assumptions!$E$11/100)</f>
        <v>1061.307101184</v>
      </c>
      <c r="E2" s="0" t="n">
        <f aca="false">$D$2*(1+Assumptions!$F$11/100)</f>
        <v>1072.98147929702</v>
      </c>
      <c r="F2" s="0" t="n">
        <f aca="false">$E$2*(1+Assumptions!$G$11/100)</f>
        <v>1083.71129408999</v>
      </c>
      <c r="G2" s="0" t="n">
        <f aca="false">$F$2*(1+Assumptions!$H$11/100)</f>
        <v>1094.54840703089</v>
      </c>
      <c r="H2" s="0" t="n">
        <f aca="false">$G$2*(1+Assumptions!$I$11/100)</f>
        <v>1105.4938911012</v>
      </c>
      <c r="I2" s="0" t="n">
        <f aca="false">$H$2*(1+Assumptions!$J$11/100)</f>
        <v>1116.54883001222</v>
      </c>
      <c r="J2" s="0" t="n">
        <f aca="false">$I$2*(1+Assumptions!$K$11/100)</f>
        <v>1127.71431831234</v>
      </c>
      <c r="K2" s="0" t="n">
        <f aca="false">$J$2*(1+Assumptions!$L$11/100)</f>
        <v>1138.99146149546</v>
      </c>
    </row>
    <row r="3" customFormat="false" ht="15" hidden="false" customHeight="false" outlineLevel="0" collapsed="false">
      <c r="A3" s="0" t="s">
        <v>347</v>
      </c>
      <c r="B3" s="4" t="n">
        <f aca="false">Assumptions!$C$12</f>
        <v>69.5</v>
      </c>
      <c r="C3" s="4" t="n">
        <f aca="false">Assumptions!$D$12</f>
        <v>69.8</v>
      </c>
      <c r="D3" s="4" t="n">
        <f aca="false">Assumptions!$E$12</f>
        <v>69.8</v>
      </c>
      <c r="E3" s="4" t="n">
        <f aca="false">Assumptions!$F$12</f>
        <v>69.6</v>
      </c>
      <c r="F3" s="4" t="n">
        <f aca="false">Assumptions!$G$12</f>
        <v>69.3</v>
      </c>
      <c r="G3" s="4" t="n">
        <f aca="false">Assumptions!$H$12</f>
        <v>69</v>
      </c>
      <c r="H3" s="4" t="n">
        <f aca="false">Assumptions!$I$12</f>
        <v>68.8</v>
      </c>
      <c r="I3" s="4" t="n">
        <f aca="false">Assumptions!$J$12</f>
        <v>68.8</v>
      </c>
      <c r="J3" s="4" t="n">
        <f aca="false">Assumptions!$K$12</f>
        <v>68.8</v>
      </c>
      <c r="K3" s="4" t="n">
        <f aca="false">Assumptions!$L$12</f>
        <v>68.8</v>
      </c>
    </row>
    <row r="4" customFormat="false" ht="15" hidden="false" customHeight="false" outlineLevel="0" collapsed="false">
      <c r="A4" s="0" t="s">
        <v>359</v>
      </c>
      <c r="B4" s="0" t="n">
        <f aca="false">$B$2*$B$3/100</f>
        <v>720.93184</v>
      </c>
      <c r="C4" s="0" t="n">
        <f aca="false">$C$2*$C$3/100</f>
        <v>732.732301312</v>
      </c>
      <c r="D4" s="0" t="n">
        <f aca="false">$D$2*$D$3/100</f>
        <v>740.792356626432</v>
      </c>
      <c r="E4" s="0" t="n">
        <f aca="false">$E$2*$E$3/100</f>
        <v>746.795109590728</v>
      </c>
      <c r="F4" s="0" t="n">
        <f aca="false">$F$2*$F$3/100</f>
        <v>751.011926804366</v>
      </c>
      <c r="G4" s="0" t="n">
        <f aca="false">$G$2*$G$3/100</f>
        <v>755.238400851317</v>
      </c>
      <c r="H4" s="0" t="n">
        <f aca="false">$H$2*$H$3/100</f>
        <v>760.579797077628</v>
      </c>
      <c r="I4" s="0" t="n">
        <f aca="false">$I$2*$I$3/100</f>
        <v>768.185595048404</v>
      </c>
      <c r="J4" s="0" t="n">
        <f aca="false">$J$2*$J$3/100</f>
        <v>775.867450998888</v>
      </c>
      <c r="K4" s="0" t="n">
        <f aca="false">$K$2*$K$3/100</f>
        <v>783.626125508877</v>
      </c>
    </row>
    <row r="5" customFormat="false" ht="15" hidden="false" customHeight="false" outlineLevel="0" collapsed="false">
      <c r="A5" s="0" t="s">
        <v>348</v>
      </c>
      <c r="B5" s="4" t="n">
        <f aca="false">Assumptions!$C$13</f>
        <v>42.5</v>
      </c>
      <c r="C5" s="4" t="n">
        <f aca="false">Assumptions!$D$13</f>
        <v>40.5</v>
      </c>
      <c r="D5" s="4" t="n">
        <f aca="false">Assumptions!$E$13</f>
        <v>38</v>
      </c>
      <c r="E5" s="4" t="n">
        <f aca="false">Assumptions!$F$13</f>
        <v>35.5</v>
      </c>
      <c r="F5" s="4" t="n">
        <f aca="false">Assumptions!$G$13</f>
        <v>34</v>
      </c>
      <c r="G5" s="4" t="n">
        <f aca="false">Assumptions!$H$13</f>
        <v>33</v>
      </c>
      <c r="H5" s="4" t="n">
        <f aca="false">Assumptions!$I$13</f>
        <v>32.5</v>
      </c>
      <c r="I5" s="4" t="n">
        <f aca="false">Assumptions!$J$13</f>
        <v>32</v>
      </c>
      <c r="J5" s="4" t="n">
        <f aca="false">Assumptions!$K$13</f>
        <v>32</v>
      </c>
      <c r="K5" s="4" t="n">
        <f aca="false">Assumptions!$L$13</f>
        <v>32</v>
      </c>
    </row>
    <row r="6" customFormat="false" ht="15" hidden="false" customHeight="false" outlineLevel="0" collapsed="false">
      <c r="A6" s="0" t="s">
        <v>360</v>
      </c>
      <c r="B6" s="0" t="n">
        <f aca="false">$B$2*$B$5/100</f>
        <v>440.8576</v>
      </c>
      <c r="C6" s="0" t="n">
        <f aca="false">$C$2*$C$5/100</f>
        <v>425.15269632</v>
      </c>
      <c r="D6" s="0" t="n">
        <f aca="false">$D$2*$D$5/100</f>
        <v>403.29669844992</v>
      </c>
      <c r="E6" s="0" t="n">
        <f aca="false">$E$2*$E$5/100</f>
        <v>380.908425150443</v>
      </c>
      <c r="F6" s="0" t="n">
        <f aca="false">$F$2*$F$5/100</f>
        <v>368.461839990598</v>
      </c>
      <c r="G6" s="0" t="n">
        <f aca="false">$G$2*$G$5/100</f>
        <v>361.200974320195</v>
      </c>
      <c r="H6" s="0" t="n">
        <f aca="false">$H$2*$H$5/100</f>
        <v>359.285514607891</v>
      </c>
      <c r="I6" s="0" t="n">
        <f aca="false">$I$2*$I$5/100</f>
        <v>357.295625603909</v>
      </c>
      <c r="J6" s="0" t="n">
        <f aca="false">$J$2*$J$5/100</f>
        <v>360.868581859948</v>
      </c>
      <c r="K6" s="0" t="n">
        <f aca="false">$K$2*$K$5/100</f>
        <v>364.477267678547</v>
      </c>
    </row>
    <row r="7" customFormat="false" ht="15" hidden="false" customHeight="false" outlineLevel="0" collapsed="false">
      <c r="A7" s="0" t="s">
        <v>361</v>
      </c>
      <c r="B7" s="0" t="n">
        <f aca="false">$B$4-$B$6</f>
        <v>280.07424</v>
      </c>
      <c r="C7" s="0" t="n">
        <f aca="false">$C$4-$C$6</f>
        <v>307.579604992</v>
      </c>
      <c r="D7" s="0" t="n">
        <f aca="false">$D$4-$D$6</f>
        <v>337.495658176512</v>
      </c>
      <c r="E7" s="0" t="n">
        <f aca="false">$E$4-$E$6</f>
        <v>365.886684440285</v>
      </c>
      <c r="F7" s="0" t="n">
        <f aca="false">$F$4-$F$6</f>
        <v>382.550086813768</v>
      </c>
      <c r="G7" s="0" t="n">
        <f aca="false">$G$4-$G$6</f>
        <v>394.037426531122</v>
      </c>
      <c r="H7" s="0" t="n">
        <f aca="false">$H$4-$H$6</f>
        <v>401.294282469737</v>
      </c>
      <c r="I7" s="0" t="n">
        <f aca="false">$I$4-$I$6</f>
        <v>410.889969444495</v>
      </c>
      <c r="J7" s="0" t="n">
        <f aca="false">$J$4-$J$6</f>
        <v>414.99886913894</v>
      </c>
      <c r="K7" s="0" t="n">
        <f aca="false">$K$4-$K$6</f>
        <v>419.148857830329</v>
      </c>
    </row>
    <row r="8" customFormat="false" ht="15" hidden="false" customHeight="false" outlineLevel="0" collapsed="false">
      <c r="A8" s="0" t="s">
        <v>350</v>
      </c>
      <c r="B8" s="4" t="n">
        <f aca="false">Assumptions!$C$15</f>
        <v>12</v>
      </c>
      <c r="C8" s="4" t="n">
        <f aca="false">Assumptions!$D$15</f>
        <v>16</v>
      </c>
      <c r="D8" s="4" t="n">
        <f aca="false">Assumptions!$E$15</f>
        <v>19</v>
      </c>
      <c r="E8" s="4" t="n">
        <f aca="false">Assumptions!$F$15</f>
        <v>22</v>
      </c>
      <c r="F8" s="4" t="n">
        <f aca="false">Assumptions!$G$15</f>
        <v>24</v>
      </c>
      <c r="G8" s="4" t="n">
        <f aca="false">Assumptions!$H$15</f>
        <v>26</v>
      </c>
      <c r="H8" s="4" t="n">
        <f aca="false">Assumptions!$I$15</f>
        <v>27</v>
      </c>
      <c r="I8" s="4" t="n">
        <f aca="false">Assumptions!$J$15</f>
        <v>28</v>
      </c>
      <c r="J8" s="4" t="n">
        <f aca="false">Assumptions!$K$15</f>
        <v>28</v>
      </c>
      <c r="K8" s="4" t="n">
        <f aca="false">Assumptions!$L$15</f>
        <v>28</v>
      </c>
    </row>
    <row r="9" customFormat="false" ht="15" hidden="false" customHeight="false" outlineLevel="0" collapsed="false">
      <c r="A9" s="0" t="s">
        <v>362</v>
      </c>
      <c r="B9" s="0" t="n">
        <f aca="false">$B$7*(1-$B$8/100)</f>
        <v>246.4653312</v>
      </c>
      <c r="C9" s="0" t="n">
        <f aca="false">$C$7*(1-$C$8/100)</f>
        <v>258.36686819328</v>
      </c>
      <c r="D9" s="0" t="n">
        <f aca="false">$D$7*(1-$D$8/100)</f>
        <v>273.371483122975</v>
      </c>
      <c r="E9" s="0" t="n">
        <f aca="false">$E$7*(1-$E$8/100)</f>
        <v>285.391613863422</v>
      </c>
      <c r="F9" s="0" t="n">
        <f aca="false">$F$7*(1-$F$8/100)</f>
        <v>290.738065978464</v>
      </c>
      <c r="G9" s="0" t="n">
        <f aca="false">$G$7*(1-$G$8/100)</f>
        <v>291.58769563303</v>
      </c>
      <c r="H9" s="0" t="n">
        <f aca="false">$H$7*(1-$H$8/100)</f>
        <v>292.944826202908</v>
      </c>
      <c r="I9" s="0" t="n">
        <f aca="false">$I$7*(1-$I$8/100)</f>
        <v>295.840778000036</v>
      </c>
      <c r="J9" s="0" t="n">
        <f aca="false">$J$7*(1-$J$8/100)</f>
        <v>298.799185780037</v>
      </c>
      <c r="K9" s="0" t="n">
        <f aca="false">$K$7*(1-$K$8/100)</f>
        <v>301.787177637837</v>
      </c>
    </row>
    <row r="10" customFormat="false" ht="15" hidden="false" customHeight="false" outlineLevel="0" collapsed="false">
      <c r="A10" s="0" t="s">
        <v>363</v>
      </c>
      <c r="B10" s="4" t="n">
        <f aca="false">Assumptions!$C$14</f>
        <v>405</v>
      </c>
      <c r="C10" s="4" t="n">
        <f aca="false">Assumptions!$D$14</f>
        <v>388</v>
      </c>
      <c r="D10" s="4" t="n">
        <f aca="false">Assumptions!$E$14</f>
        <v>375</v>
      </c>
      <c r="E10" s="4" t="n">
        <f aca="false">Assumptions!$F$14</f>
        <v>361</v>
      </c>
      <c r="F10" s="4" t="n">
        <f aca="false">Assumptions!$G$14</f>
        <v>348</v>
      </c>
      <c r="G10" s="4" t="n">
        <f aca="false">Assumptions!$H$14</f>
        <v>335</v>
      </c>
      <c r="H10" s="4" t="n">
        <f aca="false">Assumptions!$I$14</f>
        <v>325</v>
      </c>
      <c r="I10" s="4" t="n">
        <f aca="false">Assumptions!$J$14</f>
        <v>318</v>
      </c>
      <c r="J10" s="4" t="n">
        <f aca="false">Assumptions!$K$14</f>
        <v>314</v>
      </c>
      <c r="K10" s="4" t="n">
        <f aca="false">Assumptions!$L$14</f>
        <v>312</v>
      </c>
    </row>
    <row r="11" customFormat="false" ht="15" hidden="false" customHeight="false" outlineLevel="0" collapsed="false">
      <c r="A11" s="0" t="s">
        <v>364</v>
      </c>
      <c r="B11" s="0" t="n">
        <f aca="false">$B$2*0.15/100</f>
        <v>1.555968</v>
      </c>
      <c r="C11" s="0" t="n">
        <f aca="false">$C$2*0.15/100</f>
        <v>1.574639616</v>
      </c>
      <c r="D11" s="0" t="n">
        <f aca="false">$D$2*0.15/100</f>
        <v>1.591960651776</v>
      </c>
      <c r="E11" s="0" t="n">
        <f aca="false">$E$2*0.15/100</f>
        <v>1.60947221894554</v>
      </c>
      <c r="F11" s="0" t="n">
        <f aca="false">$F$2*0.15/100</f>
        <v>1.62556694113499</v>
      </c>
      <c r="G11" s="0" t="n">
        <f aca="false">$G$2*0.15/100</f>
        <v>1.64182261054634</v>
      </c>
      <c r="H11" s="0" t="n">
        <f aca="false">$H$2*0.15/100</f>
        <v>1.6582408366518</v>
      </c>
      <c r="I11" s="0" t="n">
        <f aca="false">$I$2*0.15/100</f>
        <v>1.67482324501832</v>
      </c>
      <c r="J11" s="0" t="n">
        <f aca="false">$J$2*0.15/100</f>
        <v>1.69157147746851</v>
      </c>
      <c r="K11" s="0" t="n">
        <f aca="false">$K$2*0.15/100</f>
        <v>1.70848719224319</v>
      </c>
    </row>
    <row r="12" customFormat="false" ht="15" hidden="false" customHeight="false" outlineLevel="0" collapsed="false">
      <c r="A12" s="2" t="s">
        <v>365</v>
      </c>
      <c r="B12" s="2" t="n">
        <f aca="false">$B$9+$B$6-$B$10-$B$11</f>
        <v>280.7669632</v>
      </c>
      <c r="C12" s="2" t="n">
        <f aca="false">$C$9+$C$6-$C$10-$C$11</f>
        <v>293.94492489728</v>
      </c>
      <c r="D12" s="2" t="n">
        <f aca="false">$D$9+$D$6-$D$10-$D$11</f>
        <v>300.076220921119</v>
      </c>
      <c r="E12" s="2" t="n">
        <f aca="false">$E$9+$E$6-$E$10-$E$11</f>
        <v>303.69056679492</v>
      </c>
      <c r="F12" s="2" t="n">
        <f aca="false">$F$9+$F$6-$F$10-$F$11</f>
        <v>309.574339027927</v>
      </c>
      <c r="G12" s="2" t="n">
        <f aca="false">$G$9+$G$6-$G$10-$G$11</f>
        <v>316.146847342679</v>
      </c>
      <c r="H12" s="2" t="n">
        <f aca="false">$H$9+$H$6-$H$10-$H$11</f>
        <v>325.572099974147</v>
      </c>
      <c r="I12" s="2" t="n">
        <f aca="false">$I$9+$I$6-$I$10-$I$11</f>
        <v>333.461580358927</v>
      </c>
      <c r="J12" s="2" t="n">
        <f aca="false">$J$9+$J$6-$J$10-$J$11</f>
        <v>343.976196162516</v>
      </c>
      <c r="K12" s="2" t="n">
        <f aca="false">$K$9+$K$6-$K$10-$K$11</f>
        <v>352.555958124141</v>
      </c>
    </row>
    <row r="13" customFormat="false" ht="15" hidden="false" customHeight="false" outlineLevel="0" collapsed="false">
      <c r="A13" s="0" t="s">
        <v>366</v>
      </c>
      <c r="B13" s="0" t="n">
        <f aca="false">1/(1+Assumptions!$B$17/100)^1</f>
        <v>0.925925925925926</v>
      </c>
      <c r="C13" s="0" t="n">
        <f aca="false">1/(1+Assumptions!$B$17/100)^2</f>
        <v>0.857338820301783</v>
      </c>
      <c r="D13" s="0" t="n">
        <f aca="false">1/(1+Assumptions!$B$17/100)^3</f>
        <v>0.79383224102017</v>
      </c>
      <c r="E13" s="0" t="n">
        <f aca="false">1/(1+Assumptions!$B$17/100)^4</f>
        <v>0.735029852796453</v>
      </c>
      <c r="F13" s="0" t="n">
        <f aca="false">1/(1+Assumptions!$B$17/100)^5</f>
        <v>0.680583197033753</v>
      </c>
      <c r="G13" s="0" t="n">
        <f aca="false">1/(1+Assumptions!$B$17/100)^6</f>
        <v>0.630169626883105</v>
      </c>
      <c r="H13" s="0" t="n">
        <f aca="false">1/(1+Assumptions!$B$17/100)^7</f>
        <v>0.583490395262134</v>
      </c>
      <c r="I13" s="0" t="n">
        <f aca="false">1/(1+Assumptions!$B$17/100)^8</f>
        <v>0.540268884501976</v>
      </c>
      <c r="J13" s="0" t="n">
        <f aca="false">1/(1+Assumptions!$B$17/100)^9</f>
        <v>0.500248967131459</v>
      </c>
      <c r="K13" s="0" t="n">
        <f aca="false">1/(1+Assumptions!$B$17/100)^10</f>
        <v>0.463193488084684</v>
      </c>
    </row>
    <row r="14" customFormat="false" ht="15" hidden="false" customHeight="false" outlineLevel="0" collapsed="false">
      <c r="A14" s="0" t="s">
        <v>367</v>
      </c>
      <c r="B14" s="0" t="n">
        <f aca="false">$B$12*$B$13</f>
        <v>259.96941037037</v>
      </c>
      <c r="C14" s="0" t="n">
        <f aca="false">$C$12*$C$13</f>
        <v>252.01039514513</v>
      </c>
      <c r="D14" s="0" t="n">
        <f aca="false">$D$12*$D$13</f>
        <v>238.210178930675</v>
      </c>
      <c r="E14" s="0" t="n">
        <f aca="false">$E$12*$E$13</f>
        <v>223.221632606942</v>
      </c>
      <c r="F14" s="0" t="n">
        <f aca="false">$F$12*$F$13</f>
        <v>210.691093375237</v>
      </c>
      <c r="G14" s="0" t="n">
        <f aca="false">$G$12*$G$13</f>
        <v>199.226140830206</v>
      </c>
      <c r="H14" s="0" t="n">
        <f aca="false">$H$12*$H$13</f>
        <v>189.968193300238</v>
      </c>
      <c r="I14" s="0" t="n">
        <f aca="false">$I$12*$I$13</f>
        <v>180.158916044783</v>
      </c>
      <c r="J14" s="0" t="n">
        <f aca="false">$J$12*$J$13</f>
        <v>172.073736848107</v>
      </c>
      <c r="K14" s="0" t="n">
        <f aca="false">$K$12*$K$13</f>
        <v>163.301623988559</v>
      </c>
    </row>
    <row r="16" customFormat="false" ht="15" hidden="false" customHeight="false" outlineLevel="0" collapsed="false">
      <c r="A16" s="0" t="s">
        <v>368</v>
      </c>
      <c r="B16" s="0" t="n">
        <f aca="false">SUM(B14:K14)</f>
        <v>2088.83132144025</v>
      </c>
    </row>
    <row r="17" customFormat="false" ht="15" hidden="false" customHeight="false" outlineLevel="0" collapsed="false">
      <c r="A17" s="0" t="s">
        <v>369</v>
      </c>
      <c r="B17" s="0" t="n">
        <f aca="false">$K$12*(1+Assumptions!$B$18/100)/(Assumptions!$B$17/100-Assumptions!$B$18/100)</f>
        <v>5993.45128811041</v>
      </c>
    </row>
    <row r="18" customFormat="false" ht="15" hidden="false" customHeight="false" outlineLevel="0" collapsed="false">
      <c r="A18" s="0" t="s">
        <v>370</v>
      </c>
      <c r="B18" s="0" t="n">
        <f aca="false">$K$4*Assumptions!$B$19</f>
        <v>5485.38287856214</v>
      </c>
    </row>
    <row r="19" customFormat="false" ht="15" hidden="false" customHeight="false" outlineLevel="0" collapsed="false">
      <c r="A19" s="2" t="s">
        <v>371</v>
      </c>
      <c r="B19" s="2" t="n">
        <f aca="false">MIN(B17,B18)</f>
        <v>5485.38287856214</v>
      </c>
    </row>
    <row r="20" customFormat="false" ht="15" hidden="false" customHeight="false" outlineLevel="0" collapsed="false">
      <c r="A20" s="0" t="s">
        <v>372</v>
      </c>
      <c r="B20" s="0" t="n">
        <f aca="false">B19*$K$13</f>
        <v>2540.7936290012</v>
      </c>
    </row>
    <row r="21" customFormat="false" ht="15" hidden="false" customHeight="false" outlineLevel="0" collapsed="false">
      <c r="A21" s="2" t="s">
        <v>373</v>
      </c>
      <c r="B21" s="2" t="n">
        <f aca="false">B16+B20</f>
        <v>4629.62495044145</v>
      </c>
    </row>
    <row r="22" customFormat="false" ht="15" hidden="false" customHeight="false" outlineLevel="0" collapsed="false">
      <c r="A22" s="0" t="s">
        <v>330</v>
      </c>
      <c r="B22" s="4" t="n">
        <f aca="false">Assumptions!$B$4</f>
        <v>3129</v>
      </c>
    </row>
    <row r="23" customFormat="false" ht="15" hidden="false" customHeight="false" outlineLevel="0" collapsed="false">
      <c r="A23" s="2" t="s">
        <v>374</v>
      </c>
      <c r="B23" s="2" t="n">
        <f aca="false">B21-B22</f>
        <v>1500.62495044145</v>
      </c>
    </row>
    <row r="24" customFormat="false" ht="15" hidden="false" customHeight="false" outlineLevel="0" collapsed="false">
      <c r="A24" s="0" t="s">
        <v>375</v>
      </c>
      <c r="B24" s="4" t="n">
        <f aca="false">Assumptions!$B$3</f>
        <v>445</v>
      </c>
    </row>
    <row r="25" customFormat="false" ht="15" hidden="false" customHeight="false" outlineLevel="0" collapsed="false">
      <c r="A25" s="2" t="s">
        <v>376</v>
      </c>
      <c r="B25" s="2" t="n">
        <f aca="false">B23/B24</f>
        <v>3.37219089986842</v>
      </c>
    </row>
    <row r="26" customFormat="false" ht="15" hidden="false" customHeight="false" outlineLevel="0" collapsed="false">
      <c r="A26" s="0" t="s">
        <v>377</v>
      </c>
      <c r="B26" s="0" t="n">
        <f aca="false">(B25/Assumptions!$B$2-1)*100</f>
        <v>-59.9977354701255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2" t="s">
        <v>357</v>
      </c>
      <c r="B1" s="2" t="s">
        <v>336</v>
      </c>
      <c r="C1" s="2" t="s">
        <v>337</v>
      </c>
      <c r="D1" s="2" t="s">
        <v>338</v>
      </c>
      <c r="E1" s="2" t="s">
        <v>339</v>
      </c>
      <c r="F1" s="2" t="s">
        <v>340</v>
      </c>
      <c r="G1" s="2" t="s">
        <v>341</v>
      </c>
      <c r="H1" s="2" t="s">
        <v>342</v>
      </c>
      <c r="I1" s="2" t="s">
        <v>343</v>
      </c>
      <c r="J1" s="2" t="s">
        <v>344</v>
      </c>
      <c r="K1" s="2" t="s">
        <v>345</v>
      </c>
    </row>
    <row r="2" customFormat="false" ht="15" hidden="false" customHeight="false" outlineLevel="0" collapsed="false">
      <c r="A2" s="0" t="s">
        <v>358</v>
      </c>
      <c r="B2" s="0" t="n">
        <f aca="false">Assumptions!$B$6*(1+Assumptions!$C$24/100)</f>
        <v>1050.624</v>
      </c>
      <c r="C2" s="0" t="n">
        <f aca="false">$B$2*(1+Assumptions!$D$24/100)</f>
        <v>1077.940224</v>
      </c>
      <c r="D2" s="0" t="n">
        <f aca="false">$C$2*(1+Assumptions!$E$24/100)</f>
        <v>1104.8887296</v>
      </c>
      <c r="E2" s="0" t="n">
        <f aca="false">$D$2*(1+Assumptions!$F$24/100)</f>
        <v>1132.51094784</v>
      </c>
      <c r="F2" s="0" t="n">
        <f aca="false">$E$2*(1+Assumptions!$G$24/100)</f>
        <v>1159.69121058816</v>
      </c>
      <c r="G2" s="0" t="n">
        <f aca="false">$F$2*(1+Assumptions!$H$24/100)</f>
        <v>1187.52379964228</v>
      </c>
      <c r="H2" s="0" t="n">
        <f aca="false">$G$2*(1+Assumptions!$I$24/100)</f>
        <v>1214.83684703405</v>
      </c>
      <c r="I2" s="0" t="n">
        <f aca="false">$H$2*(1+Assumptions!$J$24/100)</f>
        <v>1242.77809451583</v>
      </c>
      <c r="J2" s="0" t="n">
        <f aca="false">$I$2*(1+Assumptions!$K$24/100)</f>
        <v>1271.3619906897</v>
      </c>
      <c r="K2" s="0" t="n">
        <f aca="false">$J$2*(1+Assumptions!$L$24/100)</f>
        <v>1300.60331647556</v>
      </c>
    </row>
    <row r="3" customFormat="false" ht="15" hidden="false" customHeight="false" outlineLevel="0" collapsed="false">
      <c r="A3" s="0" t="s">
        <v>347</v>
      </c>
      <c r="B3" s="4" t="n">
        <f aca="false">Assumptions!$C$25</f>
        <v>70.9</v>
      </c>
      <c r="C3" s="4" t="n">
        <f aca="false">Assumptions!$D$25</f>
        <v>71.6</v>
      </c>
      <c r="D3" s="4" t="n">
        <f aca="false">Assumptions!$E$25</f>
        <v>71.9</v>
      </c>
      <c r="E3" s="4" t="n">
        <f aca="false">Assumptions!$F$25</f>
        <v>72.1</v>
      </c>
      <c r="F3" s="4" t="n">
        <f aca="false">Assumptions!$G$25</f>
        <v>72.2</v>
      </c>
      <c r="G3" s="4" t="n">
        <f aca="false">Assumptions!$H$25</f>
        <v>72.3</v>
      </c>
      <c r="H3" s="4" t="n">
        <f aca="false">Assumptions!$I$25</f>
        <v>72.3</v>
      </c>
      <c r="I3" s="4" t="n">
        <f aca="false">Assumptions!$J$25</f>
        <v>72.3</v>
      </c>
      <c r="J3" s="4" t="n">
        <f aca="false">Assumptions!$K$25</f>
        <v>72.3</v>
      </c>
      <c r="K3" s="4" t="n">
        <f aca="false">Assumptions!$L$25</f>
        <v>72.3</v>
      </c>
    </row>
    <row r="4" customFormat="false" ht="15" hidden="false" customHeight="false" outlineLevel="0" collapsed="false">
      <c r="A4" s="0" t="s">
        <v>359</v>
      </c>
      <c r="B4" s="0" t="n">
        <f aca="false">$B$2*$B$3/100</f>
        <v>744.892416</v>
      </c>
      <c r="C4" s="0" t="n">
        <f aca="false">$C$2*$C$3/100</f>
        <v>771.805200384</v>
      </c>
      <c r="D4" s="0" t="n">
        <f aca="false">$D$2*$D$3/100</f>
        <v>794.4149965824</v>
      </c>
      <c r="E4" s="0" t="n">
        <f aca="false">$E$2*$E$3/100</f>
        <v>816.54039339264</v>
      </c>
      <c r="F4" s="0" t="n">
        <f aca="false">$F$2*$F$3/100</f>
        <v>837.297054044651</v>
      </c>
      <c r="G4" s="0" t="n">
        <f aca="false">$G$2*$G$3/100</f>
        <v>858.579707141365</v>
      </c>
      <c r="H4" s="0" t="n">
        <f aca="false">$H$2*$H$3/100</f>
        <v>878.327040405617</v>
      </c>
      <c r="I4" s="0" t="n">
        <f aca="false">$I$2*$I$3/100</f>
        <v>898.528562334946</v>
      </c>
      <c r="J4" s="0" t="n">
        <f aca="false">$J$2*$J$3/100</f>
        <v>919.194719268649</v>
      </c>
      <c r="K4" s="0" t="n">
        <f aca="false">$K$2*$K$3/100</f>
        <v>940.336197811828</v>
      </c>
    </row>
    <row r="5" customFormat="false" ht="15" hidden="false" customHeight="false" outlineLevel="0" collapsed="false">
      <c r="A5" s="0" t="s">
        <v>348</v>
      </c>
      <c r="B5" s="4" t="n">
        <f aca="false">Assumptions!$C$26</f>
        <v>40.5</v>
      </c>
      <c r="C5" s="4" t="n">
        <f aca="false">Assumptions!$D$26</f>
        <v>38</v>
      </c>
      <c r="D5" s="4" t="n">
        <f aca="false">Assumptions!$E$26</f>
        <v>35</v>
      </c>
      <c r="E5" s="4" t="n">
        <f aca="false">Assumptions!$F$26</f>
        <v>32.5</v>
      </c>
      <c r="F5" s="4" t="n">
        <f aca="false">Assumptions!$G$26</f>
        <v>31</v>
      </c>
      <c r="G5" s="4" t="n">
        <f aca="false">Assumptions!$H$26</f>
        <v>30</v>
      </c>
      <c r="H5" s="4" t="n">
        <f aca="false">Assumptions!$I$26</f>
        <v>29.5</v>
      </c>
      <c r="I5" s="4" t="n">
        <f aca="false">Assumptions!$J$26</f>
        <v>29</v>
      </c>
      <c r="J5" s="4" t="n">
        <f aca="false">Assumptions!$K$26</f>
        <v>29</v>
      </c>
      <c r="K5" s="4" t="n">
        <f aca="false">Assumptions!$L$26</f>
        <v>29</v>
      </c>
    </row>
    <row r="6" customFormat="false" ht="15" hidden="false" customHeight="false" outlineLevel="0" collapsed="false">
      <c r="A6" s="0" t="s">
        <v>360</v>
      </c>
      <c r="B6" s="0" t="n">
        <f aca="false">$B$2*$B$5/100</f>
        <v>425.50272</v>
      </c>
      <c r="C6" s="0" t="n">
        <f aca="false">$C$2*$C$5/100</f>
        <v>409.61728512</v>
      </c>
      <c r="D6" s="0" t="n">
        <f aca="false">$D$2*$D$5/100</f>
        <v>386.71105536</v>
      </c>
      <c r="E6" s="0" t="n">
        <f aca="false">$E$2*$E$5/100</f>
        <v>368.066058048</v>
      </c>
      <c r="F6" s="0" t="n">
        <f aca="false">$F$2*$F$5/100</f>
        <v>359.50427528233</v>
      </c>
      <c r="G6" s="0" t="n">
        <f aca="false">$G$2*$G$5/100</f>
        <v>356.257139892683</v>
      </c>
      <c r="H6" s="0" t="n">
        <f aca="false">$H$2*$H$5/100</f>
        <v>358.376869875044</v>
      </c>
      <c r="I6" s="0" t="n">
        <f aca="false">$I$2*$I$5/100</f>
        <v>360.405647409591</v>
      </c>
      <c r="J6" s="0" t="n">
        <f aca="false">$J$2*$J$5/100</f>
        <v>368.694977300012</v>
      </c>
      <c r="K6" s="0" t="n">
        <f aca="false">$K$2*$K$5/100</f>
        <v>377.174961777912</v>
      </c>
    </row>
    <row r="7" customFormat="false" ht="15" hidden="false" customHeight="false" outlineLevel="0" collapsed="false">
      <c r="A7" s="0" t="s">
        <v>361</v>
      </c>
      <c r="B7" s="0" t="n">
        <f aca="false">$B$4-$B$6</f>
        <v>319.389696</v>
      </c>
      <c r="C7" s="0" t="n">
        <f aca="false">$C$4-$C$6</f>
        <v>362.187915264</v>
      </c>
      <c r="D7" s="0" t="n">
        <f aca="false">$D$4-$D$6</f>
        <v>407.7039412224</v>
      </c>
      <c r="E7" s="0" t="n">
        <f aca="false">$E$4-$E$6</f>
        <v>448.47433534464</v>
      </c>
      <c r="F7" s="0" t="n">
        <f aca="false">$F$4-$F$6</f>
        <v>477.792778762322</v>
      </c>
      <c r="G7" s="0" t="n">
        <f aca="false">$G$4-$G$6</f>
        <v>502.322567248683</v>
      </c>
      <c r="H7" s="0" t="n">
        <f aca="false">$H$4-$H$6</f>
        <v>519.950170530572</v>
      </c>
      <c r="I7" s="0" t="n">
        <f aca="false">$I$4-$I$6</f>
        <v>538.122914925355</v>
      </c>
      <c r="J7" s="0" t="n">
        <f aca="false">$J$4-$J$6</f>
        <v>550.499741968638</v>
      </c>
      <c r="K7" s="0" t="n">
        <f aca="false">$K$4-$K$6</f>
        <v>563.161236033917</v>
      </c>
    </row>
    <row r="8" customFormat="false" ht="15" hidden="false" customHeight="false" outlineLevel="0" collapsed="false">
      <c r="A8" s="0" t="s">
        <v>350</v>
      </c>
      <c r="B8" s="4" t="n">
        <f aca="false">Assumptions!$C$28</f>
        <v>10</v>
      </c>
      <c r="C8" s="4" t="n">
        <f aca="false">Assumptions!$D$28</f>
        <v>13</v>
      </c>
      <c r="D8" s="4" t="n">
        <f aca="false">Assumptions!$E$28</f>
        <v>16</v>
      </c>
      <c r="E8" s="4" t="n">
        <f aca="false">Assumptions!$F$28</f>
        <v>19</v>
      </c>
      <c r="F8" s="4" t="n">
        <f aca="false">Assumptions!$G$28</f>
        <v>21</v>
      </c>
      <c r="G8" s="4" t="n">
        <f aca="false">Assumptions!$H$28</f>
        <v>23</v>
      </c>
      <c r="H8" s="4" t="n">
        <f aca="false">Assumptions!$I$28</f>
        <v>25</v>
      </c>
      <c r="I8" s="4" t="n">
        <f aca="false">Assumptions!$J$28</f>
        <v>26</v>
      </c>
      <c r="J8" s="4" t="n">
        <f aca="false">Assumptions!$K$28</f>
        <v>27</v>
      </c>
      <c r="K8" s="4" t="n">
        <f aca="false">Assumptions!$L$28</f>
        <v>28</v>
      </c>
    </row>
    <row r="9" customFormat="false" ht="15" hidden="false" customHeight="false" outlineLevel="0" collapsed="false">
      <c r="A9" s="0" t="s">
        <v>362</v>
      </c>
      <c r="B9" s="0" t="n">
        <f aca="false">$B$7*(1-$B$8/100)</f>
        <v>287.4507264</v>
      </c>
      <c r="C9" s="0" t="n">
        <f aca="false">$C$7*(1-$C$8/100)</f>
        <v>315.10348627968</v>
      </c>
      <c r="D9" s="0" t="n">
        <f aca="false">$D$7*(1-$D$8/100)</f>
        <v>342.471310626816</v>
      </c>
      <c r="E9" s="0" t="n">
        <f aca="false">$E$7*(1-$E$8/100)</f>
        <v>363.264211629158</v>
      </c>
      <c r="F9" s="0" t="n">
        <f aca="false">$F$7*(1-$F$8/100)</f>
        <v>377.456295222234</v>
      </c>
      <c r="G9" s="0" t="n">
        <f aca="false">$G$7*(1-$G$8/100)</f>
        <v>386.788376781486</v>
      </c>
      <c r="H9" s="0" t="n">
        <f aca="false">$H$7*(1-$H$8/100)</f>
        <v>389.962627897929</v>
      </c>
      <c r="I9" s="0" t="n">
        <f aca="false">$I$7*(1-$I$8/100)</f>
        <v>398.210957044762</v>
      </c>
      <c r="J9" s="0" t="n">
        <f aca="false">$J$7*(1-$J$8/100)</f>
        <v>401.864811637106</v>
      </c>
      <c r="K9" s="0" t="n">
        <f aca="false">$K$7*(1-$K$8/100)</f>
        <v>405.47608994442</v>
      </c>
    </row>
    <row r="10" customFormat="false" ht="15" hidden="false" customHeight="false" outlineLevel="0" collapsed="false">
      <c r="A10" s="0" t="s">
        <v>363</v>
      </c>
      <c r="B10" s="4" t="n">
        <f aca="false">Assumptions!$C$27</f>
        <v>395</v>
      </c>
      <c r="C10" s="4" t="n">
        <f aca="false">Assumptions!$D$27</f>
        <v>370</v>
      </c>
      <c r="D10" s="4" t="n">
        <f aca="false">Assumptions!$E$27</f>
        <v>346</v>
      </c>
      <c r="E10" s="4" t="n">
        <f aca="false">Assumptions!$F$27</f>
        <v>323</v>
      </c>
      <c r="F10" s="4" t="n">
        <f aca="false">Assumptions!$G$27</f>
        <v>301</v>
      </c>
      <c r="G10" s="4" t="n">
        <f aca="false">Assumptions!$H$27</f>
        <v>281</v>
      </c>
      <c r="H10" s="4" t="n">
        <f aca="false">Assumptions!$I$27</f>
        <v>263</v>
      </c>
      <c r="I10" s="4" t="n">
        <f aca="false">Assumptions!$J$27</f>
        <v>251</v>
      </c>
      <c r="J10" s="4" t="n">
        <f aca="false">Assumptions!$K$27</f>
        <v>243</v>
      </c>
      <c r="K10" s="4" t="n">
        <f aca="false">Assumptions!$L$27</f>
        <v>237</v>
      </c>
    </row>
    <row r="11" customFormat="false" ht="15" hidden="false" customHeight="false" outlineLevel="0" collapsed="false">
      <c r="A11" s="0" t="s">
        <v>364</v>
      </c>
      <c r="B11" s="0" t="n">
        <f aca="false">$B$2*0.15/100</f>
        <v>1.575936</v>
      </c>
      <c r="C11" s="0" t="n">
        <f aca="false">$C$2*0.15/100</f>
        <v>1.616910336</v>
      </c>
      <c r="D11" s="0" t="n">
        <f aca="false">$D$2*0.15/100</f>
        <v>1.6573330944</v>
      </c>
      <c r="E11" s="0" t="n">
        <f aca="false">$E$2*0.15/100</f>
        <v>1.69876642176</v>
      </c>
      <c r="F11" s="0" t="n">
        <f aca="false">$F$2*0.15/100</f>
        <v>1.73953681588224</v>
      </c>
      <c r="G11" s="0" t="n">
        <f aca="false">$G$2*0.15/100</f>
        <v>1.78128569946341</v>
      </c>
      <c r="H11" s="0" t="n">
        <f aca="false">$H$2*0.15/100</f>
        <v>1.82225527055107</v>
      </c>
      <c r="I11" s="0" t="n">
        <f aca="false">$I$2*0.15/100</f>
        <v>1.86416714177375</v>
      </c>
      <c r="J11" s="0" t="n">
        <f aca="false">$J$2*0.15/100</f>
        <v>1.90704298603454</v>
      </c>
      <c r="K11" s="0" t="n">
        <f aca="false">$K$2*0.15/100</f>
        <v>1.95090497471334</v>
      </c>
    </row>
    <row r="12" customFormat="false" ht="15" hidden="false" customHeight="false" outlineLevel="0" collapsed="false">
      <c r="A12" s="2" t="s">
        <v>365</v>
      </c>
      <c r="B12" s="2" t="n">
        <f aca="false">$B$9+$B$6-$B$10-$B$11</f>
        <v>316.3775104</v>
      </c>
      <c r="C12" s="2" t="n">
        <f aca="false">$C$9+$C$6-$C$10-$C$11</f>
        <v>353.10386106368</v>
      </c>
      <c r="D12" s="2" t="n">
        <f aca="false">$D$9+$D$6-$D$10-$D$11</f>
        <v>381.525032892416</v>
      </c>
      <c r="E12" s="2" t="n">
        <f aca="false">$E$9+$E$6-$E$10-$E$11</f>
        <v>406.631503255398</v>
      </c>
      <c r="F12" s="2" t="n">
        <f aca="false">$F$9+$F$6-$F$10-$F$11</f>
        <v>434.221033688682</v>
      </c>
      <c r="G12" s="2" t="n">
        <f aca="false">$G$9+$G$6-$G$10-$G$11</f>
        <v>460.264230974705</v>
      </c>
      <c r="H12" s="2" t="n">
        <f aca="false">$H$9+$H$6-$H$10-$H$11</f>
        <v>483.517242502422</v>
      </c>
      <c r="I12" s="2" t="n">
        <f aca="false">$I$9+$I$6-$I$10-$I$11</f>
        <v>505.75243731258</v>
      </c>
      <c r="J12" s="2" t="n">
        <f aca="false">$J$9+$J$6-$J$10-$J$11</f>
        <v>525.652745951083</v>
      </c>
      <c r="K12" s="2" t="n">
        <f aca="false">$K$9+$K$6-$K$10-$K$11</f>
        <v>543.700146747618</v>
      </c>
    </row>
    <row r="13" customFormat="false" ht="15" hidden="false" customHeight="false" outlineLevel="0" collapsed="false">
      <c r="A13" s="0" t="s">
        <v>366</v>
      </c>
      <c r="B13" s="0" t="n">
        <f aca="false">1/(1+Assumptions!$B$30/100)^1</f>
        <v>0.934579439252336</v>
      </c>
      <c r="C13" s="0" t="n">
        <f aca="false">1/(1+Assumptions!$B$30/100)^2</f>
        <v>0.873438728273212</v>
      </c>
      <c r="D13" s="0" t="n">
        <f aca="false">1/(1+Assumptions!$B$30/100)^3</f>
        <v>0.816297876890852</v>
      </c>
      <c r="E13" s="0" t="n">
        <f aca="false">1/(1+Assumptions!$B$30/100)^4</f>
        <v>0.762895212047525</v>
      </c>
      <c r="F13" s="0" t="n">
        <f aca="false">1/(1+Assumptions!$B$30/100)^5</f>
        <v>0.712986179483668</v>
      </c>
      <c r="G13" s="0" t="n">
        <f aca="false">1/(1+Assumptions!$B$30/100)^6</f>
        <v>0.666342223816512</v>
      </c>
      <c r="H13" s="0" t="n">
        <f aca="false">1/(1+Assumptions!$B$30/100)^7</f>
        <v>0.622749741884591</v>
      </c>
      <c r="I13" s="0" t="n">
        <f aca="false">1/(1+Assumptions!$B$30/100)^8</f>
        <v>0.582009104565038</v>
      </c>
      <c r="J13" s="0" t="n">
        <f aca="false">1/(1+Assumptions!$B$30/100)^9</f>
        <v>0.543933742584148</v>
      </c>
      <c r="K13" s="0" t="n">
        <f aca="false">1/(1+Assumptions!$B$30/100)^10</f>
        <v>0.508349292134718</v>
      </c>
    </row>
    <row r="14" customFormat="false" ht="15" hidden="false" customHeight="false" outlineLevel="0" collapsed="false">
      <c r="A14" s="0" t="s">
        <v>367</v>
      </c>
      <c r="B14" s="0" t="n">
        <f aca="false">$B$12*$B$13</f>
        <v>295.679916261682</v>
      </c>
      <c r="C14" s="0" t="n">
        <f aca="false">$C$12*$C$13</f>
        <v>308.414587355821</v>
      </c>
      <c r="D14" s="0" t="n">
        <f aca="false">$D$12*$D$13</f>
        <v>311.438074330792</v>
      </c>
      <c r="E14" s="0" t="n">
        <f aca="false">$E$12*$E$13</f>
        <v>310.217226901231</v>
      </c>
      <c r="F14" s="0" t="n">
        <f aca="false">$F$12*$F$13</f>
        <v>309.593595861142</v>
      </c>
      <c r="G14" s="0" t="n">
        <f aca="false">$G$12*$G$13</f>
        <v>306.693491210882</v>
      </c>
      <c r="H14" s="0" t="n">
        <f aca="false">$H$12*$H$13</f>
        <v>301.110237965133</v>
      </c>
      <c r="I14" s="0" t="n">
        <f aca="false">$I$12*$I$13</f>
        <v>294.35252317188</v>
      </c>
      <c r="J14" s="0" t="n">
        <f aca="false">$J$12*$J$13</f>
        <v>285.920265404807</v>
      </c>
      <c r="K14" s="0" t="n">
        <f aca="false">$K$12*$K$13</f>
        <v>276.389584732694</v>
      </c>
    </row>
    <row r="16" customFormat="false" ht="15" hidden="false" customHeight="false" outlineLevel="0" collapsed="false">
      <c r="A16" s="0" t="s">
        <v>368</v>
      </c>
      <c r="B16" s="0" t="n">
        <f aca="false">SUM(B14:K14)</f>
        <v>2999.80950319606</v>
      </c>
    </row>
    <row r="17" customFormat="false" ht="15" hidden="false" customHeight="false" outlineLevel="0" collapsed="false">
      <c r="A17" s="0" t="s">
        <v>369</v>
      </c>
      <c r="B17" s="0" t="n">
        <f aca="false">$K$12*(1+Assumptions!$B$31/100)/(Assumptions!$B$30/100-Assumptions!$B$31/100)</f>
        <v>11834.1542579322</v>
      </c>
    </row>
    <row r="18" customFormat="false" ht="15" hidden="false" customHeight="false" outlineLevel="0" collapsed="false">
      <c r="A18" s="0" t="s">
        <v>370</v>
      </c>
      <c r="B18" s="0" t="n">
        <f aca="false">$K$4*Assumptions!$B$32</f>
        <v>7522.68958249463</v>
      </c>
    </row>
    <row r="19" customFormat="false" ht="15" hidden="false" customHeight="false" outlineLevel="0" collapsed="false">
      <c r="A19" s="2" t="s">
        <v>371</v>
      </c>
      <c r="B19" s="2" t="n">
        <f aca="false">MIN(B17,B18)</f>
        <v>7522.68958249463</v>
      </c>
    </row>
    <row r="20" customFormat="false" ht="15" hidden="false" customHeight="false" outlineLevel="0" collapsed="false">
      <c r="A20" s="0" t="s">
        <v>372</v>
      </c>
      <c r="B20" s="0" t="n">
        <f aca="false">B19*$K$13</f>
        <v>3824.15392421036</v>
      </c>
    </row>
    <row r="21" customFormat="false" ht="15" hidden="false" customHeight="false" outlineLevel="0" collapsed="false">
      <c r="A21" s="2" t="s">
        <v>373</v>
      </c>
      <c r="B21" s="2" t="n">
        <f aca="false">B16+B20</f>
        <v>6823.96342740642</v>
      </c>
    </row>
    <row r="22" customFormat="false" ht="15" hidden="false" customHeight="false" outlineLevel="0" collapsed="false">
      <c r="A22" s="0" t="s">
        <v>330</v>
      </c>
      <c r="B22" s="4" t="n">
        <f aca="false">Assumptions!$B$4</f>
        <v>3129</v>
      </c>
    </row>
    <row r="23" customFormat="false" ht="15" hidden="false" customHeight="false" outlineLevel="0" collapsed="false">
      <c r="A23" s="2" t="s">
        <v>374</v>
      </c>
      <c r="B23" s="2" t="n">
        <f aca="false">B21-B22</f>
        <v>3694.96342740642</v>
      </c>
    </row>
    <row r="24" customFormat="false" ht="15" hidden="false" customHeight="false" outlineLevel="0" collapsed="false">
      <c r="A24" s="0" t="s">
        <v>375</v>
      </c>
      <c r="B24" s="4" t="n">
        <f aca="false">Assumptions!$B$3</f>
        <v>445</v>
      </c>
    </row>
    <row r="25" customFormat="false" ht="15" hidden="false" customHeight="false" outlineLevel="0" collapsed="false">
      <c r="A25" s="2" t="s">
        <v>376</v>
      </c>
      <c r="B25" s="2" t="n">
        <f aca="false">B23/B24</f>
        <v>8.30328860091331</v>
      </c>
    </row>
    <row r="26" customFormat="false" ht="15" hidden="false" customHeight="false" outlineLevel="0" collapsed="false">
      <c r="A26" s="0" t="s">
        <v>377</v>
      </c>
      <c r="B26" s="0" t="n">
        <f aca="false">(B25/Assumptions!$B$2-1)*100</f>
        <v>-1.50310081953374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2" t="s">
        <v>357</v>
      </c>
      <c r="B1" s="2" t="s">
        <v>336</v>
      </c>
      <c r="C1" s="2" t="s">
        <v>337</v>
      </c>
      <c r="D1" s="2" t="s">
        <v>338</v>
      </c>
      <c r="E1" s="2" t="s">
        <v>339</v>
      </c>
      <c r="F1" s="2" t="s">
        <v>340</v>
      </c>
      <c r="G1" s="2" t="s">
        <v>341</v>
      </c>
      <c r="H1" s="2" t="s">
        <v>342</v>
      </c>
      <c r="I1" s="2" t="s">
        <v>343</v>
      </c>
      <c r="J1" s="2" t="s">
        <v>344</v>
      </c>
      <c r="K1" s="2" t="s">
        <v>345</v>
      </c>
    </row>
    <row r="2" customFormat="false" ht="15" hidden="false" customHeight="false" outlineLevel="0" collapsed="false">
      <c r="A2" s="0" t="s">
        <v>358</v>
      </c>
      <c r="B2" s="0" t="n">
        <f aca="false">Assumptions!$B$6*(1+Assumptions!$C$37/100)</f>
        <v>1058.816</v>
      </c>
      <c r="C2" s="0" t="n">
        <f aca="false">$B$2*(1+Assumptions!$D$37/100)</f>
        <v>1093.756928</v>
      </c>
      <c r="D2" s="0" t="n">
        <f aca="false">$C$2*(1+Assumptions!$E$37/100)</f>
        <v>1128.757149696</v>
      </c>
      <c r="E2" s="0" t="n">
        <f aca="false">$D$2*(1+Assumptions!$F$37/100)</f>
        <v>1163.74862133658</v>
      </c>
      <c r="F2" s="0" t="n">
        <f aca="false">$E$2*(1+Assumptions!$G$37/100)</f>
        <v>1198.66107997667</v>
      </c>
      <c r="G2" s="0" t="n">
        <f aca="false">$F$2*(1+Assumptions!$H$37/100)</f>
        <v>1233.422251296</v>
      </c>
      <c r="H2" s="0" t="n">
        <f aca="false">$G$2*(1+Assumptions!$I$37/100)</f>
        <v>1267.95807433228</v>
      </c>
      <c r="I2" s="0" t="n">
        <f aca="false">$H$2*(1+Assumptions!$J$37/100)</f>
        <v>1302.19294233926</v>
      </c>
      <c r="J2" s="0" t="n">
        <f aca="false">$I$2*(1+Assumptions!$K$37/100)</f>
        <v>1336.04995884008</v>
      </c>
      <c r="K2" s="0" t="n">
        <f aca="false">$J$2*(1+Assumptions!$L$37/100)</f>
        <v>1370.78725776992</v>
      </c>
    </row>
    <row r="3" customFormat="false" ht="15" hidden="false" customHeight="false" outlineLevel="0" collapsed="false">
      <c r="A3" s="0" t="s">
        <v>347</v>
      </c>
      <c r="B3" s="4" t="n">
        <f aca="false">Assumptions!$C$38</f>
        <v>71.5</v>
      </c>
      <c r="C3" s="4" t="n">
        <f aca="false">Assumptions!$D$38</f>
        <v>72.3</v>
      </c>
      <c r="D3" s="4" t="n">
        <f aca="false">Assumptions!$E$38</f>
        <v>73</v>
      </c>
      <c r="E3" s="4" t="n">
        <f aca="false">Assumptions!$F$38</f>
        <v>73.5</v>
      </c>
      <c r="F3" s="4" t="n">
        <f aca="false">Assumptions!$G$38</f>
        <v>73.8</v>
      </c>
      <c r="G3" s="4" t="n">
        <f aca="false">Assumptions!$H$38</f>
        <v>74</v>
      </c>
      <c r="H3" s="4" t="n">
        <f aca="false">Assumptions!$I$38</f>
        <v>74</v>
      </c>
      <c r="I3" s="4" t="n">
        <f aca="false">Assumptions!$J$38</f>
        <v>74</v>
      </c>
      <c r="J3" s="4" t="n">
        <f aca="false">Assumptions!$K$38</f>
        <v>74</v>
      </c>
      <c r="K3" s="4" t="n">
        <f aca="false">Assumptions!$L$38</f>
        <v>74</v>
      </c>
    </row>
    <row r="4" customFormat="false" ht="15" hidden="false" customHeight="false" outlineLevel="0" collapsed="false">
      <c r="A4" s="0" t="s">
        <v>359</v>
      </c>
      <c r="B4" s="0" t="n">
        <f aca="false">$B$2*$B$3/100</f>
        <v>757.05344</v>
      </c>
      <c r="C4" s="0" t="n">
        <f aca="false">$C$2*$C$3/100</f>
        <v>790.786258944</v>
      </c>
      <c r="D4" s="0" t="n">
        <f aca="false">$D$2*$D$3/100</f>
        <v>823.99271927808</v>
      </c>
      <c r="E4" s="0" t="n">
        <f aca="false">$E$2*$E$3/100</f>
        <v>855.355236682383</v>
      </c>
      <c r="F4" s="0" t="n">
        <f aca="false">$F$2*$F$3/100</f>
        <v>884.611877022785</v>
      </c>
      <c r="G4" s="0" t="n">
        <f aca="false">$G$2*$G$3/100</f>
        <v>912.732465959038</v>
      </c>
      <c r="H4" s="0" t="n">
        <f aca="false">$H$2*$H$3/100</f>
        <v>938.288975005891</v>
      </c>
      <c r="I4" s="0" t="n">
        <f aca="false">$I$2*$I$3/100</f>
        <v>963.622777331049</v>
      </c>
      <c r="J4" s="0" t="n">
        <f aca="false">$J$2*$J$3/100</f>
        <v>988.676969541657</v>
      </c>
      <c r="K4" s="0" t="n">
        <f aca="false">$K$2*$K$3/100</f>
        <v>1014.38257074974</v>
      </c>
    </row>
    <row r="5" customFormat="false" ht="15" hidden="false" customHeight="false" outlineLevel="0" collapsed="false">
      <c r="A5" s="0" t="s">
        <v>348</v>
      </c>
      <c r="B5" s="4" t="n">
        <f aca="false">Assumptions!$C$39</f>
        <v>39.5</v>
      </c>
      <c r="C5" s="4" t="n">
        <f aca="false">Assumptions!$D$39</f>
        <v>37</v>
      </c>
      <c r="D5" s="4" t="n">
        <f aca="false">Assumptions!$E$39</f>
        <v>34</v>
      </c>
      <c r="E5" s="4" t="n">
        <f aca="false">Assumptions!$F$39</f>
        <v>31</v>
      </c>
      <c r="F5" s="4" t="n">
        <f aca="false">Assumptions!$G$39</f>
        <v>29.5</v>
      </c>
      <c r="G5" s="4" t="n">
        <f aca="false">Assumptions!$H$39</f>
        <v>28</v>
      </c>
      <c r="H5" s="4" t="n">
        <f aca="false">Assumptions!$I$39</f>
        <v>27</v>
      </c>
      <c r="I5" s="4" t="n">
        <f aca="false">Assumptions!$J$39</f>
        <v>26.5</v>
      </c>
      <c r="J5" s="4" t="n">
        <f aca="false">Assumptions!$K$39</f>
        <v>26.5</v>
      </c>
      <c r="K5" s="4" t="n">
        <f aca="false">Assumptions!$L$39</f>
        <v>26.5</v>
      </c>
    </row>
    <row r="6" customFormat="false" ht="15" hidden="false" customHeight="false" outlineLevel="0" collapsed="false">
      <c r="A6" s="0" t="s">
        <v>360</v>
      </c>
      <c r="B6" s="0" t="n">
        <f aca="false">$B$2*$B$5/100</f>
        <v>418.23232</v>
      </c>
      <c r="C6" s="0" t="n">
        <f aca="false">$C$2*$C$5/100</f>
        <v>404.69006336</v>
      </c>
      <c r="D6" s="0" t="n">
        <f aca="false">$D$2*$D$5/100</f>
        <v>383.77743089664</v>
      </c>
      <c r="E6" s="0" t="n">
        <f aca="false">$E$2*$E$5/100</f>
        <v>360.762072614339</v>
      </c>
      <c r="F6" s="0" t="n">
        <f aca="false">$F$2*$F$5/100</f>
        <v>353.605018593119</v>
      </c>
      <c r="G6" s="0" t="n">
        <f aca="false">$G$2*$G$5/100</f>
        <v>345.358230362879</v>
      </c>
      <c r="H6" s="0" t="n">
        <f aca="false">$H$2*$H$5/100</f>
        <v>342.348680069717</v>
      </c>
      <c r="I6" s="0" t="n">
        <f aca="false">$I$2*$I$5/100</f>
        <v>345.081129719903</v>
      </c>
      <c r="J6" s="0" t="n">
        <f aca="false">$J$2*$J$5/100</f>
        <v>354.05323909262</v>
      </c>
      <c r="K6" s="0" t="n">
        <f aca="false">$K$2*$K$5/100</f>
        <v>363.258623309028</v>
      </c>
    </row>
    <row r="7" customFormat="false" ht="15" hidden="false" customHeight="false" outlineLevel="0" collapsed="false">
      <c r="A7" s="0" t="s">
        <v>361</v>
      </c>
      <c r="B7" s="0" t="n">
        <f aca="false">$B$4-$B$6</f>
        <v>338.82112</v>
      </c>
      <c r="C7" s="0" t="n">
        <f aca="false">$C$4-$C$6</f>
        <v>386.096195584</v>
      </c>
      <c r="D7" s="0" t="n">
        <f aca="false">$D$4-$D$6</f>
        <v>440.21528838144</v>
      </c>
      <c r="E7" s="0" t="n">
        <f aca="false">$E$4-$E$6</f>
        <v>494.593164068045</v>
      </c>
      <c r="F7" s="0" t="n">
        <f aca="false">$F$4-$F$6</f>
        <v>531.006858429666</v>
      </c>
      <c r="G7" s="0" t="n">
        <f aca="false">$G$4-$G$6</f>
        <v>567.374235596159</v>
      </c>
      <c r="H7" s="0" t="n">
        <f aca="false">$H$4-$H$6</f>
        <v>595.940294936174</v>
      </c>
      <c r="I7" s="0" t="n">
        <f aca="false">$I$4-$I$6</f>
        <v>618.541647611147</v>
      </c>
      <c r="J7" s="0" t="n">
        <f aca="false">$J$4-$J$6</f>
        <v>634.623730449036</v>
      </c>
      <c r="K7" s="0" t="n">
        <f aca="false">$K$4-$K$6</f>
        <v>651.123947440711</v>
      </c>
    </row>
    <row r="8" customFormat="false" ht="15" hidden="false" customHeight="false" outlineLevel="0" collapsed="false">
      <c r="A8" s="0" t="s">
        <v>350</v>
      </c>
      <c r="B8" s="4" t="n">
        <f aca="false">Assumptions!$C$41</f>
        <v>8</v>
      </c>
      <c r="C8" s="4" t="n">
        <f aca="false">Assumptions!$D$41</f>
        <v>10</v>
      </c>
      <c r="D8" s="4" t="n">
        <f aca="false">Assumptions!$E$41</f>
        <v>13</v>
      </c>
      <c r="E8" s="4" t="n">
        <f aca="false">Assumptions!$F$41</f>
        <v>16</v>
      </c>
      <c r="F8" s="4" t="n">
        <f aca="false">Assumptions!$G$41</f>
        <v>18</v>
      </c>
      <c r="G8" s="4" t="n">
        <f aca="false">Assumptions!$H$41</f>
        <v>20</v>
      </c>
      <c r="H8" s="4" t="n">
        <f aca="false">Assumptions!$I$41</f>
        <v>22</v>
      </c>
      <c r="I8" s="4" t="n">
        <f aca="false">Assumptions!$J$41</f>
        <v>24</v>
      </c>
      <c r="J8" s="4" t="n">
        <f aca="false">Assumptions!$K$41</f>
        <v>26</v>
      </c>
      <c r="K8" s="4" t="n">
        <f aca="false">Assumptions!$L$41</f>
        <v>28</v>
      </c>
    </row>
    <row r="9" customFormat="false" ht="15" hidden="false" customHeight="false" outlineLevel="0" collapsed="false">
      <c r="A9" s="0" t="s">
        <v>362</v>
      </c>
      <c r="B9" s="0" t="n">
        <f aca="false">$B$7*(1-$B$8/100)</f>
        <v>311.7154304</v>
      </c>
      <c r="C9" s="0" t="n">
        <f aca="false">$C$7*(1-$C$8/100)</f>
        <v>347.4865760256</v>
      </c>
      <c r="D9" s="0" t="n">
        <f aca="false">$D$7*(1-$D$8/100)</f>
        <v>382.987300891853</v>
      </c>
      <c r="E9" s="0" t="n">
        <f aca="false">$E$7*(1-$E$8/100)</f>
        <v>415.458257817157</v>
      </c>
      <c r="F9" s="0" t="n">
        <f aca="false">$F$7*(1-$F$8/100)</f>
        <v>435.425623912326</v>
      </c>
      <c r="G9" s="0" t="n">
        <f aca="false">$G$7*(1-$G$8/100)</f>
        <v>453.899388476927</v>
      </c>
      <c r="H9" s="0" t="n">
        <f aca="false">$H$7*(1-$H$8/100)</f>
        <v>464.833430050216</v>
      </c>
      <c r="I9" s="0" t="n">
        <f aca="false">$I$7*(1-$I$8/100)</f>
        <v>470.091652184471</v>
      </c>
      <c r="J9" s="0" t="n">
        <f aca="false">$J$7*(1-$J$8/100)</f>
        <v>469.621560532287</v>
      </c>
      <c r="K9" s="0" t="n">
        <f aca="false">$K$7*(1-$K$8/100)</f>
        <v>468.809242157312</v>
      </c>
    </row>
    <row r="10" customFormat="false" ht="15" hidden="false" customHeight="false" outlineLevel="0" collapsed="false">
      <c r="A10" s="0" t="s">
        <v>363</v>
      </c>
      <c r="B10" s="4" t="n">
        <f aca="false">Assumptions!$C$40</f>
        <v>390</v>
      </c>
      <c r="C10" s="4" t="n">
        <f aca="false">Assumptions!$D$40</f>
        <v>360</v>
      </c>
      <c r="D10" s="4" t="n">
        <f aca="false">Assumptions!$E$40</f>
        <v>332</v>
      </c>
      <c r="E10" s="4" t="n">
        <f aca="false">Assumptions!$F$40</f>
        <v>304</v>
      </c>
      <c r="F10" s="4" t="n">
        <f aca="false">Assumptions!$G$40</f>
        <v>278</v>
      </c>
      <c r="G10" s="4" t="n">
        <f aca="false">Assumptions!$H$40</f>
        <v>257</v>
      </c>
      <c r="H10" s="4" t="n">
        <f aca="false">Assumptions!$I$40</f>
        <v>240</v>
      </c>
      <c r="I10" s="4" t="n">
        <f aca="false">Assumptions!$J$40</f>
        <v>230</v>
      </c>
      <c r="J10" s="4" t="n">
        <f aca="false">Assumptions!$K$40</f>
        <v>224</v>
      </c>
      <c r="K10" s="4" t="n">
        <f aca="false">Assumptions!$L$40</f>
        <v>220</v>
      </c>
    </row>
    <row r="11" customFormat="false" ht="15" hidden="false" customHeight="false" outlineLevel="0" collapsed="false">
      <c r="A11" s="0" t="s">
        <v>364</v>
      </c>
      <c r="B11" s="0" t="n">
        <f aca="false">$B$2*0.15/100</f>
        <v>1.588224</v>
      </c>
      <c r="C11" s="0" t="n">
        <f aca="false">$C$2*0.15/100</f>
        <v>1.640635392</v>
      </c>
      <c r="D11" s="0" t="n">
        <f aca="false">$D$2*0.15/100</f>
        <v>1.693135724544</v>
      </c>
      <c r="E11" s="0" t="n">
        <f aca="false">$E$2*0.15/100</f>
        <v>1.74562293200486</v>
      </c>
      <c r="F11" s="0" t="n">
        <f aca="false">$F$2*0.15/100</f>
        <v>1.79799161996501</v>
      </c>
      <c r="G11" s="0" t="n">
        <f aca="false">$G$2*0.15/100</f>
        <v>1.850133376944</v>
      </c>
      <c r="H11" s="0" t="n">
        <f aca="false">$H$2*0.15/100</f>
        <v>1.90193711149843</v>
      </c>
      <c r="I11" s="0" t="n">
        <f aca="false">$I$2*0.15/100</f>
        <v>1.95328941350888</v>
      </c>
      <c r="J11" s="0" t="n">
        <f aca="false">$J$2*0.15/100</f>
        <v>2.00407493826012</v>
      </c>
      <c r="K11" s="0" t="n">
        <f aca="false">$K$2*0.15/100</f>
        <v>2.05618088665488</v>
      </c>
    </row>
    <row r="12" customFormat="false" ht="15" hidden="false" customHeight="false" outlineLevel="0" collapsed="false">
      <c r="A12" s="2" t="s">
        <v>365</v>
      </c>
      <c r="B12" s="2" t="n">
        <f aca="false">$B$9+$B$6-$B$10-$B$11</f>
        <v>338.3595264</v>
      </c>
      <c r="C12" s="2" t="n">
        <f aca="false">$C$9+$C$6-$C$10-$C$11</f>
        <v>390.5360039936</v>
      </c>
      <c r="D12" s="2" t="n">
        <f aca="false">$D$9+$D$6-$D$10-$D$11</f>
        <v>433.071596063949</v>
      </c>
      <c r="E12" s="2" t="n">
        <f aca="false">$E$9+$E$6-$E$10-$E$11</f>
        <v>470.474707499491</v>
      </c>
      <c r="F12" s="2" t="n">
        <f aca="false">$F$9+$F$6-$F$10-$F$11</f>
        <v>509.23265088548</v>
      </c>
      <c r="G12" s="2" t="n">
        <f aca="false">$G$9+$G$6-$G$10-$G$11</f>
        <v>540.407485462862</v>
      </c>
      <c r="H12" s="2" t="n">
        <f aca="false">$H$9+$H$6-$H$10-$H$11</f>
        <v>565.280173008434</v>
      </c>
      <c r="I12" s="2" t="n">
        <f aca="false">$I$9+$I$6-$I$10-$I$11</f>
        <v>583.219492490865</v>
      </c>
      <c r="J12" s="2" t="n">
        <f aca="false">$J$9+$J$6-$J$10-$J$11</f>
        <v>597.670724686647</v>
      </c>
      <c r="K12" s="2" t="n">
        <f aca="false">$K$9+$K$6-$K$10-$K$11</f>
        <v>610.011684579686</v>
      </c>
    </row>
    <row r="13" customFormat="false" ht="15" hidden="false" customHeight="false" outlineLevel="0" collapsed="false">
      <c r="A13" s="0" t="s">
        <v>366</v>
      </c>
      <c r="B13" s="0" t="n">
        <f aca="false">1/(1+Assumptions!$B$43/100)^1</f>
        <v>0.940733772342427</v>
      </c>
      <c r="C13" s="0" t="n">
        <f aca="false">1/(1+Assumptions!$B$43/100)^2</f>
        <v>0.884980030425614</v>
      </c>
      <c r="D13" s="0" t="n">
        <f aca="false">1/(1+Assumptions!$B$43/100)^3</f>
        <v>0.832530602470003</v>
      </c>
      <c r="E13" s="0" t="n">
        <f aca="false">1/(1+Assumptions!$B$43/100)^4</f>
        <v>0.78318965425212</v>
      </c>
      <c r="F13" s="0" t="n">
        <f aca="false">1/(1+Assumptions!$B$43/100)^5</f>
        <v>0.736772957904158</v>
      </c>
      <c r="G13" s="0" t="n">
        <f aca="false">1/(1+Assumptions!$B$43/100)^6</f>
        <v>0.693107204049067</v>
      </c>
      <c r="H13" s="0" t="n">
        <f aca="false">1/(1+Assumptions!$B$43/100)^7</f>
        <v>0.652029354702791</v>
      </c>
      <c r="I13" s="0" t="n">
        <f aca="false">1/(1+Assumptions!$B$43/100)^8</f>
        <v>0.613386034527555</v>
      </c>
      <c r="J13" s="0" t="n">
        <f aca="false">1/(1+Assumptions!$B$43/100)^9</f>
        <v>0.577032958163269</v>
      </c>
      <c r="K13" s="0" t="n">
        <f aca="false">1/(1+Assumptions!$B$43/100)^10</f>
        <v>0.542834391498842</v>
      </c>
    </row>
    <row r="14" customFormat="false" ht="15" hidden="false" customHeight="false" outlineLevel="0" collapsed="false">
      <c r="A14" s="0" t="s">
        <v>367</v>
      </c>
      <c r="B14" s="0" t="n">
        <f aca="false">$B$12*$B$13</f>
        <v>318.306233678269</v>
      </c>
      <c r="C14" s="0" t="n">
        <f aca="false">$C$12*$C$13</f>
        <v>345.616564696554</v>
      </c>
      <c r="D14" s="0" t="n">
        <f aca="false">$D$12*$D$13</f>
        <v>360.545356783765</v>
      </c>
      <c r="E14" s="0" t="n">
        <f aca="false">$E$12*$E$13</f>
        <v>368.470923500894</v>
      </c>
      <c r="F14" s="0" t="n">
        <f aca="false">$F$12*$F$13</f>
        <v>375.188846454271</v>
      </c>
      <c r="G14" s="0" t="n">
        <f aca="false">$G$12*$G$13</f>
        <v>374.560321296351</v>
      </c>
      <c r="H14" s="0" t="n">
        <f aca="false">$H$12*$H$13</f>
        <v>368.579266432971</v>
      </c>
      <c r="I14" s="0" t="n">
        <f aca="false">$I$12*$I$13</f>
        <v>357.738691758145</v>
      </c>
      <c r="J14" s="0" t="n">
        <f aca="false">$J$12*$J$13</f>
        <v>344.875706273521</v>
      </c>
      <c r="K14" s="0" t="n">
        <f aca="false">$K$12*$K$13</f>
        <v>331.135321605997</v>
      </c>
    </row>
    <row r="16" customFormat="false" ht="15" hidden="false" customHeight="false" outlineLevel="0" collapsed="false">
      <c r="A16" s="0" t="s">
        <v>368</v>
      </c>
      <c r="B16" s="0" t="n">
        <f aca="false">SUM(B14:K14)</f>
        <v>3545.01723248074</v>
      </c>
    </row>
    <row r="17" customFormat="false" ht="15" hidden="false" customHeight="false" outlineLevel="0" collapsed="false">
      <c r="A17" s="0" t="s">
        <v>369</v>
      </c>
      <c r="B17" s="0" t="n">
        <f aca="false">$K$12*(1+Assumptions!$B$44/100)/(Assumptions!$B$43/100-Assumptions!$B$44/100)</f>
        <v>16454.2625445836</v>
      </c>
    </row>
    <row r="18" customFormat="false" ht="15" hidden="false" customHeight="false" outlineLevel="0" collapsed="false">
      <c r="A18" s="0" t="s">
        <v>370</v>
      </c>
      <c r="B18" s="0" t="n">
        <f aca="false">$K$4*Assumptions!$B$45</f>
        <v>9129.44313674766</v>
      </c>
    </row>
    <row r="19" customFormat="false" ht="15" hidden="false" customHeight="false" outlineLevel="0" collapsed="false">
      <c r="A19" s="2" t="s">
        <v>371</v>
      </c>
      <c r="B19" s="2" t="n">
        <f aca="false">MIN(B17,B18)</f>
        <v>9129.44313674766</v>
      </c>
    </row>
    <row r="20" customFormat="false" ht="15" hidden="false" customHeight="false" outlineLevel="0" collapsed="false">
      <c r="A20" s="0" t="s">
        <v>372</v>
      </c>
      <c r="B20" s="0" t="n">
        <f aca="false">B19*$K$13</f>
        <v>4955.7757098597</v>
      </c>
    </row>
    <row r="21" customFormat="false" ht="15" hidden="false" customHeight="false" outlineLevel="0" collapsed="false">
      <c r="A21" s="2" t="s">
        <v>373</v>
      </c>
      <c r="B21" s="2" t="n">
        <f aca="false">B16+B20</f>
        <v>8500.79294234043</v>
      </c>
    </row>
    <row r="22" customFormat="false" ht="15" hidden="false" customHeight="false" outlineLevel="0" collapsed="false">
      <c r="A22" s="0" t="s">
        <v>330</v>
      </c>
      <c r="B22" s="4" t="n">
        <f aca="false">Assumptions!$B$4</f>
        <v>3129</v>
      </c>
    </row>
    <row r="23" customFormat="false" ht="15" hidden="false" customHeight="false" outlineLevel="0" collapsed="false">
      <c r="A23" s="2" t="s">
        <v>374</v>
      </c>
      <c r="B23" s="2" t="n">
        <f aca="false">B21-B22</f>
        <v>5371.79294234043</v>
      </c>
    </row>
    <row r="24" customFormat="false" ht="15" hidden="false" customHeight="false" outlineLevel="0" collapsed="false">
      <c r="A24" s="0" t="s">
        <v>375</v>
      </c>
      <c r="B24" s="4" t="n">
        <f aca="false">Assumptions!$B$3</f>
        <v>445</v>
      </c>
    </row>
    <row r="25" customFormat="false" ht="15" hidden="false" customHeight="false" outlineLevel="0" collapsed="false">
      <c r="A25" s="2" t="s">
        <v>376</v>
      </c>
      <c r="B25" s="2" t="n">
        <f aca="false">B23/B24</f>
        <v>12.0714448142482</v>
      </c>
    </row>
    <row r="26" customFormat="false" ht="15" hidden="false" customHeight="false" outlineLevel="0" collapsed="false">
      <c r="A26" s="0" t="s">
        <v>377</v>
      </c>
      <c r="B26" s="0" t="n">
        <f aca="false">(B25/Assumptions!$B$2-1)*100</f>
        <v>43.1962611417339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2" t="s">
        <v>378</v>
      </c>
    </row>
    <row r="3" customFormat="false" ht="15" hidden="false" customHeight="false" outlineLevel="0" collapsed="false">
      <c r="A3" s="2" t="s">
        <v>379</v>
      </c>
      <c r="B3" s="2" t="s">
        <v>380</v>
      </c>
      <c r="C3" s="2" t="s">
        <v>381</v>
      </c>
      <c r="D3" s="2" t="s">
        <v>382</v>
      </c>
    </row>
    <row r="4" customFormat="false" ht="15" hidden="false" customHeight="false" outlineLevel="0" collapsed="false">
      <c r="A4" s="0" t="s">
        <v>335</v>
      </c>
      <c r="B4" s="4" t="n">
        <f aca="false">Assumptions!$B$20</f>
        <v>0.25</v>
      </c>
      <c r="C4" s="4" t="n">
        <f aca="false">DCF_Bear!$B$25</f>
        <v>3.37219089986842</v>
      </c>
      <c r="D4" s="0" t="n">
        <f aca="false">B4*C4</f>
        <v>0.843047724967106</v>
      </c>
    </row>
    <row r="5" customFormat="false" ht="15" hidden="false" customHeight="false" outlineLevel="0" collapsed="false">
      <c r="A5" s="0" t="s">
        <v>355</v>
      </c>
      <c r="B5" s="4" t="n">
        <f aca="false">Assumptions!$B$33</f>
        <v>0.5</v>
      </c>
      <c r="C5" s="4" t="n">
        <f aca="false">DCF_Base!$B$25</f>
        <v>8.30328860091331</v>
      </c>
      <c r="D5" s="0" t="n">
        <f aca="false">B5*C5</f>
        <v>4.15164430045665</v>
      </c>
    </row>
    <row r="6" customFormat="false" ht="15" hidden="false" customHeight="false" outlineLevel="0" collapsed="false">
      <c r="A6" s="0" t="s">
        <v>356</v>
      </c>
      <c r="B6" s="4" t="n">
        <f aca="false">Assumptions!$B$46</f>
        <v>0.25</v>
      </c>
      <c r="C6" s="4" t="n">
        <f aca="false">DCF_Bull!$B$25</f>
        <v>12.0714448142482</v>
      </c>
      <c r="D6" s="0" t="n">
        <f aca="false">B6*C6</f>
        <v>3.01786120356204</v>
      </c>
    </row>
    <row r="7" customFormat="false" ht="15" hidden="false" customHeight="false" outlineLevel="0" collapsed="false">
      <c r="A7" s="2" t="s">
        <v>383</v>
      </c>
      <c r="B7" s="2" t="n">
        <f aca="false">SUM(D4:D6)</f>
        <v>8.0125532289858</v>
      </c>
    </row>
    <row r="8" customFormat="false" ht="15" hidden="false" customHeight="false" outlineLevel="0" collapsed="false">
      <c r="A8" s="0" t="s">
        <v>328</v>
      </c>
      <c r="B8" s="4" t="n">
        <f aca="false">Assumptions!$B$2</f>
        <v>8.43</v>
      </c>
    </row>
    <row r="9" customFormat="false" ht="15" hidden="false" customHeight="false" outlineLevel="0" collapsed="false">
      <c r="A9" s="0" t="s">
        <v>384</v>
      </c>
      <c r="B9" s="0" t="n">
        <f aca="false">(B7/B8-1)*100</f>
        <v>-4.95191899186477</v>
      </c>
    </row>
    <row r="11" customFormat="false" ht="15" hidden="false" customHeight="false" outlineLevel="0" collapsed="false">
      <c r="A11" s="2" t="s">
        <v>385</v>
      </c>
      <c r="B11" s="0" t="n">
        <v>1.8</v>
      </c>
    </row>
    <row r="12" customFormat="false" ht="15" hidden="false" customHeight="false" outlineLevel="0" collapsed="false">
      <c r="A12" s="0" t="s">
        <v>386</v>
      </c>
      <c r="B12" s="0" t="s">
        <v>387</v>
      </c>
    </row>
    <row r="14" customFormat="false" ht="15" hidden="false" customHeight="false" outlineLevel="0" collapsed="false">
      <c r="A14" s="2" t="s">
        <v>388</v>
      </c>
    </row>
    <row r="15" customFormat="false" ht="15" hidden="false" customHeight="false" outlineLevel="0" collapsed="false">
      <c r="A15" s="0" t="s">
        <v>389</v>
      </c>
      <c r="B15" s="2" t="n">
        <v>1.3</v>
      </c>
      <c r="C15" s="2" t="n">
        <v>1.8</v>
      </c>
      <c r="D15" s="2" t="n">
        <v>2.3</v>
      </c>
      <c r="E15" s="2" t="n">
        <v>2.8</v>
      </c>
      <c r="F15" s="2" t="n">
        <v>3.3</v>
      </c>
    </row>
    <row r="16" customFormat="false" ht="15" hidden="false" customHeight="false" outlineLevel="0" collapsed="false">
      <c r="A16" s="2" t="n">
        <v>5</v>
      </c>
      <c r="B16" s="0" t="n">
        <v>10.82</v>
      </c>
      <c r="C16" s="0" t="n">
        <v>10.82</v>
      </c>
      <c r="D16" s="0" t="n">
        <v>10.82</v>
      </c>
      <c r="E16" s="0" t="n">
        <v>10.82</v>
      </c>
      <c r="F16" s="0" t="n">
        <v>10.82</v>
      </c>
    </row>
    <row r="17" customFormat="false" ht="15" hidden="false" customHeight="false" outlineLevel="0" collapsed="false">
      <c r="A17" s="2" t="n">
        <v>6</v>
      </c>
      <c r="B17" s="0" t="n">
        <v>9.5</v>
      </c>
      <c r="C17" s="0" t="n">
        <v>9.5</v>
      </c>
      <c r="D17" s="0" t="n">
        <v>9.5</v>
      </c>
      <c r="E17" s="0" t="n">
        <v>9.5</v>
      </c>
      <c r="F17" s="0" t="n">
        <v>9.5</v>
      </c>
    </row>
    <row r="18" customFormat="false" ht="15" hidden="false" customHeight="false" outlineLevel="0" collapsed="false">
      <c r="A18" s="2" t="n">
        <v>7</v>
      </c>
      <c r="B18" s="0" t="n">
        <v>8.3</v>
      </c>
      <c r="C18" s="0" t="n">
        <v>8.3</v>
      </c>
      <c r="D18" s="0" t="n">
        <v>8.3</v>
      </c>
      <c r="E18" s="0" t="n">
        <v>8.3</v>
      </c>
      <c r="F18" s="0" t="n">
        <v>8.3</v>
      </c>
    </row>
    <row r="19" customFormat="false" ht="15" hidden="false" customHeight="false" outlineLevel="0" collapsed="false">
      <c r="A19" s="2" t="n">
        <v>8</v>
      </c>
      <c r="B19" s="0" t="n">
        <v>7.21</v>
      </c>
      <c r="C19" s="0" t="n">
        <v>7.21</v>
      </c>
      <c r="D19" s="0" t="n">
        <v>7.21</v>
      </c>
      <c r="E19" s="0" t="n">
        <v>7.21</v>
      </c>
      <c r="F19" s="0" t="n">
        <v>7.21</v>
      </c>
    </row>
    <row r="20" customFormat="false" ht="15" hidden="false" customHeight="false" outlineLevel="0" collapsed="false">
      <c r="A20" s="2" t="n">
        <v>9</v>
      </c>
      <c r="B20" s="0" t="n">
        <v>5.86</v>
      </c>
      <c r="C20" s="0" t="n">
        <v>6.21</v>
      </c>
      <c r="D20" s="0" t="n">
        <v>6.21</v>
      </c>
      <c r="E20" s="0" t="n">
        <v>6.21</v>
      </c>
      <c r="F20" s="0" t="n">
        <v>6.21</v>
      </c>
    </row>
    <row r="22" customFormat="false" ht="15" hidden="false" customHeight="false" outlineLevel="0" collapsed="false">
      <c r="A22" s="0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2026-09-25T11:41:42Z</dcterms:created>
  <dc:creator>openpyxl</dc:creator>
  <dc:description/>
  <dc:language>en-NZ</dc:language>
  <cp:lastModifiedBy/>
  <dcterms:modified xsi:type="dcterms:W3CDTF">2026-09-25T11:42:26Z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