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Sensitivity" sheetId="2" r:id="rId2"/>
    <sheet name="FCF Quality" sheetId="3" r:id="rId3"/>
    <sheet name="Historical" sheetId="4" r:id="rId4"/>
    <sheet name="Model_Info" sheetId="5" r:id="rId5"/>
  </sheets>
  <calcPr calcId="124519" fullCalcOnLoad="1"/>
</workbook>
</file>

<file path=xl/sharedStrings.xml><?xml version="1.0" encoding="utf-8"?>
<sst xmlns="http://schemas.openxmlformats.org/spreadsheetml/2006/main" count="152" uniqueCount="131">
  <si>
    <t>CNU.NZ (Chorus Limited) DCF Valuation Model - BASE CASE</t>
  </si>
  <si>
    <t>Gray cells are INPUTS. UNLEVERED (enterprise) FCF model: interest is NOT deducted from FCF; net debt is subtracted once from Enterprise Value.</t>
  </si>
  <si>
    <t>KEY INPUTS</t>
  </si>
  <si>
    <t>Current Stock Price (NZD)</t>
  </si>
  <si>
    <t>Shares Outstanding (M)</t>
  </si>
  <si>
    <t>Cash &amp; Equivalents (M)</t>
  </si>
  <si>
    <t>Total Debt (M)</t>
  </si>
  <si>
    <t>Net Debt (M)</t>
  </si>
  <si>
    <t>Revenue - Year 0 / FY2025 actual (M)</t>
  </si>
  <si>
    <t>WACC</t>
  </si>
  <si>
    <t>Terminal Growth Rate</t>
  </si>
  <si>
    <t>Terminal EV/EBITDA Cap Multiple</t>
  </si>
  <si>
    <t>NOTE: Commerce Commission allowed WACC for PQ2 (2025-2028) is 7.68% pre-tax (~5.5% post-tax). Base case WACC of 7.0% = bottom-up CAPM build + PQ3 reset/refinancing risk premium. See Model_Info sheet and DCF JSON wacc_rationale.</t>
  </si>
  <si>
    <t>YEAR-BY-YEAR ASSUMPTIONS (BASE CASE)</t>
  </si>
  <si>
    <t>Y1</t>
  </si>
  <si>
    <t>Y2</t>
  </si>
  <si>
    <t>Y3</t>
  </si>
  <si>
    <t>Y4</t>
  </si>
  <si>
    <t>Y5</t>
  </si>
  <si>
    <t>Y6</t>
  </si>
  <si>
    <t>Y7</t>
  </si>
  <si>
    <t>Y8</t>
  </si>
  <si>
    <t>Y9</t>
  </si>
  <si>
    <t>Y10</t>
  </si>
  <si>
    <t>Revenue Growth %</t>
  </si>
  <si>
    <t>EBITDA Margin %</t>
  </si>
  <si>
    <t>SBC % of Revenue</t>
  </si>
  <si>
    <t>D&amp;A % of Revenue</t>
  </si>
  <si>
    <t>Capex (M)</t>
  </si>
  <si>
    <t>Cash Tax Rate %</t>
  </si>
  <si>
    <t>PROJECTIONS (FORMULAS)</t>
  </si>
  <si>
    <t>Revenue</t>
  </si>
  <si>
    <t>Adj. EBITDA</t>
  </si>
  <si>
    <t>Less: SBC</t>
  </si>
  <si>
    <t>Less: D&amp;A</t>
  </si>
  <si>
    <t>EBIT</t>
  </si>
  <si>
    <t>NOPAT = EBIT x (1-tax)</t>
  </si>
  <si>
    <t>Less: Capex</t>
  </si>
  <si>
    <t>Unlevered Owner FCF</t>
  </si>
  <si>
    <t>Discount Factor</t>
  </si>
  <si>
    <t>PV of FCF</t>
  </si>
  <si>
    <t>VALUATION</t>
  </si>
  <si>
    <t>Sum of PV of FCF (10yr)</t>
  </si>
  <si>
    <t>Terminal FCF (Yr10 x (1+g))</t>
  </si>
  <si>
    <t>Gordon Growth Terminal Value</t>
  </si>
  <si>
    <t>EV/EBITDA Cap Terminal Value</t>
  </si>
  <si>
    <t>Terminal Value (lower of the two)</t>
  </si>
  <si>
    <t>PV of Terminal Value</t>
  </si>
  <si>
    <t>Enterprise Value</t>
  </si>
  <si>
    <t>Less: Net Debt</t>
  </si>
  <si>
    <t>Equity Value</t>
  </si>
  <si>
    <t>Shares Outstanding, Year 10 (M)</t>
  </si>
  <si>
    <t>INTRINSIC VALUE/SHARE</t>
  </si>
  <si>
    <t>Upside/(Downside) to Intrinsic Value</t>
  </si>
  <si>
    <t>ENTRY PRICE (15% IRR Target)</t>
  </si>
  <si>
    <t>Hurdle Rate</t>
  </si>
  <si>
    <t>PV of Yrs 1-10 FCF @Hurdle</t>
  </si>
  <si>
    <t>PV of Terminal Value @Hurdle</t>
  </si>
  <si>
    <t>Entry Price (15% IRR)</t>
  </si>
  <si>
    <t>NOTE: Entry price sits far below IV/current price because growth (~2.5%) is far below the 15% hurdle AND leverage is very high (fixed net debt vs a hurdle-shrunk enterprise value). This is a mechanical leverage effect, not a bug -- see DCF JSON entry_price.base.interpretation. Chorus is better evaluated as a ~6% dividend yield income holding than a growth-IRR target.</t>
  </si>
  <si>
    <t>Sensitivity Analysis - Base Case Intrinsic Value</t>
  </si>
  <si>
    <t>WACC (rows) x Terminal Growth (cols). Terminal value uses MIN(Gordon, EV/EBITDA cap) so many cells are cap-bound (flat across a row) -- see matrix_note in DCF JSON.</t>
  </si>
  <si>
    <t>WACC \ Term G</t>
  </si>
  <si>
    <t>FCF Quality: Reported (Levered) vs Owner FCF History</t>
  </si>
  <si>
    <t>SBC is immaterial for Chorus (KMP-only scheme). The material distinction here is LEVERED vs UNLEVERED FCF -- see notes below.</t>
  </si>
  <si>
    <t>FY</t>
  </si>
  <si>
    <t>Revenue (M)</t>
  </si>
  <si>
    <t>Reported FCF (M) [levered]</t>
  </si>
  <si>
    <t>SBC (M)</t>
  </si>
  <si>
    <t>Owner FCF (M)</t>
  </si>
  <si>
    <t>Reported FCF Margin %</t>
  </si>
  <si>
    <t>Owner FCF Margin %</t>
  </si>
  <si>
    <t>FY2018</t>
  </si>
  <si>
    <t>FY2019</t>
  </si>
  <si>
    <t>FY2020</t>
  </si>
  <si>
    <t>FY2021</t>
  </si>
  <si>
    <t>FY2022</t>
  </si>
  <si>
    <t>FY2023</t>
  </si>
  <si>
    <t>FY2024</t>
  </si>
  <si>
    <t>FY2025</t>
  </si>
  <si>
    <t>IMPORTANT: 'Reported FCF' above (from the Metrics.csv, = OCF - gross capex) is LEVERED free cash flow -- it is net of ~$175-220m/yr of cash interest paid on Chorus's ~$3.2-3.3bn debt stack. The DCF Model sheet's projected 'Unlevered Owner FCF' (Year 1 ~$317m for FY2026E) is DELIBERATELY much higher than this historical reported FCF series, because it excludes interest entirely (EBIT x (1-tax) + D&amp;A - Capex, with NO interest deduction). Interest/leverage is instead captured via (a) the WACC discount rate and (b) subtracting net debt (~$3,175m) once from Enterprise Value to reach Equity Value. Discounting LEVERED FCF at WACC while ALSO subtracting net debt would double-count leverage and understate intrinsic value -- this is why the DCF does not simply extrapolate the reported FCF column.</t>
  </si>
  <si>
    <t>Historical Growth Rates &amp; Multiples</t>
  </si>
  <si>
    <t>Metric</t>
  </si>
  <si>
    <t>3-Year CAGR</t>
  </si>
  <si>
    <t>5-Year CAGR</t>
  </si>
  <si>
    <t>7-Year CAGR</t>
  </si>
  <si>
    <t>EBITDA</t>
  </si>
  <si>
    <t>Shareholders Equity</t>
  </si>
  <si>
    <t>EPS / Net Income CAGR:</t>
  </si>
  <si>
    <t>N/A - meaningless (near-zero/negative NI)</t>
  </si>
  <si>
    <t>FCF CAGR:</t>
  </si>
  <si>
    <t>N/A - undefined (negative base years FY18/FY20)</t>
  </si>
  <si>
    <t>Growth Driver Selected:</t>
  </si>
  <si>
    <t>Source:</t>
  </si>
  <si>
    <t>revenue_and_ebitda_cagr_blended_with_regulatory_context</t>
  </si>
  <si>
    <t>Equity CAGR Rejected:</t>
  </si>
  <si>
    <t>Shareholders' equity has COLLAPSED from NZ$1,022m (FY2018) to NZ$430m (H1-2026, 31-Dec-2025), a 3yr CAGR of approximately -18%/yr and 5yr CAGR of approximately -9%/yr. This is NOT economic decline -- it is the mechanical result of Chorus paying dividends (70-90% of net operating FCF policy, raised Feb-2024) that exceed near-zero-to-modest reported net income (FY2023 +$25m, FY2024 -$9m, FY2025 +$4m) every year, steadily eroding the equity base through retained-earnings deficits while the underlying regulated asset base and cash generation are actually IMPROVING. Using equity CAGR as a growth driver would imply a business in terminal decline, which contradicts every operating metric (fibre uptake rising toward 80% target, EBITDA rising, capex falling, FCF inflecting positive). Equity CAGR is discarded entirely; revenue/EBITDA growth is used instead.</t>
  </si>
  <si>
    <t>Historical Trading Multiples (FY-end, 30-June)</t>
  </si>
  <si>
    <t>Price</t>
  </si>
  <si>
    <t>P/B</t>
  </si>
  <si>
    <t>P/Sales</t>
  </si>
  <si>
    <t>EV/EBITDA</t>
  </si>
  <si>
    <t>Model Provenance &amp; Methodology Notes</t>
  </si>
  <si>
    <t>Ticker</t>
  </si>
  <si>
    <t>CNU.NZ (Chorus Limited)</t>
  </si>
  <si>
    <t>Built by</t>
  </si>
  <si>
    <t>Claude DCF valuation agent, Stocks Research project</t>
  </si>
  <si>
    <t>Valuation date</t>
  </si>
  <si>
    <t>2026-08-10</t>
  </si>
  <si>
    <t>Share price date/source</t>
  </si>
  <si>
    <t>NZ$9.55, Yahoo Finance last trade 2026-08-07 (per task instructions)</t>
  </si>
  <si>
    <t>Data vintage</t>
  </si>
  <si>
    <t>H1 FY2026 (31-Dec-2025) balance sheet and income statement; FY2025 (30-Jun-2025) annual report; FY2026 guidance from HY26 results (23-Feb-2026); Analysis JSON refreshed 2026-08-10 including the 7-Aug-2026 NIFFCo monetisation announcement.</t>
  </si>
  <si>
    <t>Methodology - FCF construct</t>
  </si>
  <si>
    <t>UNLEVERED enterprise FCF (EBIT x (1-cash tax) + D&amp;A - Capex), NOT the levered reported FCF (OCF-capex) in the Metrics.csv. This is essential given ~NZ$3.2bn debt: discounting levered FCF at WACC while also subtracting net debt would double-count leverage. See FCF Quality sheet and DCF JSON valuation_philosophy.</t>
  </si>
  <si>
    <t>Methodology - growth driver</t>
  </si>
  <si>
    <t>Revenue/EBITDA CAGR (regulated, RAB+CPI-linked, ~0.3-1.7%/yr historically), NOT equity CAGR (which is -9% to -18%/yr purely from the dividend payout policy exceeding net income) and NOT P/E or net-income based (near-zero/negative NI). See growth_rate_rejections in the JSON.</t>
  </si>
  <si>
    <t>Methodology - WACC</t>
  </si>
  <si>
    <t>Bottom-up CAPM build (~6.0%) cross-checked against the Commerce Commission's own PQ2 allowed WACC of 7.68% pre-tax (~5.5% post-tax), plus a ~1pp PQ3-reset/refinancing risk premium. Final base WACC 7.0%. NO NZ small-cap illiquidity premium applied (Chorus is a ~NZ$4.25bn liquid dual-listed index constituent). See wacc_rationale in the JSON.</t>
  </si>
  <si>
    <t>Methodology - terminal value</t>
  </si>
  <si>
    <t>MIN(Gordon growth, EV/EBITDA cap). Base case cap is 8.0x, set via the Step 8c historical-multiple sanity check (10yr trading range 5.5x-9.7x EV/EBITDA) after an initial 9.0x cap produced an intrinsic value implying a 10.5x multiple ABOVE the historical range. See sanity_check in the JSON.</t>
  </si>
  <si>
    <t>Methodology - net debt / NIFFCo</t>
  </si>
  <si>
    <t>Net debt (~NZ$3,175m) is H1 FY2026 total debt less cash, left UNADJUSTED for the 7-Aug-2026 Crown NIFFCo monetisation, which is treated as a change in the ultimate holder of Crown-linked paper on the CROWN's side, not a change to Chorus's own obligations (per Chorus's own public statement). Revisit if subsequent disclosure shows otherwise.</t>
  </si>
  <si>
    <t>Methodology - entry price</t>
  </si>
  <si>
    <t>Full project formula: PV of 10yr interim unlevered FCF + PV of terminal value (computed at WACC) discounted at the 15% hurdle, less net debt, over Year-10 shares. Result (~$1.68) is far below IV due to Chorus's low growth (~2.5%) vs the 15% hurdle and its high leverage -- flagged as a leverage effect, not a bug; cross-checked by running the entire DCF at WACC=15%, which independently produces a near-zero value.</t>
  </si>
  <si>
    <t>What to refresh after next earnings</t>
  </si>
  <si>
    <t>FY2026 full-year results (Chorus typically reports late August) -- update FY2026 actual revenue/EBITDA/capex/D&amp;A/tax vs guidance, roll the projection base year forward, refresh net debt and cash, and re-run the Step 8c sanity check with the new FY-end (30-Jun-2026) share price once available.</t>
  </si>
  <si>
    <t>Cell colour conventions</t>
  </si>
  <si>
    <t>Light gray cells = inputs (editable). Green cell = key output (intrinsic value / entry price). White cells with borders = formulas (do not hand-edit; they will be overwritten by formula results).</t>
  </si>
  <si>
    <t>Staleness warning</t>
  </si>
  <si>
    <t>All figures in this workbook are current as of the valuation_date above and WILL go stale. Re-check share price, net debt, guidance and the sanity-check multiples before relying on this model after any subsequent earnings release, regulatory determination (especially PQ3 from 2029), or major refinancing event.</t>
  </si>
</sst>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&quot;$&quot;#,##0.00"/>
  </numFmts>
  <fonts count="6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0" borderId="1" xfId="0" applyFont="1" applyBorder="1"/>
    <xf numFmtId="164" fontId="0" fillId="2" borderId="2" xfId="0" applyNumberFormat="1" applyFill="1" applyBorder="1"/>
    <xf numFmtId="164" fontId="0" fillId="0" borderId="2" xfId="0" applyNumberFormat="1" applyBorder="1"/>
    <xf numFmtId="165" fontId="0" fillId="2" borderId="2" xfId="0" applyNumberFormat="1" applyFill="1" applyBorder="1"/>
    <xf numFmtId="0" fontId="4" fillId="3" borderId="2" xfId="0" applyFont="1" applyFill="1" applyBorder="1"/>
    <xf numFmtId="0" fontId="5" fillId="0" borderId="0" xfId="0" applyFont="1"/>
    <xf numFmtId="166" fontId="4" fillId="4" borderId="2" xfId="0" applyNumberFormat="1" applyFont="1" applyFill="1" applyBorder="1"/>
    <xf numFmtId="165" fontId="0" fillId="0" borderId="2" xfId="0" applyNumberFormat="1" applyBorder="1"/>
    <xf numFmtId="165" fontId="4" fillId="3" borderId="0" xfId="0" applyNumberFormat="1" applyFont="1" applyFill="1"/>
    <xf numFmtId="166" fontId="0" fillId="0" borderId="2" xfId="0" applyNumberFormat="1" applyBorder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62"/>
  <sheetViews>
    <sheetView tabSelected="1" workbookViewId="0"/>
  </sheetViews>
  <sheetFormatPr defaultRowHeight="15"/>
  <cols>
    <col min="1" max="1" width="32.7109375" customWidth="1"/>
    <col min="2" max="12" width="12.7109375" customWidth="1"/>
  </cols>
  <sheetData>
    <row r="1" spans="1:12">
      <c r="A1" s="1" t="s">
        <v>0</v>
      </c>
    </row>
    <row r="2" spans="1:12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spans="1:12">
      <c r="A4" s="3" t="s">
        <v>2</v>
      </c>
    </row>
    <row r="5" spans="1:12">
      <c r="A5" t="s">
        <v>3</v>
      </c>
      <c r="B5" s="4">
        <v>9.550000000000001</v>
      </c>
    </row>
    <row r="6" spans="1:12">
      <c r="A6" t="s">
        <v>4</v>
      </c>
      <c r="B6" s="4">
        <v>445</v>
      </c>
    </row>
    <row r="7" spans="1:12">
      <c r="A7" t="s">
        <v>5</v>
      </c>
      <c r="B7" s="4">
        <v>161</v>
      </c>
    </row>
    <row r="8" spans="1:12">
      <c r="A8" t="s">
        <v>6</v>
      </c>
      <c r="B8" s="4">
        <v>3336</v>
      </c>
    </row>
    <row r="9" spans="1:12">
      <c r="A9" t="s">
        <v>7</v>
      </c>
      <c r="B9" s="5">
        <f>B8-B7</f>
        <v>0</v>
      </c>
    </row>
    <row r="10" spans="1:12">
      <c r="A10" t="s">
        <v>8</v>
      </c>
      <c r="B10" s="4">
        <v>1014</v>
      </c>
    </row>
    <row r="11" spans="1:12">
      <c r="A11" t="s">
        <v>9</v>
      </c>
      <c r="B11" s="6">
        <v>0.07000000000000001</v>
      </c>
    </row>
    <row r="12" spans="1:12">
      <c r="A12" t="s">
        <v>10</v>
      </c>
      <c r="B12" s="6">
        <v>0.023</v>
      </c>
    </row>
    <row r="13" spans="1:12">
      <c r="A13" t="s">
        <v>11</v>
      </c>
      <c r="B13" s="4">
        <v>8</v>
      </c>
    </row>
    <row r="15" spans="1:12">
      <c r="A15" s="2" t="s">
        <v>12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7" spans="1:11">
      <c r="A17" s="3" t="s">
        <v>13</v>
      </c>
    </row>
    <row r="18" spans="1:11">
      <c r="B18" s="7" t="s">
        <v>14</v>
      </c>
      <c r="C18" s="7" t="s">
        <v>15</v>
      </c>
      <c r="D18" s="7" t="s">
        <v>16</v>
      </c>
      <c r="E18" s="7" t="s">
        <v>17</v>
      </c>
      <c r="F18" s="7" t="s">
        <v>18</v>
      </c>
      <c r="G18" s="7" t="s">
        <v>19</v>
      </c>
      <c r="H18" s="7" t="s">
        <v>20</v>
      </c>
      <c r="I18" s="7" t="s">
        <v>21</v>
      </c>
      <c r="J18" s="7" t="s">
        <v>22</v>
      </c>
      <c r="K18" s="7" t="s">
        <v>23</v>
      </c>
    </row>
    <row r="19" spans="1:11">
      <c r="A19" t="s">
        <v>24</v>
      </c>
      <c r="B19" s="6">
        <v>0.028</v>
      </c>
      <c r="C19" s="6">
        <v>0.027</v>
      </c>
      <c r="D19" s="6">
        <v>0.026</v>
      </c>
      <c r="E19" s="6">
        <v>0.025</v>
      </c>
      <c r="F19" s="6">
        <v>0.025</v>
      </c>
      <c r="G19" s="6">
        <v>0.024</v>
      </c>
      <c r="H19" s="6">
        <v>0.024</v>
      </c>
      <c r="I19" s="6">
        <v>0.023</v>
      </c>
      <c r="J19" s="6">
        <v>0.023</v>
      </c>
      <c r="K19" s="6">
        <v>0.023</v>
      </c>
    </row>
    <row r="20" spans="1:11">
      <c r="A20" t="s">
        <v>25</v>
      </c>
      <c r="B20" s="6">
        <v>0.71</v>
      </c>
      <c r="C20" s="6">
        <v>0.7140000000000001</v>
      </c>
      <c r="D20" s="6">
        <v>0.718</v>
      </c>
      <c r="E20" s="6">
        <v>0.72</v>
      </c>
      <c r="F20" s="6">
        <v>0.722</v>
      </c>
      <c r="G20" s="6">
        <v>0.723</v>
      </c>
      <c r="H20" s="6">
        <v>0.723</v>
      </c>
      <c r="I20" s="6">
        <v>0.723</v>
      </c>
      <c r="J20" s="6">
        <v>0.723</v>
      </c>
      <c r="K20" s="6">
        <v>0.723</v>
      </c>
    </row>
    <row r="21" spans="1:11">
      <c r="A21" t="s">
        <v>26</v>
      </c>
      <c r="B21" s="6">
        <v>0.0015</v>
      </c>
      <c r="C21" s="6">
        <v>0.0015</v>
      </c>
      <c r="D21" s="6">
        <v>0.0015</v>
      </c>
      <c r="E21" s="6">
        <v>0.0015</v>
      </c>
      <c r="F21" s="6">
        <v>0.0015</v>
      </c>
      <c r="G21" s="6">
        <v>0.0015</v>
      </c>
      <c r="H21" s="6">
        <v>0.0015</v>
      </c>
      <c r="I21" s="6">
        <v>0.0015</v>
      </c>
      <c r="J21" s="6">
        <v>0.0015</v>
      </c>
      <c r="K21" s="6">
        <v>0.0015</v>
      </c>
    </row>
    <row r="22" spans="1:11">
      <c r="A22" t="s">
        <v>27</v>
      </c>
      <c r="B22" s="6">
        <v>0.425</v>
      </c>
      <c r="C22" s="6">
        <v>0.405</v>
      </c>
      <c r="D22" s="6">
        <v>0.375</v>
      </c>
      <c r="E22" s="6">
        <v>0.345</v>
      </c>
      <c r="F22" s="6">
        <v>0.325</v>
      </c>
      <c r="G22" s="6">
        <v>0.31</v>
      </c>
      <c r="H22" s="6">
        <v>0.3</v>
      </c>
      <c r="I22" s="6">
        <v>0.295</v>
      </c>
      <c r="J22" s="6">
        <v>0.29</v>
      </c>
      <c r="K22" s="6">
        <v>0.29</v>
      </c>
    </row>
    <row r="23" spans="1:11">
      <c r="A23" t="s">
        <v>28</v>
      </c>
      <c r="B23" s="4">
        <v>392</v>
      </c>
      <c r="C23" s="4">
        <v>368</v>
      </c>
      <c r="D23" s="4">
        <v>345</v>
      </c>
      <c r="E23" s="4">
        <v>322</v>
      </c>
      <c r="F23" s="4">
        <v>300</v>
      </c>
      <c r="G23" s="4">
        <v>280</v>
      </c>
      <c r="H23" s="4">
        <v>262</v>
      </c>
      <c r="I23" s="4">
        <v>250</v>
      </c>
      <c r="J23" s="4">
        <v>242</v>
      </c>
      <c r="K23" s="4">
        <v>236</v>
      </c>
    </row>
    <row r="24" spans="1:11">
      <c r="A24" t="s">
        <v>29</v>
      </c>
      <c r="B24" s="6">
        <v>0.1</v>
      </c>
      <c r="C24" s="6">
        <v>0.13</v>
      </c>
      <c r="D24" s="6">
        <v>0.16</v>
      </c>
      <c r="E24" s="6">
        <v>0.19</v>
      </c>
      <c r="F24" s="6">
        <v>0.21</v>
      </c>
      <c r="G24" s="6">
        <v>0.23</v>
      </c>
      <c r="H24" s="6">
        <v>0.25</v>
      </c>
      <c r="I24" s="6">
        <v>0.26</v>
      </c>
      <c r="J24" s="6">
        <v>0.27</v>
      </c>
      <c r="K24" s="6">
        <v>0.28</v>
      </c>
    </row>
    <row r="27" spans="1:11">
      <c r="A27" s="3" t="s">
        <v>30</v>
      </c>
    </row>
    <row r="28" spans="1:11">
      <c r="B28" s="7" t="s">
        <v>14</v>
      </c>
      <c r="C28" s="7" t="s">
        <v>15</v>
      </c>
      <c r="D28" s="7" t="s">
        <v>16</v>
      </c>
      <c r="E28" s="7" t="s">
        <v>17</v>
      </c>
      <c r="F28" s="7" t="s">
        <v>18</v>
      </c>
      <c r="G28" s="7" t="s">
        <v>19</v>
      </c>
      <c r="H28" s="7" t="s">
        <v>20</v>
      </c>
      <c r="I28" s="7" t="s">
        <v>21</v>
      </c>
      <c r="J28" s="7" t="s">
        <v>22</v>
      </c>
      <c r="K28" s="7" t="s">
        <v>23</v>
      </c>
    </row>
    <row r="29" spans="1:11">
      <c r="A29" t="s">
        <v>31</v>
      </c>
      <c r="B29" s="5">
        <f>$B$10*(1+B19)</f>
        <v>0</v>
      </c>
      <c r="C29" s="5">
        <f>B29*(1+C19)</f>
        <v>0</v>
      </c>
      <c r="D29" s="5">
        <f>C29*(1+D19)</f>
        <v>0</v>
      </c>
      <c r="E29" s="5">
        <f>D29*(1+E19)</f>
        <v>0</v>
      </c>
      <c r="F29" s="5">
        <f>E29*(1+F19)</f>
        <v>0</v>
      </c>
      <c r="G29" s="5">
        <f>F29*(1+G19)</f>
        <v>0</v>
      </c>
      <c r="H29" s="5">
        <f>G29*(1+H19)</f>
        <v>0</v>
      </c>
      <c r="I29" s="5">
        <f>H29*(1+I19)</f>
        <v>0</v>
      </c>
      <c r="J29" s="5">
        <f>I29*(1+J19)</f>
        <v>0</v>
      </c>
      <c r="K29" s="5">
        <f>J29*(1+K19)</f>
        <v>0</v>
      </c>
    </row>
    <row r="30" spans="1:11">
      <c r="A30" t="s">
        <v>32</v>
      </c>
      <c r="B30" s="5">
        <f>B29*B20</f>
        <v>0</v>
      </c>
      <c r="C30" s="5">
        <f>C29*C20</f>
        <v>0</v>
      </c>
      <c r="D30" s="5">
        <f>D29*D20</f>
        <v>0</v>
      </c>
      <c r="E30" s="5">
        <f>E29*E20</f>
        <v>0</v>
      </c>
      <c r="F30" s="5">
        <f>F29*F20</f>
        <v>0</v>
      </c>
      <c r="G30" s="5">
        <f>G29*G20</f>
        <v>0</v>
      </c>
      <c r="H30" s="5">
        <f>H29*H20</f>
        <v>0</v>
      </c>
      <c r="I30" s="5">
        <f>I29*I20</f>
        <v>0</v>
      </c>
      <c r="J30" s="5">
        <f>J29*J20</f>
        <v>0</v>
      </c>
      <c r="K30" s="5">
        <f>K29*K20</f>
        <v>0</v>
      </c>
    </row>
    <row r="31" spans="1:11">
      <c r="A31" t="s">
        <v>33</v>
      </c>
      <c r="B31" s="5">
        <f>B29*B21</f>
        <v>0</v>
      </c>
      <c r="C31" s="5">
        <f>C29*C21</f>
        <v>0</v>
      </c>
      <c r="D31" s="5">
        <f>D29*D21</f>
        <v>0</v>
      </c>
      <c r="E31" s="5">
        <f>E29*E21</f>
        <v>0</v>
      </c>
      <c r="F31" s="5">
        <f>F29*F21</f>
        <v>0</v>
      </c>
      <c r="G31" s="5">
        <f>G29*G21</f>
        <v>0</v>
      </c>
      <c r="H31" s="5">
        <f>H29*H21</f>
        <v>0</v>
      </c>
      <c r="I31" s="5">
        <f>I29*I21</f>
        <v>0</v>
      </c>
      <c r="J31" s="5">
        <f>J29*J21</f>
        <v>0</v>
      </c>
      <c r="K31" s="5">
        <f>K29*K21</f>
        <v>0</v>
      </c>
    </row>
    <row r="32" spans="1:11">
      <c r="A32" t="s">
        <v>34</v>
      </c>
      <c r="B32" s="5">
        <f>B29*B22</f>
        <v>0</v>
      </c>
      <c r="C32" s="5">
        <f>C29*C22</f>
        <v>0</v>
      </c>
      <c r="D32" s="5">
        <f>D29*D22</f>
        <v>0</v>
      </c>
      <c r="E32" s="5">
        <f>E29*E22</f>
        <v>0</v>
      </c>
      <c r="F32" s="5">
        <f>F29*F22</f>
        <v>0</v>
      </c>
      <c r="G32" s="5">
        <f>G29*G22</f>
        <v>0</v>
      </c>
      <c r="H32" s="5">
        <f>H29*H22</f>
        <v>0</v>
      </c>
      <c r="I32" s="5">
        <f>I29*I22</f>
        <v>0</v>
      </c>
      <c r="J32" s="5">
        <f>J29*J22</f>
        <v>0</v>
      </c>
      <c r="K32" s="5">
        <f>K29*K22</f>
        <v>0</v>
      </c>
    </row>
    <row r="33" spans="1:11">
      <c r="A33" t="s">
        <v>35</v>
      </c>
      <c r="B33" s="5">
        <f>B30-B31-B32</f>
        <v>0</v>
      </c>
      <c r="C33" s="5">
        <f>C30-C31-C32</f>
        <v>0</v>
      </c>
      <c r="D33" s="5">
        <f>D30-D31-D32</f>
        <v>0</v>
      </c>
      <c r="E33" s="5">
        <f>E30-E31-E32</f>
        <v>0</v>
      </c>
      <c r="F33" s="5">
        <f>F30-F31-F32</f>
        <v>0</v>
      </c>
      <c r="G33" s="5">
        <f>G30-G31-G32</f>
        <v>0</v>
      </c>
      <c r="H33" s="5">
        <f>H30-H31-H32</f>
        <v>0</v>
      </c>
      <c r="I33" s="5">
        <f>I30-I31-I32</f>
        <v>0</v>
      </c>
      <c r="J33" s="5">
        <f>J30-J31-J32</f>
        <v>0</v>
      </c>
      <c r="K33" s="5">
        <f>K30-K31-K32</f>
        <v>0</v>
      </c>
    </row>
    <row r="34" spans="1:11">
      <c r="A34" t="s">
        <v>36</v>
      </c>
      <c r="B34" s="5">
        <f>B33*(1-B24)</f>
        <v>0</v>
      </c>
      <c r="C34" s="5">
        <f>C33*(1-C24)</f>
        <v>0</v>
      </c>
      <c r="D34" s="5">
        <f>D33*(1-D24)</f>
        <v>0</v>
      </c>
      <c r="E34" s="5">
        <f>E33*(1-E24)</f>
        <v>0</v>
      </c>
      <c r="F34" s="5">
        <f>F33*(1-F24)</f>
        <v>0</v>
      </c>
      <c r="G34" s="5">
        <f>G33*(1-G24)</f>
        <v>0</v>
      </c>
      <c r="H34" s="5">
        <f>H33*(1-H24)</f>
        <v>0</v>
      </c>
      <c r="I34" s="5">
        <f>I33*(1-I24)</f>
        <v>0</v>
      </c>
      <c r="J34" s="5">
        <f>J33*(1-J24)</f>
        <v>0</v>
      </c>
      <c r="K34" s="5">
        <f>K33*(1-K24)</f>
        <v>0</v>
      </c>
    </row>
    <row r="35" spans="1:11">
      <c r="A35" t="s">
        <v>37</v>
      </c>
      <c r="B35" s="5">
        <f>B23</f>
        <v>0</v>
      </c>
      <c r="C35" s="5">
        <f>C23</f>
        <v>0</v>
      </c>
      <c r="D35" s="5">
        <f>D23</f>
        <v>0</v>
      </c>
      <c r="E35" s="5">
        <f>E23</f>
        <v>0</v>
      </c>
      <c r="F35" s="5">
        <f>F23</f>
        <v>0</v>
      </c>
      <c r="G35" s="5">
        <f>G23</f>
        <v>0</v>
      </c>
      <c r="H35" s="5">
        <f>H23</f>
        <v>0</v>
      </c>
      <c r="I35" s="5">
        <f>I23</f>
        <v>0</v>
      </c>
      <c r="J35" s="5">
        <f>J23</f>
        <v>0</v>
      </c>
      <c r="K35" s="5">
        <f>K23</f>
        <v>0</v>
      </c>
    </row>
    <row r="36" spans="1:11">
      <c r="A36" t="s">
        <v>38</v>
      </c>
      <c r="B36" s="5">
        <f>B34+B32-B35</f>
        <v>0</v>
      </c>
      <c r="C36" s="5">
        <f>C34+C32-C35</f>
        <v>0</v>
      </c>
      <c r="D36" s="5">
        <f>D34+D32-D35</f>
        <v>0</v>
      </c>
      <c r="E36" s="5">
        <f>E34+E32-E35</f>
        <v>0</v>
      </c>
      <c r="F36" s="5">
        <f>F34+F32-F35</f>
        <v>0</v>
      </c>
      <c r="G36" s="5">
        <f>G34+G32-G35</f>
        <v>0</v>
      </c>
      <c r="H36" s="5">
        <f>H34+H32-H35</f>
        <v>0</v>
      </c>
      <c r="I36" s="5">
        <f>I34+I32-I35</f>
        <v>0</v>
      </c>
      <c r="J36" s="5">
        <f>J34+J32-J35</f>
        <v>0</v>
      </c>
      <c r="K36" s="5">
        <f>K34+K32-K35</f>
        <v>0</v>
      </c>
    </row>
    <row r="37" spans="1:11">
      <c r="A37" t="s">
        <v>39</v>
      </c>
      <c r="B37" s="5">
        <f>1/(1+$B$11)^1</f>
        <v>0</v>
      </c>
      <c r="C37" s="5">
        <f>1/(1+$B$11)^2</f>
        <v>0</v>
      </c>
      <c r="D37" s="5">
        <f>1/(1+$B$11)^3</f>
        <v>0</v>
      </c>
      <c r="E37" s="5">
        <f>1/(1+$B$11)^4</f>
        <v>0</v>
      </c>
      <c r="F37" s="5">
        <f>1/(1+$B$11)^5</f>
        <v>0</v>
      </c>
      <c r="G37" s="5">
        <f>1/(1+$B$11)^6</f>
        <v>0</v>
      </c>
      <c r="H37" s="5">
        <f>1/(1+$B$11)^7</f>
        <v>0</v>
      </c>
      <c r="I37" s="5">
        <f>1/(1+$B$11)^8</f>
        <v>0</v>
      </c>
      <c r="J37" s="5">
        <f>1/(1+$B$11)^9</f>
        <v>0</v>
      </c>
      <c r="K37" s="5">
        <f>1/(1+$B$11)^10</f>
        <v>0</v>
      </c>
    </row>
    <row r="38" spans="1:11">
      <c r="A38" t="s">
        <v>40</v>
      </c>
      <c r="B38" s="5">
        <f>B36*B37</f>
        <v>0</v>
      </c>
      <c r="C38" s="5">
        <f>C36*C37</f>
        <v>0</v>
      </c>
      <c r="D38" s="5">
        <f>D36*D37</f>
        <v>0</v>
      </c>
      <c r="E38" s="5">
        <f>E36*E37</f>
        <v>0</v>
      </c>
      <c r="F38" s="5">
        <f>F36*F37</f>
        <v>0</v>
      </c>
      <c r="G38" s="5">
        <f>G36*G37</f>
        <v>0</v>
      </c>
      <c r="H38" s="5">
        <f>H36*H37</f>
        <v>0</v>
      </c>
      <c r="I38" s="5">
        <f>I36*I37</f>
        <v>0</v>
      </c>
      <c r="J38" s="5">
        <f>J36*J37</f>
        <v>0</v>
      </c>
      <c r="K38" s="5">
        <f>K36*K37</f>
        <v>0</v>
      </c>
    </row>
    <row r="40" spans="1:11">
      <c r="A40" s="3" t="s">
        <v>41</v>
      </c>
    </row>
    <row r="41" spans="1:11">
      <c r="A41" t="s">
        <v>42</v>
      </c>
      <c r="B41" s="5">
        <f>SUM(B38:K38)</f>
        <v>0</v>
      </c>
    </row>
    <row r="42" spans="1:11">
      <c r="A42" t="s">
        <v>43</v>
      </c>
      <c r="B42" s="5">
        <f>K36*(1+B12)</f>
        <v>0</v>
      </c>
    </row>
    <row r="43" spans="1:11">
      <c r="A43" t="s">
        <v>44</v>
      </c>
      <c r="B43" s="5">
        <f>B42/(B11-B12)</f>
        <v>0</v>
      </c>
    </row>
    <row r="44" spans="1:11">
      <c r="A44" t="s">
        <v>45</v>
      </c>
      <c r="B44" s="5">
        <f>B13*K30</f>
        <v>0</v>
      </c>
    </row>
    <row r="45" spans="1:11">
      <c r="A45" t="s">
        <v>46</v>
      </c>
      <c r="B45" s="5">
        <f>MIN(B43,B44)</f>
        <v>0</v>
      </c>
    </row>
    <row r="46" spans="1:11">
      <c r="A46" t="s">
        <v>47</v>
      </c>
      <c r="B46" s="5">
        <f>B45*K37</f>
        <v>0</v>
      </c>
    </row>
    <row r="47" spans="1:11">
      <c r="A47" t="s">
        <v>48</v>
      </c>
      <c r="B47" s="5">
        <f>B41+B46</f>
        <v>0</v>
      </c>
    </row>
    <row r="48" spans="1:11">
      <c r="A48" t="s">
        <v>49</v>
      </c>
      <c r="B48" s="5">
        <f>B9</f>
        <v>0</v>
      </c>
    </row>
    <row r="49" spans="1:12">
      <c r="A49" t="s">
        <v>50</v>
      </c>
      <c r="B49" s="5">
        <f>B47-B48</f>
        <v>0</v>
      </c>
    </row>
    <row r="50" spans="1:12">
      <c r="A50" t="s">
        <v>51</v>
      </c>
      <c r="B50" s="5">
        <f>B6</f>
        <v>0</v>
      </c>
    </row>
    <row r="51" spans="1:12">
      <c r="A51" s="8" t="s">
        <v>52</v>
      </c>
      <c r="B51" s="9">
        <f>B49/B50</f>
        <v>0</v>
      </c>
    </row>
    <row r="53" spans="1:12">
      <c r="A53" t="s">
        <v>53</v>
      </c>
      <c r="B53" s="10">
        <f>(B51-B5)/B5</f>
        <v>0</v>
      </c>
    </row>
    <row r="55" spans="1:12">
      <c r="A55" s="3" t="s">
        <v>54</v>
      </c>
    </row>
    <row r="56" spans="1:12">
      <c r="A56" t="s">
        <v>55</v>
      </c>
      <c r="B56" s="6">
        <v>0.15</v>
      </c>
    </row>
    <row r="57" spans="1:12">
      <c r="A57" t="s">
        <v>56</v>
      </c>
      <c r="B57" s="5">
        <f>NPV(B56,B36:K36)</f>
        <v>0</v>
      </c>
    </row>
    <row r="58" spans="1:12">
      <c r="A58" t="s">
        <v>57</v>
      </c>
      <c r="B58" s="5">
        <f>B45/(1+B56)^10</f>
        <v>0</v>
      </c>
    </row>
    <row r="59" spans="1:12">
      <c r="A59" t="s">
        <v>49</v>
      </c>
      <c r="B59" s="5">
        <f>B9</f>
        <v>0</v>
      </c>
    </row>
    <row r="60" spans="1:12">
      <c r="A60" s="8" t="s">
        <v>58</v>
      </c>
      <c r="B60" s="9">
        <f>(B57+B58-B59)/B50</f>
        <v>0</v>
      </c>
    </row>
    <row r="61" spans="1:12">
      <c r="A61" s="2" t="s">
        <v>59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</sheetData>
  <mergeCells count="3">
    <mergeCell ref="A2:L2"/>
    <mergeCell ref="A15:L15"/>
    <mergeCell ref="A61:L6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G9"/>
  <sheetViews>
    <sheetView workbookViewId="0"/>
  </sheetViews>
  <sheetFormatPr defaultRowHeight="15"/>
  <cols>
    <col min="1" max="1" width="18.7109375" customWidth="1"/>
    <col min="2" max="7" width="12.7109375" customWidth="1"/>
  </cols>
  <sheetData>
    <row r="1" spans="1:7">
      <c r="A1" s="1" t="s">
        <v>60</v>
      </c>
    </row>
    <row r="2" spans="1:7">
      <c r="A2" s="2" t="s">
        <v>61</v>
      </c>
      <c r="B2" s="2"/>
      <c r="C2" s="2"/>
      <c r="D2" s="2"/>
      <c r="E2" s="2"/>
      <c r="F2" s="2"/>
      <c r="G2" s="2"/>
    </row>
    <row r="4" spans="1:7">
      <c r="A4" s="7" t="s">
        <v>62</v>
      </c>
      <c r="B4" s="11">
        <v>0.013</v>
      </c>
      <c r="C4" s="11">
        <v>0.018</v>
      </c>
      <c r="D4" s="11">
        <v>0.023</v>
      </c>
      <c r="E4" s="11">
        <v>0.028</v>
      </c>
      <c r="F4" s="11">
        <v>0.033</v>
      </c>
    </row>
    <row r="5" spans="1:7">
      <c r="A5" s="11">
        <v>0.05</v>
      </c>
      <c r="B5" s="12">
        <f>(NPV(0.05,'DCF Model'!B36:K36)+MIN('DCF Model'!K36*(1+0.013000000000000001)/(0.05-0.013000000000000001),'DCF Model'!B13*'DCF Model'!K30)/(1+0.05)^10-'DCF Model'!B9)/'DCF Model'!B50</f>
        <v>0</v>
      </c>
      <c r="C5" s="12">
        <f>(NPV(0.05,'DCF Model'!B36:K36)+MIN('DCF Model'!K36*(1+0.018000000000000002)/(0.05-0.018000000000000002),'DCF Model'!B13*'DCF Model'!K30)/(1+0.05)^10-'DCF Model'!B9)/'DCF Model'!B50</f>
        <v>0</v>
      </c>
      <c r="D5" s="12">
        <f>(NPV(0.05,'DCF Model'!B36:K36)+MIN('DCF Model'!K36*(1+0.023)/(0.05-0.023),'DCF Model'!B13*'DCF Model'!K30)/(1+0.05)^10-'DCF Model'!B9)/'DCF Model'!B50</f>
        <v>0</v>
      </c>
      <c r="E5" s="12">
        <f>(NPV(0.05,'DCF Model'!B36:K36)+MIN('DCF Model'!K36*(1+0.027999999999999997)/(0.05-0.027999999999999997),'DCF Model'!B13*'DCF Model'!K30)/(1+0.05)^10-'DCF Model'!B9)/'DCF Model'!B50</f>
        <v>0</v>
      </c>
      <c r="F5" s="12">
        <f>(NPV(0.05,'DCF Model'!B36:K36)+MIN('DCF Model'!K36*(1+0.033)/(0.05-0.033),'DCF Model'!B13*'DCF Model'!K30)/(1+0.05)^10-'DCF Model'!B9)/'DCF Model'!B50</f>
        <v>0</v>
      </c>
    </row>
    <row r="6" spans="1:7">
      <c r="A6" s="11">
        <v>0.06</v>
      </c>
      <c r="B6" s="12">
        <f>(NPV(0.06,'DCF Model'!B36:K36)+MIN('DCF Model'!K36*(1+0.013000000000000001)/(0.06-0.013000000000000001),'DCF Model'!B13*'DCF Model'!K30)/(1+0.06)^10-'DCF Model'!B9)/'DCF Model'!B50</f>
        <v>0</v>
      </c>
      <c r="C6" s="12">
        <f>(NPV(0.06,'DCF Model'!B36:K36)+MIN('DCF Model'!K36*(1+0.018000000000000002)/(0.06-0.018000000000000002),'DCF Model'!B13*'DCF Model'!K30)/(1+0.06)^10-'DCF Model'!B9)/'DCF Model'!B50</f>
        <v>0</v>
      </c>
      <c r="D6" s="12">
        <f>(NPV(0.06,'DCF Model'!B36:K36)+MIN('DCF Model'!K36*(1+0.023)/(0.06-0.023),'DCF Model'!B13*'DCF Model'!K30)/(1+0.06)^10-'DCF Model'!B9)/'DCF Model'!B50</f>
        <v>0</v>
      </c>
      <c r="E6" s="12">
        <f>(NPV(0.06,'DCF Model'!B36:K36)+MIN('DCF Model'!K36*(1+0.027999999999999997)/(0.06-0.027999999999999997),'DCF Model'!B13*'DCF Model'!K30)/(1+0.06)^10-'DCF Model'!B9)/'DCF Model'!B50</f>
        <v>0</v>
      </c>
      <c r="F6" s="12">
        <f>(NPV(0.06,'DCF Model'!B36:K36)+MIN('DCF Model'!K36*(1+0.033)/(0.06-0.033),'DCF Model'!B13*'DCF Model'!K30)/(1+0.06)^10-'DCF Model'!B9)/'DCF Model'!B50</f>
        <v>0</v>
      </c>
    </row>
    <row r="7" spans="1:7">
      <c r="A7" s="11">
        <v>0.07000000000000001</v>
      </c>
      <c r="B7" s="12">
        <f>(NPV(0.07,'DCF Model'!B36:K36)+MIN('DCF Model'!K36*(1+0.013000000000000001)/(0.07-0.013000000000000001),'DCF Model'!B13*'DCF Model'!K30)/(1+0.07)^10-'DCF Model'!B9)/'DCF Model'!B50</f>
        <v>0</v>
      </c>
      <c r="C7" s="12">
        <f>(NPV(0.07,'DCF Model'!B36:K36)+MIN('DCF Model'!K36*(1+0.018000000000000002)/(0.07-0.018000000000000002),'DCF Model'!B13*'DCF Model'!K30)/(1+0.07)^10-'DCF Model'!B9)/'DCF Model'!B50</f>
        <v>0</v>
      </c>
      <c r="D7" s="12">
        <f>(NPV(0.07,'DCF Model'!B36:K36)+MIN('DCF Model'!K36*(1+0.023)/(0.07-0.023),'DCF Model'!B13*'DCF Model'!K30)/(1+0.07)^10-'DCF Model'!B9)/'DCF Model'!B50</f>
        <v>0</v>
      </c>
      <c r="E7" s="12">
        <f>(NPV(0.07,'DCF Model'!B36:K36)+MIN('DCF Model'!K36*(1+0.027999999999999997)/(0.07-0.027999999999999997),'DCF Model'!B13*'DCF Model'!K30)/(1+0.07)^10-'DCF Model'!B9)/'DCF Model'!B50</f>
        <v>0</v>
      </c>
      <c r="F7" s="12">
        <f>(NPV(0.07,'DCF Model'!B36:K36)+MIN('DCF Model'!K36*(1+0.033)/(0.07-0.033),'DCF Model'!B13*'DCF Model'!K30)/(1+0.07)^10-'DCF Model'!B9)/'DCF Model'!B50</f>
        <v>0</v>
      </c>
    </row>
    <row r="8" spans="1:7">
      <c r="A8" s="11">
        <v>0.08</v>
      </c>
      <c r="B8" s="12">
        <f>(NPV(0.08,'DCF Model'!B36:K36)+MIN('DCF Model'!K36*(1+0.013000000000000001)/(0.08-0.013000000000000001),'DCF Model'!B13*'DCF Model'!K30)/(1+0.08)^10-'DCF Model'!B9)/'DCF Model'!B50</f>
        <v>0</v>
      </c>
      <c r="C8" s="12">
        <f>(NPV(0.08,'DCF Model'!B36:K36)+MIN('DCF Model'!K36*(1+0.018000000000000002)/(0.08-0.018000000000000002),'DCF Model'!B13*'DCF Model'!K30)/(1+0.08)^10-'DCF Model'!B9)/'DCF Model'!B50</f>
        <v>0</v>
      </c>
      <c r="D8" s="12">
        <f>(NPV(0.08,'DCF Model'!B36:K36)+MIN('DCF Model'!K36*(1+0.023)/(0.08-0.023),'DCF Model'!B13*'DCF Model'!K30)/(1+0.08)^10-'DCF Model'!B9)/'DCF Model'!B50</f>
        <v>0</v>
      </c>
      <c r="E8" s="12">
        <f>(NPV(0.08,'DCF Model'!B36:K36)+MIN('DCF Model'!K36*(1+0.027999999999999997)/(0.08-0.027999999999999997),'DCF Model'!B13*'DCF Model'!K30)/(1+0.08)^10-'DCF Model'!B9)/'DCF Model'!B50</f>
        <v>0</v>
      </c>
      <c r="F8" s="12">
        <f>(NPV(0.08,'DCF Model'!B36:K36)+MIN('DCF Model'!K36*(1+0.033)/(0.08-0.033),'DCF Model'!B13*'DCF Model'!K30)/(1+0.08)^10-'DCF Model'!B9)/'DCF Model'!B50</f>
        <v>0</v>
      </c>
    </row>
    <row r="9" spans="1:7">
      <c r="A9" s="11">
        <v>0.09</v>
      </c>
      <c r="B9" s="12">
        <f>(NPV(0.09,'DCF Model'!B36:K36)+MIN('DCF Model'!K36*(1+0.013000000000000001)/(0.09-0.013000000000000001),'DCF Model'!B13*'DCF Model'!K30)/(1+0.09)^10-'DCF Model'!B9)/'DCF Model'!B50</f>
        <v>0</v>
      </c>
      <c r="C9" s="12">
        <f>(NPV(0.09,'DCF Model'!B36:K36)+MIN('DCF Model'!K36*(1+0.018000000000000002)/(0.09-0.018000000000000002),'DCF Model'!B13*'DCF Model'!K30)/(1+0.09)^10-'DCF Model'!B9)/'DCF Model'!B50</f>
        <v>0</v>
      </c>
      <c r="D9" s="12">
        <f>(NPV(0.09,'DCF Model'!B36:K36)+MIN('DCF Model'!K36*(1+0.023)/(0.09-0.023),'DCF Model'!B13*'DCF Model'!K30)/(1+0.09)^10-'DCF Model'!B9)/'DCF Model'!B50</f>
        <v>0</v>
      </c>
      <c r="E9" s="12">
        <f>(NPV(0.09,'DCF Model'!B36:K36)+MIN('DCF Model'!K36*(1+0.027999999999999997)/(0.09-0.027999999999999997),'DCF Model'!B13*'DCF Model'!K30)/(1+0.09)^10-'DCF Model'!B9)/'DCF Model'!B50</f>
        <v>0</v>
      </c>
      <c r="F9" s="12">
        <f>(NPV(0.09,'DCF Model'!B36:K36)+MIN('DCF Model'!K36*(1+0.033)/(0.09-0.033),'DCF Model'!B13*'DCF Model'!K30)/(1+0.09)^10-'DCF Model'!B9)/'DCF Model'!B50</f>
        <v>0</v>
      </c>
    </row>
  </sheetData>
  <mergeCells count="1">
    <mergeCell ref="A2:G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H20"/>
  <sheetViews>
    <sheetView workbookViewId="0"/>
  </sheetViews>
  <sheetFormatPr defaultRowHeight="15"/>
  <cols>
    <col min="1" max="1" width="12.7109375" customWidth="1"/>
    <col min="2" max="8" width="16.7109375" customWidth="1"/>
  </cols>
  <sheetData>
    <row r="1" spans="1:8">
      <c r="A1" s="1" t="s">
        <v>63</v>
      </c>
    </row>
    <row r="2" spans="1:8">
      <c r="A2" s="2" t="s">
        <v>64</v>
      </c>
      <c r="B2" s="2"/>
      <c r="C2" s="2"/>
      <c r="D2" s="2"/>
      <c r="E2" s="2"/>
      <c r="F2" s="2"/>
      <c r="G2" s="2"/>
      <c r="H2" s="2"/>
    </row>
    <row r="4" spans="1:8">
      <c r="A4" s="7" t="s">
        <v>65</v>
      </c>
      <c r="B4" s="7" t="s">
        <v>66</v>
      </c>
      <c r="C4" s="7" t="s">
        <v>67</v>
      </c>
      <c r="D4" s="7" t="s">
        <v>68</v>
      </c>
      <c r="E4" s="7" t="s">
        <v>69</v>
      </c>
      <c r="F4" s="7" t="s">
        <v>70</v>
      </c>
      <c r="G4" s="7" t="s">
        <v>71</v>
      </c>
    </row>
    <row r="5" spans="1:8">
      <c r="A5" t="s">
        <v>72</v>
      </c>
      <c r="B5" s="5">
        <v>990</v>
      </c>
      <c r="C5" s="5">
        <v>-258</v>
      </c>
      <c r="D5" s="5">
        <v>0</v>
      </c>
      <c r="E5" s="5">
        <v>-258</v>
      </c>
      <c r="F5" s="10">
        <v>-0.261</v>
      </c>
      <c r="G5" s="10">
        <v>-0.261</v>
      </c>
    </row>
    <row r="6" spans="1:8">
      <c r="A6" t="s">
        <v>73</v>
      </c>
      <c r="B6" s="5">
        <v>970</v>
      </c>
      <c r="C6" s="5">
        <v>-310</v>
      </c>
      <c r="D6" s="5">
        <v>0</v>
      </c>
      <c r="E6" s="5">
        <v>-310</v>
      </c>
      <c r="F6" s="10">
        <v>-0.32</v>
      </c>
      <c r="G6" s="10">
        <v>-0.32</v>
      </c>
    </row>
    <row r="7" spans="1:8">
      <c r="A7" t="s">
        <v>74</v>
      </c>
      <c r="B7" s="5">
        <v>959</v>
      </c>
      <c r="C7" s="5">
        <v>-205</v>
      </c>
      <c r="D7" s="5">
        <v>0</v>
      </c>
      <c r="E7" s="5">
        <v>-205</v>
      </c>
      <c r="F7" s="10">
        <v>-0.214</v>
      </c>
      <c r="G7" s="10">
        <v>-0.214</v>
      </c>
    </row>
    <row r="8" spans="1:8">
      <c r="A8" t="s">
        <v>75</v>
      </c>
      <c r="B8" s="5">
        <v>955</v>
      </c>
      <c r="C8" s="5">
        <v>-103</v>
      </c>
      <c r="D8" s="5">
        <v>0</v>
      </c>
      <c r="E8" s="5">
        <v>-103</v>
      </c>
      <c r="F8" s="10">
        <v>-0.108</v>
      </c>
      <c r="G8" s="10">
        <v>-0.108</v>
      </c>
    </row>
    <row r="9" spans="1:8">
      <c r="A9" t="s">
        <v>76</v>
      </c>
      <c r="B9" s="5">
        <v>965</v>
      </c>
      <c r="C9" s="5">
        <v>52</v>
      </c>
      <c r="D9" s="5">
        <v>0</v>
      </c>
      <c r="E9" s="5">
        <v>52</v>
      </c>
      <c r="F9" s="10">
        <v>0.05400000000000001</v>
      </c>
      <c r="G9" s="10">
        <v>0.05400000000000001</v>
      </c>
    </row>
    <row r="10" spans="1:8">
      <c r="A10" t="s">
        <v>77</v>
      </c>
      <c r="B10" s="5">
        <v>980</v>
      </c>
      <c r="C10" s="5">
        <v>29</v>
      </c>
      <c r="D10" s="5">
        <v>1.6</v>
      </c>
      <c r="E10" s="5">
        <v>27.4</v>
      </c>
      <c r="F10" s="10">
        <v>0.03</v>
      </c>
      <c r="G10" s="10">
        <v>0.028</v>
      </c>
    </row>
    <row r="11" spans="1:8">
      <c r="A11" t="s">
        <v>78</v>
      </c>
      <c r="B11" s="5">
        <v>1010</v>
      </c>
      <c r="C11" s="5">
        <v>71</v>
      </c>
      <c r="D11" s="5">
        <v>0</v>
      </c>
      <c r="E11" s="5">
        <v>71</v>
      </c>
      <c r="F11" s="10">
        <v>0.07000000000000001</v>
      </c>
      <c r="G11" s="10">
        <v>0.07000000000000001</v>
      </c>
    </row>
    <row r="12" spans="1:8">
      <c r="A12" t="s">
        <v>79</v>
      </c>
      <c r="B12" s="5">
        <v>1014</v>
      </c>
      <c r="C12" s="5">
        <v>162</v>
      </c>
      <c r="D12" s="5">
        <v>0</v>
      </c>
      <c r="E12" s="5">
        <v>162</v>
      </c>
      <c r="F12" s="10">
        <v>0.16</v>
      </c>
      <c r="G12" s="10">
        <v>0.16</v>
      </c>
    </row>
    <row r="14" spans="1:8">
      <c r="A14" s="2" t="s">
        <v>80</v>
      </c>
      <c r="B14" s="2"/>
      <c r="C14" s="2"/>
      <c r="D14" s="2"/>
      <c r="E14" s="2"/>
      <c r="F14" s="2"/>
      <c r="G14" s="2"/>
      <c r="H14" s="2"/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mergeCells count="2">
    <mergeCell ref="A2:H2"/>
    <mergeCell ref="A14:H2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9"/>
  <sheetViews>
    <sheetView workbookViewId="0"/>
  </sheetViews>
  <sheetFormatPr defaultRowHeight="15"/>
  <cols>
    <col min="1" max="1" width="22.7109375" customWidth="1"/>
    <col min="2" max="4" width="15.7109375" customWidth="1"/>
  </cols>
  <sheetData>
    <row r="1" spans="1:4">
      <c r="A1" s="1" t="s">
        <v>81</v>
      </c>
    </row>
    <row r="3" spans="1:4">
      <c r="A3" s="7" t="s">
        <v>82</v>
      </c>
      <c r="B3" s="7" t="s">
        <v>83</v>
      </c>
      <c r="C3" s="7" t="s">
        <v>84</v>
      </c>
      <c r="D3" s="7" t="s">
        <v>85</v>
      </c>
    </row>
    <row r="4" spans="1:4">
      <c r="A4" t="s">
        <v>31</v>
      </c>
      <c r="B4" s="10">
        <v>0.0166</v>
      </c>
      <c r="C4" s="10">
        <v>0.0112</v>
      </c>
      <c r="D4" s="10">
        <v>0.0034</v>
      </c>
    </row>
    <row r="5" spans="1:4">
      <c r="A5" t="s">
        <v>86</v>
      </c>
      <c r="B5" s="10">
        <v>0.0146</v>
      </c>
      <c r="C5" s="10">
        <v>0.017</v>
      </c>
      <c r="D5" s="10">
        <v>0.011</v>
      </c>
    </row>
    <row r="6" spans="1:4">
      <c r="A6" t="s">
        <v>87</v>
      </c>
      <c r="B6" s="10">
        <v>-0.1802</v>
      </c>
      <c r="C6" s="10">
        <v>-0.09359999999999999</v>
      </c>
    </row>
    <row r="8" spans="1:4">
      <c r="A8" t="s">
        <v>88</v>
      </c>
      <c r="B8" t="s">
        <v>89</v>
      </c>
    </row>
    <row r="9" spans="1:4">
      <c r="A9" t="s">
        <v>90</v>
      </c>
      <c r="B9" t="s">
        <v>91</v>
      </c>
    </row>
    <row r="11" spans="1:4">
      <c r="A11" s="8" t="s">
        <v>92</v>
      </c>
      <c r="B11" s="10">
        <v>0.025</v>
      </c>
    </row>
    <row r="12" spans="1:4">
      <c r="A12" t="s">
        <v>93</v>
      </c>
      <c r="B12" t="s">
        <v>94</v>
      </c>
    </row>
    <row r="13" spans="1:4">
      <c r="A13" s="8" t="s">
        <v>95</v>
      </c>
    </row>
    <row r="14" spans="1:4">
      <c r="A14" s="2" t="s">
        <v>96</v>
      </c>
      <c r="B14" s="2"/>
      <c r="C14" s="2"/>
      <c r="D14" s="2"/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5">
      <c r="A17" s="2"/>
      <c r="B17" s="2"/>
      <c r="C17" s="2"/>
      <c r="D17" s="2"/>
    </row>
    <row r="18" spans="1:5">
      <c r="A18" s="2"/>
      <c r="B18" s="2"/>
      <c r="C18" s="2"/>
      <c r="D18" s="2"/>
    </row>
    <row r="20" spans="1:5">
      <c r="A20" s="3" t="s">
        <v>97</v>
      </c>
    </row>
    <row r="21" spans="1:5">
      <c r="A21" s="7" t="s">
        <v>65</v>
      </c>
      <c r="B21" s="7" t="s">
        <v>98</v>
      </c>
      <c r="C21" s="7" t="s">
        <v>99</v>
      </c>
      <c r="D21" s="7" t="s">
        <v>100</v>
      </c>
      <c r="E21" s="7" t="s">
        <v>101</v>
      </c>
    </row>
    <row r="22" spans="1:5">
      <c r="A22" t="s">
        <v>72</v>
      </c>
      <c r="B22" s="12">
        <v>4.31</v>
      </c>
      <c r="C22" s="5">
        <v>1.81</v>
      </c>
      <c r="D22" s="5">
        <v>1.87</v>
      </c>
      <c r="E22" s="5">
        <v>5.53</v>
      </c>
    </row>
    <row r="23" spans="1:5">
      <c r="A23" t="s">
        <v>73</v>
      </c>
      <c r="B23" s="12">
        <v>5.53</v>
      </c>
      <c r="C23" s="5">
        <v>2.48</v>
      </c>
      <c r="D23" s="5">
        <v>2.5</v>
      </c>
      <c r="E23" s="5">
        <v>6.9</v>
      </c>
    </row>
    <row r="24" spans="1:5">
      <c r="A24" t="s">
        <v>74</v>
      </c>
      <c r="B24" s="12">
        <v>7.46</v>
      </c>
      <c r="C24" s="5">
        <v>3.58</v>
      </c>
      <c r="D24" s="5">
        <v>3.46</v>
      </c>
      <c r="E24" s="5">
        <v>8.699999999999999</v>
      </c>
    </row>
    <row r="25" spans="1:5">
      <c r="A25" t="s">
        <v>75</v>
      </c>
      <c r="B25" s="12">
        <v>6.16</v>
      </c>
      <c r="C25" s="5">
        <v>2.78</v>
      </c>
      <c r="D25" s="5">
        <v>2.88</v>
      </c>
      <c r="E25" s="5">
        <v>7.71</v>
      </c>
    </row>
    <row r="26" spans="1:5">
      <c r="A26" t="s">
        <v>76</v>
      </c>
      <c r="B26" s="12">
        <v>7.99</v>
      </c>
      <c r="C26" s="5">
        <v>3.47</v>
      </c>
      <c r="D26" s="5">
        <v>3.7</v>
      </c>
      <c r="E26" s="5">
        <v>8.59</v>
      </c>
    </row>
    <row r="27" spans="1:5">
      <c r="A27" t="s">
        <v>77</v>
      </c>
      <c r="B27" s="12">
        <v>8.6</v>
      </c>
      <c r="C27" s="5">
        <v>3.58</v>
      </c>
      <c r="D27" s="5">
        <v>3.89</v>
      </c>
      <c r="E27" s="5">
        <v>9.32</v>
      </c>
    </row>
    <row r="28" spans="1:5">
      <c r="A28" t="s">
        <v>78</v>
      </c>
      <c r="B28" s="12">
        <v>7.9</v>
      </c>
      <c r="C28" s="5">
        <v>4.08</v>
      </c>
      <c r="D28" s="5">
        <v>3.39</v>
      </c>
      <c r="E28" s="5">
        <v>8.58</v>
      </c>
    </row>
    <row r="29" spans="1:5">
      <c r="A29" t="s">
        <v>79</v>
      </c>
      <c r="B29" s="12">
        <v>8.715</v>
      </c>
      <c r="C29" s="5">
        <v>6.69</v>
      </c>
      <c r="D29" s="5">
        <v>3.74</v>
      </c>
      <c r="E29" s="5">
        <v>9.710000000000001</v>
      </c>
    </row>
  </sheetData>
  <mergeCells count="1">
    <mergeCell ref="A14:D1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6"/>
  <sheetViews>
    <sheetView workbookViewId="0"/>
  </sheetViews>
  <sheetFormatPr defaultRowHeight="15"/>
  <cols>
    <col min="1" max="1" width="28.7109375" customWidth="1"/>
    <col min="2" max="2" width="90.7109375" customWidth="1"/>
  </cols>
  <sheetData>
    <row r="1" spans="1:2">
      <c r="A1" s="1" t="s">
        <v>102</v>
      </c>
    </row>
    <row r="3" spans="1:2" ht="45" customHeight="1">
      <c r="A3" s="8" t="s">
        <v>103</v>
      </c>
      <c r="B3" s="13" t="s">
        <v>104</v>
      </c>
    </row>
    <row r="4" spans="1:2" ht="45" customHeight="1">
      <c r="A4" s="8" t="s">
        <v>105</v>
      </c>
      <c r="B4" s="13" t="s">
        <v>106</v>
      </c>
    </row>
    <row r="5" spans="1:2" ht="45" customHeight="1">
      <c r="A5" s="8" t="s">
        <v>107</v>
      </c>
      <c r="B5" s="13" t="s">
        <v>108</v>
      </c>
    </row>
    <row r="6" spans="1:2" ht="45" customHeight="1">
      <c r="A6" s="8" t="s">
        <v>109</v>
      </c>
      <c r="B6" s="13" t="s">
        <v>110</v>
      </c>
    </row>
    <row r="7" spans="1:2" ht="45" customHeight="1">
      <c r="A7" s="8" t="s">
        <v>111</v>
      </c>
      <c r="B7" s="13" t="s">
        <v>112</v>
      </c>
    </row>
    <row r="8" spans="1:2" ht="45" customHeight="1">
      <c r="A8" s="8" t="s">
        <v>113</v>
      </c>
      <c r="B8" s="13" t="s">
        <v>114</v>
      </c>
    </row>
    <row r="9" spans="1:2" ht="45" customHeight="1">
      <c r="A9" s="8" t="s">
        <v>115</v>
      </c>
      <c r="B9" s="13" t="s">
        <v>116</v>
      </c>
    </row>
    <row r="10" spans="1:2" ht="45" customHeight="1">
      <c r="A10" s="8" t="s">
        <v>117</v>
      </c>
      <c r="B10" s="13" t="s">
        <v>118</v>
      </c>
    </row>
    <row r="11" spans="1:2" ht="45" customHeight="1">
      <c r="A11" s="8" t="s">
        <v>119</v>
      </c>
      <c r="B11" s="13" t="s">
        <v>120</v>
      </c>
    </row>
    <row r="12" spans="1:2" ht="45" customHeight="1">
      <c r="A12" s="8" t="s">
        <v>121</v>
      </c>
      <c r="B12" s="13" t="s">
        <v>122</v>
      </c>
    </row>
    <row r="13" spans="1:2" ht="45" customHeight="1">
      <c r="A13" s="8" t="s">
        <v>123</v>
      </c>
      <c r="B13" s="13" t="s">
        <v>124</v>
      </c>
    </row>
    <row r="14" spans="1:2" ht="45" customHeight="1">
      <c r="A14" s="8" t="s">
        <v>125</v>
      </c>
      <c r="B14" s="13" t="s">
        <v>126</v>
      </c>
    </row>
    <row r="15" spans="1:2" ht="45" customHeight="1">
      <c r="A15" s="8" t="s">
        <v>127</v>
      </c>
      <c r="B15" s="13" t="s">
        <v>128</v>
      </c>
    </row>
    <row r="16" spans="1:2" ht="45" customHeight="1">
      <c r="A16" s="8" t="s">
        <v>129</v>
      </c>
      <c r="B16" s="13" t="s">
        <v>130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DCF Model</vt:lpstr>
      <vt:lpstr>Sensitivity</vt:lpstr>
      <vt:lpstr>FCF Quality</vt:lpstr>
      <vt:lpstr>Historical</vt:lpstr>
      <vt:lpstr>Model_Info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2026-08-09T15:42:31Z</dcterms:created>
  <dcterms:modified xsi:type="dcterms:W3CDTF">2026-08-09T15:42:31Z</dcterms:modified>
</cp:coreProperties>
</file>