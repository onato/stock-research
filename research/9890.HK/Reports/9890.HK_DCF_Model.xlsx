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<sst xmlns="http://schemas.openxmlformats.org/spreadsheetml/2006/main" count="344" uniqueCount="163">
  <si>
    <t xml:space="preserve">Ticker</t>
  </si>
  <si>
    <t xml:space="preserve">9890.HK</t>
  </si>
  <si>
    <t xml:space="preserve">Company</t>
  </si>
  <si>
    <t xml:space="preserve">Tanwan Inc. (formerly ZX Inc.)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</si>
  <si>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</si>
  <si>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</si>
  <si>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</si>
  <si>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</si>
  <si>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regular HKEX close (Yahoo chart API); 52-week range 7.80-21.72, so the price sits at the bottom of its range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</si>
  <si>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</si>
  <si>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</si>
  <si>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</si>
  <si>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</si>
  <si>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</si>
  <si>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</si>
  <si>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</si>
  <si>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</si>
  <si>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</si>
  <si>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</si>
  <si>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</si>
  <si>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</si>
  <si>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</si>
  <si>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2026-10-23T19:48:28Z</t>
  </si>
  <si>
    <t xml:space="preserve">Drivers file</t>
  </si>
  <si>
    <t xml:space="preserve">9890.HK_Drivers.json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</si>
  <si>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</si>
  <si>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</si>
  <si>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</si>
  <si>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game-publishing business on normalised owner FCF built from core margins (fair-value gains, interest income, JV results and the bills-payable working-capital unwind all stripped), and carry every stripped income stream's source asset in the bridge at a marked, haircut value: the FVTPL portfolio marked from 30 June to 23 Oct 2026, JVs/associates at book less 20%, less residual deferred tax, the accumulated unpaid tax liability and NCI. FY2025's RMB1.49bn net income is not earnings; the publishing business earned ~RMB80m of EBIT. The CB is debt (conversion price HK$23.50 against a HK$8 share). Count held flat with SBC expensed; buybacks are funding it.
key_risks_to_valuation: Portfolio mark: the post-June holdings of Century Huatong and Moore Threads are undisclosed; the -1,141 mark-to-market is an estimate on Dec-2025 share counts scaled to the 30 June balance. Each further 10% move in the pair is ~RMB 0.45/share (HK$0.5).; Moore Threads lock-up and exit: a 0.7% stake in a recent STAR-board IPO held through a single asset management plan may not be saleable at the screen price; the 15% haircut may be light.; Legacy-IP decay: Legend-series titles still produce most self-run gross billings; the base case assumes decline slows to ~flat by FY2028, which has not yet shown up in any half.; New-IP economics: proprietary/licensed titles carry royalty and co-development revenue share (gross margin 72% -&gt; 57% -&gt; 53%); if the mature margin is 4% rather than 6%, the publishing business is worth ~RMB 0.8bn less.; Cash tax and tax payable: RMB486m accrued, unpaid; treated as debt-like here. If it is settled sooner, or if realising portfolio gains crystallises the DTL at 25%, cash leaves faster than the model's 20% forward rate implies.; Capital allocation: management used CB proceeds to buy AI-themed equities and has not paid a dividend since FY2023; the discount the market applies to the portfolio is itself a judgment on how the cash will be used.; Bills-payable / pledged-deposit structure: bills payable 1,103 are secured by 1,004 of pledged deposits; both are left in working capital. A disorderly unwind would be a cash call, not a value transfer, but the gross exposure is ~RMB2/share.</t>
  </si>
  <si>
    <t xml:space="preserve">Data sources</t>
  </si>
  <si>
    <t xml:space="preserve">price: Yahoo Finance chart API at inputs.price_as_of (HKEX regular close); 52-week range 7.80-21.72
fx: Yahoo CNYHKD=X at 2026-10-23T19:32Z; investee marks from Yahoo 002602.SZ and 688795.SS daily closes (30 Jun and 23 Oct 2026)
financials: 9890.HK_Metrics.csv and core_metrics/kpis (financial-parser); H1 FY2026 interim report (income statement, balance sheet, cash-flow statement, notes 5, 6, 9, 12, 15, 16, investment portfolio and CB dilution sections); FY2025 annual report (income statement, note 6 charges, significant investments section, outlook); FY2024 and FY2023 annual reports for FY2023/FY2022 opex comparatives
qualitative: No 9890.HK_Analysis.json existed at build time; business axes drawn from the FY2025 annual report business review and the H1 FY2026 interim MD&amp;A</t>
  </si>
  <si>
    <t xml:space="preserve">Scenario narrative: bear</t>
  </si>
  <si>
    <t xml:space="preserve">Aging-IP decline with a worse cost structure: revenue halves again over six years, core EBITDA settles at 2%, publishing FCF is ~zero and the equity is worth its net cash plus the (volatile, concentrated) portfolio less tax and NCI.</t>
  </si>
  <si>
    <t xml:space="preserve">Scenario narrative: base</t>
  </si>
  <si>
    <t xml:space="preserve">A shrinking-then-flat publisher: FY2026 -5% on an H1 of -6%, FY2027 -2%, then +1-2% as mini-program, overseas (Hong Kong +11% in H1 FY2026, overseas RMB833m in FY2025) and the licensed-IP pipeline offset the fading Legend titles. Core EBITDA recovers from 3.4-4.0% to 6% as the royalty load on the new titles is absorbed; cash tax normalises at 20%. The publishing business is worth roughly RMB 1.3bn (about a third of value); the rest is net cash and the investment portfolio marked to 23 Oct 2026 and haircut for concentration and tax.</t>
  </si>
  <si>
    <t xml:space="preserve">Scenario narrative: bull</t>
  </si>
  <si>
    <t xml:space="preserve">Pipeline conversion: Yulgang: Awakening, Soul Land and Legend of King 2 each sustain, overseas and mini-program distribution compound, and AI-driven placement efficiency lifts core EBITDA to 12% on revenue back above RMB 6bn by FY2032. Terminal cap 15x.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</si>
  <si>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</si>
  <si>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</si>
  <si>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</si>
  <si>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</si>
  <si>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</si>
  <si>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</si>
  <si>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</si>
  <si>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</si>
  <si>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</si>
  <si>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</si>
  <si>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</si>
  <si>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</si>
  <si>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</si>
  <si>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</si>
  <si>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</si>
  <si>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</si>
  <si>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</si>
  <si>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</si>
  <si>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</si>
  <si>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</si>
  <si>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</si>
  <si>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</si>
  <si>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</si>
  <si>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</si>
  <si>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</si>
  <si>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</si>
  <si>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</si>
  <si>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FVTPLFinancialAssets</t>
  </si>
  <si>
    <t xml:space="preserve">ProfitForPeriodTotal</t>
  </si>
  <si>
    <t xml:space="preserve">FY2022</t>
  </si>
  <si>
    <t xml:space="preserve">thousands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</si>
  <si>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</si>
  <si>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</si>
  <si>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</si>
  <si>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</si>
  <si>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</si>
  <si>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</si>
  <si>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</si>
  <si>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</si>
  <si>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</si>
  <si>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</si>
  <si>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</si>
  <si>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</si>
  <si>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</si>
  <si>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</si>
  <si>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</si>
  <si>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</si>
  <si>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</si>
  <si>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</si>
  <si>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</si>
  <si>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</si>
  <si>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</si>
  <si>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</si>
  <si>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</si>
  <si>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</si>
  <si>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</si>
  <si>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</si>
  <si>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</si>
  <si>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</si>
  <si>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</si>
  <si>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</si>
  <si>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</si>
  <si>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</si>
  <si>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</si>
  <si>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</si>
  <si>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</si>
  <si>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</si>
  <si>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</si>
  <si>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</si>
  <si>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</si>
  <si>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</si>
  <si>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9890.HK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</si>
  <si>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</si>
  <si>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</si>
  <si>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</si>
  <si>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</si>
  <si>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</si>
  <si>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</si>
  <si>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</si>
  <si>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</si>
  <si>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</si>
  <si>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</si>
  <si>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</si>
  <si>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</si>
  <si>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</si>
  <si>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</si>
  <si>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</si>
  <si>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</si>
  <si>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</si>
  <si>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</si>
  <si>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</si>
  <si>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</si>
  <si>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</si>
  <si>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</si>
  <si>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</si>
  <si>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</si>
  <si>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</si>
  <si>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</si>
  <si>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</si>
  <si>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</si>
  <si>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</si>
  <si>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</si>
  <si>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9890.HK owner-FCF component DCF: base case (millions, CNY)</t>
  </si>
  <si>
    <t xml:space="preserve">9890.HK owner-FCF component DCF: bull case (millions, CNY)</t>
  </si>
  <si>
    <t xml:space="preserve">9890.HK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</si>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</sst>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7.985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8817221</v>
      </c>
      <c r="C2" s="0" t="n">
        <v>-2407531</v>
      </c>
      <c r="D2" s="0" t="n">
        <v>6409690</v>
      </c>
      <c r="E2" s="0" t="n">
        <v>72.7</v>
      </c>
      <c r="I2" s="0" t="n">
        <v>514067</v>
      </c>
      <c r="J2" s="0" t="n">
        <v>5.8</v>
      </c>
      <c r="L2" s="0" t="n">
        <v>2282521</v>
      </c>
      <c r="M2" s="0" t="n">
        <v>169816</v>
      </c>
      <c r="N2" s="0" t="n">
        <v>2112705</v>
      </c>
      <c r="O2" s="0" t="n">
        <v>1731757</v>
      </c>
      <c r="P2" s="0" t="n">
        <v>9798906</v>
      </c>
      <c r="Q2" s="0" t="n">
        <v>8089870</v>
      </c>
      <c r="R2" s="0" t="n">
        <v>555844</v>
      </c>
      <c r="S2" s="0" t="n">
        <v>213422</v>
      </c>
      <c r="U2" s="0" t="n">
        <v>42883</v>
      </c>
      <c r="AA2" s="0" t="s">
        <v>67</v>
      </c>
      <c r="AB2" s="0" t="s">
        <v>14</v>
      </c>
      <c r="AC2" s="0" t="n">
        <v>1271335</v>
      </c>
      <c r="AD2" s="0" t="n">
        <v>491522</v>
      </c>
    </row>
    <row r="3" customFormat="false" ht="15" hidden="false" customHeight="false" outlineLevel="0" collapsed="false">
      <c r="A3" s="0" t="s">
        <v>68</v>
      </c>
      <c r="B3" s="0" t="n">
        <v>6514585</v>
      </c>
      <c r="C3" s="0" t="n">
        <v>-1941267</v>
      </c>
      <c r="D3" s="0" t="n">
        <v>4573318</v>
      </c>
      <c r="E3" s="0" t="n">
        <v>70.2</v>
      </c>
      <c r="I3" s="0" t="n">
        <v>235487</v>
      </c>
      <c r="J3" s="0" t="n">
        <v>3.6</v>
      </c>
      <c r="K3" s="0" t="n">
        <v>0.46</v>
      </c>
      <c r="L3" s="0" t="n">
        <v>-2349401</v>
      </c>
      <c r="M3" s="0" t="n">
        <v>223991</v>
      </c>
      <c r="N3" s="0" t="n">
        <v>-2573392</v>
      </c>
      <c r="O3" s="0" t="n">
        <v>2286524</v>
      </c>
      <c r="P3" s="0" t="n">
        <v>7268210</v>
      </c>
      <c r="Q3" s="0" t="n">
        <v>4992425</v>
      </c>
      <c r="R3" s="0" t="n">
        <v>213743</v>
      </c>
      <c r="S3" s="0" t="n">
        <v>486886</v>
      </c>
      <c r="T3" s="0" t="n">
        <v>512664.121</v>
      </c>
      <c r="U3" s="0" t="n">
        <v>219368</v>
      </c>
      <c r="AA3" s="0" t="s">
        <v>67</v>
      </c>
      <c r="AB3" s="0" t="s">
        <v>14</v>
      </c>
      <c r="AC3" s="0" t="n">
        <v>427800</v>
      </c>
      <c r="AD3" s="0" t="n">
        <v>273289</v>
      </c>
    </row>
    <row r="4" customFormat="false" ht="15" hidden="false" customHeight="false" outlineLevel="0" collapsed="false">
      <c r="A4" s="0" t="s">
        <v>69</v>
      </c>
      <c r="B4" s="0" t="n">
        <v>5580112</v>
      </c>
      <c r="C4" s="0" t="n">
        <v>-1555769</v>
      </c>
      <c r="D4" s="0" t="n">
        <v>4024343</v>
      </c>
      <c r="E4" s="0" t="n">
        <v>72.1</v>
      </c>
      <c r="I4" s="0" t="n">
        <v>-3624</v>
      </c>
      <c r="J4" s="0" t="n">
        <v>-0.1</v>
      </c>
      <c r="K4" s="0" t="n">
        <v>-0.007</v>
      </c>
      <c r="L4" s="0" t="n">
        <v>-1999631</v>
      </c>
      <c r="M4" s="0" t="n">
        <v>47238</v>
      </c>
      <c r="N4" s="0" t="n">
        <v>-2046869</v>
      </c>
      <c r="O4" s="0" t="n">
        <v>2398534</v>
      </c>
      <c r="P4" s="0" t="n">
        <v>5563674</v>
      </c>
      <c r="Q4" s="0" t="n">
        <v>3140609</v>
      </c>
      <c r="R4" s="0" t="n">
        <v>199568</v>
      </c>
      <c r="S4" s="0" t="n">
        <v>514963</v>
      </c>
      <c r="T4" s="0" t="n">
        <v>521434.94</v>
      </c>
      <c r="U4" s="0" t="n">
        <v>116886</v>
      </c>
      <c r="AA4" s="0" t="s">
        <v>67</v>
      </c>
      <c r="AB4" s="0" t="s">
        <v>14</v>
      </c>
      <c r="AC4" s="0" t="n">
        <v>430534</v>
      </c>
      <c r="AD4" s="0" t="n">
        <v>44019</v>
      </c>
    </row>
    <row r="5" customFormat="false" ht="15" hidden="false" customHeight="false" outlineLevel="0" collapsed="false">
      <c r="A5" s="0" t="s">
        <v>70</v>
      </c>
      <c r="B5" s="0" t="n">
        <v>4158199</v>
      </c>
      <c r="C5" s="0" t="n">
        <v>-1784343</v>
      </c>
      <c r="D5" s="0" t="n">
        <v>2373856</v>
      </c>
      <c r="E5" s="0" t="n">
        <v>57.1</v>
      </c>
      <c r="I5" s="0" t="n">
        <v>1486509</v>
      </c>
      <c r="J5" s="0" t="n">
        <v>35.7</v>
      </c>
      <c r="K5" s="0" t="n">
        <v>2.79</v>
      </c>
      <c r="L5" s="0" t="n">
        <v>122859</v>
      </c>
      <c r="M5" s="0" t="n">
        <v>218472</v>
      </c>
      <c r="N5" s="0" t="n">
        <v>-95613</v>
      </c>
      <c r="O5" s="0" t="n">
        <v>4185866</v>
      </c>
      <c r="P5" s="0" t="n">
        <v>7382383</v>
      </c>
      <c r="Q5" s="0" t="n">
        <v>3097158</v>
      </c>
      <c r="R5" s="0" t="n">
        <v>34369</v>
      </c>
      <c r="S5" s="0" t="n">
        <v>375952</v>
      </c>
      <c r="T5" s="0" t="n">
        <v>533155.134</v>
      </c>
      <c r="U5" s="0" t="n">
        <v>18634</v>
      </c>
      <c r="AA5" s="0" t="s">
        <v>67</v>
      </c>
      <c r="AB5" s="0" t="s">
        <v>14</v>
      </c>
      <c r="AC5" s="0" t="n">
        <v>2892876</v>
      </c>
      <c r="AD5" s="0" t="n">
        <v>1560235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7.985</v>
      </c>
    </row>
    <row r="3" customFormat="false" ht="15" hidden="false" customHeight="false" outlineLevel="0" collapsed="false">
      <c r="A3" s="0" t="s">
        <v>74</v>
      </c>
      <c r="B3" s="3" t="n">
        <v>518.173</v>
      </c>
    </row>
    <row r="4" customFormat="false" ht="15" hidden="false" customHeight="false" outlineLevel="0" collapsed="false">
      <c r="A4" s="0" t="s">
        <v>75</v>
      </c>
      <c r="B4" s="3" t="n">
        <v>-273.6</v>
      </c>
    </row>
    <row r="5" customFormat="false" ht="15" hidden="false" customHeight="false" outlineLevel="0" collapsed="false">
      <c r="A5" s="0" t="s">
        <v>76</v>
      </c>
      <c r="B5" s="3" t="n">
        <v>1672.7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4158.199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1.1754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-10</v>
      </c>
      <c r="D13" s="3" t="n">
        <v>-12</v>
      </c>
      <c r="E13" s="3" t="n">
        <v>-10</v>
      </c>
      <c r="F13" s="3" t="n">
        <v>-8</v>
      </c>
      <c r="G13" s="3" t="n">
        <v>-6</v>
      </c>
      <c r="H13" s="3" t="n">
        <v>-5</v>
      </c>
      <c r="I13" s="3" t="n">
        <v>-4</v>
      </c>
      <c r="J13" s="3" t="n">
        <v>-3</v>
      </c>
      <c r="K13" s="3" t="n">
        <v>-2</v>
      </c>
      <c r="L13" s="3" t="n">
        <v>-2</v>
      </c>
    </row>
    <row r="14" customFormat="false" ht="15" hidden="false" customHeight="false" outlineLevel="0" collapsed="false">
      <c r="A14" s="0" t="s">
        <v>95</v>
      </c>
      <c r="C14" s="3" t="n">
        <v>3</v>
      </c>
      <c r="D14" s="3" t="n">
        <v>2</v>
      </c>
      <c r="E14" s="3" t="n">
        <v>2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</row>
    <row r="15" customFormat="false" ht="15" hidden="false" customHeight="false" outlineLevel="0" collapsed="false">
      <c r="A15" s="0" t="s">
        <v>96</v>
      </c>
      <c r="C15" s="3" t="n">
        <v>0.1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97</v>
      </c>
      <c r="C16" s="3" t="n">
        <v>0.3</v>
      </c>
      <c r="D16" s="3" t="n">
        <v>0.3</v>
      </c>
      <c r="E16" s="3" t="n">
        <v>0.3</v>
      </c>
      <c r="F16" s="3" t="n">
        <v>0.3</v>
      </c>
      <c r="G16" s="3" t="n">
        <v>0.3</v>
      </c>
      <c r="H16" s="3" t="n">
        <v>0.3</v>
      </c>
      <c r="I16" s="3" t="n">
        <v>0.3</v>
      </c>
      <c r="J16" s="3" t="n">
        <v>0.3</v>
      </c>
      <c r="K16" s="3" t="n">
        <v>0.3</v>
      </c>
      <c r="L16" s="3" t="n">
        <v>0.3</v>
      </c>
    </row>
    <row r="17" customFormat="false" ht="15" hidden="false" customHeight="false" outlineLevel="0" collapsed="false">
      <c r="A17" s="0" t="s">
        <v>98</v>
      </c>
      <c r="C17" s="3" t="n">
        <v>0.9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</row>
    <row r="18" customFormat="false" ht="15" hidden="false" customHeight="false" outlineLevel="0" collapsed="false">
      <c r="A18" s="0" t="s">
        <v>99</v>
      </c>
      <c r="C18" s="3" t="n">
        <v>2</v>
      </c>
      <c r="D18" s="3" t="n">
        <v>1.5</v>
      </c>
      <c r="E18" s="3" t="n">
        <v>1.5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100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101</v>
      </c>
      <c r="B20" s="3" t="n">
        <v>10.5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10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-5</v>
      </c>
      <c r="D27" s="3" t="n">
        <v>-2</v>
      </c>
      <c r="E27" s="3" t="n">
        <v>1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95</v>
      </c>
      <c r="C28" s="3" t="n">
        <v>4</v>
      </c>
      <c r="D28" s="3" t="n">
        <v>5</v>
      </c>
      <c r="E28" s="3" t="n">
        <v>5.5</v>
      </c>
      <c r="F28" s="3" t="n">
        <v>6</v>
      </c>
      <c r="G28" s="3" t="n">
        <v>6</v>
      </c>
      <c r="H28" s="3" t="n">
        <v>6</v>
      </c>
      <c r="I28" s="3" t="n">
        <v>6</v>
      </c>
      <c r="J28" s="3" t="n">
        <v>6</v>
      </c>
      <c r="K28" s="3" t="n">
        <v>6</v>
      </c>
      <c r="L28" s="3" t="n">
        <v>6</v>
      </c>
    </row>
    <row r="29" customFormat="false" ht="15" hidden="false" customHeight="false" outlineLevel="0" collapsed="false">
      <c r="A29" s="0" t="s">
        <v>96</v>
      </c>
      <c r="C29" s="3" t="n">
        <v>0.1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97</v>
      </c>
      <c r="C30" s="3" t="n">
        <v>0.3</v>
      </c>
      <c r="D30" s="3" t="n">
        <v>0.3</v>
      </c>
      <c r="E30" s="3" t="n">
        <v>0.3</v>
      </c>
      <c r="F30" s="3" t="n">
        <v>0.3</v>
      </c>
      <c r="G30" s="3" t="n">
        <v>0.3</v>
      </c>
      <c r="H30" s="3" t="n">
        <v>0.3</v>
      </c>
      <c r="I30" s="3" t="n">
        <v>0.3</v>
      </c>
      <c r="J30" s="3" t="n">
        <v>0.3</v>
      </c>
      <c r="K30" s="3" t="n">
        <v>0.3</v>
      </c>
      <c r="L30" s="3" t="n">
        <v>0.3</v>
      </c>
    </row>
    <row r="31" customFormat="false" ht="15" hidden="false" customHeight="false" outlineLevel="0" collapsed="false">
      <c r="A31" s="0" t="s">
        <v>98</v>
      </c>
      <c r="C31" s="3" t="n">
        <v>0.9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</row>
    <row r="32" customFormat="false" ht="15" hidden="false" customHeight="false" outlineLevel="0" collapsed="false">
      <c r="A32" s="0" t="s">
        <v>99</v>
      </c>
      <c r="C32" s="3" t="n">
        <v>2</v>
      </c>
      <c r="D32" s="3" t="n">
        <v>1.5</v>
      </c>
      <c r="E32" s="3" t="n">
        <v>1.5</v>
      </c>
      <c r="F32" s="3" t="n">
        <v>1.2</v>
      </c>
      <c r="G32" s="3" t="n">
        <v>1.2</v>
      </c>
      <c r="H32" s="3" t="n">
        <v>1.2</v>
      </c>
      <c r="I32" s="3" t="n">
        <v>1.2</v>
      </c>
      <c r="J32" s="3" t="n">
        <v>1.2</v>
      </c>
      <c r="K32" s="3" t="n">
        <v>1.2</v>
      </c>
      <c r="L32" s="3" t="n">
        <v>1.2</v>
      </c>
    </row>
    <row r="33" customFormat="false" ht="15" hidden="false" customHeight="false" outlineLevel="0" collapsed="false">
      <c r="A33" s="0" t="s">
        <v>100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101</v>
      </c>
      <c r="B34" s="3" t="n">
        <v>10.5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12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0</v>
      </c>
      <c r="D41" s="3" t="n">
        <v>5</v>
      </c>
      <c r="E41" s="3" t="n">
        <v>8</v>
      </c>
      <c r="F41" s="3" t="n">
        <v>8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5</v>
      </c>
      <c r="D42" s="3" t="n">
        <v>7</v>
      </c>
      <c r="E42" s="3" t="n">
        <v>9</v>
      </c>
      <c r="F42" s="3" t="n">
        <v>10</v>
      </c>
      <c r="G42" s="3" t="n">
        <v>11</v>
      </c>
      <c r="H42" s="3" t="n">
        <v>12</v>
      </c>
      <c r="I42" s="3" t="n">
        <v>12</v>
      </c>
      <c r="J42" s="3" t="n">
        <v>12</v>
      </c>
      <c r="K42" s="3" t="n">
        <v>12</v>
      </c>
      <c r="L42" s="3" t="n">
        <v>12</v>
      </c>
    </row>
    <row r="43" customFormat="false" ht="15" hidden="false" customHeight="false" outlineLevel="0" collapsed="false">
      <c r="A43" s="0" t="s">
        <v>96</v>
      </c>
      <c r="C43" s="3" t="n">
        <v>0.1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97</v>
      </c>
      <c r="C44" s="3" t="n">
        <v>0.3</v>
      </c>
      <c r="D44" s="3" t="n">
        <v>0.3</v>
      </c>
      <c r="E44" s="3" t="n">
        <v>0.3</v>
      </c>
      <c r="F44" s="3" t="n">
        <v>0.3</v>
      </c>
      <c r="G44" s="3" t="n">
        <v>0.3</v>
      </c>
      <c r="H44" s="3" t="n">
        <v>0.3</v>
      </c>
      <c r="I44" s="3" t="n">
        <v>0.3</v>
      </c>
      <c r="J44" s="3" t="n">
        <v>0.3</v>
      </c>
      <c r="K44" s="3" t="n">
        <v>0.3</v>
      </c>
      <c r="L44" s="3" t="n">
        <v>0.3</v>
      </c>
    </row>
    <row r="45" customFormat="false" ht="15" hidden="false" customHeight="false" outlineLevel="0" collapsed="false">
      <c r="A45" s="0" t="s">
        <v>98</v>
      </c>
      <c r="C45" s="3" t="n">
        <v>0.9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</row>
    <row r="46" customFormat="false" ht="15" hidden="false" customHeight="false" outlineLevel="0" collapsed="false">
      <c r="A46" s="0" t="s">
        <v>99</v>
      </c>
      <c r="C46" s="3" t="n">
        <v>2</v>
      </c>
      <c r="D46" s="3" t="n">
        <v>1.5</v>
      </c>
      <c r="E46" s="3" t="n">
        <v>1.5</v>
      </c>
      <c r="F46" s="3" t="n">
        <v>1.2</v>
      </c>
      <c r="G46" s="3" t="n">
        <v>1.2</v>
      </c>
      <c r="H46" s="3" t="n">
        <v>1.2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100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101</v>
      </c>
      <c r="B48" s="3" t="n">
        <v>10.5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-10</v>
      </c>
      <c r="D5" s="4" t="n">
        <f aca="false">Assumptions!D13</f>
        <v>-12</v>
      </c>
      <c r="E5" s="4" t="n">
        <f aca="false">Assumptions!E13</f>
        <v>-10</v>
      </c>
      <c r="F5" s="4" t="n">
        <f aca="false">Assumptions!F13</f>
        <v>-8</v>
      </c>
      <c r="G5" s="4" t="n">
        <f aca="false">Assumptions!G13</f>
        <v>-6</v>
      </c>
      <c r="H5" s="4" t="n">
        <f aca="false">Assumptions!H13</f>
        <v>-5</v>
      </c>
      <c r="I5" s="4" t="n">
        <f aca="false">Assumptions!I13</f>
        <v>-4</v>
      </c>
      <c r="J5" s="4" t="n">
        <f aca="false">Assumptions!J13</f>
        <v>-3</v>
      </c>
      <c r="K5" s="4" t="n">
        <f aca="false">Assumptions!K13</f>
        <v>-2</v>
      </c>
      <c r="L5" s="4" t="n">
        <f aca="false">Assumptions!L13</f>
        <v>-2</v>
      </c>
    </row>
    <row r="6" customFormat="false" ht="15" hidden="false" customHeight="false" outlineLevel="0" collapsed="false">
      <c r="A6" s="0" t="s">
        <v>38</v>
      </c>
      <c r="B6" s="3" t="n">
        <v>4158.199</v>
      </c>
      <c r="C6" s="0" t="n">
        <f aca="false">B6*(1+C5/100)</f>
        <v>3742.3791</v>
      </c>
      <c r="D6" s="0" t="n">
        <f aca="false">C6*(1+D5/100)</f>
        <v>3293.293608</v>
      </c>
      <c r="E6" s="0" t="n">
        <f aca="false">D6*(1+E5/100)</f>
        <v>2963.9642472</v>
      </c>
      <c r="F6" s="0" t="n">
        <f aca="false">E6*(1+F5/100)</f>
        <v>2726.847107424</v>
      </c>
      <c r="G6" s="0" t="n">
        <f aca="false">F6*(1+G5/100)</f>
        <v>2563.23628097856</v>
      </c>
      <c r="H6" s="0" t="n">
        <f aca="false">G6*(1+H5/100)</f>
        <v>2435.07446692963</v>
      </c>
      <c r="I6" s="0" t="n">
        <f aca="false">H6*(1+I5/100)</f>
        <v>2337.67148825245</v>
      </c>
      <c r="J6" s="0" t="n">
        <f aca="false">I6*(1+J5/100)</f>
        <v>2267.54134360487</v>
      </c>
      <c r="K6" s="0" t="n">
        <f aca="false">J6*(1+K5/100)</f>
        <v>2222.19051673278</v>
      </c>
      <c r="L6" s="0" t="n">
        <f aca="false">K6*(1+L5/100)</f>
        <v>2177.74670639812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3</v>
      </c>
      <c r="D7" s="4" t="n">
        <f aca="false">Assumptions!D14</f>
        <v>2</v>
      </c>
      <c r="E7" s="4" t="n">
        <f aca="false">Assumptions!E14</f>
        <v>2</v>
      </c>
      <c r="F7" s="4" t="n">
        <f aca="false">Assumptions!F14</f>
        <v>2</v>
      </c>
      <c r="G7" s="4" t="n">
        <f aca="false">Assumptions!G14</f>
        <v>2</v>
      </c>
      <c r="H7" s="4" t="n">
        <f aca="false">Assumptions!H14</f>
        <v>2</v>
      </c>
      <c r="I7" s="4" t="n">
        <f aca="false">Assumptions!I14</f>
        <v>2</v>
      </c>
      <c r="J7" s="4" t="n">
        <f aca="false">Assumptions!J14</f>
        <v>2</v>
      </c>
      <c r="K7" s="4" t="n">
        <f aca="false">Assumptions!K14</f>
        <v>2</v>
      </c>
      <c r="L7" s="4" t="n">
        <f aca="false">Assumptions!L14</f>
        <v>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112.271373</v>
      </c>
      <c r="D8" s="0" t="n">
        <f aca="false">D6*D7/100</f>
        <v>65.86587216</v>
      </c>
      <c r="E8" s="0" t="n">
        <f aca="false">E6*E7/100</f>
        <v>59.279284944</v>
      </c>
      <c r="F8" s="0" t="n">
        <f aca="false">F6*F7/100</f>
        <v>54.53694214848</v>
      </c>
      <c r="G8" s="0" t="n">
        <f aca="false">G6*G7/100</f>
        <v>51.2647256195712</v>
      </c>
      <c r="H8" s="0" t="n">
        <f aca="false">H6*H7/100</f>
        <v>48.7014893385926</v>
      </c>
      <c r="I8" s="0" t="n">
        <f aca="false">I6*I7/100</f>
        <v>46.7534297650489</v>
      </c>
      <c r="J8" s="0" t="n">
        <f aca="false">J6*J7/100</f>
        <v>45.3508268720975</v>
      </c>
      <c r="K8" s="0" t="n">
        <f aca="false">K6*K7/100</f>
        <v>44.4438103346555</v>
      </c>
      <c r="L8" s="0" t="n">
        <f aca="false">L6*L7/100</f>
        <v>43.5549341279624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0.1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-3.7423791</v>
      </c>
      <c r="D10" s="0" t="n">
        <f aca="false">-D6*D9/100</f>
        <v>-9.879880824</v>
      </c>
      <c r="E10" s="0" t="n">
        <f aca="false">-E6*E9/100</f>
        <v>-8.8918927416</v>
      </c>
      <c r="F10" s="0" t="n">
        <f aca="false">-F6*F9/100</f>
        <v>-8.180541322272</v>
      </c>
      <c r="G10" s="0" t="n">
        <f aca="false">-G6*G9/100</f>
        <v>-7.68970884293568</v>
      </c>
      <c r="H10" s="0" t="n">
        <f aca="false">-H6*H9/100</f>
        <v>-7.30522340078889</v>
      </c>
      <c r="I10" s="0" t="n">
        <f aca="false">-I6*I9/100</f>
        <v>-7.01301446475734</v>
      </c>
      <c r="J10" s="0" t="n">
        <f aca="false">-J6*J9/100</f>
        <v>-6.80262403081462</v>
      </c>
      <c r="K10" s="0" t="n">
        <f aca="false">-K6*K9/100</f>
        <v>-6.66657155019832</v>
      </c>
      <c r="L10" s="0" t="n">
        <f aca="false">-L6*L9/100</f>
        <v>-6.53324011919436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97.3018566</v>
      </c>
      <c r="D11" s="0" t="n">
        <f aca="false">D8+D10+D24</f>
        <v>46.106110512</v>
      </c>
      <c r="E11" s="0" t="n">
        <f aca="false">E8+E10+E24</f>
        <v>41.4954994608</v>
      </c>
      <c r="F11" s="0" t="n">
        <f aca="false">F8+F10+F24</f>
        <v>38.175859503936</v>
      </c>
      <c r="G11" s="0" t="n">
        <f aca="false">G8+G10+G24</f>
        <v>35.8853079336998</v>
      </c>
      <c r="H11" s="0" t="n">
        <f aca="false">H8+H10+H24</f>
        <v>34.0910425370148</v>
      </c>
      <c r="I11" s="0" t="n">
        <f aca="false">I8+I10+I24</f>
        <v>32.7274008355342</v>
      </c>
      <c r="J11" s="0" t="n">
        <f aca="false">J8+J10+J24</f>
        <v>31.7455788104682</v>
      </c>
      <c r="K11" s="0" t="n">
        <f aca="false">K8+K10+K24</f>
        <v>31.1106672342589</v>
      </c>
      <c r="L11" s="0" t="n">
        <f aca="false">L8+L10+L24</f>
        <v>30.4884538895737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-33.6814119</v>
      </c>
      <c r="D12" s="4" t="n">
        <f aca="false">-D6*Assumptions!D17/100</f>
        <v>-32.93293608</v>
      </c>
      <c r="E12" s="4" t="n">
        <f aca="false">-E6*Assumptions!E17/100</f>
        <v>-29.639642472</v>
      </c>
      <c r="F12" s="4" t="n">
        <f aca="false">-F6*Assumptions!F17/100</f>
        <v>-27.26847107424</v>
      </c>
      <c r="G12" s="4" t="n">
        <f aca="false">-G6*Assumptions!G17/100</f>
        <v>-25.6323628097856</v>
      </c>
      <c r="H12" s="4" t="n">
        <f aca="false">-H6*Assumptions!H17/100</f>
        <v>-24.3507446692963</v>
      </c>
      <c r="I12" s="4" t="n">
        <f aca="false">-I6*Assumptions!I17/100</f>
        <v>-23.3767148825245</v>
      </c>
      <c r="J12" s="4" t="n">
        <f aca="false">-J6*Assumptions!J17/100</f>
        <v>-22.6754134360487</v>
      </c>
      <c r="K12" s="4" t="n">
        <f aca="false">-K6*Assumptions!K17/100</f>
        <v>-22.2219051673278</v>
      </c>
      <c r="L12" s="4" t="n">
        <f aca="false">-L6*Assumptions!L17/100</f>
        <v>-21.7774670639812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63.6204447</v>
      </c>
      <c r="D13" s="0" t="n">
        <f aca="false">D11+D12</f>
        <v>13.173174432</v>
      </c>
      <c r="E13" s="0" t="n">
        <f aca="false">E11+E12</f>
        <v>11.8558569888</v>
      </c>
      <c r="F13" s="0" t="n">
        <f aca="false">F11+F12</f>
        <v>10.907388429696</v>
      </c>
      <c r="G13" s="0" t="n">
        <f aca="false">G11+G12</f>
        <v>10.2529451239142</v>
      </c>
      <c r="H13" s="0" t="n">
        <f aca="false">H11+H12</f>
        <v>9.74029786771852</v>
      </c>
      <c r="I13" s="0" t="n">
        <f aca="false">I11+I12</f>
        <v>9.35068595300978</v>
      </c>
      <c r="J13" s="0" t="n">
        <f aca="false">J11+J12</f>
        <v>9.07016537441949</v>
      </c>
      <c r="K13" s="0" t="n">
        <f aca="false">K11+K12</f>
        <v>8.8887620669311</v>
      </c>
      <c r="L13" s="0" t="n">
        <f aca="false">L11+L12</f>
        <v>8.71098682559248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50.89635576</v>
      </c>
      <c r="D15" s="0" t="n">
        <f aca="false">D13-MAX(0,D13)*D14/100</f>
        <v>10.5385395456</v>
      </c>
      <c r="E15" s="0" t="n">
        <f aca="false">E13-MAX(0,E13)*E14/100</f>
        <v>9.48468559104</v>
      </c>
      <c r="F15" s="0" t="n">
        <f aca="false">F13-MAX(0,F13)*F14/100</f>
        <v>8.7259107437568</v>
      </c>
      <c r="G15" s="0" t="n">
        <f aca="false">G13-MAX(0,G13)*G14/100</f>
        <v>8.20235609913139</v>
      </c>
      <c r="H15" s="0" t="n">
        <f aca="false">H13-MAX(0,H13)*H14/100</f>
        <v>7.79223829417482</v>
      </c>
      <c r="I15" s="0" t="n">
        <f aca="false">I13-MAX(0,I13)*I14/100</f>
        <v>7.48054876240782</v>
      </c>
      <c r="J15" s="0" t="n">
        <f aca="false">J13-MAX(0,J13)*J14/100</f>
        <v>7.25613229953559</v>
      </c>
      <c r="K15" s="0" t="n">
        <f aca="false">K13-MAX(0,K13)*K14/100</f>
        <v>7.11100965354488</v>
      </c>
      <c r="L15" s="0" t="n">
        <f aca="false">L13-MAX(0,L13)*L14/100</f>
        <v>6.96878946047398</v>
      </c>
    </row>
    <row r="16" customFormat="false" ht="15" hidden="false" customHeight="false" outlineLevel="0" collapsed="false">
      <c r="A16" s="0" t="s">
        <v>116</v>
      </c>
      <c r="C16" s="0" t="n">
        <f aca="false">-C12</f>
        <v>33.6814119</v>
      </c>
      <c r="D16" s="0" t="n">
        <f aca="false">-D12</f>
        <v>32.93293608</v>
      </c>
      <c r="E16" s="0" t="n">
        <f aca="false">-E12</f>
        <v>29.639642472</v>
      </c>
      <c r="F16" s="0" t="n">
        <f aca="false">-F12</f>
        <v>27.26847107424</v>
      </c>
      <c r="G16" s="0" t="n">
        <f aca="false">-G12</f>
        <v>25.6323628097856</v>
      </c>
      <c r="H16" s="0" t="n">
        <f aca="false">-H12</f>
        <v>24.3507446692963</v>
      </c>
      <c r="I16" s="0" t="n">
        <f aca="false">-I12</f>
        <v>23.3767148825245</v>
      </c>
      <c r="J16" s="0" t="n">
        <f aca="false">-J12</f>
        <v>22.6754134360487</v>
      </c>
      <c r="K16" s="0" t="n">
        <f aca="false">-K12</f>
        <v>22.2219051673278</v>
      </c>
      <c r="L16" s="0" t="n">
        <f aca="false">-L12</f>
        <v>21.7774670639812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-74.847582</v>
      </c>
      <c r="D17" s="4" t="n">
        <f aca="false">-D6*Assumptions!D18/100</f>
        <v>-49.39940412</v>
      </c>
      <c r="E17" s="4" t="n">
        <f aca="false">-E6*Assumptions!E18/100</f>
        <v>-44.459463708</v>
      </c>
      <c r="F17" s="4" t="n">
        <f aca="false">-F6*Assumptions!F18/100</f>
        <v>-32.722165289088</v>
      </c>
      <c r="G17" s="4" t="n">
        <f aca="false">-G6*Assumptions!G18/100</f>
        <v>-30.7588353717427</v>
      </c>
      <c r="H17" s="4" t="n">
        <f aca="false">-H6*Assumptions!H18/100</f>
        <v>-29.2208936031556</v>
      </c>
      <c r="I17" s="4" t="n">
        <f aca="false">-I6*Assumptions!I18/100</f>
        <v>-28.0520578590294</v>
      </c>
      <c r="J17" s="4" t="n">
        <f aca="false">-J6*Assumptions!J18/100</f>
        <v>-27.2104961232585</v>
      </c>
      <c r="K17" s="4" t="n">
        <f aca="false">-K6*Assumptions!K18/100</f>
        <v>-26.6662862007933</v>
      </c>
      <c r="L17" s="4" t="n">
        <f aca="false">-L6*Assumptions!L18/100</f>
        <v>-26.1329604767774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9.73018566</v>
      </c>
      <c r="D19" s="0" t="n">
        <f aca="false">D15+D16+D17+D18</f>
        <v>-5.92792849439999</v>
      </c>
      <c r="E19" s="0" t="n">
        <f aca="false">E15+E16+E17+E18</f>
        <v>-5.33513564496</v>
      </c>
      <c r="F19" s="0" t="n">
        <f aca="false">F15+F16+F17+F18</f>
        <v>3.2722165289088</v>
      </c>
      <c r="G19" s="0" t="n">
        <f aca="false">G15+G16+G17+G18</f>
        <v>3.07588353717427</v>
      </c>
      <c r="H19" s="0" t="n">
        <f aca="false">H15+H16+H17+H18</f>
        <v>2.92208936031556</v>
      </c>
      <c r="I19" s="0" t="n">
        <f aca="false">I15+I16+I17+I18</f>
        <v>2.80520578590293</v>
      </c>
      <c r="J19" s="0" t="n">
        <f aca="false">J15+J16+J17+J18</f>
        <v>2.72104961232585</v>
      </c>
      <c r="K19" s="0" t="n">
        <f aca="false">K15+K16+K17+K18</f>
        <v>2.66662862007933</v>
      </c>
      <c r="L19" s="0" t="n">
        <f aca="false">L15+L16+L17+L18</f>
        <v>2.61329604767775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8.80559788235295</v>
      </c>
      <c r="D21" s="0" t="n">
        <f aca="false">D19*D20</f>
        <v>-4.85487888814725</v>
      </c>
      <c r="E21" s="0" t="n">
        <f aca="false">E19*E20</f>
        <v>-3.95419999939595</v>
      </c>
      <c r="F21" s="0" t="n">
        <f aca="false">F19*F20</f>
        <v>2.19478974325447</v>
      </c>
      <c r="G21" s="0" t="n">
        <f aca="false">G19*G20</f>
        <v>1.86706095806262</v>
      </c>
      <c r="H21" s="0" t="n">
        <f aca="false">H19*H20</f>
        <v>1.6051655295561</v>
      </c>
      <c r="I21" s="0" t="n">
        <f aca="false">I19*I20</f>
        <v>1.39453294875462</v>
      </c>
      <c r="J21" s="0" t="n">
        <f aca="false">J19*J20</f>
        <v>1.22416014506062</v>
      </c>
      <c r="K21" s="0" t="n">
        <f aca="false">K19*K20</f>
        <v>1.085680490642</v>
      </c>
      <c r="L21" s="0" t="n">
        <f aca="false">L19*L20</f>
        <v>0.962865955501499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0.3</v>
      </c>
      <c r="D23" s="4" t="n">
        <f aca="false">Assumptions!D16</f>
        <v>0.3</v>
      </c>
      <c r="E23" s="4" t="n">
        <f aca="false">Assumptions!E16</f>
        <v>0.3</v>
      </c>
      <c r="F23" s="4" t="n">
        <f aca="false">Assumptions!F16</f>
        <v>0.3</v>
      </c>
      <c r="G23" s="4" t="n">
        <f aca="false">Assumptions!G16</f>
        <v>0.3</v>
      </c>
      <c r="H23" s="4" t="n">
        <f aca="false">Assumptions!H16</f>
        <v>0.3</v>
      </c>
      <c r="I23" s="4" t="n">
        <f aca="false">Assumptions!I16</f>
        <v>0.3</v>
      </c>
      <c r="J23" s="4" t="n">
        <f aca="false">Assumptions!J16</f>
        <v>0.3</v>
      </c>
      <c r="K23" s="4" t="n">
        <f aca="false">Assumptions!K16</f>
        <v>0.3</v>
      </c>
      <c r="L23" s="4" t="n">
        <f aca="false">Assumptions!L16</f>
        <v>0.3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-11.2271373</v>
      </c>
      <c r="D24" s="0" t="n">
        <f aca="false">-D6*D23/100</f>
        <v>-9.879880824</v>
      </c>
      <c r="E24" s="0" t="n">
        <f aca="false">-E6*E23/100</f>
        <v>-8.8918927416</v>
      </c>
      <c r="F24" s="0" t="n">
        <f aca="false">-F6*F23/100</f>
        <v>-8.180541322272</v>
      </c>
      <c r="G24" s="0" t="n">
        <f aca="false">-G6*G23/100</f>
        <v>-7.68970884293568</v>
      </c>
      <c r="H24" s="0" t="n">
        <f aca="false">-H6*H23/100</f>
        <v>-7.30522340078889</v>
      </c>
      <c r="I24" s="0" t="n">
        <f aca="false">-I6*I23/100</f>
        <v>-7.01301446475734</v>
      </c>
      <c r="J24" s="0" t="n">
        <f aca="false">-J6*J23/100</f>
        <v>-6.80262403081462</v>
      </c>
      <c r="K24" s="0" t="n">
        <f aca="false">-K6*K23/100</f>
        <v>-6.66657155019832</v>
      </c>
      <c r="L24" s="0" t="n">
        <f aca="false">-L6*L23/100</f>
        <v>-6.53324011919436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10.3307747656417</v>
      </c>
    </row>
    <row r="31" customFormat="false" ht="15" hidden="false" customHeight="false" outlineLevel="0" collapsed="false">
      <c r="A31" s="0" t="s">
        <v>125</v>
      </c>
      <c r="B31" s="0" t="n">
        <f aca="false">L19</f>
        <v>2.61329604767775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31.359552572133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26.1329604767775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26.1329604767775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9.628659555015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19.9594343206567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1966.25943432066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4.46017322226457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-0.441431030398927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43.9042059892747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28.885978665045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4.6252871572683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20.5043228356254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4.445635773701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-5</v>
      </c>
      <c r="D5" s="4" t="n">
        <f aca="false">Assumptions!D27</f>
        <v>-2</v>
      </c>
      <c r="E5" s="4" t="n">
        <f aca="false">Assumptions!E27</f>
        <v>1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4158.199</v>
      </c>
      <c r="C6" s="0" t="n">
        <f aca="false">B6*(1+C5/100)</f>
        <v>3950.28905</v>
      </c>
      <c r="D6" s="0" t="n">
        <f aca="false">C6*(1+D5/100)</f>
        <v>3871.283269</v>
      </c>
      <c r="E6" s="0" t="n">
        <f aca="false">D6*(1+E5/100)</f>
        <v>3909.99610169</v>
      </c>
      <c r="F6" s="0" t="n">
        <f aca="false">E6*(1+F5/100)</f>
        <v>3988.1960237238</v>
      </c>
      <c r="G6" s="0" t="n">
        <f aca="false">F6*(1+G5/100)</f>
        <v>4067.95994419828</v>
      </c>
      <c r="H6" s="0" t="n">
        <f aca="false">G6*(1+H5/100)</f>
        <v>4149.31914308224</v>
      </c>
      <c r="I6" s="0" t="n">
        <f aca="false">H6*(1+I5/100)</f>
        <v>4232.30552594389</v>
      </c>
      <c r="J6" s="0" t="n">
        <f aca="false">I6*(1+J5/100)</f>
        <v>4316.95163646277</v>
      </c>
      <c r="K6" s="0" t="n">
        <f aca="false">J6*(1+K5/100)</f>
        <v>4403.29066919202</v>
      </c>
      <c r="L6" s="0" t="n">
        <f aca="false">K6*(1+L5/100)</f>
        <v>4491.35648257586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4</v>
      </c>
      <c r="D7" s="4" t="n">
        <f aca="false">Assumptions!D28</f>
        <v>5</v>
      </c>
      <c r="E7" s="4" t="n">
        <f aca="false">Assumptions!E28</f>
        <v>5.5</v>
      </c>
      <c r="F7" s="4" t="n">
        <f aca="false">Assumptions!F28</f>
        <v>6</v>
      </c>
      <c r="G7" s="4" t="n">
        <f aca="false">Assumptions!G28</f>
        <v>6</v>
      </c>
      <c r="H7" s="4" t="n">
        <f aca="false">Assumptions!H28</f>
        <v>6</v>
      </c>
      <c r="I7" s="4" t="n">
        <f aca="false">Assumptions!I28</f>
        <v>6</v>
      </c>
      <c r="J7" s="4" t="n">
        <f aca="false">Assumptions!J28</f>
        <v>6</v>
      </c>
      <c r="K7" s="4" t="n">
        <f aca="false">Assumptions!K28</f>
        <v>6</v>
      </c>
      <c r="L7" s="4" t="n">
        <f aca="false">Assumptions!L28</f>
        <v>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158.011562</v>
      </c>
      <c r="D8" s="0" t="n">
        <f aca="false">D6*D7/100</f>
        <v>193.56416345</v>
      </c>
      <c r="E8" s="0" t="n">
        <f aca="false">E6*E7/100</f>
        <v>215.04978559295</v>
      </c>
      <c r="F8" s="0" t="n">
        <f aca="false">F6*F7/100</f>
        <v>239.291761423428</v>
      </c>
      <c r="G8" s="0" t="n">
        <f aca="false">G6*G7/100</f>
        <v>244.077596651897</v>
      </c>
      <c r="H8" s="0" t="n">
        <f aca="false">H6*H7/100</f>
        <v>248.959148584935</v>
      </c>
      <c r="I8" s="0" t="n">
        <f aca="false">I6*I7/100</f>
        <v>253.938331556633</v>
      </c>
      <c r="J8" s="0" t="n">
        <f aca="false">J6*J7/100</f>
        <v>259.017098187766</v>
      </c>
      <c r="K8" s="0" t="n">
        <f aca="false">K6*K7/100</f>
        <v>264.197440151521</v>
      </c>
      <c r="L8" s="0" t="n">
        <f aca="false">L6*L7/100</f>
        <v>269.481388954552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0.1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-3.95028905</v>
      </c>
      <c r="D10" s="0" t="n">
        <f aca="false">-D6*D9/100</f>
        <v>-11.613849807</v>
      </c>
      <c r="E10" s="0" t="n">
        <f aca="false">-E6*E9/100</f>
        <v>-11.72998830507</v>
      </c>
      <c r="F10" s="0" t="n">
        <f aca="false">-F6*F9/100</f>
        <v>-11.9645880711714</v>
      </c>
      <c r="G10" s="0" t="n">
        <f aca="false">-G6*G9/100</f>
        <v>-12.2038798325948</v>
      </c>
      <c r="H10" s="0" t="n">
        <f aca="false">-H6*H9/100</f>
        <v>-12.4479574292467</v>
      </c>
      <c r="I10" s="0" t="n">
        <f aca="false">-I6*I9/100</f>
        <v>-12.6969165778317</v>
      </c>
      <c r="J10" s="0" t="n">
        <f aca="false">-J6*J9/100</f>
        <v>-12.9508549093883</v>
      </c>
      <c r="K10" s="0" t="n">
        <f aca="false">-K6*K9/100</f>
        <v>-13.2098720075761</v>
      </c>
      <c r="L10" s="0" t="n">
        <f aca="false">-L6*L9/100</f>
        <v>-13.4740694477276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142.2104058</v>
      </c>
      <c r="D11" s="0" t="n">
        <f aca="false">D8+D10+D24</f>
        <v>170.336463836</v>
      </c>
      <c r="E11" s="0" t="n">
        <f aca="false">E8+E10+E24</f>
        <v>191.58980898281</v>
      </c>
      <c r="F11" s="0" t="n">
        <f aca="false">F8+F10+F24</f>
        <v>215.362585281085</v>
      </c>
      <c r="G11" s="0" t="n">
        <f aca="false">G8+G10+G24</f>
        <v>219.669836986707</v>
      </c>
      <c r="H11" s="0" t="n">
        <f aca="false">H8+H10+H24</f>
        <v>224.063233726441</v>
      </c>
      <c r="I11" s="0" t="n">
        <f aca="false">I8+I10+I24</f>
        <v>228.54449840097</v>
      </c>
      <c r="J11" s="0" t="n">
        <f aca="false">J8+J10+J24</f>
        <v>233.115388368989</v>
      </c>
      <c r="K11" s="0" t="n">
        <f aca="false">K8+K10+K24</f>
        <v>237.777696136369</v>
      </c>
      <c r="L11" s="0" t="n">
        <f aca="false">L8+L10+L24</f>
        <v>242.533250059097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-35.55260145</v>
      </c>
      <c r="D12" s="4" t="n">
        <f aca="false">-D6*Assumptions!D31/100</f>
        <v>-38.71283269</v>
      </c>
      <c r="E12" s="4" t="n">
        <f aca="false">-E6*Assumptions!E31/100</f>
        <v>-39.0999610169</v>
      </c>
      <c r="F12" s="4" t="n">
        <f aca="false">-F6*Assumptions!F31/100</f>
        <v>-39.881960237238</v>
      </c>
      <c r="G12" s="4" t="n">
        <f aca="false">-G6*Assumptions!G31/100</f>
        <v>-40.6795994419828</v>
      </c>
      <c r="H12" s="4" t="n">
        <f aca="false">-H6*Assumptions!H31/100</f>
        <v>-41.4931914308224</v>
      </c>
      <c r="I12" s="4" t="n">
        <f aca="false">-I6*Assumptions!I31/100</f>
        <v>-42.3230552594389</v>
      </c>
      <c r="J12" s="4" t="n">
        <f aca="false">-J6*Assumptions!J31/100</f>
        <v>-43.1695163646277</v>
      </c>
      <c r="K12" s="4" t="n">
        <f aca="false">-K6*Assumptions!K31/100</f>
        <v>-44.0329066919202</v>
      </c>
      <c r="L12" s="4" t="n">
        <f aca="false">-L6*Assumptions!L31/100</f>
        <v>-44.9135648257586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106.65780435</v>
      </c>
      <c r="D13" s="0" t="n">
        <f aca="false">D11+D12</f>
        <v>131.623631146</v>
      </c>
      <c r="E13" s="0" t="n">
        <f aca="false">E11+E12</f>
        <v>152.48984796591</v>
      </c>
      <c r="F13" s="0" t="n">
        <f aca="false">F11+F12</f>
        <v>175.480625043847</v>
      </c>
      <c r="G13" s="0" t="n">
        <f aca="false">G11+G12</f>
        <v>178.990237544724</v>
      </c>
      <c r="H13" s="0" t="n">
        <f aca="false">H11+H12</f>
        <v>182.570042295619</v>
      </c>
      <c r="I13" s="0" t="n">
        <f aca="false">I11+I12</f>
        <v>186.221443141531</v>
      </c>
      <c r="J13" s="0" t="n">
        <f aca="false">J11+J12</f>
        <v>189.945872004362</v>
      </c>
      <c r="K13" s="0" t="n">
        <f aca="false">K11+K12</f>
        <v>193.744789444449</v>
      </c>
      <c r="L13" s="0" t="n">
        <f aca="false">L11+L12</f>
        <v>197.619685233338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85.32624348</v>
      </c>
      <c r="D15" s="0" t="n">
        <f aca="false">D13-MAX(0,D13)*D14/100</f>
        <v>105.2989049168</v>
      </c>
      <c r="E15" s="0" t="n">
        <f aca="false">E13-MAX(0,E13)*E14/100</f>
        <v>121.991878372728</v>
      </c>
      <c r="F15" s="0" t="n">
        <f aca="false">F13-MAX(0,F13)*F14/100</f>
        <v>140.384500035078</v>
      </c>
      <c r="G15" s="0" t="n">
        <f aca="false">G13-MAX(0,G13)*G14/100</f>
        <v>143.192190035779</v>
      </c>
      <c r="H15" s="0" t="n">
        <f aca="false">H13-MAX(0,H13)*H14/100</f>
        <v>146.056033836495</v>
      </c>
      <c r="I15" s="0" t="n">
        <f aca="false">I13-MAX(0,I13)*I14/100</f>
        <v>148.977154513225</v>
      </c>
      <c r="J15" s="0" t="n">
        <f aca="false">J13-MAX(0,J13)*J14/100</f>
        <v>151.956697603489</v>
      </c>
      <c r="K15" s="0" t="n">
        <f aca="false">K13-MAX(0,K13)*K14/100</f>
        <v>154.995831555559</v>
      </c>
      <c r="L15" s="0" t="n">
        <f aca="false">L13-MAX(0,L13)*L14/100</f>
        <v>158.09574818667</v>
      </c>
    </row>
    <row r="16" customFormat="false" ht="15" hidden="false" customHeight="false" outlineLevel="0" collapsed="false">
      <c r="A16" s="0" t="s">
        <v>116</v>
      </c>
      <c r="C16" s="0" t="n">
        <f aca="false">-C12</f>
        <v>35.55260145</v>
      </c>
      <c r="D16" s="0" t="n">
        <f aca="false">-D12</f>
        <v>38.71283269</v>
      </c>
      <c r="E16" s="0" t="n">
        <f aca="false">-E12</f>
        <v>39.0999610169</v>
      </c>
      <c r="F16" s="0" t="n">
        <f aca="false">-F12</f>
        <v>39.881960237238</v>
      </c>
      <c r="G16" s="0" t="n">
        <f aca="false">-G12</f>
        <v>40.6795994419828</v>
      </c>
      <c r="H16" s="0" t="n">
        <f aca="false">-H12</f>
        <v>41.4931914308224</v>
      </c>
      <c r="I16" s="0" t="n">
        <f aca="false">-I12</f>
        <v>42.3230552594389</v>
      </c>
      <c r="J16" s="0" t="n">
        <f aca="false">-J12</f>
        <v>43.1695163646277</v>
      </c>
      <c r="K16" s="0" t="n">
        <f aca="false">-K12</f>
        <v>44.0329066919202</v>
      </c>
      <c r="L16" s="0" t="n">
        <f aca="false">-L12</f>
        <v>44.9135648257586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-79.005781</v>
      </c>
      <c r="D17" s="4" t="n">
        <f aca="false">-D6*Assumptions!D32/100</f>
        <v>-58.069249035</v>
      </c>
      <c r="E17" s="4" t="n">
        <f aca="false">-E6*Assumptions!E32/100</f>
        <v>-58.64994152535</v>
      </c>
      <c r="F17" s="4" t="n">
        <f aca="false">-F6*Assumptions!F32/100</f>
        <v>-47.8583522846856</v>
      </c>
      <c r="G17" s="4" t="n">
        <f aca="false">-G6*Assumptions!G32/100</f>
        <v>-48.8155193303793</v>
      </c>
      <c r="H17" s="4" t="n">
        <f aca="false">-H6*Assumptions!H32/100</f>
        <v>-49.7918297169869</v>
      </c>
      <c r="I17" s="4" t="n">
        <f aca="false">-I6*Assumptions!I32/100</f>
        <v>-50.7876663113266</v>
      </c>
      <c r="J17" s="4" t="n">
        <f aca="false">-J6*Assumptions!J32/100</f>
        <v>-51.8034196375532</v>
      </c>
      <c r="K17" s="4" t="n">
        <f aca="false">-K6*Assumptions!K32/100</f>
        <v>-52.8394880303042</v>
      </c>
      <c r="L17" s="4" t="n">
        <f aca="false">-L6*Assumptions!L32/100</f>
        <v>-53.8962777909103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41.87306393</v>
      </c>
      <c r="D19" s="0" t="n">
        <f aca="false">D15+D16+D17+D18</f>
        <v>85.9424885718</v>
      </c>
      <c r="E19" s="0" t="n">
        <f aca="false">E15+E16+E17+E18</f>
        <v>102.441897864278</v>
      </c>
      <c r="F19" s="0" t="n">
        <f aca="false">F15+F16+F17+F18</f>
        <v>132.40810798763</v>
      </c>
      <c r="G19" s="0" t="n">
        <f aca="false">G15+G16+G17+G18</f>
        <v>135.056270147383</v>
      </c>
      <c r="H19" s="0" t="n">
        <f aca="false">H15+H16+H17+H18</f>
        <v>137.75739555033</v>
      </c>
      <c r="I19" s="0" t="n">
        <f aca="false">I15+I16+I17+I18</f>
        <v>140.512543461337</v>
      </c>
      <c r="J19" s="0" t="n">
        <f aca="false">J15+J16+J17+J18</f>
        <v>143.322794330564</v>
      </c>
      <c r="K19" s="0" t="n">
        <f aca="false">K15+K16+K17+K18</f>
        <v>146.189250217175</v>
      </c>
      <c r="L19" s="0" t="n">
        <f aca="false">L15+L16+L17+L18</f>
        <v>149.113035221519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37.8941755022624</v>
      </c>
      <c r="D21" s="0" t="n">
        <f aca="false">D19*D20</f>
        <v>70.3855273821584</v>
      </c>
      <c r="E21" s="0" t="n">
        <f aca="false">E19*E20</f>
        <v>75.9260456396672</v>
      </c>
      <c r="F21" s="0" t="n">
        <f aca="false">F19*F20</f>
        <v>88.8107357100512</v>
      </c>
      <c r="G21" s="0" t="n">
        <f aca="false">G19*G20</f>
        <v>81.9791406554318</v>
      </c>
      <c r="H21" s="0" t="n">
        <f aca="false">H19*H20</f>
        <v>75.6730529127063</v>
      </c>
      <c r="I21" s="0" t="n">
        <f aca="false">I19*I20</f>
        <v>69.8520488424981</v>
      </c>
      <c r="J21" s="0" t="n">
        <f aca="false">J19*J20</f>
        <v>64.4788143161521</v>
      </c>
      <c r="K21" s="0" t="n">
        <f aca="false">K19*K20</f>
        <v>59.518905522602</v>
      </c>
      <c r="L21" s="0" t="n">
        <f aca="false">L19*L20</f>
        <v>54.9405281747095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0.3</v>
      </c>
      <c r="D23" s="4" t="n">
        <f aca="false">Assumptions!D30</f>
        <v>0.3</v>
      </c>
      <c r="E23" s="4" t="n">
        <f aca="false">Assumptions!E30</f>
        <v>0.3</v>
      </c>
      <c r="F23" s="4" t="n">
        <f aca="false">Assumptions!F30</f>
        <v>0.3</v>
      </c>
      <c r="G23" s="4" t="n">
        <f aca="false">Assumptions!G30</f>
        <v>0.3</v>
      </c>
      <c r="H23" s="4" t="n">
        <f aca="false">Assumptions!H30</f>
        <v>0.3</v>
      </c>
      <c r="I23" s="4" t="n">
        <f aca="false">Assumptions!I30</f>
        <v>0.3</v>
      </c>
      <c r="J23" s="4" t="n">
        <f aca="false">Assumptions!J30</f>
        <v>0.3</v>
      </c>
      <c r="K23" s="4" t="n">
        <f aca="false">Assumptions!K30</f>
        <v>0.3</v>
      </c>
      <c r="L23" s="4" t="n">
        <f aca="false">Assumptions!L30</f>
        <v>0.3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-11.85086715</v>
      </c>
      <c r="D24" s="0" t="n">
        <f aca="false">-D6*D23/100</f>
        <v>-11.613849807</v>
      </c>
      <c r="E24" s="0" t="n">
        <f aca="false">-E6*E23/100</f>
        <v>-11.72998830507</v>
      </c>
      <c r="F24" s="0" t="n">
        <f aca="false">-F6*F23/100</f>
        <v>-11.9645880711714</v>
      </c>
      <c r="G24" s="0" t="n">
        <f aca="false">-G6*G23/100</f>
        <v>-12.2038798325948</v>
      </c>
      <c r="H24" s="0" t="n">
        <f aca="false">-H6*H23/100</f>
        <v>-12.4479574292467</v>
      </c>
      <c r="I24" s="0" t="n">
        <f aca="false">-I6*I23/100</f>
        <v>-12.6969165778317</v>
      </c>
      <c r="J24" s="0" t="n">
        <f aca="false">-J6*J23/100</f>
        <v>-12.9508549093883</v>
      </c>
      <c r="K24" s="0" t="n">
        <f aca="false">-K6*K23/100</f>
        <v>-13.2098720075761</v>
      </c>
      <c r="L24" s="0" t="n">
        <f aca="false">-L6*L23/100</f>
        <v>-13.4740694477276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679.458974658239</v>
      </c>
    </row>
    <row r="31" customFormat="false" ht="15" hidden="false" customHeight="false" outlineLevel="0" collapsed="false">
      <c r="A31" s="0" t="s">
        <v>125</v>
      </c>
      <c r="B31" s="0" t="n">
        <f aca="false">L19</f>
        <v>149.113035221519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1789.35642265822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1789.35642265822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1789.35642265822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659.286338096514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1338.74531275475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3285.04531275475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7.45164696078711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-0.0667943693441321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66.5320995335921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59.5740666954682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7.73770043672205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1169.96381481499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6.31679862431758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0</v>
      </c>
      <c r="D5" s="4" t="n">
        <f aca="false">Assumptions!D41</f>
        <v>5</v>
      </c>
      <c r="E5" s="4" t="n">
        <f aca="false">Assumptions!E41</f>
        <v>8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4158.199</v>
      </c>
      <c r="C6" s="0" t="n">
        <f aca="false">B6*(1+C5/100)</f>
        <v>4158.199</v>
      </c>
      <c r="D6" s="0" t="n">
        <f aca="false">C6*(1+D5/100)</f>
        <v>4366.10895</v>
      </c>
      <c r="E6" s="0" t="n">
        <f aca="false">D6*(1+E5/100)</f>
        <v>4715.397666</v>
      </c>
      <c r="F6" s="0" t="n">
        <f aca="false">E6*(1+F5/100)</f>
        <v>5092.62947928</v>
      </c>
      <c r="G6" s="0" t="n">
        <f aca="false">F6*(1+G5/100)</f>
        <v>5398.1872480368</v>
      </c>
      <c r="H6" s="0" t="n">
        <f aca="false">G6*(1+H5/100)</f>
        <v>5668.09661043864</v>
      </c>
      <c r="I6" s="0" t="n">
        <f aca="false">H6*(1+I5/100)</f>
        <v>5894.82047485619</v>
      </c>
      <c r="J6" s="0" t="n">
        <f aca="false">I6*(1+J5/100)</f>
        <v>6071.66508910187</v>
      </c>
      <c r="K6" s="0" t="n">
        <f aca="false">J6*(1+K5/100)</f>
        <v>6253.81504177493</v>
      </c>
      <c r="L6" s="0" t="n">
        <f aca="false">K6*(1+L5/100)</f>
        <v>6441.42949302818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5</v>
      </c>
      <c r="D7" s="4" t="n">
        <f aca="false">Assumptions!D42</f>
        <v>7</v>
      </c>
      <c r="E7" s="4" t="n">
        <f aca="false">Assumptions!E42</f>
        <v>9</v>
      </c>
      <c r="F7" s="4" t="n">
        <f aca="false">Assumptions!F42</f>
        <v>10</v>
      </c>
      <c r="G7" s="4" t="n">
        <f aca="false">Assumptions!G42</f>
        <v>11</v>
      </c>
      <c r="H7" s="4" t="n">
        <f aca="false">Assumptions!H42</f>
        <v>12</v>
      </c>
      <c r="I7" s="4" t="n">
        <f aca="false">Assumptions!I42</f>
        <v>12</v>
      </c>
      <c r="J7" s="4" t="n">
        <f aca="false">Assumptions!J42</f>
        <v>12</v>
      </c>
      <c r="K7" s="4" t="n">
        <f aca="false">Assumptions!K42</f>
        <v>12</v>
      </c>
      <c r="L7" s="4" t="n">
        <f aca="false">Assumptions!L42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207.90995</v>
      </c>
      <c r="D8" s="0" t="n">
        <f aca="false">D6*D7/100</f>
        <v>305.6276265</v>
      </c>
      <c r="E8" s="0" t="n">
        <f aca="false">E6*E7/100</f>
        <v>424.38578994</v>
      </c>
      <c r="F8" s="0" t="n">
        <f aca="false">F6*F7/100</f>
        <v>509.262947928</v>
      </c>
      <c r="G8" s="0" t="n">
        <f aca="false">G6*G7/100</f>
        <v>593.800597284048</v>
      </c>
      <c r="H8" s="0" t="n">
        <f aca="false">H6*H7/100</f>
        <v>680.171593252637</v>
      </c>
      <c r="I8" s="0" t="n">
        <f aca="false">I6*I7/100</f>
        <v>707.378456982742</v>
      </c>
      <c r="J8" s="0" t="n">
        <f aca="false">J6*J7/100</f>
        <v>728.599810692225</v>
      </c>
      <c r="K8" s="0" t="n">
        <f aca="false">K6*K7/100</f>
        <v>750.457805012992</v>
      </c>
      <c r="L8" s="0" t="n">
        <f aca="false">L6*L7/100</f>
        <v>772.971539163381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0.1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-4.158199</v>
      </c>
      <c r="D10" s="0" t="n">
        <f aca="false">-D6*D9/100</f>
        <v>-21.83054475</v>
      </c>
      <c r="E10" s="0" t="n">
        <f aca="false">-E6*E9/100</f>
        <v>-23.57698833</v>
      </c>
      <c r="F10" s="0" t="n">
        <f aca="false">-F6*F9/100</f>
        <v>-25.4631473964</v>
      </c>
      <c r="G10" s="0" t="n">
        <f aca="false">-G6*G9/100</f>
        <v>-26.990936240184</v>
      </c>
      <c r="H10" s="0" t="n">
        <f aca="false">-H6*H9/100</f>
        <v>-28.3404830521932</v>
      </c>
      <c r="I10" s="0" t="n">
        <f aca="false">-I6*I9/100</f>
        <v>-29.4741023742809</v>
      </c>
      <c r="J10" s="0" t="n">
        <f aca="false">-J6*J9/100</f>
        <v>-30.3583254455094</v>
      </c>
      <c r="K10" s="0" t="n">
        <f aca="false">-K6*K9/100</f>
        <v>-31.2690752088746</v>
      </c>
      <c r="L10" s="0" t="n">
        <f aca="false">-L6*L9/100</f>
        <v>-32.2071474651409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191.277154</v>
      </c>
      <c r="D11" s="0" t="n">
        <f aca="false">D8+D10+D24</f>
        <v>270.6987549</v>
      </c>
      <c r="E11" s="0" t="n">
        <f aca="false">E8+E10+E24</f>
        <v>386.662608612</v>
      </c>
      <c r="F11" s="0" t="n">
        <f aca="false">F8+F10+F24</f>
        <v>468.52191209376</v>
      </c>
      <c r="G11" s="0" t="n">
        <f aca="false">G8+G10+G24</f>
        <v>550.615099299754</v>
      </c>
      <c r="H11" s="0" t="n">
        <f aca="false">H8+H10+H24</f>
        <v>634.826820369128</v>
      </c>
      <c r="I11" s="0" t="n">
        <f aca="false">I8+I10+I24</f>
        <v>660.219893183893</v>
      </c>
      <c r="J11" s="0" t="n">
        <f aca="false">J8+J10+J24</f>
        <v>680.02648997941</v>
      </c>
      <c r="K11" s="0" t="n">
        <f aca="false">K8+K10+K24</f>
        <v>700.427284678792</v>
      </c>
      <c r="L11" s="0" t="n">
        <f aca="false">L8+L10+L24</f>
        <v>721.440103219156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-37.423791</v>
      </c>
      <c r="D12" s="4" t="n">
        <f aca="false">-D6*Assumptions!D45/100</f>
        <v>-43.6610895</v>
      </c>
      <c r="E12" s="4" t="n">
        <f aca="false">-E6*Assumptions!E45/100</f>
        <v>-47.15397666</v>
      </c>
      <c r="F12" s="4" t="n">
        <f aca="false">-F6*Assumptions!F45/100</f>
        <v>-50.9262947928</v>
      </c>
      <c r="G12" s="4" t="n">
        <f aca="false">-G6*Assumptions!G45/100</f>
        <v>-53.981872480368</v>
      </c>
      <c r="H12" s="4" t="n">
        <f aca="false">-H6*Assumptions!H45/100</f>
        <v>-56.6809661043864</v>
      </c>
      <c r="I12" s="4" t="n">
        <f aca="false">-I6*Assumptions!I45/100</f>
        <v>-58.9482047485619</v>
      </c>
      <c r="J12" s="4" t="n">
        <f aca="false">-J6*Assumptions!J45/100</f>
        <v>-60.7166508910187</v>
      </c>
      <c r="K12" s="4" t="n">
        <f aca="false">-K6*Assumptions!K45/100</f>
        <v>-62.5381504177493</v>
      </c>
      <c r="L12" s="4" t="n">
        <f aca="false">-L6*Assumptions!L45/100</f>
        <v>-64.4142949302818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153.853363</v>
      </c>
      <c r="D13" s="0" t="n">
        <f aca="false">D11+D12</f>
        <v>227.0376654</v>
      </c>
      <c r="E13" s="0" t="n">
        <f aca="false">E11+E12</f>
        <v>339.508631952</v>
      </c>
      <c r="F13" s="0" t="n">
        <f aca="false">F11+F12</f>
        <v>417.59561730096</v>
      </c>
      <c r="G13" s="0" t="n">
        <f aca="false">G11+G12</f>
        <v>496.633226819386</v>
      </c>
      <c r="H13" s="0" t="n">
        <f aca="false">H11+H12</f>
        <v>578.145854264742</v>
      </c>
      <c r="I13" s="0" t="n">
        <f aca="false">I11+I12</f>
        <v>601.271688435331</v>
      </c>
      <c r="J13" s="0" t="n">
        <f aca="false">J11+J12</f>
        <v>619.309839088391</v>
      </c>
      <c r="K13" s="0" t="n">
        <f aca="false">K11+K12</f>
        <v>637.889134261043</v>
      </c>
      <c r="L13" s="0" t="n">
        <f aca="false">L11+L12</f>
        <v>657.025808288874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123.0826904</v>
      </c>
      <c r="D15" s="0" t="n">
        <f aca="false">D13-MAX(0,D13)*D14/100</f>
        <v>181.63013232</v>
      </c>
      <c r="E15" s="0" t="n">
        <f aca="false">E13-MAX(0,E13)*E14/100</f>
        <v>271.6069055616</v>
      </c>
      <c r="F15" s="0" t="n">
        <f aca="false">F13-MAX(0,F13)*F14/100</f>
        <v>334.076493840768</v>
      </c>
      <c r="G15" s="0" t="n">
        <f aca="false">G13-MAX(0,G13)*G14/100</f>
        <v>397.306581455508</v>
      </c>
      <c r="H15" s="0" t="n">
        <f aca="false">H13-MAX(0,H13)*H14/100</f>
        <v>462.516683411793</v>
      </c>
      <c r="I15" s="0" t="n">
        <f aca="false">I13-MAX(0,I13)*I14/100</f>
        <v>481.017350748265</v>
      </c>
      <c r="J15" s="0" t="n">
        <f aca="false">J13-MAX(0,J13)*J14/100</f>
        <v>495.447871270713</v>
      </c>
      <c r="K15" s="0" t="n">
        <f aca="false">K13-MAX(0,K13)*K14/100</f>
        <v>510.311307408834</v>
      </c>
      <c r="L15" s="0" t="n">
        <f aca="false">L13-MAX(0,L13)*L14/100</f>
        <v>525.620646631099</v>
      </c>
    </row>
    <row r="16" customFormat="false" ht="15" hidden="false" customHeight="false" outlineLevel="0" collapsed="false">
      <c r="A16" s="0" t="s">
        <v>116</v>
      </c>
      <c r="C16" s="0" t="n">
        <f aca="false">-C12</f>
        <v>37.423791</v>
      </c>
      <c r="D16" s="0" t="n">
        <f aca="false">-D12</f>
        <v>43.6610895</v>
      </c>
      <c r="E16" s="0" t="n">
        <f aca="false">-E12</f>
        <v>47.15397666</v>
      </c>
      <c r="F16" s="0" t="n">
        <f aca="false">-F12</f>
        <v>50.9262947928</v>
      </c>
      <c r="G16" s="0" t="n">
        <f aca="false">-G12</f>
        <v>53.981872480368</v>
      </c>
      <c r="H16" s="0" t="n">
        <f aca="false">-H12</f>
        <v>56.6809661043864</v>
      </c>
      <c r="I16" s="0" t="n">
        <f aca="false">-I12</f>
        <v>58.9482047485619</v>
      </c>
      <c r="J16" s="0" t="n">
        <f aca="false">-J12</f>
        <v>60.7166508910187</v>
      </c>
      <c r="K16" s="0" t="n">
        <f aca="false">-K12</f>
        <v>62.5381504177493</v>
      </c>
      <c r="L16" s="0" t="n">
        <f aca="false">-L12</f>
        <v>64.4142949302818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-83.16398</v>
      </c>
      <c r="D17" s="4" t="n">
        <f aca="false">-D6*Assumptions!D46/100</f>
        <v>-65.49163425</v>
      </c>
      <c r="E17" s="4" t="n">
        <f aca="false">-E6*Assumptions!E46/100</f>
        <v>-70.73096499</v>
      </c>
      <c r="F17" s="4" t="n">
        <f aca="false">-F6*Assumptions!F46/100</f>
        <v>-61.11155375136</v>
      </c>
      <c r="G17" s="4" t="n">
        <f aca="false">-G6*Assumptions!G46/100</f>
        <v>-64.7782469764416</v>
      </c>
      <c r="H17" s="4" t="n">
        <f aca="false">-H6*Assumptions!H46/100</f>
        <v>-68.0171593252637</v>
      </c>
      <c r="I17" s="4" t="n">
        <f aca="false">-I6*Assumptions!I46/100</f>
        <v>-70.7378456982742</v>
      </c>
      <c r="J17" s="4" t="n">
        <f aca="false">-J6*Assumptions!J46/100</f>
        <v>-72.8599810692225</v>
      </c>
      <c r="K17" s="4" t="n">
        <f aca="false">-K6*Assumptions!K46/100</f>
        <v>-75.0457805012992</v>
      </c>
      <c r="L17" s="4" t="n">
        <f aca="false">-L6*Assumptions!L46/100</f>
        <v>-77.2971539163381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77.3425014</v>
      </c>
      <c r="D19" s="0" t="n">
        <f aca="false">D15+D16+D17+D18</f>
        <v>159.79958757</v>
      </c>
      <c r="E19" s="0" t="n">
        <f aca="false">E15+E16+E17+E18</f>
        <v>248.0299172316</v>
      </c>
      <c r="F19" s="0" t="n">
        <f aca="false">F15+F16+F17+F18</f>
        <v>323.891234882208</v>
      </c>
      <c r="G19" s="0" t="n">
        <f aca="false">G15+G16+G17+G18</f>
        <v>386.510206959435</v>
      </c>
      <c r="H19" s="0" t="n">
        <f aca="false">H15+H16+H17+H18</f>
        <v>451.180490190916</v>
      </c>
      <c r="I19" s="0" t="n">
        <f aca="false">I15+I16+I17+I18</f>
        <v>469.227709798553</v>
      </c>
      <c r="J19" s="0" t="n">
        <f aca="false">J15+J16+J17+J18</f>
        <v>483.304541092509</v>
      </c>
      <c r="K19" s="0" t="n">
        <f aca="false">K15+K16+K17+K18</f>
        <v>497.803677325284</v>
      </c>
      <c r="L19" s="0" t="n">
        <f aca="false">L15+L16+L17+L18</f>
        <v>512.737787645043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69.9932139366516</v>
      </c>
      <c r="D21" s="0" t="n">
        <f aca="false">D19*D20</f>
        <v>130.87331346205</v>
      </c>
      <c r="E21" s="0" t="n">
        <f aca="false">E19*E20</f>
        <v>183.830358557776</v>
      </c>
      <c r="F21" s="0" t="n">
        <f aca="false">F19*F20</f>
        <v>217.24514681996</v>
      </c>
      <c r="G21" s="0" t="n">
        <f aca="false">G19*G20</f>
        <v>234.611651769369</v>
      </c>
      <c r="H21" s="0" t="n">
        <f aca="false">H19*H20</f>
        <v>247.842992174775</v>
      </c>
      <c r="I21" s="0" t="n">
        <f aca="false">I19*I20</f>
        <v>233.263992635082</v>
      </c>
      <c r="J21" s="0" t="n">
        <f aca="false">J19*J20</f>
        <v>217.431594944919</v>
      </c>
      <c r="K21" s="0" t="n">
        <f aca="false">K19*K20</f>
        <v>202.673794383046</v>
      </c>
      <c r="L21" s="0" t="n">
        <f aca="false">L19*L20</f>
        <v>188.917654492794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0.3</v>
      </c>
      <c r="D23" s="4" t="n">
        <f aca="false">Assumptions!D44</f>
        <v>0.3</v>
      </c>
      <c r="E23" s="4" t="n">
        <f aca="false">Assumptions!E44</f>
        <v>0.3</v>
      </c>
      <c r="F23" s="4" t="n">
        <f aca="false">Assumptions!F44</f>
        <v>0.3</v>
      </c>
      <c r="G23" s="4" t="n">
        <f aca="false">Assumptions!G44</f>
        <v>0.3</v>
      </c>
      <c r="H23" s="4" t="n">
        <f aca="false">Assumptions!H44</f>
        <v>0.3</v>
      </c>
      <c r="I23" s="4" t="n">
        <f aca="false">Assumptions!I44</f>
        <v>0.3</v>
      </c>
      <c r="J23" s="4" t="n">
        <f aca="false">Assumptions!J44</f>
        <v>0.3</v>
      </c>
      <c r="K23" s="4" t="n">
        <f aca="false">Assumptions!K44</f>
        <v>0.3</v>
      </c>
      <c r="L23" s="4" t="n">
        <f aca="false">Assumptions!L44</f>
        <v>0.3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-12.474597</v>
      </c>
      <c r="D24" s="0" t="n">
        <f aca="false">-D6*D23/100</f>
        <v>-13.09832685</v>
      </c>
      <c r="E24" s="0" t="n">
        <f aca="false">-E6*E23/100</f>
        <v>-14.146192998</v>
      </c>
      <c r="F24" s="0" t="n">
        <f aca="false">-F6*F23/100</f>
        <v>-15.27788843784</v>
      </c>
      <c r="G24" s="0" t="n">
        <f aca="false">-G6*G23/100</f>
        <v>-16.1945617441104</v>
      </c>
      <c r="H24" s="0" t="n">
        <f aca="false">-H6*H23/100</f>
        <v>-17.0042898313159</v>
      </c>
      <c r="I24" s="0" t="n">
        <f aca="false">-I6*I23/100</f>
        <v>-17.6844614245686</v>
      </c>
      <c r="J24" s="0" t="n">
        <f aca="false">-J6*J23/100</f>
        <v>-18.2149952673056</v>
      </c>
      <c r="K24" s="0" t="n">
        <f aca="false">-K6*K23/100</f>
        <v>-18.7614451253248</v>
      </c>
      <c r="L24" s="0" t="n">
        <f aca="false">-L6*L23/100</f>
        <v>-19.3242884790845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1926.68371317642</v>
      </c>
    </row>
    <row r="31" customFormat="false" ht="15" hidden="false" customHeight="false" outlineLevel="0" collapsed="false">
      <c r="A31" s="0" t="s">
        <v>125</v>
      </c>
      <c r="B31" s="0" t="n">
        <f aca="false">L19</f>
        <v>512.737787645043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6569.45290420211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7691.06681467565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6569.45290420211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2420.50744818893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4347.19116136535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6293.49116136535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14.2758683124532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0.787835731052378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141.054333184267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152.041925137495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14.9407144970893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4204.44985868935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10.2343470982303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4.46017322226457</v>
      </c>
      <c r="C4" s="0" t="n">
        <f aca="false">B4/Assumptions!$B$2-1</f>
        <v>-0.441431030398927</v>
      </c>
      <c r="D4" s="4" t="n">
        <f aca="false">Assumptions!$B$24</f>
        <v>0.3</v>
      </c>
      <c r="E4" s="4" t="n">
        <f aca="false">DCF_Bear!$B$43</f>
        <v>4.6252871572683</v>
      </c>
      <c r="F4" s="4" t="n">
        <f aca="false">DCF_Bear!$B$47</f>
        <v>4.445635773701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7.45164696078711</v>
      </c>
      <c r="C5" s="0" t="n">
        <f aca="false">B5/Assumptions!$B$2-1</f>
        <v>-0.0667943693441321</v>
      </c>
      <c r="D5" s="4" t="n">
        <f aca="false">Assumptions!$B$38</f>
        <v>0.5</v>
      </c>
      <c r="E5" s="4" t="n">
        <f aca="false">DCF_Base!$B$43</f>
        <v>7.73770043672205</v>
      </c>
      <c r="F5" s="4" t="n">
        <f aca="false">DCF_Base!$B$47</f>
        <v>6.31679862431758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14.2758683124532</v>
      </c>
      <c r="C6" s="0" t="n">
        <f aca="false">B6/Assumptions!$B$2-1</f>
        <v>0.787835731052378</v>
      </c>
      <c r="D6" s="4" t="n">
        <f aca="false">Assumptions!$B$52</f>
        <v>0.2</v>
      </c>
      <c r="E6" s="4" t="n">
        <f aca="false">DCF_Bull!$B$43</f>
        <v>14.9407144970893</v>
      </c>
      <c r="F6" s="4" t="n">
        <f aca="false">DCF_Bull!$B$47</f>
        <v>10.2343470982303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7.91904910956357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8.24457926495937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-0.00832813252247444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20.2595333621988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6.53895946391516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7.79136304520556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7.55984534823281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7.45164696078711</v>
      </c>
      <c r="C17" s="3" t="n">
        <v>10.5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7.26873886285437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6.95833671608538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6.31679862431758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7.9152212072259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7.9152212072259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7.9152212072259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7.9152212072259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7.9152212072259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7.65693972884597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7.67299680250083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7.67299680250083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7.67299680250083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7.67299680250083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7.28110805042011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7.36164031364897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7.45164696078711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7.45164696078711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7.45164696078711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6.9779722032967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7.03844129090815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7.1052755456366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7.17953582866821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7.24913403115075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6.72851486133667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6.77483110113506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6.82555841139044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6.88135845267135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6.94303218250816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2026-10-23T19:48:28Z</dcterms:created>
  <dc:creator>openpyxl</dc:creator>
  <dc:description/>
  <dc:language>en-NZ</dc:language>
  <cp:lastModifiedBy/>
  <dcterms:modified xsi:type="dcterms:W3CDTF">2026-10-23T19:48:28Z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