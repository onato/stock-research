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Actual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ase" sheetId="6" state="visible" r:id="rId6"/>
    <sheet xmlns:r="http://schemas.openxmlformats.org/officeDocument/2006/relationships" name="DCF_Bull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1" t="inlineStr">
        <is>
          <t>Solution Dynamics (SDL.NZ) owner-FCF DCF workbook</t>
        </is>
      </c>
      <c r="B1" t="inlineStr"/>
    </row>
    <row r="2">
      <c r="A2" s="1" t="inlineStr">
        <is>
          <t>Version</t>
        </is>
      </c>
      <c r="B2" t="inlineStr">
        <is>
          <t>2026-09-08 tier-2 refresh rebuild; supersedes the 2026-06-25 workbook (weighted IV NZ$1.539)</t>
        </is>
      </c>
    </row>
    <row r="3">
      <c r="A3" s="1" t="inlineStr">
        <is>
          <t>Built by</t>
        </is>
      </c>
      <c r="B3" t="inlineStr">
        <is>
          <t>dcf-analyst agent (Claude), 2026-09-08, at the orchestrating agent's request; mirrors SDL.NZ_DCF.json</t>
        </is>
      </c>
    </row>
    <row r="4">
      <c r="A4" s="1" t="inlineStr">
        <is>
          <t>Price</t>
        </is>
      </c>
      <c r="B4" t="inlineStr">
        <is>
          <t>NZ$0.625, Yahoo regularMarketPrice 2026-09-08T03:11Z (NZX regular session); cum the 4.0c dividend ex 10-Sep-2026</t>
        </is>
      </c>
    </row>
    <row r="5">
      <c r="A5" s="1" t="inlineStr">
        <is>
          <t>Balance sheet</t>
        </is>
      </c>
      <c r="B5" t="inlineStr">
        <is>
          <t>31-Dec-2025 (H1 FY2026 interim, parsed) rolled forward by ESTIMATE to 2026-09-08: net cash NZ$7.17m, shares 14.43m</t>
        </is>
      </c>
    </row>
    <row r="6">
      <c r="A6" s="1" t="inlineStr">
        <is>
          <t>FY2026 result</t>
        </is>
      </c>
      <c r="B6" t="inlineStr">
        <is>
          <t>Revenue ~NZ$31.4m / NPAT ~NZ$0.38m from a third-party aggregator; annual report UNPARSED -- verify before relying on anything here</t>
        </is>
      </c>
    </row>
    <row r="7">
      <c r="A7" s="1" t="inlineStr">
        <is>
          <t>Model</t>
        </is>
      </c>
      <c r="B7" t="inlineStr">
        <is>
          <t>Owner-FCF DCF + net cash, 5-year horizon (margins flat by FY2030-31), end-of-year discounting, TV = MAX(0, MIN(Gordon, 12x FCF5))</t>
        </is>
      </c>
    </row>
    <row r="8">
      <c r="A8" s="1" t="inlineStr">
        <is>
          <t>Leases</t>
        </is>
      </c>
      <c r="B8" t="inlineStr">
        <is>
          <t>Treatment B: full lease cash cost (~NZ$0.83m/yr) charged in flows; lease liabilities excluded from net cash</t>
        </is>
      </c>
    </row>
    <row r="9">
      <c r="A9" s="1" t="inlineStr">
        <is>
          <t>Interest income</t>
        </is>
      </c>
      <c r="B9" t="inlineStr">
        <is>
          <t>Stripped from flows (cash added back in bridge). SBC immaterial (NZ$21k FY2025): SBC rows kept at 0%, house = street</t>
        </is>
      </c>
    </row>
    <row r="10">
      <c r="A10" s="1" t="inlineStr">
        <is>
          <t>WACC</t>
        </is>
      </c>
      <c r="B10" t="inlineStr">
        <is>
          <t>17.5% NZD: 11.5% small-cap + 2.0% concentration + 2.0% illiquidity + 1.0% mail decline + 1.0% management transition</t>
        </is>
      </c>
    </row>
    <row r="11">
      <c r="A11" s="1" t="inlineStr">
        <is>
          <t>Drivers</t>
        </is>
      </c>
      <c r="B11" t="inlineStr">
        <is>
          <t>Rows 5, 7, 9, 18 of each DCF tab (growth, IFRS-16 EBITDA margin, SBC %, capex) are the agent's 2026-09-08 judgment; tax rate row 15 is a formula (28% on positive EBIT)</t>
        </is>
      </c>
    </row>
    <row r="12">
      <c r="A12" s="1" t="inlineStr">
        <is>
          <t>Entry price</t>
        </is>
      </c>
      <c r="B12" t="inlineStr">
        <is>
          <t>15% hurdle with TV rebuilt at the hurdle; hurdle &lt; WACC so entry &gt; IV -- weighted IV is the operative buy-below</t>
        </is>
      </c>
    </row>
    <row r="13">
      <c r="A13" s="1" t="inlineStr">
        <is>
          <t>Refresh after next print</t>
        </is>
      </c>
      <c r="B13" t="inlineStr">
        <is>
          <t>Parsed FY2026 closing cash + deposits, closing shares, FY2027 guidance, nGAGE site count, any water-entity contract</t>
        </is>
      </c>
    </row>
    <row r="14">
      <c r="A14" s="1" t="inlineStr">
        <is>
          <t>Legend</t>
        </is>
      </c>
      <c r="B14" t="inlineStr">
        <is>
          <t>blue = hardcoded input, yellow fill = key lever, black = formula, green = cross-sheet link. Figures go stale.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Bridge from the 2026-06-25 model (approximate; live cells authoritative)</t>
        </is>
      </c>
    </row>
    <row r="3">
      <c r="A3" t="inlineStr">
        <is>
          <t>Prior weighted IV (2026-06-25 model, price then NZ$0.58; re-based to NZ$0.625 on 2026-08-20)</t>
        </is>
      </c>
      <c r="B3" s="2" t="n">
        <v>1.54</v>
      </c>
    </row>
    <row r="4">
      <c r="A4" t="inlineStr">
        <is>
          <t>Anchor refresh: net cash 8.355 -&gt; 7.17 (est.) and shares 14.682 -&gt; 14.43 (buyback), old driver paths held</t>
        </is>
      </c>
      <c r="B4" s="2" t="n">
        <v>-0.055</v>
      </c>
    </row>
    <row r="5">
      <c r="A5" t="inlineStr">
        <is>
          <t>WACC 17.0% -&gt; 17.5% (management-transition premium 0.5% -&gt; 1.0%)</t>
        </is>
      </c>
      <c r="B5" s="2" t="n">
        <v>-0.033</v>
      </c>
    </row>
    <row r="6">
      <c r="A6" t="inlineStr">
        <is>
          <t>Driver re-judgment: normalized FCF rebuilt from components on the confirmed ~NZ$31m base (base terminal FCF 2.24 -&gt; 1.23; bull 3.34 -&gt; 2.45; bear 1.42 -&gt; -0.32 with TV floored at 0) plus 12x TV cap policy</t>
        </is>
      </c>
      <c r="B6" s="2" t="n">
        <v>-0.521</v>
      </c>
    </row>
    <row r="7">
      <c r="A7" t="inlineStr">
        <is>
          <t>Scenario weights 50/25/25 -&gt; base 45 / bull 20 / bear 35</t>
        </is>
      </c>
      <c r="B7" s="2" t="n">
        <v>-0.07099999999999999</v>
      </c>
    </row>
    <row r="8">
      <c r="A8" t="inlineStr">
        <is>
          <t>New weighted IV</t>
        </is>
      </c>
      <c r="B8" s="2" t="n">
        <v>0.861</v>
      </c>
    </row>
    <row r="9">
      <c r="A9" t="inlineStr">
        <is>
          <t>Live weighted IV (link)</t>
        </is>
      </c>
      <c r="B9" s="3">
        <f>Valuation!B7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EBITDA</t>
        </is>
      </c>
      <c r="D1" s="1" t="inlineStr">
        <is>
          <t>NetIncome</t>
        </is>
      </c>
      <c r="E1" s="1" t="inlineStr">
        <is>
          <t>OCF</t>
        </is>
      </c>
      <c r="F1" s="1" t="inlineStr">
        <is>
          <t>CapEx</t>
        </is>
      </c>
      <c r="G1" s="1" t="inlineStr">
        <is>
          <t>ReportedFCF</t>
        </is>
      </c>
      <c r="H1" s="1" t="inlineStr">
        <is>
          <t>LeasePrincipal</t>
        </is>
      </c>
      <c r="I1" s="1" t="inlineStr">
        <is>
          <t>LeaseInterest</t>
        </is>
      </c>
      <c r="J1" s="1" t="inlineStr">
        <is>
          <t>InterestIncome</t>
        </is>
      </c>
      <c r="K1" s="1" t="inlineStr">
        <is>
          <t>OwnerFCF</t>
        </is>
      </c>
      <c r="L1" s="1" t="inlineStr">
        <is>
          <t>Cash</t>
        </is>
      </c>
      <c r="M1" s="1" t="inlineStr">
        <is>
          <t>Shares</t>
        </is>
      </c>
    </row>
    <row r="2">
      <c r="A2" t="inlineStr">
        <is>
          <t>FY2017</t>
        </is>
      </c>
      <c r="B2" s="2" t="n">
        <v>19.991</v>
      </c>
      <c r="C2" s="2" t="n">
        <v>2.087</v>
      </c>
      <c r="D2" s="2" t="n">
        <v>1.31</v>
      </c>
      <c r="E2" s="2" t="n">
        <v>1.681</v>
      </c>
      <c r="F2" s="2" t="n">
        <v>0.206</v>
      </c>
      <c r="G2" s="2" t="n">
        <v>1.475</v>
      </c>
      <c r="H2" s="2" t="n">
        <v>0</v>
      </c>
      <c r="I2" s="2" t="n">
        <v>0</v>
      </c>
      <c r="J2" s="2" t="n">
        <v>0.015</v>
      </c>
      <c r="K2">
        <f>G2-H2-I2-J2</f>
        <v/>
      </c>
      <c r="L2" s="2" t="n">
        <v>2.08</v>
      </c>
      <c r="M2" s="2" t="n">
        <v>14.06</v>
      </c>
    </row>
    <row r="3">
      <c r="A3" t="inlineStr">
        <is>
          <t>FY2018</t>
        </is>
      </c>
      <c r="B3" s="2" t="n">
        <v>22.732</v>
      </c>
      <c r="C3" s="2" t="n">
        <v>2.273</v>
      </c>
      <c r="D3" s="2" t="n">
        <v>1.332</v>
      </c>
      <c r="E3" s="2" t="n">
        <v>1.622</v>
      </c>
      <c r="F3" s="2" t="n">
        <v>0.188</v>
      </c>
      <c r="G3" s="2" t="n">
        <v>1.434</v>
      </c>
      <c r="H3" s="2" t="n">
        <v>0</v>
      </c>
      <c r="I3" s="2" t="n">
        <v>0</v>
      </c>
      <c r="J3" s="2" t="n">
        <v>0.006</v>
      </c>
      <c r="K3">
        <f>G3-H3-I3-J3</f>
        <v/>
      </c>
      <c r="L3" s="2" t="n">
        <v>1.956</v>
      </c>
      <c r="M3" s="2" t="n">
        <v>14.56</v>
      </c>
    </row>
    <row r="4">
      <c r="A4" t="inlineStr">
        <is>
          <t>FY2019</t>
        </is>
      </c>
      <c r="B4" s="2" t="n">
        <v>25.155</v>
      </c>
      <c r="C4" s="2" t="n">
        <v>1.373</v>
      </c>
      <c r="D4" s="2" t="n">
        <v>0.67</v>
      </c>
      <c r="E4" s="2" t="n">
        <v>0.356</v>
      </c>
      <c r="F4" s="2" t="n">
        <v>0.386</v>
      </c>
      <c r="G4" s="2" t="n">
        <v>-0.03</v>
      </c>
      <c r="H4" s="2" t="n">
        <v>0</v>
      </c>
      <c r="I4" s="2" t="n">
        <v>0</v>
      </c>
      <c r="J4" s="2" t="n">
        <v>0.005</v>
      </c>
      <c r="K4">
        <f>G4-H4-I4-J4</f>
        <v/>
      </c>
      <c r="L4" s="2" t="n">
        <v>1.182</v>
      </c>
      <c r="M4" s="2" t="n">
        <v>14.64</v>
      </c>
    </row>
    <row r="5">
      <c r="A5" t="inlineStr">
        <is>
          <t>FY2020</t>
        </is>
      </c>
      <c r="B5" s="2" t="n">
        <v>34.03</v>
      </c>
      <c r="C5" s="2" t="n">
        <v>4.354</v>
      </c>
      <c r="D5" s="2" t="n">
        <v>1.866</v>
      </c>
      <c r="E5" s="2" t="n">
        <v>5.766</v>
      </c>
      <c r="F5" s="2" t="n">
        <v>0.222</v>
      </c>
      <c r="G5" s="2" t="n">
        <v>5.544</v>
      </c>
      <c r="H5" s="2" t="n">
        <v>0.85</v>
      </c>
      <c r="I5" s="2" t="n">
        <v>0.124</v>
      </c>
      <c r="J5" s="2" t="n">
        <v>0.004</v>
      </c>
      <c r="K5">
        <f>G5-H5-I5-J5</f>
        <v/>
      </c>
      <c r="L5" s="2" t="n">
        <v>5.012</v>
      </c>
      <c r="M5" s="2" t="n">
        <v>14.64</v>
      </c>
    </row>
    <row r="6">
      <c r="A6" t="inlineStr">
        <is>
          <t>FY2021</t>
        </is>
      </c>
      <c r="B6" s="2" t="n">
        <v>35.445</v>
      </c>
      <c r="C6" s="2" t="n">
        <v>4.214</v>
      </c>
      <c r="D6" s="2" t="n">
        <v>2.034</v>
      </c>
      <c r="E6" s="2" t="n">
        <v>2.608</v>
      </c>
      <c r="F6" s="2" t="n">
        <v>0.749</v>
      </c>
      <c r="G6" s="2" t="n">
        <v>1.859</v>
      </c>
      <c r="H6" s="2" t="n">
        <v>0.85</v>
      </c>
      <c r="I6" s="2" t="n">
        <v>0.07000000000000001</v>
      </c>
      <c r="J6" s="2" t="n">
        <v>0</v>
      </c>
      <c r="K6">
        <f>G6-H6-I6-J6</f>
        <v/>
      </c>
      <c r="L6" s="2" t="n">
        <v>4.713</v>
      </c>
      <c r="M6" s="2" t="n">
        <v>14.64</v>
      </c>
    </row>
    <row r="7">
      <c r="A7" t="inlineStr">
        <is>
          <t>FY2022</t>
        </is>
      </c>
      <c r="B7" s="2" t="n">
        <v>40.127</v>
      </c>
      <c r="C7" s="2" t="n">
        <v>4.519</v>
      </c>
      <c r="D7" s="2" t="n">
        <v>2.563</v>
      </c>
      <c r="E7" s="2" t="n">
        <v>2.979</v>
      </c>
      <c r="F7" s="2" t="n">
        <v>0.154</v>
      </c>
      <c r="G7" s="2" t="n">
        <v>2.825</v>
      </c>
      <c r="H7" s="2" t="n">
        <v>0.8159999999999999</v>
      </c>
      <c r="I7" s="2" t="n">
        <v>0.059</v>
      </c>
      <c r="J7" s="2" t="n">
        <v>0.004</v>
      </c>
      <c r="K7">
        <f>G7-H7-I7-J7</f>
        <v/>
      </c>
      <c r="L7" s="2" t="n">
        <v>5.009</v>
      </c>
      <c r="M7" s="2" t="n">
        <v>14.72</v>
      </c>
    </row>
    <row r="8">
      <c r="A8" t="inlineStr">
        <is>
          <t>FY2023</t>
        </is>
      </c>
      <c r="B8" s="2" t="n">
        <v>40.385</v>
      </c>
      <c r="C8" s="2" t="n">
        <v>5.712</v>
      </c>
      <c r="D8" s="2" t="n">
        <v>3.425</v>
      </c>
      <c r="E8" s="2" t="n">
        <v>4.843</v>
      </c>
      <c r="F8" s="2" t="n">
        <v>0.275</v>
      </c>
      <c r="G8" s="2" t="n">
        <v>4.568</v>
      </c>
      <c r="H8" s="2" t="n">
        <v>0.871</v>
      </c>
      <c r="I8" s="2" t="n">
        <v>0.136</v>
      </c>
      <c r="J8" s="2" t="n">
        <v>0.118</v>
      </c>
      <c r="K8">
        <f>G8-H8-I8-J8</f>
        <v/>
      </c>
      <c r="L8" s="2" t="n">
        <v>6.628</v>
      </c>
      <c r="M8" s="2" t="n">
        <v>14.72</v>
      </c>
    </row>
    <row r="9">
      <c r="A9" t="inlineStr">
        <is>
          <t>FY2024</t>
        </is>
      </c>
      <c r="B9" s="2" t="n">
        <v>38.668</v>
      </c>
      <c r="C9" s="2" t="n">
        <v>4.835</v>
      </c>
      <c r="D9" s="2" t="n">
        <v>2.819</v>
      </c>
      <c r="E9" s="2" t="n">
        <v>3.355</v>
      </c>
      <c r="F9" s="2" t="n">
        <v>0.081</v>
      </c>
      <c r="G9" s="2" t="n">
        <v>3.274</v>
      </c>
      <c r="H9" s="2" t="n">
        <v>0.825</v>
      </c>
      <c r="I9" s="2" t="n">
        <v>0.125</v>
      </c>
      <c r="J9" s="2" t="n">
        <v>0.25</v>
      </c>
      <c r="K9">
        <f>G9-H9-I9-J9</f>
        <v/>
      </c>
      <c r="L9" s="2" t="n">
        <v>7.95</v>
      </c>
      <c r="M9" s="2" t="n">
        <v>14.72</v>
      </c>
    </row>
    <row r="10">
      <c r="A10" t="inlineStr">
        <is>
          <t>FY2025</t>
        </is>
      </c>
      <c r="B10" s="2" t="n">
        <v>41.324</v>
      </c>
      <c r="C10" s="2" t="n">
        <v>4.446</v>
      </c>
      <c r="D10" s="2" t="n">
        <v>2.619</v>
      </c>
      <c r="E10" s="2" t="n">
        <v>4.293</v>
      </c>
      <c r="F10" s="2" t="n">
        <v>0.065</v>
      </c>
      <c r="G10" s="2" t="n">
        <v>4.228</v>
      </c>
      <c r="H10" s="2" t="n">
        <v>0.731</v>
      </c>
      <c r="I10" s="2" t="n">
        <v>0.094</v>
      </c>
      <c r="J10" s="2" t="n">
        <v>0.217</v>
      </c>
      <c r="K10">
        <f>G10-H10-I10-J10</f>
        <v/>
      </c>
      <c r="L10" s="2" t="n">
        <v>11.193</v>
      </c>
      <c r="M10" s="2" t="n">
        <v>14.706</v>
      </c>
    </row>
    <row r="11">
      <c r="A11" t="inlineStr">
        <is>
          <t>H1 FY2026</t>
        </is>
      </c>
      <c r="B11" s="2" t="n">
        <v>17.092</v>
      </c>
      <c r="C11" s="2" t="n">
        <v>0.6899999999999999</v>
      </c>
      <c r="D11" s="2" t="n">
        <v>0.214</v>
      </c>
      <c r="E11" s="2" t="n">
        <v>-0.766</v>
      </c>
      <c r="F11" s="2" t="n">
        <v>1.309</v>
      </c>
      <c r="G11" s="2" t="n">
        <v>-2.075</v>
      </c>
      <c r="H11" s="2" t="n">
        <v>0.368</v>
      </c>
      <c r="I11" s="2" t="n">
        <v>0.045</v>
      </c>
      <c r="J11" s="2" t="n">
        <v>0.108</v>
      </c>
      <c r="K11">
        <f>G11-H11-I11-J11</f>
        <v/>
      </c>
      <c r="L11" s="2" t="n">
        <v>8.355</v>
      </c>
      <c r="M11" s="2" t="n">
        <v>14.682</v>
      </c>
    </row>
    <row r="14">
      <c r="A14" t="inlineStr">
        <is>
          <t>Source: SDL.NZ_Metrics.csv (parsed); lease/interest lines from the annual reports (FY2020-21 lease principal approximated). FY2026 full year is unparsed (aggregator: revenue ~31.4, NPAT ~0.38).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Global inputs</t>
        </is>
      </c>
    </row>
    <row r="3">
      <c r="A3" t="inlineStr">
        <is>
          <t>WACC</t>
        </is>
      </c>
      <c r="B3" s="4" t="n">
        <v>0.175</v>
      </c>
    </row>
    <row r="4">
      <c r="A4" t="inlineStr">
        <is>
          <t>Lease cash cost NZ$m/yr</t>
        </is>
      </c>
      <c r="B4" s="2" t="n">
        <v>0.83</v>
      </c>
    </row>
    <row r="5">
      <c r="A5" t="inlineStr">
        <is>
          <t>Non-ROU D&amp;A NZ$m/yr</t>
        </is>
      </c>
      <c r="B5" s="2" t="n">
        <v>0.4</v>
      </c>
    </row>
    <row r="6">
      <c r="A6" t="inlineStr">
        <is>
          <t>Cash tax rate on positive EBIT</t>
        </is>
      </c>
      <c r="B6" s="2" t="n">
        <v>0.28</v>
      </c>
    </row>
    <row r="7">
      <c r="A7" t="inlineStr">
        <is>
          <t>WC capture on revenue change</t>
        </is>
      </c>
      <c r="B7" s="2" t="n">
        <v>-0.03</v>
      </c>
    </row>
    <row r="8">
      <c r="A8" t="inlineStr">
        <is>
          <t>Net cash NZ$m (ESTIMATE 2026-09-08)</t>
        </is>
      </c>
      <c r="B8" s="4" t="n">
        <v>7.17</v>
      </c>
    </row>
    <row r="9">
      <c r="A9" t="inlineStr">
        <is>
          <t>Shares m (ESTIMATE)</t>
        </is>
      </c>
      <c r="B9" s="2" t="n">
        <v>14.43</v>
      </c>
    </row>
    <row r="10">
      <c r="A10" t="inlineStr">
        <is>
          <t>Price NZ$</t>
        </is>
      </c>
      <c r="B10" s="2" t="n">
        <v>0.625</v>
      </c>
    </row>
    <row r="11">
      <c r="A11" t="inlineStr">
        <is>
          <t>TV cap multiple</t>
        </is>
      </c>
      <c r="B11" s="2" t="n">
        <v>12</v>
      </c>
    </row>
    <row r="12">
      <c r="A12" t="inlineStr">
        <is>
          <t>FY2026 revenue NZ$m (aggregator)</t>
        </is>
      </c>
      <c r="B12" s="2" t="n">
        <v>31.4</v>
      </c>
    </row>
    <row r="13">
      <c r="A13" t="inlineStr">
        <is>
          <t>Hurdle rate</t>
        </is>
      </c>
      <c r="B13" s="2" t="n">
        <v>0.15</v>
      </c>
    </row>
    <row r="16">
      <c r="A16" t="inlineStr">
        <is>
          <t>Scenario</t>
        </is>
      </c>
      <c r="B16" t="inlineStr">
        <is>
          <t>Terminal growth</t>
        </is>
      </c>
      <c r="C16" t="inlineStr">
        <is>
          <t>Probability</t>
        </is>
      </c>
    </row>
    <row r="17">
      <c r="A17" t="inlineStr">
        <is>
          <t>bear</t>
        </is>
      </c>
      <c r="B17" s="2" t="n">
        <v>0.01</v>
      </c>
      <c r="C17" s="2" t="n">
        <v>0.35</v>
      </c>
    </row>
    <row r="18">
      <c r="A18" t="inlineStr">
        <is>
          <t>base</t>
        </is>
      </c>
      <c r="B18" s="2" t="n">
        <v>0.02</v>
      </c>
      <c r="C18" s="2" t="n">
        <v>0.45</v>
      </c>
    </row>
    <row r="19">
      <c r="A19" t="inlineStr">
        <is>
          <t>bull</t>
        </is>
      </c>
      <c r="B19" s="2" t="n">
        <v>0.03</v>
      </c>
      <c r="C19" s="2" t="n">
        <v>0.2</v>
      </c>
    </row>
    <row r="20">
      <c r="A20" t="inlineStr">
        <is>
          <t>Weights sum</t>
        </is>
      </c>
      <c r="C20">
        <f>SUM(C17:C19)</f>
        <v/>
      </c>
    </row>
    <row r="22">
      <c r="A22" s="1" t="inlineStr">
        <is>
          <t>Narratives</t>
        </is>
      </c>
    </row>
    <row r="23">
      <c r="A23" t="inlineStr">
        <is>
          <t>Bear: attrition continues, IFRS-16 margin 3-3.5% ~ lease cost, owner FCF negative from FY2028, TV floors at zero -- residual is cash after burn.</t>
        </is>
      </c>
    </row>
    <row r="24">
      <c r="A24" t="inlineStr">
        <is>
          <t>Base: ~NZ$31m base holds, margin 6% -&gt; 9% as cost-out completes; no LWDW / nGAGE revenue credited. FCF 0.56 -&gt; 1.23.</t>
        </is>
      </c>
    </row>
    <row r="25">
      <c r="A25" t="inlineStr">
        <is>
          <t>Bull: water-entity billing wins + nGAGE scales + permanent CEO; growth from FY2028, margin to 12%; terminal FCF 2.45 still below the old base.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Owner-FCF DCF -- bear (NZ$m)</t>
        </is>
      </c>
    </row>
    <row r="3">
      <c r="A3" t="inlineStr">
        <is>
          <t>Year</t>
        </is>
      </c>
      <c r="B3" t="inlineStr">
        <is>
          <t>FY2026A(est)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Revenue growth</t>
        </is>
      </c>
      <c r="C5" s="4" t="n">
        <v>-0.08</v>
      </c>
      <c r="D5" s="4" t="n">
        <v>-0.06</v>
      </c>
      <c r="E5" s="4" t="n">
        <v>-0.04</v>
      </c>
      <c r="F5" s="4" t="n">
        <v>-0.03</v>
      </c>
      <c r="G5" s="4" t="n">
        <v>-0.02</v>
      </c>
    </row>
    <row r="6">
      <c r="A6" t="inlineStr">
        <is>
          <t>Revenue</t>
        </is>
      </c>
      <c r="B6" s="3">
        <f>Assumptions!$B$12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</row>
    <row r="7">
      <c r="A7" t="inlineStr">
        <is>
          <t>EBITDA margin (IFRS-16)</t>
        </is>
      </c>
      <c r="C7" s="4" t="n">
        <v>0.035</v>
      </c>
      <c r="D7" s="4" t="n">
        <v>0.03</v>
      </c>
      <c r="E7" s="4" t="n">
        <v>0.03</v>
      </c>
      <c r="F7" s="4" t="n">
        <v>0.03</v>
      </c>
      <c r="G7" s="4" t="n">
        <v>0.03</v>
      </c>
    </row>
    <row r="8">
      <c r="A8" t="inlineStr">
        <is>
          <t>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</row>
    <row r="11">
      <c r="A11" t="inlineStr">
        <is>
          <t>Lease cash cost</t>
        </is>
      </c>
      <c r="C11" s="3">
        <f>-Assumptions!$B$4</f>
        <v/>
      </c>
      <c r="D11" s="3">
        <f>-Assumptions!$B$4</f>
        <v/>
      </c>
      <c r="E11" s="3">
        <f>-Assumptions!$B$4</f>
        <v/>
      </c>
      <c r="F11" s="3">
        <f>-Assumptions!$B$4</f>
        <v/>
      </c>
      <c r="G11" s="3">
        <f>-Assumptions!$B$4</f>
        <v/>
      </c>
    </row>
    <row r="12">
      <c r="A12" t="inlineStr">
        <is>
          <t>Owner EBITDA pre-IFRS16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</row>
    <row r="13">
      <c r="A13" t="inlineStr">
        <is>
          <t>D&amp;A (non-ROU)</t>
        </is>
      </c>
      <c r="C13" s="3">
        <f>-Assumptions!$B$5</f>
        <v/>
      </c>
      <c r="D13" s="3">
        <f>-Assumptions!$B$5</f>
        <v/>
      </c>
      <c r="E13" s="3">
        <f>-Assumptions!$B$5</f>
        <v/>
      </c>
      <c r="F13" s="3">
        <f>-Assumptions!$B$5</f>
        <v/>
      </c>
      <c r="G13" s="3">
        <f>-Assumptions!$B$5</f>
        <v/>
      </c>
    </row>
    <row r="14">
      <c r="A14" t="inlineStr">
        <is>
          <t>EBIT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</row>
    <row r="15">
      <c r="A15" t="inlineStr">
        <is>
          <t>Cash tax rate</t>
        </is>
      </c>
      <c r="C15">
        <f>IF(C14&gt;0,Assumptions!$B$6,0)</f>
        <v/>
      </c>
      <c r="D15">
        <f>IF(D14&gt;0,Assumptions!$B$6,0)</f>
        <v/>
      </c>
      <c r="E15">
        <f>IF(E14&gt;0,Assumptions!$B$6,0)</f>
        <v/>
      </c>
      <c r="F15">
        <f>IF(F14&gt;0,Assumptions!$B$6,0)</f>
        <v/>
      </c>
      <c r="G15">
        <f>IF(G14&gt;0,Assumptions!$B$6,0)</f>
        <v/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</row>
    <row r="18">
      <c r="A18" t="inlineStr">
        <is>
          <t>Capex</t>
        </is>
      </c>
      <c r="C18" s="2" t="n">
        <v>-0.25</v>
      </c>
      <c r="D18" s="2" t="n">
        <v>-0.25</v>
      </c>
      <c r="E18" s="2" t="n">
        <v>-0.25</v>
      </c>
      <c r="F18" s="2" t="n">
        <v>-0.25</v>
      </c>
      <c r="G18" s="2" t="n">
        <v>-0.25</v>
      </c>
    </row>
    <row r="19">
      <c r="A19" t="inlineStr">
        <is>
          <t>Working capital</t>
        </is>
      </c>
      <c r="C19" s="3">
        <f>Assumptions!$B$7*(C6-B6)</f>
        <v/>
      </c>
      <c r="D19" s="3">
        <f>Assumptions!$B$7*(D6-C6)</f>
        <v/>
      </c>
      <c r="E19" s="3">
        <f>Assumptions!$B$7*(E6-D6)</f>
        <v/>
      </c>
      <c r="F19" s="3">
        <f>Assumptions!$B$7*(F6-E6)</f>
        <v/>
      </c>
      <c r="G19" s="3">
        <f>Assumptions!$B$7*(G6-F6)</f>
        <v/>
      </c>
    </row>
    <row r="20">
      <c r="A20" t="inlineStr">
        <is>
          <t>Owner FCF</t>
        </is>
      </c>
      <c r="C20">
        <f>C16+C17+C18+C19</f>
        <v/>
      </c>
      <c r="D20">
        <f>D16+D17+D18+D19</f>
        <v/>
      </c>
      <c r="E20">
        <f>E16+E17+E18+E19</f>
        <v/>
      </c>
      <c r="F20">
        <f>F16+F17+F18+F19</f>
        <v/>
      </c>
      <c r="G20">
        <f>G16+G17+G18+G19</f>
        <v/>
      </c>
    </row>
    <row r="21">
      <c r="A21" t="inlineStr">
        <is>
          <t>Discount factor</t>
        </is>
      </c>
      <c r="C21">
        <f>1/(1+Assumptions!$B$3)^C4</f>
        <v/>
      </c>
      <c r="D21">
        <f>1/(1+Assumptions!$B$3)^D4</f>
        <v/>
      </c>
      <c r="E21">
        <f>1/(1+Assumptions!$B$3)^E4</f>
        <v/>
      </c>
      <c r="F21">
        <f>1/(1+Assumptions!$B$3)^F4</f>
        <v/>
      </c>
      <c r="G21">
        <f>1/(1+Assumptions!$B$3)^G4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</row>
    <row r="24">
      <c r="A24" t="inlineStr">
        <is>
          <t>Memo: owner FCF margin</t>
        </is>
      </c>
      <c r="C24">
        <f>C20/C6</f>
        <v/>
      </c>
      <c r="D24">
        <f>D20/D6</f>
        <v/>
      </c>
      <c r="E24">
        <f>E20/E6</f>
        <v/>
      </c>
      <c r="F24">
        <f>F20/F6</f>
        <v/>
      </c>
      <c r="G24">
        <f>G20/G6</f>
        <v/>
      </c>
    </row>
    <row r="26">
      <c r="A26" t="inlineStr">
        <is>
          <t>Sum of PV (explicit)</t>
        </is>
      </c>
      <c r="B26">
        <f>SUM(C22:G22)</f>
        <v/>
      </c>
    </row>
    <row r="27">
      <c r="A27" t="inlineStr">
        <is>
          <t>Terminal growth</t>
        </is>
      </c>
      <c r="B27">
        <f>Assumptions!$B$17</f>
        <v/>
      </c>
    </row>
    <row r="28">
      <c r="A28" t="inlineStr">
        <is>
          <t>Terminal FCF (FY2031 x (1+g))</t>
        </is>
      </c>
      <c r="B28">
        <f>G20*(1+B27)</f>
        <v/>
      </c>
    </row>
    <row r="29">
      <c r="A29" t="inlineStr">
        <is>
          <t>Gordon TV</t>
        </is>
      </c>
      <c r="B29">
        <f>B28/(Assumptions!$B$3-B27)</f>
        <v/>
      </c>
    </row>
    <row r="30">
      <c r="A30" t="inlineStr">
        <is>
          <t>Cap TV</t>
        </is>
      </c>
      <c r="B30">
        <f>Assumptions!$B$11*G20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</t>
        </is>
      </c>
      <c r="B32">
        <f>IF(G20&gt;0,B31/G20,"n/a")</f>
        <v/>
      </c>
    </row>
    <row r="33">
      <c r="A33" t="inlineStr">
        <is>
          <t>PV of TV</t>
        </is>
      </c>
      <c r="B33">
        <f>B31*G21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add net cash</t>
        </is>
      </c>
      <c r="B35">
        <f>Assumptions!$B$8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Shares (m)</t>
        </is>
      </c>
      <c r="B37">
        <f>Assumptions!$B$9</f>
        <v/>
      </c>
    </row>
    <row r="38">
      <c r="A38" t="inlineStr">
        <is>
          <t>Value per share NZ$</t>
        </is>
      </c>
      <c r="B38" s="5">
        <f>B36/B37</f>
        <v/>
      </c>
    </row>
    <row r="39">
      <c r="A39" t="inlineStr">
        <is>
          <t>Upside vs price</t>
        </is>
      </c>
      <c r="B39">
        <f>B38/Assumptions!$B$10-1</f>
        <v/>
      </c>
    </row>
    <row r="41">
      <c r="A41" t="inlineStr">
        <is>
          <t>Street memo: SBC is 0% so street value = house value</t>
        </is>
      </c>
    </row>
    <row r="43">
      <c r="B43">
        <f>B38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Owner-FCF DCF -- base (NZ$m)</t>
        </is>
      </c>
    </row>
    <row r="3">
      <c r="A3" t="inlineStr">
        <is>
          <t>Year</t>
        </is>
      </c>
      <c r="B3" t="inlineStr">
        <is>
          <t>FY2026A(est)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Revenue growth</t>
        </is>
      </c>
      <c r="C5" s="4" t="n">
        <v>-0.038</v>
      </c>
      <c r="D5" s="4" t="n">
        <v>-0.01</v>
      </c>
      <c r="E5" s="4" t="n">
        <v>0.01</v>
      </c>
      <c r="F5" s="4" t="n">
        <v>0.02</v>
      </c>
      <c r="G5" s="4" t="n">
        <v>0.02</v>
      </c>
    </row>
    <row r="6">
      <c r="A6" t="inlineStr">
        <is>
          <t>Revenue</t>
        </is>
      </c>
      <c r="B6" s="3">
        <f>Assumptions!$B$12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</row>
    <row r="7">
      <c r="A7" t="inlineStr">
        <is>
          <t>EBITDA margin (IFRS-16)</t>
        </is>
      </c>
      <c r="C7" s="4" t="n">
        <v>0.06</v>
      </c>
      <c r="D7" s="4" t="n">
        <v>0.075</v>
      </c>
      <c r="E7" s="4" t="n">
        <v>0.08500000000000001</v>
      </c>
      <c r="F7" s="4" t="n">
        <v>0.09</v>
      </c>
      <c r="G7" s="4" t="n">
        <v>0.09</v>
      </c>
    </row>
    <row r="8">
      <c r="A8" t="inlineStr">
        <is>
          <t>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</row>
    <row r="11">
      <c r="A11" t="inlineStr">
        <is>
          <t>Lease cash cost</t>
        </is>
      </c>
      <c r="C11" s="3">
        <f>-Assumptions!$B$4</f>
        <v/>
      </c>
      <c r="D11" s="3">
        <f>-Assumptions!$B$4</f>
        <v/>
      </c>
      <c r="E11" s="3">
        <f>-Assumptions!$B$4</f>
        <v/>
      </c>
      <c r="F11" s="3">
        <f>-Assumptions!$B$4</f>
        <v/>
      </c>
      <c r="G11" s="3">
        <f>-Assumptions!$B$4</f>
        <v/>
      </c>
    </row>
    <row r="12">
      <c r="A12" t="inlineStr">
        <is>
          <t>Owner EBITDA pre-IFRS16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</row>
    <row r="13">
      <c r="A13" t="inlineStr">
        <is>
          <t>D&amp;A (non-ROU)</t>
        </is>
      </c>
      <c r="C13" s="3">
        <f>-Assumptions!$B$5</f>
        <v/>
      </c>
      <c r="D13" s="3">
        <f>-Assumptions!$B$5</f>
        <v/>
      </c>
      <c r="E13" s="3">
        <f>-Assumptions!$B$5</f>
        <v/>
      </c>
      <c r="F13" s="3">
        <f>-Assumptions!$B$5</f>
        <v/>
      </c>
      <c r="G13" s="3">
        <f>-Assumptions!$B$5</f>
        <v/>
      </c>
    </row>
    <row r="14">
      <c r="A14" t="inlineStr">
        <is>
          <t>EBIT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</row>
    <row r="15">
      <c r="A15" t="inlineStr">
        <is>
          <t>Cash tax rate</t>
        </is>
      </c>
      <c r="C15">
        <f>IF(C14&gt;0,Assumptions!$B$6,0)</f>
        <v/>
      </c>
      <c r="D15">
        <f>IF(D14&gt;0,Assumptions!$B$6,0)</f>
        <v/>
      </c>
      <c r="E15">
        <f>IF(E14&gt;0,Assumptions!$B$6,0)</f>
        <v/>
      </c>
      <c r="F15">
        <f>IF(F14&gt;0,Assumptions!$B$6,0)</f>
        <v/>
      </c>
      <c r="G15">
        <f>IF(G14&gt;0,Assumptions!$B$6,0)</f>
        <v/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</row>
    <row r="18">
      <c r="A18" t="inlineStr">
        <is>
          <t>Capex</t>
        </is>
      </c>
      <c r="C18" s="2" t="n">
        <v>-0.3</v>
      </c>
      <c r="D18" s="2" t="n">
        <v>-0.3</v>
      </c>
      <c r="E18" s="2" t="n">
        <v>-0.3</v>
      </c>
      <c r="F18" s="2" t="n">
        <v>-0.3</v>
      </c>
      <c r="G18" s="2" t="n">
        <v>-0.3</v>
      </c>
    </row>
    <row r="19">
      <c r="A19" t="inlineStr">
        <is>
          <t>Working capital</t>
        </is>
      </c>
      <c r="C19" s="3">
        <f>Assumptions!$B$7*(C6-B6)</f>
        <v/>
      </c>
      <c r="D19" s="3">
        <f>Assumptions!$B$7*(D6-C6)</f>
        <v/>
      </c>
      <c r="E19" s="3">
        <f>Assumptions!$B$7*(E6-D6)</f>
        <v/>
      </c>
      <c r="F19" s="3">
        <f>Assumptions!$B$7*(F6-E6)</f>
        <v/>
      </c>
      <c r="G19" s="3">
        <f>Assumptions!$B$7*(G6-F6)</f>
        <v/>
      </c>
    </row>
    <row r="20">
      <c r="A20" t="inlineStr">
        <is>
          <t>Owner FCF</t>
        </is>
      </c>
      <c r="C20">
        <f>C16+C17+C18+C19</f>
        <v/>
      </c>
      <c r="D20">
        <f>D16+D17+D18+D19</f>
        <v/>
      </c>
      <c r="E20">
        <f>E16+E17+E18+E19</f>
        <v/>
      </c>
      <c r="F20">
        <f>F16+F17+F18+F19</f>
        <v/>
      </c>
      <c r="G20">
        <f>G16+G17+G18+G19</f>
        <v/>
      </c>
    </row>
    <row r="21">
      <c r="A21" t="inlineStr">
        <is>
          <t>Discount factor</t>
        </is>
      </c>
      <c r="C21">
        <f>1/(1+Assumptions!$B$3)^C4</f>
        <v/>
      </c>
      <c r="D21">
        <f>1/(1+Assumptions!$B$3)^D4</f>
        <v/>
      </c>
      <c r="E21">
        <f>1/(1+Assumptions!$B$3)^E4</f>
        <v/>
      </c>
      <c r="F21">
        <f>1/(1+Assumptions!$B$3)^F4</f>
        <v/>
      </c>
      <c r="G21">
        <f>1/(1+Assumptions!$B$3)^G4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</row>
    <row r="24">
      <c r="A24" t="inlineStr">
        <is>
          <t>Memo: owner FCF margin</t>
        </is>
      </c>
      <c r="C24">
        <f>C20/C6</f>
        <v/>
      </c>
      <c r="D24">
        <f>D20/D6</f>
        <v/>
      </c>
      <c r="E24">
        <f>E20/E6</f>
        <v/>
      </c>
      <c r="F24">
        <f>F20/F6</f>
        <v/>
      </c>
      <c r="G24">
        <f>G20/G6</f>
        <v/>
      </c>
    </row>
    <row r="26">
      <c r="A26" t="inlineStr">
        <is>
          <t>Sum of PV (explicit)</t>
        </is>
      </c>
      <c r="B26">
        <f>SUM(C22:G22)</f>
        <v/>
      </c>
    </row>
    <row r="27">
      <c r="A27" t="inlineStr">
        <is>
          <t>Terminal growth</t>
        </is>
      </c>
      <c r="B27">
        <f>Assumptions!$B$18</f>
        <v/>
      </c>
    </row>
    <row r="28">
      <c r="A28" t="inlineStr">
        <is>
          <t>Terminal FCF (FY2031 x (1+g))</t>
        </is>
      </c>
      <c r="B28">
        <f>G20*(1+B27)</f>
        <v/>
      </c>
    </row>
    <row r="29">
      <c r="A29" t="inlineStr">
        <is>
          <t>Gordon TV</t>
        </is>
      </c>
      <c r="B29">
        <f>B28/(Assumptions!$B$3-B27)</f>
        <v/>
      </c>
    </row>
    <row r="30">
      <c r="A30" t="inlineStr">
        <is>
          <t>Cap TV</t>
        </is>
      </c>
      <c r="B30">
        <f>Assumptions!$B$11*G20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</t>
        </is>
      </c>
      <c r="B32">
        <f>IF(G20&gt;0,B31/G20,"n/a")</f>
        <v/>
      </c>
    </row>
    <row r="33">
      <c r="A33" t="inlineStr">
        <is>
          <t>PV of TV</t>
        </is>
      </c>
      <c r="B33">
        <f>B31*G21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add net cash</t>
        </is>
      </c>
      <c r="B35">
        <f>Assumptions!$B$8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Shares (m)</t>
        </is>
      </c>
      <c r="B37">
        <f>Assumptions!$B$9</f>
        <v/>
      </c>
    </row>
    <row r="38">
      <c r="A38" t="inlineStr">
        <is>
          <t>Value per share NZ$</t>
        </is>
      </c>
      <c r="B38" s="5">
        <f>B36/B37</f>
        <v/>
      </c>
    </row>
    <row r="39">
      <c r="A39" t="inlineStr">
        <is>
          <t>Upside vs price</t>
        </is>
      </c>
      <c r="B39">
        <f>B38/Assumptions!$B$10-1</f>
        <v/>
      </c>
    </row>
    <row r="41">
      <c r="A41" t="inlineStr">
        <is>
          <t>Street memo: SBC is 0% so street value = house value</t>
        </is>
      </c>
    </row>
    <row r="43">
      <c r="B43">
        <f>B38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Owner-FCF DCF -- bull (NZ$m)</t>
        </is>
      </c>
    </row>
    <row r="3">
      <c r="A3" t="inlineStr">
        <is>
          <t>Year</t>
        </is>
      </c>
      <c r="B3" t="inlineStr">
        <is>
          <t>FY2026A(est)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Revenue growth</t>
        </is>
      </c>
      <c r="C5" s="4" t="n">
        <v>0</v>
      </c>
      <c r="D5" s="4" t="n">
        <v>0.05</v>
      </c>
      <c r="E5" s="4" t="n">
        <v>0.07000000000000001</v>
      </c>
      <c r="F5" s="4" t="n">
        <v>0.06</v>
      </c>
      <c r="G5" s="4" t="n">
        <v>0.05</v>
      </c>
    </row>
    <row r="6">
      <c r="A6" t="inlineStr">
        <is>
          <t>Revenue</t>
        </is>
      </c>
      <c r="B6" s="3">
        <f>Assumptions!$B$12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</row>
    <row r="7">
      <c r="A7" t="inlineStr">
        <is>
          <t>EBITDA margin (IFRS-16)</t>
        </is>
      </c>
      <c r="C7" s="4" t="n">
        <v>0.07000000000000001</v>
      </c>
      <c r="D7" s="4" t="n">
        <v>0.09</v>
      </c>
      <c r="E7" s="4" t="n">
        <v>0.105</v>
      </c>
      <c r="F7" s="4" t="n">
        <v>0.115</v>
      </c>
      <c r="G7" s="4" t="n">
        <v>0.12</v>
      </c>
    </row>
    <row r="8">
      <c r="A8" t="inlineStr">
        <is>
          <t>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</row>
    <row r="11">
      <c r="A11" t="inlineStr">
        <is>
          <t>Lease cash cost</t>
        </is>
      </c>
      <c r="C11" s="3">
        <f>-Assumptions!$B$4</f>
        <v/>
      </c>
      <c r="D11" s="3">
        <f>-Assumptions!$B$4</f>
        <v/>
      </c>
      <c r="E11" s="3">
        <f>-Assumptions!$B$4</f>
        <v/>
      </c>
      <c r="F11" s="3">
        <f>-Assumptions!$B$4</f>
        <v/>
      </c>
      <c r="G11" s="3">
        <f>-Assumptions!$B$4</f>
        <v/>
      </c>
    </row>
    <row r="12">
      <c r="A12" t="inlineStr">
        <is>
          <t>Owner EBITDA pre-IFRS16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</row>
    <row r="13">
      <c r="A13" t="inlineStr">
        <is>
          <t>D&amp;A (non-ROU)</t>
        </is>
      </c>
      <c r="C13" s="3">
        <f>-Assumptions!$B$5</f>
        <v/>
      </c>
      <c r="D13" s="3">
        <f>-Assumptions!$B$5</f>
        <v/>
      </c>
      <c r="E13" s="3">
        <f>-Assumptions!$B$5</f>
        <v/>
      </c>
      <c r="F13" s="3">
        <f>-Assumptions!$B$5</f>
        <v/>
      </c>
      <c r="G13" s="3">
        <f>-Assumptions!$B$5</f>
        <v/>
      </c>
    </row>
    <row r="14">
      <c r="A14" t="inlineStr">
        <is>
          <t>EBIT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</row>
    <row r="15">
      <c r="A15" t="inlineStr">
        <is>
          <t>Cash tax rate</t>
        </is>
      </c>
      <c r="C15">
        <f>IF(C14&gt;0,Assumptions!$B$6,0)</f>
        <v/>
      </c>
      <c r="D15">
        <f>IF(D14&gt;0,Assumptions!$B$6,0)</f>
        <v/>
      </c>
      <c r="E15">
        <f>IF(E14&gt;0,Assumptions!$B$6,0)</f>
        <v/>
      </c>
      <c r="F15">
        <f>IF(F14&gt;0,Assumptions!$B$6,0)</f>
        <v/>
      </c>
      <c r="G15">
        <f>IF(G14&gt;0,Assumptions!$B$6,0)</f>
        <v/>
      </c>
    </row>
    <row r="16">
      <c r="A16" t="inlineStr">
        <is>
          <t>NOPAT</t>
        </is>
      </c>
      <c r="C16">
        <f>C14*(1-C15)</f>
        <v/>
      </c>
      <c r="D16">
        <f>D14*(1-D15)</f>
        <v/>
      </c>
      <c r="E16">
        <f>E14*(1-E15)</f>
        <v/>
      </c>
      <c r="F16">
        <f>F14*(1-F15)</f>
        <v/>
      </c>
      <c r="G16">
        <f>G14*(1-G15)</f>
        <v/>
      </c>
    </row>
    <row r="17">
      <c r="A17" t="inlineStr">
        <is>
          <t>add back D&amp;A</t>
        </is>
      </c>
      <c r="C17">
        <f>-C13</f>
        <v/>
      </c>
      <c r="D17">
        <f>-D13</f>
        <v/>
      </c>
      <c r="E17">
        <f>-E13</f>
        <v/>
      </c>
      <c r="F17">
        <f>-F13</f>
        <v/>
      </c>
      <c r="G17">
        <f>-G13</f>
        <v/>
      </c>
    </row>
    <row r="18">
      <c r="A18" t="inlineStr">
        <is>
          <t>Capex</t>
        </is>
      </c>
      <c r="C18" s="2" t="n">
        <v>-0.3</v>
      </c>
      <c r="D18" s="2" t="n">
        <v>-0.35</v>
      </c>
      <c r="E18" s="2" t="n">
        <v>-0.4</v>
      </c>
      <c r="F18" s="2" t="n">
        <v>-0.4</v>
      </c>
      <c r="G18" s="2" t="n">
        <v>-0.4</v>
      </c>
    </row>
    <row r="19">
      <c r="A19" t="inlineStr">
        <is>
          <t>Working capital</t>
        </is>
      </c>
      <c r="C19" s="3">
        <f>Assumptions!$B$7*(C6-B6)</f>
        <v/>
      </c>
      <c r="D19" s="3">
        <f>Assumptions!$B$7*(D6-C6)</f>
        <v/>
      </c>
      <c r="E19" s="3">
        <f>Assumptions!$B$7*(E6-D6)</f>
        <v/>
      </c>
      <c r="F19" s="3">
        <f>Assumptions!$B$7*(F6-E6)</f>
        <v/>
      </c>
      <c r="G19" s="3">
        <f>Assumptions!$B$7*(G6-F6)</f>
        <v/>
      </c>
    </row>
    <row r="20">
      <c r="A20" t="inlineStr">
        <is>
          <t>Owner FCF</t>
        </is>
      </c>
      <c r="C20">
        <f>C16+C17+C18+C19</f>
        <v/>
      </c>
      <c r="D20">
        <f>D16+D17+D18+D19</f>
        <v/>
      </c>
      <c r="E20">
        <f>E16+E17+E18+E19</f>
        <v/>
      </c>
      <c r="F20">
        <f>F16+F17+F18+F19</f>
        <v/>
      </c>
      <c r="G20">
        <f>G16+G17+G18+G19</f>
        <v/>
      </c>
    </row>
    <row r="21">
      <c r="A21" t="inlineStr">
        <is>
          <t>Discount factor</t>
        </is>
      </c>
      <c r="C21">
        <f>1/(1+Assumptions!$B$3)^C4</f>
        <v/>
      </c>
      <c r="D21">
        <f>1/(1+Assumptions!$B$3)^D4</f>
        <v/>
      </c>
      <c r="E21">
        <f>1/(1+Assumptions!$B$3)^E4</f>
        <v/>
      </c>
      <c r="F21">
        <f>1/(1+Assumptions!$B$3)^F4</f>
        <v/>
      </c>
      <c r="G21">
        <f>1/(1+Assumptions!$B$3)^G4</f>
        <v/>
      </c>
    </row>
    <row r="22">
      <c r="A22" t="inlineStr">
        <is>
          <t>PV of FCF</t>
        </is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</row>
    <row r="24">
      <c r="A24" t="inlineStr">
        <is>
          <t>Memo: owner FCF margin</t>
        </is>
      </c>
      <c r="C24">
        <f>C20/C6</f>
        <v/>
      </c>
      <c r="D24">
        <f>D20/D6</f>
        <v/>
      </c>
      <c r="E24">
        <f>E20/E6</f>
        <v/>
      </c>
      <c r="F24">
        <f>F20/F6</f>
        <v/>
      </c>
      <c r="G24">
        <f>G20/G6</f>
        <v/>
      </c>
    </row>
    <row r="26">
      <c r="A26" t="inlineStr">
        <is>
          <t>Sum of PV (explicit)</t>
        </is>
      </c>
      <c r="B26">
        <f>SUM(C22:G22)</f>
        <v/>
      </c>
    </row>
    <row r="27">
      <c r="A27" t="inlineStr">
        <is>
          <t>Terminal growth</t>
        </is>
      </c>
      <c r="B27">
        <f>Assumptions!$B$19</f>
        <v/>
      </c>
    </row>
    <row r="28">
      <c r="A28" t="inlineStr">
        <is>
          <t>Terminal FCF (FY2031 x (1+g))</t>
        </is>
      </c>
      <c r="B28">
        <f>G20*(1+B27)</f>
        <v/>
      </c>
    </row>
    <row r="29">
      <c r="A29" t="inlineStr">
        <is>
          <t>Gordon TV</t>
        </is>
      </c>
      <c r="B29">
        <f>B28/(Assumptions!$B$3-B27)</f>
        <v/>
      </c>
    </row>
    <row r="30">
      <c r="A30" t="inlineStr">
        <is>
          <t>Cap TV</t>
        </is>
      </c>
      <c r="B30">
        <f>Assumptions!$B$11*G20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</t>
        </is>
      </c>
      <c r="B32">
        <f>IF(G20&gt;0,B31/G20,"n/a")</f>
        <v/>
      </c>
    </row>
    <row r="33">
      <c r="A33" t="inlineStr">
        <is>
          <t>PV of TV</t>
        </is>
      </c>
      <c r="B33">
        <f>B31*G21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add net cash</t>
        </is>
      </c>
      <c r="B35">
        <f>Assumptions!$B$8</f>
        <v/>
      </c>
    </row>
    <row r="36">
      <c r="A36" t="inlineStr">
        <is>
          <t>Equity value</t>
        </is>
      </c>
      <c r="B36">
        <f>B34+B35</f>
        <v/>
      </c>
    </row>
    <row r="37">
      <c r="A37" t="inlineStr">
        <is>
          <t>Shares (m)</t>
        </is>
      </c>
      <c r="B37">
        <f>Assumptions!$B$9</f>
        <v/>
      </c>
    </row>
    <row r="38">
      <c r="A38" t="inlineStr">
        <is>
          <t>Value per share NZ$</t>
        </is>
      </c>
      <c r="B38" s="5">
        <f>B36/B37</f>
        <v/>
      </c>
    </row>
    <row r="39">
      <c r="A39" t="inlineStr">
        <is>
          <t>Upside vs price</t>
        </is>
      </c>
      <c r="B39">
        <f>B38/Assumptions!$B$10-1</f>
        <v/>
      </c>
    </row>
    <row r="41">
      <c r="A41" t="inlineStr">
        <is>
          <t>Street memo: SBC is 0% so street value = house value</t>
        </is>
      </c>
    </row>
    <row r="43">
      <c r="B43">
        <f>B38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Valuation summary (NZ$ per share)</t>
        </is>
      </c>
    </row>
    <row r="3">
      <c r="A3" t="inlineStr">
        <is>
          <t>Scenario</t>
        </is>
      </c>
      <c r="B3" t="inlineStr">
        <is>
          <t>Value/share</t>
        </is>
      </c>
      <c r="C3" t="inlineStr">
        <is>
          <t>Upside</t>
        </is>
      </c>
      <c r="D3" t="inlineStr">
        <is>
          <t>Weight</t>
        </is>
      </c>
      <c r="E3" t="inlineStr">
        <is>
          <t>Entry @ hurdle</t>
        </is>
      </c>
    </row>
    <row r="4">
      <c r="A4" t="inlineStr">
        <is>
          <t>bear</t>
        </is>
      </c>
      <c r="B4" s="3">
        <f>DCF_Bear!B38</f>
        <v/>
      </c>
      <c r="C4">
        <f>B4/Assumptions!$B$10-1</f>
        <v/>
      </c>
      <c r="D4" s="3">
        <f>Assumptions!$C$17</f>
        <v/>
      </c>
      <c r="E4">
        <f>(SUMPRODUCT(DCF_Bear!$C$20:$G$20/(1+Assumptions!$B$13)^DCF_Bear!$C$4:$G$4)+MAX(0,MIN(DCF_Bear!$G$20*(1+Assumptions!$B$17)/(Assumptions!$B$13-Assumptions!$B$17),Assumptions!$B$11*DCF_Bear!$G$20))/(1+Assumptions!$B$13)^5+Assumptions!$B$8)/Assumptions!$B$9</f>
        <v/>
      </c>
    </row>
    <row r="5">
      <c r="A5" t="inlineStr">
        <is>
          <t>base</t>
        </is>
      </c>
      <c r="B5" s="3">
        <f>DCF_Base!B38</f>
        <v/>
      </c>
      <c r="C5">
        <f>B5/Assumptions!$B$10-1</f>
        <v/>
      </c>
      <c r="D5" s="3">
        <f>Assumptions!$C$18</f>
        <v/>
      </c>
      <c r="E5">
        <f>(SUMPRODUCT(DCF_Base!$C$20:$G$20/(1+Assumptions!$B$13)^DCF_Base!$C$4:$G$4)+MAX(0,MIN(DCF_Base!$G$20*(1+Assumptions!$B$18)/(Assumptions!$B$13-Assumptions!$B$18),Assumptions!$B$11*DCF_Base!$G$20))/(1+Assumptions!$B$13)^5+Assumptions!$B$8)/Assumptions!$B$9</f>
        <v/>
      </c>
    </row>
    <row r="6">
      <c r="A6" t="inlineStr">
        <is>
          <t>bull</t>
        </is>
      </c>
      <c r="B6" s="3">
        <f>DCF_Bull!B38</f>
        <v/>
      </c>
      <c r="C6">
        <f>B6/Assumptions!$B$10-1</f>
        <v/>
      </c>
      <c r="D6" s="3">
        <f>Assumptions!$C$19</f>
        <v/>
      </c>
      <c r="E6">
        <f>(SUMPRODUCT(DCF_Bull!$C$20:$G$20/(1+Assumptions!$B$13)^DCF_Bull!$C$4:$G$4)+MAX(0,MIN(DCF_Bull!$G$20*(1+Assumptions!$B$19)/(Assumptions!$B$13-Assumptions!$B$19),Assumptions!$B$11*DCF_Bull!$G$20))/(1+Assumptions!$B$13)^5+Assumptions!$B$8)/Assumptions!$B$9</f>
        <v/>
      </c>
    </row>
    <row r="7">
      <c r="A7" t="inlineStr">
        <is>
          <t>Probability-weighted IV</t>
        </is>
      </c>
      <c r="B7" s="5">
        <f>SUMPRODUCT(B4:B6,D4:D6)</f>
        <v/>
      </c>
    </row>
    <row r="8">
      <c r="A8" t="inlineStr">
        <is>
          <t>Weighted upside</t>
        </is>
      </c>
      <c r="B8">
        <f>B7/Assumptions!$B$10-1</f>
        <v/>
      </c>
    </row>
    <row r="9">
      <c r="A9" t="inlineStr">
        <is>
          <t>Weighted entry price @ hurdle</t>
        </is>
      </c>
      <c r="B9">
        <f>SUMPRODUCT(E4:E6,D4:D6)</f>
        <v/>
      </c>
    </row>
    <row r="10">
      <c r="A10" t="inlineStr">
        <is>
          <t>Net cash per share</t>
        </is>
      </c>
      <c r="B10">
        <f>Assumptions!$B$8/Assumptions!$B$9</f>
        <v/>
      </c>
    </row>
    <row r="11">
      <c r="A11" t="inlineStr">
        <is>
          <t>Operating business per share (weighted)</t>
        </is>
      </c>
      <c r="B11">
        <f>B7-B10</f>
        <v/>
      </c>
    </row>
    <row r="13">
      <c r="A13" s="1" t="inlineStr">
        <is>
          <t>Required-return table (base)</t>
        </is>
      </c>
    </row>
    <row r="14">
      <c r="A14" t="inlineStr">
        <is>
          <t>Required return</t>
        </is>
      </c>
      <c r="B14" s="2" t="n">
        <v>0.09</v>
      </c>
      <c r="C14" s="2" t="n">
        <v>0.1</v>
      </c>
      <c r="D14" s="2" t="n">
        <v>0.11</v>
      </c>
      <c r="E14" s="2" t="n">
        <v>0.12</v>
      </c>
      <c r="F14" s="2" t="n">
        <v>0.15</v>
      </c>
      <c r="G14" s="2" t="n">
        <v>0.175</v>
      </c>
    </row>
    <row r="15">
      <c r="A15" t="inlineStr">
        <is>
          <t>Value/share</t>
        </is>
      </c>
      <c r="B15">
        <f>(SUMPRODUCT(DCF_Base!$C$20:$G$20/(1+B$14)^DCF_Base!$C$4:$G$4)+MAX(0,MIN(DCF_Base!$G$20*(1+Assumptions!$B$18)/(B$14-Assumptions!$B$18),Assumptions!$B$11*DCF_Base!$G$20))/(1+B$14)^5+Assumptions!$B$8)/Assumptions!$B$9</f>
        <v/>
      </c>
      <c r="C15">
        <f>(SUMPRODUCT(DCF_Base!$C$20:$G$20/(1+C$14)^DCF_Base!$C$4:$G$4)+MAX(0,MIN(DCF_Base!$G$20*(1+Assumptions!$B$18)/(C$14-Assumptions!$B$18),Assumptions!$B$11*DCF_Base!$G$20))/(1+C$14)^5+Assumptions!$B$8)/Assumptions!$B$9</f>
        <v/>
      </c>
      <c r="D15">
        <f>(SUMPRODUCT(DCF_Base!$C$20:$G$20/(1+D$14)^DCF_Base!$C$4:$G$4)+MAX(0,MIN(DCF_Base!$G$20*(1+Assumptions!$B$18)/(D$14-Assumptions!$B$18),Assumptions!$B$11*DCF_Base!$G$20))/(1+D$14)^5+Assumptions!$B$8)/Assumptions!$B$9</f>
        <v/>
      </c>
      <c r="E15">
        <f>(SUMPRODUCT(DCF_Base!$C$20:$G$20/(1+E$14)^DCF_Base!$C$4:$G$4)+MAX(0,MIN(DCF_Base!$G$20*(1+Assumptions!$B$18)/(E$14-Assumptions!$B$18),Assumptions!$B$11*DCF_Base!$G$20))/(1+E$14)^5+Assumptions!$B$8)/Assumptions!$B$9</f>
        <v/>
      </c>
      <c r="F15">
        <f>(SUMPRODUCT(DCF_Base!$C$20:$G$20/(1+F$14)^DCF_Base!$C$4:$G$4)+MAX(0,MIN(DCF_Base!$G$20*(1+Assumptions!$B$18)/(F$14-Assumptions!$B$18),Assumptions!$B$11*DCF_Base!$G$20))/(1+F$14)^5+Assumptions!$B$8)/Assumptions!$B$9</f>
        <v/>
      </c>
      <c r="G15">
        <f>(SUMPRODUCT(DCF_Base!$C$20:$G$20/(1+G$14)^DCF_Base!$C$4:$G$4)+MAX(0,MIN(DCF_Base!$G$20*(1+Assumptions!$B$18)/(G$14-Assumptions!$B$18),Assumptions!$B$11*DCF_Base!$G$20))/(1+G$14)^5+Assumptions!$B$8)/Assumptions!$B$9</f>
        <v/>
      </c>
    </row>
    <row r="17">
      <c r="A17" s="1" t="inlineStr">
        <is>
          <t>Sensitivity (base): WACC down, terminal g across</t>
        </is>
      </c>
    </row>
    <row r="18">
      <c r="B18" s="2" t="n">
        <v>0.01</v>
      </c>
      <c r="C18" s="2" t="n">
        <v>0.015</v>
      </c>
      <c r="D18" s="2" t="n">
        <v>0.02</v>
      </c>
      <c r="E18" s="2" t="n">
        <v>0.025</v>
      </c>
      <c r="F18" s="2" t="n">
        <v>0.03</v>
      </c>
    </row>
    <row r="19">
      <c r="A19" s="2" t="n">
        <v>0.155</v>
      </c>
      <c r="B19">
        <f>IF($A19&gt;B$18,(SUMPRODUCT(DCF_Base!$C$20:$G$20/(1+$A19)^DCF_Base!$C$4:$G$4)+MAX(0,MIN(DCF_Base!$G$20*(1+B$18)/($A19-B$18),Assumptions!$B$11*DCF_Base!$G$20))/(1+$A19)^5+Assumptions!$B$8)/Assumptions!$B$9,"n/a")</f>
        <v/>
      </c>
      <c r="C19">
        <f>IF($A19&gt;C$18,(SUMPRODUCT(DCF_Base!$C$20:$G$20/(1+$A19)^DCF_Base!$C$4:$G$4)+MAX(0,MIN(DCF_Base!$G$20*(1+C$18)/($A19-C$18),Assumptions!$B$11*DCF_Base!$G$20))/(1+$A19)^5+Assumptions!$B$8)/Assumptions!$B$9,"n/a")</f>
        <v/>
      </c>
      <c r="D19">
        <f>IF($A19&gt;D$18,(SUMPRODUCT(DCF_Base!$C$20:$G$20/(1+$A19)^DCF_Base!$C$4:$G$4)+MAX(0,MIN(DCF_Base!$G$20*(1+D$18)/($A19-D$18),Assumptions!$B$11*DCF_Base!$G$20))/(1+$A19)^5+Assumptions!$B$8)/Assumptions!$B$9,"n/a")</f>
        <v/>
      </c>
      <c r="E19">
        <f>IF($A19&gt;E$18,(SUMPRODUCT(DCF_Base!$C$20:$G$20/(1+$A19)^DCF_Base!$C$4:$G$4)+MAX(0,MIN(DCF_Base!$G$20*(1+E$18)/($A19-E$18),Assumptions!$B$11*DCF_Base!$G$20))/(1+$A19)^5+Assumptions!$B$8)/Assumptions!$B$9,"n/a")</f>
        <v/>
      </c>
      <c r="F19">
        <f>IF($A19&gt;F$18,(SUMPRODUCT(DCF_Base!$C$20:$G$20/(1+$A19)^DCF_Base!$C$4:$G$4)+MAX(0,MIN(DCF_Base!$G$20*(1+F$18)/($A19-F$18),Assumptions!$B$11*DCF_Base!$G$20))/(1+$A19)^5+Assumptions!$B$8)/Assumptions!$B$9,"n/a")</f>
        <v/>
      </c>
    </row>
    <row r="20">
      <c r="A20" s="2" t="n">
        <v>0.165</v>
      </c>
      <c r="B20">
        <f>IF($A20&gt;B$18,(SUMPRODUCT(DCF_Base!$C$20:$G$20/(1+$A20)^DCF_Base!$C$4:$G$4)+MAX(0,MIN(DCF_Base!$G$20*(1+B$18)/($A20-B$18),Assumptions!$B$11*DCF_Base!$G$20))/(1+$A20)^5+Assumptions!$B$8)/Assumptions!$B$9,"n/a")</f>
        <v/>
      </c>
      <c r="C20">
        <f>IF($A20&gt;C$18,(SUMPRODUCT(DCF_Base!$C$20:$G$20/(1+$A20)^DCF_Base!$C$4:$G$4)+MAX(0,MIN(DCF_Base!$G$20*(1+C$18)/($A20-C$18),Assumptions!$B$11*DCF_Base!$G$20))/(1+$A20)^5+Assumptions!$B$8)/Assumptions!$B$9,"n/a")</f>
        <v/>
      </c>
      <c r="D20">
        <f>IF($A20&gt;D$18,(SUMPRODUCT(DCF_Base!$C$20:$G$20/(1+$A20)^DCF_Base!$C$4:$G$4)+MAX(0,MIN(DCF_Base!$G$20*(1+D$18)/($A20-D$18),Assumptions!$B$11*DCF_Base!$G$20))/(1+$A20)^5+Assumptions!$B$8)/Assumptions!$B$9,"n/a")</f>
        <v/>
      </c>
      <c r="E20">
        <f>IF($A20&gt;E$18,(SUMPRODUCT(DCF_Base!$C$20:$G$20/(1+$A20)^DCF_Base!$C$4:$G$4)+MAX(0,MIN(DCF_Base!$G$20*(1+E$18)/($A20-E$18),Assumptions!$B$11*DCF_Base!$G$20))/(1+$A20)^5+Assumptions!$B$8)/Assumptions!$B$9,"n/a")</f>
        <v/>
      </c>
      <c r="F20">
        <f>IF($A20&gt;F$18,(SUMPRODUCT(DCF_Base!$C$20:$G$20/(1+$A20)^DCF_Base!$C$4:$G$4)+MAX(0,MIN(DCF_Base!$G$20*(1+F$18)/($A20-F$18),Assumptions!$B$11*DCF_Base!$G$20))/(1+$A20)^5+Assumptions!$B$8)/Assumptions!$B$9,"n/a")</f>
        <v/>
      </c>
    </row>
    <row r="21">
      <c r="A21" s="2" t="n">
        <v>0.175</v>
      </c>
      <c r="B21">
        <f>IF($A21&gt;B$18,(SUMPRODUCT(DCF_Base!$C$20:$G$20/(1+$A21)^DCF_Base!$C$4:$G$4)+MAX(0,MIN(DCF_Base!$G$20*(1+B$18)/($A21-B$18),Assumptions!$B$11*DCF_Base!$G$20))/(1+$A21)^5+Assumptions!$B$8)/Assumptions!$B$9,"n/a")</f>
        <v/>
      </c>
      <c r="C21">
        <f>IF($A21&gt;C$18,(SUMPRODUCT(DCF_Base!$C$20:$G$20/(1+$A21)^DCF_Base!$C$4:$G$4)+MAX(0,MIN(DCF_Base!$G$20*(1+C$18)/($A21-C$18),Assumptions!$B$11*DCF_Base!$G$20))/(1+$A21)^5+Assumptions!$B$8)/Assumptions!$B$9,"n/a")</f>
        <v/>
      </c>
      <c r="D21" s="6">
        <f>IF($A21&gt;D$18,(SUMPRODUCT(DCF_Base!$C$20:$G$20/(1+$A21)^DCF_Base!$C$4:$G$4)+MAX(0,MIN(DCF_Base!$G$20*(1+D$18)/($A21-D$18),Assumptions!$B$11*DCF_Base!$G$20))/(1+$A21)^5+Assumptions!$B$8)/Assumptions!$B$9,"n/a")</f>
        <v/>
      </c>
      <c r="E21">
        <f>IF($A21&gt;E$18,(SUMPRODUCT(DCF_Base!$C$20:$G$20/(1+$A21)^DCF_Base!$C$4:$G$4)+MAX(0,MIN(DCF_Base!$G$20*(1+E$18)/($A21-E$18),Assumptions!$B$11*DCF_Base!$G$20))/(1+$A21)^5+Assumptions!$B$8)/Assumptions!$B$9,"n/a")</f>
        <v/>
      </c>
      <c r="F21">
        <f>IF($A21&gt;F$18,(SUMPRODUCT(DCF_Base!$C$20:$G$20/(1+$A21)^DCF_Base!$C$4:$G$4)+MAX(0,MIN(DCF_Base!$G$20*(1+F$18)/($A21-F$18),Assumptions!$B$11*DCF_Base!$G$20))/(1+$A21)^5+Assumptions!$B$8)/Assumptions!$B$9,"n/a")</f>
        <v/>
      </c>
    </row>
    <row r="22">
      <c r="A22" s="2" t="n">
        <v>0.185</v>
      </c>
      <c r="B22">
        <f>IF($A22&gt;B$18,(SUMPRODUCT(DCF_Base!$C$20:$G$20/(1+$A22)^DCF_Base!$C$4:$G$4)+MAX(0,MIN(DCF_Base!$G$20*(1+B$18)/($A22-B$18),Assumptions!$B$11*DCF_Base!$G$20))/(1+$A22)^5+Assumptions!$B$8)/Assumptions!$B$9,"n/a")</f>
        <v/>
      </c>
      <c r="C22">
        <f>IF($A22&gt;C$18,(SUMPRODUCT(DCF_Base!$C$20:$G$20/(1+$A22)^DCF_Base!$C$4:$G$4)+MAX(0,MIN(DCF_Base!$G$20*(1+C$18)/($A22-C$18),Assumptions!$B$11*DCF_Base!$G$20))/(1+$A22)^5+Assumptions!$B$8)/Assumptions!$B$9,"n/a")</f>
        <v/>
      </c>
      <c r="D22">
        <f>IF($A22&gt;D$18,(SUMPRODUCT(DCF_Base!$C$20:$G$20/(1+$A22)^DCF_Base!$C$4:$G$4)+MAX(0,MIN(DCF_Base!$G$20*(1+D$18)/($A22-D$18),Assumptions!$B$11*DCF_Base!$G$20))/(1+$A22)^5+Assumptions!$B$8)/Assumptions!$B$9,"n/a")</f>
        <v/>
      </c>
      <c r="E22">
        <f>IF($A22&gt;E$18,(SUMPRODUCT(DCF_Base!$C$20:$G$20/(1+$A22)^DCF_Base!$C$4:$G$4)+MAX(0,MIN(DCF_Base!$G$20*(1+E$18)/($A22-E$18),Assumptions!$B$11*DCF_Base!$G$20))/(1+$A22)^5+Assumptions!$B$8)/Assumptions!$B$9,"n/a")</f>
        <v/>
      </c>
      <c r="F22">
        <f>IF($A22&gt;F$18,(SUMPRODUCT(DCF_Base!$C$20:$G$20/(1+$A22)^DCF_Base!$C$4:$G$4)+MAX(0,MIN(DCF_Base!$G$20*(1+F$18)/($A22-F$18),Assumptions!$B$11*DCF_Base!$G$20))/(1+$A22)^5+Assumptions!$B$8)/Assumptions!$B$9,"n/a")</f>
        <v/>
      </c>
    </row>
    <row r="23">
      <c r="A23" s="2" t="n">
        <v>0.195</v>
      </c>
      <c r="B23">
        <f>IF($A23&gt;B$18,(SUMPRODUCT(DCF_Base!$C$20:$G$20/(1+$A23)^DCF_Base!$C$4:$G$4)+MAX(0,MIN(DCF_Base!$G$20*(1+B$18)/($A23-B$18),Assumptions!$B$11*DCF_Base!$G$20))/(1+$A23)^5+Assumptions!$B$8)/Assumptions!$B$9,"n/a")</f>
        <v/>
      </c>
      <c r="C23">
        <f>IF($A23&gt;C$18,(SUMPRODUCT(DCF_Base!$C$20:$G$20/(1+$A23)^DCF_Base!$C$4:$G$4)+MAX(0,MIN(DCF_Base!$G$20*(1+C$18)/($A23-C$18),Assumptions!$B$11*DCF_Base!$G$20))/(1+$A23)^5+Assumptions!$B$8)/Assumptions!$B$9,"n/a")</f>
        <v/>
      </c>
      <c r="D23">
        <f>IF($A23&gt;D$18,(SUMPRODUCT(DCF_Base!$C$20:$G$20/(1+$A23)^DCF_Base!$C$4:$G$4)+MAX(0,MIN(DCF_Base!$G$20*(1+D$18)/($A23-D$18),Assumptions!$B$11*DCF_Base!$G$20))/(1+$A23)^5+Assumptions!$B$8)/Assumptions!$B$9,"n/a")</f>
        <v/>
      </c>
      <c r="E23">
        <f>IF($A23&gt;E$18,(SUMPRODUCT(DCF_Base!$C$20:$G$20/(1+$A23)^DCF_Base!$C$4:$G$4)+MAX(0,MIN(DCF_Base!$G$20*(1+E$18)/($A23-E$18),Assumptions!$B$11*DCF_Base!$G$20))/(1+$A23)^5+Assumptions!$B$8)/Assumptions!$B$9,"n/a")</f>
        <v/>
      </c>
      <c r="F23">
        <f>IF($A23&gt;F$18,(SUMPRODUCT(DCF_Base!$C$20:$G$20/(1+$A23)^DCF_Base!$C$4:$G$4)+MAX(0,MIN(DCF_Base!$G$20*(1+F$18)/($A23-F$18),Assumptions!$B$11*DCF_Base!$G$20))/(1+$A23)^5+Assumptions!$B$8)/Assumptions!$B$9,"n/a")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2026-09-08T05:46:49Z</dcterms:created>
  <dcterms:modified xsi:type="dcterms:W3CDTF">2026-09-08T05:46:49Z</dcterms:modified>
</cp:coreProperties>
</file>