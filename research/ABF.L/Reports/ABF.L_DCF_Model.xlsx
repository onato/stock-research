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<sst xmlns="http://schemas.openxmlformats.org/spreadsheetml/2006/main" count="358" uniqueCount="168">
  <si>
    <t xml:space="preserve">Ticker</t>
  </si>
  <si>
    <t xml:space="preserve">ABF.L</t>
  </si>
  <si>
    <t xml:space="preserve">Company</t>
  </si>
  <si>
    <t xml:space="preserve">Associated British Foods plc</t>
  </si>
  <si>
    <t xml:space="preserve">Valuation date</t>
  </si>
  <si>
    <t xml:space="preserve">2026-10-04</t>
  </si>
  <si>
    <t xml:space="preserve">Current price</t>
  </si>
  <si>
    <t xml:space="preserve">Price as of</t>
  </si>
  <si>
    <t xml:space="preserve">2026-10-02T15:35:24Z regular close (Friday; LSE), Yahoo Finance chart API; 52-week range 1729.45-2359.0 GBp</t>
  </si>
  <si>
    <t xml:space="preserve">Balance sheet date</t>
  </si>
  <si>
    <t xml:space="preserve">2026-02-28</t>
  </si>
  <si>
    <t xml:space="preserve">Model</t>
  </si>
  <si>
    <t xml:space="preserve">owner_fcf_dcf_component</t>
  </si>
  <si>
    <t xml:space="preserve">Currency (model)</t>
  </si>
  <si>
    <t xml:space="preserve">GBP</t>
  </si>
  <si>
    <t xml:space="preserve">Currency (quote)</t>
  </si>
  <si>
    <t xml:space="preserve">GBX</t>
  </si>
  <si>
    <t xml:space="preserve">Units</t>
  </si>
  <si>
    <t xml:space="preserve">millions</t>
  </si>
  <si>
    <t xml:space="preserve">Engine</t>
  </si>
  <si>
    <t xml:space="preserve">dcf_engine v1</t>
  </si>
  <si>
    <t xml:space="preserve">Built at</t>
  </si>
  <si>
    <t xml:space="preserve">2026-10-04T10:13:06Z</t>
  </si>
  <si>
    <t xml:space="preserve">Drivers file</t>
  </si>
  <si>
    <t xml:space="preserve">ABF.L_Drivers.json</t>
  </si>
  <si>
    <t xml:space="preserve">Convention</t>
  </si>
  <si>
    <t xml:space="preserve">Percents stored as percents; formulas divide by 100. Blue = input, green = link, black = formula.</t>
  </si>
  <si>
    <t xml:space="preserve">Methodology</t>
  </si>
  <si>
    <t xml:space="preserve">summary: House owner-FCF basis with Primark's leases charged as an operating cost, SBC expensed (immaterial at 0.1% of revenue), the share count held flat, NCI deducted once at book, and the GBP1.6bn pension surplus excluded symmetrically with its income. Risk is carried in the scenario flows and weights, not in the discount rate, which is 8.5% in all three cases. The valuation is deliberately consolidated rather than sum-of-the-parts: the demerger changes who owns the flows, not the flows, and segment data is too thin (FY2023 and FY2025 only) to project five businesses. SOTP memo, for scale and NOT a house number: FY2025 segment adjusted operating profit at street-style EV/EBIT multiples (Primark 1,126 x 12, Grocery 478 x 12, Ingredients 257 x 12, Sugar mid-cycle 100 x 8, Agriculture 25 x 8, central costs and dis-synergies -155 x 10) gives c. GBP21.8bn EV; less lease liabilities 3.0bn and NCI gives c. GBP18.6bn or c. 2,630p/share. The gap between that and the house weighted value is the price of the re-rating thesis, stated rather than buried in the terminal assumption. Sugar is normalised to mid-cycle, not extrapolated from either the FY2024 peak (GBP213m) or the FY2026 trough.
key_risks_to_valuation: Capital intensity: capex at c. 1.9x D&amp;A ex-ROU in FY2025; if the 'multi-year projects completing in 2026' do not bring capex down toward 5% of revenue, owner FCF stays near 2.5% of revenue and the base value falls materially; Sugar: the base assumes a recovery to c. GBP100m by FY2029; every GBP50m of permanent shortfall is roughly GBP0.6bn of EV (c. 85p/share) at the terminal multiple; Primark Europe LFL: space growth of 4-5% is the entire revenue engine; persistent negative LFL both dilutes it and de-leverages the GBP450m/yr lease cost; Lease treatment: charging the GBP453m lease cash cost in the flows is the house convention; a reader using street EV/EBITDA on post-IFRS-16 EBITDA against ex-lease net debt will see a far cheaper stock than this model does; Demerger execution: GBP75m one-off and GBP45m/yr dis-synergies are modelled; a delay past 2027, adverse tax clearance, or a dividend-demerger structure that forces index selling is not; FY2026 results (due c. November 2026) and the July 2026 Q3 trading update are not in the folder; Y1 is built from April 2026 guidance; Pension surplus (GBP1.6bn, c. 168p/share net of the 25% surplus charge) is excluded; any route to extraction is upside not in the numbers; FX: sterling strength is a translation headwind to roughly half the revenue base and a transaction cost on Primark's USD sourcing</t>
  </si>
  <si>
    <t xml:space="preserve">Data sources</t>
  </si>
  <si>
    <t xml:space="preserve">price: Yahoo Finance chart API at inputs.price_as_of (GBp, regular close); 52-week range 1729.45-2359.0
financials: ABF.L_Metrics.csv / core_metrics (FY2018-FY2025 annual, H1 2025, H1 2026) from the extracted Annual Reports FY2019-FY2025 and the H1 2026 Interim Results Announcement (24 weeks to 28 February 2026); lease interest from FY2025 note 10; ROU depreciation from the FY2025 adjusted-EBITDA reconciliation; segment profit FY2023/FY2025 from kpis
qualitative: ABF.L_Analysis.json (2026-10-04); ABF.L_Presentation_FY2026.txt (21 April 2026 'Outcome of review of Group structure' and H1 2026 results deck: full-year outlook by segment, demerger costs and timetable)</t>
  </si>
  <si>
    <t xml:space="preserve">Scenario narrative: bear</t>
  </si>
  <si>
    <t xml:space="preserve">Sugar is structural, not cyclical: European oversupply persists, Sugar stays loss-making through FY2027 and never earns more than breakeven, and the Vivergo closure shows policy risk compounding commodity risk. Primark's Europe LFL (-5.6% in H1 2026) does not recover against Shein and Zara's omnichannel reach, so new space is diluted by cannibalisation and rent de-leverages; the margin is stuck at 9.5-10% with investment spend continuing. Grocery US oils and UK bread keep eroding, the Middle East conflict lifts input costs, and all five segments' guidance keeps being cut as it was in April 2026. The demerger still happens, adding cost without a re-rating, and the committed store rollout keeps capex at 5.5% of revenue on a 12.5% EBITDA margin.</t>
  </si>
  <si>
    <t xml:space="preserve">Scenario narrative: base</t>
  </si>
  <si>
    <t xml:space="preserve">ABF is two businesses in one share: Primark (c. 49% of revenue, c. 60% of segment profit) and a food portfolio whose branded half (Twinings, Ovaltine, AB Mauri) is steady and whose commodity half (Sugar, Agriculture) is in a trough. The base case takes management's FY2026 guidance at face value (group profit below FY2025, Primark margin c. 10%, Sugar a full-year loss), then lets Primark's 4-5% space growth do the work on revenue while the margin recovers to 13.7% EBITDA by FY2030 as Primark returns to c. 11% and Sugar reaches a mid-cycle c. GBP100m, not the FY2024 peak. The demerger costs c. GBP75m one-off and c. GBP45m/yr thereafter and is otherwise neutral to the flows. The binding constraint on value is capital intensity: capex at 5-6% of revenue against D&amp;A ex-ROU of 3.3-3.7% plus a 2.4% lease charge leaves an owner-FCF margin of only c. 2.5% rising to c. 4%, which is why the house value sits below the price despite a c. 10x P/E.</t>
  </si>
  <si>
    <t xml:space="preserve">Scenario narrative: bull</t>
  </si>
  <si>
    <t xml:space="preserve">The Primark relaunch works: LFL turns positive in the UK and then Europe, the US (38 stores, nine leases signed) and Gulf franchise accelerate space growth to 5%, and margin returns to 12% as the marketing/digital spend annualises. European sugar prices normalise from 2027, restructuring and lower beet costs add c. GBP70m, and the Tanzania mill contributes, taking Sugar to c. GBP150m. Grocery international brands and Ingredients bolt-ons grow mid-single digit. Group EBITDA margin reaches 14.8% and the demerger, completed in 2027, lets a standalone Primark be valued as a growth retailer; the model credits that only through a 16x terminal cap.</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</si>
  <si>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</si>
  <si>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</si>
  <si>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</si>
  <si>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</si>
  <si>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</si>
  <si>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</si>
  <si>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</si>
  <si>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</si>
  <si>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</si>
  <si>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</si>
  <si>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</si>
  <si>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</si>
  <si>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</si>
  <si>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</si>
  <si>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</si>
  <si>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</si>
  <si>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</si>
  <si>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</si>
  <si>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</si>
  <si>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</si>
  <si>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</si>
  <si>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</si>
  <si>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</si>
  <si>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</si>
  <si>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</si>
  <si>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</si>
  <si>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</si>
  <si>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CapexIntangibles</t>
  </si>
  <si>
    <t xml:space="preserve">CapexPPE</t>
  </si>
  <si>
    <t xml:space="preserve">LeasePrincipalPaid</t>
  </si>
  <si>
    <t xml:space="preserve">TotalEquityInclNCI</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</si>
  <si>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</si>
  <si>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</si>
  <si>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</si>
  <si>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</si>
  <si>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</si>
  <si>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</si>
  <si>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</si>
  <si>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</si>
  <si>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</si>
  <si>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</si>
  <si>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</si>
  <si>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</si>
  <si>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</si>
  <si>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</si>
  <si>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</si>
  <si>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</si>
  <si>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</si>
  <si>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</si>
  <si>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</si>
  <si>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</si>
  <si>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</si>
  <si>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</si>
  <si>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</si>
  <si>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</si>
  <si>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</si>
  <si>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</si>
  <si>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</si>
  <si>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</si>
  <si>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</si>
  <si>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</si>
  <si>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</si>
  <si>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</si>
  <si>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</si>
  <si>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</si>
  <si>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</si>
  <si>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</si>
  <si>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</si>
  <si>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</si>
  <si>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</si>
  <si>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</si>
  <si>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</si>
  <si>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</si>
  <si>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</si>
  <si>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</si>
  <si>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</si>
  <si>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ABF.L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</si>
  <si>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</si>
  <si>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</si>
  <si>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</si>
  <si>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</si>
  <si>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</si>
  <si>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</si>
  <si>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</si>
  <si>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</si>
  <si>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</si>
  <si>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</si>
  <si>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</si>
  <si>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</si>
  <si>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</si>
  <si>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</si>
  <si>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</si>
  <si>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</si>
  <si>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</si>
  <si>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</si>
  <si>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</si>
  <si>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</si>
  <si>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</si>
  <si>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</si>
  <si>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</si>
  <si>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</si>
  <si>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</si>
  <si>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</si>
  <si>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</si>
  <si>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</si>
  <si>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</si>
  <si>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</si>
  <si>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ABF.L owner-FCF component DCF: base case (millions, GBP)</t>
  </si>
  <si>
    <t xml:space="preserve">ABF.L owner-FCF component DCF: bull case (millions, GBP)</t>
  </si>
  <si>
    <t xml:space="preserve">ABF.L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</si>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</sst>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1826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15574</v>
      </c>
      <c r="C2" s="0" t="n">
        <v>11990</v>
      </c>
      <c r="D2" s="0" t="n">
        <v>3584</v>
      </c>
      <c r="E2" s="0" t="n">
        <v>23</v>
      </c>
      <c r="F2" s="0" t="n">
        <v>1344</v>
      </c>
      <c r="G2" s="0" t="n">
        <v>8.6</v>
      </c>
      <c r="I2" s="0" t="n">
        <v>1007</v>
      </c>
      <c r="J2" s="0" t="n">
        <v>6.5</v>
      </c>
      <c r="K2" s="0" t="n">
        <v>1.275</v>
      </c>
      <c r="L2" s="0" t="n">
        <v>1430</v>
      </c>
      <c r="M2" s="0" t="n">
        <v>868</v>
      </c>
      <c r="N2" s="0" t="n">
        <v>562</v>
      </c>
      <c r="O2" s="0" t="n">
        <v>9211</v>
      </c>
      <c r="P2" s="0" t="n">
        <v>13692</v>
      </c>
      <c r="Q2" s="0" t="n">
        <v>4396</v>
      </c>
      <c r="R2" s="0" t="n">
        <v>778</v>
      </c>
      <c r="S2" s="0" t="n">
        <v>1392</v>
      </c>
      <c r="T2" s="0" t="n">
        <v>789.8</v>
      </c>
      <c r="U2" s="0" t="n">
        <v>19</v>
      </c>
      <c r="V2" s="0" t="n">
        <v>0.45</v>
      </c>
      <c r="AA2" s="0" t="s">
        <v>18</v>
      </c>
      <c r="AB2" s="0" t="s">
        <v>14</v>
      </c>
      <c r="AC2" s="0" t="n">
        <v>81</v>
      </c>
      <c r="AD2" s="0" t="n">
        <v>787</v>
      </c>
      <c r="AF2" s="0" t="n">
        <v>9296</v>
      </c>
    </row>
    <row r="3" customFormat="false" ht="15" hidden="false" customHeight="false" outlineLevel="0" collapsed="false">
      <c r="A3" s="0" t="s">
        <v>69</v>
      </c>
      <c r="B3" s="0" t="n">
        <v>15824</v>
      </c>
      <c r="C3" s="0" t="n">
        <v>12187</v>
      </c>
      <c r="D3" s="0" t="n">
        <v>3637</v>
      </c>
      <c r="E3" s="0" t="n">
        <v>23</v>
      </c>
      <c r="F3" s="0" t="n">
        <v>1282</v>
      </c>
      <c r="G3" s="0" t="n">
        <v>8.1</v>
      </c>
      <c r="I3" s="0" t="n">
        <v>878</v>
      </c>
      <c r="J3" s="0" t="n">
        <v>5.5</v>
      </c>
      <c r="K3" s="0" t="n">
        <v>1.111</v>
      </c>
      <c r="L3" s="0" t="n">
        <v>1509</v>
      </c>
      <c r="M3" s="0" t="n">
        <v>737</v>
      </c>
      <c r="N3" s="0" t="n">
        <v>772</v>
      </c>
      <c r="O3" s="0" t="n">
        <v>9452</v>
      </c>
      <c r="P3" s="0" t="n">
        <v>13760</v>
      </c>
      <c r="Q3" s="0" t="n">
        <v>4210</v>
      </c>
      <c r="R3" s="0" t="n">
        <v>588</v>
      </c>
      <c r="S3" s="0" t="n">
        <v>1524</v>
      </c>
      <c r="T3" s="0" t="n">
        <v>790.3</v>
      </c>
      <c r="U3" s="0" t="n">
        <v>22</v>
      </c>
      <c r="V3" s="0" t="n">
        <v>0.4635</v>
      </c>
      <c r="AA3" s="0" t="s">
        <v>18</v>
      </c>
      <c r="AB3" s="0" t="s">
        <v>14</v>
      </c>
      <c r="AC3" s="0" t="n">
        <v>57</v>
      </c>
      <c r="AD3" s="0" t="n">
        <v>680</v>
      </c>
      <c r="AF3" s="0" t="n">
        <v>9550</v>
      </c>
    </row>
    <row r="4" customFormat="false" ht="15" hidden="false" customHeight="false" outlineLevel="0" collapsed="false">
      <c r="A4" s="0" t="s">
        <v>70</v>
      </c>
      <c r="B4" s="0" t="n">
        <v>13937</v>
      </c>
      <c r="C4" s="0" t="n">
        <v>10800</v>
      </c>
      <c r="D4" s="0" t="n">
        <v>3137</v>
      </c>
      <c r="E4" s="0" t="n">
        <v>22.5</v>
      </c>
      <c r="F4" s="0" t="n">
        <v>810</v>
      </c>
      <c r="G4" s="0" t="n">
        <v>5.8</v>
      </c>
      <c r="H4" s="0" t="n">
        <v>1899</v>
      </c>
      <c r="I4" s="0" t="n">
        <v>455</v>
      </c>
      <c r="J4" s="0" t="n">
        <v>3.3</v>
      </c>
      <c r="K4" s="0" t="n">
        <v>0.576</v>
      </c>
      <c r="L4" s="0" t="n">
        <v>1753</v>
      </c>
      <c r="M4" s="0" t="n">
        <v>622</v>
      </c>
      <c r="N4" s="0" t="n">
        <v>1131</v>
      </c>
      <c r="O4" s="0" t="n">
        <v>9355</v>
      </c>
      <c r="P4" s="0" t="n">
        <v>16669</v>
      </c>
      <c r="Q4" s="0" t="n">
        <v>7230</v>
      </c>
      <c r="R4" s="0" t="n">
        <v>472</v>
      </c>
      <c r="S4" s="0" t="n">
        <v>2028</v>
      </c>
      <c r="T4" s="0" t="n">
        <v>789.9</v>
      </c>
      <c r="U4" s="0" t="n">
        <v>8</v>
      </c>
      <c r="V4" s="0" t="n">
        <v>0</v>
      </c>
      <c r="W4" s="0" t="n">
        <v>1899</v>
      </c>
      <c r="AA4" s="0" t="s">
        <v>18</v>
      </c>
      <c r="AB4" s="0" t="s">
        <v>14</v>
      </c>
      <c r="AC4" s="0" t="n">
        <v>61</v>
      </c>
      <c r="AD4" s="0" t="n">
        <v>561</v>
      </c>
      <c r="AE4" s="0" t="n">
        <v>247</v>
      </c>
      <c r="AF4" s="0" t="n">
        <v>9439</v>
      </c>
    </row>
    <row r="5" customFormat="false" ht="15" hidden="false" customHeight="false" outlineLevel="0" collapsed="false">
      <c r="A5" s="0" t="s">
        <v>71</v>
      </c>
      <c r="B5" s="0" t="n">
        <v>13884</v>
      </c>
      <c r="C5" s="0" t="n">
        <v>10753</v>
      </c>
      <c r="D5" s="0" t="n">
        <v>3131</v>
      </c>
      <c r="E5" s="0" t="n">
        <v>22.6</v>
      </c>
      <c r="F5" s="0" t="n">
        <v>808</v>
      </c>
      <c r="G5" s="0" t="n">
        <v>5.8</v>
      </c>
      <c r="H5" s="0" t="n">
        <v>1860</v>
      </c>
      <c r="I5" s="0" t="n">
        <v>478</v>
      </c>
      <c r="J5" s="0" t="n">
        <v>3.4</v>
      </c>
      <c r="K5" s="0" t="n">
        <v>0.605</v>
      </c>
      <c r="L5" s="0" t="n">
        <v>1413</v>
      </c>
      <c r="M5" s="0" t="n">
        <v>627</v>
      </c>
      <c r="N5" s="0" t="n">
        <v>786</v>
      </c>
      <c r="O5" s="0" t="n">
        <v>9921</v>
      </c>
      <c r="P5" s="0" t="n">
        <v>16895</v>
      </c>
      <c r="Q5" s="0" t="n">
        <v>6891</v>
      </c>
      <c r="R5" s="0" t="n">
        <v>406</v>
      </c>
      <c r="S5" s="0" t="n">
        <v>2307</v>
      </c>
      <c r="T5" s="0" t="n">
        <v>790.1</v>
      </c>
      <c r="U5" s="0" t="n">
        <v>17</v>
      </c>
      <c r="V5" s="0" t="n">
        <v>0.267</v>
      </c>
      <c r="W5" s="0" t="n">
        <v>1860</v>
      </c>
      <c r="AA5" s="0" t="s">
        <v>18</v>
      </c>
      <c r="AB5" s="0" t="s">
        <v>14</v>
      </c>
      <c r="AC5" s="0" t="n">
        <v>76</v>
      </c>
      <c r="AD5" s="0" t="n">
        <v>551</v>
      </c>
      <c r="AE5" s="0" t="n">
        <v>290</v>
      </c>
      <c r="AF5" s="0" t="n">
        <v>10004</v>
      </c>
    </row>
    <row r="6" customFormat="false" ht="15" hidden="false" customHeight="false" outlineLevel="0" collapsed="false">
      <c r="A6" s="0" t="s">
        <v>72</v>
      </c>
      <c r="B6" s="0" t="n">
        <v>16997</v>
      </c>
      <c r="C6" s="0" t="n">
        <v>13219</v>
      </c>
      <c r="D6" s="0" t="n">
        <v>3778</v>
      </c>
      <c r="E6" s="0" t="n">
        <v>22.2</v>
      </c>
      <c r="F6" s="0" t="n">
        <v>1178</v>
      </c>
      <c r="G6" s="0" t="n">
        <v>6.9</v>
      </c>
      <c r="H6" s="0" t="n">
        <v>2261</v>
      </c>
      <c r="I6" s="0" t="n">
        <v>700</v>
      </c>
      <c r="J6" s="0" t="n">
        <v>4.1</v>
      </c>
      <c r="K6" s="0" t="n">
        <v>0.886</v>
      </c>
      <c r="L6" s="0" t="n">
        <v>1153</v>
      </c>
      <c r="M6" s="0" t="n">
        <v>769</v>
      </c>
      <c r="N6" s="0" t="n">
        <v>384</v>
      </c>
      <c r="O6" s="0" t="n">
        <v>11448</v>
      </c>
      <c r="P6" s="0" t="n">
        <v>19775</v>
      </c>
      <c r="Q6" s="0" t="n">
        <v>8221</v>
      </c>
      <c r="R6" s="0" t="n">
        <v>637</v>
      </c>
      <c r="S6" s="0" t="n">
        <v>2125</v>
      </c>
      <c r="T6" s="0" t="n">
        <v>790.1</v>
      </c>
      <c r="U6" s="0" t="n">
        <v>19</v>
      </c>
      <c r="V6" s="0" t="n">
        <v>0.437</v>
      </c>
      <c r="W6" s="0" t="n">
        <v>2261</v>
      </c>
      <c r="AA6" s="0" t="s">
        <v>18</v>
      </c>
      <c r="AB6" s="0" t="s">
        <v>14</v>
      </c>
      <c r="AC6" s="0" t="n">
        <v>89</v>
      </c>
      <c r="AD6" s="0" t="n">
        <v>680</v>
      </c>
      <c r="AE6" s="0" t="n">
        <v>321</v>
      </c>
      <c r="AF6" s="0" t="n">
        <v>11554</v>
      </c>
    </row>
    <row r="7" customFormat="false" ht="15" hidden="false" customHeight="false" outlineLevel="0" collapsed="false">
      <c r="A7" s="0" t="s">
        <v>73</v>
      </c>
      <c r="B7" s="0" t="n">
        <v>19750</v>
      </c>
      <c r="C7" s="0" t="n">
        <v>15587</v>
      </c>
      <c r="D7" s="0" t="n">
        <v>4163</v>
      </c>
      <c r="E7" s="0" t="n">
        <v>21.1</v>
      </c>
      <c r="F7" s="0" t="n">
        <v>1383</v>
      </c>
      <c r="G7" s="0" t="n">
        <v>7</v>
      </c>
      <c r="H7" s="0" t="n">
        <v>2361</v>
      </c>
      <c r="I7" s="0" t="n">
        <v>1044</v>
      </c>
      <c r="J7" s="0" t="n">
        <v>5.3</v>
      </c>
      <c r="K7" s="0" t="n">
        <v>1.342</v>
      </c>
      <c r="L7" s="0" t="n">
        <v>1654</v>
      </c>
      <c r="M7" s="0" t="n">
        <v>1073</v>
      </c>
      <c r="N7" s="0" t="n">
        <v>581</v>
      </c>
      <c r="O7" s="0" t="n">
        <v>11093</v>
      </c>
      <c r="P7" s="0" t="n">
        <v>18844</v>
      </c>
      <c r="Q7" s="0" t="n">
        <v>7651</v>
      </c>
      <c r="R7" s="0" t="n">
        <v>562</v>
      </c>
      <c r="S7" s="0" t="n">
        <v>1457</v>
      </c>
      <c r="T7" s="0" t="n">
        <v>777.9</v>
      </c>
      <c r="U7" s="0" t="n">
        <v>18</v>
      </c>
      <c r="V7" s="0" t="n">
        <v>0.473</v>
      </c>
      <c r="W7" s="0" t="n">
        <v>2361</v>
      </c>
      <c r="AA7" s="0" t="s">
        <v>18</v>
      </c>
      <c r="AB7" s="0" t="s">
        <v>14</v>
      </c>
      <c r="AC7" s="0" t="n">
        <v>76</v>
      </c>
      <c r="AD7" s="0" t="n">
        <v>997</v>
      </c>
      <c r="AE7" s="0" t="n">
        <v>308</v>
      </c>
      <c r="AF7" s="0" t="n">
        <v>11193</v>
      </c>
    </row>
    <row r="8" customFormat="false" ht="15" hidden="false" customHeight="false" outlineLevel="0" collapsed="false">
      <c r="A8" s="0" t="s">
        <v>74</v>
      </c>
      <c r="B8" s="0" t="n">
        <v>20073</v>
      </c>
      <c r="C8" s="0" t="n">
        <v>15191</v>
      </c>
      <c r="D8" s="0" t="n">
        <v>4882</v>
      </c>
      <c r="E8" s="0" t="n">
        <v>24.3</v>
      </c>
      <c r="F8" s="0" t="n">
        <v>1932</v>
      </c>
      <c r="G8" s="0" t="n">
        <v>9.6</v>
      </c>
      <c r="H8" s="0" t="n">
        <v>2910</v>
      </c>
      <c r="I8" s="0" t="n">
        <v>1455</v>
      </c>
      <c r="J8" s="0" t="n">
        <v>7.2</v>
      </c>
      <c r="K8" s="0" t="n">
        <v>1.937</v>
      </c>
      <c r="L8" s="0" t="n">
        <v>2874</v>
      </c>
      <c r="M8" s="0" t="n">
        <v>1184</v>
      </c>
      <c r="N8" s="0" t="n">
        <v>1690</v>
      </c>
      <c r="O8" s="0" t="n">
        <v>11186</v>
      </c>
      <c r="P8" s="0" t="n">
        <v>19014</v>
      </c>
      <c r="Q8" s="0" t="n">
        <v>7736</v>
      </c>
      <c r="R8" s="0" t="n">
        <v>613</v>
      </c>
      <c r="S8" s="0" t="n">
        <v>1657</v>
      </c>
      <c r="T8" s="0" t="n">
        <v>751.2</v>
      </c>
      <c r="U8" s="0" t="n">
        <v>31</v>
      </c>
      <c r="V8" s="0" t="n">
        <v>0.63</v>
      </c>
      <c r="W8" s="0" t="n">
        <v>2910</v>
      </c>
      <c r="AA8" s="0" t="s">
        <v>18</v>
      </c>
      <c r="AB8" s="0" t="s">
        <v>14</v>
      </c>
      <c r="AC8" s="0" t="n">
        <v>60</v>
      </c>
      <c r="AD8" s="0" t="n">
        <v>1124</v>
      </c>
      <c r="AE8" s="0" t="n">
        <v>348</v>
      </c>
      <c r="AF8" s="0" t="n">
        <v>11278</v>
      </c>
    </row>
    <row r="9" customFormat="false" ht="15" hidden="false" customHeight="false" outlineLevel="0" collapsed="false">
      <c r="A9" s="0" t="s">
        <v>75</v>
      </c>
      <c r="B9" s="0" t="n">
        <v>19459</v>
      </c>
      <c r="C9" s="0" t="n">
        <v>14804</v>
      </c>
      <c r="D9" s="0" t="n">
        <v>4655</v>
      </c>
      <c r="E9" s="0" t="n">
        <v>23.9</v>
      </c>
      <c r="F9" s="0" t="n">
        <v>1483</v>
      </c>
      <c r="G9" s="0" t="n">
        <v>7.6</v>
      </c>
      <c r="H9" s="0" t="n">
        <v>2685</v>
      </c>
      <c r="I9" s="0" t="n">
        <v>1025</v>
      </c>
      <c r="J9" s="0" t="n">
        <v>5.3</v>
      </c>
      <c r="K9" s="0" t="n">
        <v>1.416</v>
      </c>
      <c r="L9" s="0" t="n">
        <v>2231</v>
      </c>
      <c r="M9" s="0" t="n">
        <v>1234</v>
      </c>
      <c r="N9" s="0" t="n">
        <v>997</v>
      </c>
      <c r="O9" s="0" t="n">
        <v>11059</v>
      </c>
      <c r="P9" s="0" t="n">
        <v>19291</v>
      </c>
      <c r="Q9" s="0" t="n">
        <v>8105</v>
      </c>
      <c r="R9" s="0" t="n">
        <v>667</v>
      </c>
      <c r="S9" s="0" t="n">
        <v>1057</v>
      </c>
      <c r="T9" s="0" t="n">
        <v>723.9</v>
      </c>
      <c r="U9" s="0" t="n">
        <v>18</v>
      </c>
      <c r="V9" s="0" t="n">
        <v>0.63</v>
      </c>
      <c r="W9" s="0" t="n">
        <v>2685</v>
      </c>
      <c r="AA9" s="0" t="s">
        <v>18</v>
      </c>
      <c r="AB9" s="0" t="s">
        <v>14</v>
      </c>
      <c r="AC9" s="0" t="n">
        <v>135</v>
      </c>
      <c r="AD9" s="0" t="n">
        <v>1099</v>
      </c>
      <c r="AE9" s="0" t="n">
        <v>351</v>
      </c>
      <c r="AF9" s="0" t="n">
        <v>11186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76</v>
      </c>
      <c r="B1" s="2" t="s">
        <v>77</v>
      </c>
    </row>
    <row r="2" customFormat="false" ht="15" hidden="false" customHeight="false" outlineLevel="0" collapsed="false">
      <c r="A2" s="0" t="s">
        <v>78</v>
      </c>
      <c r="B2" s="3" t="n">
        <v>1826</v>
      </c>
    </row>
    <row r="3" customFormat="false" ht="15" hidden="false" customHeight="false" outlineLevel="0" collapsed="false">
      <c r="A3" s="0" t="s">
        <v>79</v>
      </c>
      <c r="B3" s="3" t="n">
        <v>706</v>
      </c>
    </row>
    <row r="4" customFormat="false" ht="15" hidden="false" customHeight="false" outlineLevel="0" collapsed="false">
      <c r="A4" s="0" t="s">
        <v>80</v>
      </c>
      <c r="B4" s="3" t="n">
        <v>-3</v>
      </c>
    </row>
    <row r="5" customFormat="false" ht="15" hidden="false" customHeight="false" outlineLevel="0" collapsed="false">
      <c r="A5" s="0" t="s">
        <v>81</v>
      </c>
      <c r="B5" s="3" t="n">
        <v>-158</v>
      </c>
    </row>
    <row r="6" customFormat="false" ht="15" hidden="false" customHeight="false" outlineLevel="0" collapsed="false">
      <c r="A6" s="0" t="s">
        <v>82</v>
      </c>
      <c r="B6" s="3" t="n">
        <v>15</v>
      </c>
    </row>
    <row r="7" customFormat="false" ht="15" hidden="false" customHeight="false" outlineLevel="0" collapsed="false">
      <c r="A7" s="0" t="s">
        <v>83</v>
      </c>
      <c r="B7" s="3" t="n">
        <v>19459</v>
      </c>
    </row>
    <row r="8" customFormat="false" ht="15" hidden="false" customHeight="false" outlineLevel="0" collapsed="false">
      <c r="A8" s="0" t="s">
        <v>84</v>
      </c>
      <c r="B8" s="3" t="s">
        <v>75</v>
      </c>
    </row>
    <row r="9" customFormat="false" ht="15" hidden="false" customHeight="false" outlineLevel="0" collapsed="false">
      <c r="A9" s="0" t="s">
        <v>85</v>
      </c>
      <c r="B9" s="3" t="s">
        <v>86</v>
      </c>
    </row>
    <row r="10" customFormat="false" ht="15" hidden="false" customHeight="false" outlineLevel="0" collapsed="false">
      <c r="A10" s="0" t="s">
        <v>87</v>
      </c>
      <c r="B10" s="3" t="n">
        <v>100</v>
      </c>
    </row>
    <row r="12" customFormat="false" ht="15" hidden="false" customHeight="false" outlineLevel="0" collapsed="false">
      <c r="A12" s="2" t="s">
        <v>88</v>
      </c>
      <c r="C12" s="2" t="s">
        <v>89</v>
      </c>
      <c r="D12" s="2" t="s">
        <v>90</v>
      </c>
      <c r="E12" s="2" t="s">
        <v>91</v>
      </c>
      <c r="F12" s="2" t="s">
        <v>92</v>
      </c>
      <c r="G12" s="2" t="s">
        <v>93</v>
      </c>
      <c r="H12" s="2" t="s">
        <v>94</v>
      </c>
      <c r="I12" s="2" t="s">
        <v>95</v>
      </c>
      <c r="J12" s="2" t="s">
        <v>96</v>
      </c>
      <c r="K12" s="2" t="s">
        <v>97</v>
      </c>
      <c r="L12" s="2" t="s">
        <v>98</v>
      </c>
    </row>
    <row r="13" customFormat="false" ht="15" hidden="false" customHeight="false" outlineLevel="0" collapsed="false">
      <c r="A13" s="0" t="s">
        <v>99</v>
      </c>
      <c r="C13" s="3" t="n">
        <v>0</v>
      </c>
      <c r="D13" s="3" t="n">
        <v>1.5</v>
      </c>
      <c r="E13" s="3" t="n">
        <v>2</v>
      </c>
      <c r="F13" s="3" t="n">
        <v>2</v>
      </c>
      <c r="G13" s="3" t="n">
        <v>2</v>
      </c>
      <c r="H13" s="3" t="n">
        <v>2</v>
      </c>
      <c r="I13" s="3" t="n">
        <v>2</v>
      </c>
      <c r="J13" s="3" t="n">
        <v>1.5</v>
      </c>
      <c r="K13" s="3" t="n">
        <v>1.5</v>
      </c>
      <c r="L13" s="3" t="n">
        <v>1.5</v>
      </c>
    </row>
    <row r="14" customFormat="false" ht="15" hidden="false" customHeight="false" outlineLevel="0" collapsed="false">
      <c r="A14" s="0" t="s">
        <v>100</v>
      </c>
      <c r="C14" s="3" t="n">
        <v>12.3</v>
      </c>
      <c r="D14" s="3" t="n">
        <v>12</v>
      </c>
      <c r="E14" s="3" t="n">
        <v>12.3</v>
      </c>
      <c r="F14" s="3" t="n">
        <v>12.5</v>
      </c>
      <c r="G14" s="3" t="n">
        <v>12.5</v>
      </c>
      <c r="H14" s="3" t="n">
        <v>12.5</v>
      </c>
      <c r="I14" s="3" t="n">
        <v>12.5</v>
      </c>
      <c r="J14" s="3" t="n">
        <v>12.5</v>
      </c>
      <c r="K14" s="3" t="n">
        <v>12.5</v>
      </c>
      <c r="L14" s="3" t="n">
        <v>12.5</v>
      </c>
    </row>
    <row r="15" customFormat="false" ht="15" hidden="false" customHeight="false" outlineLevel="0" collapsed="false">
      <c r="A15" s="0" t="s">
        <v>101</v>
      </c>
      <c r="C15" s="3" t="n">
        <v>0.1</v>
      </c>
      <c r="D15" s="3" t="n">
        <v>0.1</v>
      </c>
      <c r="E15" s="3" t="n">
        <v>0.1</v>
      </c>
      <c r="F15" s="3" t="n">
        <v>0.1</v>
      </c>
      <c r="G15" s="3" t="n">
        <v>0.1</v>
      </c>
      <c r="H15" s="3" t="n">
        <v>0.1</v>
      </c>
      <c r="I15" s="3" t="n">
        <v>0.1</v>
      </c>
      <c r="J15" s="3" t="n">
        <v>0.1</v>
      </c>
      <c r="K15" s="3" t="n">
        <v>0.1</v>
      </c>
      <c r="L15" s="3" t="n">
        <v>0.1</v>
      </c>
    </row>
    <row r="16" customFormat="false" ht="15" hidden="false" customHeight="false" outlineLevel="0" collapsed="false">
      <c r="A16" s="0" t="s">
        <v>102</v>
      </c>
      <c r="C16" s="3" t="n">
        <v>2.4</v>
      </c>
      <c r="D16" s="3" t="n">
        <v>2.45</v>
      </c>
      <c r="E16" s="3" t="n">
        <v>2.5</v>
      </c>
      <c r="F16" s="3" t="n">
        <v>2.5</v>
      </c>
      <c r="G16" s="3" t="n">
        <v>2.5</v>
      </c>
      <c r="H16" s="3" t="n">
        <v>2.5</v>
      </c>
      <c r="I16" s="3" t="n">
        <v>2.5</v>
      </c>
      <c r="J16" s="3" t="n">
        <v>2.5</v>
      </c>
      <c r="K16" s="3" t="n">
        <v>2.5</v>
      </c>
      <c r="L16" s="3" t="n">
        <v>2.5</v>
      </c>
    </row>
    <row r="17" customFormat="false" ht="15" hidden="false" customHeight="false" outlineLevel="0" collapsed="false">
      <c r="A17" s="0" t="s">
        <v>103</v>
      </c>
      <c r="C17" s="3" t="n">
        <v>3.3</v>
      </c>
      <c r="D17" s="3" t="n">
        <v>3.4</v>
      </c>
      <c r="E17" s="3" t="n">
        <v>3.5</v>
      </c>
      <c r="F17" s="3" t="n">
        <v>3.6</v>
      </c>
      <c r="G17" s="3" t="n">
        <v>3.6</v>
      </c>
      <c r="H17" s="3" t="n">
        <v>3.7</v>
      </c>
      <c r="I17" s="3" t="n">
        <v>3.7</v>
      </c>
      <c r="J17" s="3" t="n">
        <v>3.7</v>
      </c>
      <c r="K17" s="3" t="n">
        <v>3.7</v>
      </c>
      <c r="L17" s="3" t="n">
        <v>3.7</v>
      </c>
    </row>
    <row r="18" customFormat="false" ht="15" hidden="false" customHeight="false" outlineLevel="0" collapsed="false">
      <c r="A18" s="0" t="s">
        <v>104</v>
      </c>
      <c r="C18" s="3" t="n">
        <v>6</v>
      </c>
      <c r="D18" s="3" t="n">
        <v>6</v>
      </c>
      <c r="E18" s="3" t="n">
        <v>5.8</v>
      </c>
      <c r="F18" s="3" t="n">
        <v>5.6</v>
      </c>
      <c r="G18" s="3" t="n">
        <v>5.5</v>
      </c>
      <c r="H18" s="3" t="n">
        <v>5.5</v>
      </c>
      <c r="I18" s="3" t="n">
        <v>5.5</v>
      </c>
      <c r="J18" s="3" t="n">
        <v>5.5</v>
      </c>
      <c r="K18" s="3" t="n">
        <v>5.5</v>
      </c>
      <c r="L18" s="3" t="n">
        <v>5.5</v>
      </c>
    </row>
    <row r="19" customFormat="false" ht="15" hidden="false" customHeight="false" outlineLevel="0" collapsed="false">
      <c r="A19" s="0" t="s">
        <v>105</v>
      </c>
      <c r="C19" s="3" t="n">
        <v>24</v>
      </c>
      <c r="D19" s="3" t="n">
        <v>24</v>
      </c>
      <c r="E19" s="3" t="n">
        <v>24</v>
      </c>
      <c r="F19" s="3" t="n">
        <v>24</v>
      </c>
      <c r="G19" s="3" t="n">
        <v>24</v>
      </c>
      <c r="H19" s="3" t="n">
        <v>24</v>
      </c>
      <c r="I19" s="3" t="n">
        <v>24</v>
      </c>
      <c r="J19" s="3" t="n">
        <v>24</v>
      </c>
      <c r="K19" s="3" t="n">
        <v>24</v>
      </c>
      <c r="L19" s="3" t="n">
        <v>24</v>
      </c>
    </row>
    <row r="20" customFormat="false" ht="15" hidden="false" customHeight="false" outlineLevel="0" collapsed="false">
      <c r="A20" s="0" t="s">
        <v>106</v>
      </c>
      <c r="B20" s="3" t="n">
        <v>8.5</v>
      </c>
    </row>
    <row r="21" customFormat="false" ht="15" hidden="false" customHeight="false" outlineLevel="0" collapsed="false">
      <c r="A21" s="0" t="s">
        <v>107</v>
      </c>
      <c r="B21" s="3" t="n">
        <v>1.5</v>
      </c>
    </row>
    <row r="22" customFormat="false" ht="15" hidden="false" customHeight="false" outlineLevel="0" collapsed="false">
      <c r="A22" s="0" t="s">
        <v>108</v>
      </c>
      <c r="B22" s="3" t="n">
        <v>14</v>
      </c>
    </row>
    <row r="23" customFormat="false" ht="15" hidden="false" customHeight="false" outlineLevel="0" collapsed="false">
      <c r="A23" s="0" t="s">
        <v>109</v>
      </c>
      <c r="B23" s="3" t="n">
        <v>-8</v>
      </c>
    </row>
    <row r="24" customFormat="false" ht="15" hidden="false" customHeight="false" outlineLevel="0" collapsed="false">
      <c r="A24" s="0" t="s">
        <v>110</v>
      </c>
      <c r="B24" s="3" t="n">
        <v>0.25</v>
      </c>
    </row>
    <row r="26" customFormat="false" ht="15" hidden="false" customHeight="false" outlineLevel="0" collapsed="false">
      <c r="A26" s="2" t="s">
        <v>111</v>
      </c>
      <c r="C26" s="2" t="s">
        <v>89</v>
      </c>
      <c r="D26" s="2" t="s">
        <v>90</v>
      </c>
      <c r="E26" s="2" t="s">
        <v>91</v>
      </c>
      <c r="F26" s="2" t="s">
        <v>92</v>
      </c>
      <c r="G26" s="2" t="s">
        <v>93</v>
      </c>
      <c r="H26" s="2" t="s">
        <v>94</v>
      </c>
      <c r="I26" s="2" t="s">
        <v>95</v>
      </c>
      <c r="J26" s="2" t="s">
        <v>96</v>
      </c>
      <c r="K26" s="2" t="s">
        <v>97</v>
      </c>
      <c r="L26" s="2" t="s">
        <v>98</v>
      </c>
    </row>
    <row r="27" customFormat="false" ht="15" hidden="false" customHeight="false" outlineLevel="0" collapsed="false">
      <c r="A27" s="0" t="s">
        <v>99</v>
      </c>
      <c r="C27" s="3" t="n">
        <v>0.5</v>
      </c>
      <c r="D27" s="3" t="n">
        <v>3.5</v>
      </c>
      <c r="E27" s="3" t="n">
        <v>3.5</v>
      </c>
      <c r="F27" s="3" t="n">
        <v>3.5</v>
      </c>
      <c r="G27" s="3" t="n">
        <v>3</v>
      </c>
      <c r="H27" s="3" t="n">
        <v>3</v>
      </c>
      <c r="I27" s="3" t="n">
        <v>2.5</v>
      </c>
      <c r="J27" s="3" t="n">
        <v>2.5</v>
      </c>
      <c r="K27" s="3" t="n">
        <v>2</v>
      </c>
      <c r="L27" s="3" t="n">
        <v>2</v>
      </c>
    </row>
    <row r="28" customFormat="false" ht="15" hidden="false" customHeight="false" outlineLevel="0" collapsed="false">
      <c r="A28" s="0" t="s">
        <v>100</v>
      </c>
      <c r="C28" s="3" t="n">
        <v>12.7</v>
      </c>
      <c r="D28" s="3" t="n">
        <v>13</v>
      </c>
      <c r="E28" s="3" t="n">
        <v>13.4</v>
      </c>
      <c r="F28" s="3" t="n">
        <v>13.6</v>
      </c>
      <c r="G28" s="3" t="n">
        <v>13.7</v>
      </c>
      <c r="H28" s="3" t="n">
        <v>13.7</v>
      </c>
      <c r="I28" s="3" t="n">
        <v>13.7</v>
      </c>
      <c r="J28" s="3" t="n">
        <v>13.7</v>
      </c>
      <c r="K28" s="3" t="n">
        <v>13.7</v>
      </c>
      <c r="L28" s="3" t="n">
        <v>13.7</v>
      </c>
    </row>
    <row r="29" customFormat="false" ht="15" hidden="false" customHeight="false" outlineLevel="0" collapsed="false">
      <c r="A29" s="0" t="s">
        <v>101</v>
      </c>
      <c r="C29" s="3" t="n">
        <v>0.1</v>
      </c>
      <c r="D29" s="3" t="n">
        <v>0.1</v>
      </c>
      <c r="E29" s="3" t="n">
        <v>0.1</v>
      </c>
      <c r="F29" s="3" t="n">
        <v>0.1</v>
      </c>
      <c r="G29" s="3" t="n">
        <v>0.1</v>
      </c>
      <c r="H29" s="3" t="n">
        <v>0.1</v>
      </c>
      <c r="I29" s="3" t="n">
        <v>0.1</v>
      </c>
      <c r="J29" s="3" t="n">
        <v>0.1</v>
      </c>
      <c r="K29" s="3" t="n">
        <v>0.1</v>
      </c>
      <c r="L29" s="3" t="n">
        <v>0.1</v>
      </c>
    </row>
    <row r="30" customFormat="false" ht="15" hidden="false" customHeight="false" outlineLevel="0" collapsed="false">
      <c r="A30" s="0" t="s">
        <v>102</v>
      </c>
      <c r="C30" s="3" t="n">
        <v>2.35</v>
      </c>
      <c r="D30" s="3" t="n">
        <v>2.35</v>
      </c>
      <c r="E30" s="3" t="n">
        <v>2.35</v>
      </c>
      <c r="F30" s="3" t="n">
        <v>2.4</v>
      </c>
      <c r="G30" s="3" t="n">
        <v>2.4</v>
      </c>
      <c r="H30" s="3" t="n">
        <v>2.4</v>
      </c>
      <c r="I30" s="3" t="n">
        <v>2.4</v>
      </c>
      <c r="J30" s="3" t="n">
        <v>2.4</v>
      </c>
      <c r="K30" s="3" t="n">
        <v>2.4</v>
      </c>
      <c r="L30" s="3" t="n">
        <v>2.4</v>
      </c>
    </row>
    <row r="31" customFormat="false" ht="15" hidden="false" customHeight="false" outlineLevel="0" collapsed="false">
      <c r="A31" s="0" t="s">
        <v>103</v>
      </c>
      <c r="C31" s="3" t="n">
        <v>3.3</v>
      </c>
      <c r="D31" s="3" t="n">
        <v>3.4</v>
      </c>
      <c r="E31" s="3" t="n">
        <v>3.5</v>
      </c>
      <c r="F31" s="3" t="n">
        <v>3.6</v>
      </c>
      <c r="G31" s="3" t="n">
        <v>3.6</v>
      </c>
      <c r="H31" s="3" t="n">
        <v>3.7</v>
      </c>
      <c r="I31" s="3" t="n">
        <v>3.7</v>
      </c>
      <c r="J31" s="3" t="n">
        <v>3.7</v>
      </c>
      <c r="K31" s="3" t="n">
        <v>3.7</v>
      </c>
      <c r="L31" s="3" t="n">
        <v>3.7</v>
      </c>
    </row>
    <row r="32" customFormat="false" ht="15" hidden="false" customHeight="false" outlineLevel="0" collapsed="false">
      <c r="A32" s="0" t="s">
        <v>104</v>
      </c>
      <c r="C32" s="3" t="n">
        <v>6</v>
      </c>
      <c r="D32" s="3" t="n">
        <v>6</v>
      </c>
      <c r="E32" s="3" t="n">
        <v>5.7</v>
      </c>
      <c r="F32" s="3" t="n">
        <v>5.5</v>
      </c>
      <c r="G32" s="3" t="n">
        <v>5.3</v>
      </c>
      <c r="H32" s="3" t="n">
        <v>5.2</v>
      </c>
      <c r="I32" s="3" t="n">
        <v>5</v>
      </c>
      <c r="J32" s="3" t="n">
        <v>5</v>
      </c>
      <c r="K32" s="3" t="n">
        <v>5</v>
      </c>
      <c r="L32" s="3" t="n">
        <v>5</v>
      </c>
    </row>
    <row r="33" customFormat="false" ht="15" hidden="false" customHeight="false" outlineLevel="0" collapsed="false">
      <c r="A33" s="0" t="s">
        <v>105</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106</v>
      </c>
      <c r="B34" s="3" t="n">
        <v>8.5</v>
      </c>
    </row>
    <row r="35" customFormat="false" ht="15" hidden="false" customHeight="false" outlineLevel="0" collapsed="false">
      <c r="A35" s="0" t="s">
        <v>107</v>
      </c>
      <c r="B35" s="3" t="n">
        <v>2</v>
      </c>
    </row>
    <row r="36" customFormat="false" ht="15" hidden="false" customHeight="false" outlineLevel="0" collapsed="false">
      <c r="A36" s="0" t="s">
        <v>108</v>
      </c>
      <c r="B36" s="3" t="n">
        <v>15</v>
      </c>
    </row>
    <row r="37" customFormat="false" ht="15" hidden="false" customHeight="false" outlineLevel="0" collapsed="false">
      <c r="A37" s="0" t="s">
        <v>109</v>
      </c>
      <c r="B37" s="3" t="n">
        <v>-8</v>
      </c>
    </row>
    <row r="38" customFormat="false" ht="15" hidden="false" customHeight="false" outlineLevel="0" collapsed="false">
      <c r="A38" s="0" t="s">
        <v>110</v>
      </c>
      <c r="B38" s="3" t="n">
        <v>0.5</v>
      </c>
    </row>
    <row r="40" customFormat="false" ht="15" hidden="false" customHeight="false" outlineLevel="0" collapsed="false">
      <c r="A40" s="2" t="s">
        <v>112</v>
      </c>
      <c r="C40" s="2" t="s">
        <v>89</v>
      </c>
      <c r="D40" s="2" t="s">
        <v>90</v>
      </c>
      <c r="E40" s="2" t="s">
        <v>91</v>
      </c>
      <c r="F40" s="2" t="s">
        <v>92</v>
      </c>
      <c r="G40" s="2" t="s">
        <v>93</v>
      </c>
      <c r="H40" s="2" t="s">
        <v>94</v>
      </c>
      <c r="I40" s="2" t="s">
        <v>95</v>
      </c>
      <c r="J40" s="2" t="s">
        <v>96</v>
      </c>
      <c r="K40" s="2" t="s">
        <v>97</v>
      </c>
      <c r="L40" s="2" t="s">
        <v>98</v>
      </c>
    </row>
    <row r="41" customFormat="false" ht="15" hidden="false" customHeight="false" outlineLevel="0" collapsed="false">
      <c r="A41" s="0" t="s">
        <v>99</v>
      </c>
      <c r="C41" s="3" t="n">
        <v>1</v>
      </c>
      <c r="D41" s="3" t="n">
        <v>5</v>
      </c>
      <c r="E41" s="3" t="n">
        <v>5</v>
      </c>
      <c r="F41" s="3" t="n">
        <v>5</v>
      </c>
      <c r="G41" s="3" t="n">
        <v>4.5</v>
      </c>
      <c r="H41" s="3" t="n">
        <v>4</v>
      </c>
      <c r="I41" s="3" t="n">
        <v>3.5</v>
      </c>
      <c r="J41" s="3" t="n">
        <v>3</v>
      </c>
      <c r="K41" s="3" t="n">
        <v>2.5</v>
      </c>
      <c r="L41" s="3" t="n">
        <v>2.5</v>
      </c>
    </row>
    <row r="42" customFormat="false" ht="15" hidden="false" customHeight="false" outlineLevel="0" collapsed="false">
      <c r="A42" s="0" t="s">
        <v>100</v>
      </c>
      <c r="C42" s="3" t="n">
        <v>12.9</v>
      </c>
      <c r="D42" s="3" t="n">
        <v>13.6</v>
      </c>
      <c r="E42" s="3" t="n">
        <v>14.2</v>
      </c>
      <c r="F42" s="3" t="n">
        <v>14.6</v>
      </c>
      <c r="G42" s="3" t="n">
        <v>14.8</v>
      </c>
      <c r="H42" s="3" t="n">
        <v>14.8</v>
      </c>
      <c r="I42" s="3" t="n">
        <v>14.8</v>
      </c>
      <c r="J42" s="3" t="n">
        <v>14.8</v>
      </c>
      <c r="K42" s="3" t="n">
        <v>14.8</v>
      </c>
      <c r="L42" s="3" t="n">
        <v>14.8</v>
      </c>
    </row>
    <row r="43" customFormat="false" ht="15" hidden="false" customHeight="false" outlineLevel="0" collapsed="false">
      <c r="A43" s="0" t="s">
        <v>101</v>
      </c>
      <c r="C43" s="3" t="n">
        <v>0.1</v>
      </c>
      <c r="D43" s="3" t="n">
        <v>0.1</v>
      </c>
      <c r="E43" s="3" t="n">
        <v>0.1</v>
      </c>
      <c r="F43" s="3" t="n">
        <v>0.1</v>
      </c>
      <c r="G43" s="3" t="n">
        <v>0.1</v>
      </c>
      <c r="H43" s="3" t="n">
        <v>0.1</v>
      </c>
      <c r="I43" s="3" t="n">
        <v>0.1</v>
      </c>
      <c r="J43" s="3" t="n">
        <v>0.1</v>
      </c>
      <c r="K43" s="3" t="n">
        <v>0.1</v>
      </c>
      <c r="L43" s="3" t="n">
        <v>0.1</v>
      </c>
    </row>
    <row r="44" customFormat="false" ht="15" hidden="false" customHeight="false" outlineLevel="0" collapsed="false">
      <c r="A44" s="0" t="s">
        <v>102</v>
      </c>
      <c r="C44" s="3" t="n">
        <v>2.35</v>
      </c>
      <c r="D44" s="3" t="n">
        <v>2.3</v>
      </c>
      <c r="E44" s="3" t="n">
        <v>2.3</v>
      </c>
      <c r="F44" s="3" t="n">
        <v>2.3</v>
      </c>
      <c r="G44" s="3" t="n">
        <v>2.3</v>
      </c>
      <c r="H44" s="3" t="n">
        <v>2.3</v>
      </c>
      <c r="I44" s="3" t="n">
        <v>2.3</v>
      </c>
      <c r="J44" s="3" t="n">
        <v>2.3</v>
      </c>
      <c r="K44" s="3" t="n">
        <v>2.3</v>
      </c>
      <c r="L44" s="3" t="n">
        <v>2.3</v>
      </c>
    </row>
    <row r="45" customFormat="false" ht="15" hidden="false" customHeight="false" outlineLevel="0" collapsed="false">
      <c r="A45" s="0" t="s">
        <v>103</v>
      </c>
      <c r="C45" s="3" t="n">
        <v>3.3</v>
      </c>
      <c r="D45" s="3" t="n">
        <v>3.4</v>
      </c>
      <c r="E45" s="3" t="n">
        <v>3.5</v>
      </c>
      <c r="F45" s="3" t="n">
        <v>3.6</v>
      </c>
      <c r="G45" s="3" t="n">
        <v>3.6</v>
      </c>
      <c r="H45" s="3" t="n">
        <v>3.7</v>
      </c>
      <c r="I45" s="3" t="n">
        <v>3.7</v>
      </c>
      <c r="J45" s="3" t="n">
        <v>3.7</v>
      </c>
      <c r="K45" s="3" t="n">
        <v>3.7</v>
      </c>
      <c r="L45" s="3" t="n">
        <v>3.7</v>
      </c>
    </row>
    <row r="46" customFormat="false" ht="15" hidden="false" customHeight="false" outlineLevel="0" collapsed="false">
      <c r="A46" s="0" t="s">
        <v>104</v>
      </c>
      <c r="C46" s="3" t="n">
        <v>6</v>
      </c>
      <c r="D46" s="3" t="n">
        <v>6</v>
      </c>
      <c r="E46" s="3" t="n">
        <v>5.8</v>
      </c>
      <c r="F46" s="3" t="n">
        <v>5.6</v>
      </c>
      <c r="G46" s="3" t="n">
        <v>5.4</v>
      </c>
      <c r="H46" s="3" t="n">
        <v>5.2</v>
      </c>
      <c r="I46" s="3" t="n">
        <v>5</v>
      </c>
      <c r="J46" s="3" t="n">
        <v>5</v>
      </c>
      <c r="K46" s="3" t="n">
        <v>5</v>
      </c>
      <c r="L46" s="3" t="n">
        <v>5</v>
      </c>
    </row>
    <row r="47" customFormat="false" ht="15" hidden="false" customHeight="false" outlineLevel="0" collapsed="false">
      <c r="A47" s="0" t="s">
        <v>105</v>
      </c>
      <c r="C47" s="3" t="n">
        <v>24</v>
      </c>
      <c r="D47" s="3" t="n">
        <v>24</v>
      </c>
      <c r="E47" s="3" t="n">
        <v>24</v>
      </c>
      <c r="F47" s="3" t="n">
        <v>24</v>
      </c>
      <c r="G47" s="3" t="n">
        <v>24</v>
      </c>
      <c r="H47" s="3" t="n">
        <v>24</v>
      </c>
      <c r="I47" s="3" t="n">
        <v>24</v>
      </c>
      <c r="J47" s="3" t="n">
        <v>24</v>
      </c>
      <c r="K47" s="3" t="n">
        <v>24</v>
      </c>
      <c r="L47" s="3" t="n">
        <v>24</v>
      </c>
    </row>
    <row r="48" customFormat="false" ht="15" hidden="false" customHeight="false" outlineLevel="0" collapsed="false">
      <c r="A48" s="0" t="s">
        <v>106</v>
      </c>
      <c r="B48" s="3" t="n">
        <v>8.5</v>
      </c>
    </row>
    <row r="49" customFormat="false" ht="15" hidden="false" customHeight="false" outlineLevel="0" collapsed="false">
      <c r="A49" s="0" t="s">
        <v>107</v>
      </c>
      <c r="B49" s="3" t="n">
        <v>2.5</v>
      </c>
    </row>
    <row r="50" customFormat="false" ht="15" hidden="false" customHeight="false" outlineLevel="0" collapsed="false">
      <c r="A50" s="0" t="s">
        <v>108</v>
      </c>
      <c r="B50" s="3" t="n">
        <v>16</v>
      </c>
    </row>
    <row r="51" customFormat="false" ht="15" hidden="false" customHeight="false" outlineLevel="0" collapsed="false">
      <c r="A51" s="0" t="s">
        <v>109</v>
      </c>
      <c r="B51" s="3" t="n">
        <v>-8</v>
      </c>
    </row>
    <row r="52" customFormat="false" ht="15" hidden="false" customHeight="false" outlineLevel="0" collapsed="false">
      <c r="A52" s="0" t="s">
        <v>110</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113</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Assumptions!C13</f>
        <v>0</v>
      </c>
      <c r="D5" s="4" t="n">
        <f aca="false">Assumptions!D13</f>
        <v>1.5</v>
      </c>
      <c r="E5" s="4" t="n">
        <f aca="false">Assumptions!E13</f>
        <v>2</v>
      </c>
      <c r="F5" s="4" t="n">
        <f aca="false">Assumptions!F13</f>
        <v>2</v>
      </c>
      <c r="G5" s="4" t="n">
        <f aca="false">Assumptions!G13</f>
        <v>2</v>
      </c>
      <c r="H5" s="4" t="n">
        <f aca="false">Assumptions!H13</f>
        <v>2</v>
      </c>
      <c r="I5" s="4" t="n">
        <f aca="false">Assumptions!I13</f>
        <v>2</v>
      </c>
      <c r="J5" s="4" t="n">
        <f aca="false">Assumptions!J13</f>
        <v>1.5</v>
      </c>
      <c r="K5" s="4" t="n">
        <f aca="false">Assumptions!K13</f>
        <v>1.5</v>
      </c>
      <c r="L5" s="4" t="n">
        <f aca="false">Assumptions!L13</f>
        <v>1.5</v>
      </c>
    </row>
    <row r="6" customFormat="false" ht="15" hidden="false" customHeight="false" outlineLevel="0" collapsed="false">
      <c r="A6" s="0" t="s">
        <v>38</v>
      </c>
      <c r="B6" s="3" t="n">
        <v>19459</v>
      </c>
      <c r="C6" s="0" t="n">
        <f aca="false">B6*(1+C5/100)</f>
        <v>19459</v>
      </c>
      <c r="D6" s="0" t="n">
        <f aca="false">C6*(1+D5/100)</f>
        <v>19750.885</v>
      </c>
      <c r="E6" s="0" t="n">
        <f aca="false">D6*(1+E5/100)</f>
        <v>20145.9027</v>
      </c>
      <c r="F6" s="0" t="n">
        <f aca="false">E6*(1+F5/100)</f>
        <v>20548.820754</v>
      </c>
      <c r="G6" s="0" t="n">
        <f aca="false">F6*(1+G5/100)</f>
        <v>20959.79716908</v>
      </c>
      <c r="H6" s="0" t="n">
        <f aca="false">G6*(1+H5/100)</f>
        <v>21378.9931124616</v>
      </c>
      <c r="I6" s="0" t="n">
        <f aca="false">H6*(1+I5/100)</f>
        <v>21806.5729747108</v>
      </c>
      <c r="J6" s="0" t="n">
        <f aca="false">I6*(1+J5/100)</f>
        <v>22133.6715693315</v>
      </c>
      <c r="K6" s="0" t="n">
        <f aca="false">J6*(1+K5/100)</f>
        <v>22465.6766428715</v>
      </c>
      <c r="L6" s="0" t="n">
        <f aca="false">K6*(1+L5/100)</f>
        <v>22802.6617925145</v>
      </c>
    </row>
    <row r="7" customFormat="false" ht="15" hidden="false" customHeight="false" outlineLevel="0" collapsed="false">
      <c r="A7" s="0" t="s">
        <v>100</v>
      </c>
      <c r="C7" s="4" t="n">
        <f aca="false">Assumptions!C14</f>
        <v>12.3</v>
      </c>
      <c r="D7" s="4" t="n">
        <f aca="false">Assumptions!D14</f>
        <v>12</v>
      </c>
      <c r="E7" s="4" t="n">
        <f aca="false">Assumptions!E14</f>
        <v>12.3</v>
      </c>
      <c r="F7" s="4" t="n">
        <f aca="false">Assumptions!F14</f>
        <v>12.5</v>
      </c>
      <c r="G7" s="4" t="n">
        <f aca="false">Assumptions!G14</f>
        <v>12.5</v>
      </c>
      <c r="H7" s="4" t="n">
        <f aca="false">Assumptions!H14</f>
        <v>12.5</v>
      </c>
      <c r="I7" s="4" t="n">
        <f aca="false">Assumptions!I14</f>
        <v>12.5</v>
      </c>
      <c r="J7" s="4" t="n">
        <f aca="false">Assumptions!J14</f>
        <v>12.5</v>
      </c>
      <c r="K7" s="4" t="n">
        <f aca="false">Assumptions!K14</f>
        <v>12.5</v>
      </c>
      <c r="L7" s="4" t="n">
        <f aca="false">Assumptions!L14</f>
        <v>12.5</v>
      </c>
    </row>
    <row r="8" customFormat="false" ht="15" hidden="false" customHeight="false" outlineLevel="0" collapsed="false">
      <c r="A8" s="0" t="s">
        <v>44</v>
      </c>
      <c r="C8" s="0" t="n">
        <f aca="false">C6*C7/100</f>
        <v>2393.457</v>
      </c>
      <c r="D8" s="0" t="n">
        <f aca="false">D6*D7/100</f>
        <v>2370.1062</v>
      </c>
      <c r="E8" s="0" t="n">
        <f aca="false">E6*E7/100</f>
        <v>2477.9460321</v>
      </c>
      <c r="F8" s="0" t="n">
        <f aca="false">F6*F7/100</f>
        <v>2568.60259425</v>
      </c>
      <c r="G8" s="0" t="n">
        <f aca="false">G6*G7/100</f>
        <v>2619.974646135</v>
      </c>
      <c r="H8" s="0" t="n">
        <f aca="false">H6*H7/100</f>
        <v>2672.3741390577</v>
      </c>
      <c r="I8" s="0" t="n">
        <f aca="false">I6*I7/100</f>
        <v>2725.82162183885</v>
      </c>
      <c r="J8" s="0" t="n">
        <f aca="false">J6*J7/100</f>
        <v>2766.70894616644</v>
      </c>
      <c r="K8" s="0" t="n">
        <f aca="false">K6*K7/100</f>
        <v>2808.20958035893</v>
      </c>
      <c r="L8" s="0" t="n">
        <f aca="false">L6*L7/100</f>
        <v>2850.33272406432</v>
      </c>
    </row>
    <row r="9" customFormat="false" ht="15" hidden="false" customHeight="false" outlineLevel="0" collapsed="false">
      <c r="A9" s="0" t="s">
        <v>101</v>
      </c>
      <c r="C9" s="4" t="n">
        <f aca="false">Assumptions!C15</f>
        <v>0.1</v>
      </c>
      <c r="D9" s="4" t="n">
        <f aca="false">Assumptions!D15</f>
        <v>0.1</v>
      </c>
      <c r="E9" s="4" t="n">
        <f aca="false">Assumptions!E15</f>
        <v>0.1</v>
      </c>
      <c r="F9" s="4" t="n">
        <f aca="false">Assumptions!F15</f>
        <v>0.1</v>
      </c>
      <c r="G9" s="4" t="n">
        <f aca="false">Assumptions!G15</f>
        <v>0.1</v>
      </c>
      <c r="H9" s="4" t="n">
        <f aca="false">Assumptions!H15</f>
        <v>0.1</v>
      </c>
      <c r="I9" s="4" t="n">
        <f aca="false">Assumptions!I15</f>
        <v>0.1</v>
      </c>
      <c r="J9" s="4" t="n">
        <f aca="false">Assumptions!J15</f>
        <v>0.1</v>
      </c>
      <c r="K9" s="4" t="n">
        <f aca="false">Assumptions!K15</f>
        <v>0.1</v>
      </c>
      <c r="L9" s="4" t="n">
        <f aca="false">Assumptions!L15</f>
        <v>0.1</v>
      </c>
    </row>
    <row r="10" customFormat="false" ht="15" hidden="false" customHeight="false" outlineLevel="0" collapsed="false">
      <c r="A10" s="0" t="s">
        <v>116</v>
      </c>
      <c r="C10" s="0" t="n">
        <f aca="false">-C6*C9/100</f>
        <v>-19.459</v>
      </c>
      <c r="D10" s="0" t="n">
        <f aca="false">-D6*D9/100</f>
        <v>-19.750885</v>
      </c>
      <c r="E10" s="0" t="n">
        <f aca="false">-E6*E9/100</f>
        <v>-20.1459027</v>
      </c>
      <c r="F10" s="0" t="n">
        <f aca="false">-F6*F9/100</f>
        <v>-20.548820754</v>
      </c>
      <c r="G10" s="0" t="n">
        <f aca="false">-G6*G9/100</f>
        <v>-20.95979716908</v>
      </c>
      <c r="H10" s="0" t="n">
        <f aca="false">-H6*H9/100</f>
        <v>-21.3789931124616</v>
      </c>
      <c r="I10" s="0" t="n">
        <f aca="false">-I6*I9/100</f>
        <v>-21.8065729747108</v>
      </c>
      <c r="J10" s="0" t="n">
        <f aca="false">-J6*J9/100</f>
        <v>-22.1336715693315</v>
      </c>
      <c r="K10" s="0" t="n">
        <f aca="false">-K6*K9/100</f>
        <v>-22.4656766428715</v>
      </c>
      <c r="L10" s="0" t="n">
        <f aca="false">-L6*L9/100</f>
        <v>-22.8026617925145</v>
      </c>
    </row>
    <row r="11" customFormat="false" ht="15" hidden="false" customHeight="false" outlineLevel="0" collapsed="false">
      <c r="A11" s="0" t="s">
        <v>117</v>
      </c>
      <c r="C11" s="0" t="n">
        <f aca="false">C8+C10+C24</f>
        <v>1906.982</v>
      </c>
      <c r="D11" s="0" t="n">
        <f aca="false">D8+D10+D24</f>
        <v>1866.4586325</v>
      </c>
      <c r="E11" s="0" t="n">
        <f aca="false">E8+E10+E24</f>
        <v>1954.1525619</v>
      </c>
      <c r="F11" s="0" t="n">
        <f aca="false">F8+F10+F24</f>
        <v>2034.333254646</v>
      </c>
      <c r="G11" s="0" t="n">
        <f aca="false">G8+G10+G24</f>
        <v>2075.01991973892</v>
      </c>
      <c r="H11" s="0" t="n">
        <f aca="false">H8+H10+H24</f>
        <v>2116.5203181337</v>
      </c>
      <c r="I11" s="0" t="n">
        <f aca="false">I8+I10+I24</f>
        <v>2158.85072449637</v>
      </c>
      <c r="J11" s="0" t="n">
        <f aca="false">J8+J10+J24</f>
        <v>2191.23348536382</v>
      </c>
      <c r="K11" s="0" t="n">
        <f aca="false">K8+K10+K24</f>
        <v>2224.10198764428</v>
      </c>
      <c r="L11" s="0" t="n">
        <f aca="false">L8+L10+L24</f>
        <v>2257.46351745894</v>
      </c>
    </row>
    <row r="12" customFormat="false" ht="15" hidden="false" customHeight="false" outlineLevel="0" collapsed="false">
      <c r="A12" s="0" t="s">
        <v>118</v>
      </c>
      <c r="C12" s="4" t="n">
        <f aca="false">-C6*Assumptions!C17/100</f>
        <v>-642.147</v>
      </c>
      <c r="D12" s="4" t="n">
        <f aca="false">-D6*Assumptions!D17/100</f>
        <v>-671.53009</v>
      </c>
      <c r="E12" s="4" t="n">
        <f aca="false">-E6*Assumptions!E17/100</f>
        <v>-705.1065945</v>
      </c>
      <c r="F12" s="4" t="n">
        <f aca="false">-F6*Assumptions!F17/100</f>
        <v>-739.757547144</v>
      </c>
      <c r="G12" s="4" t="n">
        <f aca="false">-G6*Assumptions!G17/100</f>
        <v>-754.55269808688</v>
      </c>
      <c r="H12" s="4" t="n">
        <f aca="false">-H6*Assumptions!H17/100</f>
        <v>-791.022745161079</v>
      </c>
      <c r="I12" s="4" t="n">
        <f aca="false">-I6*Assumptions!I17/100</f>
        <v>-806.843200064301</v>
      </c>
      <c r="J12" s="4" t="n">
        <f aca="false">-J6*Assumptions!J17/100</f>
        <v>-818.945848065265</v>
      </c>
      <c r="K12" s="4" t="n">
        <f aca="false">-K6*Assumptions!K17/100</f>
        <v>-831.230035786244</v>
      </c>
      <c r="L12" s="4" t="n">
        <f aca="false">-L6*Assumptions!L17/100</f>
        <v>-843.698486323038</v>
      </c>
    </row>
    <row r="13" customFormat="false" ht="15" hidden="false" customHeight="false" outlineLevel="0" collapsed="false">
      <c r="A13" s="0" t="s">
        <v>119</v>
      </c>
      <c r="C13" s="0" t="n">
        <f aca="false">C11+C12</f>
        <v>1264.835</v>
      </c>
      <c r="D13" s="0" t="n">
        <f aca="false">D11+D12</f>
        <v>1194.9285425</v>
      </c>
      <c r="E13" s="0" t="n">
        <f aca="false">E11+E12</f>
        <v>1249.0459674</v>
      </c>
      <c r="F13" s="0" t="n">
        <f aca="false">F11+F12</f>
        <v>1294.575707502</v>
      </c>
      <c r="G13" s="0" t="n">
        <f aca="false">G11+G12</f>
        <v>1320.46722165204</v>
      </c>
      <c r="H13" s="0" t="n">
        <f aca="false">H11+H12</f>
        <v>1325.49757297262</v>
      </c>
      <c r="I13" s="0" t="n">
        <f aca="false">I11+I12</f>
        <v>1352.00752443207</v>
      </c>
      <c r="J13" s="0" t="n">
        <f aca="false">J11+J12</f>
        <v>1372.28763729855</v>
      </c>
      <c r="K13" s="0" t="n">
        <f aca="false">K11+K12</f>
        <v>1392.87195185803</v>
      </c>
      <c r="L13" s="0" t="n">
        <f aca="false">L11+L12</f>
        <v>1413.7650311359</v>
      </c>
    </row>
    <row r="14" customFormat="false" ht="15" hidden="false" customHeight="false" outlineLevel="0" collapsed="false">
      <c r="A14" s="0" t="s">
        <v>105</v>
      </c>
      <c r="C14" s="4" t="n">
        <f aca="false">Assumptions!C19</f>
        <v>24</v>
      </c>
      <c r="D14" s="4" t="n">
        <f aca="false">Assumptions!D19</f>
        <v>24</v>
      </c>
      <c r="E14" s="4" t="n">
        <f aca="false">Assumptions!E19</f>
        <v>24</v>
      </c>
      <c r="F14" s="4" t="n">
        <f aca="false">Assumptions!F19</f>
        <v>24</v>
      </c>
      <c r="G14" s="4" t="n">
        <f aca="false">Assumptions!G19</f>
        <v>24</v>
      </c>
      <c r="H14" s="4" t="n">
        <f aca="false">Assumptions!H19</f>
        <v>24</v>
      </c>
      <c r="I14" s="4" t="n">
        <f aca="false">Assumptions!I19</f>
        <v>24</v>
      </c>
      <c r="J14" s="4" t="n">
        <f aca="false">Assumptions!J19</f>
        <v>24</v>
      </c>
      <c r="K14" s="4" t="n">
        <f aca="false">Assumptions!K19</f>
        <v>24</v>
      </c>
      <c r="L14" s="4" t="n">
        <f aca="false">Assumptions!L19</f>
        <v>24</v>
      </c>
    </row>
    <row r="15" customFormat="false" ht="15" hidden="false" customHeight="false" outlineLevel="0" collapsed="false">
      <c r="A15" s="0" t="s">
        <v>120</v>
      </c>
      <c r="C15" s="0" t="n">
        <f aca="false">C13-MAX(0,C13)*C14/100</f>
        <v>961.2746</v>
      </c>
      <c r="D15" s="0" t="n">
        <f aca="false">D13-MAX(0,D13)*D14/100</f>
        <v>908.1456923</v>
      </c>
      <c r="E15" s="0" t="n">
        <f aca="false">E13-MAX(0,E13)*E14/100</f>
        <v>949.274935224</v>
      </c>
      <c r="F15" s="0" t="n">
        <f aca="false">F13-MAX(0,F13)*F14/100</f>
        <v>983.87753770152</v>
      </c>
      <c r="G15" s="0" t="n">
        <f aca="false">G13-MAX(0,G13)*G14/100</f>
        <v>1003.55508845555</v>
      </c>
      <c r="H15" s="0" t="n">
        <f aca="false">H13-MAX(0,H13)*H14/100</f>
        <v>1007.37815545919</v>
      </c>
      <c r="I15" s="0" t="n">
        <f aca="false">I13-MAX(0,I13)*I14/100</f>
        <v>1027.52571856837</v>
      </c>
      <c r="J15" s="0" t="n">
        <f aca="false">J13-MAX(0,J13)*J14/100</f>
        <v>1042.9386043469</v>
      </c>
      <c r="K15" s="0" t="n">
        <f aca="false">K13-MAX(0,K13)*K14/100</f>
        <v>1058.5826834121</v>
      </c>
      <c r="L15" s="0" t="n">
        <f aca="false">L13-MAX(0,L13)*L14/100</f>
        <v>1074.46142366329</v>
      </c>
    </row>
    <row r="16" customFormat="false" ht="15" hidden="false" customHeight="false" outlineLevel="0" collapsed="false">
      <c r="A16" s="0" t="s">
        <v>121</v>
      </c>
      <c r="C16" s="0" t="n">
        <f aca="false">-C12</f>
        <v>642.147</v>
      </c>
      <c r="D16" s="0" t="n">
        <f aca="false">-D12</f>
        <v>671.53009</v>
      </c>
      <c r="E16" s="0" t="n">
        <f aca="false">-E12</f>
        <v>705.1065945</v>
      </c>
      <c r="F16" s="0" t="n">
        <f aca="false">-F12</f>
        <v>739.757547144</v>
      </c>
      <c r="G16" s="0" t="n">
        <f aca="false">-G12</f>
        <v>754.55269808688</v>
      </c>
      <c r="H16" s="0" t="n">
        <f aca="false">-H12</f>
        <v>791.022745161079</v>
      </c>
      <c r="I16" s="0" t="n">
        <f aca="false">-I12</f>
        <v>806.843200064301</v>
      </c>
      <c r="J16" s="0" t="n">
        <f aca="false">-J12</f>
        <v>818.945848065265</v>
      </c>
      <c r="K16" s="0" t="n">
        <f aca="false">-K12</f>
        <v>831.230035786244</v>
      </c>
      <c r="L16" s="0" t="n">
        <f aca="false">-L12</f>
        <v>843.698486323038</v>
      </c>
    </row>
    <row r="17" customFormat="false" ht="15" hidden="false" customHeight="false" outlineLevel="0" collapsed="false">
      <c r="A17" s="0" t="s">
        <v>122</v>
      </c>
      <c r="C17" s="4" t="n">
        <f aca="false">-C6*Assumptions!C18/100</f>
        <v>-1167.54</v>
      </c>
      <c r="D17" s="4" t="n">
        <f aca="false">-D6*Assumptions!D18/100</f>
        <v>-1185.0531</v>
      </c>
      <c r="E17" s="4" t="n">
        <f aca="false">-E6*Assumptions!E18/100</f>
        <v>-1168.4623566</v>
      </c>
      <c r="F17" s="4" t="n">
        <f aca="false">-F6*Assumptions!F18/100</f>
        <v>-1150.733962224</v>
      </c>
      <c r="G17" s="4" t="n">
        <f aca="false">-G6*Assumptions!G18/100</f>
        <v>-1152.7888442994</v>
      </c>
      <c r="H17" s="4" t="n">
        <f aca="false">-H6*Assumptions!H18/100</f>
        <v>-1175.84462118539</v>
      </c>
      <c r="I17" s="4" t="n">
        <f aca="false">-I6*Assumptions!I18/100</f>
        <v>-1199.3615136091</v>
      </c>
      <c r="J17" s="4" t="n">
        <f aca="false">-J6*Assumptions!J18/100</f>
        <v>-1217.35193631323</v>
      </c>
      <c r="K17" s="4" t="n">
        <f aca="false">-K6*Assumptions!K18/100</f>
        <v>-1235.61221535793</v>
      </c>
      <c r="L17" s="4" t="n">
        <f aca="false">-L6*Assumptions!L18/100</f>
        <v>-1254.1463985883</v>
      </c>
    </row>
    <row r="18" customFormat="false" ht="15" hidden="false" customHeight="false" outlineLevel="0" collapsed="false">
      <c r="A18" s="0" t="s">
        <v>123</v>
      </c>
      <c r="C18" s="4" t="n">
        <f aca="false">(C6-B6)*Assumptions!$B$23/100</f>
        <v>-0</v>
      </c>
      <c r="D18" s="4" t="n">
        <f aca="false">(D6-C6)*Assumptions!$B$23/100</f>
        <v>-23.3507999999999</v>
      </c>
      <c r="E18" s="4" t="n">
        <f aca="false">(E6-D6)*Assumptions!$B$23/100</f>
        <v>-31.601416</v>
      </c>
      <c r="F18" s="4" t="n">
        <f aca="false">(F6-E6)*Assumptions!$B$23/100</f>
        <v>-32.2334443200001</v>
      </c>
      <c r="G18" s="4" t="n">
        <f aca="false">(G6-F6)*Assumptions!$B$23/100</f>
        <v>-32.8781132064</v>
      </c>
      <c r="H18" s="4" t="n">
        <f aca="false">(H6-G6)*Assumptions!$B$23/100</f>
        <v>-33.5356754705281</v>
      </c>
      <c r="I18" s="4" t="n">
        <f aca="false">(I6-H6)*Assumptions!$B$23/100</f>
        <v>-34.2063889799386</v>
      </c>
      <c r="J18" s="4" t="n">
        <f aca="false">(J6-I6)*Assumptions!$B$23/100</f>
        <v>-26.1678875696528</v>
      </c>
      <c r="K18" s="4" t="n">
        <f aca="false">(K6-J6)*Assumptions!$B$23/100</f>
        <v>-26.5604058831977</v>
      </c>
      <c r="L18" s="4" t="n">
        <f aca="false">(L6-K6)*Assumptions!$B$23/100</f>
        <v>-26.9588119714457</v>
      </c>
    </row>
    <row r="19" customFormat="false" ht="15" hidden="false" customHeight="false" outlineLevel="0" collapsed="false">
      <c r="A19" s="0" t="s">
        <v>124</v>
      </c>
      <c r="C19" s="0" t="n">
        <f aca="false">C15+C16+C17+C18</f>
        <v>435.8816</v>
      </c>
      <c r="D19" s="0" t="n">
        <f aca="false">D15+D16+D17+D18</f>
        <v>371.2718823</v>
      </c>
      <c r="E19" s="0" t="n">
        <f aca="false">E15+E16+E17+E18</f>
        <v>454.317757124</v>
      </c>
      <c r="F19" s="0" t="n">
        <f aca="false">F15+F16+F17+F18</f>
        <v>540.66767830152</v>
      </c>
      <c r="G19" s="0" t="n">
        <f aca="false">G15+G16+G17+G18</f>
        <v>572.440829036631</v>
      </c>
      <c r="H19" s="0" t="n">
        <f aca="false">H15+H16+H17+H18</f>
        <v>589.020603964354</v>
      </c>
      <c r="I19" s="0" t="n">
        <f aca="false">I15+I16+I17+I18</f>
        <v>600.801016043641</v>
      </c>
      <c r="J19" s="0" t="n">
        <f aca="false">J15+J16+J17+J18</f>
        <v>618.364628529281</v>
      </c>
      <c r="K19" s="0" t="n">
        <f aca="false">K15+K16+K17+K18</f>
        <v>627.640097957219</v>
      </c>
      <c r="L19" s="0" t="n">
        <f aca="false">L15+L16+L17+L18</f>
        <v>637.054699426578</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401.734193548387</v>
      </c>
      <c r="D21" s="0" t="n">
        <f aca="false">D19*D20</f>
        <v>315.378863258936</v>
      </c>
      <c r="E21" s="0" t="n">
        <f aca="false">E19*E20</f>
        <v>355.689051313265</v>
      </c>
      <c r="F21" s="0" t="n">
        <f aca="false">F19*F20</f>
        <v>390.131892997235</v>
      </c>
      <c r="G21" s="0" t="n">
        <f aca="false">G19*G20</f>
        <v>380.699153454249</v>
      </c>
      <c r="H21" s="0" t="n">
        <f aca="false">H19*H20</f>
        <v>361.037287455377</v>
      </c>
      <c r="I21" s="0" t="n">
        <f aca="false">I19*I20</f>
        <v>339.408325534087</v>
      </c>
      <c r="J21" s="0" t="n">
        <f aca="false">J19*J20</f>
        <v>321.96356962395</v>
      </c>
      <c r="K21" s="0" t="n">
        <f aca="false">K19*K20</f>
        <v>301.191726422405</v>
      </c>
      <c r="L21" s="0" t="n">
        <f aca="false">L19*L20</f>
        <v>281.760002137089</v>
      </c>
    </row>
    <row r="23" customFormat="false" ht="15" hidden="false" customHeight="false" outlineLevel="0" collapsed="false">
      <c r="A23" s="0" t="s">
        <v>102</v>
      </c>
      <c r="C23" s="4" t="n">
        <f aca="false">Assumptions!C16</f>
        <v>2.4</v>
      </c>
      <c r="D23" s="4" t="n">
        <f aca="false">Assumptions!D16</f>
        <v>2.45</v>
      </c>
      <c r="E23" s="4" t="n">
        <f aca="false">Assumptions!E16</f>
        <v>2.5</v>
      </c>
      <c r="F23" s="4" t="n">
        <f aca="false">Assumptions!F16</f>
        <v>2.5</v>
      </c>
      <c r="G23" s="4" t="n">
        <f aca="false">Assumptions!G16</f>
        <v>2.5</v>
      </c>
      <c r="H23" s="4" t="n">
        <f aca="false">Assumptions!H16</f>
        <v>2.5</v>
      </c>
      <c r="I23" s="4" t="n">
        <f aca="false">Assumptions!I16</f>
        <v>2.5</v>
      </c>
      <c r="J23" s="4" t="n">
        <f aca="false">Assumptions!J16</f>
        <v>2.5</v>
      </c>
      <c r="K23" s="4" t="n">
        <f aca="false">Assumptions!K16</f>
        <v>2.5</v>
      </c>
      <c r="L23" s="4" t="n">
        <f aca="false">Assumptions!L16</f>
        <v>2.5</v>
      </c>
    </row>
    <row r="24" customFormat="false" ht="15" hidden="false" customHeight="false" outlineLevel="0" collapsed="false">
      <c r="A24" s="0" t="s">
        <v>127</v>
      </c>
      <c r="C24" s="0" t="n">
        <f aca="false">-C6*C23/100</f>
        <v>-467.016</v>
      </c>
      <c r="D24" s="0" t="n">
        <f aca="false">-D6*D23/100</f>
        <v>-483.8966825</v>
      </c>
      <c r="E24" s="0" t="n">
        <f aca="false">-E6*E23/100</f>
        <v>-503.6475675</v>
      </c>
      <c r="F24" s="0" t="n">
        <f aca="false">-F6*F23/100</f>
        <v>-513.72051885</v>
      </c>
      <c r="G24" s="0" t="n">
        <f aca="false">-G6*G23/100</f>
        <v>-523.994929227</v>
      </c>
      <c r="H24" s="0" t="n">
        <f aca="false">-H6*H23/100</f>
        <v>-534.47482781154</v>
      </c>
      <c r="I24" s="0" t="n">
        <f aca="false">-I6*I23/100</f>
        <v>-545.164324367771</v>
      </c>
      <c r="J24" s="0" t="n">
        <f aca="false">-J6*J23/100</f>
        <v>-553.341789233287</v>
      </c>
      <c r="K24" s="0" t="n">
        <f aca="false">-K6*K23/100</f>
        <v>-561.641916071787</v>
      </c>
      <c r="L24" s="0" t="n">
        <f aca="false">-L6*L23/100</f>
        <v>-570.066544812863</v>
      </c>
    </row>
    <row r="26" customFormat="false" ht="15" hidden="false" customHeight="false" outlineLevel="0" collapsed="false">
      <c r="A26" s="2" t="s">
        <v>128</v>
      </c>
    </row>
    <row r="27" customFormat="false" ht="15" hidden="false" customHeight="false" outlineLevel="0" collapsed="false">
      <c r="A27" s="0" t="s">
        <v>106</v>
      </c>
      <c r="B27" s="4" t="n">
        <f aca="false">Assumptions!$B$20</f>
        <v>8.5</v>
      </c>
    </row>
    <row r="28" customFormat="false" ht="15" hidden="false" customHeight="false" outlineLevel="0" collapsed="false">
      <c r="A28" s="0" t="s">
        <v>107</v>
      </c>
      <c r="B28" s="4" t="n">
        <f aca="false">Assumptions!$B$21</f>
        <v>1.5</v>
      </c>
    </row>
    <row r="29" customFormat="false" ht="15" hidden="false" customHeight="false" outlineLevel="0" collapsed="false">
      <c r="A29" s="0" t="s">
        <v>108</v>
      </c>
      <c r="B29" s="4" t="n">
        <f aca="false">Assumptions!$B$22</f>
        <v>14</v>
      </c>
    </row>
    <row r="30" customFormat="false" ht="15" hidden="false" customHeight="false" outlineLevel="0" collapsed="false">
      <c r="A30" s="0" t="s">
        <v>129</v>
      </c>
      <c r="B30" s="0" t="n">
        <f aca="false">SUM(C21:L21)</f>
        <v>3448.99406574498</v>
      </c>
    </row>
    <row r="31" customFormat="false" ht="15" hidden="false" customHeight="false" outlineLevel="0" collapsed="false">
      <c r="A31" s="0" t="s">
        <v>130</v>
      </c>
      <c r="B31" s="0" t="n">
        <f aca="false">L19</f>
        <v>637.054699426578</v>
      </c>
    </row>
    <row r="32" customFormat="false" ht="15" hidden="false" customHeight="false" outlineLevel="0" collapsed="false">
      <c r="A32" s="0" t="s">
        <v>131</v>
      </c>
      <c r="B32" s="0" t="n">
        <f aca="false">IF(B27&gt;B28,B31*(1+B28/100)/((B27-B28)/100),B31*B29)</f>
        <v>9237.29314168538</v>
      </c>
    </row>
    <row r="33" customFormat="false" ht="15" hidden="false" customHeight="false" outlineLevel="0" collapsed="false">
      <c r="A33" s="0" t="s">
        <v>132</v>
      </c>
      <c r="B33" s="0" t="n">
        <f aca="false">B31*B29</f>
        <v>8918.76579197209</v>
      </c>
    </row>
    <row r="34" customFormat="false" ht="15" hidden="false" customHeight="false" outlineLevel="0" collapsed="false">
      <c r="A34" s="0" t="s">
        <v>133</v>
      </c>
      <c r="B34" s="0" t="n">
        <f aca="false">MAX(0,MIN(B32,B33))</f>
        <v>8918.76579197209</v>
      </c>
    </row>
    <row r="35" customFormat="false" ht="15" hidden="false" customHeight="false" outlineLevel="0" collapsed="false">
      <c r="A35" s="0" t="s">
        <v>134</v>
      </c>
      <c r="B35" s="0" t="n">
        <f aca="false">B34/(1+B27/100)^L4</f>
        <v>3944.64002991924</v>
      </c>
    </row>
    <row r="36" customFormat="false" ht="15" hidden="false" customHeight="false" outlineLevel="0" collapsed="false">
      <c r="A36" s="0" t="s">
        <v>135</v>
      </c>
      <c r="B36" s="0" t="n">
        <f aca="false">B30+B35</f>
        <v>7393.63409566422</v>
      </c>
    </row>
    <row r="37" customFormat="false" ht="15" hidden="false" customHeight="false" outlineLevel="0" collapsed="false">
      <c r="A37" s="0" t="s">
        <v>136</v>
      </c>
      <c r="B37" s="0" t="n">
        <f aca="false">B36+Assumptions!$B$5-Assumptions!$B$4</f>
        <v>7238.63409566422</v>
      </c>
    </row>
    <row r="38" customFormat="false" ht="15" hidden="false" customHeight="false" outlineLevel="0" collapsed="false">
      <c r="A38" s="0" t="s">
        <v>137</v>
      </c>
      <c r="B38" s="0" t="n">
        <f aca="false">B37/Assumptions!$B$3*Assumptions!$B$10</f>
        <v>1025.30227983912</v>
      </c>
    </row>
    <row r="39" customFormat="false" ht="15" hidden="false" customHeight="false" outlineLevel="0" collapsed="false">
      <c r="A39" s="0" t="s">
        <v>138</v>
      </c>
      <c r="B39" s="4" t="n">
        <f aca="false">B38/Assumptions!$B$2-1</f>
        <v>-0.438498203812089</v>
      </c>
    </row>
    <row r="41" customFormat="false" ht="15" hidden="false" customHeight="false" outlineLevel="0" collapsed="false">
      <c r="A41" s="0" t="s">
        <v>139</v>
      </c>
      <c r="B41" s="0" t="n">
        <f aca="false">SUMPRODUCT(-C10:L10/(1+$B$27/100)^C4:L4)</f>
        <v>137.064853540035</v>
      </c>
    </row>
    <row r="42" customFormat="false" ht="15" hidden="false" customHeight="false" outlineLevel="0" collapsed="false">
      <c r="A42" s="0" t="s">
        <v>140</v>
      </c>
      <c r="B42" s="0" t="n">
        <f aca="false">IF(B27&gt;B28,-L10*(1+B28/100)/((B27-B28)/100),-L10*20)/(1+B27/100)^L4</f>
        <v>146.2366286553</v>
      </c>
    </row>
    <row r="43" customFormat="false" ht="15" hidden="false" customHeight="false" outlineLevel="0" collapsed="false">
      <c r="A43" s="0" t="s">
        <v>141</v>
      </c>
      <c r="B43" s="0" t="n">
        <f aca="false">(B37+B41+B42)/Assumptions!$B$3*Assumptions!$B$10</f>
        <v>1065.42996853535</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4789.70755494797</v>
      </c>
    </row>
    <row r="47" customFormat="false" ht="15" hidden="false" customHeight="false" outlineLevel="0" collapsed="false">
      <c r="A47" s="0" t="s">
        <v>143</v>
      </c>
      <c r="B47" s="0" t="n">
        <f aca="false">(SUMPRODUCT(C19:L19/(1+B45/100)^C4:L4)+B46/(1+B45/100)^L4+Assumptions!$B$5-Assumptions!$B$4)/Assumptions!$B$3*Assumptions!$B$10</f>
        <v>509.872699096915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Assumptions!C27</f>
        <v>0.5</v>
      </c>
      <c r="D5" s="4" t="n">
        <f aca="false">Assumptions!D27</f>
        <v>3.5</v>
      </c>
      <c r="E5" s="4" t="n">
        <f aca="false">Assumptions!E27</f>
        <v>3.5</v>
      </c>
      <c r="F5" s="4" t="n">
        <f aca="false">Assumptions!F27</f>
        <v>3.5</v>
      </c>
      <c r="G5" s="4" t="n">
        <f aca="false">Assumptions!G27</f>
        <v>3</v>
      </c>
      <c r="H5" s="4" t="n">
        <f aca="false">Assumptions!H27</f>
        <v>3</v>
      </c>
      <c r="I5" s="4" t="n">
        <f aca="false">Assumptions!I27</f>
        <v>2.5</v>
      </c>
      <c r="J5" s="4" t="n">
        <f aca="false">Assumptions!J27</f>
        <v>2.5</v>
      </c>
      <c r="K5" s="4" t="n">
        <f aca="false">Assumptions!K27</f>
        <v>2</v>
      </c>
      <c r="L5" s="4" t="n">
        <f aca="false">Assumptions!L27</f>
        <v>2</v>
      </c>
    </row>
    <row r="6" customFormat="false" ht="15" hidden="false" customHeight="false" outlineLevel="0" collapsed="false">
      <c r="A6" s="0" t="s">
        <v>38</v>
      </c>
      <c r="B6" s="3" t="n">
        <v>19459</v>
      </c>
      <c r="C6" s="0" t="n">
        <f aca="false">B6*(1+C5/100)</f>
        <v>19556.295</v>
      </c>
      <c r="D6" s="0" t="n">
        <f aca="false">C6*(1+D5/100)</f>
        <v>20240.765325</v>
      </c>
      <c r="E6" s="0" t="n">
        <f aca="false">D6*(1+E5/100)</f>
        <v>20949.192111375</v>
      </c>
      <c r="F6" s="0" t="n">
        <f aca="false">E6*(1+F5/100)</f>
        <v>21682.4138352731</v>
      </c>
      <c r="G6" s="0" t="n">
        <f aca="false">F6*(1+G5/100)</f>
        <v>22332.8862503313</v>
      </c>
      <c r="H6" s="0" t="n">
        <f aca="false">G6*(1+H5/100)</f>
        <v>23002.8728378413</v>
      </c>
      <c r="I6" s="0" t="n">
        <f aca="false">H6*(1+I5/100)</f>
        <v>23577.9446587873</v>
      </c>
      <c r="J6" s="0" t="n">
        <f aca="false">I6*(1+J5/100)</f>
        <v>24167.393275257</v>
      </c>
      <c r="K6" s="0" t="n">
        <f aca="false">J6*(1+K5/100)</f>
        <v>24650.7411407621</v>
      </c>
      <c r="L6" s="0" t="n">
        <f aca="false">K6*(1+L5/100)</f>
        <v>25143.7559635773</v>
      </c>
    </row>
    <row r="7" customFormat="false" ht="15" hidden="false" customHeight="false" outlineLevel="0" collapsed="false">
      <c r="A7" s="0" t="s">
        <v>100</v>
      </c>
      <c r="C7" s="4" t="n">
        <f aca="false">Assumptions!C28</f>
        <v>12.7</v>
      </c>
      <c r="D7" s="4" t="n">
        <f aca="false">Assumptions!D28</f>
        <v>13</v>
      </c>
      <c r="E7" s="4" t="n">
        <f aca="false">Assumptions!E28</f>
        <v>13.4</v>
      </c>
      <c r="F7" s="4" t="n">
        <f aca="false">Assumptions!F28</f>
        <v>13.6</v>
      </c>
      <c r="G7" s="4" t="n">
        <f aca="false">Assumptions!G28</f>
        <v>13.7</v>
      </c>
      <c r="H7" s="4" t="n">
        <f aca="false">Assumptions!H28</f>
        <v>13.7</v>
      </c>
      <c r="I7" s="4" t="n">
        <f aca="false">Assumptions!I28</f>
        <v>13.7</v>
      </c>
      <c r="J7" s="4" t="n">
        <f aca="false">Assumptions!J28</f>
        <v>13.7</v>
      </c>
      <c r="K7" s="4" t="n">
        <f aca="false">Assumptions!K28</f>
        <v>13.7</v>
      </c>
      <c r="L7" s="4" t="n">
        <f aca="false">Assumptions!L28</f>
        <v>13.7</v>
      </c>
    </row>
    <row r="8" customFormat="false" ht="15" hidden="false" customHeight="false" outlineLevel="0" collapsed="false">
      <c r="A8" s="0" t="s">
        <v>44</v>
      </c>
      <c r="C8" s="0" t="n">
        <f aca="false">C6*C7/100</f>
        <v>2483.649465</v>
      </c>
      <c r="D8" s="0" t="n">
        <f aca="false">D6*D7/100</f>
        <v>2631.29949225</v>
      </c>
      <c r="E8" s="0" t="n">
        <f aca="false">E6*E7/100</f>
        <v>2807.19174292425</v>
      </c>
      <c r="F8" s="0" t="n">
        <f aca="false">F6*F7/100</f>
        <v>2948.80828159714</v>
      </c>
      <c r="G8" s="0" t="n">
        <f aca="false">G6*G7/100</f>
        <v>3059.60541629539</v>
      </c>
      <c r="H8" s="0" t="n">
        <f aca="false">H6*H7/100</f>
        <v>3151.39357878425</v>
      </c>
      <c r="I8" s="0" t="n">
        <f aca="false">I6*I7/100</f>
        <v>3230.17841825386</v>
      </c>
      <c r="J8" s="0" t="n">
        <f aca="false">J6*J7/100</f>
        <v>3310.9328787102</v>
      </c>
      <c r="K8" s="0" t="n">
        <f aca="false">K6*K7/100</f>
        <v>3377.15153628441</v>
      </c>
      <c r="L8" s="0" t="n">
        <f aca="false">L6*L7/100</f>
        <v>3444.6945670101</v>
      </c>
    </row>
    <row r="9" customFormat="false" ht="15" hidden="false" customHeight="false" outlineLevel="0" collapsed="false">
      <c r="A9" s="0" t="s">
        <v>101</v>
      </c>
      <c r="C9" s="4" t="n">
        <f aca="false">Assumptions!C29</f>
        <v>0.1</v>
      </c>
      <c r="D9" s="4" t="n">
        <f aca="false">Assumptions!D29</f>
        <v>0.1</v>
      </c>
      <c r="E9" s="4" t="n">
        <f aca="false">Assumptions!E29</f>
        <v>0.1</v>
      </c>
      <c r="F9" s="4" t="n">
        <f aca="false">Assumptions!F29</f>
        <v>0.1</v>
      </c>
      <c r="G9" s="4" t="n">
        <f aca="false">Assumptions!G29</f>
        <v>0.1</v>
      </c>
      <c r="H9" s="4" t="n">
        <f aca="false">Assumptions!H29</f>
        <v>0.1</v>
      </c>
      <c r="I9" s="4" t="n">
        <f aca="false">Assumptions!I29</f>
        <v>0.1</v>
      </c>
      <c r="J9" s="4" t="n">
        <f aca="false">Assumptions!J29</f>
        <v>0.1</v>
      </c>
      <c r="K9" s="4" t="n">
        <f aca="false">Assumptions!K29</f>
        <v>0.1</v>
      </c>
      <c r="L9" s="4" t="n">
        <f aca="false">Assumptions!L29</f>
        <v>0.1</v>
      </c>
    </row>
    <row r="10" customFormat="false" ht="15" hidden="false" customHeight="false" outlineLevel="0" collapsed="false">
      <c r="A10" s="0" t="s">
        <v>116</v>
      </c>
      <c r="C10" s="0" t="n">
        <f aca="false">-C6*C9/100</f>
        <v>-19.556295</v>
      </c>
      <c r="D10" s="0" t="n">
        <f aca="false">-D6*D9/100</f>
        <v>-20.240765325</v>
      </c>
      <c r="E10" s="0" t="n">
        <f aca="false">-E6*E9/100</f>
        <v>-20.949192111375</v>
      </c>
      <c r="F10" s="0" t="n">
        <f aca="false">-F6*F9/100</f>
        <v>-21.6824138352731</v>
      </c>
      <c r="G10" s="0" t="n">
        <f aca="false">-G6*G9/100</f>
        <v>-22.3328862503313</v>
      </c>
      <c r="H10" s="0" t="n">
        <f aca="false">-H6*H9/100</f>
        <v>-23.0028728378413</v>
      </c>
      <c r="I10" s="0" t="n">
        <f aca="false">-I6*I9/100</f>
        <v>-23.5779446587873</v>
      </c>
      <c r="J10" s="0" t="n">
        <f aca="false">-J6*J9/100</f>
        <v>-24.167393275257</v>
      </c>
      <c r="K10" s="0" t="n">
        <f aca="false">-K6*K9/100</f>
        <v>-24.6507411407621</v>
      </c>
      <c r="L10" s="0" t="n">
        <f aca="false">-L6*L9/100</f>
        <v>-25.1437559635773</v>
      </c>
    </row>
    <row r="11" customFormat="false" ht="15" hidden="false" customHeight="false" outlineLevel="0" collapsed="false">
      <c r="A11" s="0" t="s">
        <v>117</v>
      </c>
      <c r="C11" s="0" t="n">
        <f aca="false">C8+C10+C24</f>
        <v>2004.5202375</v>
      </c>
      <c r="D11" s="0" t="n">
        <f aca="false">D8+D10+D24</f>
        <v>2135.4007417875</v>
      </c>
      <c r="E11" s="0" t="n">
        <f aca="false">E8+E10+E24</f>
        <v>2293.93653619556</v>
      </c>
      <c r="F11" s="0" t="n">
        <f aca="false">F8+F10+F24</f>
        <v>2406.74793571532</v>
      </c>
      <c r="G11" s="0" t="n">
        <f aca="false">G8+G10+G24</f>
        <v>2501.28326003711</v>
      </c>
      <c r="H11" s="0" t="n">
        <f aca="false">H8+H10+H24</f>
        <v>2576.32175783822</v>
      </c>
      <c r="I11" s="0" t="n">
        <f aca="false">I8+I10+I24</f>
        <v>2640.72980178418</v>
      </c>
      <c r="J11" s="0" t="n">
        <f aca="false">J8+J10+J24</f>
        <v>2706.74804682878</v>
      </c>
      <c r="K11" s="0" t="n">
        <f aca="false">K8+K10+K24</f>
        <v>2760.88300776536</v>
      </c>
      <c r="L11" s="0" t="n">
        <f aca="false">L8+L10+L24</f>
        <v>2816.10066792066</v>
      </c>
    </row>
    <row r="12" customFormat="false" ht="15" hidden="false" customHeight="false" outlineLevel="0" collapsed="false">
      <c r="A12" s="0" t="s">
        <v>118</v>
      </c>
      <c r="C12" s="4" t="n">
        <f aca="false">-C6*Assumptions!C31/100</f>
        <v>-645.357735</v>
      </c>
      <c r="D12" s="4" t="n">
        <f aca="false">-D6*Assumptions!D31/100</f>
        <v>-688.18602105</v>
      </c>
      <c r="E12" s="4" t="n">
        <f aca="false">-E6*Assumptions!E31/100</f>
        <v>-733.221723898125</v>
      </c>
      <c r="F12" s="4" t="n">
        <f aca="false">-F6*Assumptions!F31/100</f>
        <v>-780.566898069832</v>
      </c>
      <c r="G12" s="4" t="n">
        <f aca="false">-G6*Assumptions!G31/100</f>
        <v>-803.983905011927</v>
      </c>
      <c r="H12" s="4" t="n">
        <f aca="false">-H6*Assumptions!H31/100</f>
        <v>-851.106295000127</v>
      </c>
      <c r="I12" s="4" t="n">
        <f aca="false">-I6*Assumptions!I31/100</f>
        <v>-872.383952375129</v>
      </c>
      <c r="J12" s="4" t="n">
        <f aca="false">-J6*Assumptions!J31/100</f>
        <v>-894.193551184508</v>
      </c>
      <c r="K12" s="4" t="n">
        <f aca="false">-K6*Assumptions!K31/100</f>
        <v>-912.077422208198</v>
      </c>
      <c r="L12" s="4" t="n">
        <f aca="false">-L6*Assumptions!L31/100</f>
        <v>-930.318970652362</v>
      </c>
    </row>
    <row r="13" customFormat="false" ht="15" hidden="false" customHeight="false" outlineLevel="0" collapsed="false">
      <c r="A13" s="0" t="s">
        <v>119</v>
      </c>
      <c r="C13" s="0" t="n">
        <f aca="false">C11+C12</f>
        <v>1359.1625025</v>
      </c>
      <c r="D13" s="0" t="n">
        <f aca="false">D11+D12</f>
        <v>1447.2147207375</v>
      </c>
      <c r="E13" s="0" t="n">
        <f aca="false">E11+E12</f>
        <v>1560.71481229744</v>
      </c>
      <c r="F13" s="0" t="n">
        <f aca="false">F11+F12</f>
        <v>1626.18103764548</v>
      </c>
      <c r="G13" s="0" t="n">
        <f aca="false">G11+G12</f>
        <v>1697.29935502518</v>
      </c>
      <c r="H13" s="0" t="n">
        <f aca="false">H11+H12</f>
        <v>1725.21546283809</v>
      </c>
      <c r="I13" s="0" t="n">
        <f aca="false">I11+I12</f>
        <v>1768.34584940905</v>
      </c>
      <c r="J13" s="0" t="n">
        <f aca="false">J11+J12</f>
        <v>1812.55449564427</v>
      </c>
      <c r="K13" s="0" t="n">
        <f aca="false">K11+K12</f>
        <v>1848.80558555716</v>
      </c>
      <c r="L13" s="0" t="n">
        <f aca="false">L11+L12</f>
        <v>1885.7816972683</v>
      </c>
    </row>
    <row r="14" customFormat="false" ht="15" hidden="false" customHeight="false" outlineLevel="0" collapsed="false">
      <c r="A14" s="0" t="s">
        <v>105</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120</v>
      </c>
      <c r="C15" s="0" t="n">
        <f aca="false">C13-MAX(0,C13)*C14/100</f>
        <v>1032.9635019</v>
      </c>
      <c r="D15" s="0" t="n">
        <f aca="false">D13-MAX(0,D13)*D14/100</f>
        <v>1099.8831877605</v>
      </c>
      <c r="E15" s="0" t="n">
        <f aca="false">E13-MAX(0,E13)*E14/100</f>
        <v>1186.14325734605</v>
      </c>
      <c r="F15" s="0" t="n">
        <f aca="false">F13-MAX(0,F13)*F14/100</f>
        <v>1235.89758861057</v>
      </c>
      <c r="G15" s="0" t="n">
        <f aca="false">G13-MAX(0,G13)*G14/100</f>
        <v>1289.94750981914</v>
      </c>
      <c r="H15" s="0" t="n">
        <f aca="false">H13-MAX(0,H13)*H14/100</f>
        <v>1311.16375175695</v>
      </c>
      <c r="I15" s="0" t="n">
        <f aca="false">I13-MAX(0,I13)*I14/100</f>
        <v>1343.94284555088</v>
      </c>
      <c r="J15" s="0" t="n">
        <f aca="false">J13-MAX(0,J13)*J14/100</f>
        <v>1377.54141668965</v>
      </c>
      <c r="K15" s="0" t="n">
        <f aca="false">K13-MAX(0,K13)*K14/100</f>
        <v>1405.09224502344</v>
      </c>
      <c r="L15" s="0" t="n">
        <f aca="false">L13-MAX(0,L13)*L14/100</f>
        <v>1433.19408992391</v>
      </c>
    </row>
    <row r="16" customFormat="false" ht="15" hidden="false" customHeight="false" outlineLevel="0" collapsed="false">
      <c r="A16" s="0" t="s">
        <v>121</v>
      </c>
      <c r="C16" s="0" t="n">
        <f aca="false">-C12</f>
        <v>645.357735</v>
      </c>
      <c r="D16" s="0" t="n">
        <f aca="false">-D12</f>
        <v>688.18602105</v>
      </c>
      <c r="E16" s="0" t="n">
        <f aca="false">-E12</f>
        <v>733.221723898125</v>
      </c>
      <c r="F16" s="0" t="n">
        <f aca="false">-F12</f>
        <v>780.566898069832</v>
      </c>
      <c r="G16" s="0" t="n">
        <f aca="false">-G12</f>
        <v>803.983905011927</v>
      </c>
      <c r="H16" s="0" t="n">
        <f aca="false">-H12</f>
        <v>851.106295000127</v>
      </c>
      <c r="I16" s="0" t="n">
        <f aca="false">-I12</f>
        <v>872.383952375129</v>
      </c>
      <c r="J16" s="0" t="n">
        <f aca="false">-J12</f>
        <v>894.193551184508</v>
      </c>
      <c r="K16" s="0" t="n">
        <f aca="false">-K12</f>
        <v>912.077422208198</v>
      </c>
      <c r="L16" s="0" t="n">
        <f aca="false">-L12</f>
        <v>930.318970652362</v>
      </c>
    </row>
    <row r="17" customFormat="false" ht="15" hidden="false" customHeight="false" outlineLevel="0" collapsed="false">
      <c r="A17" s="0" t="s">
        <v>122</v>
      </c>
      <c r="C17" s="4" t="n">
        <f aca="false">-C6*Assumptions!C32/100</f>
        <v>-1173.3777</v>
      </c>
      <c r="D17" s="4" t="n">
        <f aca="false">-D6*Assumptions!D32/100</f>
        <v>-1214.4459195</v>
      </c>
      <c r="E17" s="4" t="n">
        <f aca="false">-E6*Assumptions!E32/100</f>
        <v>-1194.10395034837</v>
      </c>
      <c r="F17" s="4" t="n">
        <f aca="false">-F6*Assumptions!F32/100</f>
        <v>-1192.53276094002</v>
      </c>
      <c r="G17" s="4" t="n">
        <f aca="false">-G6*Assumptions!G32/100</f>
        <v>-1183.64297126756</v>
      </c>
      <c r="H17" s="4" t="n">
        <f aca="false">-H6*Assumptions!H32/100</f>
        <v>-1196.14938756775</v>
      </c>
      <c r="I17" s="4" t="n">
        <f aca="false">-I6*Assumptions!I32/100</f>
        <v>-1178.89723293936</v>
      </c>
      <c r="J17" s="4" t="n">
        <f aca="false">-J6*Assumptions!J32/100</f>
        <v>-1208.36966376285</v>
      </c>
      <c r="K17" s="4" t="n">
        <f aca="false">-K6*Assumptions!K32/100</f>
        <v>-1232.5370570381</v>
      </c>
      <c r="L17" s="4" t="n">
        <f aca="false">-L6*Assumptions!L32/100</f>
        <v>-1257.18779817887</v>
      </c>
    </row>
    <row r="18" customFormat="false" ht="15" hidden="false" customHeight="false" outlineLevel="0" collapsed="false">
      <c r="A18" s="0" t="s">
        <v>123</v>
      </c>
      <c r="C18" s="4" t="n">
        <f aca="false">(C6-B6)*Assumptions!$B$37/100</f>
        <v>-7.78359999999986</v>
      </c>
      <c r="D18" s="4" t="n">
        <f aca="false">(D6-C6)*Assumptions!$B$37/100</f>
        <v>-54.7576259999999</v>
      </c>
      <c r="E18" s="4" t="n">
        <f aca="false">(E6-D6)*Assumptions!$B$37/100</f>
        <v>-56.6741429099999</v>
      </c>
      <c r="F18" s="4" t="n">
        <f aca="false">(F6-E6)*Assumptions!$B$37/100</f>
        <v>-58.65773791185</v>
      </c>
      <c r="G18" s="4" t="n">
        <f aca="false">(G6-F6)*Assumptions!$B$37/100</f>
        <v>-52.0377932046555</v>
      </c>
      <c r="H18" s="4" t="n">
        <f aca="false">(H6-G6)*Assumptions!$B$37/100</f>
        <v>-53.5989270007951</v>
      </c>
      <c r="I18" s="4" t="n">
        <f aca="false">(I6-H6)*Assumptions!$B$37/100</f>
        <v>-46.0057456756823</v>
      </c>
      <c r="J18" s="4" t="n">
        <f aca="false">(J6-I6)*Assumptions!$B$37/100</f>
        <v>-47.1558893175743</v>
      </c>
      <c r="K18" s="4" t="n">
        <f aca="false">(K6-J6)*Assumptions!$B$37/100</f>
        <v>-38.6678292404112</v>
      </c>
      <c r="L18" s="4" t="n">
        <f aca="false">(L6-K6)*Assumptions!$B$37/100</f>
        <v>-39.4411858252194</v>
      </c>
    </row>
    <row r="19" customFormat="false" ht="15" hidden="false" customHeight="false" outlineLevel="0" collapsed="false">
      <c r="A19" s="0" t="s">
        <v>124</v>
      </c>
      <c r="C19" s="0" t="n">
        <f aca="false">C15+C16+C17+C18</f>
        <v>497.1599369</v>
      </c>
      <c r="D19" s="0" t="n">
        <f aca="false">D15+D16+D17+D18</f>
        <v>518.8656633105</v>
      </c>
      <c r="E19" s="0" t="n">
        <f aca="false">E15+E16+E17+E18</f>
        <v>668.586887985803</v>
      </c>
      <c r="F19" s="0" t="n">
        <f aca="false">F15+F16+F17+F18</f>
        <v>765.273987828528</v>
      </c>
      <c r="G19" s="0" t="n">
        <f aca="false">G15+G16+G17+G18</f>
        <v>858.250650358849</v>
      </c>
      <c r="H19" s="0" t="n">
        <f aca="false">H15+H16+H17+H18</f>
        <v>912.521732188538</v>
      </c>
      <c r="I19" s="0" t="n">
        <f aca="false">I15+I16+I17+I18</f>
        <v>991.423819310958</v>
      </c>
      <c r="J19" s="0" t="n">
        <f aca="false">J15+J16+J17+J18</f>
        <v>1016.20941479373</v>
      </c>
      <c r="K19" s="0" t="n">
        <f aca="false">K15+K16+K17+K18</f>
        <v>1045.96478095312</v>
      </c>
      <c r="L19" s="0" t="n">
        <f aca="false">L15+L16+L17+L18</f>
        <v>1066.88407657218</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458.211923410138</v>
      </c>
      <c r="D21" s="0" t="n">
        <f aca="false">D19*D20</f>
        <v>440.753180836713</v>
      </c>
      <c r="E21" s="0" t="n">
        <f aca="false">E19*E20</f>
        <v>523.442089108684</v>
      </c>
      <c r="F21" s="0" t="n">
        <f aca="false">F19*F20</f>
        <v>552.202030036253</v>
      </c>
      <c r="G21" s="0" t="n">
        <f aca="false">G19*G20</f>
        <v>570.775667055476</v>
      </c>
      <c r="H21" s="0" t="n">
        <f aca="false">H19*H20</f>
        <v>559.325715800206</v>
      </c>
      <c r="I21" s="0" t="n">
        <f aca="false">I19*I20</f>
        <v>560.08144031251</v>
      </c>
      <c r="J21" s="0" t="n">
        <f aca="false">J19*J20</f>
        <v>529.109194765274</v>
      </c>
      <c r="K21" s="0" t="n">
        <f aca="false">K19*K20</f>
        <v>501.937239474742</v>
      </c>
      <c r="L21" s="0" t="n">
        <f aca="false">L19*L20</f>
        <v>471.867266602983</v>
      </c>
    </row>
    <row r="23" customFormat="false" ht="15" hidden="false" customHeight="false" outlineLevel="0" collapsed="false">
      <c r="A23" s="0" t="s">
        <v>102</v>
      </c>
      <c r="C23" s="4" t="n">
        <f aca="false">Assumptions!C30</f>
        <v>2.35</v>
      </c>
      <c r="D23" s="4" t="n">
        <f aca="false">Assumptions!D30</f>
        <v>2.35</v>
      </c>
      <c r="E23" s="4" t="n">
        <f aca="false">Assumptions!E30</f>
        <v>2.35</v>
      </c>
      <c r="F23" s="4" t="n">
        <f aca="false">Assumptions!F30</f>
        <v>2.4</v>
      </c>
      <c r="G23" s="4" t="n">
        <f aca="false">Assumptions!G30</f>
        <v>2.4</v>
      </c>
      <c r="H23" s="4" t="n">
        <f aca="false">Assumptions!H30</f>
        <v>2.4</v>
      </c>
      <c r="I23" s="4" t="n">
        <f aca="false">Assumptions!I30</f>
        <v>2.4</v>
      </c>
      <c r="J23" s="4" t="n">
        <f aca="false">Assumptions!J30</f>
        <v>2.4</v>
      </c>
      <c r="K23" s="4" t="n">
        <f aca="false">Assumptions!K30</f>
        <v>2.4</v>
      </c>
      <c r="L23" s="4" t="n">
        <f aca="false">Assumptions!L30</f>
        <v>2.4</v>
      </c>
    </row>
    <row r="24" customFormat="false" ht="15" hidden="false" customHeight="false" outlineLevel="0" collapsed="false">
      <c r="A24" s="0" t="s">
        <v>127</v>
      </c>
      <c r="C24" s="0" t="n">
        <f aca="false">-C6*C23/100</f>
        <v>-459.5729325</v>
      </c>
      <c r="D24" s="0" t="n">
        <f aca="false">-D6*D23/100</f>
        <v>-475.6579851375</v>
      </c>
      <c r="E24" s="0" t="n">
        <f aca="false">-E6*E23/100</f>
        <v>-492.306014617312</v>
      </c>
      <c r="F24" s="0" t="n">
        <f aca="false">-F6*F23/100</f>
        <v>-520.377932046555</v>
      </c>
      <c r="G24" s="0" t="n">
        <f aca="false">-G6*G23/100</f>
        <v>-535.989270007952</v>
      </c>
      <c r="H24" s="0" t="n">
        <f aca="false">-H6*H23/100</f>
        <v>-552.06894810819</v>
      </c>
      <c r="I24" s="0" t="n">
        <f aca="false">-I6*I23/100</f>
        <v>-565.870671810895</v>
      </c>
      <c r="J24" s="0" t="n">
        <f aca="false">-J6*J23/100</f>
        <v>-580.017438606167</v>
      </c>
      <c r="K24" s="0" t="n">
        <f aca="false">-K6*K23/100</f>
        <v>-591.61778737829</v>
      </c>
      <c r="L24" s="0" t="n">
        <f aca="false">-L6*L23/100</f>
        <v>-603.450143125856</v>
      </c>
    </row>
    <row r="26" customFormat="false" ht="15" hidden="false" customHeight="false" outlineLevel="0" collapsed="false">
      <c r="A26" s="2" t="s">
        <v>128</v>
      </c>
    </row>
    <row r="27" customFormat="false" ht="15" hidden="false" customHeight="false" outlineLevel="0" collapsed="false">
      <c r="A27" s="0" t="s">
        <v>106</v>
      </c>
      <c r="B27" s="4" t="n">
        <f aca="false">Assumptions!$B$34</f>
        <v>8.5</v>
      </c>
    </row>
    <row r="28" customFormat="false" ht="15" hidden="false" customHeight="false" outlineLevel="0" collapsed="false">
      <c r="A28" s="0" t="s">
        <v>107</v>
      </c>
      <c r="B28" s="4" t="n">
        <f aca="false">Assumptions!$B$35</f>
        <v>2</v>
      </c>
    </row>
    <row r="29" customFormat="false" ht="15" hidden="false" customHeight="false" outlineLevel="0" collapsed="false">
      <c r="A29" s="0" t="s">
        <v>108</v>
      </c>
      <c r="B29" s="4" t="n">
        <f aca="false">Assumptions!$B$36</f>
        <v>15</v>
      </c>
    </row>
    <row r="30" customFormat="false" ht="15" hidden="false" customHeight="false" outlineLevel="0" collapsed="false">
      <c r="A30" s="0" t="s">
        <v>129</v>
      </c>
      <c r="B30" s="0" t="n">
        <f aca="false">SUM(C21:L21)</f>
        <v>5167.70574740298</v>
      </c>
    </row>
    <row r="31" customFormat="false" ht="15" hidden="false" customHeight="false" outlineLevel="0" collapsed="false">
      <c r="A31" s="0" t="s">
        <v>130</v>
      </c>
      <c r="B31" s="0" t="n">
        <f aca="false">L19</f>
        <v>1066.88407657218</v>
      </c>
    </row>
    <row r="32" customFormat="false" ht="15" hidden="false" customHeight="false" outlineLevel="0" collapsed="false">
      <c r="A32" s="0" t="s">
        <v>131</v>
      </c>
      <c r="B32" s="0" t="n">
        <f aca="false">IF(B27&gt;B28,B31*(1+B28/100)/((B27-B28)/100),B31*B29)</f>
        <v>16741.8732015943</v>
      </c>
    </row>
    <row r="33" customFormat="false" ht="15" hidden="false" customHeight="false" outlineLevel="0" collapsed="false">
      <c r="A33" s="0" t="s">
        <v>132</v>
      </c>
      <c r="B33" s="0" t="n">
        <f aca="false">B31*B29</f>
        <v>16003.2611485827</v>
      </c>
    </row>
    <row r="34" customFormat="false" ht="15" hidden="false" customHeight="false" outlineLevel="0" collapsed="false">
      <c r="A34" s="0" t="s">
        <v>133</v>
      </c>
      <c r="B34" s="0" t="n">
        <f aca="false">MAX(0,MIN(B32,B33))</f>
        <v>16003.2611485827</v>
      </c>
    </row>
    <row r="35" customFormat="false" ht="15" hidden="false" customHeight="false" outlineLevel="0" collapsed="false">
      <c r="A35" s="0" t="s">
        <v>134</v>
      </c>
      <c r="B35" s="0" t="n">
        <f aca="false">B34/(1+B27/100)^L4</f>
        <v>7078.00899904474</v>
      </c>
    </row>
    <row r="36" customFormat="false" ht="15" hidden="false" customHeight="false" outlineLevel="0" collapsed="false">
      <c r="A36" s="0" t="s">
        <v>135</v>
      </c>
      <c r="B36" s="0" t="n">
        <f aca="false">B30+B35</f>
        <v>12245.7147464477</v>
      </c>
    </row>
    <row r="37" customFormat="false" ht="15" hidden="false" customHeight="false" outlineLevel="0" collapsed="false">
      <c r="A37" s="0" t="s">
        <v>136</v>
      </c>
      <c r="B37" s="0" t="n">
        <f aca="false">B36+Assumptions!$B$5-Assumptions!$B$4</f>
        <v>12090.7147464477</v>
      </c>
    </row>
    <row r="38" customFormat="false" ht="15" hidden="false" customHeight="false" outlineLevel="0" collapsed="false">
      <c r="A38" s="0" t="s">
        <v>137</v>
      </c>
      <c r="B38" s="0" t="n">
        <f aca="false">B37/Assumptions!$B$3*Assumptions!$B$10</f>
        <v>1712.56582810874</v>
      </c>
    </row>
    <row r="39" customFormat="false" ht="15" hidden="false" customHeight="false" outlineLevel="0" collapsed="false">
      <c r="A39" s="0" t="s">
        <v>138</v>
      </c>
      <c r="B39" s="4" t="n">
        <f aca="false">B38/Assumptions!$B$2-1</f>
        <v>-0.0621216713533723</v>
      </c>
    </row>
    <row r="41" customFormat="false" ht="15" hidden="false" customHeight="false" outlineLevel="0" collapsed="false">
      <c r="A41" s="0" t="s">
        <v>139</v>
      </c>
      <c r="B41" s="0" t="n">
        <f aca="false">SUMPRODUCT(-C10:L10/(1+$B$27/100)^C4:L4)</f>
        <v>145.069638047175</v>
      </c>
    </row>
    <row r="42" customFormat="false" ht="15" hidden="false" customHeight="false" outlineLevel="0" collapsed="false">
      <c r="A42" s="0" t="s">
        <v>140</v>
      </c>
      <c r="B42" s="0" t="n">
        <f aca="false">IF(B27&gt;B28,-L10*(1+B28/100)/((B27-B28)/100),-L10*20)/(1+B27/100)^L4</f>
        <v>174.509705735015</v>
      </c>
    </row>
    <row r="43" customFormat="false" ht="15" hidden="false" customHeight="false" outlineLevel="0" collapsed="false">
      <c r="A43" s="0" t="s">
        <v>141</v>
      </c>
      <c r="B43" s="0" t="n">
        <f aca="false">(B37+B41+B42)/Assumptions!$B$3*Assumptions!$B$10</f>
        <v>1757.83202411189</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8370.93660079713</v>
      </c>
    </row>
    <row r="47" customFormat="false" ht="15" hidden="false" customHeight="false" outlineLevel="0" collapsed="false">
      <c r="A47" s="0" t="s">
        <v>143</v>
      </c>
      <c r="B47" s="0" t="n">
        <f aca="false">(SUMPRODUCT(C19:L19/(1+B45/100)^C4:L4)+B46/(1+B45/100)^L4+Assumptions!$B$5-Assumptions!$B$4)/Assumptions!$B$3*Assumptions!$B$10</f>
        <v>807.810506161758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114</v>
      </c>
      <c r="B3" s="0" t="s">
        <v>75</v>
      </c>
      <c r="C3" s="2" t="s">
        <v>89</v>
      </c>
      <c r="D3" s="2" t="s">
        <v>90</v>
      </c>
      <c r="E3" s="2" t="s">
        <v>91</v>
      </c>
      <c r="F3" s="2" t="s">
        <v>92</v>
      </c>
      <c r="G3" s="2" t="s">
        <v>93</v>
      </c>
      <c r="H3" s="2" t="s">
        <v>94</v>
      </c>
      <c r="I3" s="2" t="s">
        <v>95</v>
      </c>
      <c r="J3" s="2" t="s">
        <v>96</v>
      </c>
      <c r="K3" s="2" t="s">
        <v>97</v>
      </c>
      <c r="L3" s="2" t="s">
        <v>98</v>
      </c>
    </row>
    <row r="4" customFormat="false" ht="15" hidden="false" customHeight="false" outlineLevel="0" collapsed="false">
      <c r="A4" s="0" t="s">
        <v>115</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99</v>
      </c>
      <c r="C5" s="4" t="n">
        <f aca="false">Assumptions!C41</f>
        <v>1</v>
      </c>
      <c r="D5" s="4" t="n">
        <f aca="false">Assumptions!D41</f>
        <v>5</v>
      </c>
      <c r="E5" s="4" t="n">
        <f aca="false">Assumptions!E41</f>
        <v>5</v>
      </c>
      <c r="F5" s="4" t="n">
        <f aca="false">Assumptions!F41</f>
        <v>5</v>
      </c>
      <c r="G5" s="4" t="n">
        <f aca="false">Assumptions!G41</f>
        <v>4.5</v>
      </c>
      <c r="H5" s="4" t="n">
        <f aca="false">Assumptions!H41</f>
        <v>4</v>
      </c>
      <c r="I5" s="4" t="n">
        <f aca="false">Assumptions!I41</f>
        <v>3.5</v>
      </c>
      <c r="J5" s="4" t="n">
        <f aca="false">Assumptions!J41</f>
        <v>3</v>
      </c>
      <c r="K5" s="4" t="n">
        <f aca="false">Assumptions!K41</f>
        <v>2.5</v>
      </c>
      <c r="L5" s="4" t="n">
        <f aca="false">Assumptions!L41</f>
        <v>2.5</v>
      </c>
    </row>
    <row r="6" customFormat="false" ht="15" hidden="false" customHeight="false" outlineLevel="0" collapsed="false">
      <c r="A6" s="0" t="s">
        <v>38</v>
      </c>
      <c r="B6" s="3" t="n">
        <v>19459</v>
      </c>
      <c r="C6" s="0" t="n">
        <f aca="false">B6*(1+C5/100)</f>
        <v>19653.59</v>
      </c>
      <c r="D6" s="0" t="n">
        <f aca="false">C6*(1+D5/100)</f>
        <v>20636.2695</v>
      </c>
      <c r="E6" s="0" t="n">
        <f aca="false">D6*(1+E5/100)</f>
        <v>21668.082975</v>
      </c>
      <c r="F6" s="0" t="n">
        <f aca="false">E6*(1+F5/100)</f>
        <v>22751.48712375</v>
      </c>
      <c r="G6" s="0" t="n">
        <f aca="false">F6*(1+G5/100)</f>
        <v>23775.3040443188</v>
      </c>
      <c r="H6" s="0" t="n">
        <f aca="false">G6*(1+H5/100)</f>
        <v>24726.3162060915</v>
      </c>
      <c r="I6" s="0" t="n">
        <f aca="false">H6*(1+I5/100)</f>
        <v>25591.7372733047</v>
      </c>
      <c r="J6" s="0" t="n">
        <f aca="false">I6*(1+J5/100)</f>
        <v>26359.4893915039</v>
      </c>
      <c r="K6" s="0" t="n">
        <f aca="false">J6*(1+K5/100)</f>
        <v>27018.4766262914</v>
      </c>
      <c r="L6" s="0" t="n">
        <f aca="false">K6*(1+L5/100)</f>
        <v>27693.9385419487</v>
      </c>
    </row>
    <row r="7" customFormat="false" ht="15" hidden="false" customHeight="false" outlineLevel="0" collapsed="false">
      <c r="A7" s="0" t="s">
        <v>100</v>
      </c>
      <c r="C7" s="4" t="n">
        <f aca="false">Assumptions!C42</f>
        <v>12.9</v>
      </c>
      <c r="D7" s="4" t="n">
        <f aca="false">Assumptions!D42</f>
        <v>13.6</v>
      </c>
      <c r="E7" s="4" t="n">
        <f aca="false">Assumptions!E42</f>
        <v>14.2</v>
      </c>
      <c r="F7" s="4" t="n">
        <f aca="false">Assumptions!F42</f>
        <v>14.6</v>
      </c>
      <c r="G7" s="4" t="n">
        <f aca="false">Assumptions!G42</f>
        <v>14.8</v>
      </c>
      <c r="H7" s="4" t="n">
        <f aca="false">Assumptions!H42</f>
        <v>14.8</v>
      </c>
      <c r="I7" s="4" t="n">
        <f aca="false">Assumptions!I42</f>
        <v>14.8</v>
      </c>
      <c r="J7" s="4" t="n">
        <f aca="false">Assumptions!J42</f>
        <v>14.8</v>
      </c>
      <c r="K7" s="4" t="n">
        <f aca="false">Assumptions!K42</f>
        <v>14.8</v>
      </c>
      <c r="L7" s="4" t="n">
        <f aca="false">Assumptions!L42</f>
        <v>14.8</v>
      </c>
    </row>
    <row r="8" customFormat="false" ht="15" hidden="false" customHeight="false" outlineLevel="0" collapsed="false">
      <c r="A8" s="0" t="s">
        <v>44</v>
      </c>
      <c r="C8" s="0" t="n">
        <f aca="false">C6*C7/100</f>
        <v>2535.31311</v>
      </c>
      <c r="D8" s="0" t="n">
        <f aca="false">D6*D7/100</f>
        <v>2806.532652</v>
      </c>
      <c r="E8" s="0" t="n">
        <f aca="false">E6*E7/100</f>
        <v>3076.86778245</v>
      </c>
      <c r="F8" s="0" t="n">
        <f aca="false">F6*F7/100</f>
        <v>3321.7171200675</v>
      </c>
      <c r="G8" s="0" t="n">
        <f aca="false">G6*G7/100</f>
        <v>3518.74499855918</v>
      </c>
      <c r="H8" s="0" t="n">
        <f aca="false">H6*H7/100</f>
        <v>3659.49479850154</v>
      </c>
      <c r="I8" s="0" t="n">
        <f aca="false">I6*I7/100</f>
        <v>3787.5771164491</v>
      </c>
      <c r="J8" s="0" t="n">
        <f aca="false">J6*J7/100</f>
        <v>3901.20442994257</v>
      </c>
      <c r="K8" s="0" t="n">
        <f aca="false">K6*K7/100</f>
        <v>3998.73454069113</v>
      </c>
      <c r="L8" s="0" t="n">
        <f aca="false">L6*L7/100</f>
        <v>4098.70290420841</v>
      </c>
    </row>
    <row r="9" customFormat="false" ht="15" hidden="false" customHeight="false" outlineLevel="0" collapsed="false">
      <c r="A9" s="0" t="s">
        <v>101</v>
      </c>
      <c r="C9" s="4" t="n">
        <f aca="false">Assumptions!C43</f>
        <v>0.1</v>
      </c>
      <c r="D9" s="4" t="n">
        <f aca="false">Assumptions!D43</f>
        <v>0.1</v>
      </c>
      <c r="E9" s="4" t="n">
        <f aca="false">Assumptions!E43</f>
        <v>0.1</v>
      </c>
      <c r="F9" s="4" t="n">
        <f aca="false">Assumptions!F43</f>
        <v>0.1</v>
      </c>
      <c r="G9" s="4" t="n">
        <f aca="false">Assumptions!G43</f>
        <v>0.1</v>
      </c>
      <c r="H9" s="4" t="n">
        <f aca="false">Assumptions!H43</f>
        <v>0.1</v>
      </c>
      <c r="I9" s="4" t="n">
        <f aca="false">Assumptions!I43</f>
        <v>0.1</v>
      </c>
      <c r="J9" s="4" t="n">
        <f aca="false">Assumptions!J43</f>
        <v>0.1</v>
      </c>
      <c r="K9" s="4" t="n">
        <f aca="false">Assumptions!K43</f>
        <v>0.1</v>
      </c>
      <c r="L9" s="4" t="n">
        <f aca="false">Assumptions!L43</f>
        <v>0.1</v>
      </c>
    </row>
    <row r="10" customFormat="false" ht="15" hidden="false" customHeight="false" outlineLevel="0" collapsed="false">
      <c r="A10" s="0" t="s">
        <v>116</v>
      </c>
      <c r="C10" s="0" t="n">
        <f aca="false">-C6*C9/100</f>
        <v>-19.65359</v>
      </c>
      <c r="D10" s="0" t="n">
        <f aca="false">-D6*D9/100</f>
        <v>-20.6362695</v>
      </c>
      <c r="E10" s="0" t="n">
        <f aca="false">-E6*E9/100</f>
        <v>-21.668082975</v>
      </c>
      <c r="F10" s="0" t="n">
        <f aca="false">-F6*F9/100</f>
        <v>-22.75148712375</v>
      </c>
      <c r="G10" s="0" t="n">
        <f aca="false">-G6*G9/100</f>
        <v>-23.7753040443188</v>
      </c>
      <c r="H10" s="0" t="n">
        <f aca="false">-H6*H9/100</f>
        <v>-24.7263162060915</v>
      </c>
      <c r="I10" s="0" t="n">
        <f aca="false">-I6*I9/100</f>
        <v>-25.5917372733047</v>
      </c>
      <c r="J10" s="0" t="n">
        <f aca="false">-J6*J9/100</f>
        <v>-26.3594893915039</v>
      </c>
      <c r="K10" s="0" t="n">
        <f aca="false">-K6*K9/100</f>
        <v>-27.0184766262914</v>
      </c>
      <c r="L10" s="0" t="n">
        <f aca="false">-L6*L9/100</f>
        <v>-27.6939385419487</v>
      </c>
    </row>
    <row r="11" customFormat="false" ht="15" hidden="false" customHeight="false" outlineLevel="0" collapsed="false">
      <c r="A11" s="0" t="s">
        <v>117</v>
      </c>
      <c r="C11" s="0" t="n">
        <f aca="false">C8+C10+C24</f>
        <v>2053.800155</v>
      </c>
      <c r="D11" s="0" t="n">
        <f aca="false">D8+D10+D24</f>
        <v>2311.262184</v>
      </c>
      <c r="E11" s="0" t="n">
        <f aca="false">E8+E10+E24</f>
        <v>2556.83379105</v>
      </c>
      <c r="F11" s="0" t="n">
        <f aca="false">F8+F10+F24</f>
        <v>2775.6814290975</v>
      </c>
      <c r="G11" s="0" t="n">
        <f aca="false">G8+G10+G24</f>
        <v>2948.13770149553</v>
      </c>
      <c r="H11" s="0" t="n">
        <f aca="false">H8+H10+H24</f>
        <v>3066.06320955535</v>
      </c>
      <c r="I11" s="0" t="n">
        <f aca="false">I8+I10+I24</f>
        <v>3173.37542188978</v>
      </c>
      <c r="J11" s="0" t="n">
        <f aca="false">J8+J10+J24</f>
        <v>3268.57668454648</v>
      </c>
      <c r="K11" s="0" t="n">
        <f aca="false">K8+K10+K24</f>
        <v>3350.29110166014</v>
      </c>
      <c r="L11" s="0" t="n">
        <f aca="false">L8+L10+L24</f>
        <v>3434.04837920164</v>
      </c>
    </row>
    <row r="12" customFormat="false" ht="15" hidden="false" customHeight="false" outlineLevel="0" collapsed="false">
      <c r="A12" s="0" t="s">
        <v>118</v>
      </c>
      <c r="C12" s="4" t="n">
        <f aca="false">-C6*Assumptions!C45/100</f>
        <v>-648.56847</v>
      </c>
      <c r="D12" s="4" t="n">
        <f aca="false">-D6*Assumptions!D45/100</f>
        <v>-701.633163</v>
      </c>
      <c r="E12" s="4" t="n">
        <f aca="false">-E6*Assumptions!E45/100</f>
        <v>-758.382904125</v>
      </c>
      <c r="F12" s="4" t="n">
        <f aca="false">-F6*Assumptions!F45/100</f>
        <v>-819.053536455</v>
      </c>
      <c r="G12" s="4" t="n">
        <f aca="false">-G6*Assumptions!G45/100</f>
        <v>-855.910945595475</v>
      </c>
      <c r="H12" s="4" t="n">
        <f aca="false">-H6*Assumptions!H45/100</f>
        <v>-914.873699625386</v>
      </c>
      <c r="I12" s="4" t="n">
        <f aca="false">-I6*Assumptions!I45/100</f>
        <v>-946.894279112274</v>
      </c>
      <c r="J12" s="4" t="n">
        <f aca="false">-J6*Assumptions!J45/100</f>
        <v>-975.301107485642</v>
      </c>
      <c r="K12" s="4" t="n">
        <f aca="false">-K6*Assumptions!K45/100</f>
        <v>-999.683635172783</v>
      </c>
      <c r="L12" s="4" t="n">
        <f aca="false">-L6*Assumptions!L45/100</f>
        <v>-1024.6757260521</v>
      </c>
    </row>
    <row r="13" customFormat="false" ht="15" hidden="false" customHeight="false" outlineLevel="0" collapsed="false">
      <c r="A13" s="0" t="s">
        <v>119</v>
      </c>
      <c r="C13" s="0" t="n">
        <f aca="false">C11+C12</f>
        <v>1405.231685</v>
      </c>
      <c r="D13" s="0" t="n">
        <f aca="false">D11+D12</f>
        <v>1609.629021</v>
      </c>
      <c r="E13" s="0" t="n">
        <f aca="false">E11+E12</f>
        <v>1798.450886925</v>
      </c>
      <c r="F13" s="0" t="n">
        <f aca="false">F11+F12</f>
        <v>1956.6278926425</v>
      </c>
      <c r="G13" s="0" t="n">
        <f aca="false">G11+G12</f>
        <v>2092.22675590005</v>
      </c>
      <c r="H13" s="0" t="n">
        <f aca="false">H11+H12</f>
        <v>2151.18950992996</v>
      </c>
      <c r="I13" s="0" t="n">
        <f aca="false">I11+I12</f>
        <v>2226.48114277751</v>
      </c>
      <c r="J13" s="0" t="n">
        <f aca="false">J11+J12</f>
        <v>2293.27557706084</v>
      </c>
      <c r="K13" s="0" t="n">
        <f aca="false">K11+K12</f>
        <v>2350.60746648736</v>
      </c>
      <c r="L13" s="0" t="n">
        <f aca="false">L11+L12</f>
        <v>2409.37265314954</v>
      </c>
    </row>
    <row r="14" customFormat="false" ht="15" hidden="false" customHeight="false" outlineLevel="0" collapsed="false">
      <c r="A14" s="0" t="s">
        <v>105</v>
      </c>
      <c r="C14" s="4" t="n">
        <f aca="false">Assumptions!C47</f>
        <v>24</v>
      </c>
      <c r="D14" s="4" t="n">
        <f aca="false">Assumptions!D47</f>
        <v>24</v>
      </c>
      <c r="E14" s="4" t="n">
        <f aca="false">Assumptions!E47</f>
        <v>24</v>
      </c>
      <c r="F14" s="4" t="n">
        <f aca="false">Assumptions!F47</f>
        <v>24</v>
      </c>
      <c r="G14" s="4" t="n">
        <f aca="false">Assumptions!G47</f>
        <v>24</v>
      </c>
      <c r="H14" s="4" t="n">
        <f aca="false">Assumptions!H47</f>
        <v>24</v>
      </c>
      <c r="I14" s="4" t="n">
        <f aca="false">Assumptions!I47</f>
        <v>24</v>
      </c>
      <c r="J14" s="4" t="n">
        <f aca="false">Assumptions!J47</f>
        <v>24</v>
      </c>
      <c r="K14" s="4" t="n">
        <f aca="false">Assumptions!K47</f>
        <v>24</v>
      </c>
      <c r="L14" s="4" t="n">
        <f aca="false">Assumptions!L47</f>
        <v>24</v>
      </c>
    </row>
    <row r="15" customFormat="false" ht="15" hidden="false" customHeight="false" outlineLevel="0" collapsed="false">
      <c r="A15" s="0" t="s">
        <v>120</v>
      </c>
      <c r="C15" s="0" t="n">
        <f aca="false">C13-MAX(0,C13)*C14/100</f>
        <v>1067.9760806</v>
      </c>
      <c r="D15" s="0" t="n">
        <f aca="false">D13-MAX(0,D13)*D14/100</f>
        <v>1223.31805596</v>
      </c>
      <c r="E15" s="0" t="n">
        <f aca="false">E13-MAX(0,E13)*E14/100</f>
        <v>1366.822674063</v>
      </c>
      <c r="F15" s="0" t="n">
        <f aca="false">F13-MAX(0,F13)*F14/100</f>
        <v>1487.0371984083</v>
      </c>
      <c r="G15" s="0" t="n">
        <f aca="false">G13-MAX(0,G13)*G14/100</f>
        <v>1590.09233448404</v>
      </c>
      <c r="H15" s="0" t="n">
        <f aca="false">H13-MAX(0,H13)*H14/100</f>
        <v>1634.90402754677</v>
      </c>
      <c r="I15" s="0" t="n">
        <f aca="false">I13-MAX(0,I13)*I14/100</f>
        <v>1692.12566851091</v>
      </c>
      <c r="J15" s="0" t="n">
        <f aca="false">J13-MAX(0,J13)*J14/100</f>
        <v>1742.88943856624</v>
      </c>
      <c r="K15" s="0" t="n">
        <f aca="false">K13-MAX(0,K13)*K14/100</f>
        <v>1786.46167453039</v>
      </c>
      <c r="L15" s="0" t="n">
        <f aca="false">L13-MAX(0,L13)*L14/100</f>
        <v>1831.12321639365</v>
      </c>
    </row>
    <row r="16" customFormat="false" ht="15" hidden="false" customHeight="false" outlineLevel="0" collapsed="false">
      <c r="A16" s="0" t="s">
        <v>121</v>
      </c>
      <c r="C16" s="0" t="n">
        <f aca="false">-C12</f>
        <v>648.56847</v>
      </c>
      <c r="D16" s="0" t="n">
        <f aca="false">-D12</f>
        <v>701.633163</v>
      </c>
      <c r="E16" s="0" t="n">
        <f aca="false">-E12</f>
        <v>758.382904125</v>
      </c>
      <c r="F16" s="0" t="n">
        <f aca="false">-F12</f>
        <v>819.053536455</v>
      </c>
      <c r="G16" s="0" t="n">
        <f aca="false">-G12</f>
        <v>855.910945595475</v>
      </c>
      <c r="H16" s="0" t="n">
        <f aca="false">-H12</f>
        <v>914.873699625386</v>
      </c>
      <c r="I16" s="0" t="n">
        <f aca="false">-I12</f>
        <v>946.894279112274</v>
      </c>
      <c r="J16" s="0" t="n">
        <f aca="false">-J12</f>
        <v>975.301107485642</v>
      </c>
      <c r="K16" s="0" t="n">
        <f aca="false">-K12</f>
        <v>999.683635172783</v>
      </c>
      <c r="L16" s="0" t="n">
        <f aca="false">-L12</f>
        <v>1024.6757260521</v>
      </c>
    </row>
    <row r="17" customFormat="false" ht="15" hidden="false" customHeight="false" outlineLevel="0" collapsed="false">
      <c r="A17" s="0" t="s">
        <v>122</v>
      </c>
      <c r="C17" s="4" t="n">
        <f aca="false">-C6*Assumptions!C46/100</f>
        <v>-1179.2154</v>
      </c>
      <c r="D17" s="4" t="n">
        <f aca="false">-D6*Assumptions!D46/100</f>
        <v>-1238.17617</v>
      </c>
      <c r="E17" s="4" t="n">
        <f aca="false">-E6*Assumptions!E46/100</f>
        <v>-1256.74881255</v>
      </c>
      <c r="F17" s="4" t="n">
        <f aca="false">-F6*Assumptions!F46/100</f>
        <v>-1274.08327893</v>
      </c>
      <c r="G17" s="4" t="n">
        <f aca="false">-G6*Assumptions!G46/100</f>
        <v>-1283.86641839321</v>
      </c>
      <c r="H17" s="4" t="n">
        <f aca="false">-H6*Assumptions!H46/100</f>
        <v>-1285.76844271676</v>
      </c>
      <c r="I17" s="4" t="n">
        <f aca="false">-I6*Assumptions!I46/100</f>
        <v>-1279.58686366524</v>
      </c>
      <c r="J17" s="4" t="n">
        <f aca="false">-J6*Assumptions!J46/100</f>
        <v>-1317.97446957519</v>
      </c>
      <c r="K17" s="4" t="n">
        <f aca="false">-K6*Assumptions!K46/100</f>
        <v>-1350.92383131457</v>
      </c>
      <c r="L17" s="4" t="n">
        <f aca="false">-L6*Assumptions!L46/100</f>
        <v>-1384.69692709744</v>
      </c>
    </row>
    <row r="18" customFormat="false" ht="15" hidden="false" customHeight="false" outlineLevel="0" collapsed="false">
      <c r="A18" s="0" t="s">
        <v>123</v>
      </c>
      <c r="C18" s="4" t="n">
        <f aca="false">(C6-B6)*Assumptions!$B$51/100</f>
        <v>-15.5672</v>
      </c>
      <c r="D18" s="4" t="n">
        <f aca="false">(D6-C6)*Assumptions!$B$51/100</f>
        <v>-78.6143600000002</v>
      </c>
      <c r="E18" s="4" t="n">
        <f aca="false">(E6-D6)*Assumptions!$B$51/100</f>
        <v>-82.5450780000002</v>
      </c>
      <c r="F18" s="4" t="n">
        <f aca="false">(F6-E6)*Assumptions!$B$51/100</f>
        <v>-86.6723319</v>
      </c>
      <c r="G18" s="4" t="n">
        <f aca="false">(G6-F6)*Assumptions!$B$51/100</f>
        <v>-81.9053536454999</v>
      </c>
      <c r="H18" s="4" t="n">
        <f aca="false">(H6-G6)*Assumptions!$B$51/100</f>
        <v>-76.0809729418202</v>
      </c>
      <c r="I18" s="4" t="n">
        <f aca="false">(I6-H6)*Assumptions!$B$51/100</f>
        <v>-69.233685377056</v>
      </c>
      <c r="J18" s="4" t="n">
        <f aca="false">(J6-I6)*Assumptions!$B$51/100</f>
        <v>-61.4201694559315</v>
      </c>
      <c r="K18" s="4" t="n">
        <f aca="false">(K6-J6)*Assumptions!$B$51/100</f>
        <v>-52.7189787830075</v>
      </c>
      <c r="L18" s="4" t="n">
        <f aca="false">(L6-K6)*Assumptions!$B$51/100</f>
        <v>-54.0369532525828</v>
      </c>
    </row>
    <row r="19" customFormat="false" ht="15" hidden="false" customHeight="false" outlineLevel="0" collapsed="false">
      <c r="A19" s="0" t="s">
        <v>124</v>
      </c>
      <c r="C19" s="0" t="n">
        <f aca="false">C15+C16+C17+C18</f>
        <v>521.7619506</v>
      </c>
      <c r="D19" s="0" t="n">
        <f aca="false">D15+D16+D17+D18</f>
        <v>608.16068896</v>
      </c>
      <c r="E19" s="0" t="n">
        <f aca="false">E15+E16+E17+E18</f>
        <v>785.911687638</v>
      </c>
      <c r="F19" s="0" t="n">
        <f aca="false">F15+F16+F17+F18</f>
        <v>945.3351240333</v>
      </c>
      <c r="G19" s="0" t="n">
        <f aca="false">G15+G16+G17+G18</f>
        <v>1080.2315080408</v>
      </c>
      <c r="H19" s="0" t="n">
        <f aca="false">H15+H16+H17+H18</f>
        <v>1187.92831151358</v>
      </c>
      <c r="I19" s="0" t="n">
        <f aca="false">I15+I16+I17+I18</f>
        <v>1290.19939858089</v>
      </c>
      <c r="J19" s="0" t="n">
        <f aca="false">J15+J16+J17+J18</f>
        <v>1338.79590702075</v>
      </c>
      <c r="K19" s="0" t="n">
        <f aca="false">K15+K16+K17+K18</f>
        <v>1382.50249960559</v>
      </c>
      <c r="L19" s="0" t="n">
        <f aca="false">L15+L16+L17+L18</f>
        <v>1417.06506209573</v>
      </c>
    </row>
    <row r="20" customFormat="false" ht="15" hidden="false" customHeight="false" outlineLevel="0" collapsed="false">
      <c r="A20" s="0" t="s">
        <v>125</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126</v>
      </c>
      <c r="C21" s="0" t="n">
        <f aca="false">C19*C20</f>
        <v>480.886590414746</v>
      </c>
      <c r="D21" s="0" t="n">
        <f aca="false">D19*D20</f>
        <v>516.605312459386</v>
      </c>
      <c r="E21" s="0" t="n">
        <f aca="false">E19*E20</f>
        <v>615.296624903152</v>
      </c>
      <c r="F21" s="0" t="n">
        <f aca="false">F19*F20</f>
        <v>682.129515517686</v>
      </c>
      <c r="G21" s="0" t="n">
        <f aca="false">G19*G20</f>
        <v>718.4030205145</v>
      </c>
      <c r="H21" s="0" t="n">
        <f aca="false">H19*H20</f>
        <v>728.134826513239</v>
      </c>
      <c r="I21" s="0" t="n">
        <f aca="false">I19*I20</f>
        <v>728.867638009483</v>
      </c>
      <c r="J21" s="0" t="n">
        <f aca="false">J19*J20</f>
        <v>697.07012551402</v>
      </c>
      <c r="K21" s="0" t="n">
        <f aca="false">K19*K20</f>
        <v>663.434850632952</v>
      </c>
      <c r="L21" s="0" t="n">
        <f aca="false">L19*L20</f>
        <v>626.747209123296</v>
      </c>
    </row>
    <row r="23" customFormat="false" ht="15" hidden="false" customHeight="false" outlineLevel="0" collapsed="false">
      <c r="A23" s="0" t="s">
        <v>102</v>
      </c>
      <c r="C23" s="4" t="n">
        <f aca="false">Assumptions!C44</f>
        <v>2.35</v>
      </c>
      <c r="D23" s="4" t="n">
        <f aca="false">Assumptions!D44</f>
        <v>2.3</v>
      </c>
      <c r="E23" s="4" t="n">
        <f aca="false">Assumptions!E44</f>
        <v>2.3</v>
      </c>
      <c r="F23" s="4" t="n">
        <f aca="false">Assumptions!F44</f>
        <v>2.3</v>
      </c>
      <c r="G23" s="4" t="n">
        <f aca="false">Assumptions!G44</f>
        <v>2.3</v>
      </c>
      <c r="H23" s="4" t="n">
        <f aca="false">Assumptions!H44</f>
        <v>2.3</v>
      </c>
      <c r="I23" s="4" t="n">
        <f aca="false">Assumptions!I44</f>
        <v>2.3</v>
      </c>
      <c r="J23" s="4" t="n">
        <f aca="false">Assumptions!J44</f>
        <v>2.3</v>
      </c>
      <c r="K23" s="4" t="n">
        <f aca="false">Assumptions!K44</f>
        <v>2.3</v>
      </c>
      <c r="L23" s="4" t="n">
        <f aca="false">Assumptions!L44</f>
        <v>2.3</v>
      </c>
    </row>
    <row r="24" customFormat="false" ht="15" hidden="false" customHeight="false" outlineLevel="0" collapsed="false">
      <c r="A24" s="0" t="s">
        <v>127</v>
      </c>
      <c r="C24" s="0" t="n">
        <f aca="false">-C6*C23/100</f>
        <v>-461.859365</v>
      </c>
      <c r="D24" s="0" t="n">
        <f aca="false">-D6*D23/100</f>
        <v>-474.6341985</v>
      </c>
      <c r="E24" s="0" t="n">
        <f aca="false">-E6*E23/100</f>
        <v>-498.365908425</v>
      </c>
      <c r="F24" s="0" t="n">
        <f aca="false">-F6*F23/100</f>
        <v>-523.28420384625</v>
      </c>
      <c r="G24" s="0" t="n">
        <f aca="false">-G6*G23/100</f>
        <v>-546.831993019331</v>
      </c>
      <c r="H24" s="0" t="n">
        <f aca="false">-H6*H23/100</f>
        <v>-568.705272740105</v>
      </c>
      <c r="I24" s="0" t="n">
        <f aca="false">-I6*I23/100</f>
        <v>-588.609957286008</v>
      </c>
      <c r="J24" s="0" t="n">
        <f aca="false">-J6*J23/100</f>
        <v>-606.268256004589</v>
      </c>
      <c r="K24" s="0" t="n">
        <f aca="false">-K6*K23/100</f>
        <v>-621.424962404703</v>
      </c>
      <c r="L24" s="0" t="n">
        <f aca="false">-L6*L23/100</f>
        <v>-636.960586464821</v>
      </c>
    </row>
    <row r="26" customFormat="false" ht="15" hidden="false" customHeight="false" outlineLevel="0" collapsed="false">
      <c r="A26" s="2" t="s">
        <v>128</v>
      </c>
    </row>
    <row r="27" customFormat="false" ht="15" hidden="false" customHeight="false" outlineLevel="0" collapsed="false">
      <c r="A27" s="0" t="s">
        <v>106</v>
      </c>
      <c r="B27" s="4" t="n">
        <f aca="false">Assumptions!$B$48</f>
        <v>8.5</v>
      </c>
    </row>
    <row r="28" customFormat="false" ht="15" hidden="false" customHeight="false" outlineLevel="0" collapsed="false">
      <c r="A28" s="0" t="s">
        <v>107</v>
      </c>
      <c r="B28" s="4" t="n">
        <f aca="false">Assumptions!$B$49</f>
        <v>2.5</v>
      </c>
    </row>
    <row r="29" customFormat="false" ht="15" hidden="false" customHeight="false" outlineLevel="0" collapsed="false">
      <c r="A29" s="0" t="s">
        <v>108</v>
      </c>
      <c r="B29" s="4" t="n">
        <f aca="false">Assumptions!$B$50</f>
        <v>16</v>
      </c>
    </row>
    <row r="30" customFormat="false" ht="15" hidden="false" customHeight="false" outlineLevel="0" collapsed="false">
      <c r="A30" s="0" t="s">
        <v>129</v>
      </c>
      <c r="B30" s="0" t="n">
        <f aca="false">SUM(C21:L21)</f>
        <v>6457.57571360246</v>
      </c>
    </row>
    <row r="31" customFormat="false" ht="15" hidden="false" customHeight="false" outlineLevel="0" collapsed="false">
      <c r="A31" s="0" t="s">
        <v>130</v>
      </c>
      <c r="B31" s="0" t="n">
        <f aca="false">L19</f>
        <v>1417.06506209573</v>
      </c>
    </row>
    <row r="32" customFormat="false" ht="15" hidden="false" customHeight="false" outlineLevel="0" collapsed="false">
      <c r="A32" s="0" t="s">
        <v>131</v>
      </c>
      <c r="B32" s="0" t="n">
        <f aca="false">IF(B27&gt;B28,B31*(1+B28/100)/((B27-B28)/100),B31*B29)</f>
        <v>24208.1948108021</v>
      </c>
    </row>
    <row r="33" customFormat="false" ht="15" hidden="false" customHeight="false" outlineLevel="0" collapsed="false">
      <c r="A33" s="0" t="s">
        <v>132</v>
      </c>
      <c r="B33" s="0" t="n">
        <f aca="false">B31*B29</f>
        <v>22673.0409935317</v>
      </c>
    </row>
    <row r="34" customFormat="false" ht="15" hidden="false" customHeight="false" outlineLevel="0" collapsed="false">
      <c r="A34" s="0" t="s">
        <v>133</v>
      </c>
      <c r="B34" s="0" t="n">
        <f aca="false">MAX(0,MIN(B32,B33))</f>
        <v>22673.0409935317</v>
      </c>
    </row>
    <row r="35" customFormat="false" ht="15" hidden="false" customHeight="false" outlineLevel="0" collapsed="false">
      <c r="A35" s="0" t="s">
        <v>134</v>
      </c>
      <c r="B35" s="0" t="n">
        <f aca="false">B34/(1+B27/100)^L4</f>
        <v>10027.9553459727</v>
      </c>
    </row>
    <row r="36" customFormat="false" ht="15" hidden="false" customHeight="false" outlineLevel="0" collapsed="false">
      <c r="A36" s="0" t="s">
        <v>135</v>
      </c>
      <c r="B36" s="0" t="n">
        <f aca="false">B30+B35</f>
        <v>16485.5310595752</v>
      </c>
    </row>
    <row r="37" customFormat="false" ht="15" hidden="false" customHeight="false" outlineLevel="0" collapsed="false">
      <c r="A37" s="0" t="s">
        <v>136</v>
      </c>
      <c r="B37" s="0" t="n">
        <f aca="false">B36+Assumptions!$B$5-Assumptions!$B$4</f>
        <v>16330.5310595752</v>
      </c>
    </row>
    <row r="38" customFormat="false" ht="15" hidden="false" customHeight="false" outlineLevel="0" collapsed="false">
      <c r="A38" s="0" t="s">
        <v>137</v>
      </c>
      <c r="B38" s="0" t="n">
        <f aca="false">B37/Assumptions!$B$3*Assumptions!$B$10</f>
        <v>2313.10638237609</v>
      </c>
    </row>
    <row r="39" customFormat="false" ht="15" hidden="false" customHeight="false" outlineLevel="0" collapsed="false">
      <c r="A39" s="0" t="s">
        <v>138</v>
      </c>
      <c r="B39" s="4" t="n">
        <f aca="false">B38/Assumptions!$B$2-1</f>
        <v>0.266761436131484</v>
      </c>
    </row>
    <row r="41" customFormat="false" ht="15" hidden="false" customHeight="false" outlineLevel="0" collapsed="false">
      <c r="A41" s="0" t="s">
        <v>139</v>
      </c>
      <c r="B41" s="0" t="n">
        <f aca="false">SUMPRODUCT(-C10:L10/(1+$B$27/100)^C4:L4)</f>
        <v>153.388303429703</v>
      </c>
    </row>
    <row r="42" customFormat="false" ht="15" hidden="false" customHeight="false" outlineLevel="0" collapsed="false">
      <c r="A42" s="0" t="s">
        <v>140</v>
      </c>
      <c r="B42" s="0" t="n">
        <f aca="false">IF(B27&gt;B28,-L10*(1+B28/100)/((B27-B28)/100),-L10*20)/(1+B27/100)^L4</f>
        <v>209.247345493048</v>
      </c>
    </row>
    <row r="43" customFormat="false" ht="15" hidden="false" customHeight="false" outlineLevel="0" collapsed="false">
      <c r="A43" s="0" t="s">
        <v>141</v>
      </c>
      <c r="B43" s="0" t="n">
        <f aca="false">(B37+B41+B42)/Assumptions!$B$3*Assumptions!$B$10</f>
        <v>2364.47120516968</v>
      </c>
    </row>
    <row r="45" customFormat="false" ht="15" hidden="false" customHeight="false" outlineLevel="0" collapsed="false">
      <c r="A45" s="0" t="s">
        <v>82</v>
      </c>
      <c r="B45" s="4" t="n">
        <f aca="false">Assumptions!$B$6</f>
        <v>15</v>
      </c>
    </row>
    <row r="46" customFormat="false" ht="15" hidden="false" customHeight="false" outlineLevel="0" collapsed="false">
      <c r="A46" s="0" t="s">
        <v>142</v>
      </c>
      <c r="B46" s="0" t="n">
        <f aca="false">MAX(0,MIN(IF(B45&gt;B28,B31*(1+B28/100)/((B45-B28)/100),B31*B29),B31*B29))</f>
        <v>11619.933509185</v>
      </c>
    </row>
    <row r="47" customFormat="false" ht="15" hidden="false" customHeight="false" outlineLevel="0" collapsed="false">
      <c r="A47" s="0" t="s">
        <v>143</v>
      </c>
      <c r="B47" s="0" t="n">
        <f aca="false">(SUMPRODUCT(C19:L19/(1+B45/100)^C4:L4)+B46/(1+B45/100)^L4+Assumptions!$B$5-Assumptions!$B$4)/Assumptions!$B$3*Assumptions!$B$10</f>
        <v>1048.82150649007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146</v>
      </c>
    </row>
    <row r="3" customFormat="false" ht="15" hidden="false" customHeight="false" outlineLevel="0" collapsed="false">
      <c r="A3" s="2" t="s">
        <v>147</v>
      </c>
      <c r="B3" s="2" t="s">
        <v>148</v>
      </c>
      <c r="C3" s="2" t="s">
        <v>138</v>
      </c>
      <c r="D3" s="2" t="s">
        <v>149</v>
      </c>
      <c r="E3" s="2" t="s">
        <v>141</v>
      </c>
      <c r="F3" s="2" t="s">
        <v>150</v>
      </c>
    </row>
    <row r="4" customFormat="false" ht="15" hidden="false" customHeight="false" outlineLevel="0" collapsed="false">
      <c r="A4" s="0" t="s">
        <v>151</v>
      </c>
      <c r="B4" s="4" t="n">
        <f aca="false">DCF_Bear!$B$38</f>
        <v>1025.30227983912</v>
      </c>
      <c r="C4" s="0" t="n">
        <f aca="false">B4/Assumptions!$B$2-1</f>
        <v>-0.438498203812089</v>
      </c>
      <c r="D4" s="4" t="n">
        <f aca="false">Assumptions!$B$24</f>
        <v>0.25</v>
      </c>
      <c r="E4" s="4" t="n">
        <f aca="false">DCF_Bear!$B$43</f>
        <v>1065.42996853535</v>
      </c>
      <c r="F4" s="4" t="n">
        <f aca="false">DCF_Bear!$B$47</f>
        <v>509.872699096915</v>
      </c>
    </row>
    <row r="5" customFormat="false" ht="15" hidden="false" customHeight="false" outlineLevel="0" collapsed="false">
      <c r="A5" s="0" t="s">
        <v>152</v>
      </c>
      <c r="B5" s="4" t="n">
        <f aca="false">DCF_Base!$B$38</f>
        <v>1712.56582810874</v>
      </c>
      <c r="C5" s="0" t="n">
        <f aca="false">B5/Assumptions!$B$2-1</f>
        <v>-0.0621216713533723</v>
      </c>
      <c r="D5" s="4" t="n">
        <f aca="false">Assumptions!$B$38</f>
        <v>0.5</v>
      </c>
      <c r="E5" s="4" t="n">
        <f aca="false">DCF_Base!$B$43</f>
        <v>1757.83202411189</v>
      </c>
      <c r="F5" s="4" t="n">
        <f aca="false">DCF_Base!$B$47</f>
        <v>807.810506161758</v>
      </c>
    </row>
    <row r="6" customFormat="false" ht="15" hidden="false" customHeight="false" outlineLevel="0" collapsed="false">
      <c r="A6" s="0" t="s">
        <v>153</v>
      </c>
      <c r="B6" s="4" t="n">
        <f aca="false">DCF_Bull!$B$38</f>
        <v>2313.10638237609</v>
      </c>
      <c r="C6" s="0" t="n">
        <f aca="false">B6/Assumptions!$B$2-1</f>
        <v>0.266761436131484</v>
      </c>
      <c r="D6" s="4" t="n">
        <f aca="false">Assumptions!$B$52</f>
        <v>0.25</v>
      </c>
      <c r="E6" s="4" t="n">
        <f aca="false">DCF_Bull!$B$43</f>
        <v>2364.47120516968</v>
      </c>
      <c r="F6" s="4" t="n">
        <f aca="false">DCF_Bull!$B$47</f>
        <v>1048.82150649007</v>
      </c>
    </row>
    <row r="8" customFormat="false" ht="15" hidden="false" customHeight="false" outlineLevel="0" collapsed="false">
      <c r="A8" s="0" t="s">
        <v>154</v>
      </c>
      <c r="B8" s="0" t="n">
        <f aca="false">SUMPRODUCT(B4:B6,D4:D6)</f>
        <v>1690.88507960817</v>
      </c>
    </row>
    <row r="9" customFormat="false" ht="15" hidden="false" customHeight="false" outlineLevel="0" collapsed="false">
      <c r="A9" s="0" t="s">
        <v>155</v>
      </c>
      <c r="B9" s="0" t="n">
        <f aca="false">SUMPRODUCT(E4:E6,D4:D6)</f>
        <v>1736.3913054822</v>
      </c>
    </row>
    <row r="10" customFormat="false" ht="15" hidden="false" customHeight="false" outlineLevel="0" collapsed="false">
      <c r="A10" s="0" t="s">
        <v>156</v>
      </c>
      <c r="B10" s="0" t="n">
        <f aca="false">1-Assumptions!$B$2/B8</f>
        <v>-0.0799078080593954</v>
      </c>
    </row>
    <row r="11" customFormat="false" ht="15" hidden="false" customHeight="false" outlineLevel="0" collapsed="false">
      <c r="A11" s="0" t="s">
        <v>157</v>
      </c>
      <c r="B11" s="0" t="n">
        <f aca="false">IF(ABS(B9-B8)&gt;0.01*ABS(B8),(Assumptions!$B$2-B8)/(B9-B8)*100,"n/a")</f>
        <v>296.915241369092</v>
      </c>
    </row>
    <row r="12" customFormat="false" ht="15" hidden="false" customHeight="false" outlineLevel="0" collapsed="false">
      <c r="A12" s="0" t="s">
        <v>158</v>
      </c>
      <c r="B12" s="0" t="n">
        <f aca="false">SUMPRODUCT(F4:F6,D4:D6)</f>
        <v>793.578804477624</v>
      </c>
    </row>
    <row r="14" customFormat="false" ht="15" hidden="false" customHeight="false" outlineLevel="0" collapsed="false">
      <c r="A14" s="2" t="s">
        <v>159</v>
      </c>
      <c r="C14" s="0" t="s">
        <v>160</v>
      </c>
    </row>
    <row r="15" customFormat="false" ht="15" hidden="false" customHeight="false" outlineLevel="0" collapsed="false">
      <c r="A15" s="0" t="s">
        <v>161</v>
      </c>
      <c r="B15" s="0" t="n">
        <f aca="false">(SUMPRODUCT(DCF_Base!$C$19:$L$19/(1+$C$15/100)^DCF_Base!$C$4:$L$4)+MAX(0,MIN(IF($C$15&gt;DCF_Base!$B$28,DCF_Base!$L$19*(1+DCF_Base!$B$28/100)/(($C$15-DCF_Base!$B$28)/100),DCF_Base!$L$19*DCF_Base!$B$29),DCF_Base!$L$19*DCF_Base!$B$29))/(1+$C$15/100)^DCF_Base!$L$4+Assumptions!$B$5-Assumptions!$B$4)/Assumptions!$B$3*Assumptions!$B$10</f>
        <v>1712.56582810874</v>
      </c>
      <c r="C15" s="3" t="n">
        <v>8.5</v>
      </c>
    </row>
    <row r="16" customFormat="false" ht="15" hidden="false" customHeight="false" outlineLevel="0" collapsed="false">
      <c r="A16" s="0" t="s">
        <v>162</v>
      </c>
      <c r="B16" s="0" t="n">
        <f aca="false">(SUMPRODUCT(DCF_Base!$C$19:$L$19/(1+$C$16/100)^DCF_Base!$C$4:$L$4)+MAX(0,MIN(IF($C$16&gt;DCF_Base!$B$28,DCF_Base!$L$19*(1+DCF_Base!$B$28/100)/(($C$16-DCF_Base!$B$28)/100),DCF_Base!$L$19*DCF_Base!$B$29),DCF_Base!$L$19*DCF_Base!$B$29))/(1+$C$16/100)^DCF_Base!$L$4+Assumptions!$B$5-Assumptions!$B$4)/Assumptions!$B$3*Assumptions!$B$10</f>
        <v>1621.75050766255</v>
      </c>
      <c r="C16" s="3" t="n">
        <v>9</v>
      </c>
    </row>
    <row r="17" customFormat="false" ht="15" hidden="false" customHeight="false" outlineLevel="0" collapsed="false">
      <c r="A17" s="0" t="s">
        <v>163</v>
      </c>
      <c r="B17" s="0" t="n">
        <f aca="false">(SUMPRODUCT(DCF_Base!$C$19:$L$19/(1+$C$17/100)^DCF_Base!$C$4:$L$4)+MAX(0,MIN(IF($C$17&gt;DCF_Base!$B$28,DCF_Base!$L$19*(1+DCF_Base!$B$28/100)/(($C$17-DCF_Base!$B$28)/100),DCF_Base!$L$19*DCF_Base!$B$29),DCF_Base!$L$19*DCF_Base!$B$29))/(1+$C$17/100)^DCF_Base!$L$4+Assumptions!$B$5-Assumptions!$B$4)/Assumptions!$B$3*Assumptions!$B$10</f>
        <v>1399.57445965373</v>
      </c>
      <c r="C17" s="3" t="n">
        <v>10</v>
      </c>
    </row>
    <row r="18" customFormat="false" ht="15" hidden="false" customHeight="false" outlineLevel="0" collapsed="false">
      <c r="A18" s="0" t="s">
        <v>164</v>
      </c>
      <c r="B18" s="0" t="n">
        <f aca="false">(SUMPRODUCT(DCF_Base!$C$19:$L$19/(1+$C$18/100)^DCF_Base!$C$4:$L$4)+MAX(0,MIN(IF($C$18&gt;DCF_Base!$B$28,DCF_Base!$L$19*(1+DCF_Base!$B$28/100)/(($C$18-DCF_Base!$B$28)/100),DCF_Base!$L$19*DCF_Base!$B$29),DCF_Base!$L$19*DCF_Base!$B$29))/(1+$C$18/100)^DCF_Base!$L$4+Assumptions!$B$5-Assumptions!$B$4)/Assumptions!$B$3*Assumptions!$B$10</f>
        <v>1227.43612492171</v>
      </c>
      <c r="C18" s="3" t="n">
        <v>11</v>
      </c>
    </row>
    <row r="19" customFormat="false" ht="15" hidden="false" customHeight="false" outlineLevel="0" collapsed="false">
      <c r="A19" s="0" t="s">
        <v>165</v>
      </c>
      <c r="B19" s="0" t="n">
        <f aca="false">(SUMPRODUCT(DCF_Base!$C$19:$L$19/(1+$C$19/100)^DCF_Base!$C$4:$L$4)+MAX(0,MIN(IF($C$19&gt;DCF_Base!$B$28,DCF_Base!$L$19*(1+DCF_Base!$B$28/100)/(($C$19-DCF_Base!$B$28)/100),DCF_Base!$L$19*DCF_Base!$B$29),DCF_Base!$L$19*DCF_Base!$B$29))/(1+$C$19/100)^DCF_Base!$L$4+Assumptions!$B$5-Assumptions!$B$4)/Assumptions!$B$3*Assumptions!$B$10</f>
        <v>1090.28953943778</v>
      </c>
      <c r="C19" s="3" t="n">
        <v>12</v>
      </c>
    </row>
    <row r="20" customFormat="false" ht="15" hidden="false" customHeight="false" outlineLevel="0" collapsed="false">
      <c r="A20" s="0" t="s">
        <v>166</v>
      </c>
      <c r="B20" s="0" t="n">
        <f aca="false">(SUMPRODUCT(DCF_Base!$C$19:$L$19/(1+$C$20/100)^DCF_Base!$C$4:$L$4)+MAX(0,MIN(IF($C$20&gt;DCF_Base!$B$28,DCF_Base!$L$19*(1+DCF_Base!$B$28/100)/(($C$20-DCF_Base!$B$28)/100),DCF_Base!$L$19*DCF_Base!$B$29),DCF_Base!$L$19*DCF_Base!$B$29))/(1+$C$20/100)^DCF_Base!$L$4+Assumptions!$B$5-Assumptions!$B$4)/Assumptions!$B$3*Assumptions!$B$10</f>
        <v>807.810506161758</v>
      </c>
      <c r="C20" s="3" t="n">
        <v>15</v>
      </c>
    </row>
    <row r="22" customFormat="false" ht="15" hidden="false" customHeight="false" outlineLevel="0" collapsed="false">
      <c r="A22" s="2" t="s">
        <v>167</v>
      </c>
    </row>
    <row r="23" customFormat="false" ht="15" hidden="false" customHeight="false" outlineLevel="0" collapsed="false">
      <c r="B23" s="3" t="n">
        <v>1</v>
      </c>
      <c r="C23" s="3" t="n">
        <v>1.5</v>
      </c>
      <c r="D23" s="3" t="n">
        <v>2</v>
      </c>
      <c r="E23" s="3" t="n">
        <v>2.5</v>
      </c>
      <c r="F23" s="3" t="n">
        <v>3</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1998.38411292628</v>
      </c>
      <c r="C24" s="0" t="n">
        <f aca="false">(SUMPRODUCT(DCF_Base!$C$19:$L$19/(1+$A$24/100)^DCF_Base!$C$4:$L$4)+MAX(0,MIN(IF($A$24&gt;$C$23,DCF_Base!$L$19*(1+$C$23/100)/(($A$24-$C$23)/100),DCF_Base!$L$19*DCF_Base!$B$29),DCF_Base!$L$19*DCF_Base!$B$29))/(1+$A$24/100)^DCF_Base!$L$4+Assumptions!$B$5-Assumptions!$B$4)/Assumptions!$B$3*Assumptions!$B$10</f>
        <v>1998.38411292628</v>
      </c>
      <c r="D24" s="0" t="n">
        <f aca="false">(SUMPRODUCT(DCF_Base!$C$19:$L$19/(1+$A$24/100)^DCF_Base!$C$4:$L$4)+MAX(0,MIN(IF($A$24&gt;$D$23,DCF_Base!$L$19*(1+$D$23/100)/(($A$24-$D$23)/100),DCF_Base!$L$19*DCF_Base!$B$29),DCF_Base!$L$19*DCF_Base!$B$29))/(1+$A$24/100)^DCF_Base!$L$4+Assumptions!$B$5-Assumptions!$B$4)/Assumptions!$B$3*Assumptions!$B$10</f>
        <v>1998.38411292628</v>
      </c>
      <c r="E24" s="0" t="n">
        <f aca="false">(SUMPRODUCT(DCF_Base!$C$19:$L$19/(1+$A$24/100)^DCF_Base!$C$4:$L$4)+MAX(0,MIN(IF($A$24&gt;$E$23,DCF_Base!$L$19*(1+$E$23/100)/(($A$24-$E$23)/100),DCF_Base!$L$19*DCF_Base!$B$29),DCF_Base!$L$19*DCF_Base!$B$29))/(1+$A$24/100)^DCF_Base!$L$4+Assumptions!$B$5-Assumptions!$B$4)/Assumptions!$B$3*Assumptions!$B$10</f>
        <v>1998.38411292628</v>
      </c>
      <c r="F24" s="0" t="n">
        <f aca="false">(SUMPRODUCT(DCF_Base!$C$19:$L$19/(1+$A$24/100)^DCF_Base!$C$4:$L$4)+MAX(0,MIN(IF($A$24&gt;$F$23,DCF_Base!$L$19*(1+$F$23/100)/(($A$24-$F$23)/100),DCF_Base!$L$19*DCF_Base!$B$29),DCF_Base!$L$19*DCF_Base!$B$29))/(1+$A$24/100)^DCF_Base!$L$4+Assumptions!$B$5-Assumptions!$B$4)/Assumptions!$B$3*Assumptions!$B$10</f>
        <v>1998.38411292628</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1848.73306964772</v>
      </c>
      <c r="C25" s="0" t="n">
        <f aca="false">(SUMPRODUCT(DCF_Base!$C$19:$L$19/(1+$A$25/100)^DCF_Base!$C$4:$L$4)+MAX(0,MIN(IF($A$25&gt;$C$23,DCF_Base!$L$19*(1+$C$23/100)/(($A$25-$C$23)/100),DCF_Base!$L$19*DCF_Base!$B$29),DCF_Base!$L$19*DCF_Base!$B$29))/(1+$A$25/100)^DCF_Base!$L$4+Assumptions!$B$5-Assumptions!$B$4)/Assumptions!$B$3*Assumptions!$B$10</f>
        <v>1848.73306964772</v>
      </c>
      <c r="D25" s="0" t="n">
        <f aca="false">(SUMPRODUCT(DCF_Base!$C$19:$L$19/(1+$A$25/100)^DCF_Base!$C$4:$L$4)+MAX(0,MIN(IF($A$25&gt;$D$23,DCF_Base!$L$19*(1+$D$23/100)/(($A$25-$D$23)/100),DCF_Base!$L$19*DCF_Base!$B$29),DCF_Base!$L$19*DCF_Base!$B$29))/(1+$A$25/100)^DCF_Base!$L$4+Assumptions!$B$5-Assumptions!$B$4)/Assumptions!$B$3*Assumptions!$B$10</f>
        <v>1848.73306964772</v>
      </c>
      <c r="E25" s="0" t="n">
        <f aca="false">(SUMPRODUCT(DCF_Base!$C$19:$L$19/(1+$A$25/100)^DCF_Base!$C$4:$L$4)+MAX(0,MIN(IF($A$25&gt;$E$23,DCF_Base!$L$19*(1+$E$23/100)/(($A$25-$E$23)/100),DCF_Base!$L$19*DCF_Base!$B$29),DCF_Base!$L$19*DCF_Base!$B$29))/(1+$A$25/100)^DCF_Base!$L$4+Assumptions!$B$5-Assumptions!$B$4)/Assumptions!$B$3*Assumptions!$B$10</f>
        <v>1848.73306964772</v>
      </c>
      <c r="F25" s="0" t="n">
        <f aca="false">(SUMPRODUCT(DCF_Base!$C$19:$L$19/(1+$A$25/100)^DCF_Base!$C$4:$L$4)+MAX(0,MIN(IF($A$25&gt;$F$23,DCF_Base!$L$19*(1+$F$23/100)/(($A$25-$F$23)/100),DCF_Base!$L$19*DCF_Base!$B$29),DCF_Base!$L$19*DCF_Base!$B$29))/(1+$A$25/100)^DCF_Base!$L$4+Assumptions!$B$5-Assumptions!$B$4)/Assumptions!$B$3*Assumptions!$B$10</f>
        <v>1848.73306964772</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1610.08285235928</v>
      </c>
      <c r="C26" s="0" t="n">
        <f aca="false">(SUMPRODUCT(DCF_Base!$C$19:$L$19/(1+$A$26/100)^DCF_Base!$C$4:$L$4)+MAX(0,MIN(IF($A$26&gt;$C$23,DCF_Base!$L$19*(1+$C$23/100)/(($A$26-$C$23)/100),DCF_Base!$L$19*DCF_Base!$B$29),DCF_Base!$L$19*DCF_Base!$B$29))/(1+$A$26/100)^DCF_Base!$L$4+Assumptions!$B$5-Assumptions!$B$4)/Assumptions!$B$3*Assumptions!$B$10</f>
        <v>1679.14746645131</v>
      </c>
      <c r="D26" s="0" t="n">
        <f aca="false">(SUMPRODUCT(DCF_Base!$C$19:$L$19/(1+$A$26/100)^DCF_Base!$C$4:$L$4)+MAX(0,MIN(IF($A$26&gt;$D$23,DCF_Base!$L$19*(1+$D$23/100)/(($A$26-$D$23)/100),DCF_Base!$L$19*DCF_Base!$B$29),DCF_Base!$L$19*DCF_Base!$B$29))/(1+$A$26/100)^DCF_Base!$L$4+Assumptions!$B$5-Assumptions!$B$4)/Assumptions!$B$3*Assumptions!$B$10</f>
        <v>1712.56582810874</v>
      </c>
      <c r="E26" s="0" t="n">
        <f aca="false">(SUMPRODUCT(DCF_Base!$C$19:$L$19/(1+$A$26/100)^DCF_Base!$C$4:$L$4)+MAX(0,MIN(IF($A$26&gt;$E$23,DCF_Base!$L$19*(1+$E$23/100)/(($A$26-$E$23)/100),DCF_Base!$L$19*DCF_Base!$B$29),DCF_Base!$L$19*DCF_Base!$B$29))/(1+$A$26/100)^DCF_Base!$L$4+Assumptions!$B$5-Assumptions!$B$4)/Assumptions!$B$3*Assumptions!$B$10</f>
        <v>1712.56582810874</v>
      </c>
      <c r="F26" s="0" t="n">
        <f aca="false">(SUMPRODUCT(DCF_Base!$C$19:$L$19/(1+$A$26/100)^DCF_Base!$C$4:$L$4)+MAX(0,MIN(IF($A$26&gt;$F$23,DCF_Base!$L$19*(1+$F$23/100)/(($A$26-$F$23)/100),DCF_Base!$L$19*DCF_Base!$B$29),DCF_Base!$L$19*DCF_Base!$B$29))/(1+$A$26/100)^DCF_Base!$L$4+Assumptions!$B$5-Assumptions!$B$4)/Assumptions!$B$3*Assumptions!$B$10</f>
        <v>1712.56582810874</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1398.41556622831</v>
      </c>
      <c r="C27" s="0" t="n">
        <f aca="false">(SUMPRODUCT(DCF_Base!$C$19:$L$19/(1+$A$27/100)^DCF_Base!$C$4:$L$4)+MAX(0,MIN(IF($A$27&gt;$C$23,DCF_Base!$L$19*(1+$C$23/100)/(($A$27-$C$23)/100),DCF_Base!$L$19*DCF_Base!$B$29),DCF_Base!$L$19*DCF_Base!$B$29))/(1+$A$27/100)^DCF_Base!$L$4+Assumptions!$B$5-Assumptions!$B$4)/Assumptions!$B$3*Assumptions!$B$10</f>
        <v>1447.51161607949</v>
      </c>
      <c r="D27" s="0" t="n">
        <f aca="false">(SUMPRODUCT(DCF_Base!$C$19:$L$19/(1+$A$27/100)^DCF_Base!$C$4:$L$4)+MAX(0,MIN(IF($A$27&gt;$D$23,DCF_Base!$L$19*(1+$D$23/100)/(($A$27-$D$23)/100),DCF_Base!$L$19*DCF_Base!$B$29),DCF_Base!$L$19*DCF_Base!$B$29))/(1+$A$27/100)^DCF_Base!$L$4+Assumptions!$B$5-Assumptions!$B$4)/Assumptions!$B$3*Assumptions!$B$10</f>
        <v>1503.15380591083</v>
      </c>
      <c r="E27" s="0" t="n">
        <f aca="false">(SUMPRODUCT(DCF_Base!$C$19:$L$19/(1+$A$27/100)^DCF_Base!$C$4:$L$4)+MAX(0,MIN(IF($A$27&gt;$E$23,DCF_Base!$L$19*(1+$E$23/100)/(($A$27-$E$23)/100),DCF_Base!$L$19*DCF_Base!$B$29),DCF_Base!$L$19*DCF_Base!$B$29))/(1+$A$27/100)^DCF_Base!$L$4+Assumptions!$B$5-Assumptions!$B$4)/Assumptions!$B$3*Assumptions!$B$10</f>
        <v>1566.74488000379</v>
      </c>
      <c r="F27" s="0" t="n">
        <f aca="false">(SUMPRODUCT(DCF_Base!$C$19:$L$19/(1+$A$27/100)^DCF_Base!$C$4:$L$4)+MAX(0,MIN(IF($A$27&gt;$F$23,DCF_Base!$L$19*(1+$F$23/100)/(($A$27-$F$23)/100),DCF_Base!$L$19*DCF_Base!$B$29),DCF_Base!$L$19*DCF_Base!$B$29))/(1+$A$27/100)^DCF_Base!$L$4+Assumptions!$B$5-Assumptions!$B$4)/Assumptions!$B$3*Assumptions!$B$10</f>
        <v>1588.52264510412</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1232.16494638311</v>
      </c>
      <c r="C28" s="0" t="n">
        <f aca="false">(SUMPRODUCT(DCF_Base!$C$19:$L$19/(1+$A$28/100)^DCF_Base!$C$4:$L$4)+MAX(0,MIN(IF($A$28&gt;$C$23,DCF_Base!$L$19*(1+$C$23/100)/(($A$28-$C$23)/100),DCF_Base!$L$19*DCF_Base!$B$29),DCF_Base!$L$19*DCF_Base!$B$29))/(1+$A$28/100)^DCF_Base!$L$4+Assumptions!$B$5-Assumptions!$B$4)/Assumptions!$B$3*Assumptions!$B$10</f>
        <v>1268.14451231825</v>
      </c>
      <c r="D28" s="0" t="n">
        <f aca="false">(SUMPRODUCT(DCF_Base!$C$19:$L$19/(1+$A$28/100)^DCF_Base!$C$4:$L$4)+MAX(0,MIN(IF($A$28&gt;$D$23,DCF_Base!$L$19*(1+$D$23/100)/(($A$28-$D$23)/100),DCF_Base!$L$19*DCF_Base!$B$29),DCF_Base!$L$19*DCF_Base!$B$29))/(1+$A$28/100)^DCF_Base!$L$4+Assumptions!$B$5-Assumptions!$B$4)/Assumptions!$B$3*Assumptions!$B$10</f>
        <v>1308.3569683634</v>
      </c>
      <c r="E28" s="0" t="n">
        <f aca="false">(SUMPRODUCT(DCF_Base!$C$19:$L$19/(1+$A$28/100)^DCF_Base!$C$4:$L$4)+MAX(0,MIN(IF($A$28&gt;$E$23,DCF_Base!$L$19*(1+$E$23/100)/(($A$28-$E$23)/100),DCF_Base!$L$19*DCF_Base!$B$29),DCF_Base!$L$19*DCF_Base!$B$29))/(1+$A$28/100)^DCF_Base!$L$4+Assumptions!$B$5-Assumptions!$B$4)/Assumptions!$B$3*Assumptions!$B$10</f>
        <v>1353.5959814142</v>
      </c>
      <c r="F28" s="0" t="n">
        <f aca="false">(SUMPRODUCT(DCF_Base!$C$19:$L$19/(1+$A$28/100)^DCF_Base!$C$4:$L$4)+MAX(0,MIN(IF($A$28&gt;$F$23,DCF_Base!$L$19*(1+$F$23/100)/(($A$28-$F$23)/100),DCF_Base!$L$19*DCF_Base!$B$29),DCF_Base!$L$19*DCF_Base!$B$29))/(1+$A$28/100)^DCF_Base!$L$4+Assumptions!$B$5-Assumptions!$B$4)/Assumptions!$B$3*Assumptions!$B$10</f>
        <v>1404.86686287178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2026-10-04T10:13:06Z</dcterms:created>
  <dc:creator>openpyxl</dc:creator>
  <dc:description/>
  <dc:language>en-NZ</dc:language>
  <cp:lastModifiedBy/>
  <dcterms:modified xsi:type="dcterms:W3CDTF">2026-10-04T10:13:06Z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