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<sst xmlns="http://schemas.openxmlformats.org/spreadsheetml/2006/main" count="389" uniqueCount="175">
  <si>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</si>
  <si>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JCI</t>
  </si>
  <si>
    <t xml:space="preserve">Company</t>
  </si>
  <si>
    <t xml:space="preserve">Johnson Controls International plc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</si>
  <si>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</si>
  <si>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</si>
  <si>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</si>
  <si>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</si>
  <si>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</si>
  <si>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</si>
  <si>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</si>
  <si>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</si>
  <si>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</si>
  <si>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</si>
  <si>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</si>
  <si>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</si>
  <si>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</si>
  <si>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</si>
  <si>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</si>
  <si>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</si>
  <si>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</si>
  <si>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2026-09-28T22:13:11Z</t>
  </si>
  <si>
    <t xml:space="preserve">Drivers file</t>
  </si>
  <si>
    <t xml:space="preserve">JCI_Drivers.json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</si>
  <si>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</si>
  <si>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</si>
  <si>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</si>
  <si>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JCI is valued as a cyclical industrial compounder on owner FCF: continuing-ops cash flow after SBC and equity-award taxes, with the company's 'adjusted' EBITDA haircut for the recurring share of restructuring and transformation costs, discounted at a single 9% USD WACC, with leases as operating cost, NCI charged once in the bridge, and a terminal value that never exceeds the 17x cap. The current price gives full credit for the data-center backlog and the margin program; the model's job is to say what those are worth to a buyer demanding a 15% return and to show, via the required-return table, what return the market price actually implies on the base path.
key_risks_to_valuation: FY0 is an estimate (FY2026 ends 2026-09-30, unreported): if the Q4 print misses the guided ~9-10% organic growth or ~$1.55 adjusted EPS, the base revenue and margin anchors move with it.; AI data-center capex digestion: orders (+27%) and backlog (+32%) are the growth evidence; a hyperscaler pause removes the FY2027-28 growth years the base case relies on.; The ~1.4pp restructuring/transformation haircut is a judgment: if these costs genuinely end, the base is ~$0.35bn/yr too low; if they persist at the LTM $0.9bn P&amp;L level, it is too high.; Cash tax: an Irish plc guiding ~17%; the model's 18-20% ramp costs ~$3-4/share versus the guided rate, while a US or OECD challenge to the structure would cost more.; Legacy asbestos and AFFF liabilities are outside the bridge (asbestos largely funded by restricted investments; the $750m AFFF settlement mostly paid with insurance recoveries offsetting); a further adverse ruling would be a direct deduction.; Terminal value is 55-60% of enterprise value; a 1pp change in WACC moves the base value by roughly 15%.</t>
  </si>
  <si>
    <t xml:space="preserve">Data sources</t>
  </si>
  <si>
    <t xml:space="preserve">price: Yahoo Finance chart API regular close at inputs.price_as_of; 52-week range 104.49-157.06
financials: SEC XBRL companyfacts (CIK 833444) for FY2019-Q2 FY2026 continuing-ops series; Q3 FY2026 8-K earnings release EX-99.1 (2026-07-29) and Q3 FY2026 10-Q (period 2026-06-30) for the June-2026 balance sheet, 9M cash flow, diluted share count, LTM adjusted EBITDA ($4,553m) and FY2026 guidance; JCI_Metrics.csv / core_metrics for the annual history and kpis (buybacks, cash taxes, equity-award taxes, D&amp;A)
qualitative: research/JCI/Reports/JCI_Analysis.json (2026-09-29): business model, competitive position, growth drivers, bull/bear axes, guidance history</t>
  </si>
  <si>
    <t xml:space="preserve">Scenario narrative: bear</t>
  </si>
  <si>
    <t xml:space="preserve">The data-center thesis is a capex cycle: orders roll over in FY2028 and revenue falls 3% in FY2029 as hyperscalers digest, with China and the Middle East still soft; margins slip back toward 15.6% as operating leverage reverses before recovering only to 17%; restructuring and transformation stay permanent; asbestos/AFFF and tariff costs bite; cash tax settles at 21%. Terminal 2.0% with a 15x cap.</t>
  </si>
  <si>
    <t xml:space="preserve">Scenario narrative: base</t>
  </si>
  <si>
    <t xml:space="preserve">JCI's axes are (1) how long the AI data-center cooling wave sustains double-digit Americas orders, (2) whether the new CEO's Danaher-style operating system converts 45-50% operating leverage into a durable 2-3pp margin step-up, and (3) how much of the perennial restructuring/transformation spend is truly non-recurring. Base: the $21bn backlog delivers +8% in FY2027 and +7% in FY2028, then growth fades to 3% by FY2035 as hyperscaler capex normalises and EMEA/APAC stay low-single-digit; owner EBITDA margin (pre-SBC, after a ~1.4pp haircut for recurring 'one-off' charges) rises from ~17.1% to 19.5%; capex 1.5-1.6%; working capital consumes 5% of incremental revenue; cash tax 18% -&gt; 20%. Terminal 2.5% growth at 9% WACC (Gordon ~15.8x binds below the 17x cap).</t>
  </si>
  <si>
    <t xml:space="preserve">Scenario narrative: bull</t>
  </si>
  <si>
    <t xml:space="preserve">Hyperscaler and AI-factory demand persists through the decade and JCI's chiller/CDU share holds against Trane and Carrier: revenue compounds +11%/+10%/+9% for FY2027-29 and is still growing 5% in FY2033; the business system takes owner EBITDA margin to 21.5% (company basis ~23%), the restructuring haircut effectively disappears into productivity; cash tax stays near the guided 17-19% Irish-plc rate; terminal 3.0% with a 19x cap (Gordon ~17.2x binds).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</si>
  <si>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</si>
  <si>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</si>
  <si>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</si>
  <si>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</si>
  <si>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</si>
  <si>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</si>
  <si>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</si>
  <si>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</si>
  <si>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</si>
  <si>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</si>
  <si>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</si>
  <si>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</si>
  <si>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</si>
  <si>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</si>
  <si>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</si>
  <si>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</si>
  <si>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</si>
  <si>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</si>
  <si>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</si>
  <si>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</si>
  <si>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</si>
  <si>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</si>
  <si>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</si>
  <si>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</si>
  <si>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</si>
  <si>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</si>
  <si>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</si>
  <si>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</si>
  <si>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</si>
  <si>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</si>
  <si>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</si>
  <si>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</si>
  <si>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</si>
  <si>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</si>
  <si>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</si>
  <si>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</si>
  <si>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</si>
  <si>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</si>
  <si>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</si>
  <si>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</si>
  <si>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</si>
  <si>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</si>
  <si>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</si>
  <si>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</si>
  <si>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</si>
  <si>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</si>
  <si>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</si>
  <si>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</si>
  <si>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</si>
  <si>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</si>
  <si>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</si>
  <si>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</si>
  <si>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</si>
  <si>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</si>
  <si>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</si>
  <si>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</si>
  <si>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</si>
  <si>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</si>
  <si>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</si>
  <si>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</si>
  <si>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</si>
  <si>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</si>
  <si>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</si>
  <si>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</si>
  <si>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</si>
  <si>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</si>
  <si>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</si>
  <si>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</si>
  <si>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</si>
  <si>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</si>
  <si>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</si>
  <si>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</si>
  <si>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</si>
  <si>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</si>
  <si>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</si>
  <si>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</si>
  <si>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</si>
  <si>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</si>
  <si>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</si>
  <si>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</si>
  <si>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</si>
  <si>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</si>
  <si>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</si>
  <si>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</si>
  <si>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</si>
  <si>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JCI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</si>
  <si>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</si>
  <si>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</si>
  <si>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</si>
  <si>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</si>
  <si>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</si>
  <si>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</si>
  <si>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</si>
  <si>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</si>
  <si>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</si>
  <si>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</si>
  <si>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</si>
  <si>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</si>
  <si>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</si>
  <si>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</si>
  <si>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</si>
  <si>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</si>
  <si>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</si>
  <si>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</si>
  <si>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</si>
  <si>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</si>
  <si>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</si>
  <si>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</si>
  <si>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</si>
  <si>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</si>
  <si>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</si>
  <si>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</si>
  <si>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</si>
  <si>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</si>
  <si>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</si>
  <si>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</si>
  <si>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JCI owner-FCF component DCF: base case (millions, USD)</t>
  </si>
  <si>
    <t xml:space="preserve">JCI owner-FCF component DCF: bull case (millions, USD)</t>
  </si>
  <si>
    <t xml:space="preserve">JCI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</si>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</sst>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148.89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35387</v>
      </c>
      <c r="S2" s="0" t="n">
        <v>2193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18477</v>
      </c>
      <c r="F3" s="0" t="n">
        <v>-1732</v>
      </c>
      <c r="G3" s="0" t="n">
        <v>-9.37381609568653</v>
      </c>
      <c r="H3" s="0" t="n">
        <v>-584</v>
      </c>
      <c r="I3" s="0" t="n">
        <v>-1742</v>
      </c>
      <c r="J3" s="0" t="n">
        <v>-9.42793743573091</v>
      </c>
      <c r="K3" s="0" t="n">
        <v>-3.52</v>
      </c>
      <c r="M3" s="0" t="n">
        <v>666</v>
      </c>
      <c r="O3" s="0" t="n">
        <v>15690</v>
      </c>
      <c r="S3" s="0" t="n">
        <v>1894</v>
      </c>
      <c r="T3" s="0" t="n">
        <v>495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19733</v>
      </c>
      <c r="C4" s="0" t="n">
        <v>12780</v>
      </c>
      <c r="F4" s="0" t="n">
        <v>1896</v>
      </c>
      <c r="G4" s="0" t="n">
        <v>9.60827040997314</v>
      </c>
      <c r="H4" s="0" t="n">
        <v>3044</v>
      </c>
      <c r="I4" s="0" t="n">
        <v>1554</v>
      </c>
      <c r="J4" s="0" t="n">
        <v>7.87513302589571</v>
      </c>
      <c r="K4" s="0" t="n">
        <v>3.21</v>
      </c>
      <c r="M4" s="0" t="n">
        <v>722</v>
      </c>
      <c r="O4" s="0" t="n">
        <v>15508</v>
      </c>
      <c r="P4" s="0" t="n">
        <v>28804</v>
      </c>
      <c r="Q4" s="0" t="n">
        <v>13296</v>
      </c>
      <c r="R4" s="0" t="n">
        <v>4264</v>
      </c>
      <c r="S4" s="0" t="n">
        <v>1519</v>
      </c>
      <c r="T4" s="0" t="n">
        <v>488</v>
      </c>
      <c r="U4" s="0" t="n">
        <v>104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16882</v>
      </c>
      <c r="C5" s="0" t="n">
        <v>10870</v>
      </c>
      <c r="F5" s="0" t="n">
        <v>-1506</v>
      </c>
      <c r="G5" s="0" t="n">
        <v>-8.92074398767919</v>
      </c>
      <c r="H5" s="0" t="n">
        <v>-380</v>
      </c>
      <c r="I5" s="0" t="n">
        <v>-1798</v>
      </c>
      <c r="J5" s="0" t="n">
        <v>-10.6503968724085</v>
      </c>
      <c r="K5" s="0" t="n">
        <v>-3.8</v>
      </c>
      <c r="M5" s="0" t="n">
        <v>702</v>
      </c>
      <c r="O5" s="0" t="n">
        <v>12939</v>
      </c>
      <c r="P5" s="0" t="n">
        <v>25553</v>
      </c>
      <c r="Q5" s="0" t="n">
        <v>12599</v>
      </c>
      <c r="R5" s="0" t="n">
        <v>4519</v>
      </c>
      <c r="S5" s="0" t="n">
        <v>2115</v>
      </c>
      <c r="T5" s="0" t="n">
        <v>479.34672</v>
      </c>
      <c r="U5" s="0" t="n">
        <v>99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11020</v>
      </c>
      <c r="C6" s="0" t="n">
        <v>7404</v>
      </c>
      <c r="F6" s="0" t="n">
        <v>615</v>
      </c>
      <c r="G6" s="0" t="n">
        <v>5.58076225045372</v>
      </c>
      <c r="H6" s="0" t="n">
        <v>1064</v>
      </c>
      <c r="I6" s="0" t="n">
        <v>1137</v>
      </c>
      <c r="J6" s="0" t="n">
        <v>10.3176043557169</v>
      </c>
      <c r="K6" s="0" t="n">
        <v>2.33</v>
      </c>
      <c r="M6" s="0" t="n">
        <v>351</v>
      </c>
      <c r="O6" s="0" t="n">
        <v>14154</v>
      </c>
      <c r="P6" s="0" t="n">
        <v>27066</v>
      </c>
      <c r="Q6" s="0" t="n">
        <v>13027</v>
      </c>
      <c r="R6" s="0" t="n">
        <v>4724</v>
      </c>
      <c r="S6" s="0" t="n">
        <v>844</v>
      </c>
      <c r="T6" s="0" t="n">
        <v>488</v>
      </c>
      <c r="U6" s="0" t="n">
        <v>120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10557</v>
      </c>
      <c r="C7" s="0" t="n">
        <v>6890</v>
      </c>
      <c r="F7" s="0" t="n">
        <v>982</v>
      </c>
      <c r="G7" s="0" t="n">
        <v>9.30188500520981</v>
      </c>
      <c r="H7" s="0" t="n">
        <v>1403</v>
      </c>
      <c r="I7" s="0" t="n">
        <v>1720</v>
      </c>
      <c r="J7" s="0" t="n">
        <v>16.2925073411007</v>
      </c>
      <c r="K7" s="0" t="n">
        <v>3.63</v>
      </c>
      <c r="M7" s="0" t="n">
        <v>371</v>
      </c>
      <c r="O7" s="0" t="n">
        <v>14154</v>
      </c>
      <c r="P7" s="0" t="n">
        <v>26702</v>
      </c>
      <c r="Q7" s="0" t="n">
        <v>12455</v>
      </c>
      <c r="R7" s="0" t="n">
        <v>4107</v>
      </c>
      <c r="S7" s="0" t="n">
        <v>844</v>
      </c>
      <c r="T7" s="0" t="n">
        <v>479</v>
      </c>
      <c r="U7" s="0" t="n">
        <v>0.00011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9892</v>
      </c>
      <c r="C8" s="0" t="n">
        <v>3905</v>
      </c>
      <c r="F8" s="0" t="n">
        <v>578</v>
      </c>
      <c r="G8" s="0" t="n">
        <v>5.84310553983017</v>
      </c>
      <c r="H8" s="0" t="n">
        <v>957</v>
      </c>
      <c r="I8" s="0" t="n">
        <v>472</v>
      </c>
      <c r="J8" s="0" t="n">
        <v>4.77153255155681</v>
      </c>
      <c r="K8" s="0" t="n">
        <v>1.02</v>
      </c>
      <c r="M8" s="0" t="n">
        <v>295</v>
      </c>
      <c r="O8" s="0" t="n">
        <v>5010</v>
      </c>
      <c r="P8" s="0" t="n">
        <v>12365</v>
      </c>
      <c r="Q8" s="0" t="n">
        <v>7343</v>
      </c>
      <c r="R8" s="0" t="n">
        <v>1501</v>
      </c>
      <c r="S8" s="0" t="n">
        <v>844</v>
      </c>
      <c r="T8" s="0" t="n">
        <v>463</v>
      </c>
      <c r="U8" s="0" t="n">
        <v>140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10058</v>
      </c>
      <c r="C9" s="0" t="n">
        <v>3985</v>
      </c>
      <c r="F9" s="0" t="n">
        <v>712</v>
      </c>
      <c r="G9" s="0" t="n">
        <v>7.07894213561344</v>
      </c>
      <c r="H9" s="0" t="n">
        <v>1091</v>
      </c>
      <c r="I9" s="0" t="n">
        <v>536</v>
      </c>
      <c r="J9" s="0" t="n">
        <v>5.32909127063034</v>
      </c>
      <c r="K9" s="0" t="n">
        <v>1.15</v>
      </c>
      <c r="M9" s="0" t="n">
        <v>269</v>
      </c>
      <c r="O9" s="0" t="n">
        <v>5121</v>
      </c>
      <c r="P9" s="0" t="n">
        <v>12176</v>
      </c>
      <c r="Q9" s="0" t="n">
        <v>7043</v>
      </c>
      <c r="R9" s="0" t="n">
        <v>1483</v>
      </c>
      <c r="S9" s="0" t="n">
        <v>1055</v>
      </c>
      <c r="T9" s="0" t="n">
        <v>472</v>
      </c>
      <c r="U9" s="0" t="n">
        <v>63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38749</v>
      </c>
      <c r="C10" s="0" t="n">
        <v>32444</v>
      </c>
      <c r="D10" s="0" t="n">
        <v>6305</v>
      </c>
      <c r="E10" s="0" t="n">
        <v>16.2713876487135</v>
      </c>
      <c r="F10" s="0" t="n">
        <v>700</v>
      </c>
      <c r="G10" s="0" t="n">
        <v>1.80649823221244</v>
      </c>
      <c r="H10" s="0" t="n">
        <v>1655</v>
      </c>
      <c r="I10" s="0" t="n">
        <v>1343</v>
      </c>
      <c r="J10" s="0" t="n">
        <v>3.46589589408759</v>
      </c>
      <c r="K10" s="0" t="n">
        <v>1.82</v>
      </c>
      <c r="L10" s="0" t="n">
        <v>2395</v>
      </c>
      <c r="M10" s="0" t="n">
        <v>1199</v>
      </c>
      <c r="N10" s="0" t="n">
        <v>1196</v>
      </c>
      <c r="O10" s="0" t="n">
        <v>4670</v>
      </c>
      <c r="P10" s="0" t="n">
        <v>32812</v>
      </c>
      <c r="Q10" s="0" t="n">
        <v>7126</v>
      </c>
      <c r="R10" s="0" t="n">
        <v>1483</v>
      </c>
      <c r="S10" s="0" t="n">
        <v>364</v>
      </c>
      <c r="T10" s="0" t="n">
        <v>674.8</v>
      </c>
      <c r="U10" s="0" t="n">
        <v>82</v>
      </c>
      <c r="V10" s="0" t="n">
        <v>0.88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17100</v>
      </c>
      <c r="C11" s="0" t="n">
        <v>12569</v>
      </c>
      <c r="D11" s="0" t="n">
        <v>4531</v>
      </c>
      <c r="E11" s="0" t="n">
        <v>26.4970760233918</v>
      </c>
      <c r="F11" s="0" t="n">
        <v>884</v>
      </c>
      <c r="G11" s="0" t="n">
        <v>5.16959064327485</v>
      </c>
      <c r="H11" s="0" t="n">
        <v>1744</v>
      </c>
      <c r="I11" s="0" t="n">
        <v>1679</v>
      </c>
      <c r="J11" s="0" t="n">
        <v>9.8187134502924</v>
      </c>
      <c r="K11" s="0" t="n">
        <v>2.39</v>
      </c>
      <c r="L11" s="0" t="n">
        <v>1600</v>
      </c>
      <c r="M11" s="0" t="n">
        <v>1135</v>
      </c>
      <c r="N11" s="0" t="n">
        <v>465</v>
      </c>
      <c r="O11" s="0" t="n">
        <v>10498</v>
      </c>
      <c r="P11" s="0" t="n">
        <v>29590</v>
      </c>
      <c r="Q11" s="0" t="n">
        <v>8245</v>
      </c>
      <c r="R11" s="0" t="n">
        <v>6558</v>
      </c>
      <c r="S11" s="0" t="n">
        <v>553</v>
      </c>
      <c r="T11" s="0" t="n">
        <v>661.5</v>
      </c>
      <c r="U11" s="0" t="n">
        <v>90</v>
      </c>
      <c r="V11" s="0" t="n">
        <v>1.04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20837</v>
      </c>
      <c r="C12" s="0" t="n">
        <v>15183</v>
      </c>
      <c r="D12" s="0" t="n">
        <v>5654</v>
      </c>
      <c r="E12" s="0" t="n">
        <v>27.1344243413159</v>
      </c>
      <c r="I12" s="0" t="n">
        <v>-868</v>
      </c>
      <c r="J12" s="0" t="n">
        <v>-4.1656668426357</v>
      </c>
      <c r="K12" s="0" t="n">
        <v>-1.3</v>
      </c>
      <c r="L12" s="0" t="n">
        <v>1908</v>
      </c>
      <c r="M12" s="0" t="n">
        <v>1249</v>
      </c>
      <c r="N12" s="0" t="n">
        <v>659</v>
      </c>
      <c r="O12" s="0" t="n">
        <v>25090</v>
      </c>
      <c r="P12" s="0" t="n">
        <v>63179</v>
      </c>
      <c r="R12" s="0" t="n">
        <v>11681</v>
      </c>
      <c r="S12" s="0" t="n">
        <v>579</v>
      </c>
      <c r="T12" s="0" t="n">
        <v>935.5</v>
      </c>
      <c r="U12" s="0" t="n">
        <v>160</v>
      </c>
      <c r="V12" s="0" t="n">
        <v>1.16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22835</v>
      </c>
      <c r="C13" s="0" t="n">
        <v>15305</v>
      </c>
      <c r="D13" s="0" t="n">
        <v>7530</v>
      </c>
      <c r="E13" s="0" t="n">
        <v>32.9756952047296</v>
      </c>
      <c r="I13" s="0" t="n">
        <v>1819</v>
      </c>
      <c r="J13" s="0" t="n">
        <v>7.96584190934968</v>
      </c>
      <c r="K13" s="0" t="n">
        <v>1.72</v>
      </c>
      <c r="L13" s="0" t="n">
        <v>371</v>
      </c>
      <c r="M13" s="0" t="n">
        <v>760</v>
      </c>
      <c r="N13" s="0" t="n">
        <v>-389</v>
      </c>
      <c r="O13" s="0" t="n">
        <v>21367</v>
      </c>
      <c r="P13" s="0" t="n">
        <v>51884</v>
      </c>
      <c r="R13" s="0" t="n">
        <v>12358</v>
      </c>
      <c r="S13" s="0" t="n">
        <v>301</v>
      </c>
      <c r="T13" s="0" t="n">
        <v>944.6</v>
      </c>
      <c r="U13" s="0" t="n">
        <v>134</v>
      </c>
      <c r="V13" s="0" t="n">
        <v>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23400</v>
      </c>
      <c r="C14" s="0" t="n">
        <v>15733</v>
      </c>
      <c r="D14" s="0" t="n">
        <v>7667</v>
      </c>
      <c r="E14" s="0" t="n">
        <v>32.7649572649573</v>
      </c>
      <c r="I14" s="0" t="n">
        <v>2383</v>
      </c>
      <c r="J14" s="0" t="n">
        <v>10.1837606837607</v>
      </c>
      <c r="K14" s="0" t="n">
        <v>2.34</v>
      </c>
      <c r="L14" s="0" t="n">
        <v>1520</v>
      </c>
      <c r="M14" s="0" t="n">
        <v>645</v>
      </c>
      <c r="N14" s="0" t="n">
        <v>875</v>
      </c>
      <c r="O14" s="0" t="n">
        <v>22458</v>
      </c>
      <c r="P14" s="0" t="n">
        <v>48797</v>
      </c>
      <c r="R14" s="0" t="n">
        <v>9624</v>
      </c>
      <c r="S14" s="0" t="n">
        <v>185</v>
      </c>
      <c r="T14" s="0" t="n">
        <v>931.7</v>
      </c>
      <c r="U14" s="0" t="n">
        <v>106</v>
      </c>
      <c r="V14" s="0" t="n">
        <v>1.04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23968</v>
      </c>
      <c r="C15" s="0" t="n">
        <v>16275</v>
      </c>
      <c r="D15" s="0" t="n">
        <v>7693</v>
      </c>
      <c r="E15" s="0" t="n">
        <v>32.0969626168224</v>
      </c>
      <c r="I15" s="0" t="n">
        <v>5887</v>
      </c>
      <c r="J15" s="0" t="n">
        <v>24.5619158878505</v>
      </c>
      <c r="K15" s="0" t="n">
        <v>6.52</v>
      </c>
      <c r="L15" s="0" t="n">
        <v>1743</v>
      </c>
      <c r="M15" s="0" t="n">
        <v>586</v>
      </c>
      <c r="N15" s="0" t="n">
        <v>1157</v>
      </c>
      <c r="O15" s="0" t="n">
        <v>20829</v>
      </c>
      <c r="P15" s="0" t="n">
        <v>42287</v>
      </c>
      <c r="R15" s="0" t="n">
        <v>7209</v>
      </c>
      <c r="S15" s="0" t="n">
        <v>2805</v>
      </c>
      <c r="T15" s="0" t="n">
        <v>874.3</v>
      </c>
      <c r="U15" s="0" t="n">
        <v>103</v>
      </c>
      <c r="V15" s="0" t="n">
        <v>1.04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22317</v>
      </c>
      <c r="C16" s="0" t="n">
        <v>14906</v>
      </c>
      <c r="D16" s="0" t="n">
        <v>7411</v>
      </c>
      <c r="E16" s="0" t="n">
        <v>33.2078684410987</v>
      </c>
      <c r="I16" s="0" t="n">
        <v>795</v>
      </c>
      <c r="J16" s="0" t="n">
        <v>3.56230676166151</v>
      </c>
      <c r="K16" s="0" t="n">
        <v>0.84</v>
      </c>
      <c r="L16" s="0" t="n">
        <v>2479</v>
      </c>
      <c r="M16" s="0" t="n">
        <v>443</v>
      </c>
      <c r="N16" s="0" t="n">
        <v>2036</v>
      </c>
      <c r="O16" s="0" t="n">
        <v>18533</v>
      </c>
      <c r="P16" s="0" t="n">
        <v>40815</v>
      </c>
      <c r="R16" s="0" t="n">
        <v>7788</v>
      </c>
      <c r="S16" s="0" t="n">
        <v>1951</v>
      </c>
      <c r="T16" s="0" t="n">
        <v>753.6</v>
      </c>
      <c r="U16" s="0" t="n">
        <v>74</v>
      </c>
      <c r="V16" s="0" t="n">
        <v>1.04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23668</v>
      </c>
      <c r="C17" s="0" t="n">
        <v>15609</v>
      </c>
      <c r="D17" s="0" t="n">
        <v>8059</v>
      </c>
      <c r="E17" s="0" t="n">
        <v>34.0501943552476</v>
      </c>
      <c r="I17" s="0" t="n">
        <v>1870</v>
      </c>
      <c r="J17" s="0" t="n">
        <v>7.9009633260098</v>
      </c>
      <c r="K17" s="0" t="n">
        <v>2.28</v>
      </c>
      <c r="L17" s="0" t="n">
        <v>2551</v>
      </c>
      <c r="M17" s="0" t="n">
        <v>552</v>
      </c>
      <c r="N17" s="0" t="n">
        <v>1999</v>
      </c>
      <c r="O17" s="0" t="n">
        <v>18753</v>
      </c>
      <c r="P17" s="0" t="n">
        <v>41890</v>
      </c>
      <c r="R17" s="0" t="n">
        <v>7732</v>
      </c>
      <c r="S17" s="0" t="n">
        <v>1336</v>
      </c>
      <c r="T17" s="0" t="n">
        <v>721.1</v>
      </c>
      <c r="U17" s="0" t="n">
        <v>97</v>
      </c>
      <c r="V17" s="0" t="n">
        <v>1.07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20637</v>
      </c>
      <c r="C18" s="0" t="n">
        <v>13547</v>
      </c>
      <c r="D18" s="0" t="n">
        <v>7090</v>
      </c>
      <c r="E18" s="0" t="n">
        <v>34.3557687648399</v>
      </c>
      <c r="I18" s="0" t="n">
        <v>1723</v>
      </c>
      <c r="J18" s="0" t="n">
        <v>8.34908174637786</v>
      </c>
      <c r="K18" s="0" t="n">
        <v>2.2</v>
      </c>
      <c r="M18" s="0" t="n">
        <v>487</v>
      </c>
      <c r="O18" s="0" t="n">
        <v>17402</v>
      </c>
      <c r="P18" s="0" t="n">
        <v>42158</v>
      </c>
      <c r="R18" s="0" t="n">
        <v>8291</v>
      </c>
      <c r="S18" s="0" t="n">
        <v>2029</v>
      </c>
      <c r="T18" s="0" t="n">
        <v>699.6</v>
      </c>
      <c r="U18" s="0" t="n">
        <v>104</v>
      </c>
      <c r="V18" s="0" t="n">
        <v>1.39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22331</v>
      </c>
      <c r="C19" s="0" t="n">
        <v>14527</v>
      </c>
      <c r="D19" s="0" t="n">
        <v>7804</v>
      </c>
      <c r="E19" s="0" t="n">
        <v>34.9469347543773</v>
      </c>
      <c r="I19" s="0" t="n">
        <v>2033</v>
      </c>
      <c r="J19" s="0" t="n">
        <v>9.10393623214366</v>
      </c>
      <c r="K19" s="0" t="n">
        <v>2.7</v>
      </c>
      <c r="M19" s="0" t="n">
        <v>446</v>
      </c>
      <c r="O19" s="0" t="n">
        <v>17694</v>
      </c>
      <c r="P19" s="0" t="n">
        <v>42242</v>
      </c>
      <c r="R19" s="0" t="n">
        <v>9107</v>
      </c>
      <c r="S19" s="0" t="n">
        <v>828</v>
      </c>
      <c r="T19" s="0" t="n">
        <v>687.4</v>
      </c>
      <c r="U19" s="0" t="n">
        <v>107</v>
      </c>
      <c r="V19" s="0" t="n">
        <v>1.45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22952</v>
      </c>
      <c r="C20" s="0" t="n">
        <v>14875</v>
      </c>
      <c r="D20" s="0" t="n">
        <v>8077</v>
      </c>
      <c r="E20" s="0" t="n">
        <v>35.1908330428721</v>
      </c>
      <c r="I20" s="0" t="n">
        <v>1900</v>
      </c>
      <c r="J20" s="0" t="n">
        <v>8.27814569536424</v>
      </c>
      <c r="K20" s="0" t="n">
        <v>2.53</v>
      </c>
      <c r="M20" s="0" t="n">
        <v>494</v>
      </c>
      <c r="O20" s="0" t="n">
        <v>17361</v>
      </c>
      <c r="P20" s="0" t="n">
        <v>42695</v>
      </c>
      <c r="R20" s="0" t="n">
        <v>9104</v>
      </c>
      <c r="S20" s="0" t="n">
        <v>606</v>
      </c>
      <c r="T20" s="0" t="n">
        <v>676</v>
      </c>
      <c r="U20" s="0" t="n">
        <v>107</v>
      </c>
      <c r="V20" s="0" t="n">
        <v>1.48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23596</v>
      </c>
      <c r="C21" s="0" t="n">
        <v>15004</v>
      </c>
      <c r="D21" s="0" t="n">
        <v>8592</v>
      </c>
      <c r="E21" s="0" t="n">
        <v>36.4129513476861</v>
      </c>
      <c r="I21" s="0" t="n">
        <v>3513</v>
      </c>
      <c r="J21" s="0" t="n">
        <v>14.8881166299373</v>
      </c>
      <c r="K21" s="0" t="n">
        <v>5.04</v>
      </c>
      <c r="M21" s="0" t="n">
        <v>434</v>
      </c>
      <c r="O21" s="0" t="n">
        <v>12954</v>
      </c>
      <c r="P21" s="0" t="n">
        <v>37939</v>
      </c>
      <c r="R21" s="0" t="n">
        <v>9761</v>
      </c>
      <c r="S21" s="0" t="n">
        <v>379</v>
      </c>
      <c r="T21" s="0" t="n">
        <v>654.1</v>
      </c>
      <c r="U21" s="0" t="n">
        <v>140</v>
      </c>
      <c r="V21" s="0" t="n">
        <v>1.51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148.89</v>
      </c>
    </row>
    <row r="3" customFormat="false" ht="15" hidden="false" customHeight="false" outlineLevel="0" collapsed="false">
      <c r="A3" s="0" t="s">
        <v>86</v>
      </c>
      <c r="B3" s="3" t="n">
        <v>607.7</v>
      </c>
    </row>
    <row r="4" customFormat="false" ht="15" hidden="false" customHeight="false" outlineLevel="0" collapsed="false">
      <c r="A4" s="0" t="s">
        <v>87</v>
      </c>
      <c r="B4" s="3" t="n">
        <v>8834</v>
      </c>
    </row>
    <row r="5" customFormat="false" ht="15" hidden="false" customHeight="false" outlineLevel="0" collapsed="false">
      <c r="A5" s="0" t="s">
        <v>88</v>
      </c>
      <c r="B5" s="3" t="n">
        <v>-33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25590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4</v>
      </c>
      <c r="D13" s="3" t="n">
        <v>2</v>
      </c>
      <c r="E13" s="3" t="n">
        <v>-3</v>
      </c>
      <c r="F13" s="3" t="n">
        <v>3</v>
      </c>
      <c r="G13" s="3" t="n">
        <v>4</v>
      </c>
      <c r="H13" s="3" t="n">
        <v>3.5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16.9</v>
      </c>
      <c r="D14" s="3" t="n">
        <v>16.6</v>
      </c>
      <c r="E14" s="3" t="n">
        <v>15.6</v>
      </c>
      <c r="F14" s="3" t="n">
        <v>16</v>
      </c>
      <c r="G14" s="3" t="n">
        <v>16.5</v>
      </c>
      <c r="H14" s="3" t="n">
        <v>16.8</v>
      </c>
      <c r="I14" s="3" t="n">
        <v>17</v>
      </c>
      <c r="J14" s="3" t="n">
        <v>17</v>
      </c>
      <c r="K14" s="3" t="n">
        <v>17</v>
      </c>
      <c r="L14" s="3" t="n">
        <v>17</v>
      </c>
    </row>
    <row r="15" customFormat="false" ht="15" hidden="false" customHeight="false" outlineLevel="0" collapsed="false">
      <c r="A15" s="0" t="s">
        <v>109</v>
      </c>
      <c r="C15" s="3" t="n">
        <v>0.7</v>
      </c>
      <c r="D15" s="3" t="n">
        <v>0.7</v>
      </c>
      <c r="E15" s="3" t="n">
        <v>0.7</v>
      </c>
      <c r="F15" s="3" t="n">
        <v>0.7</v>
      </c>
      <c r="G15" s="3" t="n">
        <v>0.7</v>
      </c>
      <c r="H15" s="3" t="n">
        <v>0.7</v>
      </c>
      <c r="I15" s="3" t="n">
        <v>0.7</v>
      </c>
      <c r="J15" s="3" t="n">
        <v>0.7</v>
      </c>
      <c r="K15" s="3" t="n">
        <v>0.7</v>
      </c>
      <c r="L15" s="3" t="n">
        <v>0.7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2.3</v>
      </c>
      <c r="D17" s="3" t="n">
        <v>2.2</v>
      </c>
      <c r="E17" s="3" t="n">
        <v>2.1</v>
      </c>
      <c r="F17" s="3" t="n">
        <v>2</v>
      </c>
      <c r="G17" s="3" t="n">
        <v>1.9</v>
      </c>
      <c r="H17" s="3" t="n">
        <v>1.8</v>
      </c>
      <c r="I17" s="3" t="n">
        <v>1.8</v>
      </c>
      <c r="J17" s="3" t="n">
        <v>1.8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112</v>
      </c>
      <c r="C18" s="3" t="n">
        <v>1.4</v>
      </c>
      <c r="D18" s="3" t="n">
        <v>1.3</v>
      </c>
      <c r="E18" s="3" t="n">
        <v>1.2</v>
      </c>
      <c r="F18" s="3" t="n">
        <v>1.3</v>
      </c>
      <c r="G18" s="3" t="n">
        <v>1.4</v>
      </c>
      <c r="H18" s="3" t="n">
        <v>1.4</v>
      </c>
      <c r="I18" s="3" t="n">
        <v>1.4</v>
      </c>
      <c r="J18" s="3" t="n">
        <v>1.4</v>
      </c>
      <c r="K18" s="3" t="n">
        <v>1.4</v>
      </c>
      <c r="L18" s="3" t="n">
        <v>1.4</v>
      </c>
    </row>
    <row r="19" customFormat="false" ht="15" hidden="false" customHeight="false" outlineLevel="0" collapsed="false">
      <c r="A19" s="0" t="s">
        <v>113</v>
      </c>
      <c r="C19" s="3" t="n">
        <v>19</v>
      </c>
      <c r="D19" s="3" t="n">
        <v>20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-5</v>
      </c>
    </row>
    <row r="24" customFormat="false" ht="15" hidden="false" customHeight="false" outlineLevel="0" collapsed="false">
      <c r="A24" s="0" t="s">
        <v>118</v>
      </c>
      <c r="B24" s="3" t="n">
        <v>0.2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8</v>
      </c>
      <c r="D27" s="3" t="n">
        <v>7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17.5</v>
      </c>
      <c r="D28" s="3" t="n">
        <v>18</v>
      </c>
      <c r="E28" s="3" t="n">
        <v>18.4</v>
      </c>
      <c r="F28" s="3" t="n">
        <v>18.7</v>
      </c>
      <c r="G28" s="3" t="n">
        <v>19</v>
      </c>
      <c r="H28" s="3" t="n">
        <v>19.2</v>
      </c>
      <c r="I28" s="3" t="n">
        <v>19.4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109</v>
      </c>
      <c r="C29" s="3" t="n">
        <v>0.7</v>
      </c>
      <c r="D29" s="3" t="n">
        <v>0.7</v>
      </c>
      <c r="E29" s="3" t="n">
        <v>0.7</v>
      </c>
      <c r="F29" s="3" t="n">
        <v>0.7</v>
      </c>
      <c r="G29" s="3" t="n">
        <v>0.7</v>
      </c>
      <c r="H29" s="3" t="n">
        <v>0.7</v>
      </c>
      <c r="I29" s="3" t="n">
        <v>0.7</v>
      </c>
      <c r="J29" s="3" t="n">
        <v>0.7</v>
      </c>
      <c r="K29" s="3" t="n">
        <v>0.7</v>
      </c>
      <c r="L29" s="3" t="n">
        <v>0.7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2.3</v>
      </c>
      <c r="D31" s="3" t="n">
        <v>2.2</v>
      </c>
      <c r="E31" s="3" t="n">
        <v>2.1</v>
      </c>
      <c r="F31" s="3" t="n">
        <v>2</v>
      </c>
      <c r="G31" s="3" t="n">
        <v>1.9</v>
      </c>
      <c r="H31" s="3" t="n">
        <v>1.8</v>
      </c>
      <c r="I31" s="3" t="n">
        <v>1.8</v>
      </c>
      <c r="J31" s="3" t="n">
        <v>1.8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112</v>
      </c>
      <c r="C32" s="3" t="n">
        <v>1.5</v>
      </c>
      <c r="D32" s="3" t="n">
        <v>1.6</v>
      </c>
      <c r="E32" s="3" t="n">
        <v>1.6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113</v>
      </c>
      <c r="C33" s="3" t="n">
        <v>18</v>
      </c>
      <c r="D33" s="3" t="n">
        <v>19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17</v>
      </c>
    </row>
    <row r="37" customFormat="false" ht="15" hidden="false" customHeight="false" outlineLevel="0" collapsed="false">
      <c r="A37" s="0" t="s">
        <v>117</v>
      </c>
      <c r="B37" s="3" t="n">
        <v>-5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11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17.9</v>
      </c>
      <c r="D42" s="3" t="n">
        <v>18.7</v>
      </c>
      <c r="E42" s="3" t="n">
        <v>19.4</v>
      </c>
      <c r="F42" s="3" t="n">
        <v>20</v>
      </c>
      <c r="G42" s="3" t="n">
        <v>20.5</v>
      </c>
      <c r="H42" s="3" t="n">
        <v>20.9</v>
      </c>
      <c r="I42" s="3" t="n">
        <v>21.2</v>
      </c>
      <c r="J42" s="3" t="n">
        <v>21.4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109</v>
      </c>
      <c r="C43" s="3" t="n">
        <v>0.7</v>
      </c>
      <c r="D43" s="3" t="n">
        <v>0.7</v>
      </c>
      <c r="E43" s="3" t="n">
        <v>0.7</v>
      </c>
      <c r="F43" s="3" t="n">
        <v>0.7</v>
      </c>
      <c r="G43" s="3" t="n">
        <v>0.7</v>
      </c>
      <c r="H43" s="3" t="n">
        <v>0.7</v>
      </c>
      <c r="I43" s="3" t="n">
        <v>0.7</v>
      </c>
      <c r="J43" s="3" t="n">
        <v>0.7</v>
      </c>
      <c r="K43" s="3" t="n">
        <v>0.7</v>
      </c>
      <c r="L43" s="3" t="n">
        <v>0.7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2.3</v>
      </c>
      <c r="D45" s="3" t="n">
        <v>2.2</v>
      </c>
      <c r="E45" s="3" t="n">
        <v>2.1</v>
      </c>
      <c r="F45" s="3" t="n">
        <v>2</v>
      </c>
      <c r="G45" s="3" t="n">
        <v>1.9</v>
      </c>
      <c r="H45" s="3" t="n">
        <v>1.8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112</v>
      </c>
      <c r="C46" s="3" t="n">
        <v>1.6</v>
      </c>
      <c r="D46" s="3" t="n">
        <v>1.7</v>
      </c>
      <c r="E46" s="3" t="n">
        <v>1.7</v>
      </c>
      <c r="F46" s="3" t="n">
        <v>1.7</v>
      </c>
      <c r="G46" s="3" t="n">
        <v>1.7</v>
      </c>
      <c r="H46" s="3" t="n">
        <v>1.7</v>
      </c>
      <c r="I46" s="3" t="n">
        <v>1.7</v>
      </c>
      <c r="J46" s="3" t="n">
        <v>1.7</v>
      </c>
      <c r="K46" s="3" t="n">
        <v>1.7</v>
      </c>
      <c r="L46" s="3" t="n">
        <v>1.7</v>
      </c>
    </row>
    <row r="47" customFormat="false" ht="15" hidden="false" customHeight="false" outlineLevel="0" collapsed="false">
      <c r="A47" s="0" t="s">
        <v>113</v>
      </c>
      <c r="C47" s="3" t="n">
        <v>17</v>
      </c>
      <c r="D47" s="3" t="n">
        <v>18</v>
      </c>
      <c r="E47" s="3" t="n">
        <v>18</v>
      </c>
      <c r="F47" s="3" t="n">
        <v>19</v>
      </c>
      <c r="G47" s="3" t="n">
        <v>19</v>
      </c>
      <c r="H47" s="3" t="n">
        <v>19</v>
      </c>
      <c r="I47" s="3" t="n">
        <v>19</v>
      </c>
      <c r="J47" s="3" t="n">
        <v>19</v>
      </c>
      <c r="K47" s="3" t="n">
        <v>19</v>
      </c>
      <c r="L47" s="3" t="n">
        <v>19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19</v>
      </c>
    </row>
    <row r="51" customFormat="false" ht="15" hidden="false" customHeight="false" outlineLevel="0" collapsed="false">
      <c r="A51" s="0" t="s">
        <v>117</v>
      </c>
      <c r="B51" s="3" t="n">
        <v>-5</v>
      </c>
    </row>
    <row r="52" customFormat="false" ht="15" hidden="false" customHeight="false" outlineLevel="0" collapsed="false">
      <c r="A52" s="0" t="s">
        <v>118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4</v>
      </c>
      <c r="D5" s="4" t="n">
        <f aca="false">Assumptions!D13</f>
        <v>2</v>
      </c>
      <c r="E5" s="4" t="n">
        <f aca="false">Assumptions!E13</f>
        <v>-3</v>
      </c>
      <c r="F5" s="4" t="n">
        <f aca="false">Assumptions!F13</f>
        <v>3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25590</v>
      </c>
      <c r="C6" s="0" t="n">
        <f aca="false">B6*(1+C5/100)</f>
        <v>26613.6</v>
      </c>
      <c r="D6" s="0" t="n">
        <f aca="false">C6*(1+D5/100)</f>
        <v>27145.872</v>
      </c>
      <c r="E6" s="0" t="n">
        <f aca="false">D6*(1+E5/100)</f>
        <v>26331.49584</v>
      </c>
      <c r="F6" s="0" t="n">
        <f aca="false">E6*(1+F5/100)</f>
        <v>27121.4407152</v>
      </c>
      <c r="G6" s="0" t="n">
        <f aca="false">F6*(1+G5/100)</f>
        <v>28206.298343808</v>
      </c>
      <c r="H6" s="0" t="n">
        <f aca="false">G6*(1+H5/100)</f>
        <v>29193.5187858413</v>
      </c>
      <c r="I6" s="0" t="n">
        <f aca="false">H6*(1+I5/100)</f>
        <v>30069.3243494165</v>
      </c>
      <c r="J6" s="0" t="n">
        <f aca="false">I6*(1+J5/100)</f>
        <v>30971.404079899</v>
      </c>
      <c r="K6" s="0" t="n">
        <f aca="false">J6*(1+K5/100)</f>
        <v>31745.6891818965</v>
      </c>
      <c r="L6" s="0" t="n">
        <f aca="false">K6*(1+L5/100)</f>
        <v>32539.3314114439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16.9</v>
      </c>
      <c r="D7" s="4" t="n">
        <f aca="false">Assumptions!D14</f>
        <v>16.6</v>
      </c>
      <c r="E7" s="4" t="n">
        <f aca="false">Assumptions!E14</f>
        <v>15.6</v>
      </c>
      <c r="F7" s="4" t="n">
        <f aca="false">Assumptions!F14</f>
        <v>16</v>
      </c>
      <c r="G7" s="4" t="n">
        <f aca="false">Assumptions!G14</f>
        <v>16.5</v>
      </c>
      <c r="H7" s="4" t="n">
        <f aca="false">Assumptions!H14</f>
        <v>16.8</v>
      </c>
      <c r="I7" s="4" t="n">
        <f aca="false">Assumptions!I14</f>
        <v>17</v>
      </c>
      <c r="J7" s="4" t="n">
        <f aca="false">Assumptions!J14</f>
        <v>17</v>
      </c>
      <c r="K7" s="4" t="n">
        <f aca="false">Assumptions!K14</f>
        <v>17</v>
      </c>
      <c r="L7" s="4" t="n">
        <f aca="false">Assumptions!L14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4497.6984</v>
      </c>
      <c r="D8" s="0" t="n">
        <f aca="false">D6*D7/100</f>
        <v>4506.214752</v>
      </c>
      <c r="E8" s="0" t="n">
        <f aca="false">E6*E7/100</f>
        <v>4107.71335104</v>
      </c>
      <c r="F8" s="0" t="n">
        <f aca="false">F6*F7/100</f>
        <v>4339.430514432</v>
      </c>
      <c r="G8" s="0" t="n">
        <f aca="false">G6*G7/100</f>
        <v>4654.03922672832</v>
      </c>
      <c r="H8" s="0" t="n">
        <f aca="false">H6*H7/100</f>
        <v>4904.51115602134</v>
      </c>
      <c r="I8" s="0" t="n">
        <f aca="false">I6*I7/100</f>
        <v>5111.78513940081</v>
      </c>
      <c r="J8" s="0" t="n">
        <f aca="false">J6*J7/100</f>
        <v>5265.13869358283</v>
      </c>
      <c r="K8" s="0" t="n">
        <f aca="false">K6*K7/100</f>
        <v>5396.7671609224</v>
      </c>
      <c r="L8" s="0" t="n">
        <f aca="false">L6*L7/100</f>
        <v>5531.68633994546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0.7</v>
      </c>
      <c r="D9" s="4" t="n">
        <f aca="false">Assumptions!D15</f>
        <v>0.7</v>
      </c>
      <c r="E9" s="4" t="n">
        <f aca="false">Assumptions!E15</f>
        <v>0.7</v>
      </c>
      <c r="F9" s="4" t="n">
        <f aca="false">Assumptions!F15</f>
        <v>0.7</v>
      </c>
      <c r="G9" s="4" t="n">
        <f aca="false">Assumptions!G15</f>
        <v>0.7</v>
      </c>
      <c r="H9" s="4" t="n">
        <f aca="false">Assumptions!H15</f>
        <v>0.7</v>
      </c>
      <c r="I9" s="4" t="n">
        <f aca="false">Assumptions!I15</f>
        <v>0.7</v>
      </c>
      <c r="J9" s="4" t="n">
        <f aca="false">Assumptions!J15</f>
        <v>0.7</v>
      </c>
      <c r="K9" s="4" t="n">
        <f aca="false">Assumptions!K15</f>
        <v>0.7</v>
      </c>
      <c r="L9" s="4" t="n">
        <f aca="false">Assumptions!L15</f>
        <v>0.7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-186.2952</v>
      </c>
      <c r="D10" s="0" t="n">
        <f aca="false">-D6*D9/100</f>
        <v>-190.021104</v>
      </c>
      <c r="E10" s="0" t="n">
        <f aca="false">-E6*E9/100</f>
        <v>-184.32047088</v>
      </c>
      <c r="F10" s="0" t="n">
        <f aca="false">-F6*F9/100</f>
        <v>-189.8500850064</v>
      </c>
      <c r="G10" s="0" t="n">
        <f aca="false">-G6*G9/100</f>
        <v>-197.444088406656</v>
      </c>
      <c r="H10" s="0" t="n">
        <f aca="false">-H6*H9/100</f>
        <v>-204.354631500889</v>
      </c>
      <c r="I10" s="0" t="n">
        <f aca="false">-I6*I9/100</f>
        <v>-210.485270445916</v>
      </c>
      <c r="J10" s="0" t="n">
        <f aca="false">-J6*J9/100</f>
        <v>-216.799828559293</v>
      </c>
      <c r="K10" s="0" t="n">
        <f aca="false">-K6*K9/100</f>
        <v>-222.219824273275</v>
      </c>
      <c r="L10" s="0" t="n">
        <f aca="false">-L6*L9/100</f>
        <v>-227.775319880107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4311.4032</v>
      </c>
      <c r="D11" s="0" t="n">
        <f aca="false">D8+D10+D24</f>
        <v>4316.193648</v>
      </c>
      <c r="E11" s="0" t="n">
        <f aca="false">E8+E10+E24</f>
        <v>3923.39288016</v>
      </c>
      <c r="F11" s="0" t="n">
        <f aca="false">F8+F10+F24</f>
        <v>4149.5804294256</v>
      </c>
      <c r="G11" s="0" t="n">
        <f aca="false">G8+G10+G24</f>
        <v>4456.59513832167</v>
      </c>
      <c r="H11" s="0" t="n">
        <f aca="false">H8+H10+H24</f>
        <v>4700.15652452045</v>
      </c>
      <c r="I11" s="0" t="n">
        <f aca="false">I8+I10+I24</f>
        <v>4901.29986895489</v>
      </c>
      <c r="J11" s="0" t="n">
        <f aca="false">J8+J10+J24</f>
        <v>5048.33886502354</v>
      </c>
      <c r="K11" s="0" t="n">
        <f aca="false">K8+K10+K24</f>
        <v>5174.54733664913</v>
      </c>
      <c r="L11" s="0" t="n">
        <f aca="false">L8+L10+L24</f>
        <v>5303.91102006536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-612.1128</v>
      </c>
      <c r="D12" s="4" t="n">
        <f aca="false">-D6*Assumptions!D17/100</f>
        <v>-597.209184</v>
      </c>
      <c r="E12" s="4" t="n">
        <f aca="false">-E6*Assumptions!E17/100</f>
        <v>-552.96141264</v>
      </c>
      <c r="F12" s="4" t="n">
        <f aca="false">-F6*Assumptions!F17/100</f>
        <v>-542.428814304</v>
      </c>
      <c r="G12" s="4" t="n">
        <f aca="false">-G6*Assumptions!G17/100</f>
        <v>-535.919668532352</v>
      </c>
      <c r="H12" s="4" t="n">
        <f aca="false">-H6*Assumptions!H17/100</f>
        <v>-525.483338145143</v>
      </c>
      <c r="I12" s="4" t="n">
        <f aca="false">-I6*Assumptions!I17/100</f>
        <v>-541.247838289497</v>
      </c>
      <c r="J12" s="4" t="n">
        <f aca="false">-J6*Assumptions!J17/100</f>
        <v>-557.485273438182</v>
      </c>
      <c r="K12" s="4" t="n">
        <f aca="false">-K6*Assumptions!K17/100</f>
        <v>-571.422405274137</v>
      </c>
      <c r="L12" s="4" t="n">
        <f aca="false">-L6*Assumptions!L17/100</f>
        <v>-585.70796540599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3699.2904</v>
      </c>
      <c r="D13" s="0" t="n">
        <f aca="false">D11+D12</f>
        <v>3718.984464</v>
      </c>
      <c r="E13" s="0" t="n">
        <f aca="false">E11+E12</f>
        <v>3370.43146752</v>
      </c>
      <c r="F13" s="0" t="n">
        <f aca="false">F11+F12</f>
        <v>3607.1516151216</v>
      </c>
      <c r="G13" s="0" t="n">
        <f aca="false">G11+G12</f>
        <v>3920.67546978931</v>
      </c>
      <c r="H13" s="0" t="n">
        <f aca="false">H11+H12</f>
        <v>4174.67318637531</v>
      </c>
      <c r="I13" s="0" t="n">
        <f aca="false">I11+I12</f>
        <v>4360.0520306654</v>
      </c>
      <c r="J13" s="0" t="n">
        <f aca="false">J11+J12</f>
        <v>4490.85359158536</v>
      </c>
      <c r="K13" s="0" t="n">
        <f aca="false">K11+K12</f>
        <v>4603.12493137499</v>
      </c>
      <c r="L13" s="0" t="n">
        <f aca="false">L11+L12</f>
        <v>4718.20305465937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19</v>
      </c>
      <c r="D14" s="4" t="n">
        <f aca="false">Assumptions!D19</f>
        <v>20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2996.425224</v>
      </c>
      <c r="D15" s="0" t="n">
        <f aca="false">D13-MAX(0,D13)*D14/100</f>
        <v>2975.1875712</v>
      </c>
      <c r="E15" s="0" t="n">
        <f aca="false">E13-MAX(0,E13)*E14/100</f>
        <v>2662.6408593408</v>
      </c>
      <c r="F15" s="0" t="n">
        <f aca="false">F13-MAX(0,F13)*F14/100</f>
        <v>2849.64977594606</v>
      </c>
      <c r="G15" s="0" t="n">
        <f aca="false">G13-MAX(0,G13)*G14/100</f>
        <v>3097.33362113356</v>
      </c>
      <c r="H15" s="0" t="n">
        <f aca="false">H13-MAX(0,H13)*H14/100</f>
        <v>3297.99181723649</v>
      </c>
      <c r="I15" s="0" t="n">
        <f aca="false">I13-MAX(0,I13)*I14/100</f>
        <v>3444.44110422566</v>
      </c>
      <c r="J15" s="0" t="n">
        <f aca="false">J13-MAX(0,J13)*J14/100</f>
        <v>3547.77433735243</v>
      </c>
      <c r="K15" s="0" t="n">
        <f aca="false">K13-MAX(0,K13)*K14/100</f>
        <v>3636.46869578624</v>
      </c>
      <c r="L15" s="0" t="n">
        <f aca="false">L13-MAX(0,L13)*L14/100</f>
        <v>3727.3804131809</v>
      </c>
    </row>
    <row r="16" customFormat="false" ht="15" hidden="false" customHeight="false" outlineLevel="0" collapsed="false">
      <c r="A16" s="0" t="s">
        <v>129</v>
      </c>
      <c r="C16" s="0" t="n">
        <f aca="false">-C12</f>
        <v>612.1128</v>
      </c>
      <c r="D16" s="0" t="n">
        <f aca="false">-D12</f>
        <v>597.209184</v>
      </c>
      <c r="E16" s="0" t="n">
        <f aca="false">-E12</f>
        <v>552.96141264</v>
      </c>
      <c r="F16" s="0" t="n">
        <f aca="false">-F12</f>
        <v>542.428814304</v>
      </c>
      <c r="G16" s="0" t="n">
        <f aca="false">-G12</f>
        <v>535.919668532352</v>
      </c>
      <c r="H16" s="0" t="n">
        <f aca="false">-H12</f>
        <v>525.483338145143</v>
      </c>
      <c r="I16" s="0" t="n">
        <f aca="false">-I12</f>
        <v>541.247838289497</v>
      </c>
      <c r="J16" s="0" t="n">
        <f aca="false">-J12</f>
        <v>557.485273438182</v>
      </c>
      <c r="K16" s="0" t="n">
        <f aca="false">-K12</f>
        <v>571.422405274137</v>
      </c>
      <c r="L16" s="0" t="n">
        <f aca="false">-L12</f>
        <v>585.70796540599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-372.5904</v>
      </c>
      <c r="D17" s="4" t="n">
        <f aca="false">-D6*Assumptions!D18/100</f>
        <v>-352.896336</v>
      </c>
      <c r="E17" s="4" t="n">
        <f aca="false">-E6*Assumptions!E18/100</f>
        <v>-315.97795008</v>
      </c>
      <c r="F17" s="4" t="n">
        <f aca="false">-F6*Assumptions!F18/100</f>
        <v>-352.5787292976</v>
      </c>
      <c r="G17" s="4" t="n">
        <f aca="false">-G6*Assumptions!G18/100</f>
        <v>-394.888176813312</v>
      </c>
      <c r="H17" s="4" t="n">
        <f aca="false">-H6*Assumptions!H18/100</f>
        <v>-408.709263001778</v>
      </c>
      <c r="I17" s="4" t="n">
        <f aca="false">-I6*Assumptions!I18/100</f>
        <v>-420.970540891831</v>
      </c>
      <c r="J17" s="4" t="n">
        <f aca="false">-J6*Assumptions!J18/100</f>
        <v>-433.599657118586</v>
      </c>
      <c r="K17" s="4" t="n">
        <f aca="false">-K6*Assumptions!K18/100</f>
        <v>-444.439648546551</v>
      </c>
      <c r="L17" s="4" t="n">
        <f aca="false">-L6*Assumptions!L18/100</f>
        <v>-455.550639760215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-51.1800000000001</v>
      </c>
      <c r="D18" s="4" t="n">
        <f aca="false">(D6-C6)*Assumptions!$B$23/100</f>
        <v>-26.6136</v>
      </c>
      <c r="E18" s="4" t="n">
        <f aca="false">(E6-D6)*Assumptions!$B$23/100</f>
        <v>40.718808</v>
      </c>
      <c r="F18" s="4" t="n">
        <f aca="false">(F6-E6)*Assumptions!$B$23/100</f>
        <v>-39.4972437600001</v>
      </c>
      <c r="G18" s="4" t="n">
        <f aca="false">(G6-F6)*Assumptions!$B$23/100</f>
        <v>-54.2428814304001</v>
      </c>
      <c r="H18" s="4" t="n">
        <f aca="false">(H6-G6)*Assumptions!$B$23/100</f>
        <v>-49.3610221016639</v>
      </c>
      <c r="I18" s="4" t="n">
        <f aca="false">(I6-H6)*Assumptions!$B$23/100</f>
        <v>-43.7902781787619</v>
      </c>
      <c r="J18" s="4" t="n">
        <f aca="false">(J6-I6)*Assumptions!$B$23/100</f>
        <v>-45.1039865241248</v>
      </c>
      <c r="K18" s="4" t="n">
        <f aca="false">(K6-J6)*Assumptions!$B$23/100</f>
        <v>-38.7142550998737</v>
      </c>
      <c r="L18" s="4" t="n">
        <f aca="false">(L6-K6)*Assumptions!$B$23/100</f>
        <v>-39.6821114773706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3184.767624</v>
      </c>
      <c r="D19" s="0" t="n">
        <f aca="false">D15+D16+D17+D18</f>
        <v>3192.8868192</v>
      </c>
      <c r="E19" s="0" t="n">
        <f aca="false">E15+E16+E17+E18</f>
        <v>2940.3431299008</v>
      </c>
      <c r="F19" s="0" t="n">
        <f aca="false">F15+F16+F17+F18</f>
        <v>3000.00261719246</v>
      </c>
      <c r="G19" s="0" t="n">
        <f aca="false">G15+G16+G17+G18</f>
        <v>3184.1222314222</v>
      </c>
      <c r="H19" s="0" t="n">
        <f aca="false">H15+H16+H17+H18</f>
        <v>3365.40487027819</v>
      </c>
      <c r="I19" s="0" t="n">
        <f aca="false">I15+I16+I17+I18</f>
        <v>3520.92812344457</v>
      </c>
      <c r="J19" s="0" t="n">
        <f aca="false">J15+J16+J17+J18</f>
        <v>3626.55596714791</v>
      </c>
      <c r="K19" s="0" t="n">
        <f aca="false">K15+K16+K17+K18</f>
        <v>3724.73719741396</v>
      </c>
      <c r="L19" s="0" t="n">
        <f aca="false">L15+L16+L17+L18</f>
        <v>3817.8556273493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2921.80515963303</v>
      </c>
      <c r="D21" s="0" t="n">
        <f aca="false">D19*D20</f>
        <v>2687.38895648514</v>
      </c>
      <c r="E21" s="0" t="n">
        <f aca="false">E19*E20</f>
        <v>2270.48439062044</v>
      </c>
      <c r="F21" s="0" t="n">
        <f aca="false">F19*F20</f>
        <v>2125.27748728071</v>
      </c>
      <c r="G21" s="0" t="n">
        <f aca="false">G19*G20</f>
        <v>2069.46097601161</v>
      </c>
      <c r="H21" s="0" t="n">
        <f aca="false">H19*H20</f>
        <v>2006.68096586707</v>
      </c>
      <c r="I21" s="0" t="n">
        <f aca="false">I19*I20</f>
        <v>1926.0682571561</v>
      </c>
      <c r="J21" s="0" t="n">
        <f aca="false">J19*J20</f>
        <v>1820.0461512576</v>
      </c>
      <c r="K21" s="0" t="n">
        <f aca="false">K19*K20</f>
        <v>1714.97247708708</v>
      </c>
      <c r="L21" s="0" t="n">
        <f aca="false">L19*L20</f>
        <v>1612.70347615987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21154.8882975586</v>
      </c>
    </row>
    <row r="31" customFormat="false" ht="15" hidden="false" customHeight="false" outlineLevel="0" collapsed="false">
      <c r="A31" s="0" t="s">
        <v>138</v>
      </c>
      <c r="B31" s="0" t="n">
        <f aca="false">L19</f>
        <v>3817.8556273493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55631.610569947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57267.8344102395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55631.610569947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23499.393509758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44654.2818073167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35787.2818073167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58.889718294087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-0.604474992987528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1280.32700948305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1401.98645421013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63.3035959700672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29955.4826145868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24.5507456077721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8</v>
      </c>
      <c r="D5" s="4" t="n">
        <f aca="false">Assumptions!D27</f>
        <v>7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25590</v>
      </c>
      <c r="C6" s="0" t="n">
        <f aca="false">B6*(1+C5/100)</f>
        <v>27637.2</v>
      </c>
      <c r="D6" s="0" t="n">
        <f aca="false">C6*(1+D5/100)</f>
        <v>29571.804</v>
      </c>
      <c r="E6" s="0" t="n">
        <f aca="false">D6*(1+E5/100)</f>
        <v>31346.11224</v>
      </c>
      <c r="F6" s="0" t="n">
        <f aca="false">E6*(1+F5/100)</f>
        <v>33070.1484132</v>
      </c>
      <c r="G6" s="0" t="n">
        <f aca="false">F6*(1+G5/100)</f>
        <v>34723.65583386</v>
      </c>
      <c r="H6" s="0" t="n">
        <f aca="false">G6*(1+H5/100)</f>
        <v>36286.2203463837</v>
      </c>
      <c r="I6" s="0" t="n">
        <f aca="false">H6*(1+I5/100)</f>
        <v>37737.6691602391</v>
      </c>
      <c r="J6" s="0" t="n">
        <f aca="false">I6*(1+J5/100)</f>
        <v>39058.4875808474</v>
      </c>
      <c r="K6" s="0" t="n">
        <f aca="false">J6*(1+K5/100)</f>
        <v>40230.2422082728</v>
      </c>
      <c r="L6" s="0" t="n">
        <f aca="false">K6*(1+L5/100)</f>
        <v>41437.149474521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17.5</v>
      </c>
      <c r="D7" s="4" t="n">
        <f aca="false">Assumptions!D28</f>
        <v>18</v>
      </c>
      <c r="E7" s="4" t="n">
        <f aca="false">Assumptions!E28</f>
        <v>18.4</v>
      </c>
      <c r="F7" s="4" t="n">
        <f aca="false">Assumptions!F28</f>
        <v>18.7</v>
      </c>
      <c r="G7" s="4" t="n">
        <f aca="false">Assumptions!G28</f>
        <v>19</v>
      </c>
      <c r="H7" s="4" t="n">
        <f aca="false">Assumptions!H28</f>
        <v>19.2</v>
      </c>
      <c r="I7" s="4" t="n">
        <f aca="false">Assumptions!I28</f>
        <v>19.4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4836.51</v>
      </c>
      <c r="D8" s="0" t="n">
        <f aca="false">D6*D7/100</f>
        <v>5322.92472</v>
      </c>
      <c r="E8" s="0" t="n">
        <f aca="false">E6*E7/100</f>
        <v>5767.68465216</v>
      </c>
      <c r="F8" s="0" t="n">
        <f aca="false">F6*F7/100</f>
        <v>6184.1177532684</v>
      </c>
      <c r="G8" s="0" t="n">
        <f aca="false">G6*G7/100</f>
        <v>6597.4946084334</v>
      </c>
      <c r="H8" s="0" t="n">
        <f aca="false">H6*H7/100</f>
        <v>6966.95430650567</v>
      </c>
      <c r="I8" s="0" t="n">
        <f aca="false">I6*I7/100</f>
        <v>7321.10781708638</v>
      </c>
      <c r="J8" s="0" t="n">
        <f aca="false">J6*J7/100</f>
        <v>7616.40507826525</v>
      </c>
      <c r="K8" s="0" t="n">
        <f aca="false">K6*K7/100</f>
        <v>7844.8972306132</v>
      </c>
      <c r="L8" s="0" t="n">
        <f aca="false">L6*L7/100</f>
        <v>8080.2441475316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0.7</v>
      </c>
      <c r="D9" s="4" t="n">
        <f aca="false">Assumptions!D29</f>
        <v>0.7</v>
      </c>
      <c r="E9" s="4" t="n">
        <f aca="false">Assumptions!E29</f>
        <v>0.7</v>
      </c>
      <c r="F9" s="4" t="n">
        <f aca="false">Assumptions!F29</f>
        <v>0.7</v>
      </c>
      <c r="G9" s="4" t="n">
        <f aca="false">Assumptions!G29</f>
        <v>0.7</v>
      </c>
      <c r="H9" s="4" t="n">
        <f aca="false">Assumptions!H29</f>
        <v>0.7</v>
      </c>
      <c r="I9" s="4" t="n">
        <f aca="false">Assumptions!I29</f>
        <v>0.7</v>
      </c>
      <c r="J9" s="4" t="n">
        <f aca="false">Assumptions!J29</f>
        <v>0.7</v>
      </c>
      <c r="K9" s="4" t="n">
        <f aca="false">Assumptions!K29</f>
        <v>0.7</v>
      </c>
      <c r="L9" s="4" t="n">
        <f aca="false">Assumptions!L29</f>
        <v>0.7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-193.4604</v>
      </c>
      <c r="D10" s="0" t="n">
        <f aca="false">-D6*D9/100</f>
        <v>-207.002628</v>
      </c>
      <c r="E10" s="0" t="n">
        <f aca="false">-E6*E9/100</f>
        <v>-219.42278568</v>
      </c>
      <c r="F10" s="0" t="n">
        <f aca="false">-F6*F9/100</f>
        <v>-231.4910388924</v>
      </c>
      <c r="G10" s="0" t="n">
        <f aca="false">-G6*G9/100</f>
        <v>-243.06559083702</v>
      </c>
      <c r="H10" s="0" t="n">
        <f aca="false">-H6*H9/100</f>
        <v>-254.003542424686</v>
      </c>
      <c r="I10" s="0" t="n">
        <f aca="false">-I6*I9/100</f>
        <v>-264.163684121673</v>
      </c>
      <c r="J10" s="0" t="n">
        <f aca="false">-J6*J9/100</f>
        <v>-273.409413065932</v>
      </c>
      <c r="K10" s="0" t="n">
        <f aca="false">-K6*K9/100</f>
        <v>-281.61169545791</v>
      </c>
      <c r="L10" s="0" t="n">
        <f aca="false">-L6*L9/100</f>
        <v>-290.060046321647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4643.0496</v>
      </c>
      <c r="D11" s="0" t="n">
        <f aca="false">D8+D10+D24</f>
        <v>5115.922092</v>
      </c>
      <c r="E11" s="0" t="n">
        <f aca="false">E8+E10+E24</f>
        <v>5548.26186648</v>
      </c>
      <c r="F11" s="0" t="n">
        <f aca="false">F8+F10+F24</f>
        <v>5952.626714376</v>
      </c>
      <c r="G11" s="0" t="n">
        <f aca="false">G8+G10+G24</f>
        <v>6354.42901759638</v>
      </c>
      <c r="H11" s="0" t="n">
        <f aca="false">H8+H10+H24</f>
        <v>6712.95076408099</v>
      </c>
      <c r="I11" s="0" t="n">
        <f aca="false">I8+I10+I24</f>
        <v>7056.9441329647</v>
      </c>
      <c r="J11" s="0" t="n">
        <f aca="false">J8+J10+J24</f>
        <v>7342.99566519931</v>
      </c>
      <c r="K11" s="0" t="n">
        <f aca="false">K8+K10+K24</f>
        <v>7563.28553515529</v>
      </c>
      <c r="L11" s="0" t="n">
        <f aca="false">L8+L10+L24</f>
        <v>7790.18410120995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-635.6556</v>
      </c>
      <c r="D12" s="4" t="n">
        <f aca="false">-D6*Assumptions!D31/100</f>
        <v>-650.579688</v>
      </c>
      <c r="E12" s="4" t="n">
        <f aca="false">-E6*Assumptions!E31/100</f>
        <v>-658.26835704</v>
      </c>
      <c r="F12" s="4" t="n">
        <f aca="false">-F6*Assumptions!F31/100</f>
        <v>-661.402968264</v>
      </c>
      <c r="G12" s="4" t="n">
        <f aca="false">-G6*Assumptions!G31/100</f>
        <v>-659.74946084334</v>
      </c>
      <c r="H12" s="4" t="n">
        <f aca="false">-H6*Assumptions!H31/100</f>
        <v>-653.151966234907</v>
      </c>
      <c r="I12" s="4" t="n">
        <f aca="false">-I6*Assumptions!I31/100</f>
        <v>-679.278044884303</v>
      </c>
      <c r="J12" s="4" t="n">
        <f aca="false">-J6*Assumptions!J31/100</f>
        <v>-703.052776455254</v>
      </c>
      <c r="K12" s="4" t="n">
        <f aca="false">-K6*Assumptions!K31/100</f>
        <v>-724.144359748911</v>
      </c>
      <c r="L12" s="4" t="n">
        <f aca="false">-L6*Assumptions!L31/100</f>
        <v>-745.868690541378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4007.394</v>
      </c>
      <c r="D13" s="0" t="n">
        <f aca="false">D11+D12</f>
        <v>4465.342404</v>
      </c>
      <c r="E13" s="0" t="n">
        <f aca="false">E11+E12</f>
        <v>4889.99350944</v>
      </c>
      <c r="F13" s="0" t="n">
        <f aca="false">F11+F12</f>
        <v>5291.223746112</v>
      </c>
      <c r="G13" s="0" t="n">
        <f aca="false">G11+G12</f>
        <v>5694.67955675304</v>
      </c>
      <c r="H13" s="0" t="n">
        <f aca="false">H11+H12</f>
        <v>6059.79879784608</v>
      </c>
      <c r="I13" s="0" t="n">
        <f aca="false">I11+I12</f>
        <v>6377.6660880804</v>
      </c>
      <c r="J13" s="0" t="n">
        <f aca="false">J11+J12</f>
        <v>6639.94288874406</v>
      </c>
      <c r="K13" s="0" t="n">
        <f aca="false">K11+K12</f>
        <v>6839.14117540638</v>
      </c>
      <c r="L13" s="0" t="n">
        <f aca="false">L11+L12</f>
        <v>7044.31541066857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18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3286.06308</v>
      </c>
      <c r="D15" s="0" t="n">
        <f aca="false">D13-MAX(0,D13)*D14/100</f>
        <v>3616.92734724</v>
      </c>
      <c r="E15" s="0" t="n">
        <f aca="false">E13-MAX(0,E13)*E14/100</f>
        <v>3911.994807552</v>
      </c>
      <c r="F15" s="0" t="n">
        <f aca="false">F13-MAX(0,F13)*F14/100</f>
        <v>4232.9789968896</v>
      </c>
      <c r="G15" s="0" t="n">
        <f aca="false">G13-MAX(0,G13)*G14/100</f>
        <v>4555.74364540243</v>
      </c>
      <c r="H15" s="0" t="n">
        <f aca="false">H13-MAX(0,H13)*H14/100</f>
        <v>4847.83903827686</v>
      </c>
      <c r="I15" s="0" t="n">
        <f aca="false">I13-MAX(0,I13)*I14/100</f>
        <v>5102.13287046432</v>
      </c>
      <c r="J15" s="0" t="n">
        <f aca="false">J13-MAX(0,J13)*J14/100</f>
        <v>5311.95431099525</v>
      </c>
      <c r="K15" s="0" t="n">
        <f aca="false">K13-MAX(0,K13)*K14/100</f>
        <v>5471.31294032511</v>
      </c>
      <c r="L15" s="0" t="n">
        <f aca="false">L13-MAX(0,L13)*L14/100</f>
        <v>5635.45232853486</v>
      </c>
    </row>
    <row r="16" customFormat="false" ht="15" hidden="false" customHeight="false" outlineLevel="0" collapsed="false">
      <c r="A16" s="0" t="s">
        <v>129</v>
      </c>
      <c r="C16" s="0" t="n">
        <f aca="false">-C12</f>
        <v>635.6556</v>
      </c>
      <c r="D16" s="0" t="n">
        <f aca="false">-D12</f>
        <v>650.579688</v>
      </c>
      <c r="E16" s="0" t="n">
        <f aca="false">-E12</f>
        <v>658.26835704</v>
      </c>
      <c r="F16" s="0" t="n">
        <f aca="false">-F12</f>
        <v>661.402968264</v>
      </c>
      <c r="G16" s="0" t="n">
        <f aca="false">-G12</f>
        <v>659.74946084334</v>
      </c>
      <c r="H16" s="0" t="n">
        <f aca="false">-H12</f>
        <v>653.151966234907</v>
      </c>
      <c r="I16" s="0" t="n">
        <f aca="false">-I12</f>
        <v>679.278044884303</v>
      </c>
      <c r="J16" s="0" t="n">
        <f aca="false">-J12</f>
        <v>703.052776455254</v>
      </c>
      <c r="K16" s="0" t="n">
        <f aca="false">-K12</f>
        <v>724.144359748911</v>
      </c>
      <c r="L16" s="0" t="n">
        <f aca="false">-L12</f>
        <v>745.868690541378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-414.558</v>
      </c>
      <c r="D17" s="4" t="n">
        <f aca="false">-D6*Assumptions!D32/100</f>
        <v>-473.148864</v>
      </c>
      <c r="E17" s="4" t="n">
        <f aca="false">-E6*Assumptions!E32/100</f>
        <v>-501.53779584</v>
      </c>
      <c r="F17" s="4" t="n">
        <f aca="false">-F6*Assumptions!F32/100</f>
        <v>-529.1223746112</v>
      </c>
      <c r="G17" s="4" t="n">
        <f aca="false">-G6*Assumptions!G32/100</f>
        <v>-555.57849334176</v>
      </c>
      <c r="H17" s="4" t="n">
        <f aca="false">-H6*Assumptions!H32/100</f>
        <v>-580.579525542139</v>
      </c>
      <c r="I17" s="4" t="n">
        <f aca="false">-I6*Assumptions!I32/100</f>
        <v>-603.802706563825</v>
      </c>
      <c r="J17" s="4" t="n">
        <f aca="false">-J6*Assumptions!J32/100</f>
        <v>-624.935801293559</v>
      </c>
      <c r="K17" s="4" t="n">
        <f aca="false">-K6*Assumptions!K32/100</f>
        <v>-643.683875332366</v>
      </c>
      <c r="L17" s="4" t="n">
        <f aca="false">-L6*Assumptions!L32/100</f>
        <v>-662.994391592336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-102.36</v>
      </c>
      <c r="D18" s="4" t="n">
        <f aca="false">(D6-C6)*Assumptions!$B$37/100</f>
        <v>-96.7302000000002</v>
      </c>
      <c r="E18" s="4" t="n">
        <f aca="false">(E6-D6)*Assumptions!$B$37/100</f>
        <v>-88.7154120000001</v>
      </c>
      <c r="F18" s="4" t="n">
        <f aca="false">(F6-E6)*Assumptions!$B$37/100</f>
        <v>-86.2018086599999</v>
      </c>
      <c r="G18" s="4" t="n">
        <f aca="false">(G6-F6)*Assumptions!$B$37/100</f>
        <v>-82.6753710330002</v>
      </c>
      <c r="H18" s="4" t="n">
        <f aca="false">(H6-G6)*Assumptions!$B$37/100</f>
        <v>-78.1282256261849</v>
      </c>
      <c r="I18" s="4" t="n">
        <f aca="false">(I6-H6)*Assumptions!$B$37/100</f>
        <v>-72.5724406927675</v>
      </c>
      <c r="J18" s="4" t="n">
        <f aca="false">(J6-I6)*Assumptions!$B$37/100</f>
        <v>-66.040921030418</v>
      </c>
      <c r="K18" s="4" t="n">
        <f aca="false">(K6-J6)*Assumptions!$B$37/100</f>
        <v>-58.587731371271</v>
      </c>
      <c r="L18" s="4" t="n">
        <f aca="false">(L6-K6)*Assumptions!$B$37/100</f>
        <v>-60.3453633124093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3404.80068</v>
      </c>
      <c r="D19" s="0" t="n">
        <f aca="false">D15+D16+D17+D18</f>
        <v>3697.62797124</v>
      </c>
      <c r="E19" s="0" t="n">
        <f aca="false">E15+E16+E17+E18</f>
        <v>3980.009956752</v>
      </c>
      <c r="F19" s="0" t="n">
        <f aca="false">F15+F16+F17+F18</f>
        <v>4279.0577818824</v>
      </c>
      <c r="G19" s="0" t="n">
        <f aca="false">G15+G16+G17+G18</f>
        <v>4577.23924187101</v>
      </c>
      <c r="H19" s="0" t="n">
        <f aca="false">H15+H16+H17+H18</f>
        <v>4842.28325334345</v>
      </c>
      <c r="I19" s="0" t="n">
        <f aca="false">I15+I16+I17+I18</f>
        <v>5105.03576809203</v>
      </c>
      <c r="J19" s="0" t="n">
        <f aca="false">J15+J16+J17+J18</f>
        <v>5324.03036512653</v>
      </c>
      <c r="K19" s="0" t="n">
        <f aca="false">K15+K16+K17+K18</f>
        <v>5493.18569337038</v>
      </c>
      <c r="L19" s="0" t="n">
        <f aca="false">L15+L16+L17+L18</f>
        <v>5657.98126417149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3123.67034862385</v>
      </c>
      <c r="D21" s="0" t="n">
        <f aca="false">D19*D20</f>
        <v>3112.21948593553</v>
      </c>
      <c r="E21" s="0" t="n">
        <f aca="false">E19*E20</f>
        <v>3073.29793908245</v>
      </c>
      <c r="F21" s="0" t="n">
        <f aca="false">F19*F20</f>
        <v>3031.39241229021</v>
      </c>
      <c r="G21" s="0" t="n">
        <f aca="false">G19*G20</f>
        <v>2974.89144588841</v>
      </c>
      <c r="H21" s="0" t="n">
        <f aca="false">H19*H20</f>
        <v>2887.29529146309</v>
      </c>
      <c r="I21" s="0" t="n">
        <f aca="false">I19*I20</f>
        <v>2792.62938629635</v>
      </c>
      <c r="J21" s="0" t="n">
        <f aca="false">J19*J20</f>
        <v>2671.9513122109</v>
      </c>
      <c r="K21" s="0" t="n">
        <f aca="false">K19*K20</f>
        <v>2529.21529126924</v>
      </c>
      <c r="L21" s="0" t="n">
        <f aca="false">L19*L20</f>
        <v>2389.99243119937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28586.5553442594</v>
      </c>
    </row>
    <row r="31" customFormat="false" ht="15" hidden="false" customHeight="false" outlineLevel="0" collapsed="false">
      <c r="A31" s="0" t="s">
        <v>138</v>
      </c>
      <c r="B31" s="0" t="n">
        <f aca="false">L19</f>
        <v>5657.98126417149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89222.0122427043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96185.6814909154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89222.0122427043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37688.3421842978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66274.8975285571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57407.8975285571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94.4674963445074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-0.365521550510394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1528.48317631934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1932.1170872354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100.162082922679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46395.4463662062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40.1681660644765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11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25590</v>
      </c>
      <c r="C6" s="0" t="n">
        <f aca="false">B6*(1+C5/100)</f>
        <v>28404.9</v>
      </c>
      <c r="D6" s="0" t="n">
        <f aca="false">C6*(1+D5/100)</f>
        <v>31245.39</v>
      </c>
      <c r="E6" s="0" t="n">
        <f aca="false">D6*(1+E5/100)</f>
        <v>34057.4751</v>
      </c>
      <c r="F6" s="0" t="n">
        <f aca="false">E6*(1+F5/100)</f>
        <v>36782.073108</v>
      </c>
      <c r="G6" s="0" t="n">
        <f aca="false">F6*(1+G5/100)</f>
        <v>39356.81822556</v>
      </c>
      <c r="H6" s="0" t="n">
        <f aca="false">G6*(1+H5/100)</f>
        <v>41718.2273190936</v>
      </c>
      <c r="I6" s="0" t="n">
        <f aca="false">H6*(1+I5/100)</f>
        <v>43804.1386850483</v>
      </c>
      <c r="J6" s="0" t="n">
        <f aca="false">I6*(1+J5/100)</f>
        <v>45556.3042324502</v>
      </c>
      <c r="K6" s="0" t="n">
        <f aca="false">J6*(1+K5/100)</f>
        <v>47150.774880586</v>
      </c>
      <c r="L6" s="0" t="n">
        <f aca="false">K6*(1+L5/100)</f>
        <v>48801.0520014065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17.9</v>
      </c>
      <c r="D7" s="4" t="n">
        <f aca="false">Assumptions!D42</f>
        <v>18.7</v>
      </c>
      <c r="E7" s="4" t="n">
        <f aca="false">Assumptions!E42</f>
        <v>19.4</v>
      </c>
      <c r="F7" s="4" t="n">
        <f aca="false">Assumptions!F42</f>
        <v>20</v>
      </c>
      <c r="G7" s="4" t="n">
        <f aca="false">Assumptions!G42</f>
        <v>20.5</v>
      </c>
      <c r="H7" s="4" t="n">
        <f aca="false">Assumptions!H42</f>
        <v>20.9</v>
      </c>
      <c r="I7" s="4" t="n">
        <f aca="false">Assumptions!I42</f>
        <v>21.2</v>
      </c>
      <c r="J7" s="4" t="n">
        <f aca="false">Assumptions!J42</f>
        <v>21.4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5084.4771</v>
      </c>
      <c r="D8" s="0" t="n">
        <f aca="false">D6*D7/100</f>
        <v>5842.88793</v>
      </c>
      <c r="E8" s="0" t="n">
        <f aca="false">E6*E7/100</f>
        <v>6607.1501694</v>
      </c>
      <c r="F8" s="0" t="n">
        <f aca="false">F6*F7/100</f>
        <v>7356.4146216</v>
      </c>
      <c r="G8" s="0" t="n">
        <f aca="false">G6*G7/100</f>
        <v>8068.1477362398</v>
      </c>
      <c r="H8" s="0" t="n">
        <f aca="false">H6*H7/100</f>
        <v>8719.10950969056</v>
      </c>
      <c r="I8" s="0" t="n">
        <f aca="false">I6*I7/100</f>
        <v>9286.47740123024</v>
      </c>
      <c r="J8" s="0" t="n">
        <f aca="false">J6*J7/100</f>
        <v>9749.04910574435</v>
      </c>
      <c r="K8" s="0" t="n">
        <f aca="false">K6*K7/100</f>
        <v>10137.416599326</v>
      </c>
      <c r="L8" s="0" t="n">
        <f aca="false">L6*L7/100</f>
        <v>10492.2261803024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0.7</v>
      </c>
      <c r="D9" s="4" t="n">
        <f aca="false">Assumptions!D43</f>
        <v>0.7</v>
      </c>
      <c r="E9" s="4" t="n">
        <f aca="false">Assumptions!E43</f>
        <v>0.7</v>
      </c>
      <c r="F9" s="4" t="n">
        <f aca="false">Assumptions!F43</f>
        <v>0.7</v>
      </c>
      <c r="G9" s="4" t="n">
        <f aca="false">Assumptions!G43</f>
        <v>0.7</v>
      </c>
      <c r="H9" s="4" t="n">
        <f aca="false">Assumptions!H43</f>
        <v>0.7</v>
      </c>
      <c r="I9" s="4" t="n">
        <f aca="false">Assumptions!I43</f>
        <v>0.7</v>
      </c>
      <c r="J9" s="4" t="n">
        <f aca="false">Assumptions!J43</f>
        <v>0.7</v>
      </c>
      <c r="K9" s="4" t="n">
        <f aca="false">Assumptions!K43</f>
        <v>0.7</v>
      </c>
      <c r="L9" s="4" t="n">
        <f aca="false">Assumptions!L43</f>
        <v>0.7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-198.8343</v>
      </c>
      <c r="D10" s="0" t="n">
        <f aca="false">-D6*D9/100</f>
        <v>-218.71773</v>
      </c>
      <c r="E10" s="0" t="n">
        <f aca="false">-E6*E9/100</f>
        <v>-238.4023257</v>
      </c>
      <c r="F10" s="0" t="n">
        <f aca="false">-F6*F9/100</f>
        <v>-257.474511756</v>
      </c>
      <c r="G10" s="0" t="n">
        <f aca="false">-G6*G9/100</f>
        <v>-275.49772757892</v>
      </c>
      <c r="H10" s="0" t="n">
        <f aca="false">-H6*H9/100</f>
        <v>-292.027591233655</v>
      </c>
      <c r="I10" s="0" t="n">
        <f aca="false">-I6*I9/100</f>
        <v>-306.628970795338</v>
      </c>
      <c r="J10" s="0" t="n">
        <f aca="false">-J6*J9/100</f>
        <v>-318.894129627152</v>
      </c>
      <c r="K10" s="0" t="n">
        <f aca="false">-K6*K9/100</f>
        <v>-330.055424164102</v>
      </c>
      <c r="L10" s="0" t="n">
        <f aca="false">-L6*L9/100</f>
        <v>-341.607364009845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4885.6428</v>
      </c>
      <c r="D11" s="0" t="n">
        <f aca="false">D8+D10+D24</f>
        <v>5624.1702</v>
      </c>
      <c r="E11" s="0" t="n">
        <f aca="false">E8+E10+E24</f>
        <v>6368.7478437</v>
      </c>
      <c r="F11" s="0" t="n">
        <f aca="false">F8+F10+F24</f>
        <v>7098.940109844</v>
      </c>
      <c r="G11" s="0" t="n">
        <f aca="false">G8+G10+G24</f>
        <v>7792.65000866088</v>
      </c>
      <c r="H11" s="0" t="n">
        <f aca="false">H8+H10+H24</f>
        <v>8427.08191845691</v>
      </c>
      <c r="I11" s="0" t="n">
        <f aca="false">I8+I10+I24</f>
        <v>8979.8484304349</v>
      </c>
      <c r="J11" s="0" t="n">
        <f aca="false">J8+J10+J24</f>
        <v>9430.1549761172</v>
      </c>
      <c r="K11" s="0" t="n">
        <f aca="false">K8+K10+K24</f>
        <v>9807.36117516189</v>
      </c>
      <c r="L11" s="0" t="n">
        <f aca="false">L8+L10+L24</f>
        <v>10150.6188162926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-653.3127</v>
      </c>
      <c r="D12" s="4" t="n">
        <f aca="false">-D6*Assumptions!D45/100</f>
        <v>-687.39858</v>
      </c>
      <c r="E12" s="4" t="n">
        <f aca="false">-E6*Assumptions!E45/100</f>
        <v>-715.2069771</v>
      </c>
      <c r="F12" s="4" t="n">
        <f aca="false">-F6*Assumptions!F45/100</f>
        <v>-735.64146216</v>
      </c>
      <c r="G12" s="4" t="n">
        <f aca="false">-G6*Assumptions!G45/100</f>
        <v>-747.77954628564</v>
      </c>
      <c r="H12" s="4" t="n">
        <f aca="false">-H6*Assumptions!H45/100</f>
        <v>-750.928091743685</v>
      </c>
      <c r="I12" s="4" t="n">
        <f aca="false">-I6*Assumptions!I45/100</f>
        <v>-788.474496330869</v>
      </c>
      <c r="J12" s="4" t="n">
        <f aca="false">-J6*Assumptions!J45/100</f>
        <v>-820.013476184104</v>
      </c>
      <c r="K12" s="4" t="n">
        <f aca="false">-K6*Assumptions!K45/100</f>
        <v>-848.713947850548</v>
      </c>
      <c r="L12" s="4" t="n">
        <f aca="false">-L6*Assumptions!L45/100</f>
        <v>-878.418936025317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4232.3301</v>
      </c>
      <c r="D13" s="0" t="n">
        <f aca="false">D11+D12</f>
        <v>4936.77162</v>
      </c>
      <c r="E13" s="0" t="n">
        <f aca="false">E11+E12</f>
        <v>5653.5408666</v>
      </c>
      <c r="F13" s="0" t="n">
        <f aca="false">F11+F12</f>
        <v>6363.298647684</v>
      </c>
      <c r="G13" s="0" t="n">
        <f aca="false">G11+G12</f>
        <v>7044.87046237524</v>
      </c>
      <c r="H13" s="0" t="n">
        <f aca="false">H11+H12</f>
        <v>7676.15382671322</v>
      </c>
      <c r="I13" s="0" t="n">
        <f aca="false">I11+I12</f>
        <v>8191.37393410403</v>
      </c>
      <c r="J13" s="0" t="n">
        <f aca="false">J11+J12</f>
        <v>8610.14149993309</v>
      </c>
      <c r="K13" s="0" t="n">
        <f aca="false">K11+K12</f>
        <v>8958.64722731134</v>
      </c>
      <c r="L13" s="0" t="n">
        <f aca="false">L11+L12</f>
        <v>9272.19988026723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19</v>
      </c>
      <c r="G14" s="4" t="n">
        <f aca="false">Assumptions!G47</f>
        <v>19</v>
      </c>
      <c r="H14" s="4" t="n">
        <f aca="false">Assumptions!H47</f>
        <v>19</v>
      </c>
      <c r="I14" s="4" t="n">
        <f aca="false">Assumptions!I47</f>
        <v>19</v>
      </c>
      <c r="J14" s="4" t="n">
        <f aca="false">Assumptions!J47</f>
        <v>19</v>
      </c>
      <c r="K14" s="4" t="n">
        <f aca="false">Assumptions!K47</f>
        <v>19</v>
      </c>
      <c r="L14" s="4" t="n">
        <f aca="false">Assumptions!L47</f>
        <v>19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3512.833983</v>
      </c>
      <c r="D15" s="0" t="n">
        <f aca="false">D13-MAX(0,D13)*D14/100</f>
        <v>4048.1527284</v>
      </c>
      <c r="E15" s="0" t="n">
        <f aca="false">E13-MAX(0,E13)*E14/100</f>
        <v>4635.903510612</v>
      </c>
      <c r="F15" s="0" t="n">
        <f aca="false">F13-MAX(0,F13)*F14/100</f>
        <v>5154.27190462404</v>
      </c>
      <c r="G15" s="0" t="n">
        <f aca="false">G13-MAX(0,G13)*G14/100</f>
        <v>5706.34507452395</v>
      </c>
      <c r="H15" s="0" t="n">
        <f aca="false">H13-MAX(0,H13)*H14/100</f>
        <v>6217.68459963771</v>
      </c>
      <c r="I15" s="0" t="n">
        <f aca="false">I13-MAX(0,I13)*I14/100</f>
        <v>6635.01288662426</v>
      </c>
      <c r="J15" s="0" t="n">
        <f aca="false">J13-MAX(0,J13)*J14/100</f>
        <v>6974.2146149458</v>
      </c>
      <c r="K15" s="0" t="n">
        <f aca="false">K13-MAX(0,K13)*K14/100</f>
        <v>7256.50425412218</v>
      </c>
      <c r="L15" s="0" t="n">
        <f aca="false">L13-MAX(0,L13)*L14/100</f>
        <v>7510.48190301646</v>
      </c>
    </row>
    <row r="16" customFormat="false" ht="15" hidden="false" customHeight="false" outlineLevel="0" collapsed="false">
      <c r="A16" s="0" t="s">
        <v>129</v>
      </c>
      <c r="C16" s="0" t="n">
        <f aca="false">-C12</f>
        <v>653.3127</v>
      </c>
      <c r="D16" s="0" t="n">
        <f aca="false">-D12</f>
        <v>687.39858</v>
      </c>
      <c r="E16" s="0" t="n">
        <f aca="false">-E12</f>
        <v>715.2069771</v>
      </c>
      <c r="F16" s="0" t="n">
        <f aca="false">-F12</f>
        <v>735.64146216</v>
      </c>
      <c r="G16" s="0" t="n">
        <f aca="false">-G12</f>
        <v>747.77954628564</v>
      </c>
      <c r="H16" s="0" t="n">
        <f aca="false">-H12</f>
        <v>750.928091743685</v>
      </c>
      <c r="I16" s="0" t="n">
        <f aca="false">-I12</f>
        <v>788.474496330869</v>
      </c>
      <c r="J16" s="0" t="n">
        <f aca="false">-J12</f>
        <v>820.013476184104</v>
      </c>
      <c r="K16" s="0" t="n">
        <f aca="false">-K12</f>
        <v>848.713947850548</v>
      </c>
      <c r="L16" s="0" t="n">
        <f aca="false">-L12</f>
        <v>878.418936025317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-454.4784</v>
      </c>
      <c r="D17" s="4" t="n">
        <f aca="false">-D6*Assumptions!D46/100</f>
        <v>-531.17163</v>
      </c>
      <c r="E17" s="4" t="n">
        <f aca="false">-E6*Assumptions!E46/100</f>
        <v>-578.9770767</v>
      </c>
      <c r="F17" s="4" t="n">
        <f aca="false">-F6*Assumptions!F46/100</f>
        <v>-625.295242836</v>
      </c>
      <c r="G17" s="4" t="n">
        <f aca="false">-G6*Assumptions!G46/100</f>
        <v>-669.06590983452</v>
      </c>
      <c r="H17" s="4" t="n">
        <f aca="false">-H6*Assumptions!H46/100</f>
        <v>-709.209864424591</v>
      </c>
      <c r="I17" s="4" t="n">
        <f aca="false">-I6*Assumptions!I46/100</f>
        <v>-744.670357645821</v>
      </c>
      <c r="J17" s="4" t="n">
        <f aca="false">-J6*Assumptions!J46/100</f>
        <v>-774.457171951654</v>
      </c>
      <c r="K17" s="4" t="n">
        <f aca="false">-K6*Assumptions!K46/100</f>
        <v>-801.563172969962</v>
      </c>
      <c r="L17" s="4" t="n">
        <f aca="false">-L6*Assumptions!L46/100</f>
        <v>-829.61788402391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-140.745</v>
      </c>
      <c r="D18" s="4" t="n">
        <f aca="false">(D6-C6)*Assumptions!$B$51/100</f>
        <v>-142.0245</v>
      </c>
      <c r="E18" s="4" t="n">
        <f aca="false">(E6-D6)*Assumptions!$B$51/100</f>
        <v>-140.604255</v>
      </c>
      <c r="F18" s="4" t="n">
        <f aca="false">(F6-E6)*Assumptions!$B$51/100</f>
        <v>-136.2299004</v>
      </c>
      <c r="G18" s="4" t="n">
        <f aca="false">(G6-F6)*Assumptions!$B$51/100</f>
        <v>-128.737255878</v>
      </c>
      <c r="H18" s="4" t="n">
        <f aca="false">(H6-G6)*Assumptions!$B$51/100</f>
        <v>-118.07045467668</v>
      </c>
      <c r="I18" s="4" t="n">
        <f aca="false">(I6-H6)*Assumptions!$B$51/100</f>
        <v>-104.295568297734</v>
      </c>
      <c r="J18" s="4" t="n">
        <f aca="false">(J6-I6)*Assumptions!$B$51/100</f>
        <v>-87.6082773700968</v>
      </c>
      <c r="K18" s="4" t="n">
        <f aca="false">(K6-J6)*Assumptions!$B$51/100</f>
        <v>-79.7235324067879</v>
      </c>
      <c r="L18" s="4" t="n">
        <f aca="false">(L6-K6)*Assumptions!$B$51/100</f>
        <v>-82.5138560410254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3570.923283</v>
      </c>
      <c r="D19" s="0" t="n">
        <f aca="false">D15+D16+D17+D18</f>
        <v>4062.3551784</v>
      </c>
      <c r="E19" s="0" t="n">
        <f aca="false">E15+E16+E17+E18</f>
        <v>4631.529156012</v>
      </c>
      <c r="F19" s="0" t="n">
        <f aca="false">F15+F16+F17+F18</f>
        <v>5128.38822354804</v>
      </c>
      <c r="G19" s="0" t="n">
        <f aca="false">G15+G16+G17+G18</f>
        <v>5656.32145509707</v>
      </c>
      <c r="H19" s="0" t="n">
        <f aca="false">H15+H16+H17+H18</f>
        <v>6141.33237228013</v>
      </c>
      <c r="I19" s="0" t="n">
        <f aca="false">I15+I16+I17+I18</f>
        <v>6574.52145701158</v>
      </c>
      <c r="J19" s="0" t="n">
        <f aca="false">J15+J16+J17+J18</f>
        <v>6932.16264180816</v>
      </c>
      <c r="K19" s="0" t="n">
        <f aca="false">K15+K16+K17+K18</f>
        <v>7223.93149659598</v>
      </c>
      <c r="L19" s="0" t="n">
        <f aca="false">L15+L16+L17+L18</f>
        <v>7476.76909897684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3276.07640642202</v>
      </c>
      <c r="D21" s="0" t="n">
        <f aca="false">D19*D20</f>
        <v>3419.20307920209</v>
      </c>
      <c r="E21" s="0" t="n">
        <f aca="false">E19*E20</f>
        <v>3576.39030169363</v>
      </c>
      <c r="F21" s="0" t="n">
        <f aca="false">F19*F20</f>
        <v>3633.07950969129</v>
      </c>
      <c r="G21" s="0" t="n">
        <f aca="false">G19*G20</f>
        <v>3676.22084466031</v>
      </c>
      <c r="H21" s="0" t="n">
        <f aca="false">H19*H20</f>
        <v>3661.87583709626</v>
      </c>
      <c r="I21" s="0" t="n">
        <f aca="false">I19*I20</f>
        <v>3596.48838044251</v>
      </c>
      <c r="J21" s="0" t="n">
        <f aca="false">J19*J20</f>
        <v>3479.01867513081</v>
      </c>
      <c r="K21" s="0" t="n">
        <f aca="false">K19*K20</f>
        <v>3326.09873835556</v>
      </c>
      <c r="L21" s="0" t="n">
        <f aca="false">L19*L20</f>
        <v>3158.26806807156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19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34802.719840766</v>
      </c>
    </row>
    <row r="31" customFormat="false" ht="15" hidden="false" customHeight="false" outlineLevel="0" collapsed="false">
      <c r="A31" s="0" t="s">
        <v>138</v>
      </c>
      <c r="B31" s="0" t="n">
        <f aca="false">L19</f>
        <v>7476.76909897684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128351.202865769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142058.61288056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128351.202865769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54216.9351685618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89019.6550093278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80152.6550093278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131.895104507698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-0.114143968650026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1710.22411682978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2477.12669235159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138.785594567236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64175.6014328846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54.7263726757471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58.889718294087</v>
      </c>
      <c r="C4" s="0" t="n">
        <f aca="false">B4/Assumptions!$B$2-1</f>
        <v>-0.604474992987528</v>
      </c>
      <c r="D4" s="4" t="n">
        <f aca="false">Assumptions!$B$24</f>
        <v>0.2</v>
      </c>
      <c r="E4" s="4" t="n">
        <f aca="false">DCF_Bear!$B$43</f>
        <v>63.3035959700672</v>
      </c>
      <c r="F4" s="4" t="n">
        <f aca="false">DCF_Bear!$B$47</f>
        <v>24.5507456077721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94.4674963445074</v>
      </c>
      <c r="C5" s="0" t="n">
        <f aca="false">B5/Assumptions!$B$2-1</f>
        <v>-0.365521550510394</v>
      </c>
      <c r="D5" s="4" t="n">
        <f aca="false">Assumptions!$B$38</f>
        <v>0.5</v>
      </c>
      <c r="E5" s="4" t="n">
        <f aca="false">DCF_Base!$B$43</f>
        <v>100.162082922679</v>
      </c>
      <c r="F5" s="4" t="n">
        <f aca="false">DCF_Base!$B$47</f>
        <v>40.1681660644765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131.895104507698</v>
      </c>
      <c r="C6" s="0" t="n">
        <f aca="false">B6/Assumptions!$B$2-1</f>
        <v>-0.114143968650026</v>
      </c>
      <c r="D6" s="4" t="n">
        <f aca="false">Assumptions!$B$52</f>
        <v>0.3</v>
      </c>
      <c r="E6" s="4" t="n">
        <f aca="false">DCF_Bull!$B$43</f>
        <v>138.785594567236</v>
      </c>
      <c r="F6" s="4" t="n">
        <f aca="false">DCF_Bull!$B$47</f>
        <v>54.7263726757471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98.5802231833804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104.377439025524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-0.510343506963183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867.826525465722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41.4121439565168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94.4674963445074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79.3144020510663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67.7536015284423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58.6491426980015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40.1681660644765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117.798350240157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117.798350240157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117.798350240157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117.798350240157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117.798350240157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102.14706717516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108.118298095129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108.118298095129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108.118298095129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108.118298095129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85.6740490041537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89.7567209836036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94.4674963445074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99.3079260731425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99.3079260731425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73.1205915629675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76.0239402292638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79.3144020510663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83.0749298474121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87.4140003816572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63.2462344472513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65.3747133467026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67.7536015284423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70.4298507328994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73.4629331646175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2026-09-28T22:13:11Z</dcterms:created>
  <dc:creator>openpyxl</dc:creator>
  <dc:description/>
  <dc:language>en-NZ</dc:language>
  <cp:lastModifiedBy/>
  <dcterms:modified xsi:type="dcterms:W3CDTF">2026-09-28T22:13:11Z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