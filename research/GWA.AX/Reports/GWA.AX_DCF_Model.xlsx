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<sst xmlns="http://schemas.openxmlformats.org/spreadsheetml/2006/main" count="364" uniqueCount="168">
  <si>
    <t xml:space="preserve">Ticker</t>
  </si>
  <si>
    <t xml:space="preserve">GWA.AX</t>
  </si>
  <si>
    <t xml:space="preserve">Company</t>
  </si>
  <si>
    <t xml:space="preserve">GWA Group Limited</t>
  </si>
  <si>
    <t xml:space="preserve">Valuation date</t>
  </si>
  <si>
    <t xml:space="preserve">2026-09-22</t>
  </si>
  <si>
    <t xml:space="preserve">Current price</t>
  </si>
  <si>
    <t xml:space="preserve">Price as of</t>
  </si>
  <si>
    <t xml:space="preserve">2026-09-22T06:10:06Z (ASX regular close)</t>
  </si>
  <si>
    <t xml:space="preserve">Balance sheet date</t>
  </si>
  <si>
    <t xml:space="preserve">2026-06-30 (net debt, announced Aug-2026); 2025-12-31 for filed debt/cash/lease components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</si>
  <si>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</si>
  <si>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</si>
  <si>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</si>
  <si>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</si>
  <si>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</si>
  <si>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</si>
  <si>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</si>
  <si>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</si>
  <si>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</si>
  <si>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</si>
  <si>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2026-09-22T11:56:37Z</t>
  </si>
  <si>
    <t xml:space="preserve">Drivers file</t>
  </si>
  <si>
    <t xml:space="preserve">GWA.AX_Drivers.json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</si>
  <si>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</si>
  <si>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</si>
  <si>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</si>
  <si>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GWA as a mature, asset-light Australian building-products distributor: a 10-year owner-FCF DCF with leases charged as operating cost, SBC immaterial, a single AUD WACC across scenarios, and a 12-14x terminal cap so the valuation does not lean on Gordon growth. The scenario weights, not the discount rate, carry the housing-cycle risk. The stock's high payout means value accrues as fully franked dividends and buybacks rather than reinvestment.
key_risks_to_valuation: Australian renovation and new-housing cycle: ~60% of Australian revenue is R&amp;R and management already guides FY27 activity down ~2%; a deeper or longer downturn is the bear path; Channel concentration: Reece and other merchants are both customer and private-label competitor; margin band (22-22.5%) is the single most valuable assumption; Working capital and leverage: net debt rose $43m in FY26 on inventory pull-forward; if conversion stays below 80% the buyback and dividend pace slows; Input costs and FX: USD-priced product with only ~55% hedged, plus $3-4m FY27 ocean freight, must be recovered through price without losing volume; Anchor vintage: net debt and share count are the Aug-2026 announced/estimated 30-Jun-2026 figures; the FY2026 annual report is not yet extracted and should replace them; Terminal value is ~half of EV and sits on a 14x FCF cap; GWA has traded at 16-22x owner FCF in better years and ~12x today</t>
  </si>
  <si>
    <t xml:space="preserve">Data sources</t>
  </si>
  <si>
    <t xml:space="preserve">price: Yahoo Finance chart API regular close at inputs.price_as_of; 52-week range 1.94-2.74
financials: GWA.AX_Metrics.csv (core_metrics, AUD millions) FY2016-FY2025 annuals and H1 FY2016-H1 FY2026 halves; component lines from GWA.AX_Annual_FY2025.txt (lease principal line 3134, lease interest 3113/3644, ROU depreciation 4463, receivables/inventory/payables 3042-3063, tax paid 3120, diluted shares 3847) and GWA.AX_HalfYear_H1-FY2026.txt (shares outstanding line 650, buyback 507, lease lines 403/422)
qualitative: GWA.AX_Analysis.json (2026-09-22), including the Aug-2026 FY2026 result summary (revenue 422.3, normalised EBIT 78.2, net debt 127.9, cash conversion 76%, FY27 outlook) sourced by the qualitative analyst via web search and used as directional context and for FY0 revenue / net debt anchors</t>
  </si>
  <si>
    <t xml:space="preserve">Scenario narrative: bear</t>
  </si>
  <si>
    <t xml:space="preserve">Extended downturn plus private-label disintermediation: revenue shrinks two years running, margin compresses to 19.5%, cash conversion stays weak and net debt stays elevated. Management's own FY27 framing (~2% lower building activity, weaker H2 FY26) makes this a live path, hence 25%.</t>
  </si>
  <si>
    <t xml:space="preserve">Scenario narrative: base</t>
  </si>
  <si>
    <t xml:space="preserve">Low-growth price-and-mix compounder: FY27 flat-ish on a soft Australian renovation market, a modest volume recovery FY29-31 as rates ease, EBITDA margin held in the 22-22.5% band it has occupied for six years, ~$52-68m of owner FCF a year after lease cash, mostly paid out. Value is dominated by the terminal (capped at 14x FCF), so the stock is priced on whether the margin band holds.</t>
  </si>
  <si>
    <t xml:space="preserve">Scenario narrative: bull</t>
  </si>
  <si>
    <t xml:space="preserve">Renovation cycle turns up from FY28, price sticks, UK and the new water-management products add growth, margin edges to 23.5% on operating leverage. Requires several independent things to go right (rates, housing, product adoption), so it carries only a 25% weight.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</si>
  <si>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</si>
  <si>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</si>
  <si>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</si>
  <si>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</si>
  <si>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</si>
  <si>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</si>
  <si>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</si>
  <si>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</si>
  <si>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</si>
  <si>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</si>
  <si>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</si>
  <si>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</si>
  <si>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</si>
  <si>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</si>
  <si>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</si>
  <si>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</si>
  <si>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</si>
  <si>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</si>
  <si>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</si>
  <si>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</si>
  <si>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</si>
  <si>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</si>
  <si>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</si>
  <si>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</si>
  <si>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</si>
  <si>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</si>
  <si>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</si>
  <si>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NormalisedNPAT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</si>
  <si>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</si>
  <si>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</si>
  <si>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</si>
  <si>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</si>
  <si>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</si>
  <si>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</si>
  <si>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</si>
  <si>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</si>
  <si>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</si>
  <si>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</si>
  <si>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</si>
  <si>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</si>
  <si>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</si>
  <si>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</si>
  <si>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</si>
  <si>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</si>
  <si>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</si>
  <si>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</si>
  <si>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</si>
  <si>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</si>
  <si>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</si>
  <si>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</si>
  <si>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</si>
  <si>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</si>
  <si>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</si>
  <si>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</si>
  <si>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</si>
  <si>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</si>
  <si>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</si>
  <si>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</si>
  <si>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</si>
  <si>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</si>
  <si>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</si>
  <si>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</si>
  <si>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</si>
  <si>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</si>
  <si>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</si>
  <si>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</si>
  <si>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</si>
  <si>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</si>
  <si>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</si>
  <si>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</si>
  <si>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</si>
  <si>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</si>
  <si>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</si>
  <si>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</si>
  <si>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</si>
  <si>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</si>
  <si>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</si>
  <si>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GWA.AX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</si>
  <si>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</si>
  <si>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</si>
  <si>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</si>
  <si>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</si>
  <si>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</si>
  <si>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</si>
  <si>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</si>
  <si>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</si>
  <si>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</si>
  <si>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</si>
  <si>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</si>
  <si>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</si>
  <si>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</si>
  <si>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</si>
  <si>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</si>
  <si>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</si>
  <si>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</si>
  <si>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</si>
  <si>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</si>
  <si>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</si>
  <si>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</si>
  <si>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</si>
  <si>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</si>
  <si>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</si>
  <si>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</si>
  <si>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</si>
  <si>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</si>
  <si>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</si>
  <si>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</si>
  <si>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</si>
  <si>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GWA.AX owner-FCF component DCF: base case (millions, AUD)</t>
  </si>
  <si>
    <t xml:space="preserve">GWA.AX owner-FCF component DCF: bull case (millions, AUD)</t>
  </si>
  <si>
    <t xml:space="preserve">GWA.AX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</si>
  <si>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</si>
  <si>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</si>
  <si>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</si>
  <si>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</si>
  <si>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</si>
  <si>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</si>
  <si>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</si>
  <si>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</si>
  <si>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</si>
  <si>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</si>
  <si>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</si>
  <si>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</si>
  <si>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</si>
  <si>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</si>
  <si>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</si>
  <si>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9.2%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</si>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</sst>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1.965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426.218</v>
      </c>
      <c r="C2" s="0" t="n">
        <v>249.268</v>
      </c>
      <c r="D2" s="0" t="n">
        <v>176.95</v>
      </c>
      <c r="E2" s="0" t="n">
        <v>41.5</v>
      </c>
      <c r="F2" s="0" t="n">
        <v>21.234</v>
      </c>
      <c r="G2" s="0" t="n">
        <v>5</v>
      </c>
      <c r="H2" s="0" t="n">
        <v>81.734</v>
      </c>
      <c r="I2" s="0" t="n">
        <v>-16.183</v>
      </c>
      <c r="J2" s="0" t="n">
        <v>-3.8</v>
      </c>
      <c r="K2" s="0" t="n">
        <v>-0.053</v>
      </c>
      <c r="L2" s="0" t="n">
        <v>43.505</v>
      </c>
      <c r="M2" s="0" t="n">
        <v>5.062</v>
      </c>
      <c r="N2" s="0" t="n">
        <v>38.443</v>
      </c>
      <c r="O2" s="0" t="n">
        <v>305.894</v>
      </c>
      <c r="P2" s="0" t="n">
        <v>551.178</v>
      </c>
      <c r="Q2" s="0" t="n">
        <v>245.284</v>
      </c>
      <c r="R2" s="0" t="n">
        <v>125</v>
      </c>
      <c r="S2" s="0" t="n">
        <v>33.043</v>
      </c>
      <c r="T2" s="0" t="n">
        <v>306.858</v>
      </c>
      <c r="V2" s="0" t="n">
        <v>0.06</v>
      </c>
      <c r="AA2" s="0" t="s">
        <v>17</v>
      </c>
      <c r="AB2" s="0" t="s">
        <v>14</v>
      </c>
      <c r="AC2" s="0" t="n">
        <v>45.157</v>
      </c>
    </row>
    <row r="3" customFormat="false" ht="15" hidden="false" customHeight="false" outlineLevel="0" collapsed="false">
      <c r="A3" s="0" t="s">
        <v>65</v>
      </c>
      <c r="B3" s="0" t="n">
        <v>439.666</v>
      </c>
      <c r="C3" s="0" t="n">
        <v>259.924</v>
      </c>
      <c r="D3" s="0" t="n">
        <v>179.742</v>
      </c>
      <c r="E3" s="0" t="n">
        <v>40.9</v>
      </c>
      <c r="F3" s="0" t="n">
        <v>78.265</v>
      </c>
      <c r="G3" s="0" t="n">
        <v>17.8</v>
      </c>
      <c r="H3" s="0" t="n">
        <v>84.25</v>
      </c>
      <c r="I3" s="0" t="n">
        <v>53.681</v>
      </c>
      <c r="J3" s="0" t="n">
        <v>12.2</v>
      </c>
      <c r="K3" s="0" t="n">
        <v>0.197</v>
      </c>
      <c r="L3" s="0" t="n">
        <v>54.924</v>
      </c>
      <c r="M3" s="0" t="n">
        <v>3.628</v>
      </c>
      <c r="N3" s="0" t="n">
        <v>51.296</v>
      </c>
      <c r="O3" s="0" t="n">
        <v>307.698</v>
      </c>
      <c r="P3" s="0" t="n">
        <v>510.859</v>
      </c>
      <c r="Q3" s="0" t="n">
        <v>203.161</v>
      </c>
      <c r="R3" s="0" t="n">
        <v>120</v>
      </c>
      <c r="S3" s="0" t="n">
        <v>35.696</v>
      </c>
      <c r="T3" s="0" t="n">
        <v>274.187</v>
      </c>
      <c r="V3" s="0" t="n">
        <v>0.16</v>
      </c>
      <c r="AA3" s="0" t="s">
        <v>17</v>
      </c>
      <c r="AB3" s="0" t="s">
        <v>14</v>
      </c>
      <c r="AC3" s="0" t="n">
        <v>51.92</v>
      </c>
    </row>
    <row r="4" customFormat="false" ht="15" hidden="false" customHeight="false" outlineLevel="0" collapsed="false">
      <c r="A4" s="0" t="s">
        <v>66</v>
      </c>
      <c r="B4" s="0" t="n">
        <v>446.332</v>
      </c>
      <c r="C4" s="0" t="n">
        <v>260.361</v>
      </c>
      <c r="D4" s="0" t="n">
        <v>185.971</v>
      </c>
      <c r="E4" s="0" t="n">
        <v>41.7</v>
      </c>
      <c r="F4" s="0" t="n">
        <v>80.594</v>
      </c>
      <c r="G4" s="0" t="n">
        <v>18.1</v>
      </c>
      <c r="H4" s="0" t="n">
        <v>78.423</v>
      </c>
      <c r="I4" s="0" t="n">
        <v>53.671</v>
      </c>
      <c r="J4" s="0" t="n">
        <v>12</v>
      </c>
      <c r="K4" s="0" t="n">
        <v>0.203</v>
      </c>
      <c r="L4" s="0" t="n">
        <v>57.171</v>
      </c>
      <c r="M4" s="0" t="n">
        <v>5.281</v>
      </c>
      <c r="N4" s="0" t="n">
        <v>51.89</v>
      </c>
      <c r="O4" s="0" t="n">
        <v>320.603</v>
      </c>
      <c r="P4" s="0" t="n">
        <v>518.264</v>
      </c>
      <c r="Q4" s="0" t="n">
        <v>197.661</v>
      </c>
      <c r="R4" s="0" t="n">
        <v>112</v>
      </c>
      <c r="S4" s="0" t="n">
        <v>36.36</v>
      </c>
      <c r="T4" s="0" t="n">
        <v>265.46</v>
      </c>
      <c r="V4" s="0" t="n">
        <v>0.165</v>
      </c>
      <c r="AA4" s="0" t="s">
        <v>17</v>
      </c>
      <c r="AB4" s="0" t="s">
        <v>14</v>
      </c>
      <c r="AC4" s="0" t="n">
        <v>49.251</v>
      </c>
    </row>
    <row r="5" customFormat="false" ht="15" hidden="false" customHeight="false" outlineLevel="0" collapsed="false">
      <c r="A5" s="0" t="s">
        <v>67</v>
      </c>
      <c r="B5" s="0" t="n">
        <v>359.281</v>
      </c>
      <c r="C5" s="0" t="n">
        <v>205.212</v>
      </c>
      <c r="D5" s="0" t="n">
        <v>154.069</v>
      </c>
      <c r="E5" s="0" t="n">
        <v>42.9</v>
      </c>
      <c r="F5" s="0" t="n">
        <v>76.242</v>
      </c>
      <c r="G5" s="0" t="n">
        <v>21.2</v>
      </c>
      <c r="H5" s="0" t="n">
        <v>80.171</v>
      </c>
      <c r="I5" s="0" t="n">
        <v>54.252</v>
      </c>
      <c r="J5" s="0" t="n">
        <v>15.1</v>
      </c>
      <c r="K5" s="0" t="n">
        <v>0.206</v>
      </c>
      <c r="L5" s="0" t="n">
        <v>39.158</v>
      </c>
      <c r="M5" s="0" t="n">
        <v>12.475</v>
      </c>
      <c r="N5" s="0" t="n">
        <v>26.683</v>
      </c>
      <c r="O5" s="0" t="n">
        <v>333.401</v>
      </c>
      <c r="P5" s="0" t="n">
        <v>535.993</v>
      </c>
      <c r="Q5" s="0" t="n">
        <v>202.592</v>
      </c>
      <c r="R5" s="0" t="n">
        <v>125</v>
      </c>
      <c r="S5" s="0" t="n">
        <v>27.86</v>
      </c>
      <c r="T5" s="0" t="n">
        <v>265.463</v>
      </c>
      <c r="V5" s="0" t="n">
        <v>0.18</v>
      </c>
      <c r="AA5" s="0" t="s">
        <v>17</v>
      </c>
      <c r="AB5" s="0" t="s">
        <v>14</v>
      </c>
      <c r="AC5" s="0" t="n">
        <v>50.139</v>
      </c>
    </row>
    <row r="6" customFormat="false" ht="15" hidden="false" customHeight="false" outlineLevel="0" collapsed="false">
      <c r="A6" s="0" t="s">
        <v>68</v>
      </c>
      <c r="B6" s="0" t="n">
        <v>381.73</v>
      </c>
      <c r="C6" s="0" t="n">
        <v>219.015</v>
      </c>
      <c r="D6" s="0" t="n">
        <v>162.715</v>
      </c>
      <c r="E6" s="0" t="n">
        <v>42.6</v>
      </c>
      <c r="F6" s="0" t="n">
        <v>69.38</v>
      </c>
      <c r="G6" s="0" t="n">
        <v>18.2</v>
      </c>
      <c r="H6" s="0" t="n">
        <v>92.986</v>
      </c>
      <c r="I6" s="0" t="n">
        <v>94.044</v>
      </c>
      <c r="J6" s="0" t="n">
        <v>24.6</v>
      </c>
      <c r="K6" s="0" t="n">
        <v>0.356</v>
      </c>
      <c r="L6" s="0" t="n">
        <v>67.63</v>
      </c>
      <c r="M6" s="0" t="n">
        <v>4.326</v>
      </c>
      <c r="N6" s="0" t="n">
        <v>63.304</v>
      </c>
      <c r="O6" s="0" t="n">
        <v>373.793</v>
      </c>
      <c r="P6" s="0" t="n">
        <v>631.319</v>
      </c>
      <c r="Q6" s="0" t="n">
        <v>257.526</v>
      </c>
      <c r="R6" s="0" t="n">
        <v>177.759</v>
      </c>
      <c r="S6" s="0" t="n">
        <v>39.637</v>
      </c>
      <c r="T6" s="0" t="n">
        <v>265.267</v>
      </c>
      <c r="V6" s="0" t="n">
        <v>0.185</v>
      </c>
      <c r="AA6" s="0" t="s">
        <v>17</v>
      </c>
      <c r="AB6" s="0" t="s">
        <v>14</v>
      </c>
      <c r="AC6" s="0" t="n">
        <v>50.839</v>
      </c>
    </row>
    <row r="7" customFormat="false" ht="15" hidden="false" customHeight="false" outlineLevel="0" collapsed="false">
      <c r="A7" s="0" t="s">
        <v>69</v>
      </c>
      <c r="B7" s="0" t="n">
        <v>398.704</v>
      </c>
      <c r="C7" s="0" t="n">
        <v>237.432</v>
      </c>
      <c r="D7" s="0" t="n">
        <v>161.272</v>
      </c>
      <c r="E7" s="0" t="n">
        <v>40.4</v>
      </c>
      <c r="F7" s="0" t="n">
        <v>70.297</v>
      </c>
      <c r="G7" s="0" t="n">
        <v>17.6</v>
      </c>
      <c r="H7" s="0" t="n">
        <v>92.206</v>
      </c>
      <c r="I7" s="0" t="n">
        <v>43.886</v>
      </c>
      <c r="J7" s="0" t="n">
        <v>11</v>
      </c>
      <c r="K7" s="0" t="n">
        <v>0.166</v>
      </c>
      <c r="L7" s="0" t="n">
        <v>60.952</v>
      </c>
      <c r="M7" s="0" t="n">
        <v>12.317</v>
      </c>
      <c r="N7" s="0" t="n">
        <v>48.635</v>
      </c>
      <c r="O7" s="0" t="n">
        <v>279.731</v>
      </c>
      <c r="P7" s="0" t="n">
        <v>701.42</v>
      </c>
      <c r="Q7" s="0" t="n">
        <v>421.689</v>
      </c>
      <c r="R7" s="0" t="n">
        <v>175.4</v>
      </c>
      <c r="S7" s="0" t="n">
        <v>32.359</v>
      </c>
      <c r="T7" s="0" t="n">
        <v>265.254</v>
      </c>
      <c r="V7" s="0" t="n">
        <v>0.115</v>
      </c>
      <c r="AA7" s="0" t="s">
        <v>17</v>
      </c>
      <c r="AB7" s="0" t="s">
        <v>14</v>
      </c>
      <c r="AC7" s="0" t="n">
        <v>44.923</v>
      </c>
    </row>
    <row r="8" customFormat="false" ht="15" hidden="false" customHeight="false" outlineLevel="0" collapsed="false">
      <c r="A8" s="0" t="s">
        <v>70</v>
      </c>
      <c r="B8" s="0" t="n">
        <v>405.736</v>
      </c>
      <c r="C8" s="0" t="n">
        <v>241.66</v>
      </c>
      <c r="D8" s="0" t="n">
        <v>164.076</v>
      </c>
      <c r="E8" s="0" t="n">
        <v>40.4</v>
      </c>
      <c r="F8" s="0" t="n">
        <v>58.953</v>
      </c>
      <c r="G8" s="0" t="n">
        <v>14.5</v>
      </c>
      <c r="H8" s="0" t="n">
        <v>88.401</v>
      </c>
      <c r="I8" s="0" t="n">
        <v>35.056</v>
      </c>
      <c r="J8" s="0" t="n">
        <v>8.6</v>
      </c>
      <c r="K8" s="0" t="n">
        <v>0.133</v>
      </c>
      <c r="L8" s="0" t="n">
        <v>78.298</v>
      </c>
      <c r="M8" s="0" t="n">
        <v>5.147</v>
      </c>
      <c r="N8" s="0" t="n">
        <v>73.151</v>
      </c>
      <c r="O8" s="0" t="n">
        <v>296.611</v>
      </c>
      <c r="P8" s="0" t="n">
        <v>690.139</v>
      </c>
      <c r="Q8" s="0" t="n">
        <v>393.528</v>
      </c>
      <c r="R8" s="0" t="n">
        <v>146.106</v>
      </c>
      <c r="S8" s="0" t="n">
        <v>42.634</v>
      </c>
      <c r="T8" s="0" t="n">
        <v>265.923</v>
      </c>
      <c r="V8" s="0" t="n">
        <v>0.125</v>
      </c>
      <c r="AA8" s="0" t="s">
        <v>17</v>
      </c>
      <c r="AB8" s="0" t="s">
        <v>14</v>
      </c>
      <c r="AC8" s="0" t="n">
        <v>42.324</v>
      </c>
    </row>
    <row r="9" customFormat="false" ht="15" hidden="false" customHeight="false" outlineLevel="0" collapsed="false">
      <c r="A9" s="0" t="s">
        <v>71</v>
      </c>
      <c r="B9" s="0" t="n">
        <v>418.717</v>
      </c>
      <c r="C9" s="0" t="n">
        <v>256.902</v>
      </c>
      <c r="D9" s="0" t="n">
        <v>161.815</v>
      </c>
      <c r="E9" s="0" t="n">
        <v>38.6</v>
      </c>
      <c r="F9" s="0" t="n">
        <v>59.672</v>
      </c>
      <c r="G9" s="0" t="n">
        <v>14.3</v>
      </c>
      <c r="H9" s="0" t="n">
        <v>94.61</v>
      </c>
      <c r="I9" s="0" t="n">
        <v>35.179</v>
      </c>
      <c r="J9" s="0" t="n">
        <v>8.4</v>
      </c>
      <c r="K9" s="0" t="n">
        <v>0.133</v>
      </c>
      <c r="L9" s="0" t="n">
        <v>13.988</v>
      </c>
      <c r="M9" s="0" t="n">
        <v>2.408</v>
      </c>
      <c r="N9" s="0" t="n">
        <v>11.58</v>
      </c>
      <c r="O9" s="0" t="n">
        <v>303.826</v>
      </c>
      <c r="P9" s="0" t="n">
        <v>716.028</v>
      </c>
      <c r="Q9" s="0" t="n">
        <v>412.202</v>
      </c>
      <c r="R9" s="0" t="n">
        <v>168.328</v>
      </c>
      <c r="S9" s="0" t="n">
        <v>31.44</v>
      </c>
      <c r="T9" s="0" t="n">
        <v>266.824</v>
      </c>
      <c r="V9" s="0" t="n">
        <v>0.15</v>
      </c>
      <c r="AA9" s="0" t="s">
        <v>17</v>
      </c>
      <c r="AB9" s="0" t="s">
        <v>14</v>
      </c>
      <c r="AC9" s="0" t="n">
        <v>47.265</v>
      </c>
    </row>
    <row r="10" customFormat="false" ht="15" hidden="false" customHeight="false" outlineLevel="0" collapsed="false">
      <c r="A10" s="0" t="s">
        <v>72</v>
      </c>
      <c r="B10" s="0" t="n">
        <v>411.84</v>
      </c>
      <c r="C10" s="0" t="n">
        <v>253.653</v>
      </c>
      <c r="D10" s="0" t="n">
        <v>158.187</v>
      </c>
      <c r="E10" s="0" t="n">
        <v>38.4</v>
      </c>
      <c r="F10" s="0" t="n">
        <v>69.049</v>
      </c>
      <c r="G10" s="0" t="n">
        <v>16.8</v>
      </c>
      <c r="H10" s="0" t="n">
        <v>89.099</v>
      </c>
      <c r="I10" s="0" t="n">
        <v>43.156</v>
      </c>
      <c r="J10" s="0" t="n">
        <v>10.5</v>
      </c>
      <c r="K10" s="0" t="n">
        <v>0.163</v>
      </c>
      <c r="L10" s="0" t="n">
        <v>72.882</v>
      </c>
      <c r="M10" s="0" t="n">
        <v>2.22</v>
      </c>
      <c r="N10" s="0" t="n">
        <v>70.662</v>
      </c>
      <c r="O10" s="0" t="n">
        <v>305.54</v>
      </c>
      <c r="P10" s="0" t="n">
        <v>680.248</v>
      </c>
      <c r="Q10" s="0" t="n">
        <v>374.708</v>
      </c>
      <c r="R10" s="0" t="n">
        <v>159.092</v>
      </c>
      <c r="S10" s="0" t="n">
        <v>43.443</v>
      </c>
      <c r="T10" s="0" t="n">
        <v>267.695</v>
      </c>
      <c r="V10" s="0" t="n">
        <v>0.13</v>
      </c>
      <c r="AA10" s="0" t="s">
        <v>17</v>
      </c>
      <c r="AB10" s="0" t="s">
        <v>14</v>
      </c>
      <c r="AC10" s="0" t="n">
        <v>44.143</v>
      </c>
    </row>
    <row r="11" customFormat="false" ht="15" hidden="false" customHeight="false" outlineLevel="0" collapsed="false">
      <c r="A11" s="0" t="s">
        <v>73</v>
      </c>
      <c r="B11" s="0" t="n">
        <v>413.492</v>
      </c>
      <c r="C11" s="0" t="n">
        <v>251.143</v>
      </c>
      <c r="D11" s="0" t="n">
        <v>162.349</v>
      </c>
      <c r="E11" s="0" t="n">
        <v>39.3</v>
      </c>
      <c r="F11" s="0" t="n">
        <v>64.442</v>
      </c>
      <c r="G11" s="0" t="n">
        <v>15.6</v>
      </c>
      <c r="H11" s="0" t="n">
        <v>93.603</v>
      </c>
      <c r="I11" s="0" t="n">
        <v>38.631</v>
      </c>
      <c r="J11" s="0" t="n">
        <v>9.3</v>
      </c>
      <c r="K11" s="0" t="n">
        <v>0.146</v>
      </c>
      <c r="L11" s="0" t="n">
        <v>72.814</v>
      </c>
      <c r="M11" s="0" t="n">
        <v>2.978</v>
      </c>
      <c r="N11" s="0" t="n">
        <v>69.836</v>
      </c>
      <c r="O11" s="0" t="n">
        <v>304.591</v>
      </c>
      <c r="P11" s="0" t="n">
        <v>659.885</v>
      </c>
      <c r="Q11" s="0" t="n">
        <v>355.294</v>
      </c>
      <c r="R11" s="0" t="n">
        <v>137.721</v>
      </c>
      <c r="S11" s="0" t="n">
        <v>42.008</v>
      </c>
      <c r="T11" s="0" t="n">
        <v>269.019</v>
      </c>
      <c r="V11" s="0" t="n">
        <v>0.15</v>
      </c>
      <c r="AA11" s="0" t="s">
        <v>17</v>
      </c>
      <c r="AB11" s="0" t="s">
        <v>14</v>
      </c>
      <c r="AC11" s="0" t="n">
        <v>45.622</v>
      </c>
    </row>
    <row r="12" customFormat="false" ht="15" hidden="false" customHeight="false" outlineLevel="0" collapsed="false">
      <c r="A12" s="0" t="s">
        <v>74</v>
      </c>
      <c r="B12" s="0" t="n">
        <v>418.475</v>
      </c>
      <c r="C12" s="0" t="n">
        <v>248.942</v>
      </c>
      <c r="D12" s="0" t="n">
        <v>169.533</v>
      </c>
      <c r="E12" s="0" t="n">
        <v>40.5</v>
      </c>
      <c r="F12" s="0" t="n">
        <v>71.953</v>
      </c>
      <c r="G12" s="0" t="n">
        <v>17.2</v>
      </c>
      <c r="H12" s="0" t="n">
        <v>92.055</v>
      </c>
      <c r="I12" s="0" t="n">
        <v>43.378</v>
      </c>
      <c r="J12" s="0" t="n">
        <v>10.4</v>
      </c>
      <c r="K12" s="0" t="n">
        <v>0.164</v>
      </c>
      <c r="L12" s="0" t="n">
        <v>69.151</v>
      </c>
      <c r="M12" s="0" t="n">
        <v>2.836</v>
      </c>
      <c r="N12" s="0" t="n">
        <v>66.315</v>
      </c>
      <c r="O12" s="0" t="n">
        <v>302.974</v>
      </c>
      <c r="P12" s="0" t="n">
        <v>648.288</v>
      </c>
      <c r="Q12" s="0" t="n">
        <v>345.314</v>
      </c>
      <c r="R12" s="0" t="n">
        <v>133.126</v>
      </c>
      <c r="S12" s="0" t="n">
        <v>49.3</v>
      </c>
      <c r="T12" s="0" t="n">
        <v>268.056</v>
      </c>
      <c r="V12" s="0" t="n">
        <v>0.155</v>
      </c>
      <c r="AA12" s="0" t="s">
        <v>17</v>
      </c>
      <c r="AB12" s="0" t="s">
        <v>14</v>
      </c>
      <c r="AC12" s="0" t="n">
        <v>46.477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1.965</v>
      </c>
    </row>
    <row r="3" customFormat="false" ht="15" hidden="false" customHeight="false" outlineLevel="0" collapsed="false">
      <c r="A3" s="0" t="s">
        <v>78</v>
      </c>
      <c r="B3" s="3" t="n">
        <v>258</v>
      </c>
    </row>
    <row r="4" customFormat="false" ht="15" hidden="false" customHeight="false" outlineLevel="0" collapsed="false">
      <c r="A4" s="0" t="s">
        <v>79</v>
      </c>
      <c r="B4" s="3" t="n">
        <v>127.9</v>
      </c>
    </row>
    <row r="5" customFormat="false" ht="15" hidden="false" customHeight="false" outlineLevel="0" collapsed="false">
      <c r="A5" s="0" t="s">
        <v>80</v>
      </c>
      <c r="B5" s="3" t="n">
        <v>0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422.3</v>
      </c>
    </row>
    <row r="8" customFormat="false" ht="15" hidden="false" customHeight="false" outlineLevel="0" collapsed="false">
      <c r="A8" s="0" t="s">
        <v>83</v>
      </c>
      <c r="B8" s="3" t="s">
        <v>84</v>
      </c>
    </row>
    <row r="9" customFormat="false" ht="15" hidden="false" customHeight="false" outlineLevel="0" collapsed="false">
      <c r="A9" s="0" t="s">
        <v>85</v>
      </c>
      <c r="B9" s="3" t="s">
        <v>86</v>
      </c>
    </row>
    <row r="10" customFormat="false" ht="15" hidden="false" customHeight="false" outlineLevel="0" collapsed="false">
      <c r="A10" s="0" t="s">
        <v>87</v>
      </c>
      <c r="B10" s="3" t="n">
        <v>1</v>
      </c>
    </row>
    <row r="12" customFormat="false" ht="15" hidden="false" customHeight="false" outlineLevel="0" collapsed="false">
      <c r="A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2" t="s">
        <v>97</v>
      </c>
      <c r="L12" s="2" t="s">
        <v>98</v>
      </c>
    </row>
    <row r="13" customFormat="false" ht="15" hidden="false" customHeight="false" outlineLevel="0" collapsed="false">
      <c r="A13" s="0" t="s">
        <v>99</v>
      </c>
      <c r="C13" s="3" t="n">
        <v>-3</v>
      </c>
      <c r="D13" s="3" t="n">
        <v>-2</v>
      </c>
      <c r="E13" s="3" t="n">
        <v>0.5</v>
      </c>
      <c r="F13" s="3" t="n">
        <v>1.5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100</v>
      </c>
      <c r="C14" s="3" t="n">
        <v>20.5</v>
      </c>
      <c r="D14" s="3" t="n">
        <v>19.5</v>
      </c>
      <c r="E14" s="3" t="n">
        <v>19.5</v>
      </c>
      <c r="F14" s="3" t="n">
        <v>20</v>
      </c>
      <c r="G14" s="3" t="n">
        <v>20.5</v>
      </c>
      <c r="H14" s="3" t="n">
        <v>20.5</v>
      </c>
      <c r="I14" s="3" t="n">
        <v>20.5</v>
      </c>
      <c r="J14" s="3" t="n">
        <v>20.5</v>
      </c>
      <c r="K14" s="3" t="n">
        <v>20.5</v>
      </c>
      <c r="L14" s="3" t="n">
        <v>20.5</v>
      </c>
    </row>
    <row r="15" customFormat="false" ht="15" hidden="false" customHeight="false" outlineLevel="0" collapsed="false">
      <c r="A15" s="0" t="s">
        <v>101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102</v>
      </c>
      <c r="C16" s="3" t="n">
        <v>3.3</v>
      </c>
      <c r="D16" s="3" t="n">
        <v>3.3</v>
      </c>
      <c r="E16" s="3" t="n">
        <v>3.3</v>
      </c>
      <c r="F16" s="3" t="n">
        <v>3.3</v>
      </c>
      <c r="G16" s="3" t="n">
        <v>3.3</v>
      </c>
      <c r="H16" s="3" t="n">
        <v>3.3</v>
      </c>
      <c r="I16" s="3" t="n">
        <v>3.3</v>
      </c>
      <c r="J16" s="3" t="n">
        <v>3.3</v>
      </c>
      <c r="K16" s="3" t="n">
        <v>3.3</v>
      </c>
      <c r="L16" s="3" t="n">
        <v>3.3</v>
      </c>
    </row>
    <row r="17" customFormat="false" ht="15" hidden="false" customHeight="false" outlineLevel="0" collapsed="false">
      <c r="A17" s="0" t="s">
        <v>103</v>
      </c>
      <c r="C17" s="3" t="n">
        <v>1</v>
      </c>
      <c r="D17" s="3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</row>
    <row r="18" customFormat="false" ht="15" hidden="false" customHeight="false" outlineLevel="0" collapsed="false">
      <c r="A18" s="0" t="s">
        <v>104</v>
      </c>
      <c r="C18" s="3" t="n">
        <v>1</v>
      </c>
      <c r="D18" s="3" t="n">
        <v>1</v>
      </c>
      <c r="E18" s="3" t="n">
        <v>1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  <c r="K18" s="3" t="n">
        <v>1</v>
      </c>
      <c r="L18" s="3" t="n">
        <v>1</v>
      </c>
    </row>
    <row r="19" customFormat="false" ht="15" hidden="false" customHeight="false" outlineLevel="0" collapsed="false">
      <c r="A19" s="0" t="s">
        <v>105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106</v>
      </c>
      <c r="B20" s="3" t="n">
        <v>9.2</v>
      </c>
    </row>
    <row r="21" customFormat="false" ht="15" hidden="false" customHeight="false" outlineLevel="0" collapsed="false">
      <c r="A21" s="0" t="s">
        <v>107</v>
      </c>
      <c r="B21" s="3" t="n">
        <v>2</v>
      </c>
    </row>
    <row r="22" customFormat="false" ht="15" hidden="false" customHeight="false" outlineLevel="0" collapsed="false">
      <c r="A22" s="0" t="s">
        <v>108</v>
      </c>
      <c r="B22" s="3" t="n">
        <v>12</v>
      </c>
    </row>
    <row r="23" customFormat="false" ht="15" hidden="false" customHeight="false" outlineLevel="0" collapsed="false">
      <c r="A23" s="0" t="s">
        <v>109</v>
      </c>
      <c r="B23" s="3" t="n">
        <v>-20</v>
      </c>
    </row>
    <row r="24" customFormat="false" ht="15" hidden="false" customHeight="false" outlineLevel="0" collapsed="false">
      <c r="A24" s="0" t="s">
        <v>110</v>
      </c>
      <c r="B24" s="3" t="n">
        <v>0.25</v>
      </c>
    </row>
    <row r="26" customFormat="false" ht="15" hidden="false" customHeight="false" outlineLevel="0" collapsed="false">
      <c r="A26" s="2" t="s">
        <v>111</v>
      </c>
      <c r="C26" s="2" t="s">
        <v>89</v>
      </c>
      <c r="D26" s="2" t="s">
        <v>90</v>
      </c>
      <c r="E26" s="2" t="s">
        <v>91</v>
      </c>
      <c r="F26" s="2" t="s">
        <v>92</v>
      </c>
      <c r="G26" s="2" t="s">
        <v>93</v>
      </c>
      <c r="H26" s="2" t="s">
        <v>94</v>
      </c>
      <c r="I26" s="2" t="s">
        <v>95</v>
      </c>
      <c r="J26" s="2" t="s">
        <v>96</v>
      </c>
      <c r="K26" s="2" t="s">
        <v>97</v>
      </c>
      <c r="L26" s="2" t="s">
        <v>98</v>
      </c>
    </row>
    <row r="27" customFormat="false" ht="15" hidden="false" customHeight="false" outlineLevel="0" collapsed="false">
      <c r="A27" s="0" t="s">
        <v>99</v>
      </c>
      <c r="C27" s="3" t="n">
        <v>1.5</v>
      </c>
      <c r="D27" s="3" t="n">
        <v>2.5</v>
      </c>
      <c r="E27" s="3" t="n">
        <v>3</v>
      </c>
      <c r="F27" s="3" t="n">
        <v>3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100</v>
      </c>
      <c r="C28" s="3" t="n">
        <v>22</v>
      </c>
      <c r="D28" s="3" t="n">
        <v>22</v>
      </c>
      <c r="E28" s="3" t="n">
        <v>22.2</v>
      </c>
      <c r="F28" s="3" t="n">
        <v>22.4</v>
      </c>
      <c r="G28" s="3" t="n">
        <v>22.5</v>
      </c>
      <c r="H28" s="3" t="n">
        <v>22.5</v>
      </c>
      <c r="I28" s="3" t="n">
        <v>22.5</v>
      </c>
      <c r="J28" s="3" t="n">
        <v>22.5</v>
      </c>
      <c r="K28" s="3" t="n">
        <v>22.5</v>
      </c>
      <c r="L28" s="3" t="n">
        <v>22.5</v>
      </c>
    </row>
    <row r="29" customFormat="false" ht="15" hidden="false" customHeight="false" outlineLevel="0" collapsed="false">
      <c r="A29" s="0" t="s">
        <v>101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102</v>
      </c>
      <c r="C30" s="3" t="n">
        <v>3.1</v>
      </c>
      <c r="D30" s="3" t="n">
        <v>3.1</v>
      </c>
      <c r="E30" s="3" t="n">
        <v>3.1</v>
      </c>
      <c r="F30" s="3" t="n">
        <v>3.1</v>
      </c>
      <c r="G30" s="3" t="n">
        <v>3.1</v>
      </c>
      <c r="H30" s="3" t="n">
        <v>3.1</v>
      </c>
      <c r="I30" s="3" t="n">
        <v>3.1</v>
      </c>
      <c r="J30" s="3" t="n">
        <v>3.1</v>
      </c>
      <c r="K30" s="3" t="n">
        <v>3.1</v>
      </c>
      <c r="L30" s="3" t="n">
        <v>3.1</v>
      </c>
    </row>
    <row r="31" customFormat="false" ht="15" hidden="false" customHeight="false" outlineLevel="0" collapsed="false">
      <c r="A31" s="0" t="s">
        <v>103</v>
      </c>
      <c r="C31" s="3" t="n">
        <v>1</v>
      </c>
      <c r="D31" s="3" t="n">
        <v>1</v>
      </c>
      <c r="E31" s="3" t="n">
        <v>1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1</v>
      </c>
      <c r="L31" s="3" t="n">
        <v>1</v>
      </c>
    </row>
    <row r="32" customFormat="false" ht="15" hidden="false" customHeight="false" outlineLevel="0" collapsed="false">
      <c r="A32" s="0" t="s">
        <v>104</v>
      </c>
      <c r="C32" s="3" t="n">
        <v>1</v>
      </c>
      <c r="D32" s="3" t="n">
        <v>1</v>
      </c>
      <c r="E32" s="3" t="n">
        <v>1</v>
      </c>
      <c r="F32" s="3" t="n">
        <v>1</v>
      </c>
      <c r="G32" s="3" t="n">
        <v>1</v>
      </c>
      <c r="H32" s="3" t="n">
        <v>1</v>
      </c>
      <c r="I32" s="3" t="n">
        <v>1</v>
      </c>
      <c r="J32" s="3" t="n">
        <v>1</v>
      </c>
      <c r="K32" s="3" t="n">
        <v>1</v>
      </c>
      <c r="L32" s="3" t="n">
        <v>1</v>
      </c>
    </row>
    <row r="33" customFormat="false" ht="15" hidden="false" customHeight="false" outlineLevel="0" collapsed="false">
      <c r="A33" s="0" t="s">
        <v>105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106</v>
      </c>
      <c r="B34" s="3" t="n">
        <v>9.2</v>
      </c>
    </row>
    <row r="35" customFormat="false" ht="15" hidden="false" customHeight="false" outlineLevel="0" collapsed="false">
      <c r="A35" s="0" t="s">
        <v>107</v>
      </c>
      <c r="B35" s="3" t="n">
        <v>2.5</v>
      </c>
    </row>
    <row r="36" customFormat="false" ht="15" hidden="false" customHeight="false" outlineLevel="0" collapsed="false">
      <c r="A36" s="0" t="s">
        <v>108</v>
      </c>
      <c r="B36" s="3" t="n">
        <v>14</v>
      </c>
    </row>
    <row r="37" customFormat="false" ht="15" hidden="false" customHeight="false" outlineLevel="0" collapsed="false">
      <c r="A37" s="0" t="s">
        <v>109</v>
      </c>
      <c r="B37" s="3" t="n">
        <v>-20</v>
      </c>
    </row>
    <row r="38" customFormat="false" ht="15" hidden="false" customHeight="false" outlineLevel="0" collapsed="false">
      <c r="A38" s="0" t="s">
        <v>110</v>
      </c>
      <c r="B38" s="3" t="n">
        <v>0.5</v>
      </c>
    </row>
    <row r="40" customFormat="false" ht="15" hidden="false" customHeight="false" outlineLevel="0" collapsed="false">
      <c r="A40" s="2" t="s">
        <v>112</v>
      </c>
      <c r="C40" s="2" t="s">
        <v>89</v>
      </c>
      <c r="D40" s="2" t="s">
        <v>90</v>
      </c>
      <c r="E40" s="2" t="s">
        <v>91</v>
      </c>
      <c r="F40" s="2" t="s">
        <v>92</v>
      </c>
      <c r="G40" s="2" t="s">
        <v>93</v>
      </c>
      <c r="H40" s="2" t="s">
        <v>94</v>
      </c>
      <c r="I40" s="2" t="s">
        <v>95</v>
      </c>
      <c r="J40" s="2" t="s">
        <v>96</v>
      </c>
      <c r="K40" s="2" t="s">
        <v>97</v>
      </c>
      <c r="L40" s="2" t="s">
        <v>98</v>
      </c>
    </row>
    <row r="41" customFormat="false" ht="15" hidden="false" customHeight="false" outlineLevel="0" collapsed="false">
      <c r="A41" s="0" t="s">
        <v>99</v>
      </c>
      <c r="C41" s="3" t="n">
        <v>3.5</v>
      </c>
      <c r="D41" s="3" t="n">
        <v>4.5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100</v>
      </c>
      <c r="C42" s="3" t="n">
        <v>22.5</v>
      </c>
      <c r="D42" s="3" t="n">
        <v>22.8</v>
      </c>
      <c r="E42" s="3" t="n">
        <v>23</v>
      </c>
      <c r="F42" s="3" t="n">
        <v>23.2</v>
      </c>
      <c r="G42" s="3" t="n">
        <v>23.5</v>
      </c>
      <c r="H42" s="3" t="n">
        <v>23.5</v>
      </c>
      <c r="I42" s="3" t="n">
        <v>23.5</v>
      </c>
      <c r="J42" s="3" t="n">
        <v>23.5</v>
      </c>
      <c r="K42" s="3" t="n">
        <v>23.5</v>
      </c>
      <c r="L42" s="3" t="n">
        <v>23.5</v>
      </c>
    </row>
    <row r="43" customFormat="false" ht="15" hidden="false" customHeight="false" outlineLevel="0" collapsed="false">
      <c r="A43" s="0" t="s">
        <v>101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102</v>
      </c>
      <c r="C44" s="3" t="n">
        <v>3</v>
      </c>
      <c r="D44" s="3" t="n">
        <v>3</v>
      </c>
      <c r="E44" s="3" t="n">
        <v>3</v>
      </c>
      <c r="F44" s="3" t="n">
        <v>3</v>
      </c>
      <c r="G44" s="3" t="n">
        <v>3</v>
      </c>
      <c r="H44" s="3" t="n">
        <v>3</v>
      </c>
      <c r="I44" s="3" t="n">
        <v>3</v>
      </c>
      <c r="J44" s="3" t="n">
        <v>3</v>
      </c>
      <c r="K44" s="3" t="n">
        <v>3</v>
      </c>
      <c r="L44" s="3" t="n">
        <v>3</v>
      </c>
    </row>
    <row r="45" customFormat="false" ht="15" hidden="false" customHeight="false" outlineLevel="0" collapsed="false">
      <c r="A45" s="0" t="s">
        <v>103</v>
      </c>
      <c r="C45" s="3" t="n">
        <v>1</v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1</v>
      </c>
      <c r="I45" s="3" t="n">
        <v>1</v>
      </c>
      <c r="J45" s="3" t="n">
        <v>1</v>
      </c>
      <c r="K45" s="3" t="n">
        <v>1</v>
      </c>
      <c r="L45" s="3" t="n">
        <v>1</v>
      </c>
    </row>
    <row r="46" customFormat="false" ht="15" hidden="false" customHeight="false" outlineLevel="0" collapsed="false">
      <c r="A46" s="0" t="s">
        <v>104</v>
      </c>
      <c r="C46" s="3" t="n">
        <v>1</v>
      </c>
      <c r="D46" s="3" t="n">
        <v>1</v>
      </c>
      <c r="E46" s="3" t="n">
        <v>1</v>
      </c>
      <c r="F46" s="3" t="n">
        <v>1</v>
      </c>
      <c r="G46" s="3" t="n">
        <v>1</v>
      </c>
      <c r="H46" s="3" t="n">
        <v>1</v>
      </c>
      <c r="I46" s="3" t="n">
        <v>1</v>
      </c>
      <c r="J46" s="3" t="n">
        <v>1</v>
      </c>
      <c r="K46" s="3" t="n">
        <v>1</v>
      </c>
      <c r="L46" s="3" t="n">
        <v>1</v>
      </c>
    </row>
    <row r="47" customFormat="false" ht="15" hidden="false" customHeight="false" outlineLevel="0" collapsed="false">
      <c r="A47" s="0" t="s">
        <v>105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106</v>
      </c>
      <c r="B48" s="3" t="n">
        <v>9.2</v>
      </c>
    </row>
    <row r="49" customFormat="false" ht="15" hidden="false" customHeight="false" outlineLevel="0" collapsed="false">
      <c r="A49" s="0" t="s">
        <v>107</v>
      </c>
      <c r="B49" s="3" t="n">
        <v>2.5</v>
      </c>
    </row>
    <row r="50" customFormat="false" ht="15" hidden="false" customHeight="false" outlineLevel="0" collapsed="false">
      <c r="A50" s="0" t="s">
        <v>108</v>
      </c>
      <c r="B50" s="3" t="n">
        <v>14</v>
      </c>
    </row>
    <row r="51" customFormat="false" ht="15" hidden="false" customHeight="false" outlineLevel="0" collapsed="false">
      <c r="A51" s="0" t="s">
        <v>109</v>
      </c>
      <c r="B51" s="3" t="n">
        <v>-20</v>
      </c>
    </row>
    <row r="52" customFormat="false" ht="15" hidden="false" customHeight="false" outlineLevel="0" collapsed="false">
      <c r="A52" s="0" t="s">
        <v>110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113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Assumptions!C13</f>
        <v>-3</v>
      </c>
      <c r="D5" s="4" t="n">
        <f aca="false">Assumptions!D13</f>
        <v>-2</v>
      </c>
      <c r="E5" s="4" t="n">
        <f aca="false">Assumptions!E13</f>
        <v>0.5</v>
      </c>
      <c r="F5" s="4" t="n">
        <f aca="false">Assumptions!F13</f>
        <v>1.5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422.3</v>
      </c>
      <c r="C6" s="0" t="n">
        <f aca="false">B6*(1+C5/100)</f>
        <v>409.631</v>
      </c>
      <c r="D6" s="0" t="n">
        <f aca="false">C6*(1+D5/100)</f>
        <v>401.43838</v>
      </c>
      <c r="E6" s="0" t="n">
        <f aca="false">D6*(1+E5/100)</f>
        <v>403.4455719</v>
      </c>
      <c r="F6" s="0" t="n">
        <f aca="false">E6*(1+F5/100)</f>
        <v>409.4972554785</v>
      </c>
      <c r="G6" s="0" t="n">
        <f aca="false">F6*(1+G5/100)</f>
        <v>417.68720058807</v>
      </c>
      <c r="H6" s="0" t="n">
        <f aca="false">G6*(1+H5/100)</f>
        <v>426.040944599831</v>
      </c>
      <c r="I6" s="0" t="n">
        <f aca="false">H6*(1+I5/100)</f>
        <v>434.561763491828</v>
      </c>
      <c r="J6" s="0" t="n">
        <f aca="false">I6*(1+J5/100)</f>
        <v>443.252998761664</v>
      </c>
      <c r="K6" s="0" t="n">
        <f aca="false">J6*(1+K5/100)</f>
        <v>452.118058736898</v>
      </c>
      <c r="L6" s="0" t="n">
        <f aca="false">K6*(1+L5/100)</f>
        <v>461.160419911636</v>
      </c>
    </row>
    <row r="7" customFormat="false" ht="15" hidden="false" customHeight="false" outlineLevel="0" collapsed="false">
      <c r="A7" s="0" t="s">
        <v>100</v>
      </c>
      <c r="C7" s="4" t="n">
        <f aca="false">Assumptions!C14</f>
        <v>20.5</v>
      </c>
      <c r="D7" s="4" t="n">
        <f aca="false">Assumptions!D14</f>
        <v>19.5</v>
      </c>
      <c r="E7" s="4" t="n">
        <f aca="false">Assumptions!E14</f>
        <v>19.5</v>
      </c>
      <c r="F7" s="4" t="n">
        <f aca="false">Assumptions!F14</f>
        <v>20</v>
      </c>
      <c r="G7" s="4" t="n">
        <f aca="false">Assumptions!G14</f>
        <v>20.5</v>
      </c>
      <c r="H7" s="4" t="n">
        <f aca="false">Assumptions!H14</f>
        <v>20.5</v>
      </c>
      <c r="I7" s="4" t="n">
        <f aca="false">Assumptions!I14</f>
        <v>20.5</v>
      </c>
      <c r="J7" s="4" t="n">
        <f aca="false">Assumptions!J14</f>
        <v>20.5</v>
      </c>
      <c r="K7" s="4" t="n">
        <f aca="false">Assumptions!K14</f>
        <v>20.5</v>
      </c>
      <c r="L7" s="4" t="n">
        <f aca="false">Assumptions!L14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83.974355</v>
      </c>
      <c r="D8" s="0" t="n">
        <f aca="false">D6*D7/100</f>
        <v>78.2804841</v>
      </c>
      <c r="E8" s="0" t="n">
        <f aca="false">E6*E7/100</f>
        <v>78.6718865205</v>
      </c>
      <c r="F8" s="0" t="n">
        <f aca="false">F6*F7/100</f>
        <v>81.8994510957</v>
      </c>
      <c r="G8" s="0" t="n">
        <f aca="false">G6*G7/100</f>
        <v>85.6258761205543</v>
      </c>
      <c r="H8" s="0" t="n">
        <f aca="false">H6*H7/100</f>
        <v>87.3383936429654</v>
      </c>
      <c r="I8" s="0" t="n">
        <f aca="false">I6*I7/100</f>
        <v>89.0851615158247</v>
      </c>
      <c r="J8" s="0" t="n">
        <f aca="false">J6*J7/100</f>
        <v>90.8668647461412</v>
      </c>
      <c r="K8" s="0" t="n">
        <f aca="false">K6*K7/100</f>
        <v>92.684202041064</v>
      </c>
      <c r="L8" s="0" t="n">
        <f aca="false">L6*L7/100</f>
        <v>94.5378860818853</v>
      </c>
    </row>
    <row r="9" customFormat="false" ht="15" hidden="false" customHeight="false" outlineLevel="0" collapsed="false">
      <c r="A9" s="0" t="s">
        <v>101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70.456532</v>
      </c>
      <c r="D11" s="0" t="n">
        <f aca="false">D8+D10+D24</f>
        <v>65.03301756</v>
      </c>
      <c r="E11" s="0" t="n">
        <f aca="false">E8+E10+E24</f>
        <v>65.3581826478</v>
      </c>
      <c r="F11" s="0" t="n">
        <f aca="false">F8+F10+F24</f>
        <v>68.3860416649095</v>
      </c>
      <c r="G11" s="0" t="n">
        <f aca="false">G8+G10+G24</f>
        <v>71.842198501148</v>
      </c>
      <c r="H11" s="0" t="n">
        <f aca="false">H8+H10+H24</f>
        <v>73.279042471171</v>
      </c>
      <c r="I11" s="0" t="n">
        <f aca="false">I8+I10+I24</f>
        <v>74.7446233205944</v>
      </c>
      <c r="J11" s="0" t="n">
        <f aca="false">J8+J10+J24</f>
        <v>76.2395157870063</v>
      </c>
      <c r="K11" s="0" t="n">
        <f aca="false">K8+K10+K24</f>
        <v>77.7643061027464</v>
      </c>
      <c r="L11" s="0" t="n">
        <f aca="false">L8+L10+L24</f>
        <v>79.3195922248013</v>
      </c>
    </row>
    <row r="12" customFormat="false" ht="15" hidden="false" customHeight="false" outlineLevel="0" collapsed="false">
      <c r="A12" s="0" t="s">
        <v>118</v>
      </c>
      <c r="C12" s="4" t="n">
        <f aca="false">-C6*Assumptions!C17/100</f>
        <v>-4.09631</v>
      </c>
      <c r="D12" s="4" t="n">
        <f aca="false">-D6*Assumptions!D17/100</f>
        <v>-4.0143838</v>
      </c>
      <c r="E12" s="4" t="n">
        <f aca="false">-E6*Assumptions!E17/100</f>
        <v>-4.034455719</v>
      </c>
      <c r="F12" s="4" t="n">
        <f aca="false">-F6*Assumptions!F17/100</f>
        <v>-4.094972554785</v>
      </c>
      <c r="G12" s="4" t="n">
        <f aca="false">-G6*Assumptions!G17/100</f>
        <v>-4.1768720058807</v>
      </c>
      <c r="H12" s="4" t="n">
        <f aca="false">-H6*Assumptions!H17/100</f>
        <v>-4.26040944599831</v>
      </c>
      <c r="I12" s="4" t="n">
        <f aca="false">-I6*Assumptions!I17/100</f>
        <v>-4.34561763491828</v>
      </c>
      <c r="J12" s="4" t="n">
        <f aca="false">-J6*Assumptions!J17/100</f>
        <v>-4.43252998761664</v>
      </c>
      <c r="K12" s="4" t="n">
        <f aca="false">-K6*Assumptions!K17/100</f>
        <v>-4.52118058736898</v>
      </c>
      <c r="L12" s="4" t="n">
        <f aca="false">-L6*Assumptions!L17/100</f>
        <v>-4.61160419911636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66.360222</v>
      </c>
      <c r="D13" s="0" t="n">
        <f aca="false">D11+D12</f>
        <v>61.01863376</v>
      </c>
      <c r="E13" s="0" t="n">
        <f aca="false">E11+E12</f>
        <v>61.3237269288</v>
      </c>
      <c r="F13" s="0" t="n">
        <f aca="false">F11+F12</f>
        <v>64.2910691101245</v>
      </c>
      <c r="G13" s="0" t="n">
        <f aca="false">G11+G12</f>
        <v>67.6653264952673</v>
      </c>
      <c r="H13" s="0" t="n">
        <f aca="false">H11+H12</f>
        <v>69.0186330251727</v>
      </c>
      <c r="I13" s="0" t="n">
        <f aca="false">I11+I12</f>
        <v>70.3990056856761</v>
      </c>
      <c r="J13" s="0" t="n">
        <f aca="false">J11+J12</f>
        <v>71.8069857993896</v>
      </c>
      <c r="K13" s="0" t="n">
        <f aca="false">K11+K12</f>
        <v>73.2431255153774</v>
      </c>
      <c r="L13" s="0" t="n">
        <f aca="false">L11+L12</f>
        <v>74.707988025685</v>
      </c>
    </row>
    <row r="14" customFormat="false" ht="15" hidden="false" customHeight="false" outlineLevel="0" collapsed="false">
      <c r="A14" s="0" t="s">
        <v>105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46.4521554</v>
      </c>
      <c r="D15" s="0" t="n">
        <f aca="false">D13-MAX(0,D13)*D14/100</f>
        <v>42.713043632</v>
      </c>
      <c r="E15" s="0" t="n">
        <f aca="false">E13-MAX(0,E13)*E14/100</f>
        <v>42.92660885016</v>
      </c>
      <c r="F15" s="0" t="n">
        <f aca="false">F13-MAX(0,F13)*F14/100</f>
        <v>45.0037483770871</v>
      </c>
      <c r="G15" s="0" t="n">
        <f aca="false">G13-MAX(0,G13)*G14/100</f>
        <v>47.3657285466871</v>
      </c>
      <c r="H15" s="0" t="n">
        <f aca="false">H13-MAX(0,H13)*H14/100</f>
        <v>48.3130431176209</v>
      </c>
      <c r="I15" s="0" t="n">
        <f aca="false">I13-MAX(0,I13)*I14/100</f>
        <v>49.2793039799733</v>
      </c>
      <c r="J15" s="0" t="n">
        <f aca="false">J13-MAX(0,J13)*J14/100</f>
        <v>50.2648900595728</v>
      </c>
      <c r="K15" s="0" t="n">
        <f aca="false">K13-MAX(0,K13)*K14/100</f>
        <v>51.2701878607642</v>
      </c>
      <c r="L15" s="0" t="n">
        <f aca="false">L13-MAX(0,L13)*L14/100</f>
        <v>52.2955916179795</v>
      </c>
    </row>
    <row r="16" customFormat="false" ht="15" hidden="false" customHeight="false" outlineLevel="0" collapsed="false">
      <c r="A16" s="0" t="s">
        <v>121</v>
      </c>
      <c r="C16" s="0" t="n">
        <f aca="false">-C12</f>
        <v>4.09631</v>
      </c>
      <c r="D16" s="0" t="n">
        <f aca="false">-D12</f>
        <v>4.0143838</v>
      </c>
      <c r="E16" s="0" t="n">
        <f aca="false">-E12</f>
        <v>4.034455719</v>
      </c>
      <c r="F16" s="0" t="n">
        <f aca="false">-F12</f>
        <v>4.094972554785</v>
      </c>
      <c r="G16" s="0" t="n">
        <f aca="false">-G12</f>
        <v>4.1768720058807</v>
      </c>
      <c r="H16" s="0" t="n">
        <f aca="false">-H12</f>
        <v>4.26040944599831</v>
      </c>
      <c r="I16" s="0" t="n">
        <f aca="false">-I12</f>
        <v>4.34561763491828</v>
      </c>
      <c r="J16" s="0" t="n">
        <f aca="false">-J12</f>
        <v>4.43252998761664</v>
      </c>
      <c r="K16" s="0" t="n">
        <f aca="false">-K12</f>
        <v>4.52118058736898</v>
      </c>
      <c r="L16" s="0" t="n">
        <f aca="false">-L12</f>
        <v>4.61160419911636</v>
      </c>
    </row>
    <row r="17" customFormat="false" ht="15" hidden="false" customHeight="false" outlineLevel="0" collapsed="false">
      <c r="A17" s="0" t="s">
        <v>122</v>
      </c>
      <c r="C17" s="4" t="n">
        <f aca="false">-C6*Assumptions!C18/100</f>
        <v>-4.09631</v>
      </c>
      <c r="D17" s="4" t="n">
        <f aca="false">-D6*Assumptions!D18/100</f>
        <v>-4.0143838</v>
      </c>
      <c r="E17" s="4" t="n">
        <f aca="false">-E6*Assumptions!E18/100</f>
        <v>-4.034455719</v>
      </c>
      <c r="F17" s="4" t="n">
        <f aca="false">-F6*Assumptions!F18/100</f>
        <v>-4.094972554785</v>
      </c>
      <c r="G17" s="4" t="n">
        <f aca="false">-G6*Assumptions!G18/100</f>
        <v>-4.1768720058807</v>
      </c>
      <c r="H17" s="4" t="n">
        <f aca="false">-H6*Assumptions!H18/100</f>
        <v>-4.26040944599831</v>
      </c>
      <c r="I17" s="4" t="n">
        <f aca="false">-I6*Assumptions!I18/100</f>
        <v>-4.34561763491828</v>
      </c>
      <c r="J17" s="4" t="n">
        <f aca="false">-J6*Assumptions!J18/100</f>
        <v>-4.43252998761664</v>
      </c>
      <c r="K17" s="4" t="n">
        <f aca="false">-K6*Assumptions!K18/100</f>
        <v>-4.52118058736898</v>
      </c>
      <c r="L17" s="4" t="n">
        <f aca="false">-L6*Assumptions!L18/100</f>
        <v>-4.61160419911636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(C6-B6)*Assumptions!$B$23/100</f>
        <v>2.53380000000001</v>
      </c>
      <c r="D18" s="4" t="n">
        <f aca="false">(D6-C6)*Assumptions!$B$23/100</f>
        <v>1.63852400000001</v>
      </c>
      <c r="E18" s="4" t="n">
        <f aca="false">(E6-D6)*Assumptions!$B$23/100</f>
        <v>-0.401438379999991</v>
      </c>
      <c r="F18" s="4" t="n">
        <f aca="false">(F6-E6)*Assumptions!$B$23/100</f>
        <v>-1.21033671569999</v>
      </c>
      <c r="G18" s="4" t="n">
        <f aca="false">(G6-F6)*Assumptions!$B$23/100</f>
        <v>-1.637989021914</v>
      </c>
      <c r="H18" s="4" t="n">
        <f aca="false">(H6-G6)*Assumptions!$B$23/100</f>
        <v>-1.67074880235228</v>
      </c>
      <c r="I18" s="4" t="n">
        <f aca="false">(I6-H6)*Assumptions!$B$23/100</f>
        <v>-1.70416377839932</v>
      </c>
      <c r="J18" s="4" t="n">
        <f aca="false">(J6-I6)*Assumptions!$B$23/100</f>
        <v>-1.73824705396731</v>
      </c>
      <c r="K18" s="4" t="n">
        <f aca="false">(K6-J6)*Assumptions!$B$23/100</f>
        <v>-1.77301199504666</v>
      </c>
      <c r="L18" s="4" t="n">
        <f aca="false">(L6-K6)*Assumptions!$B$23/100</f>
        <v>-1.80847223494759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48.9859554</v>
      </c>
      <c r="D19" s="0" t="n">
        <f aca="false">D15+D16+D17+D18</f>
        <v>44.351567632</v>
      </c>
      <c r="E19" s="0" t="n">
        <f aca="false">E15+E16+E17+E18</f>
        <v>42.52517047016</v>
      </c>
      <c r="F19" s="0" t="n">
        <f aca="false">F15+F16+F17+F18</f>
        <v>43.7934116613872</v>
      </c>
      <c r="G19" s="0" t="n">
        <f aca="false">G15+G16+G17+G18</f>
        <v>45.7277395247731</v>
      </c>
      <c r="H19" s="0" t="n">
        <f aca="false">H15+H16+H17+H18</f>
        <v>46.6422943152686</v>
      </c>
      <c r="I19" s="0" t="n">
        <f aca="false">I15+I16+I17+I18</f>
        <v>47.5751402015739</v>
      </c>
      <c r="J19" s="0" t="n">
        <f aca="false">J15+J16+J17+J18</f>
        <v>48.5266430056054</v>
      </c>
      <c r="K19" s="0" t="n">
        <f aca="false">K15+K16+K17+K18</f>
        <v>49.4971758657176</v>
      </c>
      <c r="L19" s="0" t="n">
        <f aca="false">L15+L16+L17+L18</f>
        <v>50.4871193830319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0.915750915750916</v>
      </c>
      <c r="D20" s="0" t="n">
        <f aca="false">1/(1+$B$27/100)^D4</f>
        <v>0.838599739698641</v>
      </c>
      <c r="E20" s="0" t="n">
        <f aca="false">1/(1+$B$27/100)^E4</f>
        <v>0.76794847957751</v>
      </c>
      <c r="F20" s="0" t="n">
        <f aca="false">1/(1+$B$27/100)^F4</f>
        <v>0.703249523422628</v>
      </c>
      <c r="G20" s="0" t="n">
        <f aca="false">1/(1+$B$27/100)^G4</f>
        <v>0.644001395075666</v>
      </c>
      <c r="H20" s="0" t="n">
        <f aca="false">1/(1+$B$27/100)^H4</f>
        <v>0.589744867285409</v>
      </c>
      <c r="I20" s="0" t="n">
        <f aca="false">1/(1+$B$27/100)^I4</f>
        <v>0.540059402276016</v>
      </c>
      <c r="J20" s="0" t="n">
        <f aca="false">1/(1+$B$27/100)^J4</f>
        <v>0.494559892194153</v>
      </c>
      <c r="K20" s="0" t="n">
        <f aca="false">1/(1+$B$27/100)^K4</f>
        <v>0.45289367417047</v>
      </c>
      <c r="L20" s="0" t="n">
        <f aca="false">1/(1+$B$27/100)^L4</f>
        <v>0.414737796859405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44.8589335164835</v>
      </c>
      <c r="D21" s="0" t="n">
        <f aca="false">D19*D20</f>
        <v>37.1932130714219</v>
      </c>
      <c r="E21" s="0" t="n">
        <f aca="false">E19*E20</f>
        <v>32.6571400063338</v>
      </c>
      <c r="F21" s="0" t="n">
        <f aca="false">F19*F20</f>
        <v>30.7976958799215</v>
      </c>
      <c r="G21" s="0" t="n">
        <f aca="false">G19*G20</f>
        <v>29.4487280476106</v>
      </c>
      <c r="H21" s="0" t="n">
        <f aca="false">H19*H20</f>
        <v>27.5070536708451</v>
      </c>
      <c r="I21" s="0" t="n">
        <f aca="false">I19*I20</f>
        <v>25.6934017804597</v>
      </c>
      <c r="J21" s="0" t="n">
        <f aca="false">J19*J20</f>
        <v>23.9993313333964</v>
      </c>
      <c r="K21" s="0" t="n">
        <f aca="false">K19*K20</f>
        <v>22.4169578388867</v>
      </c>
      <c r="L21" s="0" t="n">
        <f aca="false">L19*L20</f>
        <v>20.9389166626964</v>
      </c>
    </row>
    <row r="23" customFormat="false" ht="15" hidden="false" customHeight="false" outlineLevel="0" collapsed="false">
      <c r="A23" s="0" t="s">
        <v>102</v>
      </c>
      <c r="C23" s="4" t="n">
        <f aca="false">Assumptions!C16</f>
        <v>3.3</v>
      </c>
      <c r="D23" s="4" t="n">
        <f aca="false">Assumptions!D16</f>
        <v>3.3</v>
      </c>
      <c r="E23" s="4" t="n">
        <f aca="false">Assumptions!E16</f>
        <v>3.3</v>
      </c>
      <c r="F23" s="4" t="n">
        <f aca="false">Assumptions!F16</f>
        <v>3.3</v>
      </c>
      <c r="G23" s="4" t="n">
        <f aca="false">Assumptions!G16</f>
        <v>3.3</v>
      </c>
      <c r="H23" s="4" t="n">
        <f aca="false">Assumptions!H16</f>
        <v>3.3</v>
      </c>
      <c r="I23" s="4" t="n">
        <f aca="false">Assumptions!I16</f>
        <v>3.3</v>
      </c>
      <c r="J23" s="4" t="n">
        <f aca="false">Assumptions!J16</f>
        <v>3.3</v>
      </c>
      <c r="K23" s="4" t="n">
        <f aca="false">Assumptions!K16</f>
        <v>3.3</v>
      </c>
      <c r="L23" s="4" t="n">
        <f aca="false">Assumptions!L16</f>
        <v>3.3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-13.517823</v>
      </c>
      <c r="D24" s="0" t="n">
        <f aca="false">-D6*D23/100</f>
        <v>-13.24746654</v>
      </c>
      <c r="E24" s="0" t="n">
        <f aca="false">-E6*E23/100</f>
        <v>-13.3137038727</v>
      </c>
      <c r="F24" s="0" t="n">
        <f aca="false">-F6*F23/100</f>
        <v>-13.5134094307905</v>
      </c>
      <c r="G24" s="0" t="n">
        <f aca="false">-G6*G23/100</f>
        <v>-13.7836776194063</v>
      </c>
      <c r="H24" s="0" t="n">
        <f aca="false">-H6*H23/100</f>
        <v>-14.0593511717944</v>
      </c>
      <c r="I24" s="0" t="n">
        <f aca="false">-I6*I23/100</f>
        <v>-14.3405381952303</v>
      </c>
      <c r="J24" s="0" t="n">
        <f aca="false">-J6*J23/100</f>
        <v>-14.6273489591349</v>
      </c>
      <c r="K24" s="0" t="n">
        <f aca="false">-K6*K23/100</f>
        <v>-14.9198959383176</v>
      </c>
      <c r="L24" s="0" t="n">
        <f aca="false">-L6*L23/100</f>
        <v>-15.218293857084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Assumptions!$B$20</f>
        <v>9.2</v>
      </c>
    </row>
    <row r="28" customFormat="false" ht="15" hidden="false" customHeight="false" outlineLevel="0" collapsed="false">
      <c r="A28" s="0" t="s">
        <v>107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108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295.511371808055</v>
      </c>
    </row>
    <row r="31" customFormat="false" ht="15" hidden="false" customHeight="false" outlineLevel="0" collapsed="false">
      <c r="A31" s="0" t="s">
        <v>130</v>
      </c>
      <c r="B31" s="0" t="n">
        <f aca="false">L19</f>
        <v>50.4871193830319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715.234191259619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605.845432596383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605.845432596383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251.266999952357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546.778371760412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418.878371760412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1.62355958046671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-0.173761027752308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1.62355958046671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396.129705928404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0.784294235162434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Assumptions!C27</f>
        <v>1.5</v>
      </c>
      <c r="D5" s="4" t="n">
        <f aca="false">Assumptions!D27</f>
        <v>2.5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422.3</v>
      </c>
      <c r="C6" s="0" t="n">
        <f aca="false">B6*(1+C5/100)</f>
        <v>428.6345</v>
      </c>
      <c r="D6" s="0" t="n">
        <f aca="false">C6*(1+D5/100)</f>
        <v>439.3503625</v>
      </c>
      <c r="E6" s="0" t="n">
        <f aca="false">D6*(1+E5/100)</f>
        <v>452.530873375</v>
      </c>
      <c r="F6" s="0" t="n">
        <f aca="false">E6*(1+F5/100)</f>
        <v>466.10679957625</v>
      </c>
      <c r="G6" s="0" t="n">
        <f aca="false">F6*(1+G5/100)</f>
        <v>480.090003563537</v>
      </c>
      <c r="H6" s="0" t="n">
        <f aca="false">G6*(1+H5/100)</f>
        <v>492.092253652626</v>
      </c>
      <c r="I6" s="0" t="n">
        <f aca="false">H6*(1+I5/100)</f>
        <v>504.394559993941</v>
      </c>
      <c r="J6" s="0" t="n">
        <f aca="false">I6*(1+J5/100)</f>
        <v>517.00442399379</v>
      </c>
      <c r="K6" s="0" t="n">
        <f aca="false">J6*(1+K5/100)</f>
        <v>529.929534593635</v>
      </c>
      <c r="L6" s="0" t="n">
        <f aca="false">K6*(1+L5/100)</f>
        <v>543.177772958475</v>
      </c>
    </row>
    <row r="7" customFormat="false" ht="15" hidden="false" customHeight="false" outlineLevel="0" collapsed="false">
      <c r="A7" s="0" t="s">
        <v>100</v>
      </c>
      <c r="C7" s="4" t="n">
        <f aca="false">Assumptions!C28</f>
        <v>22</v>
      </c>
      <c r="D7" s="4" t="n">
        <f aca="false">Assumptions!D28</f>
        <v>22</v>
      </c>
      <c r="E7" s="4" t="n">
        <f aca="false">Assumptions!E28</f>
        <v>22.2</v>
      </c>
      <c r="F7" s="4" t="n">
        <f aca="false">Assumptions!F28</f>
        <v>22.4</v>
      </c>
      <c r="G7" s="4" t="n">
        <f aca="false">Assumptions!G28</f>
        <v>22.5</v>
      </c>
      <c r="H7" s="4" t="n">
        <f aca="false">Assumptions!H28</f>
        <v>22.5</v>
      </c>
      <c r="I7" s="4" t="n">
        <f aca="false">Assumptions!I28</f>
        <v>22.5</v>
      </c>
      <c r="J7" s="4" t="n">
        <f aca="false">Assumptions!J28</f>
        <v>22.5</v>
      </c>
      <c r="K7" s="4" t="n">
        <f aca="false">Assumptions!K28</f>
        <v>22.5</v>
      </c>
      <c r="L7" s="4" t="n">
        <f aca="false">Assumptions!L28</f>
        <v>22.5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94.29959</v>
      </c>
      <c r="D8" s="0" t="n">
        <f aca="false">D6*D7/100</f>
        <v>96.65707975</v>
      </c>
      <c r="E8" s="0" t="n">
        <f aca="false">E6*E7/100</f>
        <v>100.46185388925</v>
      </c>
      <c r="F8" s="0" t="n">
        <f aca="false">F6*F7/100</f>
        <v>104.40792310508</v>
      </c>
      <c r="G8" s="0" t="n">
        <f aca="false">G6*G7/100</f>
        <v>108.020250801796</v>
      </c>
      <c r="H8" s="0" t="n">
        <f aca="false">H6*H7/100</f>
        <v>110.720757071841</v>
      </c>
      <c r="I8" s="0" t="n">
        <f aca="false">I6*I7/100</f>
        <v>113.488775998637</v>
      </c>
      <c r="J8" s="0" t="n">
        <f aca="false">J6*J7/100</f>
        <v>116.325995398603</v>
      </c>
      <c r="K8" s="0" t="n">
        <f aca="false">K6*K7/100</f>
        <v>119.234145283568</v>
      </c>
      <c r="L8" s="0" t="n">
        <f aca="false">L6*L7/100</f>
        <v>122.214998915657</v>
      </c>
    </row>
    <row r="9" customFormat="false" ht="15" hidden="false" customHeight="false" outlineLevel="0" collapsed="false">
      <c r="A9" s="0" t="s">
        <v>101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81.0119205</v>
      </c>
      <c r="D11" s="0" t="n">
        <f aca="false">D8+D10+D24</f>
        <v>83.0372185125</v>
      </c>
      <c r="E11" s="0" t="n">
        <f aca="false">E8+E10+E24</f>
        <v>86.433396814625</v>
      </c>
      <c r="F11" s="0" t="n">
        <f aca="false">F8+F10+F24</f>
        <v>89.9586123182162</v>
      </c>
      <c r="G11" s="0" t="n">
        <f aca="false">G8+G10+G24</f>
        <v>93.1374606913263</v>
      </c>
      <c r="H11" s="0" t="n">
        <f aca="false">H8+H10+H24</f>
        <v>95.4658972086094</v>
      </c>
      <c r="I11" s="0" t="n">
        <f aca="false">I8+I10+I24</f>
        <v>97.8525446388246</v>
      </c>
      <c r="J11" s="0" t="n">
        <f aca="false">J8+J10+J24</f>
        <v>100.298858254795</v>
      </c>
      <c r="K11" s="0" t="n">
        <f aca="false">K8+K10+K24</f>
        <v>102.806329711165</v>
      </c>
      <c r="L11" s="0" t="n">
        <f aca="false">L8+L10+L24</f>
        <v>105.376487953944</v>
      </c>
    </row>
    <row r="12" customFormat="false" ht="15" hidden="false" customHeight="false" outlineLevel="0" collapsed="false">
      <c r="A12" s="0" t="s">
        <v>118</v>
      </c>
      <c r="C12" s="4" t="n">
        <f aca="false">-C6*Assumptions!C31/100</f>
        <v>-4.286345</v>
      </c>
      <c r="D12" s="4" t="n">
        <f aca="false">-D6*Assumptions!D31/100</f>
        <v>-4.393503625</v>
      </c>
      <c r="E12" s="4" t="n">
        <f aca="false">-E6*Assumptions!E31/100</f>
        <v>-4.52530873375</v>
      </c>
      <c r="F12" s="4" t="n">
        <f aca="false">-F6*Assumptions!F31/100</f>
        <v>-4.6610679957625</v>
      </c>
      <c r="G12" s="4" t="n">
        <f aca="false">-G6*Assumptions!G31/100</f>
        <v>-4.80090003563537</v>
      </c>
      <c r="H12" s="4" t="n">
        <f aca="false">-H6*Assumptions!H31/100</f>
        <v>-4.92092253652626</v>
      </c>
      <c r="I12" s="4" t="n">
        <f aca="false">-I6*Assumptions!I31/100</f>
        <v>-5.04394559993941</v>
      </c>
      <c r="J12" s="4" t="n">
        <f aca="false">-J6*Assumptions!J31/100</f>
        <v>-5.1700442399379</v>
      </c>
      <c r="K12" s="4" t="n">
        <f aca="false">-K6*Assumptions!K31/100</f>
        <v>-5.29929534593635</v>
      </c>
      <c r="L12" s="4" t="n">
        <f aca="false">-L6*Assumptions!L31/100</f>
        <v>-5.43177772958476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76.7255755</v>
      </c>
      <c r="D13" s="0" t="n">
        <f aca="false">D11+D12</f>
        <v>78.6437148875</v>
      </c>
      <c r="E13" s="0" t="n">
        <f aca="false">E11+E12</f>
        <v>81.908088080875</v>
      </c>
      <c r="F13" s="0" t="n">
        <f aca="false">F11+F12</f>
        <v>85.2975443224537</v>
      </c>
      <c r="G13" s="0" t="n">
        <f aca="false">G11+G12</f>
        <v>88.3365606556909</v>
      </c>
      <c r="H13" s="0" t="n">
        <f aca="false">H11+H12</f>
        <v>90.5449746720831</v>
      </c>
      <c r="I13" s="0" t="n">
        <f aca="false">I11+I12</f>
        <v>92.8085990388852</v>
      </c>
      <c r="J13" s="0" t="n">
        <f aca="false">J11+J12</f>
        <v>95.1288140148573</v>
      </c>
      <c r="K13" s="0" t="n">
        <f aca="false">K11+K12</f>
        <v>97.5070343652288</v>
      </c>
      <c r="L13" s="0" t="n">
        <f aca="false">L11+L12</f>
        <v>99.9447102243595</v>
      </c>
    </row>
    <row r="14" customFormat="false" ht="15" hidden="false" customHeight="false" outlineLevel="0" collapsed="false">
      <c r="A14" s="0" t="s">
        <v>105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53.70790285</v>
      </c>
      <c r="D15" s="0" t="n">
        <f aca="false">D13-MAX(0,D13)*D14/100</f>
        <v>55.05060042125</v>
      </c>
      <c r="E15" s="0" t="n">
        <f aca="false">E13-MAX(0,E13)*E14/100</f>
        <v>57.3356616566125</v>
      </c>
      <c r="F15" s="0" t="n">
        <f aca="false">F13-MAX(0,F13)*F14/100</f>
        <v>59.7082810257176</v>
      </c>
      <c r="G15" s="0" t="n">
        <f aca="false">G13-MAX(0,G13)*G14/100</f>
        <v>61.8355924589836</v>
      </c>
      <c r="H15" s="0" t="n">
        <f aca="false">H13-MAX(0,H13)*H14/100</f>
        <v>63.3814822704582</v>
      </c>
      <c r="I15" s="0" t="n">
        <f aca="false">I13-MAX(0,I13)*I14/100</f>
        <v>64.9660193272196</v>
      </c>
      <c r="J15" s="0" t="n">
        <f aca="false">J13-MAX(0,J13)*J14/100</f>
        <v>66.5901698104001</v>
      </c>
      <c r="K15" s="0" t="n">
        <f aca="false">K13-MAX(0,K13)*K14/100</f>
        <v>68.2549240556601</v>
      </c>
      <c r="L15" s="0" t="n">
        <f aca="false">L13-MAX(0,L13)*L14/100</f>
        <v>69.9612971570516</v>
      </c>
    </row>
    <row r="16" customFormat="false" ht="15" hidden="false" customHeight="false" outlineLevel="0" collapsed="false">
      <c r="A16" s="0" t="s">
        <v>121</v>
      </c>
      <c r="C16" s="0" t="n">
        <f aca="false">-C12</f>
        <v>4.286345</v>
      </c>
      <c r="D16" s="0" t="n">
        <f aca="false">-D12</f>
        <v>4.393503625</v>
      </c>
      <c r="E16" s="0" t="n">
        <f aca="false">-E12</f>
        <v>4.52530873375</v>
      </c>
      <c r="F16" s="0" t="n">
        <f aca="false">-F12</f>
        <v>4.6610679957625</v>
      </c>
      <c r="G16" s="0" t="n">
        <f aca="false">-G12</f>
        <v>4.80090003563537</v>
      </c>
      <c r="H16" s="0" t="n">
        <f aca="false">-H12</f>
        <v>4.92092253652626</v>
      </c>
      <c r="I16" s="0" t="n">
        <f aca="false">-I12</f>
        <v>5.04394559993941</v>
      </c>
      <c r="J16" s="0" t="n">
        <f aca="false">-J12</f>
        <v>5.1700442399379</v>
      </c>
      <c r="K16" s="0" t="n">
        <f aca="false">-K12</f>
        <v>5.29929534593635</v>
      </c>
      <c r="L16" s="0" t="n">
        <f aca="false">-L12</f>
        <v>5.43177772958476</v>
      </c>
    </row>
    <row r="17" customFormat="false" ht="15" hidden="false" customHeight="false" outlineLevel="0" collapsed="false">
      <c r="A17" s="0" t="s">
        <v>122</v>
      </c>
      <c r="C17" s="4" t="n">
        <f aca="false">-C6*Assumptions!C32/100</f>
        <v>-4.286345</v>
      </c>
      <c r="D17" s="4" t="n">
        <f aca="false">-D6*Assumptions!D32/100</f>
        <v>-4.393503625</v>
      </c>
      <c r="E17" s="4" t="n">
        <f aca="false">-E6*Assumptions!E32/100</f>
        <v>-4.52530873375</v>
      </c>
      <c r="F17" s="4" t="n">
        <f aca="false">-F6*Assumptions!F32/100</f>
        <v>-4.6610679957625</v>
      </c>
      <c r="G17" s="4" t="n">
        <f aca="false">-G6*Assumptions!G32/100</f>
        <v>-4.80090003563537</v>
      </c>
      <c r="H17" s="4" t="n">
        <f aca="false">-H6*Assumptions!H32/100</f>
        <v>-4.92092253652626</v>
      </c>
      <c r="I17" s="4" t="n">
        <f aca="false">-I6*Assumptions!I32/100</f>
        <v>-5.04394559993941</v>
      </c>
      <c r="J17" s="4" t="n">
        <f aca="false">-J6*Assumptions!J32/100</f>
        <v>-5.1700442399379</v>
      </c>
      <c r="K17" s="4" t="n">
        <f aca="false">-K6*Assumptions!K32/100</f>
        <v>-5.29929534593635</v>
      </c>
      <c r="L17" s="4" t="n">
        <f aca="false">-L6*Assumptions!L32/100</f>
        <v>-5.43177772958476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(C6-B6)*Assumptions!$B$37/100</f>
        <v>-1.26689999999999</v>
      </c>
      <c r="D18" s="4" t="n">
        <f aca="false">(D6-C6)*Assumptions!$B$37/100</f>
        <v>-2.14317249999999</v>
      </c>
      <c r="E18" s="4" t="n">
        <f aca="false">(E6-D6)*Assumptions!$B$37/100</f>
        <v>-2.636102175</v>
      </c>
      <c r="F18" s="4" t="n">
        <f aca="false">(F6-E6)*Assumptions!$B$37/100</f>
        <v>-2.71518524025</v>
      </c>
      <c r="G18" s="4" t="n">
        <f aca="false">(G6-F6)*Assumptions!$B$37/100</f>
        <v>-2.7966407974575</v>
      </c>
      <c r="H18" s="4" t="n">
        <f aca="false">(H6-G6)*Assumptions!$B$37/100</f>
        <v>-2.40045001781767</v>
      </c>
      <c r="I18" s="4" t="n">
        <f aca="false">(I6-H6)*Assumptions!$B$37/100</f>
        <v>-2.46046126826312</v>
      </c>
      <c r="J18" s="4" t="n">
        <f aca="false">(J6-I6)*Assumptions!$B$37/100</f>
        <v>-2.52197279996969</v>
      </c>
      <c r="K18" s="4" t="n">
        <f aca="false">(K6-J6)*Assumptions!$B$37/100</f>
        <v>-2.58502211996895</v>
      </c>
      <c r="L18" s="4" t="n">
        <f aca="false">(L6-K6)*Assumptions!$B$37/100</f>
        <v>-2.64964767296817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52.44100285</v>
      </c>
      <c r="D19" s="0" t="n">
        <f aca="false">D15+D16+D17+D18</f>
        <v>52.90742792125</v>
      </c>
      <c r="E19" s="0" t="n">
        <f aca="false">E15+E16+E17+E18</f>
        <v>54.6995594816125</v>
      </c>
      <c r="F19" s="0" t="n">
        <f aca="false">F15+F16+F17+F18</f>
        <v>56.9930957854676</v>
      </c>
      <c r="G19" s="0" t="n">
        <f aca="false">G15+G16+G17+G18</f>
        <v>59.0389516615261</v>
      </c>
      <c r="H19" s="0" t="n">
        <f aca="false">H15+H16+H17+H18</f>
        <v>60.9810322526405</v>
      </c>
      <c r="I19" s="0" t="n">
        <f aca="false">I15+I16+I17+I18</f>
        <v>62.5055580589565</v>
      </c>
      <c r="J19" s="0" t="n">
        <f aca="false">J15+J16+J17+J18</f>
        <v>64.0681970104304</v>
      </c>
      <c r="K19" s="0" t="n">
        <f aca="false">K15+K16+K17+K18</f>
        <v>65.6699019356912</v>
      </c>
      <c r="L19" s="0" t="n">
        <f aca="false">L15+L16+L17+L18</f>
        <v>67.3116494840835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0.915750915750916</v>
      </c>
      <c r="D20" s="0" t="n">
        <f aca="false">1/(1+$B$27/100)^D4</f>
        <v>0.838599739698641</v>
      </c>
      <c r="E20" s="0" t="n">
        <f aca="false">1/(1+$B$27/100)^E4</f>
        <v>0.76794847957751</v>
      </c>
      <c r="F20" s="0" t="n">
        <f aca="false">1/(1+$B$27/100)^F4</f>
        <v>0.703249523422628</v>
      </c>
      <c r="G20" s="0" t="n">
        <f aca="false">1/(1+$B$27/100)^G4</f>
        <v>0.644001395075666</v>
      </c>
      <c r="H20" s="0" t="n">
        <f aca="false">1/(1+$B$27/100)^H4</f>
        <v>0.589744867285409</v>
      </c>
      <c r="I20" s="0" t="n">
        <f aca="false">1/(1+$B$27/100)^I4</f>
        <v>0.540059402276016</v>
      </c>
      <c r="J20" s="0" t="n">
        <f aca="false">1/(1+$B$27/100)^J4</f>
        <v>0.494559892194153</v>
      </c>
      <c r="K20" s="0" t="n">
        <f aca="false">1/(1+$B$27/100)^K4</f>
        <v>0.45289367417047</v>
      </c>
      <c r="L20" s="0" t="n">
        <f aca="false">1/(1+$B$27/100)^L4</f>
        <v>0.414737796859405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48.0228963827839</v>
      </c>
      <c r="D21" s="0" t="n">
        <f aca="false">D19*D20</f>
        <v>44.3681552828848</v>
      </c>
      <c r="E21" s="0" t="n">
        <f aca="false">E19*E20</f>
        <v>42.0064435374639</v>
      </c>
      <c r="F21" s="0" t="n">
        <f aca="false">F19*F20</f>
        <v>40.0803674495103</v>
      </c>
      <c r="G21" s="0" t="n">
        <f aca="false">G19*G20</f>
        <v>38.0211672338277</v>
      </c>
      <c r="H21" s="0" t="n">
        <f aca="false">H19*H20</f>
        <v>35.9632507727607</v>
      </c>
      <c r="I21" s="0" t="n">
        <f aca="false">I19*I20</f>
        <v>33.7567143242488</v>
      </c>
      <c r="J21" s="0" t="n">
        <f aca="false">J19*J20</f>
        <v>31.6855606065522</v>
      </c>
      <c r="K21" s="0" t="n">
        <f aca="false">K19*K20</f>
        <v>29.7414831700696</v>
      </c>
      <c r="L21" s="0" t="n">
        <f aca="false">L19*L20</f>
        <v>27.9166852100013</v>
      </c>
    </row>
    <row r="23" customFormat="false" ht="15" hidden="false" customHeight="false" outlineLevel="0" collapsed="false">
      <c r="A23" s="0" t="s">
        <v>102</v>
      </c>
      <c r="C23" s="4" t="n">
        <f aca="false">Assumptions!C30</f>
        <v>3.1</v>
      </c>
      <c r="D23" s="4" t="n">
        <f aca="false">Assumptions!D30</f>
        <v>3.1</v>
      </c>
      <c r="E23" s="4" t="n">
        <f aca="false">Assumptions!E30</f>
        <v>3.1</v>
      </c>
      <c r="F23" s="4" t="n">
        <f aca="false">Assumptions!F30</f>
        <v>3.1</v>
      </c>
      <c r="G23" s="4" t="n">
        <f aca="false">Assumptions!G30</f>
        <v>3.1</v>
      </c>
      <c r="H23" s="4" t="n">
        <f aca="false">Assumptions!H30</f>
        <v>3.1</v>
      </c>
      <c r="I23" s="4" t="n">
        <f aca="false">Assumptions!I30</f>
        <v>3.1</v>
      </c>
      <c r="J23" s="4" t="n">
        <f aca="false">Assumptions!J30</f>
        <v>3.1</v>
      </c>
      <c r="K23" s="4" t="n">
        <f aca="false">Assumptions!K30</f>
        <v>3.1</v>
      </c>
      <c r="L23" s="4" t="n">
        <f aca="false">Assumptions!L30</f>
        <v>3.1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-13.2876695</v>
      </c>
      <c r="D24" s="0" t="n">
        <f aca="false">-D6*D23/100</f>
        <v>-13.6198612375</v>
      </c>
      <c r="E24" s="0" t="n">
        <f aca="false">-E6*E23/100</f>
        <v>-14.028457074625</v>
      </c>
      <c r="F24" s="0" t="n">
        <f aca="false">-F6*F23/100</f>
        <v>-14.4493107868637</v>
      </c>
      <c r="G24" s="0" t="n">
        <f aca="false">-G6*G23/100</f>
        <v>-14.8827901104697</v>
      </c>
      <c r="H24" s="0" t="n">
        <f aca="false">-H6*H23/100</f>
        <v>-15.2548598632314</v>
      </c>
      <c r="I24" s="0" t="n">
        <f aca="false">-I6*I23/100</f>
        <v>-15.6362313598122</v>
      </c>
      <c r="J24" s="0" t="n">
        <f aca="false">-J6*J23/100</f>
        <v>-16.0271371438075</v>
      </c>
      <c r="K24" s="0" t="n">
        <f aca="false">-K6*K23/100</f>
        <v>-16.4278155724027</v>
      </c>
      <c r="L24" s="0" t="n">
        <f aca="false">-L6*L23/100</f>
        <v>-16.8385109617127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Assumptions!$B$34</f>
        <v>9.2</v>
      </c>
    </row>
    <row r="28" customFormat="false" ht="15" hidden="false" customHeight="false" outlineLevel="0" collapsed="false">
      <c r="A28" s="0" t="s">
        <v>107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371.562723970103</v>
      </c>
    </row>
    <row r="31" customFormat="false" ht="15" hidden="false" customHeight="false" outlineLevel="0" collapsed="false">
      <c r="A31" s="0" t="s">
        <v>130</v>
      </c>
      <c r="B31" s="0" t="n">
        <f aca="false">L19</f>
        <v>67.3116494840835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1029.76777195799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942.363092777169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942.363092777169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390.833592940018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762.396316910121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634.496316910121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2.45928805003923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0.2515460814449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2.45928805003923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551.955525769484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1.15565085993519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114</v>
      </c>
      <c r="B3" s="0" t="s">
        <v>84</v>
      </c>
      <c r="C3" s="2" t="s">
        <v>89</v>
      </c>
      <c r="D3" s="2" t="s">
        <v>90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2" t="s">
        <v>97</v>
      </c>
      <c r="L3" s="2" t="s">
        <v>98</v>
      </c>
    </row>
    <row r="4" customFormat="false" ht="15" hidden="false" customHeight="false" outlineLevel="0" collapsed="false">
      <c r="A4" s="0" t="s">
        <v>115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99</v>
      </c>
      <c r="C5" s="4" t="n">
        <f aca="false">Assumptions!C41</f>
        <v>3.5</v>
      </c>
      <c r="D5" s="4" t="n">
        <f aca="false">Assumptions!D41</f>
        <v>4.5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422.3</v>
      </c>
      <c r="C6" s="0" t="n">
        <f aca="false">B6*(1+C5/100)</f>
        <v>437.0805</v>
      </c>
      <c r="D6" s="0" t="n">
        <f aca="false">C6*(1+D5/100)</f>
        <v>456.7491225</v>
      </c>
      <c r="E6" s="0" t="n">
        <f aca="false">D6*(1+E5/100)</f>
        <v>479.586578625</v>
      </c>
      <c r="F6" s="0" t="n">
        <f aca="false">E6*(1+F5/100)</f>
        <v>501.167974663125</v>
      </c>
      <c r="G6" s="0" t="n">
        <f aca="false">F6*(1+G5/100)</f>
        <v>521.21469364965</v>
      </c>
      <c r="H6" s="0" t="n">
        <f aca="false">G6*(1+H5/100)</f>
        <v>539.457207927388</v>
      </c>
      <c r="I6" s="0" t="n">
        <f aca="false">H6*(1+I5/100)</f>
        <v>555.640924165209</v>
      </c>
      <c r="J6" s="0" t="n">
        <f aca="false">I6*(1+J5/100)</f>
        <v>572.310151890166</v>
      </c>
      <c r="K6" s="0" t="n">
        <f aca="false">J6*(1+K5/100)</f>
        <v>586.61790568742</v>
      </c>
      <c r="L6" s="0" t="n">
        <f aca="false">K6*(1+L5/100)</f>
        <v>601.283353329605</v>
      </c>
    </row>
    <row r="7" customFormat="false" ht="15" hidden="false" customHeight="false" outlineLevel="0" collapsed="false">
      <c r="A7" s="0" t="s">
        <v>100</v>
      </c>
      <c r="C7" s="4" t="n">
        <f aca="false">Assumptions!C42</f>
        <v>22.5</v>
      </c>
      <c r="D7" s="4" t="n">
        <f aca="false">Assumptions!D42</f>
        <v>22.8</v>
      </c>
      <c r="E7" s="4" t="n">
        <f aca="false">Assumptions!E42</f>
        <v>23</v>
      </c>
      <c r="F7" s="4" t="n">
        <f aca="false">Assumptions!F42</f>
        <v>23.2</v>
      </c>
      <c r="G7" s="4" t="n">
        <f aca="false">Assumptions!G42</f>
        <v>23.5</v>
      </c>
      <c r="H7" s="4" t="n">
        <f aca="false">Assumptions!H42</f>
        <v>23.5</v>
      </c>
      <c r="I7" s="4" t="n">
        <f aca="false">Assumptions!I42</f>
        <v>23.5</v>
      </c>
      <c r="J7" s="4" t="n">
        <f aca="false">Assumptions!J42</f>
        <v>23.5</v>
      </c>
      <c r="K7" s="4" t="n">
        <f aca="false">Assumptions!K42</f>
        <v>23.5</v>
      </c>
      <c r="L7" s="4" t="n">
        <f aca="false">Assumptions!L42</f>
        <v>23.5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98.3431125</v>
      </c>
      <c r="D8" s="0" t="n">
        <f aca="false">D6*D7/100</f>
        <v>104.13879993</v>
      </c>
      <c r="E8" s="0" t="n">
        <f aca="false">E6*E7/100</f>
        <v>110.30491308375</v>
      </c>
      <c r="F8" s="0" t="n">
        <f aca="false">F6*F7/100</f>
        <v>116.270970121845</v>
      </c>
      <c r="G8" s="0" t="n">
        <f aca="false">G6*G7/100</f>
        <v>122.485453007668</v>
      </c>
      <c r="H8" s="0" t="n">
        <f aca="false">H6*H7/100</f>
        <v>126.772443862936</v>
      </c>
      <c r="I8" s="0" t="n">
        <f aca="false">I6*I7/100</f>
        <v>130.575617178824</v>
      </c>
      <c r="J8" s="0" t="n">
        <f aca="false">J6*J7/100</f>
        <v>134.492885694189</v>
      </c>
      <c r="K8" s="0" t="n">
        <f aca="false">K6*K7/100</f>
        <v>137.855207836544</v>
      </c>
      <c r="L8" s="0" t="n">
        <f aca="false">L6*L7/100</f>
        <v>141.301588032457</v>
      </c>
    </row>
    <row r="9" customFormat="false" ht="15" hidden="false" customHeight="false" outlineLevel="0" collapsed="false">
      <c r="A9" s="0" t="s">
        <v>101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117</v>
      </c>
      <c r="C11" s="0" t="n">
        <f aca="false">C8+C10+C24</f>
        <v>85.2306975</v>
      </c>
      <c r="D11" s="0" t="n">
        <f aca="false">D8+D10+D24</f>
        <v>90.436326255</v>
      </c>
      <c r="E11" s="0" t="n">
        <f aca="false">E8+E10+E24</f>
        <v>95.917315725</v>
      </c>
      <c r="F11" s="0" t="n">
        <f aca="false">F8+F10+F24</f>
        <v>101.235930881951</v>
      </c>
      <c r="G11" s="0" t="n">
        <f aca="false">G8+G10+G24</f>
        <v>106.849012198178</v>
      </c>
      <c r="H11" s="0" t="n">
        <f aca="false">H8+H10+H24</f>
        <v>110.588727625114</v>
      </c>
      <c r="I11" s="0" t="n">
        <f aca="false">I8+I10+I24</f>
        <v>113.906389453868</v>
      </c>
      <c r="J11" s="0" t="n">
        <f aca="false">J8+J10+J24</f>
        <v>117.323581137484</v>
      </c>
      <c r="K11" s="0" t="n">
        <f aca="false">K8+K10+K24</f>
        <v>120.256670665921</v>
      </c>
      <c r="L11" s="0" t="n">
        <f aca="false">L8+L10+L24</f>
        <v>123.263087432569</v>
      </c>
    </row>
    <row r="12" customFormat="false" ht="15" hidden="false" customHeight="false" outlineLevel="0" collapsed="false">
      <c r="A12" s="0" t="s">
        <v>118</v>
      </c>
      <c r="C12" s="4" t="n">
        <f aca="false">-C6*Assumptions!C45/100</f>
        <v>-4.370805</v>
      </c>
      <c r="D12" s="4" t="n">
        <f aca="false">-D6*Assumptions!D45/100</f>
        <v>-4.567491225</v>
      </c>
      <c r="E12" s="4" t="n">
        <f aca="false">-E6*Assumptions!E45/100</f>
        <v>-4.79586578625</v>
      </c>
      <c r="F12" s="4" t="n">
        <f aca="false">-F6*Assumptions!F45/100</f>
        <v>-5.01167974663125</v>
      </c>
      <c r="G12" s="4" t="n">
        <f aca="false">-G6*Assumptions!G45/100</f>
        <v>-5.2121469364965</v>
      </c>
      <c r="H12" s="4" t="n">
        <f aca="false">-H6*Assumptions!H45/100</f>
        <v>-5.39457207927388</v>
      </c>
      <c r="I12" s="4" t="n">
        <f aca="false">-I6*Assumptions!I45/100</f>
        <v>-5.55640924165209</v>
      </c>
      <c r="J12" s="4" t="n">
        <f aca="false">-J6*Assumptions!J45/100</f>
        <v>-5.72310151890166</v>
      </c>
      <c r="K12" s="4" t="n">
        <f aca="false">-K6*Assumptions!K45/100</f>
        <v>-5.8661790568742</v>
      </c>
      <c r="L12" s="4" t="n">
        <f aca="false">-L6*Assumptions!L45/100</f>
        <v>-6.01283353329605</v>
      </c>
    </row>
    <row r="13" customFormat="false" ht="15" hidden="false" customHeight="false" outlineLevel="0" collapsed="false">
      <c r="A13" s="0" t="s">
        <v>119</v>
      </c>
      <c r="C13" s="0" t="n">
        <f aca="false">C11+C12</f>
        <v>80.8598925</v>
      </c>
      <c r="D13" s="0" t="n">
        <f aca="false">D11+D12</f>
        <v>85.86883503</v>
      </c>
      <c r="E13" s="0" t="n">
        <f aca="false">E11+E12</f>
        <v>91.12144993875</v>
      </c>
      <c r="F13" s="0" t="n">
        <f aca="false">F11+F12</f>
        <v>96.22425113532</v>
      </c>
      <c r="G13" s="0" t="n">
        <f aca="false">G11+G12</f>
        <v>101.636865261682</v>
      </c>
      <c r="H13" s="0" t="n">
        <f aca="false">H11+H12</f>
        <v>105.194155545841</v>
      </c>
      <c r="I13" s="0" t="n">
        <f aca="false">I11+I12</f>
        <v>108.349980212216</v>
      </c>
      <c r="J13" s="0" t="n">
        <f aca="false">J11+J12</f>
        <v>111.600479618582</v>
      </c>
      <c r="K13" s="0" t="n">
        <f aca="false">K11+K12</f>
        <v>114.390491609047</v>
      </c>
      <c r="L13" s="0" t="n">
        <f aca="false">L11+L12</f>
        <v>117.250253899273</v>
      </c>
    </row>
    <row r="14" customFormat="false" ht="15" hidden="false" customHeight="false" outlineLevel="0" collapsed="false">
      <c r="A14" s="0" t="s">
        <v>105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120</v>
      </c>
      <c r="C15" s="0" t="n">
        <f aca="false">C13-MAX(0,C13)*C14/100</f>
        <v>56.60192475</v>
      </c>
      <c r="D15" s="0" t="n">
        <f aca="false">D13-MAX(0,D13)*D14/100</f>
        <v>60.108184521</v>
      </c>
      <c r="E15" s="0" t="n">
        <f aca="false">E13-MAX(0,E13)*E14/100</f>
        <v>63.785014957125</v>
      </c>
      <c r="F15" s="0" t="n">
        <f aca="false">F13-MAX(0,F13)*F14/100</f>
        <v>67.356975794724</v>
      </c>
      <c r="G15" s="0" t="n">
        <f aca="false">G13-MAX(0,G13)*G14/100</f>
        <v>71.1458056831772</v>
      </c>
      <c r="H15" s="0" t="n">
        <f aca="false">H13-MAX(0,H13)*H14/100</f>
        <v>73.6359088820884</v>
      </c>
      <c r="I15" s="0" t="n">
        <f aca="false">I13-MAX(0,I13)*I14/100</f>
        <v>75.8449861485511</v>
      </c>
      <c r="J15" s="0" t="n">
        <f aca="false">J13-MAX(0,J13)*J14/100</f>
        <v>78.1203357330076</v>
      </c>
      <c r="K15" s="0" t="n">
        <f aca="false">K13-MAX(0,K13)*K14/100</f>
        <v>80.0733441263328</v>
      </c>
      <c r="L15" s="0" t="n">
        <f aca="false">L13-MAX(0,L13)*L14/100</f>
        <v>82.0751777294911</v>
      </c>
    </row>
    <row r="16" customFormat="false" ht="15" hidden="false" customHeight="false" outlineLevel="0" collapsed="false">
      <c r="A16" s="0" t="s">
        <v>121</v>
      </c>
      <c r="C16" s="0" t="n">
        <f aca="false">-C12</f>
        <v>4.370805</v>
      </c>
      <c r="D16" s="0" t="n">
        <f aca="false">-D12</f>
        <v>4.567491225</v>
      </c>
      <c r="E16" s="0" t="n">
        <f aca="false">-E12</f>
        <v>4.79586578625</v>
      </c>
      <c r="F16" s="0" t="n">
        <f aca="false">-F12</f>
        <v>5.01167974663125</v>
      </c>
      <c r="G16" s="0" t="n">
        <f aca="false">-G12</f>
        <v>5.2121469364965</v>
      </c>
      <c r="H16" s="0" t="n">
        <f aca="false">-H12</f>
        <v>5.39457207927388</v>
      </c>
      <c r="I16" s="0" t="n">
        <f aca="false">-I12</f>
        <v>5.55640924165209</v>
      </c>
      <c r="J16" s="0" t="n">
        <f aca="false">-J12</f>
        <v>5.72310151890166</v>
      </c>
      <c r="K16" s="0" t="n">
        <f aca="false">-K12</f>
        <v>5.8661790568742</v>
      </c>
      <c r="L16" s="0" t="n">
        <f aca="false">-L12</f>
        <v>6.01283353329605</v>
      </c>
    </row>
    <row r="17" customFormat="false" ht="15" hidden="false" customHeight="false" outlineLevel="0" collapsed="false">
      <c r="A17" s="0" t="s">
        <v>122</v>
      </c>
      <c r="C17" s="4" t="n">
        <f aca="false">-C6*Assumptions!C46/100</f>
        <v>-4.370805</v>
      </c>
      <c r="D17" s="4" t="n">
        <f aca="false">-D6*Assumptions!D46/100</f>
        <v>-4.567491225</v>
      </c>
      <c r="E17" s="4" t="n">
        <f aca="false">-E6*Assumptions!E46/100</f>
        <v>-4.79586578625</v>
      </c>
      <c r="F17" s="4" t="n">
        <f aca="false">-F6*Assumptions!F46/100</f>
        <v>-5.01167974663125</v>
      </c>
      <c r="G17" s="4" t="n">
        <f aca="false">-G6*Assumptions!G46/100</f>
        <v>-5.2121469364965</v>
      </c>
      <c r="H17" s="4" t="n">
        <f aca="false">-H6*Assumptions!H46/100</f>
        <v>-5.39457207927388</v>
      </c>
      <c r="I17" s="4" t="n">
        <f aca="false">-I6*Assumptions!I46/100</f>
        <v>-5.55640924165209</v>
      </c>
      <c r="J17" s="4" t="n">
        <f aca="false">-J6*Assumptions!J46/100</f>
        <v>-5.72310151890166</v>
      </c>
      <c r="K17" s="4" t="n">
        <f aca="false">-K6*Assumptions!K46/100</f>
        <v>-5.8661790568742</v>
      </c>
      <c r="L17" s="4" t="n">
        <f aca="false">-L6*Assumptions!L46/100</f>
        <v>-6.01283353329605</v>
      </c>
    </row>
    <row r="18" customFormat="false" ht="15" hidden="false" customHeight="false" outlineLevel="0" collapsed="false">
      <c r="A18" s="0" t="s">
        <v>123</v>
      </c>
      <c r="C18" s="4" t="n">
        <f aca="false">(C6-B6)*Assumptions!$B$51/100</f>
        <v>-2.95609999999999</v>
      </c>
      <c r="D18" s="4" t="n">
        <f aca="false">(D6-C6)*Assumptions!$B$51/100</f>
        <v>-3.93372449999999</v>
      </c>
      <c r="E18" s="4" t="n">
        <f aca="false">(E6-D6)*Assumptions!$B$51/100</f>
        <v>-4.567491225</v>
      </c>
      <c r="F18" s="4" t="n">
        <f aca="false">(F6-E6)*Assumptions!$B$51/100</f>
        <v>-4.316279207625</v>
      </c>
      <c r="G18" s="4" t="n">
        <f aca="false">(G6-F6)*Assumptions!$B$51/100</f>
        <v>-4.009343797305</v>
      </c>
      <c r="H18" s="4" t="n">
        <f aca="false">(H6-G6)*Assumptions!$B$51/100</f>
        <v>-3.64850285554753</v>
      </c>
      <c r="I18" s="4" t="n">
        <f aca="false">(I6-H6)*Assumptions!$B$51/100</f>
        <v>-3.23674324756432</v>
      </c>
      <c r="J18" s="4" t="n">
        <f aca="false">(J6-I6)*Assumptions!$B$51/100</f>
        <v>-3.33384554499125</v>
      </c>
      <c r="K18" s="4" t="n">
        <f aca="false">(K6-J6)*Assumptions!$B$51/100</f>
        <v>-2.86155075945082</v>
      </c>
      <c r="L18" s="4" t="n">
        <f aca="false">(L6-K6)*Assumptions!$B$51/100</f>
        <v>-2.93308952843709</v>
      </c>
    </row>
    <row r="19" customFormat="false" ht="15" hidden="false" customHeight="false" outlineLevel="0" collapsed="false">
      <c r="A19" s="0" t="s">
        <v>124</v>
      </c>
      <c r="C19" s="0" t="n">
        <f aca="false">C15+C16+C17+C18</f>
        <v>53.64582475</v>
      </c>
      <c r="D19" s="0" t="n">
        <f aca="false">D15+D16+D17+D18</f>
        <v>56.174460021</v>
      </c>
      <c r="E19" s="0" t="n">
        <f aca="false">E15+E16+E17+E18</f>
        <v>59.217523732125</v>
      </c>
      <c r="F19" s="0" t="n">
        <f aca="false">F15+F16+F17+F18</f>
        <v>63.040696587099</v>
      </c>
      <c r="G19" s="0" t="n">
        <f aca="false">G15+G16+G17+G18</f>
        <v>67.1364618858722</v>
      </c>
      <c r="H19" s="0" t="n">
        <f aca="false">H15+H16+H17+H18</f>
        <v>69.9874060265409</v>
      </c>
      <c r="I19" s="0" t="n">
        <f aca="false">I15+I16+I17+I18</f>
        <v>72.6082429009867</v>
      </c>
      <c r="J19" s="0" t="n">
        <f aca="false">J15+J16+J17+J18</f>
        <v>74.7864901880163</v>
      </c>
      <c r="K19" s="0" t="n">
        <f aca="false">K15+K16+K17+K18</f>
        <v>77.2117933668819</v>
      </c>
      <c r="L19" s="0" t="n">
        <f aca="false">L15+L16+L17+L18</f>
        <v>79.142088201054</v>
      </c>
    </row>
    <row r="20" customFormat="false" ht="15" hidden="false" customHeight="false" outlineLevel="0" collapsed="false">
      <c r="A20" s="0" t="s">
        <v>125</v>
      </c>
      <c r="C20" s="0" t="n">
        <f aca="false">1/(1+$B$27/100)^C4</f>
        <v>0.915750915750916</v>
      </c>
      <c r="D20" s="0" t="n">
        <f aca="false">1/(1+$B$27/100)^D4</f>
        <v>0.838599739698641</v>
      </c>
      <c r="E20" s="0" t="n">
        <f aca="false">1/(1+$B$27/100)^E4</f>
        <v>0.76794847957751</v>
      </c>
      <c r="F20" s="0" t="n">
        <f aca="false">1/(1+$B$27/100)^F4</f>
        <v>0.703249523422628</v>
      </c>
      <c r="G20" s="0" t="n">
        <f aca="false">1/(1+$B$27/100)^G4</f>
        <v>0.644001395075666</v>
      </c>
      <c r="H20" s="0" t="n">
        <f aca="false">1/(1+$B$27/100)^H4</f>
        <v>0.589744867285409</v>
      </c>
      <c r="I20" s="0" t="n">
        <f aca="false">1/(1+$B$27/100)^I4</f>
        <v>0.540059402276016</v>
      </c>
      <c r="J20" s="0" t="n">
        <f aca="false">1/(1+$B$27/100)^J4</f>
        <v>0.494559892194153</v>
      </c>
      <c r="K20" s="0" t="n">
        <f aca="false">1/(1+$B$27/100)^K4</f>
        <v>0.45289367417047</v>
      </c>
      <c r="L20" s="0" t="n">
        <f aca="false">1/(1+$B$27/100)^L4</f>
        <v>0.414737796859405</v>
      </c>
    </row>
    <row r="21" customFormat="false" ht="15" hidden="false" customHeight="false" outlineLevel="0" collapsed="false">
      <c r="A21" s="0" t="s">
        <v>126</v>
      </c>
      <c r="C21" s="0" t="n">
        <f aca="false">C19*C20</f>
        <v>49.1262131410256</v>
      </c>
      <c r="D21" s="0" t="n">
        <f aca="false">D19*D20</f>
        <v>47.1078875513223</v>
      </c>
      <c r="E21" s="0" t="n">
        <f aca="false">E19*E20</f>
        <v>45.4760073144305</v>
      </c>
      <c r="F21" s="0" t="n">
        <f aca="false">F19*F20</f>
        <v>44.3333398311079</v>
      </c>
      <c r="G21" s="0" t="n">
        <f aca="false">G19*G20</f>
        <v>43.235975114946</v>
      </c>
      <c r="H21" s="0" t="n">
        <f aca="false">H19*H20</f>
        <v>41.2747134787724</v>
      </c>
      <c r="I21" s="0" t="n">
        <f aca="false">I19*I20</f>
        <v>39.2127642614186</v>
      </c>
      <c r="J21" s="0" t="n">
        <f aca="false">J19*J20</f>
        <v>36.9863985249645</v>
      </c>
      <c r="K21" s="0" t="n">
        <f aca="false">K19*K20</f>
        <v>34.9687327872183</v>
      </c>
      <c r="L21" s="0" t="n">
        <f aca="false">L19*L20</f>
        <v>32.8232152993578</v>
      </c>
    </row>
    <row r="23" customFormat="false" ht="15" hidden="false" customHeight="false" outlineLevel="0" collapsed="false">
      <c r="A23" s="0" t="s">
        <v>102</v>
      </c>
      <c r="C23" s="4" t="n">
        <f aca="false">Assumptions!C44</f>
        <v>3</v>
      </c>
      <c r="D23" s="4" t="n">
        <f aca="false">Assumptions!D44</f>
        <v>3</v>
      </c>
      <c r="E23" s="4" t="n">
        <f aca="false">Assumptions!E44</f>
        <v>3</v>
      </c>
      <c r="F23" s="4" t="n">
        <f aca="false">Assumptions!F44</f>
        <v>3</v>
      </c>
      <c r="G23" s="4" t="n">
        <f aca="false">Assumptions!G44</f>
        <v>3</v>
      </c>
      <c r="H23" s="4" t="n">
        <f aca="false">Assumptions!H44</f>
        <v>3</v>
      </c>
      <c r="I23" s="4" t="n">
        <f aca="false">Assumptions!I44</f>
        <v>3</v>
      </c>
      <c r="J23" s="4" t="n">
        <f aca="false">Assumptions!J44</f>
        <v>3</v>
      </c>
      <c r="K23" s="4" t="n">
        <f aca="false">Assumptions!K44</f>
        <v>3</v>
      </c>
      <c r="L23" s="4" t="n">
        <f aca="false">Assumptions!L44</f>
        <v>3</v>
      </c>
    </row>
    <row r="24" customFormat="false" ht="15" hidden="false" customHeight="false" outlineLevel="0" collapsed="false">
      <c r="A24" s="0" t="s">
        <v>127</v>
      </c>
      <c r="C24" s="0" t="n">
        <f aca="false">-C6*C23/100</f>
        <v>-13.112415</v>
      </c>
      <c r="D24" s="0" t="n">
        <f aca="false">-D6*D23/100</f>
        <v>-13.702473675</v>
      </c>
      <c r="E24" s="0" t="n">
        <f aca="false">-E6*E23/100</f>
        <v>-14.38759735875</v>
      </c>
      <c r="F24" s="0" t="n">
        <f aca="false">-F6*F23/100</f>
        <v>-15.0350392398937</v>
      </c>
      <c r="G24" s="0" t="n">
        <f aca="false">-G6*G23/100</f>
        <v>-15.6364408094895</v>
      </c>
      <c r="H24" s="0" t="n">
        <f aca="false">-H6*H23/100</f>
        <v>-16.1837162378216</v>
      </c>
      <c r="I24" s="0" t="n">
        <f aca="false">-I6*I23/100</f>
        <v>-16.6692277249563</v>
      </c>
      <c r="J24" s="0" t="n">
        <f aca="false">-J6*J23/100</f>
        <v>-17.169304556705</v>
      </c>
      <c r="K24" s="0" t="n">
        <f aca="false">-K6*K23/100</f>
        <v>-17.5985371706226</v>
      </c>
      <c r="L24" s="0" t="n">
        <f aca="false">-L6*L23/100</f>
        <v>-18.0385005998882</v>
      </c>
    </row>
    <row r="26" customFormat="false" ht="15" hidden="false" customHeight="false" outlineLevel="0" collapsed="false">
      <c r="A26" s="2" t="s">
        <v>128</v>
      </c>
    </row>
    <row r="27" customFormat="false" ht="15" hidden="false" customHeight="false" outlineLevel="0" collapsed="false">
      <c r="A27" s="0" t="s">
        <v>106</v>
      </c>
      <c r="B27" s="4" t="n">
        <f aca="false">Assumptions!$B$48</f>
        <v>9.2</v>
      </c>
    </row>
    <row r="28" customFormat="false" ht="15" hidden="false" customHeight="false" outlineLevel="0" collapsed="false">
      <c r="A28" s="0" t="s">
        <v>107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108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129</v>
      </c>
      <c r="B30" s="0" t="n">
        <f aca="false">SUM(C21:L21)</f>
        <v>414.545247304564</v>
      </c>
    </row>
    <row r="31" customFormat="false" ht="15" hidden="false" customHeight="false" outlineLevel="0" collapsed="false">
      <c r="A31" s="0" t="s">
        <v>130</v>
      </c>
      <c r="B31" s="0" t="n">
        <f aca="false">L19</f>
        <v>79.142088201054</v>
      </c>
    </row>
    <row r="32" customFormat="false" ht="15" hidden="false" customHeight="false" outlineLevel="0" collapsed="false">
      <c r="A32" s="0" t="s">
        <v>131</v>
      </c>
      <c r="B32" s="0" t="n">
        <f aca="false">IF(B27&gt;B28,B31*(1+B28/100)/((B27-B28)/100),B31*B29)</f>
        <v>1210.75582695642</v>
      </c>
    </row>
    <row r="33" customFormat="false" ht="15" hidden="false" customHeight="false" outlineLevel="0" collapsed="false">
      <c r="A33" s="0" t="s">
        <v>132</v>
      </c>
      <c r="B33" s="0" t="n">
        <f aca="false">B31*B29</f>
        <v>1107.98923481476</v>
      </c>
    </row>
    <row r="34" customFormat="false" ht="15" hidden="false" customHeight="false" outlineLevel="0" collapsed="false">
      <c r="A34" s="0" t="s">
        <v>133</v>
      </c>
      <c r="B34" s="0" t="n">
        <f aca="false">MAX(0,MIN(B32,B33))</f>
        <v>1107.98923481476</v>
      </c>
    </row>
    <row r="35" customFormat="false" ht="15" hidden="false" customHeight="false" outlineLevel="0" collapsed="false">
      <c r="A35" s="0" t="s">
        <v>134</v>
      </c>
      <c r="B35" s="0" t="n">
        <f aca="false">B34/(1+B27/100)^L4</f>
        <v>459.52501419101</v>
      </c>
    </row>
    <row r="36" customFormat="false" ht="15" hidden="false" customHeight="false" outlineLevel="0" collapsed="false">
      <c r="A36" s="0" t="s">
        <v>135</v>
      </c>
      <c r="B36" s="0" t="n">
        <f aca="false">B30+B35</f>
        <v>874.070261495574</v>
      </c>
    </row>
    <row r="37" customFormat="false" ht="15" hidden="false" customHeight="false" outlineLevel="0" collapsed="false">
      <c r="A37" s="0" t="s">
        <v>136</v>
      </c>
      <c r="B37" s="0" t="n">
        <f aca="false">B36+Assumptions!$B$5-Assumptions!$B$4</f>
        <v>746.170261495574</v>
      </c>
    </row>
    <row r="38" customFormat="false" ht="15" hidden="false" customHeight="false" outlineLevel="0" collapsed="false">
      <c r="A38" s="0" t="s">
        <v>137</v>
      </c>
      <c r="B38" s="0" t="n">
        <f aca="false">B37/Assumptions!$B$3*Assumptions!$B$10</f>
        <v>2.89213279649447</v>
      </c>
    </row>
    <row r="39" customFormat="false" ht="15" hidden="false" customHeight="false" outlineLevel="0" collapsed="false">
      <c r="A39" s="0" t="s">
        <v>138</v>
      </c>
      <c r="B39" s="4" t="n">
        <f aca="false">B38/Assumptions!$B$2-1</f>
        <v>0.471823306104056</v>
      </c>
    </row>
    <row r="41" customFormat="false" ht="15" hidden="false" customHeight="false" outlineLevel="0" collapsed="false">
      <c r="A41" s="0" t="s">
        <v>139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141</v>
      </c>
      <c r="B43" s="0" t="n">
        <f aca="false">(B37+B41+B42)/Assumptions!$B$3*Assumptions!$B$10</f>
        <v>2.89213279649447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142</v>
      </c>
      <c r="B46" s="0" t="n">
        <f aca="false">MAX(0,MIN(IF(B45&gt;B28,B31*(1+B28/100)/((B45-B28)/100),B31*B29),B31*B29))</f>
        <v>648.965123248643</v>
      </c>
    </row>
    <row r="47" customFormat="false" ht="15" hidden="false" customHeight="false" outlineLevel="0" collapsed="false">
      <c r="A47" s="0" t="s">
        <v>143</v>
      </c>
      <c r="B47" s="0" t="n">
        <f aca="false">(SUMPRODUCT(C19:L19/(1+B45/100)^C4:L4)+B46/(1+B45/100)^L4+Assumptions!$B$5-Assumptions!$B$4)/Assumptions!$B$3*Assumptions!$B$10</f>
        <v>1.37019467944824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2" t="s">
        <v>147</v>
      </c>
      <c r="B3" s="2" t="s">
        <v>148</v>
      </c>
      <c r="C3" s="2" t="s">
        <v>138</v>
      </c>
      <c r="D3" s="2" t="s">
        <v>149</v>
      </c>
      <c r="E3" s="2" t="s">
        <v>141</v>
      </c>
      <c r="F3" s="2" t="s">
        <v>150</v>
      </c>
    </row>
    <row r="4" customFormat="false" ht="15" hidden="false" customHeight="false" outlineLevel="0" collapsed="false">
      <c r="A4" s="0" t="s">
        <v>151</v>
      </c>
      <c r="B4" s="4" t="n">
        <f aca="false">DCF_Bear!$B$38</f>
        <v>1.62355958046671</v>
      </c>
      <c r="C4" s="0" t="n">
        <f aca="false">B4/Assumptions!$B$2-1</f>
        <v>-0.173761027752308</v>
      </c>
      <c r="D4" s="4" t="n">
        <f aca="false">Assumptions!$B$24</f>
        <v>0.25</v>
      </c>
      <c r="E4" s="4" t="n">
        <f aca="false">DCF_Bear!$B$43</f>
        <v>1.62355958046671</v>
      </c>
      <c r="F4" s="4" t="n">
        <f aca="false">DCF_Bear!$B$47</f>
        <v>0.784294235162434</v>
      </c>
    </row>
    <row r="5" customFormat="false" ht="15" hidden="false" customHeight="false" outlineLevel="0" collapsed="false">
      <c r="A5" s="0" t="s">
        <v>152</v>
      </c>
      <c r="B5" s="4" t="n">
        <f aca="false">DCF_Base!$B$38</f>
        <v>2.45928805003923</v>
      </c>
      <c r="C5" s="0" t="n">
        <f aca="false">B5/Assumptions!$B$2-1</f>
        <v>0.2515460814449</v>
      </c>
      <c r="D5" s="4" t="n">
        <f aca="false">Assumptions!$B$38</f>
        <v>0.5</v>
      </c>
      <c r="E5" s="4" t="n">
        <f aca="false">DCF_Base!$B$43</f>
        <v>2.45928805003923</v>
      </c>
      <c r="F5" s="4" t="n">
        <f aca="false">DCF_Base!$B$47</f>
        <v>1.15565085993519</v>
      </c>
    </row>
    <row r="6" customFormat="false" ht="15" hidden="false" customHeight="false" outlineLevel="0" collapsed="false">
      <c r="A6" s="0" t="s">
        <v>153</v>
      </c>
      <c r="B6" s="4" t="n">
        <f aca="false">DCF_Bull!$B$38</f>
        <v>2.89213279649447</v>
      </c>
      <c r="C6" s="0" t="n">
        <f aca="false">B6/Assumptions!$B$2-1</f>
        <v>0.471823306104056</v>
      </c>
      <c r="D6" s="4" t="n">
        <f aca="false">Assumptions!$B$52</f>
        <v>0.25</v>
      </c>
      <c r="E6" s="4" t="n">
        <f aca="false">DCF_Bull!$B$43</f>
        <v>2.89213279649447</v>
      </c>
      <c r="F6" s="4" t="n">
        <f aca="false">DCF_Bull!$B$47</f>
        <v>1.37019467944824</v>
      </c>
    </row>
    <row r="8" customFormat="false" ht="15" hidden="false" customHeight="false" outlineLevel="0" collapsed="false">
      <c r="A8" s="0" t="s">
        <v>154</v>
      </c>
      <c r="B8" s="0" t="n">
        <f aca="false">SUMPRODUCT(B4:B6,D4:D6)</f>
        <v>2.35856711925991</v>
      </c>
    </row>
    <row r="9" customFormat="false" ht="15" hidden="false" customHeight="false" outlineLevel="0" collapsed="false">
      <c r="A9" s="0" t="s">
        <v>155</v>
      </c>
      <c r="B9" s="0" t="n">
        <f aca="false">SUMPRODUCT(E4:E6,D4:D6)</f>
        <v>2.35856711925991</v>
      </c>
    </row>
    <row r="10" customFormat="false" ht="15" hidden="false" customHeight="false" outlineLevel="0" collapsed="false">
      <c r="A10" s="0" t="s">
        <v>156</v>
      </c>
      <c r="B10" s="0" t="n">
        <f aca="false">1-Assumptions!$B$2/B8</f>
        <v>0.166867042301263</v>
      </c>
    </row>
    <row r="11" customFormat="false" ht="15" hidden="false" customHeight="false" outlineLevel="0" collapsed="false">
      <c r="A11" s="0" t="s">
        <v>157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158</v>
      </c>
      <c r="B12" s="0" t="n">
        <f aca="false">SUMPRODUCT(F4:F6,D4:D6)</f>
        <v>1.11644765862026</v>
      </c>
    </row>
    <row r="14" customFormat="false" ht="15" hidden="false" customHeight="false" outlineLevel="0" collapsed="false">
      <c r="A14" s="2" t="s">
        <v>159</v>
      </c>
      <c r="C14" s="0" t="s">
        <v>160</v>
      </c>
    </row>
    <row r="15" customFormat="false" ht="15" hidden="false" customHeight="false" outlineLevel="0" collapsed="false">
      <c r="A15" s="0" t="s">
        <v>161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2.5006510093249</v>
      </c>
      <c r="C15" s="3" t="n">
        <v>9</v>
      </c>
    </row>
    <row r="16" customFormat="false" ht="15" hidden="false" customHeight="false" outlineLevel="0" collapsed="false">
      <c r="A16" s="0" t="s">
        <v>162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2.45928805003923</v>
      </c>
      <c r="C16" s="3" t="n">
        <v>9.2</v>
      </c>
    </row>
    <row r="17" customFormat="false" ht="15" hidden="false" customHeight="false" outlineLevel="0" collapsed="false">
      <c r="A17" s="0" t="s">
        <v>163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2.26759669097397</v>
      </c>
      <c r="C17" s="3" t="n">
        <v>10</v>
      </c>
    </row>
    <row r="18" customFormat="false" ht="15" hidden="false" customHeight="false" outlineLevel="0" collapsed="false">
      <c r="A18" s="0" t="s">
        <v>164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1.94037551092827</v>
      </c>
      <c r="C18" s="3" t="n">
        <v>11</v>
      </c>
    </row>
    <row r="19" customFormat="false" ht="15" hidden="false" customHeight="false" outlineLevel="0" collapsed="false">
      <c r="A19" s="0" t="s">
        <v>165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1.68212703410627</v>
      </c>
      <c r="C19" s="3" t="n">
        <v>12</v>
      </c>
    </row>
    <row r="20" customFormat="false" ht="15" hidden="false" customHeight="false" outlineLevel="0" collapsed="false">
      <c r="A20" s="0" t="s">
        <v>166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1.15565085993519</v>
      </c>
      <c r="C20" s="3" t="n">
        <v>15</v>
      </c>
    </row>
    <row r="22" customFormat="false" ht="15" hidden="false" customHeight="false" outlineLevel="0" collapsed="false">
      <c r="A22" s="2" t="s">
        <v>167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7.2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2.90911456279473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2.90911456279473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2.90911456279473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2.90911456279473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2.90911456279473</v>
      </c>
    </row>
    <row r="25" customFormat="false" ht="15" hidden="false" customHeight="false" outlineLevel="0" collapsed="false">
      <c r="A25" s="3" t="n">
        <v>8.2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2.67386302745303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2.67386302745303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2.67386302745303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2.67386302745303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2.67386302745303</v>
      </c>
    </row>
    <row r="26" customFormat="false" ht="15" hidden="false" customHeight="false" outlineLevel="0" collapsed="false">
      <c r="A26" s="3" t="n">
        <v>9.2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2.37075733584261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2.45928805003923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2.45928805003923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2.45928805003923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2.45928805003923</v>
      </c>
    </row>
    <row r="27" customFormat="false" ht="15" hidden="false" customHeight="false" outlineLevel="0" collapsed="false">
      <c r="A27" s="3" t="n">
        <v>10.2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2.03285465141754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2.10914561072318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2.19534448682176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2.26333365479353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2.26333365479353</v>
      </c>
    </row>
    <row r="28" customFormat="false" ht="15" hidden="false" customHeight="false" outlineLevel="0" collapsed="false">
      <c r="A28" s="3" t="n">
        <v>11.2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1.76505428647878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1.82128037664297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1.88396923579156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1.95430307776314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2.03377118492583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2026-09-22T11:56:37Z</dcterms:created>
  <dc:creator>openpyxl</dc:creator>
  <dc:description/>
  <dc:language>en-NZ</dc:language>
  <cp:lastModifiedBy/>
  <dcterms:modified xsi:type="dcterms:W3CDTF">2026-09-22T11:56:37Z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