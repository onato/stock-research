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<sst xmlns="http://schemas.openxmlformats.org/spreadsheetml/2006/main" count="370" uniqueCount="171">
  <si>
    <t xml:space="preserve">Ticker</t>
  </si>
  <si>
    <t xml:space="preserve">MFC.TO</t>
  </si>
  <si>
    <t xml:space="preserve">Company</t>
  </si>
  <si>
    <t xml:space="preserve">Manulife Financial Corporation</t>
  </si>
  <si>
    <t xml:space="preserve">Valuation date</t>
  </si>
  <si>
    <t xml:space="preserve">2026-10-10</t>
  </si>
  <si>
    <t xml:space="preserve">Current price</t>
  </si>
  <si>
    <t xml:space="preserve">Price as of</t>
  </si>
  <si>
    <t xml:space="preserve">2026-10-09T20:00:00Z regular close (TSX), Yahoo Finance chart API</t>
  </si>
  <si>
    <t xml:space="preserve">Balance sheet date</t>
  </si>
  <si>
    <t xml:space="preserve">2026-06-30</t>
  </si>
  <si>
    <t xml:space="preserve">Model</t>
  </si>
  <si>
    <t xml:space="preserve">Life insurer FCFE at cost of equity (core earnings to common x distributable conversion, engine route, net debt held at zero)</t>
  </si>
  <si>
    <t xml:space="preserve">Currency (model)</t>
  </si>
  <si>
    <t xml:space="preserve">CAD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</si>
  <si>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</si>
  <si>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</si>
  <si>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</si>
  <si>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</si>
  <si>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</si>
  <si>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</si>
  <si>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2026-10-10T09:47:51Z</t>
  </si>
  <si>
    <t xml:space="preserve">Drivers file</t>
  </si>
  <si>
    <t xml:space="preserve">MFC.TO_Drivers.json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</si>
  <si>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</si>
  <si>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</si>
  <si>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</si>
  <si>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Manulife is valued on what it can distribute to common shareholders, not on accounting book: core earnings available to common (after preferred/LRCN distributions and holdco interest) times a distributable conversion, discounted at a CAD cost of equity with no debt deduction. IFRS 17 book (BVPS 27.48) excludes the 22.7bn net-of-NCI CSM, so the cross-check anchor is adjusted BVPS (41.12 at Jun-26): the base value should sit at a P/adjusted-book consistent with a 16-18% core ROE business earning above a ~9.5% cost of equity.
key_risks_to_valuation: China/Hong Kong regulatory or geopolitical shock to Asia (47% of core earnings, target 50%); Retained U.S. long-term care reserve risk despite three reinsurance transactions; Core-to-net-income gap: core earnings exclude market experience and basis changes; persistent net-income shortfalls (FY2023-25 ~76% of core) mean core overstates distributable earnings if they recur; Interest-rate and equity-market sensitivity of Global WAM fees and CSM; Terminal value share is high in an FCFE model at a 9.5% cost of equity; the 14x FCFE cap is the binding discipline
cross_check: Base IV 64.06 = 1.56x adjusted BVPS (41.12, Jun-26) and ~13.8x FY2026E core EPS (~4.65: H1 2.15 + H2 at ~+10% on 2025's 2.27). The market price sits at ~1.47x adjusted book and ~13x forward core EPS. All three scenarios are bound by the terminal FCFE cap (14x/16x/11x), not Gordon; terminal share of value 45-60%.</t>
  </si>
  <si>
    <t xml:space="preserve">Data sources</t>
  </si>
  <si>
    <t xml:space="preserve">price: Yahoo Finance chart API at inputs.price_as_of; 52-week range 44.16-63.58
financials: MFC.TO_Metrics.csv (core_metrics); Q2-2026 Report to Shareholders and press release (core earnings to common, adjusted BVPS, share count, NCIB); FY2025 Annual MD&amp;A (targets table, remittances); Q4-2025 press release (FY2025 core earnings to common, buybacks)
qualitative: MFC.TO_Analysis.json</t>
  </si>
  <si>
    <t xml:space="preserve">Scenario narrative: bear</t>
  </si>
  <si>
    <t xml:space="preserve">A China/Hong Kong regulatory or geopolitical shock slows Asia new business, Canada's claims experience stays weak and a reserve charge on the retained LTC block forces Manulife to throttle buybacks to defend LICAT. Core earnings grow only 3-4.5% and the stock trades at a mature-insurer multiple on a 10.5% cost of equity.</t>
  </si>
  <si>
    <t xml:space="preserve">Scenario narrative: base</t>
  </si>
  <si>
    <t xml:space="preserve">Manulife delivers the low-middle of its 10-12% core EPS target: aggregate core earnings to common grow ~7.5-8% through 2029 on Asia and Global WAM, with ~2.5% annual buyback shrink. About 72-80% of core earnings is distributed via a 35-45% dividend payout plus NCIB buybacks. Valued as a perpetual FCFE stream at a 9.5% CAD cost of equity, capped at 14x terminal FCFE (~11x core earnings).</t>
  </si>
  <si>
    <t xml:space="preserve">Scenario narrative: bull</t>
  </si>
  <si>
    <t xml:space="preserve">Asia reaches half of core earnings, core ROE clears the 18% 2027 target, the LTC reinsurance with Munich Re de-risks the U.S. book and frees capital, and Global WAM scales on record gross flows. Core earnings compound ~9-10% for five years and the market sustains a premium multiple at a 9% cost of equity.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</si>
  <si>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</si>
  <si>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</si>
  <si>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</si>
  <si>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</si>
  <si>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</si>
  <si>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</si>
  <si>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</si>
  <si>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</si>
  <si>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</si>
  <si>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</si>
  <si>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</si>
  <si>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</si>
  <si>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</si>
  <si>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</si>
  <si>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</si>
  <si>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</si>
  <si>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</si>
  <si>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</si>
  <si>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</si>
  <si>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</si>
  <si>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</si>
  <si>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</si>
  <si>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</si>
  <si>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</si>
  <si>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</si>
  <si>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</si>
  <si>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</si>
  <si>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BookValuePerShare</t>
  </si>
  <si>
    <t xml:space="preserve">InsuranceServiceResult</t>
  </si>
  <si>
    <t xml:space="preserve">InterestPaid</t>
  </si>
  <si>
    <t xml:space="preserve">NetInvestmentIncome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</si>
  <si>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</si>
  <si>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</si>
  <si>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</si>
  <si>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</si>
  <si>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</si>
  <si>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</si>
  <si>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</si>
  <si>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</si>
  <si>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</si>
  <si>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</si>
  <si>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</si>
  <si>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</si>
  <si>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</si>
  <si>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</si>
  <si>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</si>
  <si>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</si>
  <si>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</si>
  <si>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</si>
  <si>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</si>
  <si>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</si>
  <si>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</si>
  <si>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</si>
  <si>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CAD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</si>
  <si>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</si>
  <si>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</si>
  <si>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</si>
  <si>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</si>
  <si>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</si>
  <si>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</si>
  <si>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</si>
  <si>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</si>
  <si>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</si>
  <si>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</si>
  <si>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</si>
  <si>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</si>
  <si>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</si>
  <si>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</si>
  <si>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</si>
  <si>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</si>
  <si>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</si>
  <si>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</si>
  <si>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</si>
  <si>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</si>
  <si>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</si>
  <si>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</si>
  <si>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</si>
  <si>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</si>
  <si>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</si>
  <si>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</si>
  <si>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MFC.TO owner-FCF component DCF: bear case (millions, CAD)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</si>
  <si>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</si>
  <si>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</si>
  <si>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</si>
  <si>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</si>
  <si>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</si>
  <si>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</si>
  <si>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</si>
  <si>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</si>
  <si>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</si>
  <si>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</si>
  <si>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</si>
  <si>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</si>
  <si>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</si>
  <si>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</si>
  <si>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</si>
  <si>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</si>
  <si>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</si>
  <si>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</si>
  <si>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</si>
  <si>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</si>
  <si>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</si>
  <si>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</si>
  <si>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</si>
  <si>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</si>
  <si>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</si>
  <si>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</si>
  <si>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</si>
  <si>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</si>
  <si>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</si>
  <si>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</si>
  <si>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MFC.TO owner-FCF component DCF: base case (millions, CAD)</t>
  </si>
  <si>
    <t xml:space="preserve">MFC.TO owner-FCF component DCF: bull case (millions, CAD)</t>
  </si>
  <si>
    <t xml:space="preserve">MFC.TO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</si>
  <si>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</si>
  <si>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</si>
  <si>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</si>
  <si>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</si>
  <si>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</si>
  <si>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</si>
  <si>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</si>
  <si>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</si>
  <si>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</si>
  <si>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</si>
  <si>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</si>
  <si>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</si>
  <si>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</si>
  <si>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</si>
  <si>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</si>
  <si>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9.5%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</si>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</sst>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60.55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35.0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  <c r="AC1" s="2" t="s">
        <v>63</v>
      </c>
      <c r="AD1" s="2" t="s">
        <v>64</v>
      </c>
      <c r="AE1" s="2" t="s">
        <v>65</v>
      </c>
      <c r="AF1" s="2" t="s">
        <v>66</v>
      </c>
    </row>
    <row r="2" customFormat="false" ht="15" hidden="false" customHeight="false" outlineLevel="0" collapsed="false">
      <c r="A2" s="0" t="s">
        <v>67</v>
      </c>
      <c r="B2" s="0" t="n">
        <v>54522</v>
      </c>
      <c r="I2" s="0" t="n">
        <v>3501</v>
      </c>
      <c r="K2" s="0" t="n">
        <v>1.8</v>
      </c>
      <c r="L2" s="0" t="n">
        <v>10806</v>
      </c>
      <c r="O2" s="0" t="n">
        <v>33306</v>
      </c>
      <c r="P2" s="0" t="n">
        <v>579406</v>
      </c>
      <c r="Q2" s="0" t="n">
        <v>545480</v>
      </c>
      <c r="R2" s="0" t="n">
        <v>9311</v>
      </c>
      <c r="S2" s="0" t="n">
        <v>21079</v>
      </c>
      <c r="T2" s="0" t="n">
        <v>1881</v>
      </c>
      <c r="V2" s="0" t="n">
        <v>0.57</v>
      </c>
      <c r="AA2" s="0" t="s">
        <v>17</v>
      </c>
      <c r="AB2" s="0" t="s">
        <v>14</v>
      </c>
      <c r="AE2" s="0" t="n">
        <v>1079</v>
      </c>
    </row>
    <row r="3" customFormat="false" ht="15" hidden="false" customHeight="false" outlineLevel="0" collapsed="false">
      <c r="A3" s="0" t="s">
        <v>68</v>
      </c>
      <c r="B3" s="0" t="n">
        <v>34430</v>
      </c>
      <c r="I3" s="0" t="n">
        <v>2191</v>
      </c>
      <c r="K3" s="0" t="n">
        <v>1.05</v>
      </c>
      <c r="L3" s="0" t="n">
        <v>10334</v>
      </c>
      <c r="O3" s="0" t="n">
        <v>41159</v>
      </c>
      <c r="P3" s="0" t="n">
        <v>704643</v>
      </c>
      <c r="Q3" s="0" t="n">
        <v>662705</v>
      </c>
      <c r="R3" s="0" t="n">
        <v>9548</v>
      </c>
      <c r="S3" s="0" t="n">
        <v>17885</v>
      </c>
      <c r="T3" s="0" t="n">
        <v>1977</v>
      </c>
      <c r="V3" s="0" t="n">
        <v>0.68</v>
      </c>
      <c r="AA3" s="0" t="s">
        <v>17</v>
      </c>
      <c r="AB3" s="0" t="s">
        <v>14</v>
      </c>
      <c r="AE3" s="0" t="n">
        <v>1086</v>
      </c>
    </row>
    <row r="4" customFormat="false" ht="15" hidden="false" customHeight="false" outlineLevel="0" collapsed="false">
      <c r="A4" s="0" t="s">
        <v>69</v>
      </c>
      <c r="B4" s="0" t="n">
        <v>53337</v>
      </c>
      <c r="I4" s="0" t="n">
        <v>2929</v>
      </c>
      <c r="K4" s="0" t="n">
        <v>1.41</v>
      </c>
      <c r="L4" s="0" t="n">
        <v>17036</v>
      </c>
      <c r="O4" s="0" t="n">
        <v>41832</v>
      </c>
      <c r="P4" s="0" t="n">
        <v>720681</v>
      </c>
      <c r="Q4" s="0" t="n">
        <v>677858</v>
      </c>
      <c r="R4" s="0" t="n">
        <v>12876</v>
      </c>
      <c r="S4" s="0" t="n">
        <v>15151</v>
      </c>
      <c r="T4" s="0" t="n">
        <v>1977</v>
      </c>
      <c r="V4" s="0" t="n">
        <v>0.74</v>
      </c>
      <c r="AA4" s="0" t="s">
        <v>17</v>
      </c>
      <c r="AB4" s="0" t="s">
        <v>14</v>
      </c>
      <c r="AE4" s="0" t="n">
        <v>983</v>
      </c>
    </row>
    <row r="5" customFormat="false" ht="15" hidden="false" customHeight="false" outlineLevel="0" collapsed="false">
      <c r="A5" s="0" t="s">
        <v>70</v>
      </c>
      <c r="B5" s="0" t="n">
        <v>58323</v>
      </c>
      <c r="I5" s="0" t="n">
        <v>2104</v>
      </c>
      <c r="K5" s="0" t="n">
        <v>0.98</v>
      </c>
      <c r="L5" s="0" t="n">
        <v>17791</v>
      </c>
      <c r="O5" s="0" t="n">
        <v>41013</v>
      </c>
      <c r="P5" s="0" t="n">
        <v>729533</v>
      </c>
      <c r="Q5" s="0" t="n">
        <v>687370</v>
      </c>
      <c r="R5" s="0" t="n">
        <v>13172</v>
      </c>
      <c r="S5" s="0" t="n">
        <v>15965</v>
      </c>
      <c r="T5" s="0" t="n">
        <v>1986</v>
      </c>
      <c r="V5" s="0" t="n">
        <v>0.82</v>
      </c>
      <c r="AA5" s="0" t="s">
        <v>17</v>
      </c>
      <c r="AB5" s="0" t="s">
        <v>14</v>
      </c>
      <c r="AE5" s="0" t="n">
        <v>1118</v>
      </c>
    </row>
    <row r="6" customFormat="false" ht="15" hidden="false" customHeight="false" outlineLevel="0" collapsed="false">
      <c r="A6" s="0" t="s">
        <v>71</v>
      </c>
      <c r="B6" s="0" t="n">
        <v>38972</v>
      </c>
      <c r="I6" s="0" t="n">
        <v>4800</v>
      </c>
      <c r="K6" s="0" t="n">
        <v>2.33</v>
      </c>
      <c r="L6" s="0" t="n">
        <v>19188</v>
      </c>
      <c r="O6" s="0" t="n">
        <v>45964</v>
      </c>
      <c r="P6" s="0" t="n">
        <v>750271</v>
      </c>
      <c r="Q6" s="0" t="n">
        <v>703120</v>
      </c>
      <c r="R6" s="0" t="n">
        <v>13501</v>
      </c>
      <c r="S6" s="0" t="n">
        <v>16215</v>
      </c>
      <c r="T6" s="0" t="n">
        <v>1988</v>
      </c>
      <c r="V6" s="0" t="n">
        <v>0.91</v>
      </c>
      <c r="AA6" s="0" t="s">
        <v>17</v>
      </c>
      <c r="AB6" s="0" t="s">
        <v>14</v>
      </c>
      <c r="AE6" s="0" t="n">
        <v>1212</v>
      </c>
    </row>
    <row r="7" customFormat="false" ht="15" hidden="false" customHeight="false" outlineLevel="0" collapsed="false">
      <c r="A7" s="0" t="s">
        <v>72</v>
      </c>
      <c r="B7" s="0" t="n">
        <v>79570</v>
      </c>
      <c r="I7" s="0" t="n">
        <v>5602</v>
      </c>
      <c r="K7" s="0" t="n">
        <v>2.77</v>
      </c>
      <c r="L7" s="0" t="n">
        <v>20542</v>
      </c>
      <c r="O7" s="0" t="n">
        <v>49138</v>
      </c>
      <c r="P7" s="0" t="n">
        <v>809130</v>
      </c>
      <c r="Q7" s="0" t="n">
        <v>759024</v>
      </c>
      <c r="R7" s="0" t="n">
        <v>11663</v>
      </c>
      <c r="S7" s="0" t="n">
        <v>20300</v>
      </c>
      <c r="T7" s="0" t="n">
        <v>1962</v>
      </c>
      <c r="V7" s="0" t="n">
        <v>1</v>
      </c>
      <c r="AA7" s="0" t="s">
        <v>17</v>
      </c>
      <c r="AB7" s="0" t="s">
        <v>14</v>
      </c>
      <c r="AC7" s="0" t="n">
        <v>23.1</v>
      </c>
      <c r="AE7" s="0" t="n">
        <v>1299</v>
      </c>
    </row>
    <row r="8" customFormat="false" ht="15" hidden="false" customHeight="false" outlineLevel="0" collapsed="false">
      <c r="A8" s="0" t="s">
        <v>73</v>
      </c>
      <c r="B8" s="0" t="n">
        <v>78908</v>
      </c>
      <c r="I8" s="0" t="n">
        <v>5871</v>
      </c>
      <c r="K8" s="0" t="n">
        <v>2.93</v>
      </c>
      <c r="L8" s="0" t="n">
        <v>20048</v>
      </c>
      <c r="O8" s="0" t="n">
        <v>52335</v>
      </c>
      <c r="P8" s="0" t="n">
        <v>880349</v>
      </c>
      <c r="Q8" s="0" t="n">
        <v>827343</v>
      </c>
      <c r="R8" s="0" t="n">
        <v>13993</v>
      </c>
      <c r="S8" s="0" t="n">
        <v>26167</v>
      </c>
      <c r="T8" s="0" t="n">
        <v>1943</v>
      </c>
      <c r="V8" s="0" t="n">
        <v>1.12</v>
      </c>
      <c r="AA8" s="0" t="s">
        <v>17</v>
      </c>
      <c r="AB8" s="0" t="s">
        <v>14</v>
      </c>
      <c r="AC8" s="0" t="n">
        <v>24.97</v>
      </c>
      <c r="AE8" s="0" t="n">
        <v>1188</v>
      </c>
    </row>
    <row r="9" customFormat="false" ht="15" hidden="false" customHeight="false" outlineLevel="0" collapsed="false">
      <c r="A9" s="0" t="s">
        <v>74</v>
      </c>
      <c r="B9" s="0" t="n">
        <v>61821</v>
      </c>
      <c r="I9" s="0" t="n">
        <v>7105</v>
      </c>
      <c r="K9" s="0" t="n">
        <v>3.54</v>
      </c>
      <c r="L9" s="0" t="n">
        <v>23155</v>
      </c>
      <c r="O9" s="0" t="n">
        <v>58408</v>
      </c>
      <c r="P9" s="0" t="n">
        <v>917643</v>
      </c>
      <c r="Q9" s="0" t="n">
        <v>858774</v>
      </c>
      <c r="R9" s="0" t="n">
        <v>11862</v>
      </c>
      <c r="S9" s="0" t="n">
        <v>22594</v>
      </c>
      <c r="T9" s="0" t="n">
        <v>1946</v>
      </c>
      <c r="V9" s="0" t="n">
        <v>1.17</v>
      </c>
      <c r="AA9" s="0" t="s">
        <v>17</v>
      </c>
      <c r="AB9" s="0" t="s">
        <v>14</v>
      </c>
      <c r="AC9" s="0" t="n">
        <v>26.74</v>
      </c>
      <c r="AE9" s="0" t="n">
        <v>981</v>
      </c>
    </row>
    <row r="10" customFormat="false" ht="15" hidden="false" customHeight="false" outlineLevel="0" collapsed="false">
      <c r="A10" s="0" t="s">
        <v>75</v>
      </c>
      <c r="B10" s="0" t="n">
        <v>17147</v>
      </c>
      <c r="I10" s="0" t="n">
        <v>7294</v>
      </c>
      <c r="K10" s="0" t="n">
        <v>3.68</v>
      </c>
      <c r="L10" s="0" t="n">
        <v>17735</v>
      </c>
      <c r="O10" s="0" t="n">
        <v>56061</v>
      </c>
      <c r="P10" s="0" t="n">
        <v>848941</v>
      </c>
      <c r="Q10" s="0" t="n">
        <v>792562</v>
      </c>
      <c r="R10" s="0" t="n">
        <v>12356</v>
      </c>
      <c r="S10" s="0" t="n">
        <v>19153</v>
      </c>
      <c r="T10" s="0" t="n">
        <v>1913</v>
      </c>
      <c r="V10" s="0" t="n">
        <v>1.32</v>
      </c>
      <c r="AA10" s="0" t="s">
        <v>17</v>
      </c>
      <c r="AB10" s="0" t="s">
        <v>14</v>
      </c>
      <c r="AC10" s="0" t="n">
        <v>25.82</v>
      </c>
      <c r="AE10" s="0" t="n">
        <v>1248</v>
      </c>
    </row>
    <row r="11" customFormat="false" ht="15" hidden="false" customHeight="false" outlineLevel="0" collapsed="false">
      <c r="A11" s="0" t="s">
        <v>76</v>
      </c>
      <c r="B11" s="0" t="n">
        <v>48739</v>
      </c>
      <c r="I11" s="0" t="n">
        <v>5103</v>
      </c>
      <c r="K11" s="0" t="n">
        <v>2.61</v>
      </c>
      <c r="L11" s="0" t="n">
        <v>20423</v>
      </c>
      <c r="O11" s="0" t="n">
        <v>47039</v>
      </c>
      <c r="P11" s="0" t="n">
        <v>875574</v>
      </c>
      <c r="Q11" s="0" t="n">
        <v>826847</v>
      </c>
      <c r="R11" s="0" t="n">
        <v>12738</v>
      </c>
      <c r="S11" s="0" t="n">
        <v>20338</v>
      </c>
      <c r="T11" s="0" t="n">
        <v>1838</v>
      </c>
      <c r="V11" s="0" t="n">
        <v>1.46</v>
      </c>
      <c r="AA11" s="0" t="s">
        <v>17</v>
      </c>
      <c r="AB11" s="0" t="s">
        <v>14</v>
      </c>
      <c r="AC11" s="0" t="n">
        <v>21.97</v>
      </c>
      <c r="AD11" s="0" t="n">
        <v>3977</v>
      </c>
      <c r="AE11" s="0" t="n">
        <v>1548</v>
      </c>
      <c r="AF11" s="0" t="n">
        <v>18021</v>
      </c>
    </row>
    <row r="12" customFormat="false" ht="15" hidden="false" customHeight="false" outlineLevel="0" collapsed="false">
      <c r="A12" s="0" t="s">
        <v>77</v>
      </c>
      <c r="B12" s="0" t="n">
        <v>53291</v>
      </c>
      <c r="I12" s="0" t="n">
        <v>5385</v>
      </c>
      <c r="K12" s="0" t="n">
        <v>2.84</v>
      </c>
      <c r="L12" s="0" t="n">
        <v>26494</v>
      </c>
      <c r="O12" s="0" t="n">
        <v>50972</v>
      </c>
      <c r="P12" s="0" t="n">
        <v>978818</v>
      </c>
      <c r="Q12" s="0" t="n">
        <v>925858</v>
      </c>
      <c r="R12" s="0" t="n">
        <v>14161</v>
      </c>
      <c r="S12" s="0" t="n">
        <v>25789</v>
      </c>
      <c r="T12" s="0" t="n">
        <v>1785</v>
      </c>
      <c r="V12" s="0" t="n">
        <v>1.6</v>
      </c>
      <c r="AA12" s="0" t="s">
        <v>17</v>
      </c>
      <c r="AB12" s="0" t="s">
        <v>14</v>
      </c>
      <c r="AC12" s="0" t="n">
        <v>24.82</v>
      </c>
      <c r="AD12" s="0" t="n">
        <v>4001</v>
      </c>
      <c r="AE12" s="0" t="n">
        <v>1574</v>
      </c>
      <c r="AF12" s="0" t="n">
        <v>19111</v>
      </c>
    </row>
    <row r="13" customFormat="false" ht="15" hidden="false" customHeight="false" outlineLevel="0" collapsed="false">
      <c r="A13" s="0" t="s">
        <v>78</v>
      </c>
      <c r="B13" s="0" t="n">
        <v>60964</v>
      </c>
      <c r="I13" s="0" t="n">
        <v>5572</v>
      </c>
      <c r="K13" s="0" t="n">
        <v>3.07</v>
      </c>
      <c r="L13" s="0" t="n">
        <v>32105</v>
      </c>
      <c r="O13" s="0" t="n">
        <v>50121</v>
      </c>
      <c r="P13" s="0" t="n">
        <v>1025433</v>
      </c>
      <c r="Q13" s="0" t="n">
        <v>972945</v>
      </c>
      <c r="R13" s="0" t="n">
        <v>14675</v>
      </c>
      <c r="S13" s="0" t="n">
        <v>26703</v>
      </c>
      <c r="T13" s="0" t="n">
        <v>1708</v>
      </c>
      <c r="V13" s="0" t="n">
        <v>1.76</v>
      </c>
      <c r="AA13" s="0" t="s">
        <v>17</v>
      </c>
      <c r="AB13" s="0" t="s">
        <v>14</v>
      </c>
      <c r="AC13" s="0" t="n">
        <v>25.45</v>
      </c>
      <c r="AD13" s="0" t="n">
        <v>4526</v>
      </c>
      <c r="AE13" s="0" t="n">
        <v>1515</v>
      </c>
      <c r="AF13" s="0" t="n">
        <v>23947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79</v>
      </c>
      <c r="B1" s="2" t="s">
        <v>80</v>
      </c>
    </row>
    <row r="2" customFormat="false" ht="15" hidden="false" customHeight="false" outlineLevel="0" collapsed="false">
      <c r="A2" s="0" t="s">
        <v>81</v>
      </c>
      <c r="B2" s="3" t="n">
        <v>60.55</v>
      </c>
    </row>
    <row r="3" customFormat="false" ht="15" hidden="false" customHeight="false" outlineLevel="0" collapsed="false">
      <c r="A3" s="0" t="s">
        <v>82</v>
      </c>
      <c r="B3" s="3" t="n">
        <v>1663</v>
      </c>
    </row>
    <row r="4" customFormat="false" ht="15" hidden="false" customHeight="false" outlineLevel="0" collapsed="false">
      <c r="A4" s="0" t="s">
        <v>83</v>
      </c>
      <c r="B4" s="3" t="n">
        <v>0</v>
      </c>
    </row>
    <row r="5" customFormat="false" ht="15" hidden="false" customHeight="false" outlineLevel="0" collapsed="false">
      <c r="A5" s="0" t="s">
        <v>84</v>
      </c>
      <c r="B5" s="3" t="n">
        <v>0</v>
      </c>
    </row>
    <row r="6" customFormat="false" ht="15" hidden="false" customHeight="false" outlineLevel="0" collapsed="false">
      <c r="A6" s="0" t="s">
        <v>85</v>
      </c>
      <c r="B6" s="3" t="n">
        <v>15</v>
      </c>
    </row>
    <row r="7" customFormat="false" ht="15" hidden="false" customHeight="false" outlineLevel="0" collapsed="false">
      <c r="A7" s="0" t="s">
        <v>86</v>
      </c>
      <c r="B7" s="3" t="n">
        <v>7200</v>
      </c>
    </row>
    <row r="8" customFormat="false" ht="15" hidden="false" customHeight="false" outlineLevel="0" collapsed="false">
      <c r="A8" s="0" t="s">
        <v>87</v>
      </c>
      <c r="B8" s="3" t="s">
        <v>78</v>
      </c>
    </row>
    <row r="9" customFormat="false" ht="15" hidden="false" customHeight="false" outlineLevel="0" collapsed="false">
      <c r="A9" s="0" t="s">
        <v>88</v>
      </c>
      <c r="B9" s="3" t="s">
        <v>89</v>
      </c>
    </row>
    <row r="10" customFormat="false" ht="15" hidden="false" customHeight="false" outlineLevel="0" collapsed="false">
      <c r="A10" s="0" t="s">
        <v>90</v>
      </c>
      <c r="B10" s="3" t="n">
        <v>1</v>
      </c>
    </row>
    <row r="12" customFormat="false" ht="15" hidden="false" customHeight="false" outlineLevel="0" collapsed="false">
      <c r="A12" s="2" t="s">
        <v>91</v>
      </c>
      <c r="C12" s="2" t="s">
        <v>92</v>
      </c>
      <c r="D12" s="2" t="s">
        <v>93</v>
      </c>
      <c r="E12" s="2" t="s">
        <v>94</v>
      </c>
      <c r="F12" s="2" t="s">
        <v>95</v>
      </c>
      <c r="G12" s="2" t="s">
        <v>96</v>
      </c>
      <c r="H12" s="2" t="s">
        <v>97</v>
      </c>
      <c r="I12" s="2" t="s">
        <v>98</v>
      </c>
      <c r="J12" s="2" t="s">
        <v>99</v>
      </c>
      <c r="K12" s="2" t="s">
        <v>100</v>
      </c>
      <c r="L12" s="2" t="s">
        <v>101</v>
      </c>
    </row>
    <row r="13" customFormat="false" ht="15" hidden="false" customHeight="false" outlineLevel="0" collapsed="false">
      <c r="A13" s="0" t="s">
        <v>102</v>
      </c>
      <c r="C13" s="3" t="n">
        <v>4</v>
      </c>
      <c r="D13" s="3" t="n">
        <v>4</v>
      </c>
      <c r="E13" s="3" t="n">
        <v>4.5</v>
      </c>
      <c r="F13" s="3" t="n">
        <v>4.5</v>
      </c>
      <c r="G13" s="3" t="n">
        <v>4</v>
      </c>
      <c r="H13" s="3" t="n">
        <v>3.5</v>
      </c>
      <c r="I13" s="3" t="n">
        <v>3</v>
      </c>
      <c r="J13" s="3" t="n">
        <v>3</v>
      </c>
      <c r="K13" s="3" t="n">
        <v>2.5</v>
      </c>
      <c r="L13" s="3" t="n">
        <v>2.5</v>
      </c>
    </row>
    <row r="14" customFormat="false" ht="15" hidden="false" customHeight="false" outlineLevel="0" collapsed="false">
      <c r="A14" s="0" t="s">
        <v>103</v>
      </c>
      <c r="C14" s="3" t="n">
        <v>65</v>
      </c>
      <c r="D14" s="3" t="n">
        <v>65</v>
      </c>
      <c r="E14" s="3" t="n">
        <v>66</v>
      </c>
      <c r="F14" s="3" t="n">
        <v>67</v>
      </c>
      <c r="G14" s="3" t="n">
        <v>68</v>
      </c>
      <c r="H14" s="3" t="n">
        <v>69</v>
      </c>
      <c r="I14" s="3" t="n">
        <v>70</v>
      </c>
      <c r="J14" s="3" t="n">
        <v>70</v>
      </c>
      <c r="K14" s="3" t="n">
        <v>70</v>
      </c>
      <c r="L14" s="3" t="n">
        <v>70</v>
      </c>
    </row>
    <row r="15" customFormat="false" ht="15" hidden="false" customHeight="false" outlineLevel="0" collapsed="false">
      <c r="A15" s="0" t="s">
        <v>104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 customFormat="false" ht="15" hidden="false" customHeight="false" outlineLevel="0" collapsed="false">
      <c r="A16" s="0" t="s">
        <v>105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106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</row>
    <row r="18" customFormat="false" ht="15" hidden="false" customHeight="false" outlineLevel="0" collapsed="false">
      <c r="A18" s="0" t="s">
        <v>107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</row>
    <row r="19" customFormat="false" ht="15" hidden="false" customHeight="false" outlineLevel="0" collapsed="false">
      <c r="A19" s="0" t="s">
        <v>108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</row>
    <row r="20" customFormat="false" ht="15" hidden="false" customHeight="false" outlineLevel="0" collapsed="false">
      <c r="A20" s="0" t="s">
        <v>109</v>
      </c>
      <c r="B20" s="3" t="n">
        <v>10.5</v>
      </c>
    </row>
    <row r="21" customFormat="false" ht="15" hidden="false" customHeight="false" outlineLevel="0" collapsed="false">
      <c r="A21" s="0" t="s">
        <v>110</v>
      </c>
      <c r="B21" s="3" t="n">
        <v>2.5</v>
      </c>
    </row>
    <row r="22" customFormat="false" ht="15" hidden="false" customHeight="false" outlineLevel="0" collapsed="false">
      <c r="A22" s="0" t="s">
        <v>111</v>
      </c>
      <c r="B22" s="3" t="n">
        <v>11</v>
      </c>
    </row>
    <row r="23" customFormat="false" ht="15" hidden="false" customHeight="false" outlineLevel="0" collapsed="false">
      <c r="A23" s="0" t="s">
        <v>112</v>
      </c>
      <c r="B23" s="3" t="n">
        <v>0</v>
      </c>
    </row>
    <row r="24" customFormat="false" ht="15" hidden="false" customHeight="false" outlineLevel="0" collapsed="false">
      <c r="A24" s="0" t="s">
        <v>113</v>
      </c>
      <c r="B24" s="3" t="n">
        <v>0.25</v>
      </c>
    </row>
    <row r="26" customFormat="false" ht="15" hidden="false" customHeight="false" outlineLevel="0" collapsed="false">
      <c r="A26" s="2" t="s">
        <v>114</v>
      </c>
      <c r="C26" s="2" t="s">
        <v>92</v>
      </c>
      <c r="D26" s="2" t="s">
        <v>93</v>
      </c>
      <c r="E26" s="2" t="s">
        <v>94</v>
      </c>
      <c r="F26" s="2" t="s">
        <v>95</v>
      </c>
      <c r="G26" s="2" t="s">
        <v>96</v>
      </c>
      <c r="H26" s="2" t="s">
        <v>97</v>
      </c>
      <c r="I26" s="2" t="s">
        <v>98</v>
      </c>
      <c r="J26" s="2" t="s">
        <v>99</v>
      </c>
      <c r="K26" s="2" t="s">
        <v>100</v>
      </c>
      <c r="L26" s="2" t="s">
        <v>101</v>
      </c>
    </row>
    <row r="27" customFormat="false" ht="15" hidden="false" customHeight="false" outlineLevel="0" collapsed="false">
      <c r="A27" s="0" t="s">
        <v>102</v>
      </c>
      <c r="C27" s="3" t="n">
        <v>7.5</v>
      </c>
      <c r="D27" s="3" t="n">
        <v>8</v>
      </c>
      <c r="E27" s="3" t="n">
        <v>8</v>
      </c>
      <c r="F27" s="3" t="n">
        <v>7.5</v>
      </c>
      <c r="G27" s="3" t="n">
        <v>7</v>
      </c>
      <c r="H27" s="3" t="n">
        <v>6</v>
      </c>
      <c r="I27" s="3" t="n">
        <v>5</v>
      </c>
      <c r="J27" s="3" t="n">
        <v>4.5</v>
      </c>
      <c r="K27" s="3" t="n">
        <v>4</v>
      </c>
      <c r="L27" s="3" t="n">
        <v>3.5</v>
      </c>
    </row>
    <row r="28" customFormat="false" ht="15" hidden="false" customHeight="false" outlineLevel="0" collapsed="false">
      <c r="A28" s="0" t="s">
        <v>103</v>
      </c>
      <c r="C28" s="3" t="n">
        <v>72</v>
      </c>
      <c r="D28" s="3" t="n">
        <v>72</v>
      </c>
      <c r="E28" s="3" t="n">
        <v>73</v>
      </c>
      <c r="F28" s="3" t="n">
        <v>74</v>
      </c>
      <c r="G28" s="3" t="n">
        <v>75</v>
      </c>
      <c r="H28" s="3" t="n">
        <v>76</v>
      </c>
      <c r="I28" s="3" t="n">
        <v>77</v>
      </c>
      <c r="J28" s="3" t="n">
        <v>78</v>
      </c>
      <c r="K28" s="3" t="n">
        <v>79</v>
      </c>
      <c r="L28" s="3" t="n">
        <v>80</v>
      </c>
    </row>
    <row r="29" customFormat="false" ht="15" hidden="false" customHeight="false" outlineLevel="0" collapsed="false">
      <c r="A29" s="0" t="s">
        <v>104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</row>
    <row r="30" customFormat="false" ht="15" hidden="false" customHeight="false" outlineLevel="0" collapsed="false">
      <c r="A30" s="0" t="s">
        <v>105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106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</row>
    <row r="32" customFormat="false" ht="15" hidden="false" customHeight="false" outlineLevel="0" collapsed="false">
      <c r="A32" s="0" t="s">
        <v>107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</row>
    <row r="33" customFormat="false" ht="15" hidden="false" customHeight="false" outlineLevel="0" collapsed="false">
      <c r="A33" s="0" t="s">
        <v>108</v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</row>
    <row r="34" customFormat="false" ht="15" hidden="false" customHeight="false" outlineLevel="0" collapsed="false">
      <c r="A34" s="0" t="s">
        <v>109</v>
      </c>
      <c r="B34" s="3" t="n">
        <v>9.5</v>
      </c>
    </row>
    <row r="35" customFormat="false" ht="15" hidden="false" customHeight="false" outlineLevel="0" collapsed="false">
      <c r="A35" s="0" t="s">
        <v>110</v>
      </c>
      <c r="B35" s="3" t="n">
        <v>3</v>
      </c>
    </row>
    <row r="36" customFormat="false" ht="15" hidden="false" customHeight="false" outlineLevel="0" collapsed="false">
      <c r="A36" s="0" t="s">
        <v>111</v>
      </c>
      <c r="B36" s="3" t="n">
        <v>14</v>
      </c>
    </row>
    <row r="37" customFormat="false" ht="15" hidden="false" customHeight="false" outlineLevel="0" collapsed="false">
      <c r="A37" s="0" t="s">
        <v>112</v>
      </c>
      <c r="B37" s="3" t="n">
        <v>0</v>
      </c>
    </row>
    <row r="38" customFormat="false" ht="15" hidden="false" customHeight="false" outlineLevel="0" collapsed="false">
      <c r="A38" s="0" t="s">
        <v>113</v>
      </c>
      <c r="B38" s="3" t="n">
        <v>0.5</v>
      </c>
    </row>
    <row r="40" customFormat="false" ht="15" hidden="false" customHeight="false" outlineLevel="0" collapsed="false">
      <c r="A40" s="2" t="s">
        <v>115</v>
      </c>
      <c r="C40" s="2" t="s">
        <v>92</v>
      </c>
      <c r="D40" s="2" t="s">
        <v>93</v>
      </c>
      <c r="E40" s="2" t="s">
        <v>94</v>
      </c>
      <c r="F40" s="2" t="s">
        <v>95</v>
      </c>
      <c r="G40" s="2" t="s">
        <v>96</v>
      </c>
      <c r="H40" s="2" t="s">
        <v>97</v>
      </c>
      <c r="I40" s="2" t="s">
        <v>98</v>
      </c>
      <c r="J40" s="2" t="s">
        <v>99</v>
      </c>
      <c r="K40" s="2" t="s">
        <v>100</v>
      </c>
      <c r="L40" s="2" t="s">
        <v>101</v>
      </c>
    </row>
    <row r="41" customFormat="false" ht="15" hidden="false" customHeight="false" outlineLevel="0" collapsed="false">
      <c r="A41" s="0" t="s">
        <v>102</v>
      </c>
      <c r="C41" s="3" t="n">
        <v>9</v>
      </c>
      <c r="D41" s="3" t="n">
        <v>10</v>
      </c>
      <c r="E41" s="3" t="n">
        <v>10</v>
      </c>
      <c r="F41" s="3" t="n">
        <v>9.5</v>
      </c>
      <c r="G41" s="3" t="n">
        <v>9</v>
      </c>
      <c r="H41" s="3" t="n">
        <v>8</v>
      </c>
      <c r="I41" s="3" t="n">
        <v>7</v>
      </c>
      <c r="J41" s="3" t="n">
        <v>6</v>
      </c>
      <c r="K41" s="3" t="n">
        <v>5</v>
      </c>
      <c r="L41" s="3" t="n">
        <v>4</v>
      </c>
    </row>
    <row r="42" customFormat="false" ht="15" hidden="false" customHeight="false" outlineLevel="0" collapsed="false">
      <c r="A42" s="0" t="s">
        <v>103</v>
      </c>
      <c r="C42" s="3" t="n">
        <v>75</v>
      </c>
      <c r="D42" s="3" t="n">
        <v>76</v>
      </c>
      <c r="E42" s="3" t="n">
        <v>77</v>
      </c>
      <c r="F42" s="3" t="n">
        <v>78</v>
      </c>
      <c r="G42" s="3" t="n">
        <v>79</v>
      </c>
      <c r="H42" s="3" t="n">
        <v>80</v>
      </c>
      <c r="I42" s="3" t="n">
        <v>81</v>
      </c>
      <c r="J42" s="3" t="n">
        <v>82</v>
      </c>
      <c r="K42" s="3" t="n">
        <v>82</v>
      </c>
      <c r="L42" s="3" t="n">
        <v>82</v>
      </c>
    </row>
    <row r="43" customFormat="false" ht="15" hidden="false" customHeight="false" outlineLevel="0" collapsed="false">
      <c r="A43" s="0" t="s">
        <v>104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 customFormat="false" ht="15" hidden="false" customHeight="false" outlineLevel="0" collapsed="false">
      <c r="A44" s="0" t="s">
        <v>105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106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</row>
    <row r="46" customFormat="false" ht="15" hidden="false" customHeight="false" outlineLevel="0" collapsed="false">
      <c r="A46" s="0" t="s">
        <v>107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</row>
    <row r="47" customFormat="false" ht="15" hidden="false" customHeight="false" outlineLevel="0" collapsed="false">
      <c r="A47" s="0" t="s">
        <v>108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</row>
    <row r="48" customFormat="false" ht="15" hidden="false" customHeight="false" outlineLevel="0" collapsed="false">
      <c r="A48" s="0" t="s">
        <v>109</v>
      </c>
      <c r="B48" s="3" t="n">
        <v>9</v>
      </c>
    </row>
    <row r="49" customFormat="false" ht="15" hidden="false" customHeight="false" outlineLevel="0" collapsed="false">
      <c r="A49" s="0" t="s">
        <v>110</v>
      </c>
      <c r="B49" s="3" t="n">
        <v>3.5</v>
      </c>
    </row>
    <row r="50" customFormat="false" ht="15" hidden="false" customHeight="false" outlineLevel="0" collapsed="false">
      <c r="A50" s="0" t="s">
        <v>111</v>
      </c>
      <c r="B50" s="3" t="n">
        <v>16</v>
      </c>
    </row>
    <row r="51" customFormat="false" ht="15" hidden="false" customHeight="false" outlineLevel="0" collapsed="false">
      <c r="A51" s="0" t="s">
        <v>112</v>
      </c>
      <c r="B51" s="3" t="n">
        <v>0</v>
      </c>
    </row>
    <row r="52" customFormat="false" ht="15" hidden="false" customHeight="false" outlineLevel="0" collapsed="false">
      <c r="A52" s="0" t="s">
        <v>113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116</v>
      </c>
    </row>
    <row r="3" customFormat="false" ht="15" hidden="false" customHeight="false" outlineLevel="0" collapsed="false">
      <c r="A3" s="0" t="s">
        <v>117</v>
      </c>
      <c r="B3" s="0" t="s">
        <v>78</v>
      </c>
      <c r="C3" s="2" t="s">
        <v>92</v>
      </c>
      <c r="D3" s="2" t="s">
        <v>93</v>
      </c>
      <c r="E3" s="2" t="s">
        <v>94</v>
      </c>
      <c r="F3" s="2" t="s">
        <v>95</v>
      </c>
      <c r="G3" s="2" t="s">
        <v>96</v>
      </c>
      <c r="H3" s="2" t="s">
        <v>97</v>
      </c>
      <c r="I3" s="2" t="s">
        <v>98</v>
      </c>
      <c r="J3" s="2" t="s">
        <v>99</v>
      </c>
      <c r="K3" s="2" t="s">
        <v>100</v>
      </c>
      <c r="L3" s="2" t="s">
        <v>101</v>
      </c>
    </row>
    <row r="4" customFormat="false" ht="15" hidden="false" customHeight="false" outlineLevel="0" collapsed="false">
      <c r="A4" s="0" t="s">
        <v>118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102</v>
      </c>
      <c r="C5" s="4" t="n">
        <f aca="false">Assumptions!C13</f>
        <v>4</v>
      </c>
      <c r="D5" s="4" t="n">
        <f aca="false">Assumptions!D13</f>
        <v>4</v>
      </c>
      <c r="E5" s="4" t="n">
        <f aca="false">Assumptions!E13</f>
        <v>4.5</v>
      </c>
      <c r="F5" s="4" t="n">
        <f aca="false">Assumptions!F13</f>
        <v>4.5</v>
      </c>
      <c r="G5" s="4" t="n">
        <f aca="false">Assumptions!G13</f>
        <v>4</v>
      </c>
      <c r="H5" s="4" t="n">
        <f aca="false">Assumptions!H13</f>
        <v>3.5</v>
      </c>
      <c r="I5" s="4" t="n">
        <f aca="false">Assumptions!I13</f>
        <v>3</v>
      </c>
      <c r="J5" s="4" t="n">
        <f aca="false">Assumptions!J13</f>
        <v>3</v>
      </c>
      <c r="K5" s="4" t="n">
        <f aca="false">Assumptions!K13</f>
        <v>2.5</v>
      </c>
      <c r="L5" s="4" t="n">
        <f aca="false">Assumptions!L13</f>
        <v>2.5</v>
      </c>
    </row>
    <row r="6" customFormat="false" ht="15" hidden="false" customHeight="false" outlineLevel="0" collapsed="false">
      <c r="A6" s="0" t="s">
        <v>37</v>
      </c>
      <c r="B6" s="3" t="n">
        <v>7200</v>
      </c>
      <c r="C6" s="0" t="n">
        <f aca="false">B6*(1+C5/100)</f>
        <v>7488</v>
      </c>
      <c r="D6" s="0" t="n">
        <f aca="false">C6*(1+D5/100)</f>
        <v>7787.52</v>
      </c>
      <c r="E6" s="0" t="n">
        <f aca="false">D6*(1+E5/100)</f>
        <v>8137.9584</v>
      </c>
      <c r="F6" s="0" t="n">
        <f aca="false">E6*(1+F5/100)</f>
        <v>8504.166528</v>
      </c>
      <c r="G6" s="0" t="n">
        <f aca="false">F6*(1+G5/100)</f>
        <v>8844.33318912</v>
      </c>
      <c r="H6" s="0" t="n">
        <f aca="false">G6*(1+H5/100)</f>
        <v>9153.8848507392</v>
      </c>
      <c r="I6" s="0" t="n">
        <f aca="false">H6*(1+I5/100)</f>
        <v>9428.50139626138</v>
      </c>
      <c r="J6" s="0" t="n">
        <f aca="false">I6*(1+J5/100)</f>
        <v>9711.35643814922</v>
      </c>
      <c r="K6" s="0" t="n">
        <f aca="false">J6*(1+K5/100)</f>
        <v>9954.14034910295</v>
      </c>
      <c r="L6" s="0" t="n">
        <f aca="false">K6*(1+L5/100)</f>
        <v>10202.9938578305</v>
      </c>
    </row>
    <row r="7" customFormat="false" ht="15" hidden="false" customHeight="false" outlineLevel="0" collapsed="false">
      <c r="A7" s="0" t="s">
        <v>103</v>
      </c>
      <c r="C7" s="4" t="n">
        <f aca="false">Assumptions!C14</f>
        <v>65</v>
      </c>
      <c r="D7" s="4" t="n">
        <f aca="false">Assumptions!D14</f>
        <v>65</v>
      </c>
      <c r="E7" s="4" t="n">
        <f aca="false">Assumptions!E14</f>
        <v>66</v>
      </c>
      <c r="F7" s="4" t="n">
        <f aca="false">Assumptions!F14</f>
        <v>67</v>
      </c>
      <c r="G7" s="4" t="n">
        <f aca="false">Assumptions!G14</f>
        <v>68</v>
      </c>
      <c r="H7" s="4" t="n">
        <f aca="false">Assumptions!H14</f>
        <v>69</v>
      </c>
      <c r="I7" s="4" t="n">
        <f aca="false">Assumptions!I14</f>
        <v>70</v>
      </c>
      <c r="J7" s="4" t="n">
        <f aca="false">Assumptions!J14</f>
        <v>70</v>
      </c>
      <c r="K7" s="4" t="n">
        <f aca="false">Assumptions!K14</f>
        <v>70</v>
      </c>
      <c r="L7" s="4" t="n">
        <f aca="false">Assumptions!L14</f>
        <v>70</v>
      </c>
    </row>
    <row r="8" customFormat="false" ht="15" hidden="false" customHeight="false" outlineLevel="0" collapsed="false">
      <c r="A8" s="0" t="s">
        <v>43</v>
      </c>
      <c r="C8" s="0" t="n">
        <f aca="false">C6*C7/100</f>
        <v>4867.2</v>
      </c>
      <c r="D8" s="0" t="n">
        <f aca="false">D6*D7/100</f>
        <v>5061.888</v>
      </c>
      <c r="E8" s="0" t="n">
        <f aca="false">E6*E7/100</f>
        <v>5371.052544</v>
      </c>
      <c r="F8" s="0" t="n">
        <f aca="false">F6*F7/100</f>
        <v>5697.79157376</v>
      </c>
      <c r="G8" s="0" t="n">
        <f aca="false">G6*G7/100</f>
        <v>6014.1465686016</v>
      </c>
      <c r="H8" s="0" t="n">
        <f aca="false">H6*H7/100</f>
        <v>6316.18054701005</v>
      </c>
      <c r="I8" s="0" t="n">
        <f aca="false">I6*I7/100</f>
        <v>6599.95097738296</v>
      </c>
      <c r="J8" s="0" t="n">
        <f aca="false">J6*J7/100</f>
        <v>6797.94950670445</v>
      </c>
      <c r="K8" s="0" t="n">
        <f aca="false">K6*K7/100</f>
        <v>6967.89824437206</v>
      </c>
      <c r="L8" s="0" t="n">
        <f aca="false">L6*L7/100</f>
        <v>7142.09570048136</v>
      </c>
    </row>
    <row r="9" customFormat="false" ht="15" hidden="false" customHeight="false" outlineLevel="0" collapsed="false">
      <c r="A9" s="0" t="s">
        <v>104</v>
      </c>
      <c r="C9" s="4" t="n">
        <f aca="false">Assumptions!C15</f>
        <v>0</v>
      </c>
      <c r="D9" s="4" t="n">
        <f aca="false">Assumptions!D15</f>
        <v>0</v>
      </c>
      <c r="E9" s="4" t="n">
        <f aca="false">Assumptions!E15</f>
        <v>0</v>
      </c>
      <c r="F9" s="4" t="n">
        <f aca="false">Assumptions!F15</f>
        <v>0</v>
      </c>
      <c r="G9" s="4" t="n">
        <f aca="false">Assumptions!G15</f>
        <v>0</v>
      </c>
      <c r="H9" s="4" t="n">
        <f aca="false">Assumptions!H15</f>
        <v>0</v>
      </c>
      <c r="I9" s="4" t="n">
        <f aca="false">Assumptions!I15</f>
        <v>0</v>
      </c>
      <c r="J9" s="4" t="n">
        <f aca="false">Assumptions!J15</f>
        <v>0</v>
      </c>
      <c r="K9" s="4" t="n">
        <f aca="false">Assumptions!K15</f>
        <v>0</v>
      </c>
      <c r="L9" s="4" t="n">
        <f aca="false">Assumptions!L15</f>
        <v>0</v>
      </c>
    </row>
    <row r="10" customFormat="false" ht="15" hidden="false" customHeight="false" outlineLevel="0" collapsed="false">
      <c r="A10" s="0" t="s">
        <v>119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120</v>
      </c>
      <c r="C11" s="0" t="n">
        <f aca="false">C8+C10+C24</f>
        <v>4867.2</v>
      </c>
      <c r="D11" s="0" t="n">
        <f aca="false">D8+D10+D24</f>
        <v>5061.888</v>
      </c>
      <c r="E11" s="0" t="n">
        <f aca="false">E8+E10+E24</f>
        <v>5371.052544</v>
      </c>
      <c r="F11" s="0" t="n">
        <f aca="false">F8+F10+F24</f>
        <v>5697.79157376</v>
      </c>
      <c r="G11" s="0" t="n">
        <f aca="false">G8+G10+G24</f>
        <v>6014.1465686016</v>
      </c>
      <c r="H11" s="0" t="n">
        <f aca="false">H8+H10+H24</f>
        <v>6316.18054701005</v>
      </c>
      <c r="I11" s="0" t="n">
        <f aca="false">I8+I10+I24</f>
        <v>6599.95097738296</v>
      </c>
      <c r="J11" s="0" t="n">
        <f aca="false">J8+J10+J24</f>
        <v>6797.94950670445</v>
      </c>
      <c r="K11" s="0" t="n">
        <f aca="false">K8+K10+K24</f>
        <v>6967.89824437206</v>
      </c>
      <c r="L11" s="0" t="n">
        <f aca="false">L8+L10+L24</f>
        <v>7142.09570048136</v>
      </c>
    </row>
    <row r="12" customFormat="false" ht="15" hidden="false" customHeight="false" outlineLevel="0" collapsed="false">
      <c r="A12" s="0" t="s">
        <v>121</v>
      </c>
      <c r="C12" s="4" t="n">
        <f aca="false">-C6*Assumptions!C17/100</f>
        <v>-0</v>
      </c>
      <c r="D12" s="4" t="n">
        <f aca="false">-D6*Assumptions!D17/100</f>
        <v>-0</v>
      </c>
      <c r="E12" s="4" t="n">
        <f aca="false">-E6*Assumptions!E17/100</f>
        <v>-0</v>
      </c>
      <c r="F12" s="4" t="n">
        <f aca="false">-F6*Assumptions!F17/100</f>
        <v>-0</v>
      </c>
      <c r="G12" s="4" t="n">
        <f aca="false">-G6*Assumptions!G17/100</f>
        <v>-0</v>
      </c>
      <c r="H12" s="4" t="n">
        <f aca="false">-H6*Assumptions!H17/100</f>
        <v>-0</v>
      </c>
      <c r="I12" s="4" t="n">
        <f aca="false">-I6*Assumptions!I17/100</f>
        <v>-0</v>
      </c>
      <c r="J12" s="4" t="n">
        <f aca="false">-J6*Assumptions!J17/100</f>
        <v>-0</v>
      </c>
      <c r="K12" s="4" t="n">
        <f aca="false">-K6*Assumptions!K17/100</f>
        <v>-0</v>
      </c>
      <c r="L12" s="4" t="n">
        <f aca="false">-L6*Assumptions!L17/100</f>
        <v>-0</v>
      </c>
    </row>
    <row r="13" customFormat="false" ht="15" hidden="false" customHeight="false" outlineLevel="0" collapsed="false">
      <c r="A13" s="0" t="s">
        <v>122</v>
      </c>
      <c r="C13" s="0" t="n">
        <f aca="false">C11+C12</f>
        <v>4867.2</v>
      </c>
      <c r="D13" s="0" t="n">
        <f aca="false">D11+D12</f>
        <v>5061.888</v>
      </c>
      <c r="E13" s="0" t="n">
        <f aca="false">E11+E12</f>
        <v>5371.052544</v>
      </c>
      <c r="F13" s="0" t="n">
        <f aca="false">F11+F12</f>
        <v>5697.79157376</v>
      </c>
      <c r="G13" s="0" t="n">
        <f aca="false">G11+G12</f>
        <v>6014.1465686016</v>
      </c>
      <c r="H13" s="0" t="n">
        <f aca="false">H11+H12</f>
        <v>6316.18054701005</v>
      </c>
      <c r="I13" s="0" t="n">
        <f aca="false">I11+I12</f>
        <v>6599.95097738296</v>
      </c>
      <c r="J13" s="0" t="n">
        <f aca="false">J11+J12</f>
        <v>6797.94950670445</v>
      </c>
      <c r="K13" s="0" t="n">
        <f aca="false">K11+K12</f>
        <v>6967.89824437206</v>
      </c>
      <c r="L13" s="0" t="n">
        <f aca="false">L11+L12</f>
        <v>7142.09570048136</v>
      </c>
    </row>
    <row r="14" customFormat="false" ht="15" hidden="false" customHeight="false" outlineLevel="0" collapsed="false">
      <c r="A14" s="0" t="s">
        <v>108</v>
      </c>
      <c r="C14" s="4" t="n">
        <f aca="false">Assumptions!C19</f>
        <v>0</v>
      </c>
      <c r="D14" s="4" t="n">
        <f aca="false">Assumptions!D19</f>
        <v>0</v>
      </c>
      <c r="E14" s="4" t="n">
        <f aca="false">Assumptions!E19</f>
        <v>0</v>
      </c>
      <c r="F14" s="4" t="n">
        <f aca="false">Assumptions!F19</f>
        <v>0</v>
      </c>
      <c r="G14" s="4" t="n">
        <f aca="false">Assumptions!G19</f>
        <v>0</v>
      </c>
      <c r="H14" s="4" t="n">
        <f aca="false">Assumptions!H19</f>
        <v>0</v>
      </c>
      <c r="I14" s="4" t="n">
        <f aca="false">Assumptions!I19</f>
        <v>0</v>
      </c>
      <c r="J14" s="4" t="n">
        <f aca="false">Assumptions!J19</f>
        <v>0</v>
      </c>
      <c r="K14" s="4" t="n">
        <f aca="false">Assumptions!K19</f>
        <v>0</v>
      </c>
      <c r="L14" s="4" t="n">
        <f aca="false">Assumptions!L19</f>
        <v>0</v>
      </c>
    </row>
    <row r="15" customFormat="false" ht="15" hidden="false" customHeight="false" outlineLevel="0" collapsed="false">
      <c r="A15" s="0" t="s">
        <v>123</v>
      </c>
      <c r="C15" s="0" t="n">
        <f aca="false">C13-MAX(0,C13)*C14/100</f>
        <v>4867.2</v>
      </c>
      <c r="D15" s="0" t="n">
        <f aca="false">D13-MAX(0,D13)*D14/100</f>
        <v>5061.888</v>
      </c>
      <c r="E15" s="0" t="n">
        <f aca="false">E13-MAX(0,E13)*E14/100</f>
        <v>5371.052544</v>
      </c>
      <c r="F15" s="0" t="n">
        <f aca="false">F13-MAX(0,F13)*F14/100</f>
        <v>5697.79157376</v>
      </c>
      <c r="G15" s="0" t="n">
        <f aca="false">G13-MAX(0,G13)*G14/100</f>
        <v>6014.1465686016</v>
      </c>
      <c r="H15" s="0" t="n">
        <f aca="false">H13-MAX(0,H13)*H14/100</f>
        <v>6316.18054701005</v>
      </c>
      <c r="I15" s="0" t="n">
        <f aca="false">I13-MAX(0,I13)*I14/100</f>
        <v>6599.95097738296</v>
      </c>
      <c r="J15" s="0" t="n">
        <f aca="false">J13-MAX(0,J13)*J14/100</f>
        <v>6797.94950670445</v>
      </c>
      <c r="K15" s="0" t="n">
        <f aca="false">K13-MAX(0,K13)*K14/100</f>
        <v>6967.89824437206</v>
      </c>
      <c r="L15" s="0" t="n">
        <f aca="false">L13-MAX(0,L13)*L14/100</f>
        <v>7142.09570048136</v>
      </c>
    </row>
    <row r="16" customFormat="false" ht="15" hidden="false" customHeight="false" outlineLevel="0" collapsed="false">
      <c r="A16" s="0" t="s">
        <v>124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125</v>
      </c>
      <c r="C17" s="4" t="n">
        <f aca="false">-C6*Assumptions!C18/100</f>
        <v>-0</v>
      </c>
      <c r="D17" s="4" t="n">
        <f aca="false">-D6*Assumptions!D18/100</f>
        <v>-0</v>
      </c>
      <c r="E17" s="4" t="n">
        <f aca="false">-E6*Assumptions!E18/100</f>
        <v>-0</v>
      </c>
      <c r="F17" s="4" t="n">
        <f aca="false">-F6*Assumptions!F18/100</f>
        <v>-0</v>
      </c>
      <c r="G17" s="4" t="n">
        <f aca="false">-G6*Assumptions!G18/100</f>
        <v>-0</v>
      </c>
      <c r="H17" s="4" t="n">
        <f aca="false">-H6*Assumptions!H18/100</f>
        <v>-0</v>
      </c>
      <c r="I17" s="4" t="n">
        <f aca="false">-I6*Assumptions!I18/100</f>
        <v>-0</v>
      </c>
      <c r="J17" s="4" t="n">
        <f aca="false">-J6*Assumptions!J18/100</f>
        <v>-0</v>
      </c>
      <c r="K17" s="4" t="n">
        <f aca="false">-K6*Assumptions!K18/100</f>
        <v>-0</v>
      </c>
      <c r="L17" s="4" t="n">
        <f aca="false">-L6*Assumptions!L18/100</f>
        <v>-0</v>
      </c>
    </row>
    <row r="18" customFormat="false" ht="15" hidden="false" customHeight="false" outlineLevel="0" collapsed="false">
      <c r="A18" s="0" t="s">
        <v>126</v>
      </c>
      <c r="C18" s="4" t="n">
        <f aca="false">(C6-B6)*Assumptions!$B$23/100</f>
        <v>0</v>
      </c>
      <c r="D18" s="4" t="n">
        <f aca="false">(D6-C6)*Assumptions!$B$23/100</f>
        <v>0</v>
      </c>
      <c r="E18" s="4" t="n">
        <f aca="false">(E6-D6)*Assumptions!$B$23/100</f>
        <v>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127</v>
      </c>
      <c r="C19" s="0" t="n">
        <f aca="false">C15+C16+C17+C18</f>
        <v>4867.2</v>
      </c>
      <c r="D19" s="0" t="n">
        <f aca="false">D15+D16+D17+D18</f>
        <v>5061.888</v>
      </c>
      <c r="E19" s="0" t="n">
        <f aca="false">E15+E16+E17+E18</f>
        <v>5371.052544</v>
      </c>
      <c r="F19" s="0" t="n">
        <f aca="false">F15+F16+F17+F18</f>
        <v>5697.79157376</v>
      </c>
      <c r="G19" s="0" t="n">
        <f aca="false">G15+G16+G17+G18</f>
        <v>6014.1465686016</v>
      </c>
      <c r="H19" s="0" t="n">
        <f aca="false">H15+H16+H17+H18</f>
        <v>6316.18054701005</v>
      </c>
      <c r="I19" s="0" t="n">
        <f aca="false">I15+I16+I17+I18</f>
        <v>6599.95097738296</v>
      </c>
      <c r="J19" s="0" t="n">
        <f aca="false">J15+J16+J17+J18</f>
        <v>6797.94950670445</v>
      </c>
      <c r="K19" s="0" t="n">
        <f aca="false">K15+K16+K17+K18</f>
        <v>6967.89824437206</v>
      </c>
      <c r="L19" s="0" t="n">
        <f aca="false">L15+L16+L17+L18</f>
        <v>7142.09570048136</v>
      </c>
    </row>
    <row r="20" customFormat="false" ht="15" hidden="false" customHeight="false" outlineLevel="0" collapsed="false">
      <c r="A20" s="0" t="s">
        <v>128</v>
      </c>
      <c r="C20" s="0" t="n">
        <f aca="false">1/(1+$B$27/100)^C4</f>
        <v>0.904977375565611</v>
      </c>
      <c r="D20" s="0" t="n">
        <f aca="false">1/(1+$B$27/100)^D4</f>
        <v>0.818984050285621</v>
      </c>
      <c r="E20" s="0" t="n">
        <f aca="false">1/(1+$B$27/100)^E4</f>
        <v>0.741162036457575</v>
      </c>
      <c r="F20" s="0" t="n">
        <f aca="false">1/(1+$B$27/100)^F4</f>
        <v>0.67073487462224</v>
      </c>
      <c r="G20" s="0" t="n">
        <f aca="false">1/(1+$B$27/100)^G4</f>
        <v>0.606999886535964</v>
      </c>
      <c r="H20" s="0" t="n">
        <f aca="false">1/(1+$B$27/100)^H4</f>
        <v>0.54932116428594</v>
      </c>
      <c r="I20" s="0" t="n">
        <f aca="false">1/(1+$B$27/100)^I4</f>
        <v>0.497123225598136</v>
      </c>
      <c r="J20" s="0" t="n">
        <f aca="false">1/(1+$B$27/100)^J4</f>
        <v>0.449885272034512</v>
      </c>
      <c r="K20" s="0" t="n">
        <f aca="false">1/(1+$B$27/100)^K4</f>
        <v>0.407135992791414</v>
      </c>
      <c r="L20" s="0" t="n">
        <f aca="false">1/(1+$B$27/100)^L4</f>
        <v>0.368448862254673</v>
      </c>
    </row>
    <row r="21" customFormat="false" ht="15" hidden="false" customHeight="false" outlineLevel="0" collapsed="false">
      <c r="A21" s="0" t="s">
        <v>129</v>
      </c>
      <c r="C21" s="0" t="n">
        <f aca="false">C19*C20</f>
        <v>4404.70588235294</v>
      </c>
      <c r="D21" s="0" t="n">
        <f aca="false">D19*D20</f>
        <v>4145.60553633218</v>
      </c>
      <c r="E21" s="0" t="n">
        <f aca="false">E19*E20</f>
        <v>3980.82024143168</v>
      </c>
      <c r="F21" s="0" t="n">
        <f aca="false">F19*F20</f>
        <v>3821.70751684957</v>
      </c>
      <c r="G21" s="0" t="n">
        <f aca="false">G19*G20</f>
        <v>3650.58628475183</v>
      </c>
      <c r="H21" s="0" t="n">
        <f aca="false">H19*H20</f>
        <v>3469.61165192377</v>
      </c>
      <c r="I21" s="0" t="n">
        <f aca="false">I19*I20</f>
        <v>3280.98891866619</v>
      </c>
      <c r="J21" s="0" t="n">
        <f aca="false">J19*J20</f>
        <v>3058.29736310061</v>
      </c>
      <c r="K21" s="0" t="n">
        <f aca="false">K19*K20</f>
        <v>2836.88216939197</v>
      </c>
      <c r="L21" s="0" t="n">
        <f aca="false">L19*L20</f>
        <v>2631.49703495635</v>
      </c>
    </row>
    <row r="23" customFormat="false" ht="15" hidden="false" customHeight="false" outlineLevel="0" collapsed="false">
      <c r="A23" s="0" t="s">
        <v>105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130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131</v>
      </c>
    </row>
    <row r="27" customFormat="false" ht="15" hidden="false" customHeight="false" outlineLevel="0" collapsed="false">
      <c r="A27" s="0" t="s">
        <v>109</v>
      </c>
      <c r="B27" s="4" t="n">
        <f aca="false">Assumptions!$B$20</f>
        <v>10.5</v>
      </c>
    </row>
    <row r="28" customFormat="false" ht="15" hidden="false" customHeight="false" outlineLevel="0" collapsed="false">
      <c r="A28" s="0" t="s">
        <v>110</v>
      </c>
      <c r="B28" s="4" t="n">
        <f aca="false">Assumptions!$B$21</f>
        <v>2.5</v>
      </c>
    </row>
    <row r="29" customFormat="false" ht="15" hidden="false" customHeight="false" outlineLevel="0" collapsed="false">
      <c r="A29" s="0" t="s">
        <v>111</v>
      </c>
      <c r="B29" s="4" t="n">
        <f aca="false">Assumptions!$B$22</f>
        <v>11</v>
      </c>
    </row>
    <row r="30" customFormat="false" ht="15" hidden="false" customHeight="false" outlineLevel="0" collapsed="false">
      <c r="A30" s="0" t="s">
        <v>132</v>
      </c>
      <c r="B30" s="0" t="n">
        <f aca="false">SUM(C21:L21)</f>
        <v>35280.7025997571</v>
      </c>
    </row>
    <row r="31" customFormat="false" ht="15" hidden="false" customHeight="false" outlineLevel="0" collapsed="false">
      <c r="A31" s="0" t="s">
        <v>133</v>
      </c>
      <c r="B31" s="0" t="n">
        <f aca="false">L19</f>
        <v>7142.09570048136</v>
      </c>
    </row>
    <row r="32" customFormat="false" ht="15" hidden="false" customHeight="false" outlineLevel="0" collapsed="false">
      <c r="A32" s="0" t="s">
        <v>134</v>
      </c>
      <c r="B32" s="0" t="n">
        <f aca="false">IF(B27&gt;B28,B31*(1+B28/100)/((B27-B28)/100),B31*B29)</f>
        <v>91508.1011624174</v>
      </c>
    </row>
    <row r="33" customFormat="false" ht="15" hidden="false" customHeight="false" outlineLevel="0" collapsed="false">
      <c r="A33" s="0" t="s">
        <v>135</v>
      </c>
      <c r="B33" s="0" t="n">
        <f aca="false">B31*B29</f>
        <v>78563.052705295</v>
      </c>
    </row>
    <row r="34" customFormat="false" ht="15" hidden="false" customHeight="false" outlineLevel="0" collapsed="false">
      <c r="A34" s="0" t="s">
        <v>136</v>
      </c>
      <c r="B34" s="0" t="n">
        <f aca="false">MAX(0,MIN(B32,B33))</f>
        <v>78563.052705295</v>
      </c>
    </row>
    <row r="35" customFormat="false" ht="15" hidden="false" customHeight="false" outlineLevel="0" collapsed="false">
      <c r="A35" s="0" t="s">
        <v>137</v>
      </c>
      <c r="B35" s="0" t="n">
        <f aca="false">B34/(1+B27/100)^L4</f>
        <v>28946.4673845199</v>
      </c>
    </row>
    <row r="36" customFormat="false" ht="15" hidden="false" customHeight="false" outlineLevel="0" collapsed="false">
      <c r="A36" s="0" t="s">
        <v>138</v>
      </c>
      <c r="B36" s="0" t="n">
        <f aca="false">B30+B35</f>
        <v>64227.1699842769</v>
      </c>
    </row>
    <row r="37" customFormat="false" ht="15" hidden="false" customHeight="false" outlineLevel="0" collapsed="false">
      <c r="A37" s="0" t="s">
        <v>139</v>
      </c>
      <c r="B37" s="0" t="n">
        <f aca="false">B36+Assumptions!$B$5-Assumptions!$B$4</f>
        <v>64227.1699842769</v>
      </c>
    </row>
    <row r="38" customFormat="false" ht="15" hidden="false" customHeight="false" outlineLevel="0" collapsed="false">
      <c r="A38" s="0" t="s">
        <v>140</v>
      </c>
      <c r="B38" s="0" t="n">
        <f aca="false">B37/Assumptions!$B$3*Assumptions!$B$10</f>
        <v>38.6212687818863</v>
      </c>
    </row>
    <row r="39" customFormat="false" ht="15" hidden="false" customHeight="false" outlineLevel="0" collapsed="false">
      <c r="A39" s="0" t="s">
        <v>141</v>
      </c>
      <c r="B39" s="4" t="n">
        <f aca="false">B38/Assumptions!$B$2-1</f>
        <v>-0.36215906223144</v>
      </c>
    </row>
    <row r="41" customFormat="false" ht="15" hidden="false" customHeight="false" outlineLevel="0" collapsed="false">
      <c r="A41" s="0" t="s">
        <v>142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143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144</v>
      </c>
      <c r="B43" s="0" t="n">
        <f aca="false">(B37+B41+B42)/Assumptions!$B$3*Assumptions!$B$10</f>
        <v>38.6212687818863</v>
      </c>
    </row>
    <row r="45" customFormat="false" ht="15" hidden="false" customHeight="false" outlineLevel="0" collapsed="false">
      <c r="A45" s="0" t="s">
        <v>85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145</v>
      </c>
      <c r="B46" s="0" t="n">
        <f aca="false">MAX(0,MIN(IF(B45&gt;B28,B31*(1+B28/100)/((B45-B28)/100),B31*B29),B31*B29))</f>
        <v>58565.1847439472</v>
      </c>
    </row>
    <row r="47" customFormat="false" ht="15" hidden="false" customHeight="false" outlineLevel="0" collapsed="false">
      <c r="A47" s="0" t="s">
        <v>146</v>
      </c>
      <c r="B47" s="0" t="n">
        <f aca="false">(SUMPRODUCT(C19:L19/(1+B45/100)^C4:L4)+B46/(1+B45/100)^L4+Assumptions!$B$5-Assumptions!$B$4)/Assumptions!$B$3*Assumptions!$B$10</f>
        <v>26.1550658463346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147</v>
      </c>
    </row>
    <row r="3" customFormat="false" ht="15" hidden="false" customHeight="false" outlineLevel="0" collapsed="false">
      <c r="A3" s="0" t="s">
        <v>117</v>
      </c>
      <c r="B3" s="0" t="s">
        <v>78</v>
      </c>
      <c r="C3" s="2" t="s">
        <v>92</v>
      </c>
      <c r="D3" s="2" t="s">
        <v>93</v>
      </c>
      <c r="E3" s="2" t="s">
        <v>94</v>
      </c>
      <c r="F3" s="2" t="s">
        <v>95</v>
      </c>
      <c r="G3" s="2" t="s">
        <v>96</v>
      </c>
      <c r="H3" s="2" t="s">
        <v>97</v>
      </c>
      <c r="I3" s="2" t="s">
        <v>98</v>
      </c>
      <c r="J3" s="2" t="s">
        <v>99</v>
      </c>
      <c r="K3" s="2" t="s">
        <v>100</v>
      </c>
      <c r="L3" s="2" t="s">
        <v>101</v>
      </c>
    </row>
    <row r="4" customFormat="false" ht="15" hidden="false" customHeight="false" outlineLevel="0" collapsed="false">
      <c r="A4" s="0" t="s">
        <v>118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102</v>
      </c>
      <c r="C5" s="4" t="n">
        <f aca="false">Assumptions!C27</f>
        <v>7.5</v>
      </c>
      <c r="D5" s="4" t="n">
        <f aca="false">Assumptions!D27</f>
        <v>8</v>
      </c>
      <c r="E5" s="4" t="n">
        <f aca="false">Assumptions!E27</f>
        <v>8</v>
      </c>
      <c r="F5" s="4" t="n">
        <f aca="false">Assumptions!F27</f>
        <v>7.5</v>
      </c>
      <c r="G5" s="4" t="n">
        <f aca="false">Assumptions!G27</f>
        <v>7</v>
      </c>
      <c r="H5" s="4" t="n">
        <f aca="false">Assumptions!H27</f>
        <v>6</v>
      </c>
      <c r="I5" s="4" t="n">
        <f aca="false">Assumptions!I27</f>
        <v>5</v>
      </c>
      <c r="J5" s="4" t="n">
        <f aca="false">Assumptions!J27</f>
        <v>4.5</v>
      </c>
      <c r="K5" s="4" t="n">
        <f aca="false">Assumptions!K27</f>
        <v>4</v>
      </c>
      <c r="L5" s="4" t="n">
        <f aca="false">Assumptions!L27</f>
        <v>3.5</v>
      </c>
    </row>
    <row r="6" customFormat="false" ht="15" hidden="false" customHeight="false" outlineLevel="0" collapsed="false">
      <c r="A6" s="0" t="s">
        <v>37</v>
      </c>
      <c r="B6" s="3" t="n">
        <v>7200</v>
      </c>
      <c r="C6" s="0" t="n">
        <f aca="false">B6*(1+C5/100)</f>
        <v>7740</v>
      </c>
      <c r="D6" s="0" t="n">
        <f aca="false">C6*(1+D5/100)</f>
        <v>8359.2</v>
      </c>
      <c r="E6" s="0" t="n">
        <f aca="false">D6*(1+E5/100)</f>
        <v>9027.936</v>
      </c>
      <c r="F6" s="0" t="n">
        <f aca="false">E6*(1+F5/100)</f>
        <v>9705.0312</v>
      </c>
      <c r="G6" s="0" t="n">
        <f aca="false">F6*(1+G5/100)</f>
        <v>10384.383384</v>
      </c>
      <c r="H6" s="0" t="n">
        <f aca="false">G6*(1+H5/100)</f>
        <v>11007.44638704</v>
      </c>
      <c r="I6" s="0" t="n">
        <f aca="false">H6*(1+I5/100)</f>
        <v>11557.818706392</v>
      </c>
      <c r="J6" s="0" t="n">
        <f aca="false">I6*(1+J5/100)</f>
        <v>12077.9205481796</v>
      </c>
      <c r="K6" s="0" t="n">
        <f aca="false">J6*(1+K5/100)</f>
        <v>12561.0373701068</v>
      </c>
      <c r="L6" s="0" t="n">
        <f aca="false">K6*(1+L5/100)</f>
        <v>13000.6736780606</v>
      </c>
    </row>
    <row r="7" customFormat="false" ht="15" hidden="false" customHeight="false" outlineLevel="0" collapsed="false">
      <c r="A7" s="0" t="s">
        <v>103</v>
      </c>
      <c r="C7" s="4" t="n">
        <f aca="false">Assumptions!C28</f>
        <v>72</v>
      </c>
      <c r="D7" s="4" t="n">
        <f aca="false">Assumptions!D28</f>
        <v>72</v>
      </c>
      <c r="E7" s="4" t="n">
        <f aca="false">Assumptions!E28</f>
        <v>73</v>
      </c>
      <c r="F7" s="4" t="n">
        <f aca="false">Assumptions!F28</f>
        <v>74</v>
      </c>
      <c r="G7" s="4" t="n">
        <f aca="false">Assumptions!G28</f>
        <v>75</v>
      </c>
      <c r="H7" s="4" t="n">
        <f aca="false">Assumptions!H28</f>
        <v>76</v>
      </c>
      <c r="I7" s="4" t="n">
        <f aca="false">Assumptions!I28</f>
        <v>77</v>
      </c>
      <c r="J7" s="4" t="n">
        <f aca="false">Assumptions!J28</f>
        <v>78</v>
      </c>
      <c r="K7" s="4" t="n">
        <f aca="false">Assumptions!K28</f>
        <v>79</v>
      </c>
      <c r="L7" s="4" t="n">
        <f aca="false">Assumptions!L28</f>
        <v>80</v>
      </c>
    </row>
    <row r="8" customFormat="false" ht="15" hidden="false" customHeight="false" outlineLevel="0" collapsed="false">
      <c r="A8" s="0" t="s">
        <v>43</v>
      </c>
      <c r="C8" s="0" t="n">
        <f aca="false">C6*C7/100</f>
        <v>5572.8</v>
      </c>
      <c r="D8" s="0" t="n">
        <f aca="false">D6*D7/100</f>
        <v>6018.624</v>
      </c>
      <c r="E8" s="0" t="n">
        <f aca="false">E6*E7/100</f>
        <v>6590.39328</v>
      </c>
      <c r="F8" s="0" t="n">
        <f aca="false">F6*F7/100</f>
        <v>7181.723088</v>
      </c>
      <c r="G8" s="0" t="n">
        <f aca="false">G6*G7/100</f>
        <v>7788.287538</v>
      </c>
      <c r="H8" s="0" t="n">
        <f aca="false">H6*H7/100</f>
        <v>8365.6592541504</v>
      </c>
      <c r="I8" s="0" t="n">
        <f aca="false">I6*I7/100</f>
        <v>8899.52040392184</v>
      </c>
      <c r="J8" s="0" t="n">
        <f aca="false">J6*J7/100</f>
        <v>9420.77802758012</v>
      </c>
      <c r="K8" s="0" t="n">
        <f aca="false">K6*K7/100</f>
        <v>9923.21952238439</v>
      </c>
      <c r="L8" s="0" t="n">
        <f aca="false">L6*L7/100</f>
        <v>10400.5389424485</v>
      </c>
    </row>
    <row r="9" customFormat="false" ht="15" hidden="false" customHeight="false" outlineLevel="0" collapsed="false">
      <c r="A9" s="0" t="s">
        <v>104</v>
      </c>
      <c r="C9" s="4" t="n">
        <f aca="false">Assumptions!C29</f>
        <v>0</v>
      </c>
      <c r="D9" s="4" t="n">
        <f aca="false">Assumptions!D29</f>
        <v>0</v>
      </c>
      <c r="E9" s="4" t="n">
        <f aca="false">Assumptions!E29</f>
        <v>0</v>
      </c>
      <c r="F9" s="4" t="n">
        <f aca="false">Assumptions!F29</f>
        <v>0</v>
      </c>
      <c r="G9" s="4" t="n">
        <f aca="false">Assumptions!G29</f>
        <v>0</v>
      </c>
      <c r="H9" s="4" t="n">
        <f aca="false">Assumptions!H29</f>
        <v>0</v>
      </c>
      <c r="I9" s="4" t="n">
        <f aca="false">Assumptions!I29</f>
        <v>0</v>
      </c>
      <c r="J9" s="4" t="n">
        <f aca="false">Assumptions!J29</f>
        <v>0</v>
      </c>
      <c r="K9" s="4" t="n">
        <f aca="false">Assumptions!K29</f>
        <v>0</v>
      </c>
      <c r="L9" s="4" t="n">
        <f aca="false">Assumptions!L29</f>
        <v>0</v>
      </c>
    </row>
    <row r="10" customFormat="false" ht="15" hidden="false" customHeight="false" outlineLevel="0" collapsed="false">
      <c r="A10" s="0" t="s">
        <v>119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120</v>
      </c>
      <c r="C11" s="0" t="n">
        <f aca="false">C8+C10+C24</f>
        <v>5572.8</v>
      </c>
      <c r="D11" s="0" t="n">
        <f aca="false">D8+D10+D24</f>
        <v>6018.624</v>
      </c>
      <c r="E11" s="0" t="n">
        <f aca="false">E8+E10+E24</f>
        <v>6590.39328</v>
      </c>
      <c r="F11" s="0" t="n">
        <f aca="false">F8+F10+F24</f>
        <v>7181.723088</v>
      </c>
      <c r="G11" s="0" t="n">
        <f aca="false">G8+G10+G24</f>
        <v>7788.287538</v>
      </c>
      <c r="H11" s="0" t="n">
        <f aca="false">H8+H10+H24</f>
        <v>8365.6592541504</v>
      </c>
      <c r="I11" s="0" t="n">
        <f aca="false">I8+I10+I24</f>
        <v>8899.52040392184</v>
      </c>
      <c r="J11" s="0" t="n">
        <f aca="false">J8+J10+J24</f>
        <v>9420.77802758012</v>
      </c>
      <c r="K11" s="0" t="n">
        <f aca="false">K8+K10+K24</f>
        <v>9923.21952238439</v>
      </c>
      <c r="L11" s="0" t="n">
        <f aca="false">L8+L10+L24</f>
        <v>10400.5389424485</v>
      </c>
    </row>
    <row r="12" customFormat="false" ht="15" hidden="false" customHeight="false" outlineLevel="0" collapsed="false">
      <c r="A12" s="0" t="s">
        <v>121</v>
      </c>
      <c r="C12" s="4" t="n">
        <f aca="false">-C6*Assumptions!C31/100</f>
        <v>-0</v>
      </c>
      <c r="D12" s="4" t="n">
        <f aca="false">-D6*Assumptions!D31/100</f>
        <v>-0</v>
      </c>
      <c r="E12" s="4" t="n">
        <f aca="false">-E6*Assumptions!E31/100</f>
        <v>-0</v>
      </c>
      <c r="F12" s="4" t="n">
        <f aca="false">-F6*Assumptions!F31/100</f>
        <v>-0</v>
      </c>
      <c r="G12" s="4" t="n">
        <f aca="false">-G6*Assumptions!G31/100</f>
        <v>-0</v>
      </c>
      <c r="H12" s="4" t="n">
        <f aca="false">-H6*Assumptions!H31/100</f>
        <v>-0</v>
      </c>
      <c r="I12" s="4" t="n">
        <f aca="false">-I6*Assumptions!I31/100</f>
        <v>-0</v>
      </c>
      <c r="J12" s="4" t="n">
        <f aca="false">-J6*Assumptions!J31/100</f>
        <v>-0</v>
      </c>
      <c r="K12" s="4" t="n">
        <f aca="false">-K6*Assumptions!K31/100</f>
        <v>-0</v>
      </c>
      <c r="L12" s="4" t="n">
        <f aca="false">-L6*Assumptions!L31/100</f>
        <v>-0</v>
      </c>
    </row>
    <row r="13" customFormat="false" ht="15" hidden="false" customHeight="false" outlineLevel="0" collapsed="false">
      <c r="A13" s="0" t="s">
        <v>122</v>
      </c>
      <c r="C13" s="0" t="n">
        <f aca="false">C11+C12</f>
        <v>5572.8</v>
      </c>
      <c r="D13" s="0" t="n">
        <f aca="false">D11+D12</f>
        <v>6018.624</v>
      </c>
      <c r="E13" s="0" t="n">
        <f aca="false">E11+E12</f>
        <v>6590.39328</v>
      </c>
      <c r="F13" s="0" t="n">
        <f aca="false">F11+F12</f>
        <v>7181.723088</v>
      </c>
      <c r="G13" s="0" t="n">
        <f aca="false">G11+G12</f>
        <v>7788.287538</v>
      </c>
      <c r="H13" s="0" t="n">
        <f aca="false">H11+H12</f>
        <v>8365.6592541504</v>
      </c>
      <c r="I13" s="0" t="n">
        <f aca="false">I11+I12</f>
        <v>8899.52040392184</v>
      </c>
      <c r="J13" s="0" t="n">
        <f aca="false">J11+J12</f>
        <v>9420.77802758012</v>
      </c>
      <c r="K13" s="0" t="n">
        <f aca="false">K11+K12</f>
        <v>9923.21952238439</v>
      </c>
      <c r="L13" s="0" t="n">
        <f aca="false">L11+L12</f>
        <v>10400.5389424485</v>
      </c>
    </row>
    <row r="14" customFormat="false" ht="15" hidden="false" customHeight="false" outlineLevel="0" collapsed="false">
      <c r="A14" s="0" t="s">
        <v>108</v>
      </c>
      <c r="C14" s="4" t="n">
        <f aca="false">Assumptions!C33</f>
        <v>0</v>
      </c>
      <c r="D14" s="4" t="n">
        <f aca="false">Assumptions!D33</f>
        <v>0</v>
      </c>
      <c r="E14" s="4" t="n">
        <f aca="false">Assumptions!E33</f>
        <v>0</v>
      </c>
      <c r="F14" s="4" t="n">
        <f aca="false">Assumptions!F33</f>
        <v>0</v>
      </c>
      <c r="G14" s="4" t="n">
        <f aca="false">Assumptions!G33</f>
        <v>0</v>
      </c>
      <c r="H14" s="4" t="n">
        <f aca="false">Assumptions!H33</f>
        <v>0</v>
      </c>
      <c r="I14" s="4" t="n">
        <f aca="false">Assumptions!I33</f>
        <v>0</v>
      </c>
      <c r="J14" s="4" t="n">
        <f aca="false">Assumptions!J33</f>
        <v>0</v>
      </c>
      <c r="K14" s="4" t="n">
        <f aca="false">Assumptions!K33</f>
        <v>0</v>
      </c>
      <c r="L14" s="4" t="n">
        <f aca="false">Assumptions!L33</f>
        <v>0</v>
      </c>
    </row>
    <row r="15" customFormat="false" ht="15" hidden="false" customHeight="false" outlineLevel="0" collapsed="false">
      <c r="A15" s="0" t="s">
        <v>123</v>
      </c>
      <c r="C15" s="0" t="n">
        <f aca="false">C13-MAX(0,C13)*C14/100</f>
        <v>5572.8</v>
      </c>
      <c r="D15" s="0" t="n">
        <f aca="false">D13-MAX(0,D13)*D14/100</f>
        <v>6018.624</v>
      </c>
      <c r="E15" s="0" t="n">
        <f aca="false">E13-MAX(0,E13)*E14/100</f>
        <v>6590.39328</v>
      </c>
      <c r="F15" s="0" t="n">
        <f aca="false">F13-MAX(0,F13)*F14/100</f>
        <v>7181.723088</v>
      </c>
      <c r="G15" s="0" t="n">
        <f aca="false">G13-MAX(0,G13)*G14/100</f>
        <v>7788.287538</v>
      </c>
      <c r="H15" s="0" t="n">
        <f aca="false">H13-MAX(0,H13)*H14/100</f>
        <v>8365.6592541504</v>
      </c>
      <c r="I15" s="0" t="n">
        <f aca="false">I13-MAX(0,I13)*I14/100</f>
        <v>8899.52040392184</v>
      </c>
      <c r="J15" s="0" t="n">
        <f aca="false">J13-MAX(0,J13)*J14/100</f>
        <v>9420.77802758012</v>
      </c>
      <c r="K15" s="0" t="n">
        <f aca="false">K13-MAX(0,K13)*K14/100</f>
        <v>9923.21952238439</v>
      </c>
      <c r="L15" s="0" t="n">
        <f aca="false">L13-MAX(0,L13)*L14/100</f>
        <v>10400.5389424485</v>
      </c>
    </row>
    <row r="16" customFormat="false" ht="15" hidden="false" customHeight="false" outlineLevel="0" collapsed="false">
      <c r="A16" s="0" t="s">
        <v>124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125</v>
      </c>
      <c r="C17" s="4" t="n">
        <f aca="false">-C6*Assumptions!C32/100</f>
        <v>-0</v>
      </c>
      <c r="D17" s="4" t="n">
        <f aca="false">-D6*Assumptions!D32/100</f>
        <v>-0</v>
      </c>
      <c r="E17" s="4" t="n">
        <f aca="false">-E6*Assumptions!E32/100</f>
        <v>-0</v>
      </c>
      <c r="F17" s="4" t="n">
        <f aca="false">-F6*Assumptions!F32/100</f>
        <v>-0</v>
      </c>
      <c r="G17" s="4" t="n">
        <f aca="false">-G6*Assumptions!G32/100</f>
        <v>-0</v>
      </c>
      <c r="H17" s="4" t="n">
        <f aca="false">-H6*Assumptions!H32/100</f>
        <v>-0</v>
      </c>
      <c r="I17" s="4" t="n">
        <f aca="false">-I6*Assumptions!I32/100</f>
        <v>-0</v>
      </c>
      <c r="J17" s="4" t="n">
        <f aca="false">-J6*Assumptions!J32/100</f>
        <v>-0</v>
      </c>
      <c r="K17" s="4" t="n">
        <f aca="false">-K6*Assumptions!K32/100</f>
        <v>-0</v>
      </c>
      <c r="L17" s="4" t="n">
        <f aca="false">-L6*Assumptions!L32/100</f>
        <v>-0</v>
      </c>
    </row>
    <row r="18" customFormat="false" ht="15" hidden="false" customHeight="false" outlineLevel="0" collapsed="false">
      <c r="A18" s="0" t="s">
        <v>126</v>
      </c>
      <c r="C18" s="4" t="n">
        <f aca="false">(C6-B6)*Assumptions!$B$37/100</f>
        <v>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127</v>
      </c>
      <c r="C19" s="0" t="n">
        <f aca="false">C15+C16+C17+C18</f>
        <v>5572.8</v>
      </c>
      <c r="D19" s="0" t="n">
        <f aca="false">D15+D16+D17+D18</f>
        <v>6018.624</v>
      </c>
      <c r="E19" s="0" t="n">
        <f aca="false">E15+E16+E17+E18</f>
        <v>6590.39328</v>
      </c>
      <c r="F19" s="0" t="n">
        <f aca="false">F15+F16+F17+F18</f>
        <v>7181.723088</v>
      </c>
      <c r="G19" s="0" t="n">
        <f aca="false">G15+G16+G17+G18</f>
        <v>7788.287538</v>
      </c>
      <c r="H19" s="0" t="n">
        <f aca="false">H15+H16+H17+H18</f>
        <v>8365.6592541504</v>
      </c>
      <c r="I19" s="0" t="n">
        <f aca="false">I15+I16+I17+I18</f>
        <v>8899.52040392184</v>
      </c>
      <c r="J19" s="0" t="n">
        <f aca="false">J15+J16+J17+J18</f>
        <v>9420.77802758012</v>
      </c>
      <c r="K19" s="0" t="n">
        <f aca="false">K15+K16+K17+K18</f>
        <v>9923.21952238439</v>
      </c>
      <c r="L19" s="0" t="n">
        <f aca="false">L15+L16+L17+L18</f>
        <v>10400.5389424485</v>
      </c>
    </row>
    <row r="20" customFormat="false" ht="15" hidden="false" customHeight="false" outlineLevel="0" collapsed="false">
      <c r="A20" s="0" t="s">
        <v>128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129</v>
      </c>
      <c r="C21" s="0" t="n">
        <f aca="false">C19*C20</f>
        <v>5089.31506849315</v>
      </c>
      <c r="D21" s="0" t="n">
        <f aca="false">D19*D20</f>
        <v>5019.59842371927</v>
      </c>
      <c r="E21" s="0" t="n">
        <f aca="false">E19*E20</f>
        <v>5019.59842371927</v>
      </c>
      <c r="F21" s="0" t="n">
        <f aca="false">F19*F20</f>
        <v>4995.42196293073</v>
      </c>
      <c r="G21" s="0" t="n">
        <f aca="false">G19*G20</f>
        <v>4947.33570930756</v>
      </c>
      <c r="H21" s="0" t="n">
        <f aca="false">H19*H20</f>
        <v>4853.0577137512</v>
      </c>
      <c r="I21" s="0" t="n">
        <f aca="false">I19*I20</f>
        <v>4714.84878823341</v>
      </c>
      <c r="J21" s="0" t="n">
        <f aca="false">J19*J20</f>
        <v>4557.99471895754</v>
      </c>
      <c r="K21" s="0" t="n">
        <f aca="false">K19*K20</f>
        <v>4384.55504167605</v>
      </c>
      <c r="L21" s="0" t="n">
        <f aca="false">L19*L20</f>
        <v>4196.76501301401</v>
      </c>
    </row>
    <row r="23" customFormat="false" ht="15" hidden="false" customHeight="false" outlineLevel="0" collapsed="false">
      <c r="A23" s="0" t="s">
        <v>105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130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131</v>
      </c>
    </row>
    <row r="27" customFormat="false" ht="15" hidden="false" customHeight="false" outlineLevel="0" collapsed="false">
      <c r="A27" s="0" t="s">
        <v>109</v>
      </c>
      <c r="B27" s="4" t="n">
        <f aca="false">Assumptions!$B$34</f>
        <v>9.5</v>
      </c>
    </row>
    <row r="28" customFormat="false" ht="15" hidden="false" customHeight="false" outlineLevel="0" collapsed="false">
      <c r="A28" s="0" t="s">
        <v>110</v>
      </c>
      <c r="B28" s="4" t="n">
        <f aca="false">Assumptions!$B$35</f>
        <v>3</v>
      </c>
    </row>
    <row r="29" customFormat="false" ht="15" hidden="false" customHeight="false" outlineLevel="0" collapsed="false">
      <c r="A29" s="0" t="s">
        <v>111</v>
      </c>
      <c r="B29" s="4" t="n">
        <f aca="false">Assumptions!$B$36</f>
        <v>14</v>
      </c>
    </row>
    <row r="30" customFormat="false" ht="15" hidden="false" customHeight="false" outlineLevel="0" collapsed="false">
      <c r="A30" s="0" t="s">
        <v>132</v>
      </c>
      <c r="B30" s="0" t="n">
        <f aca="false">SUM(C21:L21)</f>
        <v>47778.4908638022</v>
      </c>
    </row>
    <row r="31" customFormat="false" ht="15" hidden="false" customHeight="false" outlineLevel="0" collapsed="false">
      <c r="A31" s="0" t="s">
        <v>133</v>
      </c>
      <c r="B31" s="0" t="n">
        <f aca="false">L19</f>
        <v>10400.5389424485</v>
      </c>
    </row>
    <row r="32" customFormat="false" ht="15" hidden="false" customHeight="false" outlineLevel="0" collapsed="false">
      <c r="A32" s="0" t="s">
        <v>134</v>
      </c>
      <c r="B32" s="0" t="n">
        <f aca="false">IF(B27&gt;B28,B31*(1+B28/100)/((B27-B28)/100),B31*B29)</f>
        <v>164808.540164952</v>
      </c>
    </row>
    <row r="33" customFormat="false" ht="15" hidden="false" customHeight="false" outlineLevel="0" collapsed="false">
      <c r="A33" s="0" t="s">
        <v>135</v>
      </c>
      <c r="B33" s="0" t="n">
        <f aca="false">B31*B29</f>
        <v>145607.545194278</v>
      </c>
    </row>
    <row r="34" customFormat="false" ht="15" hidden="false" customHeight="false" outlineLevel="0" collapsed="false">
      <c r="A34" s="0" t="s">
        <v>136</v>
      </c>
      <c r="B34" s="0" t="n">
        <f aca="false">MAX(0,MIN(B32,B33))</f>
        <v>145607.545194278</v>
      </c>
    </row>
    <row r="35" customFormat="false" ht="15" hidden="false" customHeight="false" outlineLevel="0" collapsed="false">
      <c r="A35" s="0" t="s">
        <v>137</v>
      </c>
      <c r="B35" s="0" t="n">
        <f aca="false">B34/(1+B27/100)^L4</f>
        <v>58754.7101821962</v>
      </c>
    </row>
    <row r="36" customFormat="false" ht="15" hidden="false" customHeight="false" outlineLevel="0" collapsed="false">
      <c r="A36" s="0" t="s">
        <v>138</v>
      </c>
      <c r="B36" s="0" t="n">
        <f aca="false">B30+B35</f>
        <v>106533.201045998</v>
      </c>
    </row>
    <row r="37" customFormat="false" ht="15" hidden="false" customHeight="false" outlineLevel="0" collapsed="false">
      <c r="A37" s="0" t="s">
        <v>139</v>
      </c>
      <c r="B37" s="0" t="n">
        <f aca="false">B36+Assumptions!$B$5-Assumptions!$B$4</f>
        <v>106533.201045998</v>
      </c>
    </row>
    <row r="38" customFormat="false" ht="15" hidden="false" customHeight="false" outlineLevel="0" collapsed="false">
      <c r="A38" s="0" t="s">
        <v>140</v>
      </c>
      <c r="B38" s="0" t="n">
        <f aca="false">B37/Assumptions!$B$3*Assumptions!$B$10</f>
        <v>64.0608545075155</v>
      </c>
    </row>
    <row r="39" customFormat="false" ht="15" hidden="false" customHeight="false" outlineLevel="0" collapsed="false">
      <c r="A39" s="0" t="s">
        <v>141</v>
      </c>
      <c r="B39" s="4" t="n">
        <f aca="false">B38/Assumptions!$B$2-1</f>
        <v>0.0579827334024037</v>
      </c>
    </row>
    <row r="41" customFormat="false" ht="15" hidden="false" customHeight="false" outlineLevel="0" collapsed="false">
      <c r="A41" s="0" t="s">
        <v>142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143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144</v>
      </c>
      <c r="B43" s="0" t="n">
        <f aca="false">(B37+B41+B42)/Assumptions!$B$3*Assumptions!$B$10</f>
        <v>64.0608545075155</v>
      </c>
    </row>
    <row r="45" customFormat="false" ht="15" hidden="false" customHeight="false" outlineLevel="0" collapsed="false">
      <c r="A45" s="0" t="s">
        <v>85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145</v>
      </c>
      <c r="B46" s="0" t="n">
        <f aca="false">MAX(0,MIN(IF(B45&gt;B28,B31*(1+B28/100)/((B45-B28)/100),B31*B29),B31*B29))</f>
        <v>89271.2925893492</v>
      </c>
    </row>
    <row r="47" customFormat="false" ht="15" hidden="false" customHeight="false" outlineLevel="0" collapsed="false">
      <c r="A47" s="0" t="s">
        <v>146</v>
      </c>
      <c r="B47" s="0" t="n">
        <f aca="false">(SUMPRODUCT(C19:L19/(1+B45/100)^C4:L4)+B46/(1+B45/100)^L4+Assumptions!$B$5-Assumptions!$B$4)/Assumptions!$B$3*Assumptions!$B$10</f>
        <v>35.6035245607204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148</v>
      </c>
    </row>
    <row r="3" customFormat="false" ht="15" hidden="false" customHeight="false" outlineLevel="0" collapsed="false">
      <c r="A3" s="0" t="s">
        <v>117</v>
      </c>
      <c r="B3" s="0" t="s">
        <v>78</v>
      </c>
      <c r="C3" s="2" t="s">
        <v>92</v>
      </c>
      <c r="D3" s="2" t="s">
        <v>93</v>
      </c>
      <c r="E3" s="2" t="s">
        <v>94</v>
      </c>
      <c r="F3" s="2" t="s">
        <v>95</v>
      </c>
      <c r="G3" s="2" t="s">
        <v>96</v>
      </c>
      <c r="H3" s="2" t="s">
        <v>97</v>
      </c>
      <c r="I3" s="2" t="s">
        <v>98</v>
      </c>
      <c r="J3" s="2" t="s">
        <v>99</v>
      </c>
      <c r="K3" s="2" t="s">
        <v>100</v>
      </c>
      <c r="L3" s="2" t="s">
        <v>101</v>
      </c>
    </row>
    <row r="4" customFormat="false" ht="15" hidden="false" customHeight="false" outlineLevel="0" collapsed="false">
      <c r="A4" s="0" t="s">
        <v>118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102</v>
      </c>
      <c r="C5" s="4" t="n">
        <f aca="false">Assumptions!C41</f>
        <v>9</v>
      </c>
      <c r="D5" s="4" t="n">
        <f aca="false">Assumptions!D41</f>
        <v>10</v>
      </c>
      <c r="E5" s="4" t="n">
        <f aca="false">Assumptions!E41</f>
        <v>10</v>
      </c>
      <c r="F5" s="4" t="n">
        <f aca="false">Assumptions!F41</f>
        <v>9.5</v>
      </c>
      <c r="G5" s="4" t="n">
        <f aca="false">Assumptions!G41</f>
        <v>9</v>
      </c>
      <c r="H5" s="4" t="n">
        <f aca="false">Assumptions!H41</f>
        <v>8</v>
      </c>
      <c r="I5" s="4" t="n">
        <f aca="false">Assumptions!I41</f>
        <v>7</v>
      </c>
      <c r="J5" s="4" t="n">
        <f aca="false">Assumptions!J41</f>
        <v>6</v>
      </c>
      <c r="K5" s="4" t="n">
        <f aca="false">Assumptions!K41</f>
        <v>5</v>
      </c>
      <c r="L5" s="4" t="n">
        <f aca="false">Assumptions!L41</f>
        <v>4</v>
      </c>
    </row>
    <row r="6" customFormat="false" ht="15" hidden="false" customHeight="false" outlineLevel="0" collapsed="false">
      <c r="A6" s="0" t="s">
        <v>37</v>
      </c>
      <c r="B6" s="3" t="n">
        <v>7200</v>
      </c>
      <c r="C6" s="0" t="n">
        <f aca="false">B6*(1+C5/100)</f>
        <v>7848</v>
      </c>
      <c r="D6" s="0" t="n">
        <f aca="false">C6*(1+D5/100)</f>
        <v>8632.8</v>
      </c>
      <c r="E6" s="0" t="n">
        <f aca="false">D6*(1+E5/100)</f>
        <v>9496.08</v>
      </c>
      <c r="F6" s="0" t="n">
        <f aca="false">E6*(1+F5/100)</f>
        <v>10398.2076</v>
      </c>
      <c r="G6" s="0" t="n">
        <f aca="false">F6*(1+G5/100)</f>
        <v>11334.046284</v>
      </c>
      <c r="H6" s="0" t="n">
        <f aca="false">G6*(1+H5/100)</f>
        <v>12240.76998672</v>
      </c>
      <c r="I6" s="0" t="n">
        <f aca="false">H6*(1+I5/100)</f>
        <v>13097.6238857904</v>
      </c>
      <c r="J6" s="0" t="n">
        <f aca="false">I6*(1+J5/100)</f>
        <v>13883.4813189378</v>
      </c>
      <c r="K6" s="0" t="n">
        <f aca="false">J6*(1+K5/100)</f>
        <v>14577.6553848847</v>
      </c>
      <c r="L6" s="0" t="n">
        <f aca="false">K6*(1+L5/100)</f>
        <v>15160.7616002801</v>
      </c>
    </row>
    <row r="7" customFormat="false" ht="15" hidden="false" customHeight="false" outlineLevel="0" collapsed="false">
      <c r="A7" s="0" t="s">
        <v>103</v>
      </c>
      <c r="C7" s="4" t="n">
        <f aca="false">Assumptions!C42</f>
        <v>75</v>
      </c>
      <c r="D7" s="4" t="n">
        <f aca="false">Assumptions!D42</f>
        <v>76</v>
      </c>
      <c r="E7" s="4" t="n">
        <f aca="false">Assumptions!E42</f>
        <v>77</v>
      </c>
      <c r="F7" s="4" t="n">
        <f aca="false">Assumptions!F42</f>
        <v>78</v>
      </c>
      <c r="G7" s="4" t="n">
        <f aca="false">Assumptions!G42</f>
        <v>79</v>
      </c>
      <c r="H7" s="4" t="n">
        <f aca="false">Assumptions!H42</f>
        <v>80</v>
      </c>
      <c r="I7" s="4" t="n">
        <f aca="false">Assumptions!I42</f>
        <v>81</v>
      </c>
      <c r="J7" s="4" t="n">
        <f aca="false">Assumptions!J42</f>
        <v>82</v>
      </c>
      <c r="K7" s="4" t="n">
        <f aca="false">Assumptions!K42</f>
        <v>82</v>
      </c>
      <c r="L7" s="4" t="n">
        <f aca="false">Assumptions!L42</f>
        <v>82</v>
      </c>
    </row>
    <row r="8" customFormat="false" ht="15" hidden="false" customHeight="false" outlineLevel="0" collapsed="false">
      <c r="A8" s="0" t="s">
        <v>43</v>
      </c>
      <c r="C8" s="0" t="n">
        <f aca="false">C6*C7/100</f>
        <v>5886</v>
      </c>
      <c r="D8" s="0" t="n">
        <f aca="false">D6*D7/100</f>
        <v>6560.928</v>
      </c>
      <c r="E8" s="0" t="n">
        <f aca="false">E6*E7/100</f>
        <v>7311.9816</v>
      </c>
      <c r="F8" s="0" t="n">
        <f aca="false">F6*F7/100</f>
        <v>8110.601928</v>
      </c>
      <c r="G8" s="0" t="n">
        <f aca="false">G6*G7/100</f>
        <v>8953.89656436</v>
      </c>
      <c r="H8" s="0" t="n">
        <f aca="false">H6*H7/100</f>
        <v>9792.615989376</v>
      </c>
      <c r="I8" s="0" t="n">
        <f aca="false">I6*I7/100</f>
        <v>10609.0753474902</v>
      </c>
      <c r="J8" s="0" t="n">
        <f aca="false">J6*J7/100</f>
        <v>11384.454681529</v>
      </c>
      <c r="K8" s="0" t="n">
        <f aca="false">K6*K7/100</f>
        <v>11953.6774156055</v>
      </c>
      <c r="L8" s="0" t="n">
        <f aca="false">L6*L7/100</f>
        <v>12431.8245122297</v>
      </c>
    </row>
    <row r="9" customFormat="false" ht="15" hidden="false" customHeight="false" outlineLevel="0" collapsed="false">
      <c r="A9" s="0" t="s">
        <v>104</v>
      </c>
      <c r="C9" s="4" t="n">
        <f aca="false">Assumptions!C43</f>
        <v>0</v>
      </c>
      <c r="D9" s="4" t="n">
        <f aca="false">Assumptions!D43</f>
        <v>0</v>
      </c>
      <c r="E9" s="4" t="n">
        <f aca="false">Assumptions!E43</f>
        <v>0</v>
      </c>
      <c r="F9" s="4" t="n">
        <f aca="false">Assumptions!F43</f>
        <v>0</v>
      </c>
      <c r="G9" s="4" t="n">
        <f aca="false">Assumptions!G43</f>
        <v>0</v>
      </c>
      <c r="H9" s="4" t="n">
        <f aca="false">Assumptions!H43</f>
        <v>0</v>
      </c>
      <c r="I9" s="4" t="n">
        <f aca="false">Assumptions!I43</f>
        <v>0</v>
      </c>
      <c r="J9" s="4" t="n">
        <f aca="false">Assumptions!J43</f>
        <v>0</v>
      </c>
      <c r="K9" s="4" t="n">
        <f aca="false">Assumptions!K43</f>
        <v>0</v>
      </c>
      <c r="L9" s="4" t="n">
        <f aca="false">Assumptions!L43</f>
        <v>0</v>
      </c>
    </row>
    <row r="10" customFormat="false" ht="15" hidden="false" customHeight="false" outlineLevel="0" collapsed="false">
      <c r="A10" s="0" t="s">
        <v>119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120</v>
      </c>
      <c r="C11" s="0" t="n">
        <f aca="false">C8+C10+C24</f>
        <v>5886</v>
      </c>
      <c r="D11" s="0" t="n">
        <f aca="false">D8+D10+D24</f>
        <v>6560.928</v>
      </c>
      <c r="E11" s="0" t="n">
        <f aca="false">E8+E10+E24</f>
        <v>7311.9816</v>
      </c>
      <c r="F11" s="0" t="n">
        <f aca="false">F8+F10+F24</f>
        <v>8110.601928</v>
      </c>
      <c r="G11" s="0" t="n">
        <f aca="false">G8+G10+G24</f>
        <v>8953.89656436</v>
      </c>
      <c r="H11" s="0" t="n">
        <f aca="false">H8+H10+H24</f>
        <v>9792.615989376</v>
      </c>
      <c r="I11" s="0" t="n">
        <f aca="false">I8+I10+I24</f>
        <v>10609.0753474902</v>
      </c>
      <c r="J11" s="0" t="n">
        <f aca="false">J8+J10+J24</f>
        <v>11384.454681529</v>
      </c>
      <c r="K11" s="0" t="n">
        <f aca="false">K8+K10+K24</f>
        <v>11953.6774156055</v>
      </c>
      <c r="L11" s="0" t="n">
        <f aca="false">L8+L10+L24</f>
        <v>12431.8245122297</v>
      </c>
    </row>
    <row r="12" customFormat="false" ht="15" hidden="false" customHeight="false" outlineLevel="0" collapsed="false">
      <c r="A12" s="0" t="s">
        <v>121</v>
      </c>
      <c r="C12" s="4" t="n">
        <f aca="false">-C6*Assumptions!C45/100</f>
        <v>-0</v>
      </c>
      <c r="D12" s="4" t="n">
        <f aca="false">-D6*Assumptions!D45/100</f>
        <v>-0</v>
      </c>
      <c r="E12" s="4" t="n">
        <f aca="false">-E6*Assumptions!E45/100</f>
        <v>-0</v>
      </c>
      <c r="F12" s="4" t="n">
        <f aca="false">-F6*Assumptions!F45/100</f>
        <v>-0</v>
      </c>
      <c r="G12" s="4" t="n">
        <f aca="false">-G6*Assumptions!G45/100</f>
        <v>-0</v>
      </c>
      <c r="H12" s="4" t="n">
        <f aca="false">-H6*Assumptions!H45/100</f>
        <v>-0</v>
      </c>
      <c r="I12" s="4" t="n">
        <f aca="false">-I6*Assumptions!I45/100</f>
        <v>-0</v>
      </c>
      <c r="J12" s="4" t="n">
        <f aca="false">-J6*Assumptions!J45/100</f>
        <v>-0</v>
      </c>
      <c r="K12" s="4" t="n">
        <f aca="false">-K6*Assumptions!K45/100</f>
        <v>-0</v>
      </c>
      <c r="L12" s="4" t="n">
        <f aca="false">-L6*Assumptions!L45/100</f>
        <v>-0</v>
      </c>
    </row>
    <row r="13" customFormat="false" ht="15" hidden="false" customHeight="false" outlineLevel="0" collapsed="false">
      <c r="A13" s="0" t="s">
        <v>122</v>
      </c>
      <c r="C13" s="0" t="n">
        <f aca="false">C11+C12</f>
        <v>5886</v>
      </c>
      <c r="D13" s="0" t="n">
        <f aca="false">D11+D12</f>
        <v>6560.928</v>
      </c>
      <c r="E13" s="0" t="n">
        <f aca="false">E11+E12</f>
        <v>7311.9816</v>
      </c>
      <c r="F13" s="0" t="n">
        <f aca="false">F11+F12</f>
        <v>8110.601928</v>
      </c>
      <c r="G13" s="0" t="n">
        <f aca="false">G11+G12</f>
        <v>8953.89656436</v>
      </c>
      <c r="H13" s="0" t="n">
        <f aca="false">H11+H12</f>
        <v>9792.615989376</v>
      </c>
      <c r="I13" s="0" t="n">
        <f aca="false">I11+I12</f>
        <v>10609.0753474902</v>
      </c>
      <c r="J13" s="0" t="n">
        <f aca="false">J11+J12</f>
        <v>11384.454681529</v>
      </c>
      <c r="K13" s="0" t="n">
        <f aca="false">K11+K12</f>
        <v>11953.6774156055</v>
      </c>
      <c r="L13" s="0" t="n">
        <f aca="false">L11+L12</f>
        <v>12431.8245122297</v>
      </c>
    </row>
    <row r="14" customFormat="false" ht="15" hidden="false" customHeight="false" outlineLevel="0" collapsed="false">
      <c r="A14" s="0" t="s">
        <v>108</v>
      </c>
      <c r="C14" s="4" t="n">
        <f aca="false">Assumptions!C47</f>
        <v>0</v>
      </c>
      <c r="D14" s="4" t="n">
        <f aca="false">Assumptions!D47</f>
        <v>0</v>
      </c>
      <c r="E14" s="4" t="n">
        <f aca="false">Assumptions!E47</f>
        <v>0</v>
      </c>
      <c r="F14" s="4" t="n">
        <f aca="false">Assumptions!F47</f>
        <v>0</v>
      </c>
      <c r="G14" s="4" t="n">
        <f aca="false">Assumptions!G47</f>
        <v>0</v>
      </c>
      <c r="H14" s="4" t="n">
        <f aca="false">Assumptions!H47</f>
        <v>0</v>
      </c>
      <c r="I14" s="4" t="n">
        <f aca="false">Assumptions!I47</f>
        <v>0</v>
      </c>
      <c r="J14" s="4" t="n">
        <f aca="false">Assumptions!J47</f>
        <v>0</v>
      </c>
      <c r="K14" s="4" t="n">
        <f aca="false">Assumptions!K47</f>
        <v>0</v>
      </c>
      <c r="L14" s="4" t="n">
        <f aca="false">Assumptions!L47</f>
        <v>0</v>
      </c>
    </row>
    <row r="15" customFormat="false" ht="15" hidden="false" customHeight="false" outlineLevel="0" collapsed="false">
      <c r="A15" s="0" t="s">
        <v>123</v>
      </c>
      <c r="C15" s="0" t="n">
        <f aca="false">C13-MAX(0,C13)*C14/100</f>
        <v>5886</v>
      </c>
      <c r="D15" s="0" t="n">
        <f aca="false">D13-MAX(0,D13)*D14/100</f>
        <v>6560.928</v>
      </c>
      <c r="E15" s="0" t="n">
        <f aca="false">E13-MAX(0,E13)*E14/100</f>
        <v>7311.9816</v>
      </c>
      <c r="F15" s="0" t="n">
        <f aca="false">F13-MAX(0,F13)*F14/100</f>
        <v>8110.601928</v>
      </c>
      <c r="G15" s="0" t="n">
        <f aca="false">G13-MAX(0,G13)*G14/100</f>
        <v>8953.89656436</v>
      </c>
      <c r="H15" s="0" t="n">
        <f aca="false">H13-MAX(0,H13)*H14/100</f>
        <v>9792.615989376</v>
      </c>
      <c r="I15" s="0" t="n">
        <f aca="false">I13-MAX(0,I13)*I14/100</f>
        <v>10609.0753474902</v>
      </c>
      <c r="J15" s="0" t="n">
        <f aca="false">J13-MAX(0,J13)*J14/100</f>
        <v>11384.454681529</v>
      </c>
      <c r="K15" s="0" t="n">
        <f aca="false">K13-MAX(0,K13)*K14/100</f>
        <v>11953.6774156055</v>
      </c>
      <c r="L15" s="0" t="n">
        <f aca="false">L13-MAX(0,L13)*L14/100</f>
        <v>12431.8245122297</v>
      </c>
    </row>
    <row r="16" customFormat="false" ht="15" hidden="false" customHeight="false" outlineLevel="0" collapsed="false">
      <c r="A16" s="0" t="s">
        <v>124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125</v>
      </c>
      <c r="C17" s="4" t="n">
        <f aca="false">-C6*Assumptions!C46/100</f>
        <v>-0</v>
      </c>
      <c r="D17" s="4" t="n">
        <f aca="false">-D6*Assumptions!D46/100</f>
        <v>-0</v>
      </c>
      <c r="E17" s="4" t="n">
        <f aca="false">-E6*Assumptions!E46/100</f>
        <v>-0</v>
      </c>
      <c r="F17" s="4" t="n">
        <f aca="false">-F6*Assumptions!F46/100</f>
        <v>-0</v>
      </c>
      <c r="G17" s="4" t="n">
        <f aca="false">-G6*Assumptions!G46/100</f>
        <v>-0</v>
      </c>
      <c r="H17" s="4" t="n">
        <f aca="false">-H6*Assumptions!H46/100</f>
        <v>-0</v>
      </c>
      <c r="I17" s="4" t="n">
        <f aca="false">-I6*Assumptions!I46/100</f>
        <v>-0</v>
      </c>
      <c r="J17" s="4" t="n">
        <f aca="false">-J6*Assumptions!J46/100</f>
        <v>-0</v>
      </c>
      <c r="K17" s="4" t="n">
        <f aca="false">-K6*Assumptions!K46/100</f>
        <v>-0</v>
      </c>
      <c r="L17" s="4" t="n">
        <f aca="false">-L6*Assumptions!L46/100</f>
        <v>-0</v>
      </c>
    </row>
    <row r="18" customFormat="false" ht="15" hidden="false" customHeight="false" outlineLevel="0" collapsed="false">
      <c r="A18" s="0" t="s">
        <v>126</v>
      </c>
      <c r="C18" s="4" t="n">
        <f aca="false">(C6-B6)*Assumptions!$B$51/100</f>
        <v>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127</v>
      </c>
      <c r="C19" s="0" t="n">
        <f aca="false">C15+C16+C17+C18</f>
        <v>5886</v>
      </c>
      <c r="D19" s="0" t="n">
        <f aca="false">D15+D16+D17+D18</f>
        <v>6560.928</v>
      </c>
      <c r="E19" s="0" t="n">
        <f aca="false">E15+E16+E17+E18</f>
        <v>7311.9816</v>
      </c>
      <c r="F19" s="0" t="n">
        <f aca="false">F15+F16+F17+F18</f>
        <v>8110.601928</v>
      </c>
      <c r="G19" s="0" t="n">
        <f aca="false">G15+G16+G17+G18</f>
        <v>8953.89656436</v>
      </c>
      <c r="H19" s="0" t="n">
        <f aca="false">H15+H16+H17+H18</f>
        <v>9792.615989376</v>
      </c>
      <c r="I19" s="0" t="n">
        <f aca="false">I15+I16+I17+I18</f>
        <v>10609.0753474902</v>
      </c>
      <c r="J19" s="0" t="n">
        <f aca="false">J15+J16+J17+J18</f>
        <v>11384.454681529</v>
      </c>
      <c r="K19" s="0" t="n">
        <f aca="false">K15+K16+K17+K18</f>
        <v>11953.6774156055</v>
      </c>
      <c r="L19" s="0" t="n">
        <f aca="false">L15+L16+L17+L18</f>
        <v>12431.8245122297</v>
      </c>
    </row>
    <row r="20" customFormat="false" ht="15" hidden="false" customHeight="false" outlineLevel="0" collapsed="false">
      <c r="A20" s="0" t="s">
        <v>128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129</v>
      </c>
      <c r="C21" s="0" t="n">
        <f aca="false">C19*C20</f>
        <v>5400</v>
      </c>
      <c r="D21" s="0" t="n">
        <f aca="false">D19*D20</f>
        <v>5522.20183486239</v>
      </c>
      <c r="E21" s="0" t="n">
        <f aca="false">E19*E20</f>
        <v>5646.19139803047</v>
      </c>
      <c r="F21" s="0" t="n">
        <f aca="false">F19*F20</f>
        <v>5745.75488270919</v>
      </c>
      <c r="G21" s="0" t="n">
        <f aca="false">G19*G20</f>
        <v>5819.41840684649</v>
      </c>
      <c r="H21" s="0" t="n">
        <f aca="false">H19*H20</f>
        <v>5839.0169591399</v>
      </c>
      <c r="I21" s="0" t="n">
        <f aca="false">I19*I20</f>
        <v>5803.52752120017</v>
      </c>
      <c r="J21" s="0" t="n">
        <f aca="false">J19*J20</f>
        <v>5713.47391712219</v>
      </c>
      <c r="K21" s="0" t="n">
        <f aca="false">K19*K20</f>
        <v>5503.80514952138</v>
      </c>
      <c r="L21" s="0" t="n">
        <f aca="false">L19*L20</f>
        <v>5251.33702339655</v>
      </c>
    </row>
    <row r="23" customFormat="false" ht="15" hidden="false" customHeight="false" outlineLevel="0" collapsed="false">
      <c r="A23" s="0" t="s">
        <v>105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130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131</v>
      </c>
    </row>
    <row r="27" customFormat="false" ht="15" hidden="false" customHeight="false" outlineLevel="0" collapsed="false">
      <c r="A27" s="0" t="s">
        <v>109</v>
      </c>
      <c r="B27" s="4" t="n">
        <f aca="false">Assumptions!$B$48</f>
        <v>9</v>
      </c>
    </row>
    <row r="28" customFormat="false" ht="15" hidden="false" customHeight="false" outlineLevel="0" collapsed="false">
      <c r="A28" s="0" t="s">
        <v>110</v>
      </c>
      <c r="B28" s="4" t="n">
        <f aca="false">Assumptions!$B$49</f>
        <v>3.5</v>
      </c>
    </row>
    <row r="29" customFormat="false" ht="15" hidden="false" customHeight="false" outlineLevel="0" collapsed="false">
      <c r="A29" s="0" t="s">
        <v>111</v>
      </c>
      <c r="B29" s="4" t="n">
        <f aca="false">Assumptions!$B$50</f>
        <v>16</v>
      </c>
    </row>
    <row r="30" customFormat="false" ht="15" hidden="false" customHeight="false" outlineLevel="0" collapsed="false">
      <c r="A30" s="0" t="s">
        <v>132</v>
      </c>
      <c r="B30" s="0" t="n">
        <f aca="false">SUM(C21:L21)</f>
        <v>56244.7270928287</v>
      </c>
    </row>
    <row r="31" customFormat="false" ht="15" hidden="false" customHeight="false" outlineLevel="0" collapsed="false">
      <c r="A31" s="0" t="s">
        <v>133</v>
      </c>
      <c r="B31" s="0" t="n">
        <f aca="false">L19</f>
        <v>12431.8245122297</v>
      </c>
    </row>
    <row r="32" customFormat="false" ht="15" hidden="false" customHeight="false" outlineLevel="0" collapsed="false">
      <c r="A32" s="0" t="s">
        <v>134</v>
      </c>
      <c r="B32" s="0" t="n">
        <f aca="false">IF(B27&gt;B28,B31*(1+B28/100)/((B27-B28)/100),B31*B29)</f>
        <v>233944.334002868</v>
      </c>
    </row>
    <row r="33" customFormat="false" ht="15" hidden="false" customHeight="false" outlineLevel="0" collapsed="false">
      <c r="A33" s="0" t="s">
        <v>135</v>
      </c>
      <c r="B33" s="0" t="n">
        <f aca="false">B31*B29</f>
        <v>198909.192195675</v>
      </c>
    </row>
    <row r="34" customFormat="false" ht="15" hidden="false" customHeight="false" outlineLevel="0" collapsed="false">
      <c r="A34" s="0" t="s">
        <v>136</v>
      </c>
      <c r="B34" s="0" t="n">
        <f aca="false">MAX(0,MIN(B32,B33))</f>
        <v>198909.192195675</v>
      </c>
    </row>
    <row r="35" customFormat="false" ht="15" hidden="false" customHeight="false" outlineLevel="0" collapsed="false">
      <c r="A35" s="0" t="s">
        <v>137</v>
      </c>
      <c r="B35" s="0" t="n">
        <f aca="false">B34/(1+B27/100)^L4</f>
        <v>84021.3923743448</v>
      </c>
    </row>
    <row r="36" customFormat="false" ht="15" hidden="false" customHeight="false" outlineLevel="0" collapsed="false">
      <c r="A36" s="0" t="s">
        <v>138</v>
      </c>
      <c r="B36" s="0" t="n">
        <f aca="false">B30+B35</f>
        <v>140266.119467173</v>
      </c>
    </row>
    <row r="37" customFormat="false" ht="15" hidden="false" customHeight="false" outlineLevel="0" collapsed="false">
      <c r="A37" s="0" t="s">
        <v>139</v>
      </c>
      <c r="B37" s="0" t="n">
        <f aca="false">B36+Assumptions!$B$5-Assumptions!$B$4</f>
        <v>140266.119467173</v>
      </c>
    </row>
    <row r="38" customFormat="false" ht="15" hidden="false" customHeight="false" outlineLevel="0" collapsed="false">
      <c r="A38" s="0" t="s">
        <v>140</v>
      </c>
      <c r="B38" s="0" t="n">
        <f aca="false">B37/Assumptions!$B$3*Assumptions!$B$10</f>
        <v>84.3452311889197</v>
      </c>
    </row>
    <row r="39" customFormat="false" ht="15" hidden="false" customHeight="false" outlineLevel="0" collapsed="false">
      <c r="A39" s="0" t="s">
        <v>141</v>
      </c>
      <c r="B39" s="4" t="n">
        <f aca="false">B38/Assumptions!$B$2-1</f>
        <v>0.392984825580838</v>
      </c>
    </row>
    <row r="41" customFormat="false" ht="15" hidden="false" customHeight="false" outlineLevel="0" collapsed="false">
      <c r="A41" s="0" t="s">
        <v>142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143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144</v>
      </c>
      <c r="B43" s="0" t="n">
        <f aca="false">(B37+B41+B42)/Assumptions!$B$3*Assumptions!$B$10</f>
        <v>84.3452311889197</v>
      </c>
    </row>
    <row r="45" customFormat="false" ht="15" hidden="false" customHeight="false" outlineLevel="0" collapsed="false">
      <c r="A45" s="0" t="s">
        <v>85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145</v>
      </c>
      <c r="B46" s="0" t="n">
        <f aca="false">MAX(0,MIN(IF(B45&gt;B28,B31*(1+B28/100)/((B45-B28)/100),B31*B29),B31*B29))</f>
        <v>111886.420610067</v>
      </c>
    </row>
    <row r="47" customFormat="false" ht="15" hidden="false" customHeight="false" outlineLevel="0" collapsed="false">
      <c r="A47" s="0" t="s">
        <v>146</v>
      </c>
      <c r="B47" s="0" t="n">
        <f aca="false">(SUMPRODUCT(C19:L19/(1+B45/100)^C4:L4)+B46/(1+B45/100)^L4+Assumptions!$B$5-Assumptions!$B$4)/Assumptions!$B$3*Assumptions!$B$10</f>
        <v>42.1208987740566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149</v>
      </c>
    </row>
    <row r="3" customFormat="false" ht="15" hidden="false" customHeight="false" outlineLevel="0" collapsed="false">
      <c r="A3" s="2" t="s">
        <v>150</v>
      </c>
      <c r="B3" s="2" t="s">
        <v>151</v>
      </c>
      <c r="C3" s="2" t="s">
        <v>141</v>
      </c>
      <c r="D3" s="2" t="s">
        <v>152</v>
      </c>
      <c r="E3" s="2" t="s">
        <v>144</v>
      </c>
      <c r="F3" s="2" t="s">
        <v>153</v>
      </c>
    </row>
    <row r="4" customFormat="false" ht="15" hidden="false" customHeight="false" outlineLevel="0" collapsed="false">
      <c r="A4" s="0" t="s">
        <v>154</v>
      </c>
      <c r="B4" s="4" t="n">
        <f aca="false">DCF_Bear!$B$38</f>
        <v>38.6212687818863</v>
      </c>
      <c r="C4" s="0" t="n">
        <f aca="false">B4/Assumptions!$B$2-1</f>
        <v>-0.36215906223144</v>
      </c>
      <c r="D4" s="4" t="n">
        <f aca="false">Assumptions!$B$24</f>
        <v>0.25</v>
      </c>
      <c r="E4" s="4" t="n">
        <f aca="false">DCF_Bear!$B$43</f>
        <v>38.6212687818863</v>
      </c>
      <c r="F4" s="4" t="n">
        <f aca="false">DCF_Bear!$B$47</f>
        <v>26.1550658463346</v>
      </c>
    </row>
    <row r="5" customFormat="false" ht="15" hidden="false" customHeight="false" outlineLevel="0" collapsed="false">
      <c r="A5" s="0" t="s">
        <v>155</v>
      </c>
      <c r="B5" s="4" t="n">
        <f aca="false">DCF_Base!$B$38</f>
        <v>64.0608545075155</v>
      </c>
      <c r="C5" s="0" t="n">
        <f aca="false">B5/Assumptions!$B$2-1</f>
        <v>0.0579827334024037</v>
      </c>
      <c r="D5" s="4" t="n">
        <f aca="false">Assumptions!$B$38</f>
        <v>0.5</v>
      </c>
      <c r="E5" s="4" t="n">
        <f aca="false">DCF_Base!$B$43</f>
        <v>64.0608545075155</v>
      </c>
      <c r="F5" s="4" t="n">
        <f aca="false">DCF_Base!$B$47</f>
        <v>35.6035245607204</v>
      </c>
    </row>
    <row r="6" customFormat="false" ht="15" hidden="false" customHeight="false" outlineLevel="0" collapsed="false">
      <c r="A6" s="0" t="s">
        <v>156</v>
      </c>
      <c r="B6" s="4" t="n">
        <f aca="false">DCF_Bull!$B$38</f>
        <v>84.3452311889197</v>
      </c>
      <c r="C6" s="0" t="n">
        <f aca="false">B6/Assumptions!$B$2-1</f>
        <v>0.392984825580838</v>
      </c>
      <c r="D6" s="4" t="n">
        <f aca="false">Assumptions!$B$52</f>
        <v>0.25</v>
      </c>
      <c r="E6" s="4" t="n">
        <f aca="false">DCF_Bull!$B$43</f>
        <v>84.3452311889197</v>
      </c>
      <c r="F6" s="4" t="n">
        <f aca="false">DCF_Bull!$B$47</f>
        <v>42.1208987740566</v>
      </c>
    </row>
    <row r="8" customFormat="false" ht="15" hidden="false" customHeight="false" outlineLevel="0" collapsed="false">
      <c r="A8" s="0" t="s">
        <v>157</v>
      </c>
      <c r="B8" s="0" t="n">
        <f aca="false">SUMPRODUCT(B4:B6,D4:D6)</f>
        <v>62.7720522464593</v>
      </c>
    </row>
    <row r="9" customFormat="false" ht="15" hidden="false" customHeight="false" outlineLevel="0" collapsed="false">
      <c r="A9" s="0" t="s">
        <v>158</v>
      </c>
      <c r="B9" s="0" t="n">
        <f aca="false">SUMPRODUCT(E4:E6,D4:D6)</f>
        <v>62.7720522464593</v>
      </c>
    </row>
    <row r="10" customFormat="false" ht="15" hidden="false" customHeight="false" outlineLevel="0" collapsed="false">
      <c r="A10" s="0" t="s">
        <v>159</v>
      </c>
      <c r="B10" s="0" t="n">
        <f aca="false">1-Assumptions!$B$2/B8</f>
        <v>0.0353987509876996</v>
      </c>
    </row>
    <row r="11" customFormat="false" ht="15" hidden="false" customHeight="false" outlineLevel="0" collapsed="false">
      <c r="A11" s="0" t="s">
        <v>160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161</v>
      </c>
      <c r="B12" s="0" t="n">
        <f aca="false">SUMPRODUCT(F4:F6,D4:D6)</f>
        <v>34.870753435458</v>
      </c>
    </row>
    <row r="14" customFormat="false" ht="15" hidden="false" customHeight="false" outlineLevel="0" collapsed="false">
      <c r="A14" s="2" t="s">
        <v>162</v>
      </c>
      <c r="C14" s="0" t="s">
        <v>163</v>
      </c>
    </row>
    <row r="15" customFormat="false" ht="15" hidden="false" customHeight="false" outlineLevel="0" collapsed="false">
      <c r="A15" s="0" t="s">
        <v>164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66.4280722458573</v>
      </c>
      <c r="C15" s="3" t="n">
        <v>9</v>
      </c>
    </row>
    <row r="16" customFormat="false" ht="15" hidden="false" customHeight="false" outlineLevel="0" collapsed="false">
      <c r="A16" s="0" t="s">
        <v>165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64.0608545075155</v>
      </c>
      <c r="C16" s="3" t="n">
        <v>9.5</v>
      </c>
    </row>
    <row r="17" customFormat="false" ht="15" hidden="false" customHeight="false" outlineLevel="0" collapsed="false">
      <c r="A17" s="0" t="s">
        <v>166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61.7997849898775</v>
      </c>
      <c r="C17" s="3" t="n">
        <v>10</v>
      </c>
    </row>
    <row r="18" customFormat="false" ht="15" hidden="false" customHeight="false" outlineLevel="0" collapsed="false">
      <c r="A18" s="0" t="s">
        <v>167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55.0969247692005</v>
      </c>
      <c r="C18" s="3" t="n">
        <v>11</v>
      </c>
    </row>
    <row r="19" customFormat="false" ht="15" hidden="false" customHeight="false" outlineLevel="0" collapsed="false">
      <c r="A19" s="0" t="s">
        <v>168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48.5676409467921</v>
      </c>
      <c r="C19" s="3" t="n">
        <v>12</v>
      </c>
    </row>
    <row r="20" customFormat="false" ht="15" hidden="false" customHeight="false" outlineLevel="0" collapsed="false">
      <c r="A20" s="0" t="s">
        <v>169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35.6035245607204</v>
      </c>
      <c r="C20" s="3" t="n">
        <v>15</v>
      </c>
    </row>
    <row r="22" customFormat="false" ht="15" hidden="false" customHeight="false" outlineLevel="0" collapsed="false">
      <c r="A22" s="2" t="s">
        <v>170</v>
      </c>
    </row>
    <row r="23" customFormat="false" ht="15" hidden="false" customHeight="false" outlineLevel="0" collapsed="false">
      <c r="B23" s="3" t="n">
        <v>2</v>
      </c>
      <c r="C23" s="3" t="n">
        <v>2.5</v>
      </c>
      <c r="D23" s="3" t="n">
        <v>3</v>
      </c>
      <c r="E23" s="3" t="n">
        <v>3.5</v>
      </c>
      <c r="F23" s="3" t="n">
        <v>4</v>
      </c>
    </row>
    <row r="24" customFormat="false" ht="15" hidden="false" customHeight="false" outlineLevel="0" collapsed="false">
      <c r="A24" s="3" t="n">
        <v>7.5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74.2254142559227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74.2254142559227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74.2254142559227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74.2254142559227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74.2254142559227</v>
      </c>
    </row>
    <row r="25" customFormat="false" ht="15" hidden="false" customHeight="false" outlineLevel="0" collapsed="false">
      <c r="A25" s="3" t="n">
        <v>8.5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68.9071457461592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68.9071457461592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68.9071457461592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68.9071457461592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68.9071457461592</v>
      </c>
    </row>
    <row r="26" customFormat="false" ht="15" hidden="false" customHeight="false" outlineLevel="0" collapsed="false">
      <c r="A26" s="3" t="n">
        <v>9.5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63.0514101267545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64.0608545075155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64.0608545075155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64.0608545075155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64.0608545075155</v>
      </c>
    </row>
    <row r="27" customFormat="false" ht="15" hidden="false" customHeight="false" outlineLevel="0" collapsed="false">
      <c r="A27" s="3" t="n">
        <v>10.5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55.030856753779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56.9031082428931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59.0249932638891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59.639475803906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59.639475803906</v>
      </c>
    </row>
    <row r="28" customFormat="false" ht="15" hidden="false" customHeight="false" outlineLevel="0" collapsed="false">
      <c r="A28" s="3" t="n">
        <v>11.5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48.7295470802868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50.1026202418187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51.6372314223545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53.3636690004571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55.3202982556402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2026-10-10T09:47:51Z</dcterms:created>
  <dc:creator>openpyxl</dc:creator>
  <dc:description/>
  <dc:language>en-NZ</dc:language>
  <cp:lastModifiedBy/>
  <dcterms:modified xsi:type="dcterms:W3CDTF">2026-10-10T09:47:51Z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