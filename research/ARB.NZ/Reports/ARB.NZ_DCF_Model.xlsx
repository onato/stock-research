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 (Base)" sheetId="1" r:id="rId1"/>
    <sheet name="Scenario Summary" sheetId="2" r:id="rId2"/>
    <sheet name="Sensitivity" sheetId="3" r:id="rId3"/>
    <sheet name="Historical" sheetId="4" r:id="rId4"/>
    <sheet name="Sanity Check" sheetId="5" r:id="rId5"/>
    <sheet name="Model_Info" sheetId="6" r:id="rId6"/>
  </sheets>
  <calcPr calcId="124519" fullCalcOnLoad="1"/>
</workbook>
</file>

<file path=xl/sharedStrings.xml><?xml version="1.0" encoding="utf-8"?>
<sst xmlns="http://schemas.openxmlformats.org/spreadsheetml/2006/main" count="192" uniqueCount="176">
  <si>
    <t>ARB.NZ DCF Valuation Model - BASE CASE</t>
  </si>
  <si>
    <t>All financials in USD (company reporting currency). Per-share results converted to NZD at the FX rate below.</t>
  </si>
  <si>
    <t>Gray cells are INPUTS - adjust to see valuation change. 10-year explicit horizon (owner-FCF margin still immature at Y10).</t>
  </si>
  <si>
    <t>KEY INPUTS</t>
  </si>
  <si>
    <t>Current Stock Price (NZD)</t>
  </si>
  <si>
    <t>NZDUSD FX Rate (1 NZD = x USD)</t>
  </si>
  <si>
    <t>Shares Outstanding (M)</t>
  </si>
  <si>
    <t>Cash (USD M)</t>
  </si>
  <si>
    <t>Total Debt (USD M)</t>
  </si>
  <si>
    <t>Net Debt (USD M)</t>
  </si>
  <si>
    <t>Revenue FY2026 base (USD M)</t>
  </si>
  <si>
    <t>WACC (Base)</t>
  </si>
  <si>
    <t>Terminal Growth (Base)</t>
  </si>
  <si>
    <t>Terminal EV/EBITDA Floor Multiple (Base)</t>
  </si>
  <si>
    <t>Terminal EV/EBITDA Cap Multiple (Base)</t>
  </si>
  <si>
    <t>BASE CASE ASSUMPTIONS (10-YEAR)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</si>
  <si>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</si>
  <si>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</si>
  <si>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</si>
  <si>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</si>
  <si>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</si>
  <si>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</si>
  <si>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</si>
  <si>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</si>
  <si>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</si>
  <si>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</si>
  <si>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Revenue Growth %</t>
  </si>
  <si>
    <t>Adj. EBITDA Margin %</t>
  </si>
  <si>
    <t>SBC % of Revenue</t>
  </si>
  <si>
    <t>D&amp;A % of Revenue</t>
  </si>
  <si>
    <t>Capex (USD M)</t>
  </si>
  <si>
    <t>Interest Expense (USD M)</t>
  </si>
  <si>
    <t>Cash Tax Rate %</t>
  </si>
  <si>
    <t>Working Capital Capture % (of YoY rev increase, cash USE)</t>
  </si>
  <si>
    <t>PROJECTED FINANCIALS (FORMULAS)</t>
  </si>
  <si>
    <t>Revenue (USD M)</t>
  </si>
  <si>
    <t>Adj. EBITDA (USD M)</t>
  </si>
  <si>
    <t>SBC (USD M)</t>
  </si>
  <si>
    <t>D&amp;A (USD M)</t>
  </si>
  <si>
    <t>EBIT (USD M) = EBITDA - SBC - D&amp;A</t>
  </si>
  <si>
    <t>EBT (USD M)</t>
  </si>
  <si>
    <t>Cash Tax (USD M)</t>
  </si>
  <si>
    <t>Working Capital (USD M, use of cash if +growth)</t>
  </si>
  <si>
    <t>Owner FCF (USD M) = EBT-Tax+D&amp;A-Capex+WC</t>
  </si>
  <si>
    <t>Owner FCF Margin %</t>
  </si>
  <si>
    <t>Discount Factor</t>
  </si>
  <si>
    <t>PV of FCF (USD M)</t>
  </si>
  <si>
    <t>VALUATION</t>
  </si>
  <si>
    <t>Sum of PV of FCF (USD M)</t>
  </si>
  <si>
    <t>Gordon Terminal Value (USD M)</t>
  </si>
  <si>
    <t>Floor TV = Floor Mult x Terminal EBITDA (USD M)</t>
  </si>
  <si>
    <t>Cap TV = Cap Mult x Terminal EBITDA (USD M)</t>
  </si>
  <si>
    <t>Terminal Value Used (USD M) = MEDIAN(Gordon,Floor,Cap)</t>
  </si>
  <si>
    <t>PV of Terminal Value (USD M)</t>
  </si>
  <si>
    <t>Enterprise Value (USD M)</t>
  </si>
  <si>
    <t>Less: Net Debt (USD M)</t>
  </si>
  <si>
    <t>Equity Value (USD M)</t>
  </si>
  <si>
    <t>INTRINSIC VALUE / SHARE (USD)</t>
  </si>
  <si>
    <t>INTRINSIC VALUE / SHARE (NZD)</t>
  </si>
  <si>
    <t>ENTRY PRICE (15% IRR Target, 10yr)</t>
  </si>
  <si>
    <t>Hurdle Rate</t>
  </si>
  <si>
    <t>PV of Yrs 1-10 FCF @ Hurdle (USD M)</t>
  </si>
  <si>
    <t>PV of Terminal Value @ Hurdle (USD M)</t>
  </si>
  <si>
    <t>Entry Equity Value (USD M)</t>
  </si>
  <si>
    <t>Entry Price / Share (USD)</t>
  </si>
  <si>
    <t>Entry Price / Share (NZD)</t>
  </si>
  <si>
    <t>Upside to IV (vs current NZD price)</t>
  </si>
  <si>
    <t>Upside to Entry Price (vs current NZD price)</t>
  </si>
  <si>
    <t>NOTE: Terminal value bound to a floor/cap EV-EBITDA multiple range (see Sanity Check sheet) because</t>
  </si>
  <si>
    <t>Gordon-growth alone produced implied exit multiples BELOW the 10-year historical minimum multiple.</t>
  </si>
  <si>
    <t>ARB.NZ Scenario Summary</t>
  </si>
  <si>
    <t>Base</t>
  </si>
  <si>
    <t>Bull</t>
  </si>
  <si>
    <t>Bear</t>
  </si>
  <si>
    <t>WACC</t>
  </si>
  <si>
    <t>Terminal Growth</t>
  </si>
  <si>
    <t>TV Floor Multiple (x EBITDA)</t>
  </si>
  <si>
    <t>TV Cap Multiple (x EBITDA)</t>
  </si>
  <si>
    <t>Terminal Value Source</t>
  </si>
  <si>
    <t>floor (EV/EBITDA multiple sanity bound)</t>
  </si>
  <si>
    <t>Sum PV of FCF (USD M)</t>
  </si>
  <si>
    <t>PV Terminal Value (USD M)</t>
  </si>
  <si>
    <t>Intrinsic Value (USD/sh)</t>
  </si>
  <si>
    <t>Intrinsic Value (NZD/sh)</t>
  </si>
  <si>
    <t>Upside vs Current Price %</t>
  </si>
  <si>
    <t>Terminal % of EV</t>
  </si>
  <si>
    <t>Implied Exit EV/EBITDA</t>
  </si>
  <si>
    <t>Probability Weight</t>
  </si>
  <si>
    <t>Weighted Intrinsic Value (NZD/sh)</t>
  </si>
  <si>
    <t>Weighted Upside vs Current Price %</t>
  </si>
  <si>
    <t>Sensitivity Analysis (Base Case, NZD/share)</t>
  </si>
  <si>
    <t>Terminal value bound to floor/cap EV-EBITDA multiples; columns are flat where Gordon falls below the floor at that WACC.</t>
  </si>
  <si>
    <t>WACC \ Term G</t>
  </si>
  <si>
    <t>Historical Growth &amp; Trading Multiples</t>
  </si>
  <si>
    <t>Growth Rates</t>
  </si>
  <si>
    <t>Metric</t>
  </si>
  <si>
    <t>Value</t>
  </si>
  <si>
    <t>Revenue 3yr CAGR</t>
  </si>
  <si>
    <t>Revenue 5yr CAGR</t>
  </si>
  <si>
    <t>Revenue 7yr CAGR (FY19-26, selected)</t>
  </si>
  <si>
    <t>Equity 3yr CAGR (impairment-distorted)</t>
  </si>
  <si>
    <t>Equity 5yr CAGR (impairment-distorted)</t>
  </si>
  <si>
    <t>Growth divergence warning:</t>
  </si>
  <si>
    <t>Equity (book value) CAGR is NEGATIVE (-4.3% to -7.3%) while revenue CAGR is POSITIVE (+4.8% to +6.7%) - a divergence far in excess of the 30% threshold. This is NOT a sign of value destruction in the operating business; it is driven almost entirely by two non-cash intangible impairments ($21.8m FY2025, $1.7m FY2026) against the $54.1m carrying value of acquired forestry-genetics IP. Equity/book-value CAGR is therefore REJECTED as the growth driver for this company and revenue CAGR (7-year, through-cycle, matching the task's guidance of ~4.8%/yr) is used instead, consistent with the qualitative view that Brazil growth and US structural decline roughly net to a low-single-digit blended rate.</t>
  </si>
  <si>
    <t>Historical Trading Multiples (FY-end, NZD price -&gt; USD via flat FX)</t>
  </si>
  <si>
    <t>FY</t>
  </si>
  <si>
    <t>Price NZD</t>
  </si>
  <si>
    <t>MktCap USD M</t>
  </si>
  <si>
    <t>Net Debt USD M</t>
  </si>
  <si>
    <t>EV USD M</t>
  </si>
  <si>
    <t>Adj EBITDA proxy USD M</t>
  </si>
  <si>
    <t>EV/EBITDA</t>
  </si>
  <si>
    <t>P/B</t>
  </si>
  <si>
    <t>P/S</t>
  </si>
  <si>
    <t>P/E</t>
  </si>
  <si>
    <t>FY2019</t>
  </si>
  <si>
    <t>n/a (loss)</t>
  </si>
  <si>
    <t>FY2020</t>
  </si>
  <si>
    <t>FY2021</t>
  </si>
  <si>
    <t>FY2022</t>
  </si>
  <si>
    <t>FY2023</t>
  </si>
  <si>
    <t>FY2024</t>
  </si>
  <si>
    <t>FY2025</t>
  </si>
  <si>
    <t>FY2026</t>
  </si>
  <si>
    <t>EV/EBITDA min/avg/max:</t>
  </si>
  <si>
    <t>P/B min/avg/max:</t>
  </si>
  <si>
    <t>DCF Sanity Check (Step 8c)</t>
  </si>
  <si>
    <t>Ran</t>
  </si>
  <si>
    <t>True</t>
  </si>
  <si>
    <t>Passed (initial build)</t>
  </si>
  <si>
    <t>False</t>
  </si>
  <si>
    <t>Diagnosis</t>
  </si>
  <si>
    <t>The component-built owner FCF is genuine and correctly excludes one-off items, but the business is structurally low-FCF-conversion: D&amp;A is dominated by a large, largely fixed-dollar, NON-CASH intellectual-property amortisation charge ($54.1m carrying value / 17 years). Owner-FCF margin is still climbing at Year 10 (base: 3.0% -&gt; 5.9%) and never reaches a mature steady state within the explicit horizon. Applying pure Gordon-growth capitalisation (FCF_10 x (1+g) / (WACC-g)) to this still-thin, still-rising terminal FCF produces a terminal value equivalent to only 2.3-3.3x EV/EBITDA across scenarios - far below the multiple range (4.64x-11.30x) the market has actually paid for ArborGen across every point in the last 10 fiscal years, including the FY2025/26 impairment-driven trough. This is a variant of the 'terminal margin still immature -&gt; Gordon undervalues' trap described in the DCF methodology's Step 1c(d)/Step 4 guidance, except here it manifests as an UNDER-valuation relative to history rather than the more commonly-flagged OVER-valuation case. The existing 'terminal value = lower of Gordon or Cap' rule protects only against Gordon being too HIGH; it does not protect against Gordon being pathologically LOW relative to any multiple ever realised.</t>
  </si>
  <si>
    <t>Fix Applied</t>
  </si>
  <si>
    <t>Bound the terminal value within a defensible EV/Adjusted-EBITDA multiple RANGE anchored to the ticker's own 10-year historical trading multiples, rather than using Gordon growth uncapped on the low side: Base scenario floor=10yr historical MINIMUM (4.64x), cap=10yr historical AVERAGE (7.35x); Bull scenario floor=10yr AVERAGE (7.35x), cap=10yr MAXIMUM (11.30x); Bear scenario floor=60% of the 10yr minimum (2.78x, reflecting a further de-rating consistent with the bear narrative), cap=10yr MINIMUM (4.64x). Gordon growth is used only when it falls inside the scenario's floor/cap band; in practice Gordon fell BELOW the floor in all three scenarios at the assumed WACC/terminal-growth settings, so all three scenarios are floor-bound (terminal value = floor multiple x terminal-year Adjusted EBITDA).</t>
  </si>
  <si>
    <t>Post-fix Result</t>
  </si>
  <si>
    <t>Base-case IV NZ$0.037/share (-43.3% vs current NZ$0.065), Bull NZ$0.182/share (+180.1%, close to Forsyth Barr's independent NZ$0.20 DCF), Bear NZ$-0.061/share (equity impairment risk). All three now sit within or reference the historical multiple range rather than implying a valuation below any multiple the market has ever assigned.</t>
  </si>
  <si>
    <t>Implied Multiples BEFORE fix</t>
  </si>
  <si>
    <t>Base: EV/EBITDA</t>
  </si>
  <si>
    <t>{'implied_exit_ev_ebitda': 2.25, 'iv_nzd': 0.005, 'implied_pb': 0.0128}</t>
  </si>
  <si>
    <t>Bull: EV/EBITDA</t>
  </si>
  <si>
    <t>{'implied_exit_ev_ebitda': 3.33, 'iv_nzd': 0.094}</t>
  </si>
  <si>
    <t>Bear: EV/EBITDA</t>
  </si>
  <si>
    <t>{'implied_exit_ev_ebitda': 0.42, 'iv_nzd': -0.075}</t>
  </si>
  <si>
    <t>Implied Multiples AFTER fix</t>
  </si>
  <si>
    <t>{'implied_exit_ev_ebitda': 4.64, 'iv_nzd': 0.0369, 'implied_pb_on_fy26_book': 0.092}</t>
  </si>
  <si>
    <t>{'implied_exit_ev_ebitda': 7.35, 'iv_nzd': 0.182}</t>
  </si>
  <si>
    <t>{'implied_exit_ev_ebitda': 2.78, 'iv_nzd': -0.0609, 'note': 'Bear-case equity value is NEGATIVE (-USD 18.1m / NZ$-0.061 per share). This is NOT floored to zero - it is retained as an honest signal that the bear scenario (structural US decline continuing, weather shocks, no debt paydown) implies enterprise value insufficient to cover net debt, i.e. a real risk of equity impairment/recapitalisation, consistent with the risk factors in the qualitative analysis (rising net debt, thin cash, uninsured crops).'}</t>
  </si>
  <si>
    <t>Valuation Philosophy</t>
  </si>
  <si>
    <t>Summary</t>
  </si>
  <si>
    <t>ArborGen is a capital-intensive, D&amp;A-heavy, currently loss-making forestry-genetics company whose largest segment (US South, ~56% of revenue) management itself describes as in STRUCTURAL decline. Owner FCF, built bottom-up from Adjusted EBITDA less real cash costs (SBC, interest, cash tax, maintenance capex, working capital), is thin and has never been reliably positive at scale (median FY2019-26 owner FCF is roughly break-even). A pure income-approach (Gordon growth) DCF on this FCF, however methodologically correct, capitalises a terminal margin that is still immature at Year 10 and produces terminal values below any multiple of Adjusted EBITDA the market has paid for this stock across a full 10-year cycle including its worst impairment-driven trough. The valuation therefore blends the income approach (explicit 10-year owner-FCF build, discounted at a WACC that reflects micro-cap illiquidity, earnings cyclicality and structural-decline uncertainty) with a market-based sanity bound (the stock's own historical EV/Adjusted-EBITDA trading range) for the terminal value, consistent with the DCF framework's existing 'lower of Gordon or Cap' discipline extended symmetrically to a floor.</t>
  </si>
  <si>
    <t>Why IV below market (base case)</t>
  </si>
  <si>
    <t>Even after the terminal-value fix, base-case IV (NZ$0.037) sits below the already-10-year-low market price (NZ$0.065). This reflects: (1) the WACC build-up (16% base, itemised for illiquidity/cyclicality/structural-decline premiums) being meaningfully higher than a standard small-cap discount rate; (2) revenue growth capped at the through-cycle 4.8%/yr historical CAGR rather than extrapolating Brazil's recent record growth; (3) a floor multiple (4.64x) anchored to the stock's OWN 10-year minimum multiple, which itself already embeds a meaningful discount for the risks now crystallising (leadership vacancy, rising net debt, US structural decline). The market price may be pricing in either (a) a probability-weighted outcome closer to the bull/base blend than this model's bear-heavy 45% weighting, or (b) takeout/asset-value optionality (Ridgeville building sale, IP carrying value) not explicitly modelled here. The probability-weighted IV (NZ$0.022) is materially below market, consistent with a bear-tilted read of a company in genuine transition with a thin balance-sheet buffer.</t>
  </si>
  <si>
    <t>Confidence</t>
  </si>
  <si>
    <t>LOW-MODERATE. This is a micro-cap, loss-making, currency-layered (USD-functional/NZD-quoted/BRL-exposed), leadership-in-transition company with a structurally declining core segment - wide, honest dispersion between scenarios (bear NZ$-0.06 to bull NZ$0.18) is the correct representation of genuine uncertainty, not a modelling defect.</t>
  </si>
  <si>
    <t>Model Provenance &amp; Notes</t>
  </si>
  <si>
    <t>Ticker</t>
  </si>
  <si>
    <t>ARB.NZ (ArborGen Holdings Limited, NZX)</t>
  </si>
  <si>
    <t>Built by</t>
  </si>
  <si>
    <t>dcf-analyst agent (Claude), per .claude/agents/dcf-analyst.md instructions</t>
  </si>
  <si>
    <t>Valuation date</t>
  </si>
  <si>
    <t>2026-08-04</t>
  </si>
  <si>
    <t>Data vintage</t>
  </si>
  <si>
    <t>FY2026 Annual Report (year ended 31 March 2026, released 24 June 2026) is the latest annual filing used. Live share price NZ$0.065 and NZDUSD FX 0.5869 fetched from Yahoo Finance on 2026-08-04.</t>
  </si>
  <si>
    <t>Currency handling</t>
  </si>
  <si>
    <t>Model built entirely in USD (ArborGen reporting currency). Per-share results (intrinsic value, entry price) converted to NZD at a FLAT NZDUSD rate of 0.5869 for comparison with the NZX quote. Historical multiples also use this flat rate as an approximation of the true FY-end rate (which varied ~0.57-0.62 over the 10-year lookback) - see the fx_rate_note in the JSON.</t>
  </si>
  <si>
    <t>Methodology</t>
  </si>
  <si>
    <t>10-year explicit owner-FCF component build (Adjusted EBITDA -&gt; less SBC -&gt; less D&amp;A -&gt; EBIT -&gt; less interest -&gt; EBT -&gt; less cash tax -&gt; NOPAT-like -&gt; +D&amp;A -&gt; -capex -&gt; +/-working capital). A 10-year (not 5-year) horizon was used because owner-FCF margin is still rising at Year 10 in the base and bull cases.</t>
  </si>
  <si>
    <t>Key judgment call: terminal value</t>
  </si>
  <si>
    <t>Terminal value is bound within a floor/cap EV/Adjusted-EBITDA multiple RANGE anchored to ArborGen's own 10-year historical trading multiples (base floor 4.64x = 10yr min, cap 7.35x = 10yr avg; bull floor 7.35x, cap 11.30x = 10yr max; bear floor 2.78x = 0.6x 10yr min, cap 4.64x). This extends the standard 'terminal value = lower of Gordon or Cap' rule symmetrically, because pure Gordon growth on this still-immature, D&amp;A-heavy FCF produced implied exit multiples (2.3-3.3x) below any multiple the market has EVER paid for this stock in 10 years - see the Sanity Check sheet and sanity_check block in the JSON for the full diagnosis.</t>
  </si>
  <si>
    <t>What to refresh after next earnings</t>
  </si>
  <si>
    <t>FY2027 half-year result (due ~November 2026): update revenue/EBITDA actuals, net debt (watch Ridgeville building sale proceeds and paydown), CEO search outcome (interim CEO as of Aug-2026), and re-check whether US South decline is stabilising or deepening. Re-fetch live price/FX. If Adjusted EBITDA guidance for FY2027 is issued, recalibrate the EBITDA margin path.</t>
  </si>
  <si>
    <t>Cell colour conventions</t>
  </si>
  <si>
    <t>Gray cells = editable inputs. White cells = formulas (do not overwrite). Green cells = key valuation outputs.</t>
  </si>
  <si>
    <t>Staleness warning</t>
  </si>
  <si>
    <t>All figures will go stale. Share price, FX, net debt and Adjusted EBITDA in particular should be re-verified before relying on this model for a live investment decision.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</si>
</sst>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0.0%"/>
    <numFmt numFmtId="166" formatCode="&quot;US$&quot;#,##0.0000"/>
    <numFmt numFmtId="167" formatCode="&quot;NZ$&quot;#,##0.00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165" fontId="0" fillId="0" borderId="2" xfId="0" applyNumberFormat="1" applyBorder="1"/>
    <xf numFmtId="0" fontId="5" fillId="0" borderId="0" xfId="0" applyFont="1"/>
    <xf numFmtId="166" fontId="4" fillId="4" borderId="2" xfId="0" applyNumberFormat="1" applyFont="1" applyFill="1" applyBorder="1"/>
    <xf numFmtId="167" fontId="4" fillId="4" borderId="2" xfId="0" applyNumberFormat="1" applyFont="1" applyFill="1" applyBorder="1"/>
    <xf numFmtId="0" fontId="6" fillId="0" borderId="0" xfId="0" applyFont="1" applyAlignment="1">
      <alignment wrapText="1"/>
    </xf>
    <xf numFmtId="166" fontId="0" fillId="0" borderId="2" xfId="0" applyNumberFormat="1" applyBorder="1"/>
    <xf numFmtId="167" fontId="0" fillId="0" borderId="2" xfId="0" applyNumberFormat="1" applyBorder="1"/>
    <xf numFmtId="165" fontId="4" fillId="3" borderId="0" xfId="0" applyNumberFormat="1" applyFont="1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/>
  </sheetViews>
  <sheetFormatPr defaultRowHeight="15"/>
  <cols>
    <col min="1" max="1" width="32.7109375" customWidth="1"/>
    <col min="2" max="12" width="12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2" t="s">
        <v>2</v>
      </c>
    </row>
    <row r="5" spans="1:2">
      <c r="A5" s="3" t="s">
        <v>3</v>
      </c>
    </row>
    <row r="6" spans="1:2">
      <c r="A6" t="s">
        <v>4</v>
      </c>
      <c r="B6" s="4">
        <v>0.065</v>
      </c>
    </row>
    <row r="7" spans="1:2">
      <c r="A7" t="s">
        <v>5</v>
      </c>
      <c r="B7" s="4">
        <v>0.5869</v>
      </c>
    </row>
    <row r="8" spans="1:2">
      <c r="A8" t="s">
        <v>6</v>
      </c>
      <c r="B8" s="4">
        <v>506.043731</v>
      </c>
    </row>
    <row r="9" spans="1:2">
      <c r="A9" t="s">
        <v>7</v>
      </c>
      <c r="B9" s="4">
        <v>2.2</v>
      </c>
    </row>
    <row r="10" spans="1:2">
      <c r="A10" t="s">
        <v>8</v>
      </c>
      <c r="B10" s="4">
        <v>27.3</v>
      </c>
    </row>
    <row r="11" spans="1:2">
      <c r="A11" t="s">
        <v>9</v>
      </c>
      <c r="B11" s="5">
        <f>B10-B9</f>
        <v>0</v>
      </c>
    </row>
    <row r="12" spans="1:2">
      <c r="A12" t="s">
        <v>10</v>
      </c>
      <c r="B12" s="4">
        <v>68.2</v>
      </c>
    </row>
    <row r="14" spans="1:2">
      <c r="A14" t="s">
        <v>11</v>
      </c>
      <c r="B14" s="6">
        <v>0.16</v>
      </c>
    </row>
    <row r="15" spans="1:2">
      <c r="A15" t="s">
        <v>12</v>
      </c>
      <c r="B15" s="6">
        <v>0.017</v>
      </c>
    </row>
    <row r="16" spans="1:2">
      <c r="A16" t="s">
        <v>13</v>
      </c>
      <c r="B16" s="4">
        <v>4.64</v>
      </c>
    </row>
    <row r="17" spans="1:11">
      <c r="A17" t="s">
        <v>14</v>
      </c>
      <c r="B17" s="4">
        <v>7.35</v>
      </c>
    </row>
    <row r="19" spans="1:11">
      <c r="A19" s="3" t="s">
        <v>15</v>
      </c>
    </row>
    <row r="21" spans="1:11">
      <c r="A21" s="7"/>
      <c r="B21" s="7" t="s">
        <v>16</v>
      </c>
      <c r="C21" s="7" t="s">
        <v>17</v>
      </c>
      <c r="D21" s="7" t="s">
        <v>18</v>
      </c>
      <c r="E21" s="7" t="s">
        <v>19</v>
      </c>
      <c r="F21" s="7" t="s">
        <v>20</v>
      </c>
      <c r="G21" s="7" t="s">
        <v>21</v>
      </c>
      <c r="H21" s="7" t="s">
        <v>22</v>
      </c>
      <c r="I21" s="7" t="s">
        <v>23</v>
      </c>
      <c r="J21" s="7" t="s">
        <v>24</v>
      </c>
      <c r="K21" s="7" t="s">
        <v>25</v>
      </c>
    </row>
    <row r="22" spans="1:11">
      <c r="A22" t="s">
        <v>26</v>
      </c>
      <c r="B22" s="6">
        <v>0.035</v>
      </c>
      <c r="C22" s="6">
        <v>0.04</v>
      </c>
      <c r="D22" s="6">
        <v>0.045</v>
      </c>
      <c r="E22" s="6">
        <v>0.045</v>
      </c>
      <c r="F22" s="6">
        <v>0.04</v>
      </c>
      <c r="G22" s="6">
        <v>0.035</v>
      </c>
      <c r="H22" s="6">
        <v>0.03</v>
      </c>
      <c r="I22" s="6">
        <v>0.025</v>
      </c>
      <c r="J22" s="6">
        <v>0.02</v>
      </c>
      <c r="K22" s="6">
        <v>0.017</v>
      </c>
    </row>
    <row r="23" spans="1:11">
      <c r="A23" t="s">
        <v>27</v>
      </c>
      <c r="B23" s="6">
        <v>0.169</v>
      </c>
      <c r="C23" s="6">
        <v>0.172</v>
      </c>
      <c r="D23" s="6">
        <v>0.175</v>
      </c>
      <c r="E23" s="6">
        <v>0.178</v>
      </c>
      <c r="F23" s="6">
        <v>0.18</v>
      </c>
      <c r="G23" s="6">
        <v>0.182</v>
      </c>
      <c r="H23" s="6">
        <v>0.183</v>
      </c>
      <c r="I23" s="6">
        <v>0.184</v>
      </c>
      <c r="J23" s="6">
        <v>0.185</v>
      </c>
      <c r="K23" s="6">
        <v>0.185</v>
      </c>
    </row>
    <row r="24" spans="1:11">
      <c r="A24" t="s">
        <v>28</v>
      </c>
      <c r="B24" s="6">
        <v>0.009000000000000001</v>
      </c>
      <c r="C24" s="6">
        <v>0.008500000000000001</v>
      </c>
      <c r="D24" s="6">
        <v>0.008</v>
      </c>
      <c r="E24" s="6">
        <v>0.0075</v>
      </c>
      <c r="F24" s="6">
        <v>0.006999999999999999</v>
      </c>
      <c r="G24" s="6">
        <v>0.006500000000000001</v>
      </c>
      <c r="H24" s="6">
        <v>0.006</v>
      </c>
      <c r="I24" s="6">
        <v>0.006</v>
      </c>
      <c r="J24" s="6">
        <v>0.006</v>
      </c>
      <c r="K24" s="6">
        <v>0.006</v>
      </c>
    </row>
    <row r="25" spans="1:11">
      <c r="A25" t="s">
        <v>29</v>
      </c>
      <c r="B25" s="6">
        <v>0.12</v>
      </c>
      <c r="C25" s="6">
        <v>0.117</v>
      </c>
      <c r="D25" s="6">
        <v>0.114</v>
      </c>
      <c r="E25" s="6">
        <v>0.111</v>
      </c>
      <c r="F25" s="6">
        <v>0.108</v>
      </c>
      <c r="G25" s="6">
        <v>0.105</v>
      </c>
      <c r="H25" s="6">
        <v>0.102</v>
      </c>
      <c r="I25" s="6">
        <v>0.1</v>
      </c>
      <c r="J25" s="6">
        <v>0.098</v>
      </c>
      <c r="K25" s="6">
        <v>0.096</v>
      </c>
    </row>
    <row r="26" spans="1:11">
      <c r="A26" t="s">
        <v>30</v>
      </c>
      <c r="B26" s="4">
        <v>6.3</v>
      </c>
      <c r="C26" s="4">
        <v>6.4</v>
      </c>
      <c r="D26" s="4">
        <v>6.6</v>
      </c>
      <c r="E26" s="4">
        <v>6.8</v>
      </c>
      <c r="F26" s="4">
        <v>7</v>
      </c>
      <c r="G26" s="4">
        <v>7.1</v>
      </c>
      <c r="H26" s="4">
        <v>7.3</v>
      </c>
      <c r="I26" s="4">
        <v>7.4</v>
      </c>
      <c r="J26" s="4">
        <v>7.5</v>
      </c>
      <c r="K26" s="4">
        <v>7.6</v>
      </c>
    </row>
    <row r="27" spans="1:11">
      <c r="A27" t="s">
        <v>31</v>
      </c>
      <c r="B27" s="4">
        <v>2.4</v>
      </c>
      <c r="C27" s="4">
        <v>2.3</v>
      </c>
      <c r="D27" s="4">
        <v>2.2</v>
      </c>
      <c r="E27" s="4">
        <v>2.1</v>
      </c>
      <c r="F27" s="4">
        <v>2</v>
      </c>
      <c r="G27" s="4">
        <v>1.9</v>
      </c>
      <c r="H27" s="4">
        <v>1.9</v>
      </c>
      <c r="I27" s="4">
        <v>1.8</v>
      </c>
      <c r="J27" s="4">
        <v>1.8</v>
      </c>
      <c r="K27" s="4">
        <v>1.8</v>
      </c>
    </row>
    <row r="28" spans="1:11">
      <c r="A28" t="s">
        <v>32</v>
      </c>
      <c r="B28" s="6">
        <v>0.1</v>
      </c>
      <c r="C28" s="6">
        <v>0.12</v>
      </c>
      <c r="D28" s="6">
        <v>0.15</v>
      </c>
      <c r="E28" s="6">
        <v>0.18</v>
      </c>
      <c r="F28" s="6">
        <v>0.21</v>
      </c>
      <c r="G28" s="6">
        <v>0.24</v>
      </c>
      <c r="H28" s="6">
        <v>0.26</v>
      </c>
      <c r="I28" s="6">
        <v>0.27</v>
      </c>
      <c r="J28" s="6">
        <v>0.28</v>
      </c>
      <c r="K28" s="6">
        <v>0.28</v>
      </c>
    </row>
    <row r="29" spans="1:11">
      <c r="A29" t="s">
        <v>33</v>
      </c>
      <c r="B29" s="6">
        <v>0.18</v>
      </c>
    </row>
    <row r="31" spans="1:11">
      <c r="A31" s="3" t="s">
        <v>34</v>
      </c>
    </row>
    <row r="32" spans="1:11">
      <c r="A32" t="s">
        <v>35</v>
      </c>
      <c r="B32" s="5">
        <f>$B$12*(1+B22)</f>
        <v>0</v>
      </c>
      <c r="C32" s="5">
        <f>B32*(1+C22)</f>
        <v>0</v>
      </c>
      <c r="D32" s="5">
        <f>C32*(1+D22)</f>
        <v>0</v>
      </c>
      <c r="E32" s="5">
        <f>D32*(1+E22)</f>
        <v>0</v>
      </c>
      <c r="F32" s="5">
        <f>E32*(1+F22)</f>
        <v>0</v>
      </c>
      <c r="G32" s="5">
        <f>F32*(1+G22)</f>
        <v>0</v>
      </c>
      <c r="H32" s="5">
        <f>G32*(1+H22)</f>
        <v>0</v>
      </c>
      <c r="I32" s="5">
        <f>H32*(1+I22)</f>
        <v>0</v>
      </c>
      <c r="J32" s="5">
        <f>I32*(1+J22)</f>
        <v>0</v>
      </c>
      <c r="K32" s="5">
        <f>J32*(1+K22)</f>
        <v>0</v>
      </c>
    </row>
    <row r="33" spans="1:11">
      <c r="A33" t="s">
        <v>36</v>
      </c>
      <c r="B33" s="5">
        <f>B32*B23</f>
        <v>0</v>
      </c>
      <c r="C33" s="5">
        <f>C32*C23</f>
        <v>0</v>
      </c>
      <c r="D33" s="5">
        <f>D32*D23</f>
        <v>0</v>
      </c>
      <c r="E33" s="5">
        <f>E32*E23</f>
        <v>0</v>
      </c>
      <c r="F33" s="5">
        <f>F32*F23</f>
        <v>0</v>
      </c>
      <c r="G33" s="5">
        <f>G32*G23</f>
        <v>0</v>
      </c>
      <c r="H33" s="5">
        <f>H32*H23</f>
        <v>0</v>
      </c>
      <c r="I33" s="5">
        <f>I32*I23</f>
        <v>0</v>
      </c>
      <c r="J33" s="5">
        <f>J32*J23</f>
        <v>0</v>
      </c>
      <c r="K33" s="5">
        <f>K32*K23</f>
        <v>0</v>
      </c>
    </row>
    <row r="34" spans="1:11">
      <c r="A34" t="s">
        <v>37</v>
      </c>
      <c r="B34" s="5">
        <f>B32*B24</f>
        <v>0</v>
      </c>
      <c r="C34" s="5">
        <f>C32*C24</f>
        <v>0</v>
      </c>
      <c r="D34" s="5">
        <f>D32*D24</f>
        <v>0</v>
      </c>
      <c r="E34" s="5">
        <f>E32*E24</f>
        <v>0</v>
      </c>
      <c r="F34" s="5">
        <f>F32*F24</f>
        <v>0</v>
      </c>
      <c r="G34" s="5">
        <f>G32*G24</f>
        <v>0</v>
      </c>
      <c r="H34" s="5">
        <f>H32*H24</f>
        <v>0</v>
      </c>
      <c r="I34" s="5">
        <f>I32*I24</f>
        <v>0</v>
      </c>
      <c r="J34" s="5">
        <f>J32*J24</f>
        <v>0</v>
      </c>
      <c r="K34" s="5">
        <f>K32*K24</f>
        <v>0</v>
      </c>
    </row>
    <row r="35" spans="1:11">
      <c r="A35" t="s">
        <v>38</v>
      </c>
      <c r="B35" s="5">
        <f>B32*B25</f>
        <v>0</v>
      </c>
      <c r="C35" s="5">
        <f>C32*C25</f>
        <v>0</v>
      </c>
      <c r="D35" s="5">
        <f>D32*D25</f>
        <v>0</v>
      </c>
      <c r="E35" s="5">
        <f>E32*E25</f>
        <v>0</v>
      </c>
      <c r="F35" s="5">
        <f>F32*F25</f>
        <v>0</v>
      </c>
      <c r="G35" s="5">
        <f>G32*G25</f>
        <v>0</v>
      </c>
      <c r="H35" s="5">
        <f>H32*H25</f>
        <v>0</v>
      </c>
      <c r="I35" s="5">
        <f>I32*I25</f>
        <v>0</v>
      </c>
      <c r="J35" s="5">
        <f>J32*J25</f>
        <v>0</v>
      </c>
      <c r="K35" s="5">
        <f>K32*K25</f>
        <v>0</v>
      </c>
    </row>
    <row r="36" spans="1:11">
      <c r="A36" t="s">
        <v>39</v>
      </c>
      <c r="B36" s="5">
        <f>B33-B34-B35</f>
        <v>0</v>
      </c>
      <c r="C36" s="5">
        <f>C33-C34-C35</f>
        <v>0</v>
      </c>
      <c r="D36" s="5">
        <f>D33-D34-D35</f>
        <v>0</v>
      </c>
      <c r="E36" s="5">
        <f>E33-E34-E35</f>
        <v>0</v>
      </c>
      <c r="F36" s="5">
        <f>F33-F34-F35</f>
        <v>0</v>
      </c>
      <c r="G36" s="5">
        <f>G33-G34-G35</f>
        <v>0</v>
      </c>
      <c r="H36" s="5">
        <f>H33-H34-H35</f>
        <v>0</v>
      </c>
      <c r="I36" s="5">
        <f>I33-I34-I35</f>
        <v>0</v>
      </c>
      <c r="J36" s="5">
        <f>J33-J34-J35</f>
        <v>0</v>
      </c>
      <c r="K36" s="5">
        <f>K33-K34-K35</f>
        <v>0</v>
      </c>
    </row>
    <row r="37" spans="1:11">
      <c r="A37" t="s">
        <v>31</v>
      </c>
      <c r="B37" s="5">
        <f>B27</f>
        <v>0</v>
      </c>
      <c r="C37" s="5">
        <f>C27</f>
        <v>0</v>
      </c>
      <c r="D37" s="5">
        <f>D27</f>
        <v>0</v>
      </c>
      <c r="E37" s="5">
        <f>E27</f>
        <v>0</v>
      </c>
      <c r="F37" s="5">
        <f>F27</f>
        <v>0</v>
      </c>
      <c r="G37" s="5">
        <f>G27</f>
        <v>0</v>
      </c>
      <c r="H37" s="5">
        <f>H27</f>
        <v>0</v>
      </c>
      <c r="I37" s="5">
        <f>I27</f>
        <v>0</v>
      </c>
      <c r="J37" s="5">
        <f>J27</f>
        <v>0</v>
      </c>
      <c r="K37" s="5">
        <f>K27</f>
        <v>0</v>
      </c>
    </row>
    <row r="38" spans="1:11">
      <c r="A38" t="s">
        <v>40</v>
      </c>
      <c r="B38" s="5">
        <f>B36-B37</f>
        <v>0</v>
      </c>
      <c r="C38" s="5">
        <f>C36-C37</f>
        <v>0</v>
      </c>
      <c r="D38" s="5">
        <f>D36-D37</f>
        <v>0</v>
      </c>
      <c r="E38" s="5">
        <f>E36-E37</f>
        <v>0</v>
      </c>
      <c r="F38" s="5">
        <f>F36-F37</f>
        <v>0</v>
      </c>
      <c r="G38" s="5">
        <f>G36-G37</f>
        <v>0</v>
      </c>
      <c r="H38" s="5">
        <f>H36-H37</f>
        <v>0</v>
      </c>
      <c r="I38" s="5">
        <f>I36-I37</f>
        <v>0</v>
      </c>
      <c r="J38" s="5">
        <f>J36-J37</f>
        <v>0</v>
      </c>
      <c r="K38" s="5">
        <f>K36-K37</f>
        <v>0</v>
      </c>
    </row>
    <row r="39" spans="1:11">
      <c r="A39" t="s">
        <v>41</v>
      </c>
      <c r="B39" s="5">
        <f>MAX(0,B38)*B28</f>
        <v>0</v>
      </c>
      <c r="C39" s="5">
        <f>MAX(0,C38)*C28</f>
        <v>0</v>
      </c>
      <c r="D39" s="5">
        <f>MAX(0,D38)*D28</f>
        <v>0</v>
      </c>
      <c r="E39" s="5">
        <f>MAX(0,E38)*E28</f>
        <v>0</v>
      </c>
      <c r="F39" s="5">
        <f>MAX(0,F38)*F28</f>
        <v>0</v>
      </c>
      <c r="G39" s="5">
        <f>MAX(0,G38)*G28</f>
        <v>0</v>
      </c>
      <c r="H39" s="5">
        <f>MAX(0,H38)*H28</f>
        <v>0</v>
      </c>
      <c r="I39" s="5">
        <f>MAX(0,I38)*I28</f>
        <v>0</v>
      </c>
      <c r="J39" s="5">
        <f>MAX(0,J38)*J28</f>
        <v>0</v>
      </c>
      <c r="K39" s="5">
        <f>MAX(0,K38)*K28</f>
        <v>0</v>
      </c>
    </row>
    <row r="40" spans="1:11">
      <c r="A40" t="s">
        <v>30</v>
      </c>
      <c r="B40" s="5">
        <f>B26</f>
        <v>0</v>
      </c>
      <c r="C40" s="5">
        <f>C26</f>
        <v>0</v>
      </c>
      <c r="D40" s="5">
        <f>D26</f>
        <v>0</v>
      </c>
      <c r="E40" s="5">
        <f>E26</f>
        <v>0</v>
      </c>
      <c r="F40" s="5">
        <f>F26</f>
        <v>0</v>
      </c>
      <c r="G40" s="5">
        <f>G26</f>
        <v>0</v>
      </c>
      <c r="H40" s="5">
        <f>H26</f>
        <v>0</v>
      </c>
      <c r="I40" s="5">
        <f>I26</f>
        <v>0</v>
      </c>
      <c r="J40" s="5">
        <f>J26</f>
        <v>0</v>
      </c>
      <c r="K40" s="5">
        <f>K26</f>
        <v>0</v>
      </c>
    </row>
    <row r="41" spans="1:11">
      <c r="A41" t="s">
        <v>42</v>
      </c>
      <c r="B41" s="5">
        <f>-$B$29*(B32-$B$12)</f>
        <v>0</v>
      </c>
      <c r="C41" s="5">
        <f>-$B$29*(C32-B32)</f>
        <v>0</v>
      </c>
      <c r="D41" s="5">
        <f>-$B$29*(D32-C32)</f>
        <v>0</v>
      </c>
      <c r="E41" s="5">
        <f>-$B$29*(E32-D32)</f>
        <v>0</v>
      </c>
      <c r="F41" s="5">
        <f>-$B$29*(F32-E32)</f>
        <v>0</v>
      </c>
      <c r="G41" s="5">
        <f>-$B$29*(G32-F32)</f>
        <v>0</v>
      </c>
      <c r="H41" s="5">
        <f>-$B$29*(H32-G32)</f>
        <v>0</v>
      </c>
      <c r="I41" s="5">
        <f>-$B$29*(I32-H32)</f>
        <v>0</v>
      </c>
      <c r="J41" s="5">
        <f>-$B$29*(J32-I32)</f>
        <v>0</v>
      </c>
      <c r="K41" s="5">
        <f>-$B$29*(K32-J32)</f>
        <v>0</v>
      </c>
    </row>
    <row r="42" spans="1:11">
      <c r="A42" t="s">
        <v>43</v>
      </c>
      <c r="B42" s="5">
        <f>B38-B39+B35-B40+B41</f>
        <v>0</v>
      </c>
      <c r="C42" s="5">
        <f>C38-C39+C35-C40+C41</f>
        <v>0</v>
      </c>
      <c r="D42" s="5">
        <f>D38-D39+D35-D40+D41</f>
        <v>0</v>
      </c>
      <c r="E42" s="5">
        <f>E38-E39+E35-E40+E41</f>
        <v>0</v>
      </c>
      <c r="F42" s="5">
        <f>F38-F39+F35-F40+F41</f>
        <v>0</v>
      </c>
      <c r="G42" s="5">
        <f>G38-G39+G35-G40+G41</f>
        <v>0</v>
      </c>
      <c r="H42" s="5">
        <f>H38-H39+H35-H40+H41</f>
        <v>0</v>
      </c>
      <c r="I42" s="5">
        <f>I38-I39+I35-I40+I41</f>
        <v>0</v>
      </c>
      <c r="J42" s="5">
        <f>J38-J39+J35-J40+J41</f>
        <v>0</v>
      </c>
      <c r="K42" s="5">
        <f>K38-K39+K35-K40+K41</f>
        <v>0</v>
      </c>
    </row>
    <row r="43" spans="1:11">
      <c r="A43" t="s">
        <v>44</v>
      </c>
      <c r="B43" s="8">
        <f>B42/B32</f>
        <v>0</v>
      </c>
      <c r="C43" s="8">
        <f>C42/C32</f>
        <v>0</v>
      </c>
      <c r="D43" s="8">
        <f>D42/D32</f>
        <v>0</v>
      </c>
      <c r="E43" s="8">
        <f>E42/E32</f>
        <v>0</v>
      </c>
      <c r="F43" s="8">
        <f>F42/F32</f>
        <v>0</v>
      </c>
      <c r="G43" s="8">
        <f>G42/G32</f>
        <v>0</v>
      </c>
      <c r="H43" s="8">
        <f>H42/H32</f>
        <v>0</v>
      </c>
      <c r="I43" s="8">
        <f>I42/I32</f>
        <v>0</v>
      </c>
      <c r="J43" s="8">
        <f>J42/J32</f>
        <v>0</v>
      </c>
      <c r="K43" s="8">
        <f>K42/K32</f>
        <v>0</v>
      </c>
    </row>
    <row r="45" spans="1:11">
      <c r="A45" t="s">
        <v>45</v>
      </c>
      <c r="B45" s="5">
        <f>1/(1+$B$14)^1</f>
        <v>0</v>
      </c>
      <c r="C45" s="5">
        <f>1/(1+$B$14)^2</f>
        <v>0</v>
      </c>
      <c r="D45" s="5">
        <f>1/(1+$B$14)^3</f>
        <v>0</v>
      </c>
      <c r="E45" s="5">
        <f>1/(1+$B$14)^4</f>
        <v>0</v>
      </c>
      <c r="F45" s="5">
        <f>1/(1+$B$14)^5</f>
        <v>0</v>
      </c>
      <c r="G45" s="5">
        <f>1/(1+$B$14)^6</f>
        <v>0</v>
      </c>
      <c r="H45" s="5">
        <f>1/(1+$B$14)^7</f>
        <v>0</v>
      </c>
      <c r="I45" s="5">
        <f>1/(1+$B$14)^8</f>
        <v>0</v>
      </c>
      <c r="J45" s="5">
        <f>1/(1+$B$14)^9</f>
        <v>0</v>
      </c>
      <c r="K45" s="5">
        <f>1/(1+$B$14)^10</f>
        <v>0</v>
      </c>
    </row>
    <row r="46" spans="1:11">
      <c r="A46" t="s">
        <v>46</v>
      </c>
      <c r="B46" s="5">
        <f>B42*B45</f>
        <v>0</v>
      </c>
      <c r="C46" s="5">
        <f>C42*C45</f>
        <v>0</v>
      </c>
      <c r="D46" s="5">
        <f>D42*D45</f>
        <v>0</v>
      </c>
      <c r="E46" s="5">
        <f>E42*E45</f>
        <v>0</v>
      </c>
      <c r="F46" s="5">
        <f>F42*F45</f>
        <v>0</v>
      </c>
      <c r="G46" s="5">
        <f>G42*G45</f>
        <v>0</v>
      </c>
      <c r="H46" s="5">
        <f>H42*H45</f>
        <v>0</v>
      </c>
      <c r="I46" s="5">
        <f>I42*I45</f>
        <v>0</v>
      </c>
      <c r="J46" s="5">
        <f>J42*J45</f>
        <v>0</v>
      </c>
      <c r="K46" s="5">
        <f>K42*K45</f>
        <v>0</v>
      </c>
    </row>
    <row r="48" spans="1:11">
      <c r="A48" s="3" t="s">
        <v>47</v>
      </c>
    </row>
    <row r="49" spans="1:2">
      <c r="A49" t="s">
        <v>48</v>
      </c>
      <c r="B49" s="5">
        <f>SUM(B46:K46)</f>
        <v>0</v>
      </c>
    </row>
    <row r="50" spans="1:2">
      <c r="A50" t="s">
        <v>49</v>
      </c>
      <c r="B50" s="5">
        <f>K42*(1+$B$15)/($B$14-$B$15)</f>
        <v>0</v>
      </c>
    </row>
    <row r="51" spans="1:2">
      <c r="A51" t="s">
        <v>50</v>
      </c>
      <c r="B51" s="5">
        <f>$B$16*K33</f>
        <v>0</v>
      </c>
    </row>
    <row r="52" spans="1:2">
      <c r="A52" t="s">
        <v>51</v>
      </c>
      <c r="B52" s="5">
        <f>$B$17*K33</f>
        <v>0</v>
      </c>
    </row>
    <row r="53" spans="1:2">
      <c r="A53" t="s">
        <v>52</v>
      </c>
      <c r="B53" s="5">
        <f>MEDIAN(B50,B51,B52)</f>
        <v>0</v>
      </c>
    </row>
    <row r="54" spans="1:2">
      <c r="A54" t="s">
        <v>53</v>
      </c>
      <c r="B54" s="5">
        <f>B53*K45</f>
        <v>0</v>
      </c>
    </row>
    <row r="55" spans="1:2">
      <c r="A55" t="s">
        <v>54</v>
      </c>
      <c r="B55" s="5">
        <f>B49+B54</f>
        <v>0</v>
      </c>
    </row>
    <row r="56" spans="1:2">
      <c r="A56" t="s">
        <v>55</v>
      </c>
      <c r="B56" s="5">
        <f>B11</f>
        <v>0</v>
      </c>
    </row>
    <row r="57" spans="1:2">
      <c r="A57" t="s">
        <v>56</v>
      </c>
      <c r="B57" s="5">
        <f>B55-B56</f>
        <v>0</v>
      </c>
    </row>
    <row r="58" spans="1:2">
      <c r="A58" s="9" t="s">
        <v>57</v>
      </c>
      <c r="B58" s="10">
        <f>B57/B8</f>
        <v>0</v>
      </c>
    </row>
    <row r="59" spans="1:2">
      <c r="A59" s="9" t="s">
        <v>58</v>
      </c>
      <c r="B59" s="11">
        <f>B58/$B$7</f>
        <v>0</v>
      </c>
    </row>
    <row r="61" spans="1:2">
      <c r="A61" s="3" t="s">
        <v>59</v>
      </c>
    </row>
    <row r="62" spans="1:2">
      <c r="A62" t="s">
        <v>60</v>
      </c>
      <c r="B62" s="6">
        <v>0.15</v>
      </c>
    </row>
    <row r="63" spans="1:2">
      <c r="A63" t="s">
        <v>61</v>
      </c>
      <c r="B63" s="5">
        <f>NPV(B62,B42:K42)</f>
        <v>0</v>
      </c>
    </row>
    <row r="64" spans="1:2">
      <c r="A64" t="s">
        <v>62</v>
      </c>
      <c r="B64" s="5">
        <f>B53/(1+B62)^10</f>
        <v>0</v>
      </c>
    </row>
    <row r="65" spans="1:2">
      <c r="A65" t="s">
        <v>55</v>
      </c>
      <c r="B65" s="5">
        <f>B11</f>
        <v>0</v>
      </c>
    </row>
    <row r="66" spans="1:2">
      <c r="A66" t="s">
        <v>63</v>
      </c>
      <c r="B66" s="5">
        <f>B63+B64-B65</f>
        <v>0</v>
      </c>
    </row>
    <row r="67" spans="1:2">
      <c r="A67" s="9" t="s">
        <v>64</v>
      </c>
      <c r="B67" s="10">
        <f>B66/B8</f>
        <v>0</v>
      </c>
    </row>
    <row r="68" spans="1:2">
      <c r="A68" s="9" t="s">
        <v>65</v>
      </c>
      <c r="B68" s="11">
        <f>B67/$B$7</f>
        <v>0</v>
      </c>
    </row>
    <row r="70" spans="1:2">
      <c r="A70" t="s">
        <v>66</v>
      </c>
      <c r="B70" s="8">
        <f>(B59-$B$6)/$B$6</f>
        <v>0</v>
      </c>
    </row>
    <row r="71" spans="1:2">
      <c r="A71" t="s">
        <v>67</v>
      </c>
      <c r="B71" s="8">
        <f>($B$6-B68)/$B$6</f>
        <v>0</v>
      </c>
    </row>
    <row r="73" spans="1:2">
      <c r="A73" s="12" t="s">
        <v>68</v>
      </c>
    </row>
    <row r="74" spans="1:2">
      <c r="A74" s="1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cols>
    <col min="1" max="1" width="30.7109375" customWidth="1"/>
    <col min="2" max="4" width="16.7109375" customWidth="1"/>
  </cols>
  <sheetData>
    <row r="1" spans="1:4">
      <c r="A1" s="1" t="s">
        <v>70</v>
      </c>
    </row>
    <row r="3" spans="1:4">
      <c r="A3" s="7"/>
      <c r="B3" s="7" t="s">
        <v>71</v>
      </c>
      <c r="C3" s="7" t="s">
        <v>72</v>
      </c>
      <c r="D3" s="7" t="s">
        <v>73</v>
      </c>
    </row>
    <row r="4" spans="1:4">
      <c r="A4" t="s">
        <v>74</v>
      </c>
      <c r="B4" s="8">
        <v>0.16</v>
      </c>
      <c r="C4" s="8">
        <v>0.145</v>
      </c>
      <c r="D4" s="8">
        <v>0.18</v>
      </c>
    </row>
    <row r="5" spans="1:4">
      <c r="A5" t="s">
        <v>75</v>
      </c>
      <c r="B5" s="8">
        <v>0.017</v>
      </c>
      <c r="C5" s="8">
        <v>0.02</v>
      </c>
      <c r="D5" s="8">
        <v>0.01</v>
      </c>
    </row>
    <row r="6" spans="1:4">
      <c r="A6" t="s">
        <v>76</v>
      </c>
      <c r="B6" s="5">
        <v>4.64</v>
      </c>
      <c r="C6" s="5">
        <v>7.35</v>
      </c>
      <c r="D6" s="5">
        <v>2.78</v>
      </c>
    </row>
    <row r="7" spans="1:4">
      <c r="A7" t="s">
        <v>77</v>
      </c>
      <c r="B7" s="5">
        <v>7.35</v>
      </c>
      <c r="C7" s="5">
        <v>11.3</v>
      </c>
      <c r="D7" s="5">
        <v>4.64</v>
      </c>
    </row>
    <row r="8" spans="1:4">
      <c r="A8" t="s">
        <v>78</v>
      </c>
      <c r="B8" t="s">
        <v>79</v>
      </c>
      <c r="C8" t="s">
        <v>79</v>
      </c>
      <c r="D8" t="s">
        <v>79</v>
      </c>
    </row>
    <row r="9" spans="1:4">
      <c r="A9" t="s">
        <v>80</v>
      </c>
      <c r="B9" s="5">
        <v>17.67</v>
      </c>
      <c r="C9" s="5">
        <v>31.27</v>
      </c>
      <c r="D9" s="5">
        <v>1.96</v>
      </c>
    </row>
    <row r="10" spans="1:4">
      <c r="A10" t="s">
        <v>81</v>
      </c>
      <c r="B10" s="5">
        <v>18.39</v>
      </c>
      <c r="C10" s="5">
        <v>47.89</v>
      </c>
      <c r="D10" s="5">
        <v>5.05</v>
      </c>
    </row>
    <row r="11" spans="1:4">
      <c r="A11" t="s">
        <v>54</v>
      </c>
      <c r="B11" s="5">
        <v>36.05</v>
      </c>
      <c r="C11" s="5">
        <v>79.16</v>
      </c>
      <c r="D11" s="5">
        <v>7.01</v>
      </c>
    </row>
    <row r="12" spans="1:4">
      <c r="A12" t="s">
        <v>9</v>
      </c>
      <c r="B12" s="5">
        <v>25.1</v>
      </c>
      <c r="C12" s="5">
        <v>25.1</v>
      </c>
      <c r="D12" s="5">
        <v>25.1</v>
      </c>
    </row>
    <row r="13" spans="1:4">
      <c r="A13" t="s">
        <v>56</v>
      </c>
      <c r="B13" s="5">
        <v>10.95</v>
      </c>
      <c r="C13" s="5">
        <v>54.06</v>
      </c>
      <c r="D13" s="5">
        <v>-18.09</v>
      </c>
    </row>
    <row r="14" spans="1:4">
      <c r="A14" t="s">
        <v>82</v>
      </c>
      <c r="B14" s="13">
        <v>0.0216</v>
      </c>
      <c r="C14" s="13">
        <v>0.1068</v>
      </c>
      <c r="D14" s="13">
        <v>-0.0358</v>
      </c>
    </row>
    <row r="15" spans="1:4">
      <c r="A15" t="s">
        <v>83</v>
      </c>
      <c r="B15" s="14">
        <v>0.0369</v>
      </c>
      <c r="C15" s="14">
        <v>0.182</v>
      </c>
      <c r="D15" s="14">
        <v>-0.0609</v>
      </c>
    </row>
    <row r="16" spans="1:4">
      <c r="A16" t="s">
        <v>84</v>
      </c>
      <c r="B16" s="8">
        <v>-0.433</v>
      </c>
      <c r="C16" s="8">
        <v>1.801</v>
      </c>
      <c r="D16" s="8">
        <v>-1.937</v>
      </c>
    </row>
    <row r="17" spans="1:4">
      <c r="A17" t="s">
        <v>85</v>
      </c>
      <c r="B17" s="8">
        <v>0.51</v>
      </c>
      <c r="C17" s="8">
        <v>0.605</v>
      </c>
      <c r="D17" s="8">
        <v>0.721</v>
      </c>
    </row>
    <row r="18" spans="1:4">
      <c r="A18" t="s">
        <v>86</v>
      </c>
      <c r="B18" s="5">
        <v>4.64</v>
      </c>
      <c r="C18" s="5">
        <v>7.35</v>
      </c>
      <c r="D18" s="5">
        <v>2.78</v>
      </c>
    </row>
    <row r="20" spans="1:4">
      <c r="A20" s="9" t="s">
        <v>87</v>
      </c>
      <c r="B20" s="8">
        <v>0.35</v>
      </c>
      <c r="C20" s="8">
        <v>0.2</v>
      </c>
      <c r="D20" s="8">
        <v>0.45</v>
      </c>
    </row>
    <row r="21" spans="1:4">
      <c r="A21" s="9" t="s">
        <v>88</v>
      </c>
      <c r="B21" s="14">
        <f>B15*B20+C15*C20+D15*D20</f>
        <v>0</v>
      </c>
    </row>
    <row r="22" spans="1:4">
      <c r="A22" s="9" t="s">
        <v>89</v>
      </c>
      <c r="B22" s="8">
        <f>(B21-'DCF Model (Base)'!$B$6)/'DCF Model (Base)'!$B$6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90</v>
      </c>
    </row>
    <row r="2" spans="1:6">
      <c r="A2" s="2" t="s">
        <v>91</v>
      </c>
    </row>
    <row r="4" spans="1:6">
      <c r="A4" s="7" t="s">
        <v>92</v>
      </c>
      <c r="B4" s="15">
        <v>0.007000000000000001</v>
      </c>
      <c r="C4" s="15">
        <v>0.012</v>
      </c>
      <c r="D4" s="15">
        <v>0.017</v>
      </c>
      <c r="E4" s="15">
        <v>0.022</v>
      </c>
      <c r="F4" s="15">
        <v>0.027</v>
      </c>
    </row>
    <row r="5" spans="1:6">
      <c r="A5" s="15">
        <v>0.14</v>
      </c>
      <c r="B5" s="14">
        <v>0.0543</v>
      </c>
      <c r="C5" s="14">
        <v>0.0543</v>
      </c>
      <c r="D5" s="14">
        <v>0.0543</v>
      </c>
      <c r="E5" s="14">
        <v>0.0543</v>
      </c>
      <c r="F5" s="14">
        <v>0.0543</v>
      </c>
    </row>
    <row r="6" spans="1:6">
      <c r="A6" s="15">
        <v>0.15</v>
      </c>
      <c r="B6" s="14">
        <v>0.0452</v>
      </c>
      <c r="C6" s="14">
        <v>0.0452</v>
      </c>
      <c r="D6" s="14">
        <v>0.0452</v>
      </c>
      <c r="E6" s="14">
        <v>0.0452</v>
      </c>
      <c r="F6" s="14">
        <v>0.0452</v>
      </c>
    </row>
    <row r="7" spans="1:6">
      <c r="A7" s="15">
        <v>0.16</v>
      </c>
      <c r="B7" s="14">
        <v>0.0369</v>
      </c>
      <c r="C7" s="14">
        <v>0.0369</v>
      </c>
      <c r="D7" s="14">
        <v>0.0369</v>
      </c>
      <c r="E7" s="14">
        <v>0.0369</v>
      </c>
      <c r="F7" s="14">
        <v>0.0369</v>
      </c>
    </row>
    <row r="8" spans="1:6">
      <c r="A8" s="15">
        <v>0.17</v>
      </c>
      <c r="B8" s="14">
        <v>0.0292</v>
      </c>
      <c r="C8" s="14">
        <v>0.0292</v>
      </c>
      <c r="D8" s="14">
        <v>0.0292</v>
      </c>
      <c r="E8" s="14">
        <v>0.0292</v>
      </c>
      <c r="F8" s="14">
        <v>0.0292</v>
      </c>
    </row>
    <row r="9" spans="1:6">
      <c r="A9" s="15">
        <v>0.18</v>
      </c>
      <c r="B9" s="14">
        <v>0.0222</v>
      </c>
      <c r="C9" s="14">
        <v>0.0222</v>
      </c>
      <c r="D9" s="14">
        <v>0.0222</v>
      </c>
      <c r="E9" s="14">
        <v>0.0222</v>
      </c>
      <c r="F9" s="14">
        <v>0.0222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cols>
    <col min="1" max="1" width="12.7109375" customWidth="1"/>
    <col min="2" max="10" width="13.7109375" customWidth="1"/>
  </cols>
  <sheetData>
    <row r="1" spans="1:10">
      <c r="A1" s="1" t="s">
        <v>93</v>
      </c>
    </row>
    <row r="3" spans="1:10">
      <c r="A3" s="3" t="s">
        <v>94</v>
      </c>
    </row>
    <row r="4" spans="1:10">
      <c r="A4" s="7" t="s">
        <v>95</v>
      </c>
      <c r="B4" s="7" t="s">
        <v>96</v>
      </c>
    </row>
    <row r="5" spans="1:10">
      <c r="A5" t="s">
        <v>97</v>
      </c>
      <c r="B5" s="8">
        <v>0.0673</v>
      </c>
    </row>
    <row r="6" spans="1:10">
      <c r="A6" t="s">
        <v>98</v>
      </c>
      <c r="B6" s="8">
        <v>0.0529</v>
      </c>
    </row>
    <row r="7" spans="1:10">
      <c r="A7" t="s">
        <v>99</v>
      </c>
      <c r="B7" s="8">
        <v>0.0481</v>
      </c>
    </row>
    <row r="8" spans="1:10">
      <c r="A8" t="s">
        <v>100</v>
      </c>
      <c r="B8" s="8">
        <v>-0.0733</v>
      </c>
    </row>
    <row r="9" spans="1:10">
      <c r="A9" t="s">
        <v>101</v>
      </c>
      <c r="B9" s="8">
        <v>-0.0433</v>
      </c>
    </row>
    <row r="11" spans="1:10">
      <c r="A11" s="9" t="s">
        <v>102</v>
      </c>
    </row>
    <row r="12" spans="1:10" ht="90" customHeight="1">
      <c r="A12" s="16" t="s">
        <v>103</v>
      </c>
    </row>
    <row r="14" spans="1:10">
      <c r="A14" s="3" t="s">
        <v>104</v>
      </c>
    </row>
    <row r="15" spans="1:10">
      <c r="A15" s="7" t="s">
        <v>105</v>
      </c>
      <c r="B15" s="7" t="s">
        <v>106</v>
      </c>
      <c r="C15" s="7" t="s">
        <v>107</v>
      </c>
      <c r="D15" s="7" t="s">
        <v>108</v>
      </c>
      <c r="E15" s="7" t="s">
        <v>109</v>
      </c>
      <c r="F15" s="7" t="s">
        <v>110</v>
      </c>
      <c r="G15" s="7" t="s">
        <v>111</v>
      </c>
      <c r="H15" s="7" t="s">
        <v>112</v>
      </c>
      <c r="I15" s="7" t="s">
        <v>113</v>
      </c>
      <c r="J15" s="7" t="s">
        <v>114</v>
      </c>
    </row>
    <row r="16" spans="1:10">
      <c r="A16" t="s">
        <v>115</v>
      </c>
      <c r="B16">
        <v>0.193</v>
      </c>
      <c r="C16">
        <v>56.3</v>
      </c>
      <c r="D16">
        <v>13.8</v>
      </c>
      <c r="E16">
        <v>70.09999999999999</v>
      </c>
      <c r="F16">
        <v>6.2</v>
      </c>
      <c r="G16">
        <v>11.3</v>
      </c>
      <c r="H16">
        <v>0.38</v>
      </c>
      <c r="I16">
        <v>1.15</v>
      </c>
      <c r="J16" t="s">
        <v>116</v>
      </c>
    </row>
    <row r="17" spans="1:10">
      <c r="A17" t="s">
        <v>117</v>
      </c>
      <c r="B17">
        <v>0.147</v>
      </c>
      <c r="C17">
        <v>42.9</v>
      </c>
      <c r="D17">
        <v>31.6</v>
      </c>
      <c r="E17">
        <v>74.5</v>
      </c>
      <c r="F17">
        <v>8</v>
      </c>
      <c r="G17">
        <v>9.32</v>
      </c>
      <c r="H17">
        <v>0.3</v>
      </c>
      <c r="I17">
        <v>0.75</v>
      </c>
      <c r="J17" t="s">
        <v>116</v>
      </c>
    </row>
    <row r="18" spans="1:10">
      <c r="A18" t="s">
        <v>118</v>
      </c>
      <c r="B18">
        <v>0.164</v>
      </c>
      <c r="C18">
        <v>48.4</v>
      </c>
      <c r="D18">
        <v>27.4</v>
      </c>
      <c r="E18">
        <v>75.8</v>
      </c>
      <c r="F18">
        <v>14.8</v>
      </c>
      <c r="G18">
        <v>5.12</v>
      </c>
      <c r="H18">
        <v>0.33</v>
      </c>
      <c r="I18">
        <v>0.92</v>
      </c>
      <c r="J18">
        <v>15.12</v>
      </c>
    </row>
    <row r="19" spans="1:10">
      <c r="A19" t="s">
        <v>119</v>
      </c>
      <c r="B19">
        <v>0.24</v>
      </c>
      <c r="C19">
        <v>70.90000000000001</v>
      </c>
      <c r="D19">
        <v>11.5</v>
      </c>
      <c r="E19">
        <v>82.40000000000001</v>
      </c>
      <c r="F19">
        <v>8.800000000000001</v>
      </c>
      <c r="G19">
        <v>9.369999999999999</v>
      </c>
      <c r="H19">
        <v>0.47</v>
      </c>
      <c r="I19">
        <v>1.49</v>
      </c>
      <c r="J19">
        <v>41.72</v>
      </c>
    </row>
    <row r="20" spans="1:10">
      <c r="A20" t="s">
        <v>120</v>
      </c>
      <c r="B20">
        <v>0.19</v>
      </c>
      <c r="C20">
        <v>56.5</v>
      </c>
      <c r="D20">
        <v>13</v>
      </c>
      <c r="E20">
        <v>69.5</v>
      </c>
      <c r="F20">
        <v>12.4</v>
      </c>
      <c r="G20">
        <v>5.6</v>
      </c>
      <c r="H20">
        <v>0.38</v>
      </c>
      <c r="I20">
        <v>1.01</v>
      </c>
      <c r="J20" t="s">
        <v>116</v>
      </c>
    </row>
    <row r="21" spans="1:10">
      <c r="A21" t="s">
        <v>121</v>
      </c>
      <c r="B21">
        <v>0.155</v>
      </c>
      <c r="C21">
        <v>46.3</v>
      </c>
      <c r="D21">
        <v>14.4</v>
      </c>
      <c r="E21">
        <v>60.7</v>
      </c>
      <c r="F21">
        <v>9.199999999999999</v>
      </c>
      <c r="G21">
        <v>6.6</v>
      </c>
      <c r="H21">
        <v>0.31</v>
      </c>
      <c r="I21">
        <v>0.68</v>
      </c>
      <c r="J21" t="s">
        <v>116</v>
      </c>
    </row>
    <row r="22" spans="1:10">
      <c r="A22" t="s">
        <v>122</v>
      </c>
      <c r="B22">
        <v>0.133</v>
      </c>
      <c r="C22">
        <v>39.6</v>
      </c>
      <c r="D22">
        <v>20.9</v>
      </c>
      <c r="E22">
        <v>60.5</v>
      </c>
      <c r="F22">
        <v>8.800000000000001</v>
      </c>
      <c r="G22">
        <v>6.88</v>
      </c>
      <c r="H22">
        <v>0.32</v>
      </c>
      <c r="I22">
        <v>0.63</v>
      </c>
      <c r="J22" t="s">
        <v>116</v>
      </c>
    </row>
    <row r="23" spans="1:10">
      <c r="A23" t="s">
        <v>123</v>
      </c>
      <c r="B23">
        <v>0.095</v>
      </c>
      <c r="C23">
        <v>28.2</v>
      </c>
      <c r="D23">
        <v>25.1</v>
      </c>
      <c r="E23">
        <v>53.3</v>
      </c>
      <c r="F23">
        <v>11.5</v>
      </c>
      <c r="G23">
        <v>4.64</v>
      </c>
      <c r="H23">
        <v>0.24</v>
      </c>
      <c r="I23">
        <v>0.41</v>
      </c>
      <c r="J23" t="s">
        <v>116</v>
      </c>
    </row>
    <row r="25" spans="1:10">
      <c r="A25" s="9" t="s">
        <v>124</v>
      </c>
      <c r="B25">
        <v>4.64</v>
      </c>
      <c r="C25">
        <v>7.35</v>
      </c>
      <c r="D25">
        <v>11.3</v>
      </c>
    </row>
    <row r="26" spans="1:10">
      <c r="A26" s="9" t="s">
        <v>125</v>
      </c>
      <c r="B26">
        <v>0.24</v>
      </c>
      <c r="C26">
        <v>0.34</v>
      </c>
      <c r="D26">
        <v>0.47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90.7109375" customWidth="1"/>
  </cols>
  <sheetData>
    <row r="1" spans="1:2">
      <c r="A1" s="1" t="s">
        <v>126</v>
      </c>
    </row>
    <row r="3" spans="1:2">
      <c r="A3" s="9" t="s">
        <v>127</v>
      </c>
      <c r="B3" t="s">
        <v>128</v>
      </c>
    </row>
    <row r="4" spans="1:2">
      <c r="A4" s="9" t="s">
        <v>129</v>
      </c>
      <c r="B4" t="s">
        <v>130</v>
      </c>
    </row>
    <row r="5" spans="1:2" ht="220" customHeight="1">
      <c r="A5" s="9" t="s">
        <v>131</v>
      </c>
      <c r="B5" s="17" t="s">
        <v>132</v>
      </c>
    </row>
    <row r="6" spans="1:2" ht="200" customHeight="1">
      <c r="A6" s="9" t="s">
        <v>133</v>
      </c>
      <c r="B6" s="17" t="s">
        <v>134</v>
      </c>
    </row>
    <row r="7" spans="1:2" ht="100" customHeight="1">
      <c r="A7" s="9" t="s">
        <v>135</v>
      </c>
      <c r="B7" s="17" t="s">
        <v>136</v>
      </c>
    </row>
    <row r="9" spans="1:2">
      <c r="A9" s="3" t="s">
        <v>137</v>
      </c>
    </row>
    <row r="10" spans="1:2">
      <c r="A10" s="18" t="s">
        <v>138</v>
      </c>
      <c r="B10" t="s">
        <v>139</v>
      </c>
    </row>
    <row r="11" spans="1:2">
      <c r="A11" t="s">
        <v>140</v>
      </c>
      <c r="B11" t="s">
        <v>141</v>
      </c>
    </row>
    <row r="12" spans="1:2">
      <c r="A12" t="s">
        <v>142</v>
      </c>
      <c r="B12" t="s">
        <v>143</v>
      </c>
    </row>
    <row r="14" spans="1:2">
      <c r="A14" s="3" t="s">
        <v>144</v>
      </c>
    </row>
    <row r="15" spans="1:2">
      <c r="A15" t="s">
        <v>71</v>
      </c>
      <c r="B15" t="s">
        <v>145</v>
      </c>
    </row>
    <row r="16" spans="1:2">
      <c r="A16" t="s">
        <v>72</v>
      </c>
      <c r="B16" t="s">
        <v>146</v>
      </c>
    </row>
    <row r="17" spans="1:2" ht="60" customHeight="1">
      <c r="A17" t="s">
        <v>73</v>
      </c>
      <c r="B17" s="17" t="s">
        <v>147</v>
      </c>
    </row>
    <row r="19" spans="1:2">
      <c r="A19" s="3" t="s">
        <v>148</v>
      </c>
    </row>
    <row r="20" spans="1:2" ht="200" customHeight="1">
      <c r="A20" s="9" t="s">
        <v>149</v>
      </c>
      <c r="B20" s="17" t="s">
        <v>150</v>
      </c>
    </row>
    <row r="21" spans="1:2" ht="220" customHeight="1">
      <c r="A21" s="9" t="s">
        <v>151</v>
      </c>
      <c r="B21" s="17" t="s">
        <v>152</v>
      </c>
    </row>
    <row r="22" spans="1:2" ht="60" customHeight="1">
      <c r="A22" s="9" t="s">
        <v>153</v>
      </c>
      <c r="B22" s="17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8.7109375" customWidth="1"/>
    <col min="2" max="2" width="100.7109375" customWidth="1"/>
  </cols>
  <sheetData>
    <row r="1" spans="1:2">
      <c r="A1" s="1" t="s">
        <v>155</v>
      </c>
    </row>
    <row r="4" spans="1:2" ht="20" customHeight="1">
      <c r="A4" s="9" t="s">
        <v>156</v>
      </c>
      <c r="B4" s="17" t="s">
        <v>157</v>
      </c>
    </row>
    <row r="5" spans="1:2" ht="37" customHeight="1">
      <c r="A5" s="9" t="s">
        <v>158</v>
      </c>
      <c r="B5" s="17" t="s">
        <v>159</v>
      </c>
    </row>
    <row r="6" spans="1:2" ht="20" customHeight="1">
      <c r="A6" s="9" t="s">
        <v>160</v>
      </c>
      <c r="B6" s="17" t="s">
        <v>161</v>
      </c>
    </row>
    <row r="7" spans="1:2" ht="96" customHeight="1">
      <c r="A7" s="9" t="s">
        <v>162</v>
      </c>
      <c r="B7" s="17" t="s">
        <v>163</v>
      </c>
    </row>
    <row r="8" spans="1:2" ht="140" customHeight="1">
      <c r="A8" s="9" t="s">
        <v>164</v>
      </c>
      <c r="B8" s="17" t="s">
        <v>165</v>
      </c>
    </row>
    <row r="9" spans="1:2" ht="140" customHeight="1">
      <c r="A9" s="9" t="s">
        <v>166</v>
      </c>
      <c r="B9" s="17" t="s">
        <v>167</v>
      </c>
    </row>
    <row r="10" spans="1:2" ht="140" customHeight="1">
      <c r="A10" s="9" t="s">
        <v>168</v>
      </c>
      <c r="B10" s="17" t="s">
        <v>169</v>
      </c>
    </row>
    <row r="11" spans="1:2" ht="140" customHeight="1">
      <c r="A11" s="9" t="s">
        <v>170</v>
      </c>
      <c r="B11" s="17" t="s">
        <v>171</v>
      </c>
    </row>
    <row r="12" spans="1:2" ht="54" customHeight="1">
      <c r="A12" s="9" t="s">
        <v>172</v>
      </c>
      <c r="B12" s="17" t="s">
        <v>173</v>
      </c>
    </row>
    <row r="13" spans="1:2" ht="84" customHeight="1">
      <c r="A13" s="9" t="s">
        <v>174</v>
      </c>
      <c r="B13" s="17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Model (Base)</vt:lpstr>
      <vt:lpstr>Scenario Summary</vt:lpstr>
      <vt:lpstr>Sensitivity</vt:lpstr>
      <vt:lpstr>Historical</vt:lpstr>
      <vt:lpstr>Sanity Check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2026-08-04T01:41:59Z</dcterms:created>
  <dcterms:modified xsi:type="dcterms:W3CDTF">2026-08-04T01:41:59Z</dcterms:modified>
</cp:coreProperties>
</file>