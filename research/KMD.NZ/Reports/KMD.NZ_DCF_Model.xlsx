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ensitivity" sheetId="2" r:id="rId2"/>
    <sheet name="FCF Quality" sheetId="3" r:id="rId3"/>
    <sheet name="Historical" sheetId="4" r:id="rId4"/>
    <sheet name="Model_Info" sheetId="5" r:id="rId5"/>
  </sheets>
  <calcPr calcId="124519" fullCalcOnLoad="1"/>
</workbook>
</file>

<file path=xl/sharedStrings.xml><?xml version="1.0" encoding="utf-8"?>
<sst xmlns="http://schemas.openxmlformats.org/spreadsheetml/2006/main" count="163" uniqueCount="150">
  <si>
    <t>KMD.NZ DCF Valuation Model (KMD Brands Limited)</t>
  </si>
  <si>
    <t>Gray cells are INPUTS - adjust to see valuation change. 10-YEAR horizon (margins still maturing).</t>
  </si>
  <si>
    <t>CAUTION: Post-raise/consolidation share count (72.0m) used throughout -- pre-Jun-2026 per-share history is NOT comparable.</t>
  </si>
  <si>
    <t>KEY INPUTS</t>
  </si>
  <si>
    <t>Current Stock Price (NZD)</t>
  </si>
  <si>
    <t>Shares Outstanding (M, post-raise/consolidation)</t>
  </si>
  <si>
    <t>Net Debt, ex-IFRS16 lease liabilities (NZ$M)</t>
  </si>
  <si>
    <t>Reported FCF FY2025 (NZ$M)</t>
  </si>
  <si>
    <t>Less: Lease Principal Repayment (NZ$M)</t>
  </si>
  <si>
    <t>Less: Stock-Based Comp (NZ$M)</t>
  </si>
  <si>
    <t>Owner FCF FY2025 base (NZ$M)</t>
  </si>
  <si>
    <t>WACC (Base)</t>
  </si>
  <si>
    <t>Terminal Growth Rate (Base)</t>
  </si>
  <si>
    <t>Terminal EV/EBITDA Exit Multiple Cap (statutory basis)</t>
  </si>
  <si>
    <t>Annual Share Growth (uncovered SBC dilution)</t>
  </si>
  <si>
    <t>Revenue base (FY2025 actual, NZ$M)</t>
  </si>
  <si>
    <t>BASE CASE ASSUMPTIONS (10-YEAR)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</si>
  <si>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</si>
  <si>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</si>
  <si>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</si>
  <si>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</si>
  <si>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</si>
  <si>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</si>
  <si>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</si>
  <si>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</si>
  <si>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</si>
  <si>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</si>
  <si>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Revenue Growth %</t>
  </si>
  <si>
    <t>EBIT Margin % (statutory, IFRS16-incl)</t>
  </si>
  <si>
    <t>SBC % of Revenue</t>
  </si>
  <si>
    <t>D&amp;A % of Revenue (incl ROU depreciation)</t>
  </si>
  <si>
    <t>CapEx % of Revenue</t>
  </si>
  <si>
    <t>Cash Tax Rate %</t>
  </si>
  <si>
    <t>Lease Principal Repayment % of Revenue</t>
  </si>
  <si>
    <t>Working Capital Capture % (USE of cash on rev growth)</t>
  </si>
  <si>
    <t>PROJECTIONS (NZ$M)</t>
  </si>
  <si>
    <t>Revenue</t>
  </si>
  <si>
    <t>EBIT (statutory, IFRS16-incl)</t>
  </si>
  <si>
    <t>Less: SBC</t>
  </si>
  <si>
    <t>EBIT after SBC</t>
  </si>
  <si>
    <t>D&amp;A (incl ROU depreciation)</t>
  </si>
  <si>
    <t>Owner EBITDA (statutory basis, post-SBC)</t>
  </si>
  <si>
    <t>NOPAT (=EBIT after SBC x (1-tax))</t>
  </si>
  <si>
    <t>Less: CapEx</t>
  </si>
  <si>
    <t>Less: Working Capital (use on rev growth)</t>
  </si>
  <si>
    <t>Less: Lease Principal Repayment</t>
  </si>
  <si>
    <t>Owner FCF</t>
  </si>
  <si>
    <t>Discount Factor</t>
  </si>
  <si>
    <t>PV of Owner FCF</t>
  </si>
  <si>
    <t>VALUATION</t>
  </si>
  <si>
    <t>Sum of PV of Owner FCF (Y1-Y10)</t>
  </si>
  <si>
    <t>Gordon Terminal Value (Y10 FCF grown at g / (WACC-g))</t>
  </si>
  <si>
    <t>Exit-Multiple Cap TV (Y10 Owner EBITDA x multiple)</t>
  </si>
  <si>
    <t>Terminal Value (MIN of the two)</t>
  </si>
  <si>
    <t>PV of Terminal Value</t>
  </si>
  <si>
    <t>Enterprise Value</t>
  </si>
  <si>
    <t>Less: Net Debt (ex-IFRS16)</t>
  </si>
  <si>
    <t>Equity Value</t>
  </si>
  <si>
    <t>INTRINSIC VALUE / SHARE</t>
  </si>
  <si>
    <t>ENTRY PRICE (15% IRR Target)</t>
  </si>
  <si>
    <t>Hurdle Rate</t>
  </si>
  <si>
    <t>PV of Yrs 1-10 FCF @15%</t>
  </si>
  <si>
    <t>PV of Terminal Value @15%</t>
  </si>
  <si>
    <t>Less: Net Debt</t>
  </si>
  <si>
    <t>Entry Price (15% IRR)</t>
  </si>
  <si>
    <t>Upside to Intrinsic Value</t>
  </si>
  <si>
    <t>Upside to Entry Price</t>
  </si>
  <si>
    <t>Sensitivity Analysis - Base Case</t>
  </si>
  <si>
    <t>Intrinsic Value by WACC &amp; Terminal Growth (10-yr horizon, exit multiple cap held at 2.7x)</t>
  </si>
  <si>
    <t>WACC \ Term G</t>
  </si>
  <si>
    <t>Note: static table (pre-computed values) since the terminal value MIN() logic and 10-year</t>
  </si>
  <si>
    <t>compounding chain make a live formula grid impractical in this sheet; see DCF Model sheet</t>
  </si>
  <si>
    <t>for a fully live single-scenario recalculation by adjusting B14 (WACC) and B15 (terminal growth).</t>
  </si>
  <si>
    <t>FCF Quality Reconciliation: Reported to Owner FCF</t>
  </si>
  <si>
    <t>NZ$ millions, fiscal years ended 31 July</t>
  </si>
  <si>
    <t>FY2020</t>
  </si>
  <si>
    <t>FY2021</t>
  </si>
  <si>
    <t>FY2022</t>
  </si>
  <si>
    <t>FY2023</t>
  </si>
  <si>
    <t>FY2024</t>
  </si>
  <si>
    <t>FY2025</t>
  </si>
  <si>
    <t>Reported FCF (company definition)</t>
  </si>
  <si>
    <t>Less: IFRS16 Lease Principal Repayment</t>
  </si>
  <si>
    <t>Less: Stock-Based Compensation</t>
  </si>
  <si>
    <t>Reported FCF Margin %</t>
  </si>
  <si>
    <t>Owner FCF Margin %</t>
  </si>
  <si>
    <t>Memo: FY2025 working-capital tailwind inside OCF</t>
  </si>
  <si>
    <t>Decrease in inventories</t>
  </si>
  <si>
    <t>Increase in trade/other payables</t>
  </si>
  <si>
    <t>Increase in current tax liabilities</t>
  </si>
  <si>
    <t>Total FY2025 WC release (approx)</t>
  </si>
  <si>
    <t>As % of FY2025 reported FCF (101.584)</t>
  </si>
  <si>
    <t>Memo: cash tax rate flag</t>
  </si>
  <si>
    <t>FY2025 cash tax paid (NZ$9.99m) vs pre-tax loss -- KMD is in a NOL/tax-loss carryforward position;</t>
  </si>
  <si>
    <t>projected cash tax rate ramps 15% (Y1) -&gt; 28% (Y5+) as losses are absorbed and profitability normalises.</t>
  </si>
  <si>
    <t>Memo: KMD is a STORE-NETWORK RETAILER under IFRS16 -- lease principal repayment sits in FINANCING</t>
  </si>
  <si>
    <t>activities (not OCF), so reported FCF structurally overstates owner cash flow every year shown above.</t>
  </si>
  <si>
    <t>FY2025: reported FCF $101.6m overstates owner FCF ($7.9m) by ~13x.</t>
  </si>
  <si>
    <t>Historical Growth Rates</t>
  </si>
  <si>
    <t>Metric</t>
  </si>
  <si>
    <t>3-Year CAGR</t>
  </si>
  <si>
    <t>Notes</t>
  </si>
  <si>
    <t>FY2022-FY2025</t>
  </si>
  <si>
    <t>EPS</t>
  </si>
  <si>
    <t>N/A</t>
  </si>
  <si>
    <t>N/A - net losses FY24/25</t>
  </si>
  <si>
    <t>Equity (Book Value)</t>
  </si>
  <si>
    <t>FY2022-FY2025, NEGATIVE</t>
  </si>
  <si>
    <t>FCF (owner)</t>
  </si>
  <si>
    <t>N/A - negative FY2022, collapsing series</t>
  </si>
  <si>
    <t>Growth Rate Source:</t>
  </si>
  <si>
    <t>NONE -- historical CAGRs are not used as the forward growth driver for this name. Revenue growth (~2.5-5.5% base case p....</t>
  </si>
  <si>
    <t>IMPORTANT: Historical CAGRs are NOT used as forward growth drivers for this name.</t>
  </si>
  <si>
    <t>See Model_Info sheet and valuation_philosophy in the DCF JSON for the mid-cycle EBIT-margin</t>
  </si>
  <si>
    <t>approach actually used to build the forward projection.</t>
  </si>
  <si>
    <t>Model Provenance &amp; Methodology</t>
  </si>
  <si>
    <t>Ticker</t>
  </si>
  <si>
    <t>KMD.NZ (KMD Brands Limited -- Kathmandu, Rip Curl, Oboz)</t>
  </si>
  <si>
    <t>Built by</t>
  </si>
  <si>
    <t>Claude agent (dcf-builder), per project /research-stock workflow</t>
  </si>
  <si>
    <t>Valuation date</t>
  </si>
  <si>
    <t>2026-08-12</t>
  </si>
  <si>
    <t>Share price date/source</t>
  </si>
  <si>
    <t>NZ$1.75, live Yahoo Finance quote fetched 2026-08-12</t>
  </si>
  <si>
    <t>Data vintage</t>
  </si>
  <si>
    <t>FY2025 Annual Report (year ended 31-Jul-2025) + H1 FY2026 half-year report (six months to 31-Jan-2026, released ~26-Mar-2026) + Analysis JSON qualitative research dated 2026-08-12. The FY2026 $863.2-866.5m sales guidance figure referenced in the Analysis JSON trading update (source: a Jul-2026 update) is NOT independently verified against Extracted/ filings, which only go up to H1 FY2026 -- this DCF instead projects FY2026 revenue from the directly-reported H1 FY2026 run-rate (+7.3% YoY).</t>
  </si>
  <si>
    <t>CRITICAL: capital structure</t>
  </si>
  <si>
    <t>Share count (72.0m) reflects a Mar/Apr-2026 NZ$65.3m dilutive rescue equity raise (~152.8% dilution, NZ$0.06/share) FOLLOWED BY a 1-for-25 share consolidation (~Jun-2026). The Metrics.csv SharesOutstanding column (711.667m) is PRE-RAISE/PRE-CONSOLIDATION and must never be used for current valuation. All per-share history before Jun-2026 is NOT comparable to current figures.</t>
  </si>
  <si>
    <t>Net debt basis</t>
  </si>
  <si>
    <t>Pro-forma bank debt ex-IFRS16 lease liabilities, NZ$31.9m, per company disclosure as of the Mar-2026 raise/refinance. IFRS16 lease liabilities (~NZ$287.9m at H1 FY2026) are deliberately excluded from net_debt because lease economics are already captured via the lease-principal-repayment deduction from owner FCF each projected year -- including lease liabilities in net_debt AND deducting the principal from FCF would double-count the same liability.</t>
  </si>
  <si>
    <t>Owner FCF methodology</t>
  </si>
  <si>
    <t>Owner FCF = Reported FCF - IFRS16 lease principal repayment (financing-activity outflow, ~9.4% of revenue) - SBC. Interest income NOT stripped (KMD carries net DEBT, not net cash -- no double-count risk). Working capital projected as a USE of cash proportional to revenue growth (reversing the FY24/25 non-repeatable inventory-liquidation tailwind, which H1 FY2026 already shows reversing: a $21.3m WC outflow).</t>
  </si>
  <si>
    <t>EBIT margin anchor</t>
  </si>
  <si>
    <t>Built on STATUTORY (IFRS16-inclusive) EBIT margin, not EBITDA, because management's own "Underlying EBITDA" non-GAAP measure EXCLUDES IFRS16 (pre-lease-capitalization/rent-as-opex basis) as well as restructuring/impairment/onerous-contracts/SaaS/customer-relationship-amortisation items, making it a DIFFERENT AND INCOMPATIBLE basis from the CSV's statutory EBITDA column. EBIT (both statutory and underlying) is nearly basis-invariant (H1 FY2026: statutory EBIT -$1.7m vs underlying EBIT -$6.4m -- far closer than the EBITDA lines, which differ by 5.5x), so EBIT margin is the more reliable component to project.</t>
  </si>
  <si>
    <t>Mid-cycle selection</t>
  </si>
  <si>
    <t>Base case statutory EBIT margin ramps 0% (Y1, matching H1 FY2026 actual of -0.3%) to a MATURE 6.0% by Y10 -- well below BOTH the FY2021 COVID-bounce peak (10.0%) and management's own FY28 "Next Level" target (10% underlying EBITDA margin), reflecting a genuinely conservative view that Rip Curl (56% of sales, currently DECLINING -2.8% same-store sales per Jul-2026 update) only partially recovers.</t>
  </si>
  <si>
    <t>Terminal value</t>
  </si>
  <si>
    <t>MIN(Gordon growth at WACC/terminal-growth, exit-multiple cap). Exit multiple cap is anchored to KMD'S OWN 6-year historical EV/statutory-EBITDA trading range (2.13x-3.33x, avg 2.71x), reconstructed by un-adjusting Yahoo's ~25x consolidation-adjusted historical prices against ACTUAL historical (pre-raise) share counts at each fiscal year-end -- never mixing adjusted price with the current 72.0m count. Gordon growth binds (is lower) in all three scenarios, so terminal value is NOT assuming multiple expansion beyond history.</t>
  </si>
  <si>
    <t>WACC stack</t>
  </si>
  <si>
    <t>Base 17.0%, Bull 15.0%, Bear 19.0%. See wacc_rationale in the DCF JSON for the full component stack (NZ/AU small-cap base, micro-cap illiquidity, extreme cyclicality, covenant-stress history, weather/consumer-discretionary risk, US tariff exposure).</t>
  </si>
  <si>
    <t>Horizon</t>
  </si>
  <si>
    <t>10 years (not 5) -- Year-5 owner-FCF margin (2.16%) is still well below the Year-10 mature margin (3.28%) in the base case, so a 5-year Gordon capitalization would systematically undervalue the business by capitalizing an immature margin.</t>
  </si>
  <si>
    <t>Sanity check result</t>
  </si>
  <si>
    <t>NOT TRIPPED. Base-case implied P/B (0.180x) closely matches the market's current P/B (0.168x) -- both reflect deep, consistent distress-pricing rather than a modelling error.</t>
  </si>
  <si>
    <t>What to refresh after next earnings (FY2026 results, ~23-Sep-2026)</t>
  </si>
  <si>
    <t>This is a HARD DEADLINE: the strategic/portfolio review concludes at these results and may announce a brand divestment -- a material, binary corporate action not otherwise reflected in these projections. Refresh: FY2026 actual revenue/EBIT/EBITDA vs the H1-2026-run-rate-based estimates used here; confirm whether the $863.2-866.5m guidance figure (unreconciled in this build) squares with the FY2026 actual; update lease principal repayment, SBC, net debt and share count for any post-raise dilution; re-check the historical EV/EBITDA range with one more data point; and re-verify whether Rip Curl same-store sales have stabilised or continued declining.</t>
  </si>
  <si>
    <t>Cell colour conventions</t>
  </si>
  <si>
    <t>GRAY cells = editable inputs. WHITE cells = formulas (do not overwrite). GREEN cells = key output results (Intrinsic Value, Entry Price). Italic gray text = explanatory notes. Italic red text = warnings/cautions.</t>
  </si>
  <si>
    <t>Staleness warning</t>
  </si>
  <si>
    <t>ALL figures in this model will go stale. The FY2026 results (23-Sep-2026) are a near-certain trigger for a full model refresh given the live strategic review. Do not treat this valuation as current beyond that date without re-verification.</t>
  </si>
</sst>
</file>

<file path=xl/styles.xml><?xml version="1.0" encoding="utf-8"?>
<styleSheet xmlns="http://schemas.openxmlformats.org/spreadsheetml/2006/main">
  <numFmts count="4">
    <numFmt numFmtId="164" formatCode="#,##0.00"/>
    <numFmt numFmtId="165" formatCode="0.0%"/>
    <numFmt numFmtId="166" formatCode="&quot;$&quot;#,##0.0000"/>
    <numFmt numFmtId="167" formatCode="#,##0.0"/>
  </numFmts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i/>
      <sz val="11"/>
      <color rgb="FFD6303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1" xfId="0" applyFont="1" applyBorder="1"/>
    <xf numFmtId="164" fontId="0" fillId="2" borderId="2" xfId="0" applyNumberFormat="1" applyFill="1" applyBorder="1"/>
    <xf numFmtId="164" fontId="0" fillId="0" borderId="2" xfId="0" applyNumberFormat="1" applyBorder="1"/>
    <xf numFmtId="165" fontId="0" fillId="2" borderId="2" xfId="0" applyNumberFormat="1" applyFill="1" applyBorder="1"/>
    <xf numFmtId="0" fontId="5" fillId="3" borderId="2" xfId="0" applyFont="1" applyFill="1" applyBorder="1"/>
    <xf numFmtId="0" fontId="6" fillId="0" borderId="0" xfId="0" applyFont="1"/>
    <xf numFmtId="166" fontId="5" fillId="4" borderId="2" xfId="0" applyNumberFormat="1" applyFont="1" applyFill="1" applyBorder="1"/>
    <xf numFmtId="165" fontId="0" fillId="0" borderId="2" xfId="0" applyNumberFormat="1" applyBorder="1"/>
    <xf numFmtId="165" fontId="5" fillId="3" borderId="0" xfId="0" applyNumberFormat="1" applyFont="1" applyFill="1"/>
    <xf numFmtId="166" fontId="0" fillId="0" borderId="2" xfId="0" applyNumberFormat="1" applyBorder="1"/>
    <xf numFmtId="167" fontId="6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8"/>
  <sheetViews>
    <sheetView tabSelected="1" workbookViewId="0"/>
  </sheetViews>
  <sheetFormatPr defaultRowHeight="15"/>
  <cols>
    <col min="1" max="1" width="30.7109375" customWidth="1"/>
    <col min="2" max="12" width="12.7109375" customWidth="1"/>
  </cols>
  <sheetData>
    <row r="1" spans="1:2">
      <c r="A1" s="1" t="s">
        <v>0</v>
      </c>
    </row>
    <row r="2" spans="1:2">
      <c r="A2" s="2" t="s">
        <v>1</v>
      </c>
    </row>
    <row r="3" spans="1:2">
      <c r="A3" s="3" t="s">
        <v>2</v>
      </c>
    </row>
    <row r="5" spans="1:2">
      <c r="A5" s="4" t="s">
        <v>3</v>
      </c>
    </row>
    <row r="6" spans="1:2">
      <c r="A6" t="s">
        <v>4</v>
      </c>
      <c r="B6" s="5">
        <v>1.75</v>
      </c>
    </row>
    <row r="7" spans="1:2">
      <c r="A7" t="s">
        <v>5</v>
      </c>
      <c r="B7" s="5">
        <v>72</v>
      </c>
    </row>
    <row r="8" spans="1:2">
      <c r="A8" t="s">
        <v>6</v>
      </c>
      <c r="B8" s="5">
        <v>31.9</v>
      </c>
    </row>
    <row r="9" spans="1:2">
      <c r="A9" t="s">
        <v>7</v>
      </c>
      <c r="B9" s="5">
        <v>101.584</v>
      </c>
    </row>
    <row r="10" spans="1:2">
      <c r="A10" t="s">
        <v>8</v>
      </c>
      <c r="B10" s="5">
        <v>93.28400000000001</v>
      </c>
    </row>
    <row r="11" spans="1:2">
      <c r="A11" t="s">
        <v>9</v>
      </c>
      <c r="B11" s="5">
        <v>0.391</v>
      </c>
    </row>
    <row r="12" spans="1:2">
      <c r="A12" t="s">
        <v>10</v>
      </c>
      <c r="B12" s="6">
        <f>B9-B10-B11</f>
        <v>0</v>
      </c>
    </row>
    <row r="14" spans="1:2">
      <c r="A14" t="s">
        <v>11</v>
      </c>
      <c r="B14" s="7">
        <v>0.17</v>
      </c>
    </row>
    <row r="15" spans="1:2">
      <c r="A15" t="s">
        <v>12</v>
      </c>
      <c r="B15" s="7">
        <v>0.02</v>
      </c>
    </row>
    <row r="16" spans="1:2">
      <c r="A16" t="s">
        <v>13</v>
      </c>
      <c r="B16" s="5">
        <v>2.7</v>
      </c>
    </row>
    <row r="17" spans="1:11">
      <c r="A17" t="s">
        <v>14</v>
      </c>
      <c r="B17" s="7">
        <v>0.01</v>
      </c>
    </row>
    <row r="19" spans="1:11">
      <c r="A19" t="s">
        <v>15</v>
      </c>
      <c r="B19" s="5">
        <v>989.015</v>
      </c>
    </row>
    <row r="21" spans="1:11">
      <c r="A21" s="4" t="s">
        <v>16</v>
      </c>
    </row>
    <row r="22" spans="1:11">
      <c r="A22" s="8"/>
      <c r="B22" s="8" t="s">
        <v>17</v>
      </c>
      <c r="C22" s="8" t="s">
        <v>18</v>
      </c>
      <c r="D22" s="8" t="s">
        <v>19</v>
      </c>
      <c r="E22" s="8" t="s">
        <v>20</v>
      </c>
      <c r="F22" s="8" t="s">
        <v>21</v>
      </c>
      <c r="G22" s="8" t="s">
        <v>22</v>
      </c>
      <c r="H22" s="8" t="s">
        <v>23</v>
      </c>
      <c r="I22" s="8" t="s">
        <v>24</v>
      </c>
      <c r="J22" s="8" t="s">
        <v>25</v>
      </c>
      <c r="K22" s="8" t="s">
        <v>26</v>
      </c>
    </row>
    <row r="23" spans="1:11">
      <c r="A23" t="s">
        <v>27</v>
      </c>
      <c r="B23" s="7">
        <v>0.055</v>
      </c>
      <c r="C23" s="7">
        <v>0.05</v>
      </c>
      <c r="D23" s="7">
        <v>0.045</v>
      </c>
      <c r="E23" s="7">
        <v>0.04</v>
      </c>
      <c r="F23" s="7">
        <v>0.035</v>
      </c>
      <c r="G23" s="7">
        <v>0.032</v>
      </c>
      <c r="H23" s="7">
        <v>0.03</v>
      </c>
      <c r="I23" s="7">
        <v>0.028</v>
      </c>
      <c r="J23" s="7">
        <v>0.026</v>
      </c>
      <c r="K23" s="7">
        <v>0.025</v>
      </c>
    </row>
    <row r="24" spans="1:11">
      <c r="A24" t="s">
        <v>28</v>
      </c>
      <c r="B24" s="7">
        <v>0</v>
      </c>
      <c r="C24" s="7">
        <v>0.01</v>
      </c>
      <c r="D24" s="7">
        <v>0.02</v>
      </c>
      <c r="E24" s="7">
        <v>0.03</v>
      </c>
      <c r="F24" s="7">
        <v>0.038</v>
      </c>
      <c r="G24" s="7">
        <v>0.045</v>
      </c>
      <c r="H24" s="7">
        <v>0.05</v>
      </c>
      <c r="I24" s="7">
        <v>0.05400000000000001</v>
      </c>
      <c r="J24" s="7">
        <v>0.057</v>
      </c>
      <c r="K24" s="7">
        <v>0.06</v>
      </c>
    </row>
    <row r="25" spans="1:11">
      <c r="A25" t="s">
        <v>29</v>
      </c>
      <c r="B25" s="7">
        <v>0.0005</v>
      </c>
      <c r="C25" s="7">
        <v>0.0005999999999999999</v>
      </c>
      <c r="D25" s="7">
        <v>0.0007000000000000001</v>
      </c>
      <c r="E25" s="7">
        <v>0.0008</v>
      </c>
      <c r="F25" s="7">
        <v>0.0009</v>
      </c>
      <c r="G25" s="7">
        <v>0.001</v>
      </c>
      <c r="H25" s="7">
        <v>0.001</v>
      </c>
      <c r="I25" s="7">
        <v>0.001</v>
      </c>
      <c r="J25" s="7">
        <v>0.001</v>
      </c>
      <c r="K25" s="7">
        <v>0.001</v>
      </c>
    </row>
    <row r="26" spans="1:11">
      <c r="A26" t="s">
        <v>30</v>
      </c>
      <c r="B26" s="7">
        <v>0.132</v>
      </c>
      <c r="C26" s="7">
        <v>0.13</v>
      </c>
      <c r="D26" s="7">
        <v>0.127</v>
      </c>
      <c r="E26" s="7">
        <v>0.124</v>
      </c>
      <c r="F26" s="7">
        <v>0.121</v>
      </c>
      <c r="G26" s="7">
        <v>0.119</v>
      </c>
      <c r="H26" s="7">
        <v>0.117</v>
      </c>
      <c r="I26" s="7">
        <v>0.115</v>
      </c>
      <c r="J26" s="7">
        <v>0.113</v>
      </c>
      <c r="K26" s="7">
        <v>0.112</v>
      </c>
    </row>
    <row r="27" spans="1:11">
      <c r="A27" t="s">
        <v>31</v>
      </c>
      <c r="B27" s="7">
        <v>0.024</v>
      </c>
      <c r="C27" s="7">
        <v>0.024</v>
      </c>
      <c r="D27" s="7">
        <v>0.025</v>
      </c>
      <c r="E27" s="7">
        <v>0.025</v>
      </c>
      <c r="F27" s="7">
        <v>0.025</v>
      </c>
      <c r="G27" s="7">
        <v>0.025</v>
      </c>
      <c r="H27" s="7">
        <v>0.025</v>
      </c>
      <c r="I27" s="7">
        <v>0.025</v>
      </c>
      <c r="J27" s="7">
        <v>0.025</v>
      </c>
      <c r="K27" s="7">
        <v>0.025</v>
      </c>
    </row>
    <row r="28" spans="1:11">
      <c r="A28" t="s">
        <v>32</v>
      </c>
      <c r="B28" s="7">
        <v>0.15</v>
      </c>
      <c r="C28" s="7">
        <v>0.2</v>
      </c>
      <c r="D28" s="7">
        <v>0.25</v>
      </c>
      <c r="E28" s="7">
        <v>0.27</v>
      </c>
      <c r="F28" s="7">
        <v>0.28</v>
      </c>
      <c r="G28" s="7">
        <v>0.28</v>
      </c>
      <c r="H28" s="7">
        <v>0.28</v>
      </c>
      <c r="I28" s="7">
        <v>0.28</v>
      </c>
      <c r="J28" s="7">
        <v>0.28</v>
      </c>
      <c r="K28" s="7">
        <v>0.28</v>
      </c>
    </row>
    <row r="29" spans="1:11">
      <c r="A29" t="s">
        <v>33</v>
      </c>
      <c r="B29" s="7">
        <v>0.096</v>
      </c>
      <c r="C29" s="7">
        <v>0.09699999999999999</v>
      </c>
      <c r="D29" s="7">
        <v>0.09699999999999999</v>
      </c>
      <c r="E29" s="7">
        <v>0.096</v>
      </c>
      <c r="F29" s="7">
        <v>0.096</v>
      </c>
      <c r="G29" s="7">
        <v>0.095</v>
      </c>
      <c r="H29" s="7">
        <v>0.095</v>
      </c>
      <c r="I29" s="7">
        <v>0.094</v>
      </c>
      <c r="J29" s="7">
        <v>0.094</v>
      </c>
      <c r="K29" s="7">
        <v>0.09300000000000001</v>
      </c>
    </row>
    <row r="30" spans="1:11">
      <c r="A30" t="s">
        <v>34</v>
      </c>
      <c r="B30" s="7">
        <v>0.15</v>
      </c>
    </row>
    <row r="33" spans="1:11">
      <c r="A33" s="4" t="s">
        <v>35</v>
      </c>
    </row>
    <row r="34" spans="1:11">
      <c r="A34" s="8"/>
      <c r="B34" s="8" t="s">
        <v>17</v>
      </c>
      <c r="C34" s="8" t="s">
        <v>18</v>
      </c>
      <c r="D34" s="8" t="s">
        <v>19</v>
      </c>
      <c r="E34" s="8" t="s">
        <v>20</v>
      </c>
      <c r="F34" s="8" t="s">
        <v>21</v>
      </c>
      <c r="G34" s="8" t="s">
        <v>22</v>
      </c>
      <c r="H34" s="8" t="s">
        <v>23</v>
      </c>
      <c r="I34" s="8" t="s">
        <v>24</v>
      </c>
      <c r="J34" s="8" t="s">
        <v>25</v>
      </c>
      <c r="K34" s="8" t="s">
        <v>26</v>
      </c>
    </row>
    <row r="35" spans="1:11">
      <c r="A35" t="s">
        <v>36</v>
      </c>
      <c r="B35" s="6">
        <f>$B$19*(1+B23)</f>
        <v>0</v>
      </c>
      <c r="C35" s="6">
        <f>B35*(1+C24)</f>
        <v>0</v>
      </c>
      <c r="D35" s="6">
        <f>C35*(1+D24)</f>
        <v>0</v>
      </c>
      <c r="E35" s="6">
        <f>D35*(1+E24)</f>
        <v>0</v>
      </c>
      <c r="F35" s="6">
        <f>E35*(1+F24)</f>
        <v>0</v>
      </c>
      <c r="G35" s="6">
        <f>F35*(1+G24)</f>
        <v>0</v>
      </c>
      <c r="H35" s="6">
        <f>G35*(1+H24)</f>
        <v>0</v>
      </c>
      <c r="I35" s="6">
        <f>H35*(1+I24)</f>
        <v>0</v>
      </c>
      <c r="J35" s="6">
        <f>I35*(1+J24)</f>
        <v>0</v>
      </c>
      <c r="K35" s="6">
        <f>J35*(1+K24)</f>
        <v>0</v>
      </c>
    </row>
    <row r="36" spans="1:11">
      <c r="A36" t="s">
        <v>37</v>
      </c>
      <c r="B36" s="6">
        <f>B35*B24</f>
        <v>0</v>
      </c>
      <c r="C36" s="6">
        <f>C35*C24</f>
        <v>0</v>
      </c>
      <c r="D36" s="6">
        <f>D35*D24</f>
        <v>0</v>
      </c>
      <c r="E36" s="6">
        <f>E35*E24</f>
        <v>0</v>
      </c>
      <c r="F36" s="6">
        <f>F35*F24</f>
        <v>0</v>
      </c>
      <c r="G36" s="6">
        <f>G35*G24</f>
        <v>0</v>
      </c>
      <c r="H36" s="6">
        <f>H35*H24</f>
        <v>0</v>
      </c>
      <c r="I36" s="6">
        <f>I35*I24</f>
        <v>0</v>
      </c>
      <c r="J36" s="6">
        <f>J35*J24</f>
        <v>0</v>
      </c>
      <c r="K36" s="6">
        <f>K35*K24</f>
        <v>0</v>
      </c>
    </row>
    <row r="37" spans="1:11">
      <c r="A37" t="s">
        <v>38</v>
      </c>
      <c r="B37" s="6">
        <f>B35*B25</f>
        <v>0</v>
      </c>
      <c r="C37" s="6">
        <f>C35*C25</f>
        <v>0</v>
      </c>
      <c r="D37" s="6">
        <f>D35*D25</f>
        <v>0</v>
      </c>
      <c r="E37" s="6">
        <f>E35*E25</f>
        <v>0</v>
      </c>
      <c r="F37" s="6">
        <f>F35*F25</f>
        <v>0</v>
      </c>
      <c r="G37" s="6">
        <f>G35*G25</f>
        <v>0</v>
      </c>
      <c r="H37" s="6">
        <f>H35*H25</f>
        <v>0</v>
      </c>
      <c r="I37" s="6">
        <f>I35*I25</f>
        <v>0</v>
      </c>
      <c r="J37" s="6">
        <f>J35*J25</f>
        <v>0</v>
      </c>
      <c r="K37" s="6">
        <f>K35*K25</f>
        <v>0</v>
      </c>
    </row>
    <row r="38" spans="1:11">
      <c r="A38" t="s">
        <v>39</v>
      </c>
      <c r="B38" s="6">
        <f>B36-B37</f>
        <v>0</v>
      </c>
      <c r="C38" s="6">
        <f>C36-C37</f>
        <v>0</v>
      </c>
      <c r="D38" s="6">
        <f>D36-D37</f>
        <v>0</v>
      </c>
      <c r="E38" s="6">
        <f>E36-E37</f>
        <v>0</v>
      </c>
      <c r="F38" s="6">
        <f>F36-F37</f>
        <v>0</v>
      </c>
      <c r="G38" s="6">
        <f>G36-G37</f>
        <v>0</v>
      </c>
      <c r="H38" s="6">
        <f>H36-H37</f>
        <v>0</v>
      </c>
      <c r="I38" s="6">
        <f>I36-I37</f>
        <v>0</v>
      </c>
      <c r="J38" s="6">
        <f>J36-J37</f>
        <v>0</v>
      </c>
      <c r="K38" s="6">
        <f>K36-K37</f>
        <v>0</v>
      </c>
    </row>
    <row r="39" spans="1:11">
      <c r="A39" t="s">
        <v>40</v>
      </c>
      <c r="B39" s="6">
        <f>B35*B26</f>
        <v>0</v>
      </c>
      <c r="C39" s="6">
        <f>C35*C26</f>
        <v>0</v>
      </c>
      <c r="D39" s="6">
        <f>D35*D26</f>
        <v>0</v>
      </c>
      <c r="E39" s="6">
        <f>E35*E26</f>
        <v>0</v>
      </c>
      <c r="F39" s="6">
        <f>F35*F26</f>
        <v>0</v>
      </c>
      <c r="G39" s="6">
        <f>G35*G26</f>
        <v>0</v>
      </c>
      <c r="H39" s="6">
        <f>H35*H26</f>
        <v>0</v>
      </c>
      <c r="I39" s="6">
        <f>I35*I26</f>
        <v>0</v>
      </c>
      <c r="J39" s="6">
        <f>J35*J26</f>
        <v>0</v>
      </c>
      <c r="K39" s="6">
        <f>K35*K26</f>
        <v>0</v>
      </c>
    </row>
    <row r="40" spans="1:11">
      <c r="A40" t="s">
        <v>41</v>
      </c>
      <c r="B40" s="6">
        <f>B38+B39</f>
        <v>0</v>
      </c>
      <c r="C40" s="6">
        <f>C38+C39</f>
        <v>0</v>
      </c>
      <c r="D40" s="6">
        <f>D38+D39</f>
        <v>0</v>
      </c>
      <c r="E40" s="6">
        <f>E38+E39</f>
        <v>0</v>
      </c>
      <c r="F40" s="6">
        <f>F38+F39</f>
        <v>0</v>
      </c>
      <c r="G40" s="6">
        <f>G38+G39</f>
        <v>0</v>
      </c>
      <c r="H40" s="6">
        <f>H38+H39</f>
        <v>0</v>
      </c>
      <c r="I40" s="6">
        <f>I38+I39</f>
        <v>0</v>
      </c>
      <c r="J40" s="6">
        <f>J38+J39</f>
        <v>0</v>
      </c>
      <c r="K40" s="6">
        <f>K38+K39</f>
        <v>0</v>
      </c>
    </row>
    <row r="41" spans="1:11">
      <c r="A41" t="s">
        <v>42</v>
      </c>
      <c r="B41" s="6">
        <f>B38*(1-B28)</f>
        <v>0</v>
      </c>
      <c r="C41" s="6">
        <f>C38*(1-C28)</f>
        <v>0</v>
      </c>
      <c r="D41" s="6">
        <f>D38*(1-D28)</f>
        <v>0</v>
      </c>
      <c r="E41" s="6">
        <f>E38*(1-E28)</f>
        <v>0</v>
      </c>
      <c r="F41" s="6">
        <f>F38*(1-F28)</f>
        <v>0</v>
      </c>
      <c r="G41" s="6">
        <f>G38*(1-G28)</f>
        <v>0</v>
      </c>
      <c r="H41" s="6">
        <f>H38*(1-H28)</f>
        <v>0</v>
      </c>
      <c r="I41" s="6">
        <f>I38*(1-I28)</f>
        <v>0</v>
      </c>
      <c r="J41" s="6">
        <f>J38*(1-J28)</f>
        <v>0</v>
      </c>
      <c r="K41" s="6">
        <f>K38*(1-K28)</f>
        <v>0</v>
      </c>
    </row>
    <row r="42" spans="1:11">
      <c r="A42" t="s">
        <v>43</v>
      </c>
      <c r="B42" s="6">
        <f>B35*B27</f>
        <v>0</v>
      </c>
      <c r="C42" s="6">
        <f>C35*C27</f>
        <v>0</v>
      </c>
      <c r="D42" s="6">
        <f>D35*D27</f>
        <v>0</v>
      </c>
      <c r="E42" s="6">
        <f>E35*E27</f>
        <v>0</v>
      </c>
      <c r="F42" s="6">
        <f>F35*F27</f>
        <v>0</v>
      </c>
      <c r="G42" s="6">
        <f>G35*G27</f>
        <v>0</v>
      </c>
      <c r="H42" s="6">
        <f>H35*H27</f>
        <v>0</v>
      </c>
      <c r="I42" s="6">
        <f>I35*I27</f>
        <v>0</v>
      </c>
      <c r="J42" s="6">
        <f>J35*J27</f>
        <v>0</v>
      </c>
      <c r="K42" s="6">
        <f>K35*K27</f>
        <v>0</v>
      </c>
    </row>
    <row r="43" spans="1:11">
      <c r="A43" t="s">
        <v>44</v>
      </c>
      <c r="B43" s="6">
        <f>$B$30*(B35-$B$19)</f>
        <v>0</v>
      </c>
      <c r="C43" s="6">
        <f>$B$30*(C35-B35)</f>
        <v>0</v>
      </c>
      <c r="D43" s="6">
        <f>$B$30*(D35-C35)</f>
        <v>0</v>
      </c>
      <c r="E43" s="6">
        <f>$B$30*(E35-D35)</f>
        <v>0</v>
      </c>
      <c r="F43" s="6">
        <f>$B$30*(F35-E35)</f>
        <v>0</v>
      </c>
      <c r="G43" s="6">
        <f>$B$30*(G35-F35)</f>
        <v>0</v>
      </c>
      <c r="H43" s="6">
        <f>$B$30*(H35-G35)</f>
        <v>0</v>
      </c>
      <c r="I43" s="6">
        <f>$B$30*(I35-H35)</f>
        <v>0</v>
      </c>
      <c r="J43" s="6">
        <f>$B$30*(J35-I35)</f>
        <v>0</v>
      </c>
      <c r="K43" s="6">
        <f>$B$30*(K35-J35)</f>
        <v>0</v>
      </c>
    </row>
    <row r="44" spans="1:11">
      <c r="A44" t="s">
        <v>45</v>
      </c>
      <c r="B44" s="6">
        <f>B35*B29</f>
        <v>0</v>
      </c>
      <c r="C44" s="6">
        <f>C35*C29</f>
        <v>0</v>
      </c>
      <c r="D44" s="6">
        <f>D35*D29</f>
        <v>0</v>
      </c>
      <c r="E44" s="6">
        <f>E35*E29</f>
        <v>0</v>
      </c>
      <c r="F44" s="6">
        <f>F35*F29</f>
        <v>0</v>
      </c>
      <c r="G44" s="6">
        <f>G35*G29</f>
        <v>0</v>
      </c>
      <c r="H44" s="6">
        <f>H35*H29</f>
        <v>0</v>
      </c>
      <c r="I44" s="6">
        <f>I35*I29</f>
        <v>0</v>
      </c>
      <c r="J44" s="6">
        <f>J35*J29</f>
        <v>0</v>
      </c>
      <c r="K44" s="6">
        <f>K35*K29</f>
        <v>0</v>
      </c>
    </row>
    <row r="45" spans="1:11">
      <c r="A45" s="9" t="s">
        <v>46</v>
      </c>
      <c r="B45" s="6">
        <f>B41+B39-B42-B43-B44</f>
        <v>0</v>
      </c>
      <c r="C45" s="6">
        <f>C41+C39-C42-C43-C44</f>
        <v>0</v>
      </c>
      <c r="D45" s="6">
        <f>D41+D39-D42-D43-D44</f>
        <v>0</v>
      </c>
      <c r="E45" s="6">
        <f>E41+E39-E42-E43-E44</f>
        <v>0</v>
      </c>
      <c r="F45" s="6">
        <f>F41+F39-F42-F43-F44</f>
        <v>0</v>
      </c>
      <c r="G45" s="6">
        <f>G41+G39-G42-G43-G44</f>
        <v>0</v>
      </c>
      <c r="H45" s="6">
        <f>H41+H39-H42-H43-H44</f>
        <v>0</v>
      </c>
      <c r="I45" s="6">
        <f>I41+I39-I42-I43-I44</f>
        <v>0</v>
      </c>
      <c r="J45" s="6">
        <f>J41+J39-J42-J43-J44</f>
        <v>0</v>
      </c>
      <c r="K45" s="6">
        <f>K41+K39-K42-K43-K44</f>
        <v>0</v>
      </c>
    </row>
    <row r="46" spans="1:11">
      <c r="A46" t="s">
        <v>47</v>
      </c>
      <c r="B46" s="6">
        <f>1/(1+$B$14)^1</f>
        <v>0</v>
      </c>
      <c r="C46" s="6">
        <f>1/(1+$B$14)^2</f>
        <v>0</v>
      </c>
      <c r="D46" s="6">
        <f>1/(1+$B$14)^3</f>
        <v>0</v>
      </c>
      <c r="E46" s="6">
        <f>1/(1+$B$14)^4</f>
        <v>0</v>
      </c>
      <c r="F46" s="6">
        <f>1/(1+$B$14)^5</f>
        <v>0</v>
      </c>
      <c r="G46" s="6">
        <f>1/(1+$B$14)^6</f>
        <v>0</v>
      </c>
      <c r="H46" s="6">
        <f>1/(1+$B$14)^7</f>
        <v>0</v>
      </c>
      <c r="I46" s="6">
        <f>1/(1+$B$14)^8</f>
        <v>0</v>
      </c>
      <c r="J46" s="6">
        <f>1/(1+$B$14)^9</f>
        <v>0</v>
      </c>
      <c r="K46" s="6">
        <f>1/(1+$B$14)^10</f>
        <v>0</v>
      </c>
    </row>
    <row r="47" spans="1:11">
      <c r="A47" t="s">
        <v>48</v>
      </c>
      <c r="B47" s="6">
        <f>B45*B46</f>
        <v>0</v>
      </c>
      <c r="C47" s="6">
        <f>C45*C46</f>
        <v>0</v>
      </c>
      <c r="D47" s="6">
        <f>D45*D46</f>
        <v>0</v>
      </c>
      <c r="E47" s="6">
        <f>E45*E46</f>
        <v>0</v>
      </c>
      <c r="F47" s="6">
        <f>F45*F46</f>
        <v>0</v>
      </c>
      <c r="G47" s="6">
        <f>G45*G46</f>
        <v>0</v>
      </c>
      <c r="H47" s="6">
        <f>H45*H46</f>
        <v>0</v>
      </c>
      <c r="I47" s="6">
        <f>I45*I46</f>
        <v>0</v>
      </c>
      <c r="J47" s="6">
        <f>J45*J46</f>
        <v>0</v>
      </c>
      <c r="K47" s="6">
        <f>K45*K46</f>
        <v>0</v>
      </c>
    </row>
    <row r="49" spans="1:2">
      <c r="A49" s="4" t="s">
        <v>49</v>
      </c>
    </row>
    <row r="50" spans="1:2">
      <c r="A50" t="s">
        <v>50</v>
      </c>
      <c r="B50" s="6">
        <f>SUM(B47:K47)</f>
        <v>0</v>
      </c>
    </row>
    <row r="51" spans="1:2">
      <c r="A51" t="s">
        <v>51</v>
      </c>
      <c r="B51" s="6">
        <f>K45*(1+$B$15)/($B$14-$B$15)</f>
        <v>0</v>
      </c>
    </row>
    <row r="52" spans="1:2">
      <c r="A52" t="s">
        <v>52</v>
      </c>
      <c r="B52" s="6">
        <f>$B$16*K40</f>
        <v>0</v>
      </c>
    </row>
    <row r="53" spans="1:2">
      <c r="A53" t="s">
        <v>53</v>
      </c>
      <c r="B53" s="6">
        <f>MIN(B51,B52)</f>
        <v>0</v>
      </c>
    </row>
    <row r="54" spans="1:2">
      <c r="A54" t="s">
        <v>54</v>
      </c>
      <c r="B54" s="6">
        <f>B53*K46</f>
        <v>0</v>
      </c>
    </row>
    <row r="55" spans="1:2">
      <c r="A55" t="s">
        <v>55</v>
      </c>
      <c r="B55" s="6">
        <f>B50+B54</f>
        <v>0</v>
      </c>
    </row>
    <row r="56" spans="1:2">
      <c r="A56" t="s">
        <v>56</v>
      </c>
      <c r="B56" s="6">
        <f>$B$8</f>
        <v>0</v>
      </c>
    </row>
    <row r="57" spans="1:2">
      <c r="A57" t="s">
        <v>57</v>
      </c>
      <c r="B57" s="6">
        <f>B55-B56</f>
        <v>0</v>
      </c>
    </row>
    <row r="58" spans="1:2">
      <c r="A58" s="9" t="s">
        <v>58</v>
      </c>
      <c r="B58" s="10">
        <f>B57/$B$7</f>
        <v>0</v>
      </c>
    </row>
    <row r="60" spans="1:2">
      <c r="A60" s="4" t="s">
        <v>59</v>
      </c>
    </row>
    <row r="61" spans="1:2">
      <c r="A61" t="s">
        <v>60</v>
      </c>
      <c r="B61" s="7">
        <v>0.15</v>
      </c>
    </row>
    <row r="62" spans="1:2">
      <c r="A62" t="s">
        <v>61</v>
      </c>
      <c r="B62" s="6">
        <f>NPV(B61,B45:K45)</f>
        <v>0</v>
      </c>
    </row>
    <row r="63" spans="1:2">
      <c r="A63" t="s">
        <v>62</v>
      </c>
      <c r="B63" s="6">
        <f>B53/(1+B61)^10</f>
        <v>0</v>
      </c>
    </row>
    <row r="64" spans="1:2">
      <c r="A64" t="s">
        <v>63</v>
      </c>
      <c r="B64" s="6">
        <f>$B$8</f>
        <v>0</v>
      </c>
    </row>
    <row r="65" spans="1:2">
      <c r="A65" s="9" t="s">
        <v>64</v>
      </c>
      <c r="B65" s="10">
        <f>(B62+B63-B64)/$B$7</f>
        <v>0</v>
      </c>
    </row>
    <row r="67" spans="1:2">
      <c r="A67" t="s">
        <v>65</v>
      </c>
      <c r="B67" s="11">
        <f>(B58-$B$6)/$B$6</f>
        <v>0</v>
      </c>
    </row>
    <row r="68" spans="1:2">
      <c r="A68" t="s">
        <v>66</v>
      </c>
      <c r="B68" s="11">
        <f>($B$6-B65)/$B$6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6">
      <c r="A1" s="1" t="s">
        <v>67</v>
      </c>
    </row>
    <row r="2" spans="1:6">
      <c r="A2" t="s">
        <v>68</v>
      </c>
    </row>
    <row r="4" spans="1:6">
      <c r="A4" s="8" t="s">
        <v>69</v>
      </c>
      <c r="B4" s="12">
        <v>0.01</v>
      </c>
      <c r="C4" s="12">
        <v>0.015</v>
      </c>
      <c r="D4" s="12">
        <v>0.02</v>
      </c>
      <c r="E4" s="12">
        <v>0.025</v>
      </c>
      <c r="F4" s="12">
        <v>0.03</v>
      </c>
    </row>
    <row r="5" spans="1:6">
      <c r="A5" s="12">
        <v>0.15</v>
      </c>
      <c r="B5" s="13">
        <v>2.258</v>
      </c>
      <c r="C5" s="13">
        <v>2.306</v>
      </c>
      <c r="D5" s="13">
        <v>2.358</v>
      </c>
      <c r="E5" s="13">
        <v>2.415</v>
      </c>
      <c r="F5" s="13">
        <v>2.476</v>
      </c>
    </row>
    <row r="6" spans="1:6">
      <c r="A6" s="12">
        <v>0.16</v>
      </c>
      <c r="B6" s="13">
        <v>2.013</v>
      </c>
      <c r="C6" s="13">
        <v>2.052</v>
      </c>
      <c r="D6" s="13">
        <v>2.094</v>
      </c>
      <c r="E6" s="13">
        <v>2.139</v>
      </c>
      <c r="F6" s="13">
        <v>2.187</v>
      </c>
    </row>
    <row r="7" spans="1:6">
      <c r="A7" s="12">
        <v>0.17</v>
      </c>
      <c r="B7" s="13">
        <v>1.802</v>
      </c>
      <c r="C7" s="13">
        <v>1.834</v>
      </c>
      <c r="D7" s="13">
        <v>1.867</v>
      </c>
      <c r="E7" s="13">
        <v>1.903</v>
      </c>
      <c r="F7" s="13">
        <v>1.942</v>
      </c>
    </row>
    <row r="8" spans="1:6">
      <c r="A8" s="12">
        <v>0.18</v>
      </c>
      <c r="B8" s="13">
        <v>1.618</v>
      </c>
      <c r="C8" s="13">
        <v>1.644</v>
      </c>
      <c r="D8" s="13">
        <v>1.672</v>
      </c>
      <c r="E8" s="13">
        <v>1.701</v>
      </c>
      <c r="F8" s="13">
        <v>1.732</v>
      </c>
    </row>
    <row r="9" spans="1:6">
      <c r="A9" s="12">
        <v>0.19</v>
      </c>
      <c r="B9" s="13">
        <v>1.457</v>
      </c>
      <c r="C9" s="13">
        <v>1.479</v>
      </c>
      <c r="D9" s="13">
        <v>1.501</v>
      </c>
      <c r="E9" s="13">
        <v>1.526</v>
      </c>
      <c r="F9" s="13">
        <v>1.551</v>
      </c>
    </row>
    <row r="11" spans="1:6">
      <c r="A11" s="2" t="s">
        <v>70</v>
      </c>
    </row>
    <row r="12" spans="1:6">
      <c r="A12" s="2" t="s">
        <v>71</v>
      </c>
    </row>
    <row r="13" spans="1:6">
      <c r="A13" s="2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cols>
    <col min="1" max="1" width="38.7109375" customWidth="1"/>
    <col min="2" max="8" width="12.7109375" customWidth="1"/>
  </cols>
  <sheetData>
    <row r="1" spans="1:7">
      <c r="A1" s="1" t="s">
        <v>73</v>
      </c>
    </row>
    <row r="2" spans="1:7">
      <c r="A2" s="2" t="s">
        <v>74</v>
      </c>
    </row>
    <row r="4" spans="1:7">
      <c r="A4" s="8"/>
      <c r="B4" s="8" t="s">
        <v>75</v>
      </c>
      <c r="C4" s="8" t="s">
        <v>76</v>
      </c>
      <c r="D4" s="8" t="s">
        <v>77</v>
      </c>
      <c r="E4" s="8" t="s">
        <v>78</v>
      </c>
      <c r="F4" s="8" t="s">
        <v>79</v>
      </c>
      <c r="G4" s="8" t="s">
        <v>80</v>
      </c>
    </row>
    <row r="5" spans="1:7">
      <c r="A5" t="s">
        <v>81</v>
      </c>
      <c r="B5" s="6">
        <v>150.479</v>
      </c>
      <c r="C5" s="6">
        <v>147.519</v>
      </c>
      <c r="D5" s="6">
        <v>48.975</v>
      </c>
      <c r="E5" s="6">
        <v>111.6</v>
      </c>
      <c r="F5" s="6">
        <v>112.132</v>
      </c>
      <c r="G5" s="6">
        <v>101.584</v>
      </c>
    </row>
    <row r="6" spans="1:7">
      <c r="A6" t="s">
        <v>82</v>
      </c>
      <c r="B6" s="6">
        <v>77.29000000000001</v>
      </c>
      <c r="C6" s="6">
        <v>89.749</v>
      </c>
      <c r="D6" s="6">
        <v>82.265</v>
      </c>
      <c r="E6" s="6">
        <v>86.919</v>
      </c>
      <c r="F6" s="6">
        <v>91.208</v>
      </c>
      <c r="G6" s="6">
        <v>93.28400000000001</v>
      </c>
    </row>
    <row r="7" spans="1:7">
      <c r="A7" t="s">
        <v>83</v>
      </c>
      <c r="B7" s="6">
        <v>0.378</v>
      </c>
      <c r="C7" s="6">
        <v>1.798</v>
      </c>
      <c r="D7" s="6">
        <v>0.914</v>
      </c>
      <c r="E7" s="6">
        <v>0.5679999999999999</v>
      </c>
      <c r="F7" s="6">
        <v>0.291</v>
      </c>
      <c r="G7" s="6">
        <v>0.391</v>
      </c>
    </row>
    <row r="8" spans="1:7">
      <c r="A8" s="9" t="inlineStr">
        <is>
          <t>= Owner FCF</t>
        </is>
      </c>
      <c r="B8" s="14">
        <v>72.8</v>
      </c>
      <c r="C8" s="14">
        <v>56</v>
      </c>
      <c r="D8" s="14">
        <v>-34.2</v>
      </c>
      <c r="E8" s="14">
        <v>24.1</v>
      </c>
      <c r="F8" s="14">
        <v>20.6</v>
      </c>
      <c r="G8" s="14">
        <v>7.9</v>
      </c>
    </row>
    <row r="10" spans="1:7">
      <c r="A10" t="s">
        <v>36</v>
      </c>
      <c r="B10" s="6">
        <v>801.524</v>
      </c>
      <c r="C10" s="6">
        <v>922.792</v>
      </c>
      <c r="D10" s="6">
        <v>979.802</v>
      </c>
      <c r="E10" s="6">
        <v>1102.994</v>
      </c>
      <c r="F10" s="6">
        <v>979.415</v>
      </c>
      <c r="G10" s="6">
        <v>989.015</v>
      </c>
    </row>
    <row r="11" spans="1:7">
      <c r="A11" t="s">
        <v>84</v>
      </c>
      <c r="B11" s="11">
        <f>B5/B10</f>
        <v>0</v>
      </c>
      <c r="C11" s="11">
        <f>C5/C10</f>
        <v>0</v>
      </c>
      <c r="D11" s="11">
        <f>D5/D10</f>
        <v>0</v>
      </c>
      <c r="E11" s="11">
        <f>E5/E10</f>
        <v>0</v>
      </c>
      <c r="F11" s="11">
        <f>F5/F10</f>
        <v>0</v>
      </c>
      <c r="G11" s="11">
        <f>G5/G10</f>
        <v>0</v>
      </c>
    </row>
    <row r="12" spans="1:7">
      <c r="A12" t="s">
        <v>85</v>
      </c>
      <c r="B12" s="11">
        <f>B8/B10</f>
        <v>0</v>
      </c>
      <c r="C12" s="11">
        <f>C8/C10</f>
        <v>0</v>
      </c>
      <c r="D12" s="11">
        <f>D8/D10</f>
        <v>0</v>
      </c>
      <c r="E12" s="11">
        <f>E8/E10</f>
        <v>0</v>
      </c>
      <c r="F12" s="11">
        <f>F8/F10</f>
        <v>0</v>
      </c>
      <c r="G12" s="11">
        <f>G8/G10</f>
        <v>0</v>
      </c>
    </row>
    <row r="14" spans="1:7">
      <c r="A14" s="9" t="s">
        <v>86</v>
      </c>
    </row>
    <row r="15" spans="1:7">
      <c r="A15" t="s">
        <v>87</v>
      </c>
      <c r="B15" s="6">
        <v>11.359</v>
      </c>
    </row>
    <row r="16" spans="1:7">
      <c r="A16" t="s">
        <v>88</v>
      </c>
      <c r="B16" s="6">
        <v>28.509</v>
      </c>
    </row>
    <row r="17" spans="1:2">
      <c r="A17" t="s">
        <v>89</v>
      </c>
      <c r="B17" s="6">
        <v>5.49</v>
      </c>
    </row>
    <row r="18" spans="1:2">
      <c r="A18" t="s">
        <v>90</v>
      </c>
      <c r="B18" s="6">
        <f>SUM(B15:B17)</f>
        <v>0</v>
      </c>
    </row>
    <row r="19" spans="1:2">
      <c r="A19" t="s">
        <v>91</v>
      </c>
      <c r="B19" s="11">
        <f>B18/101.584</f>
        <v>0</v>
      </c>
    </row>
    <row r="21" spans="1:2">
      <c r="A21" s="9" t="s">
        <v>92</v>
      </c>
    </row>
    <row r="22" spans="1:2">
      <c r="A22" s="2" t="s">
        <v>93</v>
      </c>
    </row>
    <row r="23" spans="1:2">
      <c r="A23" s="2" t="s">
        <v>94</v>
      </c>
    </row>
    <row r="25" spans="1:2">
      <c r="A25" s="2" t="s">
        <v>95</v>
      </c>
    </row>
    <row r="26" spans="1:2">
      <c r="A26" s="2" t="s">
        <v>96</v>
      </c>
    </row>
    <row r="27" spans="1:2">
      <c r="A27" s="3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cols>
    <col min="1" max="1" width="24.7109375" customWidth="1"/>
    <col min="2" max="3" width="16.7109375" customWidth="1"/>
  </cols>
  <sheetData>
    <row r="1" spans="1:3">
      <c r="A1" s="1" t="s">
        <v>98</v>
      </c>
    </row>
    <row r="3" spans="1:3">
      <c r="A3" s="8" t="s">
        <v>99</v>
      </c>
      <c r="B3" s="8" t="s">
        <v>100</v>
      </c>
      <c r="C3" s="8" t="s">
        <v>101</v>
      </c>
    </row>
    <row r="4" spans="1:3">
      <c r="A4" t="s">
        <v>36</v>
      </c>
      <c r="B4" s="11">
        <v>0.0031</v>
      </c>
      <c r="C4" s="2" t="s">
        <v>102</v>
      </c>
    </row>
    <row r="5" spans="1:3">
      <c r="A5" t="s">
        <v>103</v>
      </c>
      <c r="B5" t="s">
        <v>104</v>
      </c>
      <c r="C5" s="2" t="s">
        <v>105</v>
      </c>
    </row>
    <row r="6" spans="1:3">
      <c r="A6" t="s">
        <v>106</v>
      </c>
      <c r="B6" s="11">
        <v>-0.0673</v>
      </c>
      <c r="C6" s="2" t="s">
        <v>107</v>
      </c>
    </row>
    <row r="7" spans="1:3">
      <c r="A7" t="s">
        <v>108</v>
      </c>
      <c r="B7" t="s">
        <v>104</v>
      </c>
      <c r="C7" s="2" t="s">
        <v>109</v>
      </c>
    </row>
    <row r="9" spans="1:3">
      <c r="A9" s="9" t="s">
        <v>110</v>
      </c>
      <c r="B9" s="2" t="s">
        <v>111</v>
      </c>
    </row>
    <row r="11" spans="1:3">
      <c r="A11" s="3" t="s">
        <v>112</v>
      </c>
    </row>
    <row r="12" spans="1:3">
      <c r="A12" s="2" t="s">
        <v>113</v>
      </c>
    </row>
    <row r="13" spans="1:3">
      <c r="A13" s="2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cols>
    <col min="1" max="1" width="28.7109375" customWidth="1"/>
    <col min="2" max="2" width="90.7109375" customWidth="1"/>
  </cols>
  <sheetData>
    <row r="1" spans="1:2">
      <c r="A1" s="1" t="s">
        <v>115</v>
      </c>
    </row>
    <row r="4" spans="1:2" ht="30" customHeight="1">
      <c r="A4" s="9" t="s">
        <v>116</v>
      </c>
      <c r="B4" s="2" t="s">
        <v>117</v>
      </c>
    </row>
    <row r="5" spans="1:2" ht="30" customHeight="1">
      <c r="A5" s="9" t="s">
        <v>118</v>
      </c>
      <c r="B5" s="2" t="s">
        <v>119</v>
      </c>
    </row>
    <row r="6" spans="1:2" ht="30" customHeight="1">
      <c r="A6" s="9" t="s">
        <v>120</v>
      </c>
      <c r="B6" s="2" t="s">
        <v>121</v>
      </c>
    </row>
    <row r="7" spans="1:2" ht="30" customHeight="1">
      <c r="A7" s="9" t="s">
        <v>122</v>
      </c>
      <c r="B7" s="2" t="s">
        <v>123</v>
      </c>
    </row>
    <row r="8" spans="1:2" ht="30" customHeight="1">
      <c r="A8" s="9" t="s">
        <v>124</v>
      </c>
      <c r="B8" s="2" t="s">
        <v>125</v>
      </c>
    </row>
    <row r="9" spans="1:2" ht="30" customHeight="1">
      <c r="A9" s="9" t="s">
        <v>126</v>
      </c>
      <c r="B9" s="2" t="s">
        <v>127</v>
      </c>
    </row>
    <row r="10" spans="1:2" ht="30" customHeight="1">
      <c r="A10" s="9" t="s">
        <v>128</v>
      </c>
      <c r="B10" s="2" t="s">
        <v>129</v>
      </c>
    </row>
    <row r="11" spans="1:2" ht="30" customHeight="1">
      <c r="A11" s="9" t="s">
        <v>130</v>
      </c>
      <c r="B11" s="2" t="s">
        <v>131</v>
      </c>
    </row>
    <row r="12" spans="1:2" ht="30" customHeight="1">
      <c r="A12" s="9" t="s">
        <v>132</v>
      </c>
      <c r="B12" s="2" t="s">
        <v>133</v>
      </c>
    </row>
    <row r="13" spans="1:2" ht="30" customHeight="1">
      <c r="A13" s="9" t="s">
        <v>134</v>
      </c>
      <c r="B13" s="2" t="s">
        <v>135</v>
      </c>
    </row>
    <row r="14" spans="1:2" ht="30" customHeight="1">
      <c r="A14" s="9" t="s">
        <v>136</v>
      </c>
      <c r="B14" s="2" t="s">
        <v>137</v>
      </c>
    </row>
    <row r="15" spans="1:2" ht="30" customHeight="1">
      <c r="A15" s="9" t="s">
        <v>138</v>
      </c>
      <c r="B15" s="2" t="s">
        <v>139</v>
      </c>
    </row>
    <row r="16" spans="1:2" ht="30" customHeight="1">
      <c r="A16" s="9" t="s">
        <v>140</v>
      </c>
      <c r="B16" s="2" t="s">
        <v>141</v>
      </c>
    </row>
    <row r="17" spans="1:2" ht="30" customHeight="1">
      <c r="A17" s="9" t="s">
        <v>142</v>
      </c>
      <c r="B17" s="2" t="s">
        <v>143</v>
      </c>
    </row>
    <row r="18" spans="1:2" ht="30" customHeight="1">
      <c r="A18" s="9" t="s">
        <v>144</v>
      </c>
      <c r="B18" s="2" t="s">
        <v>145</v>
      </c>
    </row>
    <row r="19" spans="1:2" ht="30" customHeight="1">
      <c r="A19" s="9" t="s">
        <v>146</v>
      </c>
      <c r="B19" s="2" t="s">
        <v>147</v>
      </c>
    </row>
    <row r="20" spans="1:2" ht="30" customHeight="1">
      <c r="A20" s="9" t="s">
        <v>148</v>
      </c>
      <c r="B20" s="2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DCF Model</vt:lpstr>
      <vt:lpstr>Sensitivity</vt:lpstr>
      <vt:lpstr>FCF Quality</vt:lpstr>
      <vt:lpstr>Historical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2026-08-12T07:31:10Z</dcterms:created>
  <dcterms:modified xsi:type="dcterms:W3CDTF">2026-08-12T07:31:10Z</dcterms:modified>
</cp:coreProperties>
</file>