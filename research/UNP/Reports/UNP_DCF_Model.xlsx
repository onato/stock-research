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<sst xmlns="http://schemas.openxmlformats.org/spreadsheetml/2006/main" count="390" uniqueCount="175">
  <si>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</si>
  <si>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UNP</t>
  </si>
  <si>
    <t xml:space="preserve">Company</t>
  </si>
  <si>
    <t xml:space="preserve">Union Pacific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</si>
  <si>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</si>
  <si>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</si>
  <si>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</si>
  <si>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</si>
  <si>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</si>
  <si>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</si>
  <si>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</si>
  <si>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</si>
  <si>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</si>
  <si>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</si>
  <si>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</si>
  <si>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</si>
  <si>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</si>
  <si>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</si>
  <si>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</si>
  <si>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</si>
  <si>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</si>
  <si>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2026-10-02T21:14:05Z</t>
  </si>
  <si>
    <t xml:space="preserve">Drivers file</t>
  </si>
  <si>
    <t xml:space="preserve">UNP_Drivers.json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</si>
  <si>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</si>
  <si>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</si>
  <si>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</si>
  <si>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UNP is a mature, irreplaceable network with pricing power and a stable ~50% EBITDA margin, valued on standalone unlevered owner FCF at an 8.25% USD WACC. Value is driven by the margin path (OR) and nominal pricing, not volume. The pending Norfolk Southern merger is deliberately excluded; it is a binary catalyst that would change leverage, share count and the growth profile.
key_risks_to_valuation: NS merger: if approved, ~225M new shares, ~$20B+ new debt plus assumed NS debt and multi-year integration risk (UP/SP 1996-98 service meltdown precedent) supersede this standalone model; if rejected, a reverse termination fee and lost management time; Freight recession / tariffs: international intermodal and autos already down; volume deleverage moves the OR quickly; Regulatory/labor: two-person crew rule, captive-shipper rate cases, post-East Palestine safety politics limit cost-out; Cash-tax normalisation: the bonus-depreciation deferral is assumed to unwind to ~22%; a permanent lower cash rate would add value; Terminal value is ~70%+ of EV; each 50bp of WACC moves value ~8-10%</t>
  </si>
  <si>
    <t xml:space="preserve">Data sources</t>
  </si>
  <si>
    <t xml:space="preserve">price: Yahoo Finance chart API at inputs.price_as_of; 52-week range 215.53-315.99
financials: UNP_Metrics.csv (SEC XBRL, FY2007-Q2 2026); component lines (D&amp;A, SBC, cash taxes, debt current/non-current, leases, diluted shares) from SEC XBRL companyfacts CIK 0000100885
qualitative: UNP_Analysis.json (Q2 2026 results 2026-07-23, merger timeline, guidance)</t>
  </si>
  <si>
    <t xml:space="preserve">Scenario narrative: bear</t>
  </si>
  <si>
    <t xml:space="preserve">A tariff-driven freight recession in 2027 (international intermodal, autos, chemicals) drops revenue ~1% and the OR back above 62% as volume deleverage meets a unionized cost base and a two-person-crew floor on headcount savings. Recovery is slow; captive-shipper rate scrutiny and post-merger-fight regulatory hostility (STB, DOJ, labor) cap pricing, so growth settles at 2.5% with margins ~3pp below today and capex stickier at 15%. Merger distraction or a failed deal (with a reverse termination fee) adds to the drag.</t>
  </si>
  <si>
    <t xml:space="preserve">Scenario narrative: base</t>
  </si>
  <si>
    <t xml:space="preserve">Standalone UNP keeps doing what it has done for a decade: core pricing a little above rail cost inflation, volumes flat to low-single-digit as bulk (grain, renewable feedstocks) and domestic-intermodal truck conversion offset tariff-hit international intermodal and soft autos, and PSR discipline under Vena grinding the operating ratio from ~60% toward ~58.5%. Capex stays ~14.5% of revenue, the bonus-depreciation cash-tax holiday unwinds to ~22%, and revenue compounds ~3.5%. The NS merger is treated as outside the model: neither the synergies nor the leverage.</t>
  </si>
  <si>
    <t xml:space="preserve">Scenario narrative: bull</t>
  </si>
  <si>
    <t xml:space="preserve">Durable duopoly pricing plus a truck-to-rail conversion cycle (tight truck capacity, UP's service metrics at records) lift volume growth to 2-3% on top of pricing, and further PSR/automation cost-out (fuel efficiency, terminal automation, asset velocity) takes the OR toward ~55.5%, at or past the best in the industry. Capex intensity drifts down as velocity gains free locomotives and cars. Revenue compounds ~5% early, 3.5% terminal.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</si>
  <si>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</si>
  <si>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</si>
  <si>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</si>
  <si>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</si>
  <si>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</si>
  <si>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</si>
  <si>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</si>
  <si>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</si>
  <si>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</si>
  <si>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</si>
  <si>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</si>
  <si>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</si>
  <si>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</si>
  <si>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</si>
  <si>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</si>
  <si>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</si>
  <si>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</si>
  <si>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</si>
  <si>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</si>
  <si>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</si>
  <si>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</si>
  <si>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</si>
  <si>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</si>
  <si>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</si>
  <si>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</si>
  <si>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</si>
  <si>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</si>
  <si>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</si>
  <si>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</si>
  <si>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</si>
  <si>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</si>
  <si>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</si>
  <si>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</si>
  <si>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</si>
  <si>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</si>
  <si>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</si>
  <si>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</si>
  <si>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</si>
  <si>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</si>
  <si>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</si>
  <si>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</si>
  <si>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</si>
  <si>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</si>
  <si>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</si>
  <si>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</si>
  <si>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</si>
  <si>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</si>
  <si>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</si>
  <si>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</si>
  <si>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</si>
  <si>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</si>
  <si>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</si>
  <si>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</si>
  <si>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</si>
  <si>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</si>
  <si>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</si>
  <si>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</si>
  <si>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</si>
  <si>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</si>
  <si>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</si>
  <si>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</si>
  <si>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</si>
  <si>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</si>
  <si>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</si>
  <si>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</si>
  <si>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</si>
  <si>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</si>
  <si>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</si>
  <si>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</si>
  <si>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</si>
  <si>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</si>
  <si>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</si>
  <si>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</si>
  <si>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</si>
  <si>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</si>
  <si>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</si>
  <si>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</si>
  <si>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</si>
  <si>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</si>
  <si>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</si>
  <si>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</si>
  <si>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</si>
  <si>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</si>
  <si>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</si>
  <si>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UNP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</si>
  <si>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</si>
  <si>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</si>
  <si>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</si>
  <si>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</si>
  <si>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</si>
  <si>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</si>
  <si>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</si>
  <si>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</si>
  <si>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</si>
  <si>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</si>
  <si>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</si>
  <si>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</si>
  <si>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</si>
  <si>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</si>
  <si>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</si>
  <si>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</si>
  <si>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</si>
  <si>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</si>
  <si>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</si>
  <si>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</si>
  <si>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</si>
  <si>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</si>
  <si>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</si>
  <si>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</si>
  <si>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</si>
  <si>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</si>
  <si>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</si>
  <si>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</si>
  <si>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</si>
  <si>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</si>
  <si>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UNP owner-FCF component DCF: base case (millions, USD)</t>
  </si>
  <si>
    <t xml:space="preserve">UNP owner-FCF component DCF: bull case (millions, USD)</t>
  </si>
  <si>
    <t xml:space="preserve">UNP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</si>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</sst>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278.28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15312</v>
      </c>
      <c r="S2" s="0" t="n">
        <v>827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16283</v>
      </c>
      <c r="F3" s="0" t="n">
        <v>3375</v>
      </c>
      <c r="G3" s="0" t="n">
        <v>20.7271387336486</v>
      </c>
      <c r="I3" s="0" t="n">
        <v>1855</v>
      </c>
      <c r="J3" s="0" t="n">
        <v>11.3922495854572</v>
      </c>
      <c r="K3" s="0" t="n">
        <v>3.49</v>
      </c>
      <c r="L3" s="0" t="n">
        <v>3277</v>
      </c>
      <c r="M3" s="0" t="n">
        <v>2496</v>
      </c>
      <c r="N3" s="0" t="n">
        <v>781</v>
      </c>
      <c r="O3" s="0" t="n">
        <v>15456</v>
      </c>
      <c r="S3" s="0" t="n">
        <v>878</v>
      </c>
      <c r="T3" s="0" t="n">
        <v>536.8</v>
      </c>
      <c r="V3" s="0" t="n">
        <v>0.745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17970</v>
      </c>
      <c r="F4" s="0" t="n">
        <v>4070</v>
      </c>
      <c r="G4" s="0" t="n">
        <v>22.6488592097941</v>
      </c>
      <c r="I4" s="0" t="n">
        <v>2335</v>
      </c>
      <c r="J4" s="0" t="n">
        <v>12.9938786867001</v>
      </c>
      <c r="K4" s="0" t="n">
        <v>4.57</v>
      </c>
      <c r="L4" s="0" t="n">
        <v>4044</v>
      </c>
      <c r="M4" s="0" t="n">
        <v>2754</v>
      </c>
      <c r="N4" s="0" t="n">
        <v>1290</v>
      </c>
      <c r="O4" s="0" t="n">
        <v>15315</v>
      </c>
      <c r="P4" s="0" t="n">
        <v>39722</v>
      </c>
      <c r="Q4" s="0" t="n">
        <v>24275</v>
      </c>
      <c r="R4" s="0" t="n">
        <v>8927</v>
      </c>
      <c r="S4" s="0" t="n">
        <v>1249</v>
      </c>
      <c r="T4" s="0" t="n">
        <v>515</v>
      </c>
      <c r="U4" s="0" t="n">
        <v>65</v>
      </c>
      <c r="V4" s="0" t="n">
        <v>0.98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14143</v>
      </c>
      <c r="F5" s="0" t="n">
        <v>3379</v>
      </c>
      <c r="G5" s="0" t="n">
        <v>23.8916778618398</v>
      </c>
      <c r="I5" s="0" t="n">
        <v>1890</v>
      </c>
      <c r="J5" s="0" t="n">
        <v>13.363501378774</v>
      </c>
      <c r="K5" s="0" t="n">
        <v>3.76</v>
      </c>
      <c r="L5" s="0" t="n">
        <v>3204</v>
      </c>
      <c r="M5" s="0" t="n">
        <v>2354</v>
      </c>
      <c r="N5" s="0" t="n">
        <v>850</v>
      </c>
      <c r="O5" s="0" t="n">
        <v>16801</v>
      </c>
      <c r="P5" s="0" t="n">
        <v>42184</v>
      </c>
      <c r="Q5" s="0" t="n">
        <v>25383</v>
      </c>
      <c r="R5" s="0" t="n">
        <v>10060</v>
      </c>
      <c r="S5" s="0" t="n">
        <v>1850</v>
      </c>
      <c r="T5" s="0" t="n">
        <v>505.8</v>
      </c>
      <c r="U5" s="0" t="n">
        <v>58</v>
      </c>
      <c r="V5" s="0" t="n">
        <v>1.08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16965</v>
      </c>
      <c r="F6" s="0" t="n">
        <v>4981</v>
      </c>
      <c r="G6" s="0" t="n">
        <v>29.3604479811376</v>
      </c>
      <c r="I6" s="0" t="n">
        <v>2780</v>
      </c>
      <c r="J6" s="0" t="n">
        <v>16.386678455644</v>
      </c>
      <c r="K6" s="0" t="n">
        <v>5.58</v>
      </c>
      <c r="L6" s="0" t="n">
        <v>4105</v>
      </c>
      <c r="M6" s="0" t="n">
        <v>2482</v>
      </c>
      <c r="N6" s="0" t="n">
        <v>1623</v>
      </c>
      <c r="O6" s="0" t="n">
        <v>17763</v>
      </c>
      <c r="P6" s="0" t="n">
        <v>43088</v>
      </c>
      <c r="Q6" s="0" t="n">
        <v>25325</v>
      </c>
      <c r="R6" s="0" t="n">
        <v>9481</v>
      </c>
      <c r="S6" s="0" t="n">
        <v>1086</v>
      </c>
      <c r="T6" s="0" t="n">
        <v>502.9</v>
      </c>
      <c r="U6" s="0" t="n">
        <v>74</v>
      </c>
      <c r="V6" s="0" t="n">
        <v>1.31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19557</v>
      </c>
      <c r="F7" s="0" t="n">
        <v>5724</v>
      </c>
      <c r="G7" s="0" t="n">
        <v>29.2682926829268</v>
      </c>
      <c r="I7" s="0" t="n">
        <v>3292</v>
      </c>
      <c r="J7" s="0" t="n">
        <v>16.8328475737588</v>
      </c>
      <c r="K7" s="0" t="n">
        <v>6.78</v>
      </c>
      <c r="L7" s="0" t="n">
        <v>5873</v>
      </c>
      <c r="M7" s="0" t="n">
        <v>3176</v>
      </c>
      <c r="N7" s="0" t="n">
        <v>2697</v>
      </c>
      <c r="O7" s="0" t="n">
        <v>18578</v>
      </c>
      <c r="P7" s="0" t="n">
        <v>45096</v>
      </c>
      <c r="Q7" s="0" t="n">
        <v>26518</v>
      </c>
      <c r="R7" s="0" t="n">
        <v>9115</v>
      </c>
      <c r="S7" s="0" t="n">
        <v>1217</v>
      </c>
      <c r="T7" s="0" t="n">
        <v>489.8</v>
      </c>
      <c r="U7" s="0" t="n">
        <v>82</v>
      </c>
      <c r="V7" s="0" t="n">
        <v>1.93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20926</v>
      </c>
      <c r="F8" s="0" t="n">
        <v>6745</v>
      </c>
      <c r="G8" s="0" t="n">
        <v>32.2326292650292</v>
      </c>
      <c r="I8" s="0" t="n">
        <v>3943</v>
      </c>
      <c r="J8" s="0" t="n">
        <v>18.8425881678295</v>
      </c>
      <c r="K8" s="0" t="n">
        <v>4.17</v>
      </c>
      <c r="L8" s="0" t="n">
        <v>6161</v>
      </c>
      <c r="M8" s="0" t="n">
        <v>3738</v>
      </c>
      <c r="N8" s="0" t="n">
        <v>2423</v>
      </c>
      <c r="O8" s="0" t="n">
        <v>19877</v>
      </c>
      <c r="P8" s="0" t="n">
        <v>47153</v>
      </c>
      <c r="Q8" s="0" t="n">
        <v>27276</v>
      </c>
      <c r="R8" s="0" t="n">
        <v>9193</v>
      </c>
      <c r="S8" s="0" t="n">
        <v>1063</v>
      </c>
      <c r="T8" s="0" t="n">
        <v>952.9</v>
      </c>
      <c r="U8" s="0" t="n">
        <v>93</v>
      </c>
      <c r="V8" s="0" t="n">
        <v>1.245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21963</v>
      </c>
      <c r="F9" s="0" t="n">
        <v>7446</v>
      </c>
      <c r="G9" s="0" t="n">
        <v>33.9024723398443</v>
      </c>
      <c r="I9" s="0" t="n">
        <v>4388</v>
      </c>
      <c r="J9" s="0" t="n">
        <v>19.9790556845604</v>
      </c>
      <c r="K9" s="0" t="n">
        <v>4.74</v>
      </c>
      <c r="M9" s="0" t="n">
        <v>3496</v>
      </c>
      <c r="O9" s="0" t="n">
        <v>21225</v>
      </c>
      <c r="P9" s="0" t="n">
        <v>49731</v>
      </c>
      <c r="Q9" s="0" t="n">
        <v>28506</v>
      </c>
      <c r="R9" s="0" t="n">
        <v>10282</v>
      </c>
      <c r="S9" s="0" t="n">
        <v>1432</v>
      </c>
      <c r="T9" s="0" t="n">
        <v>931.5</v>
      </c>
      <c r="U9" s="0" t="n">
        <v>98</v>
      </c>
      <c r="V9" s="0" t="n">
        <v>1.48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23988</v>
      </c>
      <c r="F10" s="0" t="n">
        <v>8753</v>
      </c>
      <c r="G10" s="0" t="n">
        <v>36.4890778722695</v>
      </c>
      <c r="I10" s="0" t="n">
        <v>5180</v>
      </c>
      <c r="J10" s="0" t="n">
        <v>21.5941303985326</v>
      </c>
      <c r="K10" s="0" t="n">
        <v>5.77</v>
      </c>
      <c r="M10" s="0" t="n">
        <v>4346</v>
      </c>
      <c r="O10" s="0" t="n">
        <v>21189</v>
      </c>
      <c r="P10" s="0" t="n">
        <v>52372</v>
      </c>
      <c r="Q10" s="0" t="n">
        <v>31183</v>
      </c>
      <c r="R10" s="0" t="n">
        <v>11874</v>
      </c>
      <c r="S10" s="0" t="n">
        <v>1586</v>
      </c>
      <c r="T10" s="0" t="n">
        <v>901.1</v>
      </c>
      <c r="U10" s="0" t="n">
        <v>112</v>
      </c>
      <c r="V10" s="0" t="n">
        <v>1.91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21813</v>
      </c>
      <c r="F11" s="0" t="n">
        <v>8052</v>
      </c>
      <c r="G11" s="0" t="n">
        <v>36.9137670196672</v>
      </c>
      <c r="I11" s="0" t="n">
        <v>4772</v>
      </c>
      <c r="J11" s="0" t="n">
        <v>21.8768624214918</v>
      </c>
      <c r="K11" s="0" t="n">
        <v>5.51</v>
      </c>
      <c r="M11" s="0" t="n">
        <v>4650</v>
      </c>
      <c r="O11" s="0" t="n">
        <v>20702</v>
      </c>
      <c r="P11" s="0" t="n">
        <v>54600</v>
      </c>
      <c r="Q11" s="0" t="n">
        <v>33898</v>
      </c>
      <c r="R11" s="0" t="n">
        <v>14795</v>
      </c>
      <c r="S11" s="0" t="n">
        <v>1391</v>
      </c>
      <c r="T11" s="0" t="n">
        <v>869.4</v>
      </c>
      <c r="U11" s="0" t="n">
        <v>98</v>
      </c>
      <c r="V11" s="0" t="n">
        <v>2.2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19941</v>
      </c>
      <c r="F12" s="0" t="n">
        <v>7243</v>
      </c>
      <c r="G12" s="0" t="n">
        <v>36.3221503435134</v>
      </c>
      <c r="I12" s="0" t="n">
        <v>4233</v>
      </c>
      <c r="J12" s="0" t="n">
        <v>21.227621483376</v>
      </c>
      <c r="K12" s="0" t="n">
        <v>5.09</v>
      </c>
      <c r="M12" s="0" t="n">
        <v>3505</v>
      </c>
      <c r="O12" s="0" t="n">
        <v>19932</v>
      </c>
      <c r="P12" s="0" t="n">
        <v>55718</v>
      </c>
      <c r="Q12" s="0" t="n">
        <v>35786</v>
      </c>
      <c r="R12" s="0" t="n">
        <v>15765</v>
      </c>
      <c r="S12" s="0" t="n">
        <v>1277</v>
      </c>
      <c r="T12" s="0" t="n">
        <v>835.4</v>
      </c>
      <c r="U12" s="0" t="n">
        <v>82</v>
      </c>
      <c r="V12" s="0" t="n">
        <v>2.255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21240</v>
      </c>
      <c r="F13" s="0" t="n">
        <v>8106</v>
      </c>
      <c r="G13" s="0" t="n">
        <v>38.1638418079096</v>
      </c>
      <c r="I13" s="0" t="n">
        <v>10712</v>
      </c>
      <c r="J13" s="0" t="n">
        <v>50.4331450094162</v>
      </c>
      <c r="K13" s="0" t="n">
        <v>13.42</v>
      </c>
      <c r="L13" s="0" t="n">
        <v>7230</v>
      </c>
      <c r="M13" s="0" t="n">
        <v>3238</v>
      </c>
      <c r="N13" s="0" t="n">
        <v>3992</v>
      </c>
      <c r="O13" s="0" t="n">
        <v>24856</v>
      </c>
      <c r="P13" s="0" t="n">
        <v>57806</v>
      </c>
      <c r="Q13" s="0" t="n">
        <v>32950</v>
      </c>
      <c r="R13" s="0" t="n">
        <v>17744</v>
      </c>
      <c r="S13" s="0" t="n">
        <v>1275</v>
      </c>
      <c r="T13" s="0" t="n">
        <v>801.7</v>
      </c>
      <c r="U13" s="0" t="n">
        <v>103</v>
      </c>
      <c r="V13" s="0" t="n">
        <v>2.48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22832</v>
      </c>
      <c r="F14" s="0" t="n">
        <v>8517</v>
      </c>
      <c r="G14" s="0" t="n">
        <v>37.3029081990189</v>
      </c>
      <c r="I14" s="0" t="n">
        <v>5966</v>
      </c>
      <c r="J14" s="0" t="n">
        <v>26.1299929922915</v>
      </c>
      <c r="K14" s="0" t="n">
        <v>7.95</v>
      </c>
      <c r="L14" s="0" t="n">
        <v>8686</v>
      </c>
      <c r="M14" s="0" t="n">
        <v>3437</v>
      </c>
      <c r="N14" s="0" t="n">
        <v>5249</v>
      </c>
      <c r="O14" s="0" t="n">
        <v>20423</v>
      </c>
      <c r="P14" s="0" t="n">
        <v>59147</v>
      </c>
      <c r="Q14" s="0" t="n">
        <v>38724</v>
      </c>
      <c r="R14" s="0" t="n">
        <v>23857</v>
      </c>
      <c r="S14" s="0" t="n">
        <v>1273</v>
      </c>
      <c r="T14" s="0" t="n">
        <v>754.3</v>
      </c>
      <c r="U14" s="0" t="n">
        <v>96</v>
      </c>
      <c r="V14" s="0" t="n">
        <v>3.06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21708</v>
      </c>
      <c r="F15" s="0" t="n">
        <v>8554</v>
      </c>
      <c r="G15" s="0" t="n">
        <v>39.4048277132854</v>
      </c>
      <c r="I15" s="0" t="n">
        <v>5919</v>
      </c>
      <c r="J15" s="0" t="n">
        <v>27.2664455500276</v>
      </c>
      <c r="K15" s="0" t="n">
        <v>8.41</v>
      </c>
      <c r="L15" s="0" t="n">
        <v>8609</v>
      </c>
      <c r="M15" s="0" t="n">
        <v>3453</v>
      </c>
      <c r="N15" s="0" t="n">
        <v>5156</v>
      </c>
      <c r="O15" s="0" t="n">
        <v>18128</v>
      </c>
      <c r="P15" s="0" t="n">
        <v>61673</v>
      </c>
      <c r="Q15" s="0" t="n">
        <v>43545</v>
      </c>
      <c r="R15" s="0" t="n">
        <v>26457</v>
      </c>
      <c r="S15" s="0" t="n">
        <v>831</v>
      </c>
      <c r="T15" s="0" t="n">
        <v>706.1</v>
      </c>
      <c r="U15" s="0" t="n">
        <v>93</v>
      </c>
      <c r="V15" s="0" t="n">
        <v>3.7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19533</v>
      </c>
      <c r="F16" s="0" t="n">
        <v>7834</v>
      </c>
      <c r="G16" s="0" t="n">
        <v>40.1064864588133</v>
      </c>
      <c r="I16" s="0" t="n">
        <v>5349</v>
      </c>
      <c r="J16" s="0" t="n">
        <v>27.3844263553986</v>
      </c>
      <c r="K16" s="0" t="n">
        <v>7.9</v>
      </c>
      <c r="L16" s="0" t="n">
        <v>8540</v>
      </c>
      <c r="M16" s="0" t="n">
        <v>2927</v>
      </c>
      <c r="N16" s="0" t="n">
        <v>5613</v>
      </c>
      <c r="O16" s="0" t="n">
        <v>16958</v>
      </c>
      <c r="P16" s="0" t="n">
        <v>62398</v>
      </c>
      <c r="Q16" s="0" t="n">
        <v>45440</v>
      </c>
      <c r="R16" s="0" t="n">
        <v>27798</v>
      </c>
      <c r="S16" s="0" t="n">
        <v>1799</v>
      </c>
      <c r="T16" s="0" t="n">
        <v>679.1</v>
      </c>
      <c r="U16" s="0" t="n">
        <v>73</v>
      </c>
      <c r="V16" s="0" t="n">
        <v>3.88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21804</v>
      </c>
      <c r="F17" s="0" t="n">
        <v>9338</v>
      </c>
      <c r="G17" s="0" t="n">
        <v>42.8270042194093</v>
      </c>
      <c r="I17" s="0" t="n">
        <v>6523</v>
      </c>
      <c r="J17" s="0" t="n">
        <v>29.9165290772335</v>
      </c>
      <c r="K17" s="0" t="n">
        <v>9.98</v>
      </c>
      <c r="L17" s="0" t="n">
        <v>9032</v>
      </c>
      <c r="M17" s="0" t="n">
        <v>2936</v>
      </c>
      <c r="N17" s="0" t="n">
        <v>6096</v>
      </c>
      <c r="O17" s="0" t="n">
        <v>14161</v>
      </c>
      <c r="P17" s="0" t="n">
        <v>63525</v>
      </c>
      <c r="Q17" s="0" t="n">
        <v>49364</v>
      </c>
      <c r="R17" s="0" t="n">
        <v>31895</v>
      </c>
      <c r="S17" s="0" t="n">
        <v>960</v>
      </c>
      <c r="T17" s="0" t="n">
        <v>655.4</v>
      </c>
      <c r="U17" s="0" t="n">
        <v>88</v>
      </c>
      <c r="V17" s="0" t="n">
        <v>4.29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24875</v>
      </c>
      <c r="F18" s="0" t="n">
        <v>9917</v>
      </c>
      <c r="G18" s="0" t="n">
        <v>39.8673366834171</v>
      </c>
      <c r="I18" s="0" t="n">
        <v>6998</v>
      </c>
      <c r="J18" s="0" t="n">
        <v>28.1326633165829</v>
      </c>
      <c r="K18" s="0" t="n">
        <v>11.24</v>
      </c>
      <c r="L18" s="0" t="n">
        <v>9362</v>
      </c>
      <c r="M18" s="0" t="n">
        <v>3620</v>
      </c>
      <c r="N18" s="0" t="n">
        <v>5742</v>
      </c>
      <c r="O18" s="0" t="n">
        <v>12163</v>
      </c>
      <c r="P18" s="0" t="n">
        <v>65449</v>
      </c>
      <c r="Q18" s="0" t="n">
        <v>53286</v>
      </c>
      <c r="R18" s="0" t="n">
        <v>35004</v>
      </c>
      <c r="S18" s="0" t="n">
        <v>973</v>
      </c>
      <c r="T18" s="0" t="n">
        <v>624</v>
      </c>
      <c r="U18" s="0" t="n">
        <v>99</v>
      </c>
      <c r="V18" s="0" t="n">
        <v>5.08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24119</v>
      </c>
      <c r="F19" s="0" t="n">
        <v>9082</v>
      </c>
      <c r="G19" s="0" t="n">
        <v>37.6549608192711</v>
      </c>
      <c r="I19" s="0" t="n">
        <v>6379</v>
      </c>
      <c r="J19" s="0" t="n">
        <v>26.4480285252291</v>
      </c>
      <c r="K19" s="0" t="n">
        <v>10.47</v>
      </c>
      <c r="L19" s="0" t="n">
        <v>8379</v>
      </c>
      <c r="M19" s="0" t="n">
        <v>3606</v>
      </c>
      <c r="N19" s="0" t="n">
        <v>4773</v>
      </c>
      <c r="O19" s="0" t="n">
        <v>14788</v>
      </c>
      <c r="P19" s="0" t="n">
        <v>67132</v>
      </c>
      <c r="Q19" s="0" t="n">
        <v>52344</v>
      </c>
      <c r="R19" s="0" t="n">
        <v>32579</v>
      </c>
      <c r="S19" s="0" t="n">
        <v>1055</v>
      </c>
      <c r="T19" s="0" t="n">
        <v>610.2</v>
      </c>
      <c r="U19" s="0" t="n">
        <v>107</v>
      </c>
      <c r="V19" s="0" t="n">
        <v>5.2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24250</v>
      </c>
      <c r="F20" s="0" t="n">
        <v>9713</v>
      </c>
      <c r="G20" s="0" t="n">
        <v>40.0536082474227</v>
      </c>
      <c r="I20" s="0" t="n">
        <v>6747</v>
      </c>
      <c r="J20" s="0" t="n">
        <v>27.8226804123711</v>
      </c>
      <c r="K20" s="0" t="n">
        <v>11.1</v>
      </c>
      <c r="L20" s="0" t="n">
        <v>9346</v>
      </c>
      <c r="M20" s="0" t="n">
        <v>3452</v>
      </c>
      <c r="N20" s="0" t="n">
        <v>5894</v>
      </c>
      <c r="O20" s="0" t="n">
        <v>16890</v>
      </c>
      <c r="P20" s="0" t="n">
        <v>67715</v>
      </c>
      <c r="Q20" s="0" t="n">
        <v>50825</v>
      </c>
      <c r="R20" s="0" t="n">
        <v>31192</v>
      </c>
      <c r="S20" s="0" t="n">
        <v>1016</v>
      </c>
      <c r="T20" s="0" t="n">
        <v>608.6</v>
      </c>
      <c r="U20" s="0" t="n">
        <v>118</v>
      </c>
      <c r="V20" s="0" t="n">
        <v>5.28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24510</v>
      </c>
      <c r="F21" s="0" t="n">
        <v>9846</v>
      </c>
      <c r="G21" s="0" t="n">
        <v>40.171358629131</v>
      </c>
      <c r="I21" s="0" t="n">
        <v>7138</v>
      </c>
      <c r="J21" s="0" t="n">
        <v>29.1228070175439</v>
      </c>
      <c r="K21" s="0" t="n">
        <v>12</v>
      </c>
      <c r="L21" s="0" t="n">
        <v>9290</v>
      </c>
      <c r="M21" s="0" t="n">
        <v>3791</v>
      </c>
      <c r="N21" s="0" t="n">
        <v>5499</v>
      </c>
      <c r="O21" s="0" t="n">
        <v>18467</v>
      </c>
      <c r="P21" s="0" t="n">
        <v>69698</v>
      </c>
      <c r="Q21" s="0" t="n">
        <v>51231</v>
      </c>
      <c r="R21" s="0" t="n">
        <v>33334</v>
      </c>
      <c r="S21" s="0" t="n">
        <v>1266</v>
      </c>
      <c r="T21" s="0" t="n">
        <v>595.9</v>
      </c>
      <c r="U21" s="0" t="n">
        <v>142</v>
      </c>
      <c r="V21" s="0" t="n">
        <v>5.44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278.28</v>
      </c>
    </row>
    <row r="3" customFormat="false" ht="15" hidden="false" customHeight="false" outlineLevel="0" collapsed="false">
      <c r="A3" s="0" t="s">
        <v>86</v>
      </c>
      <c r="B3" s="3" t="n">
        <v>594</v>
      </c>
    </row>
    <row r="4" customFormat="false" ht="15" hidden="false" customHeight="false" outlineLevel="0" collapsed="false">
      <c r="A4" s="0" t="s">
        <v>87</v>
      </c>
      <c r="B4" s="3" t="n">
        <v>28713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24510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4.5</v>
      </c>
      <c r="D13" s="3" t="n">
        <v>-1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49.8</v>
      </c>
      <c r="D14" s="3" t="n">
        <v>47.8</v>
      </c>
      <c r="E14" s="3" t="n">
        <v>48</v>
      </c>
      <c r="F14" s="3" t="n">
        <v>48.3</v>
      </c>
      <c r="G14" s="3" t="n">
        <v>48.5</v>
      </c>
      <c r="H14" s="3" t="n">
        <v>48.5</v>
      </c>
      <c r="I14" s="3" t="n">
        <v>48.5</v>
      </c>
      <c r="J14" s="3" t="n">
        <v>48.5</v>
      </c>
      <c r="K14" s="3" t="n">
        <v>48.5</v>
      </c>
      <c r="L14" s="3" t="n">
        <v>48.5</v>
      </c>
    </row>
    <row r="15" customFormat="false" ht="15" hidden="false" customHeight="false" outlineLevel="0" collapsed="false">
      <c r="A15" s="0" t="s">
        <v>108</v>
      </c>
      <c r="C15" s="3" t="n">
        <v>0.58</v>
      </c>
      <c r="D15" s="3" t="n">
        <v>0.58</v>
      </c>
      <c r="E15" s="3" t="n">
        <v>0.58</v>
      </c>
      <c r="F15" s="3" t="n">
        <v>0.58</v>
      </c>
      <c r="G15" s="3" t="n">
        <v>0.58</v>
      </c>
      <c r="H15" s="3" t="n">
        <v>0.58</v>
      </c>
      <c r="I15" s="3" t="n">
        <v>0.58</v>
      </c>
      <c r="J15" s="3" t="n">
        <v>0.58</v>
      </c>
      <c r="K15" s="3" t="n">
        <v>0.58</v>
      </c>
      <c r="L15" s="3" t="n">
        <v>0.58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</v>
      </c>
      <c r="H17" s="3" t="n">
        <v>10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5" hidden="false" customHeight="false" outlineLevel="0" collapsed="false">
      <c r="A18" s="0" t="s">
        <v>111</v>
      </c>
      <c r="C18" s="3" t="n">
        <v>15</v>
      </c>
      <c r="D18" s="3" t="n">
        <v>15</v>
      </c>
      <c r="E18" s="3" t="n">
        <v>15</v>
      </c>
      <c r="F18" s="3" t="n">
        <v>15</v>
      </c>
      <c r="G18" s="3" t="n">
        <v>15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19</v>
      </c>
      <c r="E19" s="3" t="n">
        <v>20</v>
      </c>
      <c r="F19" s="3" t="n">
        <v>21</v>
      </c>
      <c r="G19" s="3" t="n">
        <v>21.5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8.25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-3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50.3</v>
      </c>
      <c r="D28" s="3" t="n">
        <v>50.7</v>
      </c>
      <c r="E28" s="3" t="n">
        <v>51</v>
      </c>
      <c r="F28" s="3" t="n">
        <v>51.3</v>
      </c>
      <c r="G28" s="3" t="n">
        <v>51.5</v>
      </c>
      <c r="H28" s="3" t="n">
        <v>51.7</v>
      </c>
      <c r="I28" s="3" t="n">
        <v>51.8</v>
      </c>
      <c r="J28" s="3" t="n">
        <v>51.8</v>
      </c>
      <c r="K28" s="3" t="n">
        <v>51.8</v>
      </c>
      <c r="L28" s="3" t="n">
        <v>51.8</v>
      </c>
    </row>
    <row r="29" customFormat="false" ht="15" hidden="false" customHeight="false" outlineLevel="0" collapsed="false">
      <c r="A29" s="0" t="s">
        <v>108</v>
      </c>
      <c r="C29" s="3" t="n">
        <v>0.58</v>
      </c>
      <c r="D29" s="3" t="n">
        <v>0.58</v>
      </c>
      <c r="E29" s="3" t="n">
        <v>0.58</v>
      </c>
      <c r="F29" s="3" t="n">
        <v>0.58</v>
      </c>
      <c r="G29" s="3" t="n">
        <v>0.58</v>
      </c>
      <c r="H29" s="3" t="n">
        <v>0.58</v>
      </c>
      <c r="I29" s="3" t="n">
        <v>0.58</v>
      </c>
      <c r="J29" s="3" t="n">
        <v>0.58</v>
      </c>
      <c r="K29" s="3" t="n">
        <v>0.58</v>
      </c>
      <c r="L29" s="3" t="n">
        <v>0.58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10</v>
      </c>
      <c r="D31" s="3" t="n">
        <v>10</v>
      </c>
      <c r="E31" s="3" t="n">
        <v>10</v>
      </c>
      <c r="F31" s="3" t="n">
        <v>10</v>
      </c>
      <c r="G31" s="3" t="n">
        <v>10</v>
      </c>
      <c r="H31" s="3" t="n">
        <v>10</v>
      </c>
      <c r="I31" s="3" t="n">
        <v>10</v>
      </c>
      <c r="J31" s="3" t="n">
        <v>10</v>
      </c>
      <c r="K31" s="3" t="n">
        <v>10</v>
      </c>
      <c r="L31" s="3" t="n">
        <v>10</v>
      </c>
    </row>
    <row r="32" customFormat="false" ht="15" hidden="false" customHeight="false" outlineLevel="0" collapsed="false">
      <c r="A32" s="0" t="s">
        <v>111</v>
      </c>
      <c r="C32" s="3" t="n">
        <v>14.5</v>
      </c>
      <c r="D32" s="3" t="n">
        <v>14.5</v>
      </c>
      <c r="E32" s="3" t="n">
        <v>14.5</v>
      </c>
      <c r="F32" s="3" t="n">
        <v>14.5</v>
      </c>
      <c r="G32" s="3" t="n">
        <v>14.5</v>
      </c>
      <c r="H32" s="3" t="n">
        <v>14.5</v>
      </c>
      <c r="I32" s="3" t="n">
        <v>14.5</v>
      </c>
      <c r="J32" s="3" t="n">
        <v>14.5</v>
      </c>
      <c r="K32" s="3" t="n">
        <v>14.5</v>
      </c>
      <c r="L32" s="3" t="n">
        <v>14.5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19</v>
      </c>
      <c r="E33" s="3" t="n">
        <v>20</v>
      </c>
      <c r="F33" s="3" t="n">
        <v>21</v>
      </c>
      <c r="G33" s="3" t="n">
        <v>21.5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8.25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-3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5.5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50.6</v>
      </c>
      <c r="D42" s="3" t="n">
        <v>51.5</v>
      </c>
      <c r="E42" s="3" t="n">
        <v>52.3</v>
      </c>
      <c r="F42" s="3" t="n">
        <v>53</v>
      </c>
      <c r="G42" s="3" t="n">
        <v>53.6</v>
      </c>
      <c r="H42" s="3" t="n">
        <v>54</v>
      </c>
      <c r="I42" s="3" t="n">
        <v>54.3</v>
      </c>
      <c r="J42" s="3" t="n">
        <v>54.5</v>
      </c>
      <c r="K42" s="3" t="n">
        <v>54.5</v>
      </c>
      <c r="L42" s="3" t="n">
        <v>54.5</v>
      </c>
    </row>
    <row r="43" customFormat="false" ht="15" hidden="false" customHeight="false" outlineLevel="0" collapsed="false">
      <c r="A43" s="0" t="s">
        <v>108</v>
      </c>
      <c r="C43" s="3" t="n">
        <v>0.58</v>
      </c>
      <c r="D43" s="3" t="n">
        <v>0.58</v>
      </c>
      <c r="E43" s="3" t="n">
        <v>0.58</v>
      </c>
      <c r="F43" s="3" t="n">
        <v>0.58</v>
      </c>
      <c r="G43" s="3" t="n">
        <v>0.58</v>
      </c>
      <c r="H43" s="3" t="n">
        <v>0.58</v>
      </c>
      <c r="I43" s="3" t="n">
        <v>0.58</v>
      </c>
      <c r="J43" s="3" t="n">
        <v>0.58</v>
      </c>
      <c r="K43" s="3" t="n">
        <v>0.58</v>
      </c>
      <c r="L43" s="3" t="n">
        <v>0.58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10</v>
      </c>
      <c r="D45" s="3" t="n">
        <v>10</v>
      </c>
      <c r="E45" s="3" t="n">
        <v>10</v>
      </c>
      <c r="F45" s="3" t="n">
        <v>10</v>
      </c>
      <c r="G45" s="3" t="n">
        <v>10</v>
      </c>
      <c r="H45" s="3" t="n">
        <v>10</v>
      </c>
      <c r="I45" s="3" t="n">
        <v>10</v>
      </c>
      <c r="J45" s="3" t="n">
        <v>10</v>
      </c>
      <c r="K45" s="3" t="n">
        <v>10</v>
      </c>
      <c r="L45" s="3" t="n">
        <v>10</v>
      </c>
    </row>
    <row r="46" customFormat="false" ht="15" hidden="false" customHeight="false" outlineLevel="0" collapsed="false">
      <c r="A46" s="0" t="s">
        <v>111</v>
      </c>
      <c r="C46" s="3" t="n">
        <v>14</v>
      </c>
      <c r="D46" s="3" t="n">
        <v>14</v>
      </c>
      <c r="E46" s="3" t="n">
        <v>14</v>
      </c>
      <c r="F46" s="3" t="n">
        <v>14</v>
      </c>
      <c r="G46" s="3" t="n">
        <v>14</v>
      </c>
      <c r="H46" s="3" t="n">
        <v>14</v>
      </c>
      <c r="I46" s="3" t="n">
        <v>14</v>
      </c>
      <c r="J46" s="3" t="n">
        <v>14</v>
      </c>
      <c r="K46" s="3" t="n">
        <v>14</v>
      </c>
      <c r="L46" s="3" t="n">
        <v>14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19</v>
      </c>
      <c r="E47" s="3" t="n">
        <v>20</v>
      </c>
      <c r="F47" s="3" t="n">
        <v>21</v>
      </c>
      <c r="G47" s="3" t="n">
        <v>21.5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8.25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4.5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24510</v>
      </c>
      <c r="C6" s="0" t="n">
        <f aca="false">B6*(1+C5/100)</f>
        <v>25612.95</v>
      </c>
      <c r="D6" s="0" t="n">
        <f aca="false">C6*(1+D5/100)</f>
        <v>25356.8205</v>
      </c>
      <c r="E6" s="0" t="n">
        <f aca="false">D6*(1+E5/100)</f>
        <v>25610.388705</v>
      </c>
      <c r="F6" s="0" t="n">
        <f aca="false">E6*(1+F5/100)</f>
        <v>26122.5964791</v>
      </c>
      <c r="G6" s="0" t="n">
        <f aca="false">F6*(1+G5/100)</f>
        <v>26775.6613910775</v>
      </c>
      <c r="H6" s="0" t="n">
        <f aca="false">G6*(1+H5/100)</f>
        <v>27445.0529258544</v>
      </c>
      <c r="I6" s="0" t="n">
        <f aca="false">H6*(1+I5/100)</f>
        <v>28131.1792490008</v>
      </c>
      <c r="J6" s="0" t="n">
        <f aca="false">I6*(1+J5/100)</f>
        <v>28834.4587302258</v>
      </c>
      <c r="K6" s="0" t="n">
        <f aca="false">J6*(1+K5/100)</f>
        <v>29555.3201984815</v>
      </c>
      <c r="L6" s="0" t="n">
        <f aca="false">K6*(1+L5/100)</f>
        <v>30294.2032034435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49.8</v>
      </c>
      <c r="D7" s="4" t="n">
        <f aca="false">Assumptions!D14</f>
        <v>47.8</v>
      </c>
      <c r="E7" s="4" t="n">
        <f aca="false">Assumptions!E14</f>
        <v>48</v>
      </c>
      <c r="F7" s="4" t="n">
        <f aca="false">Assumptions!F14</f>
        <v>48.3</v>
      </c>
      <c r="G7" s="4" t="n">
        <f aca="false">Assumptions!G14</f>
        <v>48.5</v>
      </c>
      <c r="H7" s="4" t="n">
        <f aca="false">Assumptions!H14</f>
        <v>48.5</v>
      </c>
      <c r="I7" s="4" t="n">
        <f aca="false">Assumptions!I14</f>
        <v>48.5</v>
      </c>
      <c r="J7" s="4" t="n">
        <f aca="false">Assumptions!J14</f>
        <v>48.5</v>
      </c>
      <c r="K7" s="4" t="n">
        <f aca="false">Assumptions!K14</f>
        <v>48.5</v>
      </c>
      <c r="L7" s="4" t="n">
        <f aca="false">Assumptions!L14</f>
        <v>48.5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12755.2491</v>
      </c>
      <c r="D8" s="0" t="n">
        <f aca="false">D6*D7/100</f>
        <v>12120.560199</v>
      </c>
      <c r="E8" s="0" t="n">
        <f aca="false">E6*E7/100</f>
        <v>12292.9865784</v>
      </c>
      <c r="F8" s="0" t="n">
        <f aca="false">F6*F7/100</f>
        <v>12617.2140994053</v>
      </c>
      <c r="G8" s="0" t="n">
        <f aca="false">G6*G7/100</f>
        <v>12986.1957746726</v>
      </c>
      <c r="H8" s="0" t="n">
        <f aca="false">H6*H7/100</f>
        <v>13310.8506690394</v>
      </c>
      <c r="I8" s="0" t="n">
        <f aca="false">I6*I7/100</f>
        <v>13643.6219357654</v>
      </c>
      <c r="J8" s="0" t="n">
        <f aca="false">J6*J7/100</f>
        <v>13984.7124841595</v>
      </c>
      <c r="K8" s="0" t="n">
        <f aca="false">K6*K7/100</f>
        <v>14334.3302962635</v>
      </c>
      <c r="L8" s="0" t="n">
        <f aca="false">L6*L7/100</f>
        <v>14692.6885536701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0.58</v>
      </c>
      <c r="D9" s="4" t="n">
        <f aca="false">Assumptions!D15</f>
        <v>0.58</v>
      </c>
      <c r="E9" s="4" t="n">
        <f aca="false">Assumptions!E15</f>
        <v>0.58</v>
      </c>
      <c r="F9" s="4" t="n">
        <f aca="false">Assumptions!F15</f>
        <v>0.58</v>
      </c>
      <c r="G9" s="4" t="n">
        <f aca="false">Assumptions!G15</f>
        <v>0.58</v>
      </c>
      <c r="H9" s="4" t="n">
        <f aca="false">Assumptions!H15</f>
        <v>0.58</v>
      </c>
      <c r="I9" s="4" t="n">
        <f aca="false">Assumptions!I15</f>
        <v>0.58</v>
      </c>
      <c r="J9" s="4" t="n">
        <f aca="false">Assumptions!J15</f>
        <v>0.58</v>
      </c>
      <c r="K9" s="4" t="n">
        <f aca="false">Assumptions!K15</f>
        <v>0.58</v>
      </c>
      <c r="L9" s="4" t="n">
        <f aca="false">Assumptions!L15</f>
        <v>0.58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-148.55511</v>
      </c>
      <c r="D10" s="0" t="n">
        <f aca="false">-D6*D9/100</f>
        <v>-147.0695589</v>
      </c>
      <c r="E10" s="0" t="n">
        <f aca="false">-E6*E9/100</f>
        <v>-148.540254489</v>
      </c>
      <c r="F10" s="0" t="n">
        <f aca="false">-F6*F9/100</f>
        <v>-151.51105957878</v>
      </c>
      <c r="G10" s="0" t="n">
        <f aca="false">-G6*G9/100</f>
        <v>-155.298836068249</v>
      </c>
      <c r="H10" s="0" t="n">
        <f aca="false">-H6*H9/100</f>
        <v>-159.181306969956</v>
      </c>
      <c r="I10" s="0" t="n">
        <f aca="false">-I6*I9/100</f>
        <v>-163.160839644205</v>
      </c>
      <c r="J10" s="0" t="n">
        <f aca="false">-J6*J9/100</f>
        <v>-167.23986063531</v>
      </c>
      <c r="K10" s="0" t="n">
        <f aca="false">-K6*K9/100</f>
        <v>-171.420857151192</v>
      </c>
      <c r="L10" s="0" t="n">
        <f aca="false">-L6*L9/100</f>
        <v>-175.706378579972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12606.69399</v>
      </c>
      <c r="D11" s="0" t="n">
        <f aca="false">D8+D10+D24</f>
        <v>11973.4906401</v>
      </c>
      <c r="E11" s="0" t="n">
        <f aca="false">E8+E10+E24</f>
        <v>12144.446323911</v>
      </c>
      <c r="F11" s="0" t="n">
        <f aca="false">F8+F10+F24</f>
        <v>12465.7030398265</v>
      </c>
      <c r="G11" s="0" t="n">
        <f aca="false">G8+G10+G24</f>
        <v>12830.8969386043</v>
      </c>
      <c r="H11" s="0" t="n">
        <f aca="false">H8+H10+H24</f>
        <v>13151.6693620694</v>
      </c>
      <c r="I11" s="0" t="n">
        <f aca="false">I8+I10+I24</f>
        <v>13480.4610961212</v>
      </c>
      <c r="J11" s="0" t="n">
        <f aca="false">J8+J10+J24</f>
        <v>13817.4726235242</v>
      </c>
      <c r="K11" s="0" t="n">
        <f aca="false">K8+K10+K24</f>
        <v>14162.9094391123</v>
      </c>
      <c r="L11" s="0" t="n">
        <f aca="false">L8+L10+L24</f>
        <v>14516.9821750901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-2561.295</v>
      </c>
      <c r="D12" s="4" t="n">
        <f aca="false">-D6*Assumptions!D17/100</f>
        <v>-2535.68205</v>
      </c>
      <c r="E12" s="4" t="n">
        <f aca="false">-E6*Assumptions!E17/100</f>
        <v>-2561.0388705</v>
      </c>
      <c r="F12" s="4" t="n">
        <f aca="false">-F6*Assumptions!F17/100</f>
        <v>-2612.25964791</v>
      </c>
      <c r="G12" s="4" t="n">
        <f aca="false">-G6*Assumptions!G17/100</f>
        <v>-2677.56613910775</v>
      </c>
      <c r="H12" s="4" t="n">
        <f aca="false">-H6*Assumptions!H17/100</f>
        <v>-2744.50529258544</v>
      </c>
      <c r="I12" s="4" t="n">
        <f aca="false">-I6*Assumptions!I17/100</f>
        <v>-2813.11792490008</v>
      </c>
      <c r="J12" s="4" t="n">
        <f aca="false">-J6*Assumptions!J17/100</f>
        <v>-2883.44587302258</v>
      </c>
      <c r="K12" s="4" t="n">
        <f aca="false">-K6*Assumptions!K17/100</f>
        <v>-2955.53201984815</v>
      </c>
      <c r="L12" s="4" t="n">
        <f aca="false">-L6*Assumptions!L17/100</f>
        <v>-3029.42032034435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10045.39899</v>
      </c>
      <c r="D13" s="0" t="n">
        <f aca="false">D11+D12</f>
        <v>9437.8085901</v>
      </c>
      <c r="E13" s="0" t="n">
        <f aca="false">E11+E12</f>
        <v>9583.407453411</v>
      </c>
      <c r="F13" s="0" t="n">
        <f aca="false">F11+F12</f>
        <v>9853.44339191652</v>
      </c>
      <c r="G13" s="0" t="n">
        <f aca="false">G11+G12</f>
        <v>10153.3307994966</v>
      </c>
      <c r="H13" s="0" t="n">
        <f aca="false">H11+H12</f>
        <v>10407.164069484</v>
      </c>
      <c r="I13" s="0" t="n">
        <f aca="false">I11+I12</f>
        <v>10667.3431712211</v>
      </c>
      <c r="J13" s="0" t="n">
        <f aca="false">J11+J12</f>
        <v>10934.0267505016</v>
      </c>
      <c r="K13" s="0" t="n">
        <f aca="false">K11+K12</f>
        <v>11207.3774192642</v>
      </c>
      <c r="L13" s="0" t="n">
        <f aca="false">L11+L12</f>
        <v>11487.5618547458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21</v>
      </c>
      <c r="G14" s="4" t="n">
        <f aca="false">Assumptions!G19</f>
        <v>21.5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8337.6811617</v>
      </c>
      <c r="D15" s="0" t="n">
        <f aca="false">D13-MAX(0,D13)*D14/100</f>
        <v>7644.624957981</v>
      </c>
      <c r="E15" s="0" t="n">
        <f aca="false">E13-MAX(0,E13)*E14/100</f>
        <v>7666.7259627288</v>
      </c>
      <c r="F15" s="0" t="n">
        <f aca="false">F13-MAX(0,F13)*F14/100</f>
        <v>7784.22027961405</v>
      </c>
      <c r="G15" s="0" t="n">
        <f aca="false">G13-MAX(0,G13)*G14/100</f>
        <v>7970.36467760482</v>
      </c>
      <c r="H15" s="0" t="n">
        <f aca="false">H13-MAX(0,H13)*H14/100</f>
        <v>8117.58797419752</v>
      </c>
      <c r="I15" s="0" t="n">
        <f aca="false">I13-MAX(0,I13)*I14/100</f>
        <v>8320.52767355246</v>
      </c>
      <c r="J15" s="0" t="n">
        <f aca="false">J13-MAX(0,J13)*J14/100</f>
        <v>8528.54086539127</v>
      </c>
      <c r="K15" s="0" t="n">
        <f aca="false">K13-MAX(0,K13)*K14/100</f>
        <v>8741.75438702605</v>
      </c>
      <c r="L15" s="0" t="n">
        <f aca="false">L13-MAX(0,L13)*L14/100</f>
        <v>8960.2982467017</v>
      </c>
    </row>
    <row r="16" customFormat="false" ht="15" hidden="false" customHeight="false" outlineLevel="0" collapsed="false">
      <c r="A16" s="0" t="s">
        <v>128</v>
      </c>
      <c r="C16" s="0" t="n">
        <f aca="false">-C12</f>
        <v>2561.295</v>
      </c>
      <c r="D16" s="0" t="n">
        <f aca="false">-D12</f>
        <v>2535.68205</v>
      </c>
      <c r="E16" s="0" t="n">
        <f aca="false">-E12</f>
        <v>2561.0388705</v>
      </c>
      <c r="F16" s="0" t="n">
        <f aca="false">-F12</f>
        <v>2612.25964791</v>
      </c>
      <c r="G16" s="0" t="n">
        <f aca="false">-G12</f>
        <v>2677.56613910775</v>
      </c>
      <c r="H16" s="0" t="n">
        <f aca="false">-H12</f>
        <v>2744.50529258544</v>
      </c>
      <c r="I16" s="0" t="n">
        <f aca="false">-I12</f>
        <v>2813.11792490008</v>
      </c>
      <c r="J16" s="0" t="n">
        <f aca="false">-J12</f>
        <v>2883.44587302258</v>
      </c>
      <c r="K16" s="0" t="n">
        <f aca="false">-K12</f>
        <v>2955.53201984815</v>
      </c>
      <c r="L16" s="0" t="n">
        <f aca="false">-L12</f>
        <v>3029.42032034435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-3841.9425</v>
      </c>
      <c r="D17" s="4" t="n">
        <f aca="false">-D6*Assumptions!D18/100</f>
        <v>-3803.523075</v>
      </c>
      <c r="E17" s="4" t="n">
        <f aca="false">-E6*Assumptions!E18/100</f>
        <v>-3841.55830575</v>
      </c>
      <c r="F17" s="4" t="n">
        <f aca="false">-F6*Assumptions!F18/100</f>
        <v>-3918.389471865</v>
      </c>
      <c r="G17" s="4" t="n">
        <f aca="false">-G6*Assumptions!G18/100</f>
        <v>-4016.34920866162</v>
      </c>
      <c r="H17" s="4" t="n">
        <f aca="false">-H6*Assumptions!H18/100</f>
        <v>-4116.75793887816</v>
      </c>
      <c r="I17" s="4" t="n">
        <f aca="false">-I6*Assumptions!I18/100</f>
        <v>-4219.67688735012</v>
      </c>
      <c r="J17" s="4" t="n">
        <f aca="false">-J6*Assumptions!J18/100</f>
        <v>-4325.16880953387</v>
      </c>
      <c r="K17" s="4" t="n">
        <f aca="false">-K6*Assumptions!K18/100</f>
        <v>-4433.29802977222</v>
      </c>
      <c r="L17" s="4" t="n">
        <f aca="false">-L6*Assumptions!L18/100</f>
        <v>-4544.13048051652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-33.0884999999999</v>
      </c>
      <c r="D18" s="4" t="n">
        <f aca="false">(D6-C6)*Assumptions!$B$23/100</f>
        <v>7.68388499999997</v>
      </c>
      <c r="E18" s="4" t="n">
        <f aca="false">(E6-D6)*Assumptions!$B$23/100</f>
        <v>-7.60704614999999</v>
      </c>
      <c r="F18" s="4" t="n">
        <f aca="false">(F6-E6)*Assumptions!$B$23/100</f>
        <v>-15.366233223</v>
      </c>
      <c r="G18" s="4" t="n">
        <f aca="false">(G6-F6)*Assumptions!$B$23/100</f>
        <v>-19.5919473593249</v>
      </c>
      <c r="H18" s="4" t="n">
        <f aca="false">(H6-G6)*Assumptions!$B$23/100</f>
        <v>-20.0817460433081</v>
      </c>
      <c r="I18" s="4" t="n">
        <f aca="false">(I6-H6)*Assumptions!$B$23/100</f>
        <v>-20.5837896943908</v>
      </c>
      <c r="J18" s="4" t="n">
        <f aca="false">(J6-I6)*Assumptions!$B$23/100</f>
        <v>-21.0983844367505</v>
      </c>
      <c r="K18" s="4" t="n">
        <f aca="false">(K6-J6)*Assumptions!$B$23/100</f>
        <v>-21.6258440476693</v>
      </c>
      <c r="L18" s="4" t="n">
        <f aca="false">(L6-K6)*Assumptions!$B$23/100</f>
        <v>-22.166490148861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7023.9451617</v>
      </c>
      <c r="D19" s="0" t="n">
        <f aca="false">D15+D16+D17+D18</f>
        <v>6384.467817981</v>
      </c>
      <c r="E19" s="0" t="n">
        <f aca="false">E15+E16+E17+E18</f>
        <v>6378.5994813288</v>
      </c>
      <c r="F19" s="0" t="n">
        <f aca="false">F15+F16+F17+F18</f>
        <v>6462.72422243605</v>
      </c>
      <c r="G19" s="0" t="n">
        <f aca="false">G15+G16+G17+G18</f>
        <v>6611.98966069162</v>
      </c>
      <c r="H19" s="0" t="n">
        <f aca="false">H15+H16+H17+H18</f>
        <v>6725.25358186149</v>
      </c>
      <c r="I19" s="0" t="n">
        <f aca="false">I15+I16+I17+I18</f>
        <v>6893.38492140803</v>
      </c>
      <c r="J19" s="0" t="n">
        <f aca="false">J15+J16+J17+J18</f>
        <v>7065.71954444323</v>
      </c>
      <c r="K19" s="0" t="n">
        <f aca="false">K15+K16+K17+K18</f>
        <v>7242.36253305431</v>
      </c>
      <c r="L19" s="0" t="n">
        <f aca="false">L15+L16+L17+L18</f>
        <v>7423.42159638066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6488.63294383372</v>
      </c>
      <c r="D21" s="0" t="n">
        <f aca="false">D19*D20</f>
        <v>5448.39884407597</v>
      </c>
      <c r="E21" s="0" t="n">
        <f aca="false">E19*E20</f>
        <v>5028.53663094709</v>
      </c>
      <c r="F21" s="0" t="n">
        <f aca="false">F19*F20</f>
        <v>4706.5643833728</v>
      </c>
      <c r="G21" s="0" t="n">
        <f aca="false">G19*G20</f>
        <v>4448.28536978422</v>
      </c>
      <c r="H21" s="0" t="n">
        <f aca="false">H19*H20</f>
        <v>4179.6626885022</v>
      </c>
      <c r="I21" s="0" t="n">
        <f aca="false">I19*I20</f>
        <v>3957.6482731776</v>
      </c>
      <c r="J21" s="0" t="n">
        <f aca="false">J19*J20</f>
        <v>3747.42677136909</v>
      </c>
      <c r="K21" s="0" t="n">
        <f aca="false">K19*K20</f>
        <v>3548.37176965665</v>
      </c>
      <c r="L21" s="0" t="n">
        <f aca="false">L19*L20</f>
        <v>3359.8901283123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44913.4178030316</v>
      </c>
    </row>
    <row r="31" customFormat="false" ht="15" hidden="false" customHeight="false" outlineLevel="0" collapsed="false">
      <c r="A31" s="0" t="s">
        <v>137</v>
      </c>
      <c r="B31" s="0" t="n">
        <f aca="false">L19</f>
        <v>7423.42159638066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132330.558892003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111351.32394571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111351.32394571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50398.3519246844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95311.7697277161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66598.7697277161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112.119140955751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-0.597099536597129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1039.47497411388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1417.63523250504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116.255690125143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60872.0570903214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33.9190470575827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24510</v>
      </c>
      <c r="C6" s="0" t="n">
        <f aca="false">B6*(1+C5/100)</f>
        <v>25980.6</v>
      </c>
      <c r="D6" s="0" t="n">
        <f aca="false">C6*(1+D5/100)</f>
        <v>27019.824</v>
      </c>
      <c r="E6" s="0" t="n">
        <f aca="false">D6*(1+E5/100)</f>
        <v>28100.61696</v>
      </c>
      <c r="F6" s="0" t="n">
        <f aca="false">E6*(1+F5/100)</f>
        <v>29084.1385536</v>
      </c>
      <c r="G6" s="0" t="n">
        <f aca="false">F6*(1+G5/100)</f>
        <v>30102.083402976</v>
      </c>
      <c r="H6" s="0" t="n">
        <f aca="false">G6*(1+H5/100)</f>
        <v>31155.6563220802</v>
      </c>
      <c r="I6" s="0" t="n">
        <f aca="false">H6*(1+I5/100)</f>
        <v>32090.3260117426</v>
      </c>
      <c r="J6" s="0" t="n">
        <f aca="false">I6*(1+J5/100)</f>
        <v>33053.0357920948</v>
      </c>
      <c r="K6" s="0" t="n">
        <f aca="false">J6*(1+K5/100)</f>
        <v>34044.6268658577</v>
      </c>
      <c r="L6" s="0" t="n">
        <f aca="false">K6*(1+L5/100)</f>
        <v>35065.9656718334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50.3</v>
      </c>
      <c r="D7" s="4" t="n">
        <f aca="false">Assumptions!D28</f>
        <v>50.7</v>
      </c>
      <c r="E7" s="4" t="n">
        <f aca="false">Assumptions!E28</f>
        <v>51</v>
      </c>
      <c r="F7" s="4" t="n">
        <f aca="false">Assumptions!F28</f>
        <v>51.3</v>
      </c>
      <c r="G7" s="4" t="n">
        <f aca="false">Assumptions!G28</f>
        <v>51.5</v>
      </c>
      <c r="H7" s="4" t="n">
        <f aca="false">Assumptions!H28</f>
        <v>51.7</v>
      </c>
      <c r="I7" s="4" t="n">
        <f aca="false">Assumptions!I28</f>
        <v>51.8</v>
      </c>
      <c r="J7" s="4" t="n">
        <f aca="false">Assumptions!J28</f>
        <v>51.8</v>
      </c>
      <c r="K7" s="4" t="n">
        <f aca="false">Assumptions!K28</f>
        <v>51.8</v>
      </c>
      <c r="L7" s="4" t="n">
        <f aca="false">Assumptions!L28</f>
        <v>51.8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13068.2418</v>
      </c>
      <c r="D8" s="0" t="n">
        <f aca="false">D6*D7/100</f>
        <v>13699.050768</v>
      </c>
      <c r="E8" s="0" t="n">
        <f aca="false">E6*E7/100</f>
        <v>14331.3146496</v>
      </c>
      <c r="F8" s="0" t="n">
        <f aca="false">F6*F7/100</f>
        <v>14920.1630779968</v>
      </c>
      <c r="G8" s="0" t="n">
        <f aca="false">G6*G7/100</f>
        <v>15502.5729525326</v>
      </c>
      <c r="H8" s="0" t="n">
        <f aca="false">H6*H7/100</f>
        <v>16107.4743185154</v>
      </c>
      <c r="I8" s="0" t="n">
        <f aca="false">I6*I7/100</f>
        <v>16622.7888740827</v>
      </c>
      <c r="J8" s="0" t="n">
        <f aca="false">J6*J7/100</f>
        <v>17121.4725403051</v>
      </c>
      <c r="K8" s="0" t="n">
        <f aca="false">K6*K7/100</f>
        <v>17635.1167165143</v>
      </c>
      <c r="L8" s="0" t="n">
        <f aca="false">L6*L7/100</f>
        <v>18164.1702180097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0.58</v>
      </c>
      <c r="D9" s="4" t="n">
        <f aca="false">Assumptions!D29</f>
        <v>0.58</v>
      </c>
      <c r="E9" s="4" t="n">
        <f aca="false">Assumptions!E29</f>
        <v>0.58</v>
      </c>
      <c r="F9" s="4" t="n">
        <f aca="false">Assumptions!F29</f>
        <v>0.58</v>
      </c>
      <c r="G9" s="4" t="n">
        <f aca="false">Assumptions!G29</f>
        <v>0.58</v>
      </c>
      <c r="H9" s="4" t="n">
        <f aca="false">Assumptions!H29</f>
        <v>0.58</v>
      </c>
      <c r="I9" s="4" t="n">
        <f aca="false">Assumptions!I29</f>
        <v>0.58</v>
      </c>
      <c r="J9" s="4" t="n">
        <f aca="false">Assumptions!J29</f>
        <v>0.58</v>
      </c>
      <c r="K9" s="4" t="n">
        <f aca="false">Assumptions!K29</f>
        <v>0.58</v>
      </c>
      <c r="L9" s="4" t="n">
        <f aca="false">Assumptions!L29</f>
        <v>0.58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-150.68748</v>
      </c>
      <c r="D10" s="0" t="n">
        <f aca="false">-D6*D9/100</f>
        <v>-156.7149792</v>
      </c>
      <c r="E10" s="0" t="n">
        <f aca="false">-E6*E9/100</f>
        <v>-162.983578368</v>
      </c>
      <c r="F10" s="0" t="n">
        <f aca="false">-F6*F9/100</f>
        <v>-168.68800361088</v>
      </c>
      <c r="G10" s="0" t="n">
        <f aca="false">-G6*G9/100</f>
        <v>-174.592083737261</v>
      </c>
      <c r="H10" s="0" t="n">
        <f aca="false">-H6*H9/100</f>
        <v>-180.702806668065</v>
      </c>
      <c r="I10" s="0" t="n">
        <f aca="false">-I6*I9/100</f>
        <v>-186.123890868107</v>
      </c>
      <c r="J10" s="0" t="n">
        <f aca="false">-J6*J9/100</f>
        <v>-191.70760759415</v>
      </c>
      <c r="K10" s="0" t="n">
        <f aca="false">-K6*K9/100</f>
        <v>-197.458835821975</v>
      </c>
      <c r="L10" s="0" t="n">
        <f aca="false">-L6*L9/100</f>
        <v>-203.382600896634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12917.55432</v>
      </c>
      <c r="D11" s="0" t="n">
        <f aca="false">D8+D10+D24</f>
        <v>13542.3357888</v>
      </c>
      <c r="E11" s="0" t="n">
        <f aca="false">E8+E10+E24</f>
        <v>14168.331071232</v>
      </c>
      <c r="F11" s="0" t="n">
        <f aca="false">F8+F10+F24</f>
        <v>14751.4750743859</v>
      </c>
      <c r="G11" s="0" t="n">
        <f aca="false">G8+G10+G24</f>
        <v>15327.9808687954</v>
      </c>
      <c r="H11" s="0" t="n">
        <f aca="false">H8+H10+H24</f>
        <v>15926.7715118474</v>
      </c>
      <c r="I11" s="0" t="n">
        <f aca="false">I8+I10+I24</f>
        <v>16436.6649832145</v>
      </c>
      <c r="J11" s="0" t="n">
        <f aca="false">J8+J10+J24</f>
        <v>16929.764932711</v>
      </c>
      <c r="K11" s="0" t="n">
        <f aca="false">K8+K10+K24</f>
        <v>17437.6578806923</v>
      </c>
      <c r="L11" s="0" t="n">
        <f aca="false">L8+L10+L24</f>
        <v>17960.7876171131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-2598.06</v>
      </c>
      <c r="D12" s="4" t="n">
        <f aca="false">-D6*Assumptions!D31/100</f>
        <v>-2701.9824</v>
      </c>
      <c r="E12" s="4" t="n">
        <f aca="false">-E6*Assumptions!E31/100</f>
        <v>-2810.061696</v>
      </c>
      <c r="F12" s="4" t="n">
        <f aca="false">-F6*Assumptions!F31/100</f>
        <v>-2908.41385536</v>
      </c>
      <c r="G12" s="4" t="n">
        <f aca="false">-G6*Assumptions!G31/100</f>
        <v>-3010.2083402976</v>
      </c>
      <c r="H12" s="4" t="n">
        <f aca="false">-H6*Assumptions!H31/100</f>
        <v>-3115.56563220802</v>
      </c>
      <c r="I12" s="4" t="n">
        <f aca="false">-I6*Assumptions!I31/100</f>
        <v>-3209.03260117426</v>
      </c>
      <c r="J12" s="4" t="n">
        <f aca="false">-J6*Assumptions!J31/100</f>
        <v>-3305.30357920948</v>
      </c>
      <c r="K12" s="4" t="n">
        <f aca="false">-K6*Assumptions!K31/100</f>
        <v>-3404.46268658577</v>
      </c>
      <c r="L12" s="4" t="n">
        <f aca="false">-L6*Assumptions!L31/100</f>
        <v>-3506.59656718334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10319.49432</v>
      </c>
      <c r="D13" s="0" t="n">
        <f aca="false">D11+D12</f>
        <v>10840.3533888</v>
      </c>
      <c r="E13" s="0" t="n">
        <f aca="false">E11+E12</f>
        <v>11358.269375232</v>
      </c>
      <c r="F13" s="0" t="n">
        <f aca="false">F11+F12</f>
        <v>11843.0612190259</v>
      </c>
      <c r="G13" s="0" t="n">
        <f aca="false">G11+G12</f>
        <v>12317.7725284978</v>
      </c>
      <c r="H13" s="0" t="n">
        <f aca="false">H11+H12</f>
        <v>12811.2058796394</v>
      </c>
      <c r="I13" s="0" t="n">
        <f aca="false">I11+I12</f>
        <v>13227.6323820403</v>
      </c>
      <c r="J13" s="0" t="n">
        <f aca="false">J11+J12</f>
        <v>13624.4613535015</v>
      </c>
      <c r="K13" s="0" t="n">
        <f aca="false">K11+K12</f>
        <v>14033.1951941065</v>
      </c>
      <c r="L13" s="0" t="n">
        <f aca="false">L11+L12</f>
        <v>14454.1910499297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21.5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8565.1802856</v>
      </c>
      <c r="D15" s="0" t="n">
        <f aca="false">D13-MAX(0,D13)*D14/100</f>
        <v>8780.686244928</v>
      </c>
      <c r="E15" s="0" t="n">
        <f aca="false">E13-MAX(0,E13)*E14/100</f>
        <v>9086.6155001856</v>
      </c>
      <c r="F15" s="0" t="n">
        <f aca="false">F13-MAX(0,F13)*F14/100</f>
        <v>9356.01836303048</v>
      </c>
      <c r="G15" s="0" t="n">
        <f aca="false">G13-MAX(0,G13)*G14/100</f>
        <v>9669.45143487076</v>
      </c>
      <c r="H15" s="0" t="n">
        <f aca="false">H13-MAX(0,H13)*H14/100</f>
        <v>9992.7405861187</v>
      </c>
      <c r="I15" s="0" t="n">
        <f aca="false">I13-MAX(0,I13)*I14/100</f>
        <v>10317.5532579914</v>
      </c>
      <c r="J15" s="0" t="n">
        <f aca="false">J13-MAX(0,J13)*J14/100</f>
        <v>10627.0798557312</v>
      </c>
      <c r="K15" s="0" t="n">
        <f aca="false">K13-MAX(0,K13)*K14/100</f>
        <v>10945.8922514031</v>
      </c>
      <c r="L15" s="0" t="n">
        <f aca="false">L13-MAX(0,L13)*L14/100</f>
        <v>11274.2690189452</v>
      </c>
    </row>
    <row r="16" customFormat="false" ht="15" hidden="false" customHeight="false" outlineLevel="0" collapsed="false">
      <c r="A16" s="0" t="s">
        <v>128</v>
      </c>
      <c r="C16" s="0" t="n">
        <f aca="false">-C12</f>
        <v>2598.06</v>
      </c>
      <c r="D16" s="0" t="n">
        <f aca="false">-D12</f>
        <v>2701.9824</v>
      </c>
      <c r="E16" s="0" t="n">
        <f aca="false">-E12</f>
        <v>2810.061696</v>
      </c>
      <c r="F16" s="0" t="n">
        <f aca="false">-F12</f>
        <v>2908.41385536</v>
      </c>
      <c r="G16" s="0" t="n">
        <f aca="false">-G12</f>
        <v>3010.2083402976</v>
      </c>
      <c r="H16" s="0" t="n">
        <f aca="false">-H12</f>
        <v>3115.56563220802</v>
      </c>
      <c r="I16" s="0" t="n">
        <f aca="false">-I12</f>
        <v>3209.03260117426</v>
      </c>
      <c r="J16" s="0" t="n">
        <f aca="false">-J12</f>
        <v>3305.30357920948</v>
      </c>
      <c r="K16" s="0" t="n">
        <f aca="false">-K12</f>
        <v>3404.46268658577</v>
      </c>
      <c r="L16" s="0" t="n">
        <f aca="false">-L12</f>
        <v>3506.59656718334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-3767.187</v>
      </c>
      <c r="D17" s="4" t="n">
        <f aca="false">-D6*Assumptions!D32/100</f>
        <v>-3917.87448</v>
      </c>
      <c r="E17" s="4" t="n">
        <f aca="false">-E6*Assumptions!E32/100</f>
        <v>-4074.5894592</v>
      </c>
      <c r="F17" s="4" t="n">
        <f aca="false">-F6*Assumptions!F32/100</f>
        <v>-4217.200090272</v>
      </c>
      <c r="G17" s="4" t="n">
        <f aca="false">-G6*Assumptions!G32/100</f>
        <v>-4364.80209343152</v>
      </c>
      <c r="H17" s="4" t="n">
        <f aca="false">-H6*Assumptions!H32/100</f>
        <v>-4517.57016670162</v>
      </c>
      <c r="I17" s="4" t="n">
        <f aca="false">-I6*Assumptions!I32/100</f>
        <v>-4653.09727170267</v>
      </c>
      <c r="J17" s="4" t="n">
        <f aca="false">-J6*Assumptions!J32/100</f>
        <v>-4792.69018985375</v>
      </c>
      <c r="K17" s="4" t="n">
        <f aca="false">-K6*Assumptions!K32/100</f>
        <v>-4936.47089554937</v>
      </c>
      <c r="L17" s="4" t="n">
        <f aca="false">-L6*Assumptions!L32/100</f>
        <v>-5084.56502241585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-44.1180000000001</v>
      </c>
      <c r="D18" s="4" t="n">
        <f aca="false">(D6-C6)*Assumptions!$B$37/100</f>
        <v>-31.1767200000001</v>
      </c>
      <c r="E18" s="4" t="n">
        <f aca="false">(E6-D6)*Assumptions!$B$37/100</f>
        <v>-32.4237888000001</v>
      </c>
      <c r="F18" s="4" t="n">
        <f aca="false">(F6-E6)*Assumptions!$B$37/100</f>
        <v>-29.505647808</v>
      </c>
      <c r="G18" s="4" t="n">
        <f aca="false">(G6-F6)*Assumptions!$B$37/100</f>
        <v>-30.53834548128</v>
      </c>
      <c r="H18" s="4" t="n">
        <f aca="false">(H6-G6)*Assumptions!$B$37/100</f>
        <v>-31.6071875731247</v>
      </c>
      <c r="I18" s="4" t="n">
        <f aca="false">(I6-H6)*Assumptions!$B$37/100</f>
        <v>-28.0400906898722</v>
      </c>
      <c r="J18" s="4" t="n">
        <f aca="false">(J6-I6)*Assumptions!$B$37/100</f>
        <v>-28.8812934105683</v>
      </c>
      <c r="K18" s="4" t="n">
        <f aca="false">(K6-J6)*Assumptions!$B$37/100</f>
        <v>-29.7477322128853</v>
      </c>
      <c r="L18" s="4" t="n">
        <f aca="false">(L6-K6)*Assumptions!$B$37/100</f>
        <v>-30.640164179272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7351.9352856</v>
      </c>
      <c r="D19" s="0" t="n">
        <f aca="false">D15+D16+D17+D18</f>
        <v>7533.617444928</v>
      </c>
      <c r="E19" s="0" t="n">
        <f aca="false">E15+E16+E17+E18</f>
        <v>7789.6639481856</v>
      </c>
      <c r="F19" s="0" t="n">
        <f aca="false">F15+F16+F17+F18</f>
        <v>8017.72648031048</v>
      </c>
      <c r="G19" s="0" t="n">
        <f aca="false">G15+G16+G17+G18</f>
        <v>8284.31933625556</v>
      </c>
      <c r="H19" s="0" t="n">
        <f aca="false">H15+H16+H17+H18</f>
        <v>8559.12886405197</v>
      </c>
      <c r="I19" s="0" t="n">
        <f aca="false">I15+I16+I17+I18</f>
        <v>8845.44849677313</v>
      </c>
      <c r="J19" s="0" t="n">
        <f aca="false">J15+J16+J17+J18</f>
        <v>9110.81195167633</v>
      </c>
      <c r="K19" s="0" t="n">
        <f aca="false">K15+K16+K17+K18</f>
        <v>9384.13631022662</v>
      </c>
      <c r="L19" s="0" t="n">
        <f aca="false">L15+L16+L17+L18</f>
        <v>9665.66039953342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6791.62612988452</v>
      </c>
      <c r="D21" s="0" t="n">
        <f aca="false">D19*D20</f>
        <v>6429.06405809664</v>
      </c>
      <c r="E21" s="0" t="n">
        <f aca="false">E19*E20</f>
        <v>6140.94216463629</v>
      </c>
      <c r="F21" s="0" t="n">
        <f aca="false">F19*F20</f>
        <v>5839.01534229943</v>
      </c>
      <c r="G21" s="0" t="n">
        <f aca="false">G19*G20</f>
        <v>5573.3626931037</v>
      </c>
      <c r="H21" s="0" t="n">
        <f aca="false">H19*H20</f>
        <v>5319.39370370303</v>
      </c>
      <c r="I21" s="0" t="n">
        <f aca="false">I19*I20</f>
        <v>5078.37214486858</v>
      </c>
      <c r="J21" s="0" t="n">
        <f aca="false">J19*J20</f>
        <v>4832.07696001352</v>
      </c>
      <c r="K21" s="0" t="n">
        <f aca="false">K19*K20</f>
        <v>4597.72680721841</v>
      </c>
      <c r="L21" s="0" t="n">
        <f aca="false">L19*L20</f>
        <v>4374.74236622167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54976.3223700458</v>
      </c>
    </row>
    <row r="31" customFormat="false" ht="15" hidden="false" customHeight="false" outlineLevel="0" collapsed="false">
      <c r="A31" s="0" t="s">
        <v>137</v>
      </c>
      <c r="B31" s="0" t="n">
        <f aca="false">L19</f>
        <v>9665.66039953342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189631.051647989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173981.887191601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173981.887191601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78745.3625919901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133721.684962036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105008.684962036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176.782297915885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-0.364732291519745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1151.37097933508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1805.97888318889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181.761001388148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82963.5850959952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55.1672672799296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24510</v>
      </c>
      <c r="C6" s="0" t="n">
        <f aca="false">B6*(1+C5/100)</f>
        <v>26225.7</v>
      </c>
      <c r="D6" s="0" t="n">
        <f aca="false">C6*(1+D5/100)</f>
        <v>27668.1135</v>
      </c>
      <c r="E6" s="0" t="n">
        <f aca="false">D6*(1+E5/100)</f>
        <v>29189.8597425</v>
      </c>
      <c r="F6" s="0" t="n">
        <f aca="false">E6*(1+F5/100)</f>
        <v>30649.352729625</v>
      </c>
      <c r="G6" s="0" t="n">
        <f aca="false">F6*(1+G5/100)</f>
        <v>32181.8203661063</v>
      </c>
      <c r="H6" s="0" t="n">
        <f aca="false">G6*(1+H5/100)</f>
        <v>33630.002282581</v>
      </c>
      <c r="I6" s="0" t="n">
        <f aca="false">H6*(1+I5/100)</f>
        <v>34975.2023738843</v>
      </c>
      <c r="J6" s="0" t="n">
        <f aca="false">I6*(1+J5/100)</f>
        <v>36199.3344569702</v>
      </c>
      <c r="K6" s="0" t="n">
        <f aca="false">J6*(1+K5/100)</f>
        <v>37466.3111629642</v>
      </c>
      <c r="L6" s="0" t="n">
        <f aca="false">K6*(1+L5/100)</f>
        <v>38777.6320536679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50.6</v>
      </c>
      <c r="D7" s="4" t="n">
        <f aca="false">Assumptions!D42</f>
        <v>51.5</v>
      </c>
      <c r="E7" s="4" t="n">
        <f aca="false">Assumptions!E42</f>
        <v>52.3</v>
      </c>
      <c r="F7" s="4" t="n">
        <f aca="false">Assumptions!F42</f>
        <v>53</v>
      </c>
      <c r="G7" s="4" t="n">
        <f aca="false">Assumptions!G42</f>
        <v>53.6</v>
      </c>
      <c r="H7" s="4" t="n">
        <f aca="false">Assumptions!H42</f>
        <v>54</v>
      </c>
      <c r="I7" s="4" t="n">
        <f aca="false">Assumptions!I42</f>
        <v>54.3</v>
      </c>
      <c r="J7" s="4" t="n">
        <f aca="false">Assumptions!J42</f>
        <v>54.5</v>
      </c>
      <c r="K7" s="4" t="n">
        <f aca="false">Assumptions!K42</f>
        <v>54.5</v>
      </c>
      <c r="L7" s="4" t="n">
        <f aca="false">Assumptions!L42</f>
        <v>54.5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13270.2042</v>
      </c>
      <c r="D8" s="0" t="n">
        <f aca="false">D6*D7/100</f>
        <v>14249.0784525</v>
      </c>
      <c r="E8" s="0" t="n">
        <f aca="false">E6*E7/100</f>
        <v>15266.2966453275</v>
      </c>
      <c r="F8" s="0" t="n">
        <f aca="false">F6*F7/100</f>
        <v>16244.1569467012</v>
      </c>
      <c r="G8" s="0" t="n">
        <f aca="false">G6*G7/100</f>
        <v>17249.455716233</v>
      </c>
      <c r="H8" s="0" t="n">
        <f aca="false">H6*H7/100</f>
        <v>18160.2012325938</v>
      </c>
      <c r="I8" s="0" t="n">
        <f aca="false">I6*I7/100</f>
        <v>18991.5348890192</v>
      </c>
      <c r="J8" s="0" t="n">
        <f aca="false">J6*J7/100</f>
        <v>19728.6372790488</v>
      </c>
      <c r="K8" s="0" t="n">
        <f aca="false">K6*K7/100</f>
        <v>20419.1395838155</v>
      </c>
      <c r="L8" s="0" t="n">
        <f aca="false">L6*L7/100</f>
        <v>21133.809469249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0.58</v>
      </c>
      <c r="D9" s="4" t="n">
        <f aca="false">Assumptions!D43</f>
        <v>0.58</v>
      </c>
      <c r="E9" s="4" t="n">
        <f aca="false">Assumptions!E43</f>
        <v>0.58</v>
      </c>
      <c r="F9" s="4" t="n">
        <f aca="false">Assumptions!F43</f>
        <v>0.58</v>
      </c>
      <c r="G9" s="4" t="n">
        <f aca="false">Assumptions!G43</f>
        <v>0.58</v>
      </c>
      <c r="H9" s="4" t="n">
        <f aca="false">Assumptions!H43</f>
        <v>0.58</v>
      </c>
      <c r="I9" s="4" t="n">
        <f aca="false">Assumptions!I43</f>
        <v>0.58</v>
      </c>
      <c r="J9" s="4" t="n">
        <f aca="false">Assumptions!J43</f>
        <v>0.58</v>
      </c>
      <c r="K9" s="4" t="n">
        <f aca="false">Assumptions!K43</f>
        <v>0.58</v>
      </c>
      <c r="L9" s="4" t="n">
        <f aca="false">Assumptions!L43</f>
        <v>0.58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-152.10906</v>
      </c>
      <c r="D10" s="0" t="n">
        <f aca="false">-D6*D9/100</f>
        <v>-160.4750583</v>
      </c>
      <c r="E10" s="0" t="n">
        <f aca="false">-E6*E9/100</f>
        <v>-169.3011865065</v>
      </c>
      <c r="F10" s="0" t="n">
        <f aca="false">-F6*F9/100</f>
        <v>-177.766245831825</v>
      </c>
      <c r="G10" s="0" t="n">
        <f aca="false">-G6*G9/100</f>
        <v>-186.654558123416</v>
      </c>
      <c r="H10" s="0" t="n">
        <f aca="false">-H6*H9/100</f>
        <v>-195.05401323897</v>
      </c>
      <c r="I10" s="0" t="n">
        <f aca="false">-I6*I9/100</f>
        <v>-202.856173768529</v>
      </c>
      <c r="J10" s="0" t="n">
        <f aca="false">-J6*J9/100</f>
        <v>-209.956139850427</v>
      </c>
      <c r="K10" s="0" t="n">
        <f aca="false">-K6*K9/100</f>
        <v>-217.304604745192</v>
      </c>
      <c r="L10" s="0" t="n">
        <f aca="false">-L6*L9/100</f>
        <v>-224.910265911274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13118.09514</v>
      </c>
      <c r="D11" s="0" t="n">
        <f aca="false">D8+D10+D24</f>
        <v>14088.6033942</v>
      </c>
      <c r="E11" s="0" t="n">
        <f aca="false">E8+E10+E24</f>
        <v>15096.995458821</v>
      </c>
      <c r="F11" s="0" t="n">
        <f aca="false">F8+F10+F24</f>
        <v>16066.3907008694</v>
      </c>
      <c r="G11" s="0" t="n">
        <f aca="false">G8+G10+G24</f>
        <v>17062.8011581095</v>
      </c>
      <c r="H11" s="0" t="n">
        <f aca="false">H8+H10+H24</f>
        <v>17965.1472193548</v>
      </c>
      <c r="I11" s="0" t="n">
        <f aca="false">I8+I10+I24</f>
        <v>18788.6787152506</v>
      </c>
      <c r="J11" s="0" t="n">
        <f aca="false">J8+J10+J24</f>
        <v>19518.6811391983</v>
      </c>
      <c r="K11" s="0" t="n">
        <f aca="false">K8+K10+K24</f>
        <v>20201.8349790703</v>
      </c>
      <c r="L11" s="0" t="n">
        <f aca="false">L8+L10+L24</f>
        <v>20908.8992033377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-2622.57</v>
      </c>
      <c r="D12" s="4" t="n">
        <f aca="false">-D6*Assumptions!D45/100</f>
        <v>-2766.81135</v>
      </c>
      <c r="E12" s="4" t="n">
        <f aca="false">-E6*Assumptions!E45/100</f>
        <v>-2918.98597425</v>
      </c>
      <c r="F12" s="4" t="n">
        <f aca="false">-F6*Assumptions!F45/100</f>
        <v>-3064.9352729625</v>
      </c>
      <c r="G12" s="4" t="n">
        <f aca="false">-G6*Assumptions!G45/100</f>
        <v>-3218.18203661063</v>
      </c>
      <c r="H12" s="4" t="n">
        <f aca="false">-H6*Assumptions!H45/100</f>
        <v>-3363.0002282581</v>
      </c>
      <c r="I12" s="4" t="n">
        <f aca="false">-I6*Assumptions!I45/100</f>
        <v>-3497.52023738843</v>
      </c>
      <c r="J12" s="4" t="n">
        <f aca="false">-J6*Assumptions!J45/100</f>
        <v>-3619.93344569702</v>
      </c>
      <c r="K12" s="4" t="n">
        <f aca="false">-K6*Assumptions!K45/100</f>
        <v>-3746.63111629642</v>
      </c>
      <c r="L12" s="4" t="n">
        <f aca="false">-L6*Assumptions!L45/100</f>
        <v>-3877.76320536679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10495.52514</v>
      </c>
      <c r="D13" s="0" t="n">
        <f aca="false">D11+D12</f>
        <v>11321.7920442</v>
      </c>
      <c r="E13" s="0" t="n">
        <f aca="false">E11+E12</f>
        <v>12178.009484571</v>
      </c>
      <c r="F13" s="0" t="n">
        <f aca="false">F11+F12</f>
        <v>13001.4554279069</v>
      </c>
      <c r="G13" s="0" t="n">
        <f aca="false">G11+G12</f>
        <v>13844.6191214989</v>
      </c>
      <c r="H13" s="0" t="n">
        <f aca="false">H11+H12</f>
        <v>14602.1469910967</v>
      </c>
      <c r="I13" s="0" t="n">
        <f aca="false">I11+I12</f>
        <v>15291.1584778622</v>
      </c>
      <c r="J13" s="0" t="n">
        <f aca="false">J11+J12</f>
        <v>15898.7476935013</v>
      </c>
      <c r="K13" s="0" t="n">
        <f aca="false">K11+K12</f>
        <v>16455.2038627739</v>
      </c>
      <c r="L13" s="0" t="n">
        <f aca="false">L11+L12</f>
        <v>17031.135997971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21.5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8711.2858662</v>
      </c>
      <c r="D15" s="0" t="n">
        <f aca="false">D13-MAX(0,D13)*D14/100</f>
        <v>9170.651555802</v>
      </c>
      <c r="E15" s="0" t="n">
        <f aca="false">E13-MAX(0,E13)*E14/100</f>
        <v>9742.4075876568</v>
      </c>
      <c r="F15" s="0" t="n">
        <f aca="false">F13-MAX(0,F13)*F14/100</f>
        <v>10271.1497880465</v>
      </c>
      <c r="G15" s="0" t="n">
        <f aca="false">G13-MAX(0,G13)*G14/100</f>
        <v>10868.0260103766</v>
      </c>
      <c r="H15" s="0" t="n">
        <f aca="false">H13-MAX(0,H13)*H14/100</f>
        <v>11389.6746530554</v>
      </c>
      <c r="I15" s="0" t="n">
        <f aca="false">I13-MAX(0,I13)*I14/100</f>
        <v>11927.1036127325</v>
      </c>
      <c r="J15" s="0" t="n">
        <f aca="false">J13-MAX(0,J13)*J14/100</f>
        <v>12401.023200931</v>
      </c>
      <c r="K15" s="0" t="n">
        <f aca="false">K13-MAX(0,K13)*K14/100</f>
        <v>12835.0590129636</v>
      </c>
      <c r="L15" s="0" t="n">
        <f aca="false">L13-MAX(0,L13)*L14/100</f>
        <v>13284.2860784173</v>
      </c>
    </row>
    <row r="16" customFormat="false" ht="15" hidden="false" customHeight="false" outlineLevel="0" collapsed="false">
      <c r="A16" s="0" t="s">
        <v>128</v>
      </c>
      <c r="C16" s="0" t="n">
        <f aca="false">-C12</f>
        <v>2622.57</v>
      </c>
      <c r="D16" s="0" t="n">
        <f aca="false">-D12</f>
        <v>2766.81135</v>
      </c>
      <c r="E16" s="0" t="n">
        <f aca="false">-E12</f>
        <v>2918.98597425</v>
      </c>
      <c r="F16" s="0" t="n">
        <f aca="false">-F12</f>
        <v>3064.9352729625</v>
      </c>
      <c r="G16" s="0" t="n">
        <f aca="false">-G12</f>
        <v>3218.18203661063</v>
      </c>
      <c r="H16" s="0" t="n">
        <f aca="false">-H12</f>
        <v>3363.0002282581</v>
      </c>
      <c r="I16" s="0" t="n">
        <f aca="false">-I12</f>
        <v>3497.52023738843</v>
      </c>
      <c r="J16" s="0" t="n">
        <f aca="false">-J12</f>
        <v>3619.93344569702</v>
      </c>
      <c r="K16" s="0" t="n">
        <f aca="false">-K12</f>
        <v>3746.63111629642</v>
      </c>
      <c r="L16" s="0" t="n">
        <f aca="false">-L12</f>
        <v>3877.76320536679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-3671.598</v>
      </c>
      <c r="D17" s="4" t="n">
        <f aca="false">-D6*Assumptions!D46/100</f>
        <v>-3873.53589</v>
      </c>
      <c r="E17" s="4" t="n">
        <f aca="false">-E6*Assumptions!E46/100</f>
        <v>-4086.58036395</v>
      </c>
      <c r="F17" s="4" t="n">
        <f aca="false">-F6*Assumptions!F46/100</f>
        <v>-4290.9093821475</v>
      </c>
      <c r="G17" s="4" t="n">
        <f aca="false">-G6*Assumptions!G46/100</f>
        <v>-4505.45485125488</v>
      </c>
      <c r="H17" s="4" t="n">
        <f aca="false">-H6*Assumptions!H46/100</f>
        <v>-4708.20031956134</v>
      </c>
      <c r="I17" s="4" t="n">
        <f aca="false">-I6*Assumptions!I46/100</f>
        <v>-4896.5283323438</v>
      </c>
      <c r="J17" s="4" t="n">
        <f aca="false">-J6*Assumptions!J46/100</f>
        <v>-5067.90682397583</v>
      </c>
      <c r="K17" s="4" t="n">
        <f aca="false">-K6*Assumptions!K46/100</f>
        <v>-5245.28356281498</v>
      </c>
      <c r="L17" s="4" t="n">
        <f aca="false">-L6*Assumptions!L46/100</f>
        <v>-5428.86848751351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-51.471</v>
      </c>
      <c r="D18" s="4" t="n">
        <f aca="false">(D6-C6)*Assumptions!$B$51/100</f>
        <v>-43.272405</v>
      </c>
      <c r="E18" s="4" t="n">
        <f aca="false">(E6-D6)*Assumptions!$B$51/100</f>
        <v>-45.6523872749999</v>
      </c>
      <c r="F18" s="4" t="n">
        <f aca="false">(F6-E6)*Assumptions!$B$51/100</f>
        <v>-43.7847896137501</v>
      </c>
      <c r="G18" s="4" t="n">
        <f aca="false">(G6-F6)*Assumptions!$B$51/100</f>
        <v>-45.9740290944375</v>
      </c>
      <c r="H18" s="4" t="n">
        <f aca="false">(H6-G6)*Assumptions!$B$51/100</f>
        <v>-43.4454574942434</v>
      </c>
      <c r="I18" s="4" t="n">
        <f aca="false">(I6-H6)*Assumptions!$B$51/100</f>
        <v>-40.3560027390972</v>
      </c>
      <c r="J18" s="4" t="n">
        <f aca="false">(J6-I6)*Assumptions!$B$51/100</f>
        <v>-36.7239624925784</v>
      </c>
      <c r="K18" s="4" t="n">
        <f aca="false">(K6-J6)*Assumptions!$B$51/100</f>
        <v>-38.0093011798187</v>
      </c>
      <c r="L18" s="4" t="n">
        <f aca="false">(L6-K6)*Assumptions!$B$51/100</f>
        <v>-39.3396267211122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7610.7868662</v>
      </c>
      <c r="D19" s="0" t="n">
        <f aca="false">D15+D16+D17+D18</f>
        <v>8020.654610802</v>
      </c>
      <c r="E19" s="0" t="n">
        <f aca="false">E15+E16+E17+E18</f>
        <v>8529.1608106818</v>
      </c>
      <c r="F19" s="0" t="n">
        <f aca="false">F15+F16+F17+F18</f>
        <v>9001.39088924772</v>
      </c>
      <c r="G19" s="0" t="n">
        <f aca="false">G15+G16+G17+G18</f>
        <v>9534.77916663796</v>
      </c>
      <c r="H19" s="0" t="n">
        <f aca="false">H15+H16+H17+H18</f>
        <v>10001.0291042579</v>
      </c>
      <c r="I19" s="0" t="n">
        <f aca="false">I15+I16+I17+I18</f>
        <v>10487.739515038</v>
      </c>
      <c r="J19" s="0" t="n">
        <f aca="false">J15+J16+J17+J18</f>
        <v>10916.3258601596</v>
      </c>
      <c r="K19" s="0" t="n">
        <f aca="false">K15+K16+K17+K18</f>
        <v>11298.3972652652</v>
      </c>
      <c r="L19" s="0" t="n">
        <f aca="false">L15+L16+L17+L18</f>
        <v>11693.8411695495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7030.74999187067</v>
      </c>
      <c r="D21" s="0" t="n">
        <f aca="false">D19*D20</f>
        <v>6844.69348990245</v>
      </c>
      <c r="E21" s="0" t="n">
        <f aca="false">E19*E20</f>
        <v>6723.92077497504</v>
      </c>
      <c r="F21" s="0" t="n">
        <f aca="false">F19*F20</f>
        <v>6555.38195689565</v>
      </c>
      <c r="G21" s="0" t="n">
        <f aca="false">G19*G20</f>
        <v>6414.62265484585</v>
      </c>
      <c r="H21" s="0" t="n">
        <f aca="false">H19*H20</f>
        <v>6215.51703365233</v>
      </c>
      <c r="I21" s="0" t="n">
        <f aca="false">I19*I20</f>
        <v>6021.24858171256</v>
      </c>
      <c r="J21" s="0" t="n">
        <f aca="false">J19*J20</f>
        <v>5789.66254123726</v>
      </c>
      <c r="K21" s="0" t="n">
        <f aca="false">K19*K20</f>
        <v>5535.61268376958</v>
      </c>
      <c r="L21" s="0" t="n">
        <f aca="false">L19*L20</f>
        <v>5292.71051057876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62424.1202194401</v>
      </c>
    </row>
    <row r="31" customFormat="false" ht="15" hidden="false" customHeight="false" outlineLevel="0" collapsed="false">
      <c r="A31" s="0" t="s">
        <v>137</v>
      </c>
      <c r="B31" s="0" t="n">
        <f aca="false">L19</f>
        <v>11693.8411695495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229422.026754971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210489.141051891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210489.141051891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95268.7891904177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157692.909409858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128979.909409858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217.13789462939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-0.219714335815041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1223.27080744428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1997.13834446731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222.559458858198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100372.1367053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71.0651037285041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112.119140955751</v>
      </c>
      <c r="C4" s="0" t="n">
        <f aca="false">B4/Assumptions!$B$2-1</f>
        <v>-0.597099536597129</v>
      </c>
      <c r="D4" s="4" t="n">
        <f aca="false">Assumptions!$B$24</f>
        <v>0.2</v>
      </c>
      <c r="E4" s="4" t="n">
        <f aca="false">DCF_Bear!$B$43</f>
        <v>116.255690125143</v>
      </c>
      <c r="F4" s="4" t="n">
        <f aca="false">DCF_Bear!$B$47</f>
        <v>33.9190470575827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176.782297915885</v>
      </c>
      <c r="C5" s="0" t="n">
        <f aca="false">B5/Assumptions!$B$2-1</f>
        <v>-0.364732291519745</v>
      </c>
      <c r="D5" s="4" t="n">
        <f aca="false">Assumptions!$B$38</f>
        <v>0.55</v>
      </c>
      <c r="E5" s="4" t="n">
        <f aca="false">DCF_Base!$B$43</f>
        <v>181.761001388148</v>
      </c>
      <c r="F5" s="4" t="n">
        <f aca="false">DCF_Base!$B$47</f>
        <v>55.1672672799296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217.13789462939</v>
      </c>
      <c r="C6" s="0" t="n">
        <f aca="false">B6/Assumptions!$B$2-1</f>
        <v>-0.219714335815041</v>
      </c>
      <c r="D6" s="4" t="n">
        <f aca="false">Assumptions!$B$52</f>
        <v>0.25</v>
      </c>
      <c r="E6" s="4" t="n">
        <f aca="false">DCF_Bull!$B$43</f>
        <v>222.559458858198</v>
      </c>
      <c r="F6" s="4" t="n">
        <f aca="false">DCF_Bull!$B$47</f>
        <v>71.0651037285041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173.938565702235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178.859553503059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-0.599875213852156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2120.33515466709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54.8920823476038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176.782297915885</v>
      </c>
      <c r="C15" s="3" t="n">
        <v>8.25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159.023175258849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129.342858293965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107.08535830608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89.7762499313822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55.1672672799296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213.34489651307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213.34489651307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213.34489651307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213.34489651307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213.34489651307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194.19757019266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194.19757019266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194.19757019266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194.19757019266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194.19757019266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164.409289203339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175.501448152682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176.782297915885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176.782297915885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176.782297915885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134.515365047798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142.013967014358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150.712345295567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160.923485016987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160.923485016987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111.898228754883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117.185749171089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123.202582748151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130.110799077371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138.124330019265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2026-10-02T21:14:05Z</dcterms:created>
  <dc:creator>openpyxl</dc:creator>
  <dc:description/>
  <dc:language>en-NZ</dc:language>
  <cp:lastModifiedBy/>
  <dcterms:modified xsi:type="dcterms:W3CDTF">2026-10-02T21:14:05Z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