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<sst xmlns="http://schemas.openxmlformats.org/spreadsheetml/2006/main" count="360" uniqueCount="166">
  <si>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</si>
  <si>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SGM.AX</t>
  </si>
  <si>
    <t xml:space="preserve">Company</t>
  </si>
  <si>
    <t xml:space="preserve">Sims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</si>
  <si>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</si>
  <si>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</si>
  <si>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</si>
  <si>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</si>
  <si>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2026-09-25T04:50:27Z regular session</t>
  </si>
  <si>
    <t xml:space="preserve">Balance sheet date</t>
  </si>
  <si>
    <t xml:space="preserve">2025-12-31 (H1 FY2026, latest verified filing; FY2026 30-June-2026 balance sheet not yet extracted from an annual filing -- only qualitative P&amp;L figures for FY2026 are available in the Analysis JSON)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</si>
  <si>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</si>
  <si>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</si>
  <si>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</si>
  <si>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</si>
  <si>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</si>
  <si>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</si>
  <si>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</si>
  <si>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</si>
  <si>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</si>
  <si>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</si>
  <si>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2026-09-25T05:13:40Z</t>
  </si>
  <si>
    <t xml:space="preserve">Drivers file</t>
  </si>
  <si>
    <t xml:space="preserve">SGM.AX_Drivers.json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</si>
  <si>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</si>
  <si>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</si>
  <si>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</si>
  <si>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Sims is valued on a mid-cycle, component-built owner-FCF DCF: FY0 revenue is anchored to the actual FY2026 outcome (A$8,007.5m, confirmed qualitatively via the 19-Sep-2026 results release since the annual filing is not yet extracted), but the EBITDA margin used to build forward cash flows is a normalized mid-cycle level (6.2% ramping to 6.8%), not the FY2026 underlying margin of ~9.1% that was substantially inflated by an acknowledged-transient DDR4 memory pricing spike, nor the FY2025 trough of 4.3%. This follows the house cyclical-adaptation rule: never extrapolate a peak or trough year as if it were the steady state. Leases are treated as debt (treatment A): lease principal is not deducted from flows, and lease liabilities (A$312.2m) are added to net debt (A$306.8m ex-lease) once in the equity bridge, matching the company's own net-debt and 'total capital' definitions. SA Recycling's equity-accounted JV profit is not separately adjusted because the FCF base is built from OCF (which already reflects actual cash SAR dividends, not accrual profit share) -- a simplification flagged rather than silently assumed. A 10-year horizon is used because the base-case margin is still ramping toward its mature level in year 5.
key_risks_to_valuation: FY2026 annual report is not yet published/extracted -- the exact FY2026 year-end balance sheet (net debt, lease liabilities, diluted share count) is not independently verified; this DCF uses the latest verified filing (H1 FY2026, 31-Dec-2025) as the balance-sheet anchor and should be refreshed once the FY2026 annual is available; SLS/DDR4 earnings quality: FY2026's outperformance rests substantially on a &gt;1000% YoY DDR4 price spike management itself guides to soften materially in H1 FY27 -- if the base case's mid-cycle margin assumption (6.2-6.8%) still proves too optimistic relative to a sharper unwind, bear-case risk is understated; Chinese steel export oversupply is an unresolved, open-ended structural headwind for ANZ and export-exposed NAM/SAR volumes with no management-guided resolution timeline; Only 50% economic ownership of SA Recycling limits consolidated capital-allocation control over roughly half the North American metals earnings base, and the equity-accounted-profit-vs-cash-dividend gap is a modelling simplification rather than a fully itemized adjustment; GPU repurposing, the next SLS growth leg beyond DDR4 memory, is unproven and early-stage with certification complexity management itself describes as an order of magnitude harder than memory -- bull case assumes early success that is not yet demonstrated</t>
  </si>
  <si>
    <t xml:space="preserve">Data sources</t>
  </si>
  <si>
    <t xml:space="preserve">price: Yahoo Finance chart API at inputs.price_as_of; 52-week range 13.07-31.81
financials: SGM.AX_Metrics.csv (FY2016-FY2025 annual, H1 FY2016-H1 FY2026 half-year, core_metrics-derived); H1 FY2026 and FY2025 annual filing extracts for balance-sheet and cash-flow detail (net debt, lease liabilities, diluted shares, SBC, SAR dividends)
qualitative: SGM.AX_Analysis.json, including the 19-Sep-2026 FY2026 full-year results release (revenue, underlying EBIT/NPAT, H1 FY27 SLS guidance) not yet reflected in the Metrics CSV</t>
  </si>
  <si>
    <t xml:space="preserve">Scenario narrative: bear</t>
  </si>
  <si>
    <t xml:space="preserve">The FY27 SLS guidance cut is the start of a full DDR4 unwind, Chinese export oversupply persists or worsens, and GPU repurposing stalls. EBITDA margin stays near the FY2025 trough, 4.3-5.0%.</t>
  </si>
  <si>
    <t xml:space="preserve">Scenario narrative: base</t>
  </si>
  <si>
    <t xml:space="preserve">Metal segment margins normalize mid-cycle as Chinese export oversupply gradually eases; SLS settles into a larger but calmer growth phase once the DDR4 spike fades per management's own guidance; SAR JV bolt-on M&amp;A continues. EBITDA margin ramps 6.2% -&gt; 6.8%.</t>
  </si>
  <si>
    <t xml:space="preserve">Scenario narrative: bull</t>
  </si>
  <si>
    <t xml:space="preserve">Non-ferrous/AI electrification tailwind persists, tariffs hold NAM/SAR margins up, ANZ recovers faster on new EAF capacity, and SLS avoids the feared FY27 air-pocket while GPU repurposing succeeds early. EBITDA margin ramps to 8.7%.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</si>
  <si>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</si>
  <si>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</si>
  <si>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</si>
  <si>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</si>
  <si>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</si>
  <si>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</si>
  <si>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</si>
  <si>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</si>
  <si>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</si>
  <si>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</si>
  <si>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</si>
  <si>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</si>
  <si>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</si>
  <si>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</si>
  <si>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</si>
  <si>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</si>
  <si>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</si>
  <si>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</si>
  <si>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</si>
  <si>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</si>
  <si>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</si>
  <si>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</si>
  <si>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</si>
  <si>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</si>
  <si>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</si>
  <si>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</si>
  <si>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</si>
  <si>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</si>
  <si>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</si>
  <si>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</si>
  <si>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</si>
  <si>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</si>
  <si>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</si>
  <si>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</si>
  <si>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</si>
  <si>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</si>
  <si>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</si>
  <si>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</si>
  <si>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</si>
  <si>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</si>
  <si>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</si>
  <si>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</si>
  <si>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</si>
  <si>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</si>
  <si>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</si>
  <si>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</si>
  <si>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</si>
  <si>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</si>
  <si>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</si>
  <si>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</si>
  <si>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</si>
  <si>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</si>
  <si>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</si>
  <si>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</si>
  <si>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</si>
  <si>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</si>
  <si>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</si>
  <si>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</si>
  <si>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</si>
  <si>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</si>
  <si>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</si>
  <si>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</si>
  <si>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</si>
  <si>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</si>
  <si>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</si>
  <si>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</si>
  <si>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</si>
  <si>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</si>
  <si>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</si>
  <si>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</si>
  <si>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</si>
  <si>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</si>
  <si>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</si>
  <si>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</si>
  <si>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</si>
  <si>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SGM.AX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</si>
  <si>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</si>
  <si>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</si>
  <si>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</si>
  <si>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</si>
  <si>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</si>
  <si>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</si>
  <si>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</si>
  <si>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</si>
  <si>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</si>
  <si>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</si>
  <si>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</si>
  <si>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</si>
  <si>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</si>
  <si>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</si>
  <si>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</si>
  <si>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</si>
  <si>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</si>
  <si>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</si>
  <si>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</si>
  <si>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</si>
  <si>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</si>
  <si>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</si>
  <si>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</si>
  <si>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</si>
  <si>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</si>
  <si>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</si>
  <si>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</si>
  <si>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</si>
  <si>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</si>
  <si>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</si>
  <si>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SGM.AX owner-FCF component DCF: base case (millions, AUD)</t>
  </si>
  <si>
    <t xml:space="preserve">SGM.AX owner-FCF component DCF: bull case (millions, AUD)</t>
  </si>
  <si>
    <t xml:space="preserve">SGM.AX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</si>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</sst>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24.28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4663.9</v>
      </c>
      <c r="F2" s="0" t="n">
        <v>-215.5</v>
      </c>
      <c r="G2" s="0" t="n">
        <v>-4.6</v>
      </c>
      <c r="H2" s="0" t="n">
        <v>-89.1</v>
      </c>
      <c r="I2" s="0" t="n">
        <v>-216.5</v>
      </c>
      <c r="J2" s="0" t="n">
        <v>-4.6</v>
      </c>
      <c r="K2" s="0" t="n">
        <v>-1.068</v>
      </c>
      <c r="L2" s="0" t="n">
        <v>131.3</v>
      </c>
      <c r="M2" s="0" t="n">
        <v>108.9</v>
      </c>
      <c r="N2" s="0" t="n">
        <v>22.4</v>
      </c>
      <c r="O2" s="0" t="n">
        <v>1832.5</v>
      </c>
      <c r="P2" s="0" t="n">
        <v>2570.9</v>
      </c>
      <c r="Q2" s="0" t="n">
        <v>738.4</v>
      </c>
      <c r="R2" s="0" t="n">
        <v>6.2</v>
      </c>
      <c r="S2" s="0" t="n">
        <v>248.3</v>
      </c>
      <c r="T2" s="0" t="n">
        <v>202.7</v>
      </c>
      <c r="U2" s="0" t="n">
        <v>9.3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5089.6</v>
      </c>
      <c r="F3" s="0" t="n">
        <v>201.2</v>
      </c>
      <c r="G3" s="0" t="n">
        <v>4</v>
      </c>
      <c r="H3" s="0" t="n">
        <v>313.5</v>
      </c>
      <c r="I3" s="0" t="n">
        <v>203.6</v>
      </c>
      <c r="J3" s="0" t="n">
        <v>4</v>
      </c>
      <c r="K3" s="0" t="n">
        <v>1.016</v>
      </c>
      <c r="L3" s="0" t="n">
        <v>266.4</v>
      </c>
      <c r="M3" s="0" t="n">
        <v>126.5</v>
      </c>
      <c r="N3" s="0" t="n">
        <v>139.9</v>
      </c>
      <c r="O3" s="0" t="n">
        <v>1967.6</v>
      </c>
      <c r="P3" s="0" t="n">
        <v>2743</v>
      </c>
      <c r="Q3" s="0" t="n">
        <v>775.4</v>
      </c>
      <c r="R3" s="0" t="n">
        <v>5.5</v>
      </c>
      <c r="S3" s="0" t="n">
        <v>378.5</v>
      </c>
      <c r="T3" s="0" t="n">
        <v>200.4</v>
      </c>
      <c r="U3" s="0" t="n">
        <v>29.9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6457.9</v>
      </c>
      <c r="F4" s="0" t="n">
        <v>278.6</v>
      </c>
      <c r="G4" s="0" t="n">
        <v>4.3</v>
      </c>
      <c r="H4" s="0" t="n">
        <v>395.8</v>
      </c>
      <c r="I4" s="0" t="n">
        <v>203.5</v>
      </c>
      <c r="J4" s="0" t="n">
        <v>3.2</v>
      </c>
      <c r="K4" s="0" t="n">
        <v>0.987</v>
      </c>
      <c r="L4" s="0" t="n">
        <v>252.1</v>
      </c>
      <c r="M4" s="0" t="n">
        <v>176.1</v>
      </c>
      <c r="N4" s="0" t="n">
        <v>76</v>
      </c>
      <c r="O4" s="0" t="n">
        <v>2188.7</v>
      </c>
      <c r="P4" s="0" t="n">
        <v>3201.8</v>
      </c>
      <c r="Q4" s="0" t="n">
        <v>1013.1</v>
      </c>
      <c r="R4" s="0" t="n">
        <v>41</v>
      </c>
      <c r="S4" s="0" t="n">
        <v>339.1</v>
      </c>
      <c r="T4" s="0" t="n">
        <v>206.2</v>
      </c>
      <c r="U4" s="0" t="n">
        <v>29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6650.2</v>
      </c>
      <c r="F5" s="0" t="n">
        <v>225</v>
      </c>
      <c r="G5" s="0" t="n">
        <v>3.4</v>
      </c>
      <c r="H5" s="0" t="n">
        <v>358.1</v>
      </c>
      <c r="I5" s="0" t="n">
        <v>152.6</v>
      </c>
      <c r="J5" s="0" t="n">
        <v>2.3</v>
      </c>
      <c r="K5" s="0" t="n">
        <v>0.742</v>
      </c>
      <c r="L5" s="0" t="n">
        <v>360.1</v>
      </c>
      <c r="M5" s="0" t="n">
        <v>197.1</v>
      </c>
      <c r="N5" s="0" t="n">
        <v>163</v>
      </c>
      <c r="O5" s="0" t="n">
        <v>2298.7</v>
      </c>
      <c r="P5" s="0" t="n">
        <v>3185.4</v>
      </c>
      <c r="Q5" s="0" t="n">
        <v>886.7</v>
      </c>
      <c r="R5" s="0" t="n">
        <v>35.4</v>
      </c>
      <c r="S5" s="0" t="n">
        <v>382.9</v>
      </c>
      <c r="T5" s="0" t="n">
        <v>205.7</v>
      </c>
      <c r="U5" s="0" t="n">
        <v>18.8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4917.5</v>
      </c>
      <c r="F6" s="0" t="n">
        <v>-238.8</v>
      </c>
      <c r="G6" s="0" t="n">
        <v>-4.9</v>
      </c>
      <c r="H6" s="0" t="n">
        <v>-36</v>
      </c>
      <c r="I6" s="0" t="n">
        <v>-265.3</v>
      </c>
      <c r="J6" s="0" t="n">
        <v>-5.4</v>
      </c>
      <c r="K6" s="0" t="n">
        <v>-1.312</v>
      </c>
      <c r="L6" s="0" t="n">
        <v>-65.3</v>
      </c>
      <c r="M6" s="0" t="n">
        <v>140.5</v>
      </c>
      <c r="N6" s="0" t="n">
        <v>-205.8</v>
      </c>
      <c r="O6" s="0" t="n">
        <v>1982.3</v>
      </c>
      <c r="P6" s="0" t="n">
        <v>3206.1</v>
      </c>
      <c r="Q6" s="0" t="n">
        <v>1223.8</v>
      </c>
      <c r="R6" s="0" t="n">
        <v>116.9</v>
      </c>
      <c r="S6" s="0" t="n">
        <v>227.3</v>
      </c>
      <c r="T6" s="0" t="n">
        <v>202.2</v>
      </c>
      <c r="U6" s="0" t="n">
        <v>14.4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5925.9</v>
      </c>
      <c r="F7" s="0" t="n">
        <v>314</v>
      </c>
      <c r="G7" s="0" t="n">
        <v>5.3</v>
      </c>
      <c r="H7" s="0" t="n">
        <v>507.3</v>
      </c>
      <c r="I7" s="0" t="n">
        <v>229.4</v>
      </c>
      <c r="J7" s="0" t="n">
        <v>3.9</v>
      </c>
      <c r="K7" s="0" t="n">
        <v>1.128</v>
      </c>
      <c r="L7" s="0" t="n">
        <v>129.4</v>
      </c>
      <c r="M7" s="0" t="n">
        <v>129.7</v>
      </c>
      <c r="N7" s="0" t="n">
        <v>-0.3</v>
      </c>
      <c r="O7" s="0" t="n">
        <v>2119.1</v>
      </c>
      <c r="P7" s="0" t="n">
        <v>3747.8</v>
      </c>
      <c r="Q7" s="0" t="n">
        <v>1628.7</v>
      </c>
      <c r="R7" s="0" t="n">
        <v>232</v>
      </c>
      <c r="S7" s="0" t="n">
        <v>240.3</v>
      </c>
      <c r="T7" s="0" t="n">
        <v>203.4</v>
      </c>
      <c r="U7" s="0" t="n">
        <v>22.9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9275.6</v>
      </c>
      <c r="F8" s="0" t="n">
        <v>773.5</v>
      </c>
      <c r="G8" s="0" t="n">
        <v>8.3</v>
      </c>
      <c r="H8" s="0" t="n">
        <v>976.3</v>
      </c>
      <c r="I8" s="0" t="n">
        <v>599.3</v>
      </c>
      <c r="J8" s="0" t="n">
        <v>6.5</v>
      </c>
      <c r="K8" s="0" t="n">
        <v>2.956</v>
      </c>
      <c r="L8" s="0" t="n">
        <v>547.8</v>
      </c>
      <c r="M8" s="0" t="n">
        <v>276.2</v>
      </c>
      <c r="N8" s="0" t="n">
        <v>271.6</v>
      </c>
      <c r="O8" s="0" t="n">
        <v>2537.5</v>
      </c>
      <c r="P8" s="0" t="n">
        <v>4439.5</v>
      </c>
      <c r="Q8" s="0" t="n">
        <v>1902</v>
      </c>
      <c r="R8" s="0" t="n">
        <v>355.5</v>
      </c>
      <c r="S8" s="0" t="n">
        <v>252.8</v>
      </c>
      <c r="T8" s="0" t="n">
        <v>202.7</v>
      </c>
      <c r="U8" s="0" t="n">
        <v>21.2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8082.1</v>
      </c>
      <c r="F9" s="0" t="n">
        <v>292.9</v>
      </c>
      <c r="G9" s="0" t="n">
        <v>3.6</v>
      </c>
      <c r="H9" s="0" t="n">
        <v>515.6</v>
      </c>
      <c r="I9" s="0" t="n">
        <v>181.1</v>
      </c>
      <c r="J9" s="0" t="n">
        <v>2.2</v>
      </c>
      <c r="K9" s="0" t="n">
        <v>0.917</v>
      </c>
      <c r="L9" s="0" t="n">
        <v>449.2</v>
      </c>
      <c r="M9" s="0" t="n">
        <v>232.5</v>
      </c>
      <c r="N9" s="0" t="n">
        <v>216.7</v>
      </c>
      <c r="O9" s="0" t="n">
        <v>2656.7</v>
      </c>
      <c r="P9" s="0" t="n">
        <v>4705.7</v>
      </c>
      <c r="Q9" s="0" t="n">
        <v>2049</v>
      </c>
      <c r="R9" s="0" t="n">
        <v>444.2</v>
      </c>
      <c r="S9" s="0" t="n">
        <v>308.7</v>
      </c>
      <c r="T9" s="0" t="n">
        <v>197.5</v>
      </c>
      <c r="U9" s="0" t="n">
        <v>19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7224</v>
      </c>
      <c r="F10" s="0" t="n">
        <v>130.3</v>
      </c>
      <c r="G10" s="0" t="n">
        <v>1.8</v>
      </c>
      <c r="H10" s="0" t="n">
        <v>361.9</v>
      </c>
      <c r="I10" s="0" t="n">
        <v>-57.8</v>
      </c>
      <c r="J10" s="0" t="n">
        <v>-0.8</v>
      </c>
      <c r="K10" s="0" t="n">
        <v>-0.299</v>
      </c>
      <c r="L10" s="0" t="n">
        <v>202.5</v>
      </c>
      <c r="M10" s="0" t="n">
        <v>214.6</v>
      </c>
      <c r="N10" s="0" t="n">
        <v>-12.1</v>
      </c>
      <c r="O10" s="0" t="n">
        <v>2562.7</v>
      </c>
      <c r="P10" s="0" t="n">
        <v>4904.7</v>
      </c>
      <c r="Q10" s="0" t="n">
        <v>2342</v>
      </c>
      <c r="R10" s="0" t="n">
        <v>505</v>
      </c>
      <c r="S10" s="0" t="n">
        <v>93.1</v>
      </c>
      <c r="T10" s="0" t="n">
        <v>193.3</v>
      </c>
      <c r="U10" s="0" t="n">
        <v>18.5</v>
      </c>
      <c r="X10" s="0" t="n">
        <v>7224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7524.5</v>
      </c>
      <c r="F11" s="0" t="n">
        <v>68.6</v>
      </c>
      <c r="G11" s="0" t="n">
        <v>0.9</v>
      </c>
      <c r="H11" s="0" t="n">
        <v>323.7</v>
      </c>
      <c r="I11" s="0" t="n">
        <v>-19</v>
      </c>
      <c r="J11" s="0" t="n">
        <v>-0.3</v>
      </c>
      <c r="K11" s="0" t="n">
        <v>-0.099</v>
      </c>
      <c r="L11" s="0" t="n">
        <v>297.1</v>
      </c>
      <c r="M11" s="0" t="n">
        <v>194.1</v>
      </c>
      <c r="N11" s="0" t="n">
        <v>103</v>
      </c>
      <c r="O11" s="0" t="n">
        <v>2586.8</v>
      </c>
      <c r="P11" s="0" t="n">
        <v>4446.1</v>
      </c>
      <c r="Q11" s="0" t="n">
        <v>1859.3</v>
      </c>
      <c r="R11" s="0" t="n">
        <v>513.4</v>
      </c>
      <c r="S11" s="0" t="n">
        <v>181.1</v>
      </c>
      <c r="T11" s="0" t="n">
        <v>191.9</v>
      </c>
      <c r="U11" s="0" t="n">
        <v>16.5</v>
      </c>
      <c r="X11" s="0" t="n">
        <v>7524.5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24.28</v>
      </c>
    </row>
    <row r="3" customFormat="false" ht="15" hidden="false" customHeight="false" outlineLevel="0" collapsed="false">
      <c r="A3" s="0" t="s">
        <v>76</v>
      </c>
      <c r="B3" s="3" t="n">
        <v>192.733</v>
      </c>
    </row>
    <row r="4" customFormat="false" ht="15" hidden="false" customHeight="false" outlineLevel="0" collapsed="false">
      <c r="A4" s="0" t="s">
        <v>77</v>
      </c>
      <c r="B4" s="3" t="n">
        <v>619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8007.5</v>
      </c>
    </row>
    <row r="8" customFormat="false" ht="15" hidden="false" customHeight="false" outlineLevel="0" collapsed="false">
      <c r="A8" s="0" t="s">
        <v>81</v>
      </c>
      <c r="B8" s="3" t="s">
        <v>82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-2</v>
      </c>
      <c r="D13" s="3" t="n">
        <v>0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4.5</v>
      </c>
      <c r="D14" s="3" t="n">
        <v>4.3</v>
      </c>
      <c r="E14" s="3" t="n">
        <v>4.3</v>
      </c>
      <c r="F14" s="3" t="n">
        <v>4.5</v>
      </c>
      <c r="G14" s="3" t="n">
        <v>4.7</v>
      </c>
      <c r="H14" s="3" t="n">
        <v>4.8</v>
      </c>
      <c r="I14" s="3" t="n">
        <v>5</v>
      </c>
      <c r="J14" s="3" t="n">
        <v>5</v>
      </c>
      <c r="K14" s="3" t="n">
        <v>5</v>
      </c>
      <c r="L14" s="3" t="n">
        <v>5</v>
      </c>
    </row>
    <row r="15" customFormat="false" ht="15" hidden="false" customHeight="false" outlineLevel="0" collapsed="false">
      <c r="A15" s="0" t="s">
        <v>99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0.2</v>
      </c>
      <c r="I15" s="3" t="n">
        <v>0.2</v>
      </c>
      <c r="J15" s="3" t="n">
        <v>0.2</v>
      </c>
      <c r="K15" s="3" t="n">
        <v>0.2</v>
      </c>
      <c r="L15" s="3" t="n">
        <v>0.2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3.3</v>
      </c>
      <c r="D17" s="3" t="n">
        <v>3.3</v>
      </c>
      <c r="E17" s="3" t="n">
        <v>3.3</v>
      </c>
      <c r="F17" s="3" t="n">
        <v>3.3</v>
      </c>
      <c r="G17" s="3" t="n">
        <v>3.3</v>
      </c>
      <c r="H17" s="3" t="n">
        <v>3.3</v>
      </c>
      <c r="I17" s="3" t="n">
        <v>3.3</v>
      </c>
      <c r="J17" s="3" t="n">
        <v>3.3</v>
      </c>
      <c r="K17" s="3" t="n">
        <v>3.3</v>
      </c>
      <c r="L17" s="3" t="n">
        <v>3.3</v>
      </c>
    </row>
    <row r="18" customFormat="false" ht="15" hidden="false" customHeight="false" outlineLevel="0" collapsed="false">
      <c r="A18" s="0" t="s">
        <v>102</v>
      </c>
      <c r="C18" s="3" t="n">
        <v>2.5</v>
      </c>
      <c r="D18" s="3" t="n">
        <v>2.5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103</v>
      </c>
      <c r="C19" s="3" t="n">
        <v>12</v>
      </c>
      <c r="D19" s="3" t="n">
        <v>14</v>
      </c>
      <c r="E19" s="3" t="n">
        <v>17</v>
      </c>
      <c r="F19" s="3" t="n">
        <v>20</v>
      </c>
      <c r="G19" s="3" t="n">
        <v>23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104</v>
      </c>
      <c r="B20" s="3" t="n">
        <v>10.5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-15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</v>
      </c>
      <c r="D27" s="3" t="n">
        <v>3.5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6.2</v>
      </c>
      <c r="D28" s="3" t="n">
        <v>6.3</v>
      </c>
      <c r="E28" s="3" t="n">
        <v>6.4</v>
      </c>
      <c r="F28" s="3" t="n">
        <v>6.5</v>
      </c>
      <c r="G28" s="3" t="n">
        <v>6.6</v>
      </c>
      <c r="H28" s="3" t="n">
        <v>6.7</v>
      </c>
      <c r="I28" s="3" t="n">
        <v>6.8</v>
      </c>
      <c r="J28" s="3" t="n">
        <v>6.8</v>
      </c>
      <c r="K28" s="3" t="n">
        <v>6.8</v>
      </c>
      <c r="L28" s="3" t="n">
        <v>6.8</v>
      </c>
    </row>
    <row r="29" customFormat="false" ht="15" hidden="false" customHeight="false" outlineLevel="0" collapsed="false">
      <c r="A29" s="0" t="s">
        <v>99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0.2</v>
      </c>
      <c r="I29" s="3" t="n">
        <v>0.2</v>
      </c>
      <c r="J29" s="3" t="n">
        <v>0.2</v>
      </c>
      <c r="K29" s="3" t="n">
        <v>0.2</v>
      </c>
      <c r="L29" s="3" t="n">
        <v>0.2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3.25</v>
      </c>
      <c r="D31" s="3" t="n">
        <v>3.2</v>
      </c>
      <c r="E31" s="3" t="n">
        <v>3.15</v>
      </c>
      <c r="F31" s="3" t="n">
        <v>3.1</v>
      </c>
      <c r="G31" s="3" t="n">
        <v>3.05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102</v>
      </c>
      <c r="C32" s="3" t="n">
        <v>2.7</v>
      </c>
      <c r="D32" s="3" t="n">
        <v>2.7</v>
      </c>
      <c r="E32" s="3" t="n">
        <v>2.7</v>
      </c>
      <c r="F32" s="3" t="n">
        <v>2.7</v>
      </c>
      <c r="G32" s="3" t="n">
        <v>2.7</v>
      </c>
      <c r="H32" s="3" t="n">
        <v>2.7</v>
      </c>
      <c r="I32" s="3" t="n">
        <v>2.7</v>
      </c>
      <c r="J32" s="3" t="n">
        <v>2.7</v>
      </c>
      <c r="K32" s="3" t="n">
        <v>2.7</v>
      </c>
      <c r="L32" s="3" t="n">
        <v>2.7</v>
      </c>
    </row>
    <row r="33" customFormat="false" ht="15" hidden="false" customHeight="false" outlineLevel="0" collapsed="false">
      <c r="A33" s="0" t="s">
        <v>103</v>
      </c>
      <c r="C33" s="3" t="n">
        <v>15</v>
      </c>
      <c r="D33" s="3" t="n">
        <v>18</v>
      </c>
      <c r="E33" s="3" t="n">
        <v>21</v>
      </c>
      <c r="F33" s="3" t="n">
        <v>24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-12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6</v>
      </c>
      <c r="D41" s="3" t="n">
        <v>6.5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7</v>
      </c>
      <c r="D42" s="3" t="n">
        <v>7.5</v>
      </c>
      <c r="E42" s="3" t="n">
        <v>8</v>
      </c>
      <c r="F42" s="3" t="n">
        <v>8.3</v>
      </c>
      <c r="G42" s="3" t="n">
        <v>8.5</v>
      </c>
      <c r="H42" s="3" t="n">
        <v>8.6</v>
      </c>
      <c r="I42" s="3" t="n">
        <v>8.7</v>
      </c>
      <c r="J42" s="3" t="n">
        <v>8.7</v>
      </c>
      <c r="K42" s="3" t="n">
        <v>8.7</v>
      </c>
      <c r="L42" s="3" t="n">
        <v>8.7</v>
      </c>
    </row>
    <row r="43" customFormat="false" ht="15" hidden="false" customHeight="false" outlineLevel="0" collapsed="false">
      <c r="A43" s="0" t="s">
        <v>99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0.2</v>
      </c>
      <c r="I43" s="3" t="n">
        <v>0.2</v>
      </c>
      <c r="J43" s="3" t="n">
        <v>0.2</v>
      </c>
      <c r="K43" s="3" t="n">
        <v>0.2</v>
      </c>
      <c r="L43" s="3" t="n">
        <v>0.2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3.2</v>
      </c>
      <c r="D45" s="3" t="n">
        <v>3.1</v>
      </c>
      <c r="E45" s="3" t="n">
        <v>3.05</v>
      </c>
      <c r="F45" s="3" t="n">
        <v>3</v>
      </c>
      <c r="G45" s="3" t="n">
        <v>2.95</v>
      </c>
      <c r="H45" s="3" t="n">
        <v>2.9</v>
      </c>
      <c r="I45" s="3" t="n">
        <v>2.9</v>
      </c>
      <c r="J45" s="3" t="n">
        <v>2.9</v>
      </c>
      <c r="K45" s="3" t="n">
        <v>2.9</v>
      </c>
      <c r="L45" s="3" t="n">
        <v>2.9</v>
      </c>
    </row>
    <row r="46" customFormat="false" ht="15" hidden="false" customHeight="false" outlineLevel="0" collapsed="false">
      <c r="A46" s="0" t="s">
        <v>102</v>
      </c>
      <c r="C46" s="3" t="n">
        <v>2.9</v>
      </c>
      <c r="D46" s="3" t="n">
        <v>2.9</v>
      </c>
      <c r="E46" s="3" t="n">
        <v>2.9</v>
      </c>
      <c r="F46" s="3" t="n">
        <v>2.9</v>
      </c>
      <c r="G46" s="3" t="n">
        <v>2.9</v>
      </c>
      <c r="H46" s="3" t="n">
        <v>2.8</v>
      </c>
      <c r="I46" s="3" t="n">
        <v>2.8</v>
      </c>
      <c r="J46" s="3" t="n">
        <v>2.8</v>
      </c>
      <c r="K46" s="3" t="n">
        <v>2.8</v>
      </c>
      <c r="L46" s="3" t="n">
        <v>2.8</v>
      </c>
    </row>
    <row r="47" customFormat="false" ht="15" hidden="false" customHeight="false" outlineLevel="0" collapsed="false">
      <c r="A47" s="0" t="s">
        <v>103</v>
      </c>
      <c r="C47" s="3" t="n">
        <v>16</v>
      </c>
      <c r="D47" s="3" t="n">
        <v>19</v>
      </c>
      <c r="E47" s="3" t="n">
        <v>22</v>
      </c>
      <c r="F47" s="3" t="n">
        <v>25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14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-2</v>
      </c>
      <c r="D5" s="4" t="n">
        <f aca="false">Assumptions!D13</f>
        <v>0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8007.5</v>
      </c>
      <c r="C6" s="0" t="n">
        <f aca="false">B6*(1+C5/100)</f>
        <v>7847.35</v>
      </c>
      <c r="D6" s="0" t="n">
        <f aca="false">C6*(1+D5/100)</f>
        <v>7847.35</v>
      </c>
      <c r="E6" s="0" t="n">
        <f aca="false">D6*(1+E5/100)</f>
        <v>7965.06025</v>
      </c>
      <c r="F6" s="0" t="n">
        <f aca="false">E6*(1+F5/100)</f>
        <v>8124.361455</v>
      </c>
      <c r="G6" s="0" t="n">
        <f aca="false">F6*(1+G5/100)</f>
        <v>8286.8486841</v>
      </c>
      <c r="H6" s="0" t="n">
        <f aca="false">G6*(1+H5/100)</f>
        <v>8452.585657782</v>
      </c>
      <c r="I6" s="0" t="n">
        <f aca="false">H6*(1+I5/100)</f>
        <v>8621.63737093764</v>
      </c>
      <c r="J6" s="0" t="n">
        <f aca="false">I6*(1+J5/100)</f>
        <v>8794.07011835639</v>
      </c>
      <c r="K6" s="0" t="n">
        <f aca="false">J6*(1+K5/100)</f>
        <v>8969.95152072352</v>
      </c>
      <c r="L6" s="0" t="n">
        <f aca="false">K6*(1+L5/100)</f>
        <v>9149.35055113799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4.5</v>
      </c>
      <c r="D7" s="4" t="n">
        <f aca="false">Assumptions!D14</f>
        <v>4.3</v>
      </c>
      <c r="E7" s="4" t="n">
        <f aca="false">Assumptions!E14</f>
        <v>4.3</v>
      </c>
      <c r="F7" s="4" t="n">
        <f aca="false">Assumptions!F14</f>
        <v>4.5</v>
      </c>
      <c r="G7" s="4" t="n">
        <f aca="false">Assumptions!G14</f>
        <v>4.7</v>
      </c>
      <c r="H7" s="4" t="n">
        <f aca="false">Assumptions!H14</f>
        <v>4.8</v>
      </c>
      <c r="I7" s="4" t="n">
        <f aca="false">Assumptions!I14</f>
        <v>5</v>
      </c>
      <c r="J7" s="4" t="n">
        <f aca="false">Assumptions!J14</f>
        <v>5</v>
      </c>
      <c r="K7" s="4" t="n">
        <f aca="false">Assumptions!K14</f>
        <v>5</v>
      </c>
      <c r="L7" s="4" t="n">
        <f aca="false">Assumptions!L14</f>
        <v>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353.13075</v>
      </c>
      <c r="D8" s="0" t="n">
        <f aca="false">D6*D7/100</f>
        <v>337.43605</v>
      </c>
      <c r="E8" s="0" t="n">
        <f aca="false">E6*E7/100</f>
        <v>342.49759075</v>
      </c>
      <c r="F8" s="0" t="n">
        <f aca="false">F6*F7/100</f>
        <v>365.596265475</v>
      </c>
      <c r="G8" s="0" t="n">
        <f aca="false">G6*G7/100</f>
        <v>389.4818881527</v>
      </c>
      <c r="H8" s="0" t="n">
        <f aca="false">H6*H7/100</f>
        <v>405.724111573536</v>
      </c>
      <c r="I8" s="0" t="n">
        <f aca="false">I6*I7/100</f>
        <v>431.081868546882</v>
      </c>
      <c r="J8" s="0" t="n">
        <f aca="false">J6*J7/100</f>
        <v>439.70350591782</v>
      </c>
      <c r="K8" s="0" t="n">
        <f aca="false">K6*K7/100</f>
        <v>448.497576036176</v>
      </c>
      <c r="L8" s="0" t="n">
        <f aca="false">L6*L7/100</f>
        <v>457.467527556899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0.2</v>
      </c>
      <c r="I9" s="4" t="n">
        <f aca="false">Assumptions!I15</f>
        <v>0.2</v>
      </c>
      <c r="J9" s="4" t="n">
        <f aca="false">Assumptions!J15</f>
        <v>0.2</v>
      </c>
      <c r="K9" s="4" t="n">
        <f aca="false">Assumptions!K15</f>
        <v>0.2</v>
      </c>
      <c r="L9" s="4" t="n">
        <f aca="false">Assumptions!L15</f>
        <v>0.2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-15.6947</v>
      </c>
      <c r="D10" s="0" t="n">
        <f aca="false">-D6*D9/100</f>
        <v>-15.6947</v>
      </c>
      <c r="E10" s="0" t="n">
        <f aca="false">-E6*E9/100</f>
        <v>-15.9301205</v>
      </c>
      <c r="F10" s="0" t="n">
        <f aca="false">-F6*F9/100</f>
        <v>-16.24872291</v>
      </c>
      <c r="G10" s="0" t="n">
        <f aca="false">-G6*G9/100</f>
        <v>-16.5736973682</v>
      </c>
      <c r="H10" s="0" t="n">
        <f aca="false">-H6*H9/100</f>
        <v>-16.905171315564</v>
      </c>
      <c r="I10" s="0" t="n">
        <f aca="false">-I6*I9/100</f>
        <v>-17.2432747418753</v>
      </c>
      <c r="J10" s="0" t="n">
        <f aca="false">-J6*J9/100</f>
        <v>-17.5881402367128</v>
      </c>
      <c r="K10" s="0" t="n">
        <f aca="false">-K6*K9/100</f>
        <v>-17.939903041447</v>
      </c>
      <c r="L10" s="0" t="n">
        <f aca="false">-L6*L9/100</f>
        <v>-18.298701102276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337.43605</v>
      </c>
      <c r="D11" s="0" t="n">
        <f aca="false">D8+D10+D24</f>
        <v>321.74135</v>
      </c>
      <c r="E11" s="0" t="n">
        <f aca="false">E8+E10+E24</f>
        <v>326.56747025</v>
      </c>
      <c r="F11" s="0" t="n">
        <f aca="false">F8+F10+F24</f>
        <v>349.347542565</v>
      </c>
      <c r="G11" s="0" t="n">
        <f aca="false">G8+G10+G24</f>
        <v>372.9081907845</v>
      </c>
      <c r="H11" s="0" t="n">
        <f aca="false">H8+H10+H24</f>
        <v>388.818940257972</v>
      </c>
      <c r="I11" s="0" t="n">
        <f aca="false">I8+I10+I24</f>
        <v>413.838593805007</v>
      </c>
      <c r="J11" s="0" t="n">
        <f aca="false">J8+J10+J24</f>
        <v>422.115365681107</v>
      </c>
      <c r="K11" s="0" t="n">
        <f aca="false">K8+K10+K24</f>
        <v>430.557672994729</v>
      </c>
      <c r="L11" s="0" t="n">
        <f aca="false">L8+L10+L24</f>
        <v>439.168826454623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-258.96255</v>
      </c>
      <c r="D12" s="4" t="n">
        <f aca="false">-D6*Assumptions!D17/100</f>
        <v>-258.96255</v>
      </c>
      <c r="E12" s="4" t="n">
        <f aca="false">-E6*Assumptions!E17/100</f>
        <v>-262.84698825</v>
      </c>
      <c r="F12" s="4" t="n">
        <f aca="false">-F6*Assumptions!F17/100</f>
        <v>-268.103928015</v>
      </c>
      <c r="G12" s="4" t="n">
        <f aca="false">-G6*Assumptions!G17/100</f>
        <v>-273.4660065753</v>
      </c>
      <c r="H12" s="4" t="n">
        <f aca="false">-H6*Assumptions!H17/100</f>
        <v>-278.935326706806</v>
      </c>
      <c r="I12" s="4" t="n">
        <f aca="false">-I6*Assumptions!I17/100</f>
        <v>-284.514033240942</v>
      </c>
      <c r="J12" s="4" t="n">
        <f aca="false">-J6*Assumptions!J17/100</f>
        <v>-290.204313905761</v>
      </c>
      <c r="K12" s="4" t="n">
        <f aca="false">-K6*Assumptions!K17/100</f>
        <v>-296.008400183876</v>
      </c>
      <c r="L12" s="4" t="n">
        <f aca="false">-L6*Assumptions!L17/100</f>
        <v>-301.928568187554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78.4735</v>
      </c>
      <c r="D13" s="0" t="n">
        <f aca="false">D11+D12</f>
        <v>62.7788</v>
      </c>
      <c r="E13" s="0" t="n">
        <f aca="false">E11+E12</f>
        <v>63.720482</v>
      </c>
      <c r="F13" s="0" t="n">
        <f aca="false">F11+F12</f>
        <v>81.24361455</v>
      </c>
      <c r="G13" s="0" t="n">
        <f aca="false">G11+G12</f>
        <v>99.4421842092</v>
      </c>
      <c r="H13" s="0" t="n">
        <f aca="false">H11+H12</f>
        <v>109.883613551166</v>
      </c>
      <c r="I13" s="0" t="n">
        <f aca="false">I11+I12</f>
        <v>129.324560564065</v>
      </c>
      <c r="J13" s="0" t="n">
        <f aca="false">J11+J12</f>
        <v>131.911051775346</v>
      </c>
      <c r="K13" s="0" t="n">
        <f aca="false">K11+K12</f>
        <v>134.549272810853</v>
      </c>
      <c r="L13" s="0" t="n">
        <f aca="false">L11+L12</f>
        <v>137.24025826707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12</v>
      </c>
      <c r="D14" s="4" t="n">
        <f aca="false">Assumptions!D19</f>
        <v>14</v>
      </c>
      <c r="E14" s="4" t="n">
        <f aca="false">Assumptions!E19</f>
        <v>17</v>
      </c>
      <c r="F14" s="4" t="n">
        <f aca="false">Assumptions!F19</f>
        <v>20</v>
      </c>
      <c r="G14" s="4" t="n">
        <f aca="false">Assumptions!G19</f>
        <v>23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69.05668</v>
      </c>
      <c r="D15" s="0" t="n">
        <f aca="false">D13-MAX(0,D13)*D14/100</f>
        <v>53.989768</v>
      </c>
      <c r="E15" s="0" t="n">
        <f aca="false">E13-MAX(0,E13)*E14/100</f>
        <v>52.88800006</v>
      </c>
      <c r="F15" s="0" t="n">
        <f aca="false">F13-MAX(0,F13)*F14/100</f>
        <v>64.99489164</v>
      </c>
      <c r="G15" s="0" t="n">
        <f aca="false">G13-MAX(0,G13)*G14/100</f>
        <v>76.570481841084</v>
      </c>
      <c r="H15" s="0" t="n">
        <f aca="false">H13-MAX(0,H13)*H14/100</f>
        <v>83.5115462988861</v>
      </c>
      <c r="I15" s="0" t="n">
        <f aca="false">I13-MAX(0,I13)*I14/100</f>
        <v>98.2866660286891</v>
      </c>
      <c r="J15" s="0" t="n">
        <f aca="false">J13-MAX(0,J13)*J14/100</f>
        <v>100.252399349263</v>
      </c>
      <c r="K15" s="0" t="n">
        <f aca="false">K13-MAX(0,K13)*K14/100</f>
        <v>102.257447336248</v>
      </c>
      <c r="L15" s="0" t="n">
        <f aca="false">L13-MAX(0,L13)*L14/100</f>
        <v>104.302596282973</v>
      </c>
    </row>
    <row r="16" customFormat="false" ht="15" hidden="false" customHeight="false" outlineLevel="0" collapsed="false">
      <c r="A16" s="0" t="s">
        <v>119</v>
      </c>
      <c r="C16" s="0" t="n">
        <f aca="false">-C12</f>
        <v>258.96255</v>
      </c>
      <c r="D16" s="0" t="n">
        <f aca="false">-D12</f>
        <v>258.96255</v>
      </c>
      <c r="E16" s="0" t="n">
        <f aca="false">-E12</f>
        <v>262.84698825</v>
      </c>
      <c r="F16" s="0" t="n">
        <f aca="false">-F12</f>
        <v>268.103928015</v>
      </c>
      <c r="G16" s="0" t="n">
        <f aca="false">-G12</f>
        <v>273.4660065753</v>
      </c>
      <c r="H16" s="0" t="n">
        <f aca="false">-H12</f>
        <v>278.935326706806</v>
      </c>
      <c r="I16" s="0" t="n">
        <f aca="false">-I12</f>
        <v>284.514033240942</v>
      </c>
      <c r="J16" s="0" t="n">
        <f aca="false">-J12</f>
        <v>290.204313905761</v>
      </c>
      <c r="K16" s="0" t="n">
        <f aca="false">-K12</f>
        <v>296.008400183876</v>
      </c>
      <c r="L16" s="0" t="n">
        <f aca="false">-L12</f>
        <v>301.928568187554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-196.18375</v>
      </c>
      <c r="D17" s="4" t="n">
        <f aca="false">-D6*Assumptions!D18/100</f>
        <v>-196.18375</v>
      </c>
      <c r="E17" s="4" t="n">
        <f aca="false">-E6*Assumptions!E18/100</f>
        <v>-199.12650625</v>
      </c>
      <c r="F17" s="4" t="n">
        <f aca="false">-F6*Assumptions!F18/100</f>
        <v>-203.109036375</v>
      </c>
      <c r="G17" s="4" t="n">
        <f aca="false">-G6*Assumptions!G18/100</f>
        <v>-207.1712171025</v>
      </c>
      <c r="H17" s="4" t="n">
        <f aca="false">-H6*Assumptions!H18/100</f>
        <v>-211.31464144455</v>
      </c>
      <c r="I17" s="4" t="n">
        <f aca="false">-I6*Assumptions!I18/100</f>
        <v>-215.540934273441</v>
      </c>
      <c r="J17" s="4" t="n">
        <f aca="false">-J6*Assumptions!J18/100</f>
        <v>-219.85175295891</v>
      </c>
      <c r="K17" s="4" t="n">
        <f aca="false">-K6*Assumptions!K18/100</f>
        <v>-224.248788018088</v>
      </c>
      <c r="L17" s="4" t="n">
        <f aca="false">-L6*Assumptions!L18/100</f>
        <v>-228.73376377845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24.0225000000001</v>
      </c>
      <c r="D18" s="4" t="n">
        <f aca="false">(D6-C6)*Assumptions!$B$23/100</f>
        <v>-0</v>
      </c>
      <c r="E18" s="4" t="n">
        <f aca="false">(E6-D6)*Assumptions!$B$23/100</f>
        <v>-17.6565374999999</v>
      </c>
      <c r="F18" s="4" t="n">
        <f aca="false">(F6-E6)*Assumptions!$B$23/100</f>
        <v>-23.89518075</v>
      </c>
      <c r="G18" s="4" t="n">
        <f aca="false">(G6-F6)*Assumptions!$B$23/100</f>
        <v>-24.3730843649999</v>
      </c>
      <c r="H18" s="4" t="n">
        <f aca="false">(H6-G6)*Assumptions!$B$23/100</f>
        <v>-24.8605460523</v>
      </c>
      <c r="I18" s="4" t="n">
        <f aca="false">(I6-H6)*Assumptions!$B$23/100</f>
        <v>-25.3577569733461</v>
      </c>
      <c r="J18" s="4" t="n">
        <f aca="false">(J6-I6)*Assumptions!$B$23/100</f>
        <v>-25.8649121128128</v>
      </c>
      <c r="K18" s="4" t="n">
        <f aca="false">(K6-J6)*Assumptions!$B$23/100</f>
        <v>-26.3822103550691</v>
      </c>
      <c r="L18" s="4" t="n">
        <f aca="false">(L6-K6)*Assumptions!$B$23/100</f>
        <v>-26.9098545621705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155.85798</v>
      </c>
      <c r="D19" s="0" t="n">
        <f aca="false">D15+D16+D17+D18</f>
        <v>116.768568</v>
      </c>
      <c r="E19" s="0" t="n">
        <f aca="false">E15+E16+E17+E18</f>
        <v>98.9519445600002</v>
      </c>
      <c r="F19" s="0" t="n">
        <f aca="false">F15+F16+F17+F18</f>
        <v>106.09460253</v>
      </c>
      <c r="G19" s="0" t="n">
        <f aca="false">G15+G16+G17+G18</f>
        <v>118.492186948884</v>
      </c>
      <c r="H19" s="0" t="n">
        <f aca="false">H15+H16+H17+H18</f>
        <v>126.271685508842</v>
      </c>
      <c r="I19" s="0" t="n">
        <f aca="false">I15+I16+I17+I18</f>
        <v>141.902008022844</v>
      </c>
      <c r="J19" s="0" t="n">
        <f aca="false">J15+J16+J17+J18</f>
        <v>144.740048183301</v>
      </c>
      <c r="K19" s="0" t="n">
        <f aca="false">K15+K16+K17+K18</f>
        <v>147.634849146967</v>
      </c>
      <c r="L19" s="0" t="n">
        <f aca="false">L15+L16+L17+L18</f>
        <v>150.587546129906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141.047945701358</v>
      </c>
      <c r="D21" s="0" t="n">
        <f aca="false">D19*D20</f>
        <v>95.6315947666919</v>
      </c>
      <c r="E21" s="0" t="n">
        <f aca="false">E19*E20</f>
        <v>73.3394247415268</v>
      </c>
      <c r="F21" s="0" t="n">
        <f aca="false">F19*F20</f>
        <v>71.161349926056</v>
      </c>
      <c r="G21" s="0" t="n">
        <f aca="false">G19*G20</f>
        <v>71.9247440333709</v>
      </c>
      <c r="H21" s="0" t="n">
        <f aca="false">H19*H20</f>
        <v>69.3637093000652</v>
      </c>
      <c r="I21" s="0" t="n">
        <f aca="false">I19*I20</f>
        <v>70.5427839471688</v>
      </c>
      <c r="J21" s="0" t="n">
        <f aca="false">J19*J20</f>
        <v>65.1164159512328</v>
      </c>
      <c r="K21" s="0" t="n">
        <f aca="false">K19*K20</f>
        <v>60.1074608780611</v>
      </c>
      <c r="L21" s="0" t="n">
        <f aca="false">L19*L20</f>
        <v>55.4838100412871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773.719239286818</v>
      </c>
    </row>
    <row r="31" customFormat="false" ht="15" hidden="false" customHeight="false" outlineLevel="0" collapsed="false">
      <c r="A31" s="0" t="s">
        <v>128</v>
      </c>
      <c r="B31" s="0" t="n">
        <f aca="false">L19</f>
        <v>150.587546129906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1807.05055355888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1505.87546129906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1505.87546129906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554.838100412871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1328.55733969969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709.557339699689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3.68155603710672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-0.84837083866941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99.6398373281737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80.905627222463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4.61832070403266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1181.53305425004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1.63934616437514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</v>
      </c>
      <c r="D5" s="4" t="n">
        <f aca="false">Assumptions!D27</f>
        <v>3.5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8007.5</v>
      </c>
      <c r="C6" s="0" t="n">
        <f aca="false">B6*(1+C5/100)</f>
        <v>8247.725</v>
      </c>
      <c r="D6" s="0" t="n">
        <f aca="false">C6*(1+D5/100)</f>
        <v>8536.395375</v>
      </c>
      <c r="E6" s="0" t="n">
        <f aca="false">D6*(1+E5/100)</f>
        <v>8877.85119</v>
      </c>
      <c r="F6" s="0" t="n">
        <f aca="false">E6*(1+F5/100)</f>
        <v>9232.9652376</v>
      </c>
      <c r="G6" s="0" t="n">
        <f aca="false">F6*(1+G5/100)</f>
        <v>9602.283847104</v>
      </c>
      <c r="H6" s="0" t="n">
        <f aca="false">G6*(1+H5/100)</f>
        <v>9938.36378175264</v>
      </c>
      <c r="I6" s="0" t="n">
        <f aca="false">H6*(1+I5/100)</f>
        <v>10286.206514114</v>
      </c>
      <c r="J6" s="0" t="n">
        <f aca="false">I6*(1+J5/100)</f>
        <v>10594.7927095374</v>
      </c>
      <c r="K6" s="0" t="n">
        <f aca="false">J6*(1+K5/100)</f>
        <v>10912.6364908235</v>
      </c>
      <c r="L6" s="0" t="n">
        <f aca="false">K6*(1+L5/100)</f>
        <v>11185.4524030941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6.2</v>
      </c>
      <c r="D7" s="4" t="n">
        <f aca="false">Assumptions!D28</f>
        <v>6.3</v>
      </c>
      <c r="E7" s="4" t="n">
        <f aca="false">Assumptions!E28</f>
        <v>6.4</v>
      </c>
      <c r="F7" s="4" t="n">
        <f aca="false">Assumptions!F28</f>
        <v>6.5</v>
      </c>
      <c r="G7" s="4" t="n">
        <f aca="false">Assumptions!G28</f>
        <v>6.6</v>
      </c>
      <c r="H7" s="4" t="n">
        <f aca="false">Assumptions!H28</f>
        <v>6.7</v>
      </c>
      <c r="I7" s="4" t="n">
        <f aca="false">Assumptions!I28</f>
        <v>6.8</v>
      </c>
      <c r="J7" s="4" t="n">
        <f aca="false">Assumptions!J28</f>
        <v>6.8</v>
      </c>
      <c r="K7" s="4" t="n">
        <f aca="false">Assumptions!K28</f>
        <v>6.8</v>
      </c>
      <c r="L7" s="4" t="n">
        <f aca="false">Assumptions!L28</f>
        <v>6.8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511.35895</v>
      </c>
      <c r="D8" s="0" t="n">
        <f aca="false">D6*D7/100</f>
        <v>537.792908625</v>
      </c>
      <c r="E8" s="0" t="n">
        <f aca="false">E6*E7/100</f>
        <v>568.18247616</v>
      </c>
      <c r="F8" s="0" t="n">
        <f aca="false">F6*F7/100</f>
        <v>600.142740444</v>
      </c>
      <c r="G8" s="0" t="n">
        <f aca="false">G6*G7/100</f>
        <v>633.750733908864</v>
      </c>
      <c r="H8" s="0" t="n">
        <f aca="false">H6*H7/100</f>
        <v>665.870373377427</v>
      </c>
      <c r="I8" s="0" t="n">
        <f aca="false">I6*I7/100</f>
        <v>699.462042959751</v>
      </c>
      <c r="J8" s="0" t="n">
        <f aca="false">J6*J7/100</f>
        <v>720.445904248543</v>
      </c>
      <c r="K8" s="0" t="n">
        <f aca="false">K6*K7/100</f>
        <v>742.059281376</v>
      </c>
      <c r="L8" s="0" t="n">
        <f aca="false">L6*L7/100</f>
        <v>760.6107634104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0.2</v>
      </c>
      <c r="I9" s="4" t="n">
        <f aca="false">Assumptions!I29</f>
        <v>0.2</v>
      </c>
      <c r="J9" s="4" t="n">
        <f aca="false">Assumptions!J29</f>
        <v>0.2</v>
      </c>
      <c r="K9" s="4" t="n">
        <f aca="false">Assumptions!K29</f>
        <v>0.2</v>
      </c>
      <c r="L9" s="4" t="n">
        <f aca="false">Assumptions!L29</f>
        <v>0.2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-16.49545</v>
      </c>
      <c r="D10" s="0" t="n">
        <f aca="false">-D6*D9/100</f>
        <v>-17.07279075</v>
      </c>
      <c r="E10" s="0" t="n">
        <f aca="false">-E6*E9/100</f>
        <v>-17.75570238</v>
      </c>
      <c r="F10" s="0" t="n">
        <f aca="false">-F6*F9/100</f>
        <v>-18.4659304752</v>
      </c>
      <c r="G10" s="0" t="n">
        <f aca="false">-G6*G9/100</f>
        <v>-19.204567694208</v>
      </c>
      <c r="H10" s="0" t="n">
        <f aca="false">-H6*H9/100</f>
        <v>-19.8767275635053</v>
      </c>
      <c r="I10" s="0" t="n">
        <f aca="false">-I6*I9/100</f>
        <v>-20.572413028228</v>
      </c>
      <c r="J10" s="0" t="n">
        <f aca="false">-J6*J9/100</f>
        <v>-21.1895854190748</v>
      </c>
      <c r="K10" s="0" t="n">
        <f aca="false">-K6*K9/100</f>
        <v>-21.8252729816471</v>
      </c>
      <c r="L10" s="0" t="n">
        <f aca="false">-L6*L9/100</f>
        <v>-22.3709048061882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494.8635</v>
      </c>
      <c r="D11" s="0" t="n">
        <f aca="false">D8+D10+D24</f>
        <v>520.720117875</v>
      </c>
      <c r="E11" s="0" t="n">
        <f aca="false">E8+E10+E24</f>
        <v>550.42677378</v>
      </c>
      <c r="F11" s="0" t="n">
        <f aca="false">F8+F10+F24</f>
        <v>581.6768099688</v>
      </c>
      <c r="G11" s="0" t="n">
        <f aca="false">G8+G10+G24</f>
        <v>614.546166214656</v>
      </c>
      <c r="H11" s="0" t="n">
        <f aca="false">H8+H10+H24</f>
        <v>645.993645813922</v>
      </c>
      <c r="I11" s="0" t="n">
        <f aca="false">I8+I10+I24</f>
        <v>678.889629931523</v>
      </c>
      <c r="J11" s="0" t="n">
        <f aca="false">J8+J10+J24</f>
        <v>699.256318829469</v>
      </c>
      <c r="K11" s="0" t="n">
        <f aca="false">K8+K10+K24</f>
        <v>720.234008394353</v>
      </c>
      <c r="L11" s="0" t="n">
        <f aca="false">L8+L10+L24</f>
        <v>738.239858604211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-268.0510625</v>
      </c>
      <c r="D12" s="4" t="n">
        <f aca="false">-D6*Assumptions!D31/100</f>
        <v>-273.164652</v>
      </c>
      <c r="E12" s="4" t="n">
        <f aca="false">-E6*Assumptions!E31/100</f>
        <v>-279.652312485</v>
      </c>
      <c r="F12" s="4" t="n">
        <f aca="false">-F6*Assumptions!F31/100</f>
        <v>-286.2219223656</v>
      </c>
      <c r="G12" s="4" t="n">
        <f aca="false">-G6*Assumptions!G31/100</f>
        <v>-292.869657336672</v>
      </c>
      <c r="H12" s="4" t="n">
        <f aca="false">-H6*Assumptions!H31/100</f>
        <v>-298.150913452579</v>
      </c>
      <c r="I12" s="4" t="n">
        <f aca="false">-I6*Assumptions!I31/100</f>
        <v>-308.58619542342</v>
      </c>
      <c r="J12" s="4" t="n">
        <f aca="false">-J6*Assumptions!J31/100</f>
        <v>-317.843781286122</v>
      </c>
      <c r="K12" s="4" t="n">
        <f aca="false">-K6*Assumptions!K31/100</f>
        <v>-327.379094724706</v>
      </c>
      <c r="L12" s="4" t="n">
        <f aca="false">-L6*Assumptions!L31/100</f>
        <v>-335.563572092823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226.8124375</v>
      </c>
      <c r="D13" s="0" t="n">
        <f aca="false">D11+D12</f>
        <v>247.555465875</v>
      </c>
      <c r="E13" s="0" t="n">
        <f aca="false">E11+E12</f>
        <v>270.774461295</v>
      </c>
      <c r="F13" s="0" t="n">
        <f aca="false">F11+F12</f>
        <v>295.4548876032</v>
      </c>
      <c r="G13" s="0" t="n">
        <f aca="false">G11+G12</f>
        <v>321.676508877984</v>
      </c>
      <c r="H13" s="0" t="n">
        <f aca="false">H11+H12</f>
        <v>347.842732361342</v>
      </c>
      <c r="I13" s="0" t="n">
        <f aca="false">I11+I12</f>
        <v>370.303434508103</v>
      </c>
      <c r="J13" s="0" t="n">
        <f aca="false">J11+J12</f>
        <v>381.412537543346</v>
      </c>
      <c r="K13" s="0" t="n">
        <f aca="false">K11+K12</f>
        <v>392.854913669647</v>
      </c>
      <c r="L13" s="0" t="n">
        <f aca="false">L11+L12</f>
        <v>402.676286511388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15</v>
      </c>
      <c r="D14" s="4" t="n">
        <f aca="false">Assumptions!D33</f>
        <v>18</v>
      </c>
      <c r="E14" s="4" t="n">
        <f aca="false">Assumptions!E33</f>
        <v>21</v>
      </c>
      <c r="F14" s="4" t="n">
        <f aca="false">Assumptions!F33</f>
        <v>24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192.790571875</v>
      </c>
      <c r="D15" s="0" t="n">
        <f aca="false">D13-MAX(0,D13)*D14/100</f>
        <v>202.9954820175</v>
      </c>
      <c r="E15" s="0" t="n">
        <f aca="false">E13-MAX(0,E13)*E14/100</f>
        <v>213.91182442305</v>
      </c>
      <c r="F15" s="0" t="n">
        <f aca="false">F13-MAX(0,F13)*F14/100</f>
        <v>224.545714578432</v>
      </c>
      <c r="G15" s="0" t="n">
        <f aca="false">G13-MAX(0,G13)*G14/100</f>
        <v>238.040616569708</v>
      </c>
      <c r="H15" s="0" t="n">
        <f aca="false">H13-MAX(0,H13)*H14/100</f>
        <v>257.403621947393</v>
      </c>
      <c r="I15" s="0" t="n">
        <f aca="false">I13-MAX(0,I13)*I14/100</f>
        <v>274.024541535997</v>
      </c>
      <c r="J15" s="0" t="n">
        <f aca="false">J13-MAX(0,J13)*J14/100</f>
        <v>282.245277782076</v>
      </c>
      <c r="K15" s="0" t="n">
        <f aca="false">K13-MAX(0,K13)*K14/100</f>
        <v>290.712636115539</v>
      </c>
      <c r="L15" s="0" t="n">
        <f aca="false">L13-MAX(0,L13)*L14/100</f>
        <v>297.980452018427</v>
      </c>
    </row>
    <row r="16" customFormat="false" ht="15" hidden="false" customHeight="false" outlineLevel="0" collapsed="false">
      <c r="A16" s="0" t="s">
        <v>119</v>
      </c>
      <c r="C16" s="0" t="n">
        <f aca="false">-C12</f>
        <v>268.0510625</v>
      </c>
      <c r="D16" s="0" t="n">
        <f aca="false">-D12</f>
        <v>273.164652</v>
      </c>
      <c r="E16" s="0" t="n">
        <f aca="false">-E12</f>
        <v>279.652312485</v>
      </c>
      <c r="F16" s="0" t="n">
        <f aca="false">-F12</f>
        <v>286.2219223656</v>
      </c>
      <c r="G16" s="0" t="n">
        <f aca="false">-G12</f>
        <v>292.869657336672</v>
      </c>
      <c r="H16" s="0" t="n">
        <f aca="false">-H12</f>
        <v>298.150913452579</v>
      </c>
      <c r="I16" s="0" t="n">
        <f aca="false">-I12</f>
        <v>308.58619542342</v>
      </c>
      <c r="J16" s="0" t="n">
        <f aca="false">-J12</f>
        <v>317.843781286122</v>
      </c>
      <c r="K16" s="0" t="n">
        <f aca="false">-K12</f>
        <v>327.379094724706</v>
      </c>
      <c r="L16" s="0" t="n">
        <f aca="false">-L12</f>
        <v>335.563572092823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-222.688575</v>
      </c>
      <c r="D17" s="4" t="n">
        <f aca="false">-D6*Assumptions!D32/100</f>
        <v>-230.482675125</v>
      </c>
      <c r="E17" s="4" t="n">
        <f aca="false">-E6*Assumptions!E32/100</f>
        <v>-239.70198213</v>
      </c>
      <c r="F17" s="4" t="n">
        <f aca="false">-F6*Assumptions!F32/100</f>
        <v>-249.2900614152</v>
      </c>
      <c r="G17" s="4" t="n">
        <f aca="false">-G6*Assumptions!G32/100</f>
        <v>-259.261663871808</v>
      </c>
      <c r="H17" s="4" t="n">
        <f aca="false">-H6*Assumptions!H32/100</f>
        <v>-268.335822107321</v>
      </c>
      <c r="I17" s="4" t="n">
        <f aca="false">-I6*Assumptions!I32/100</f>
        <v>-277.727575881078</v>
      </c>
      <c r="J17" s="4" t="n">
        <f aca="false">-J6*Assumptions!J32/100</f>
        <v>-286.05940315751</v>
      </c>
      <c r="K17" s="4" t="n">
        <f aca="false">-K6*Assumptions!K32/100</f>
        <v>-294.641185252235</v>
      </c>
      <c r="L17" s="4" t="n">
        <f aca="false">-L6*Assumptions!L32/100</f>
        <v>-302.007214883541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-28.827</v>
      </c>
      <c r="D18" s="4" t="n">
        <f aca="false">(D6-C6)*Assumptions!$B$37/100</f>
        <v>-34.640445</v>
      </c>
      <c r="E18" s="4" t="n">
        <f aca="false">(E6-D6)*Assumptions!$B$37/100</f>
        <v>-40.9746978000001</v>
      </c>
      <c r="F18" s="4" t="n">
        <f aca="false">(F6-E6)*Assumptions!$B$37/100</f>
        <v>-42.613685712</v>
      </c>
      <c r="G18" s="4" t="n">
        <f aca="false">(G6-F6)*Assumptions!$B$37/100</f>
        <v>-44.31823314048</v>
      </c>
      <c r="H18" s="4" t="n">
        <f aca="false">(H6-G6)*Assumptions!$B$37/100</f>
        <v>-40.3295921578368</v>
      </c>
      <c r="I18" s="4" t="n">
        <f aca="false">(I6-H6)*Assumptions!$B$37/100</f>
        <v>-41.741127883361</v>
      </c>
      <c r="J18" s="4" t="n">
        <f aca="false">(J6-I6)*Assumptions!$B$37/100</f>
        <v>-37.0303434508105</v>
      </c>
      <c r="K18" s="4" t="n">
        <f aca="false">(K6-J6)*Assumptions!$B$37/100</f>
        <v>-38.1412537543348</v>
      </c>
      <c r="L18" s="4" t="n">
        <f aca="false">(L6-K6)*Assumptions!$B$37/100</f>
        <v>-32.7379094724705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209.326059375</v>
      </c>
      <c r="D19" s="0" t="n">
        <f aca="false">D15+D16+D17+D18</f>
        <v>211.0370138925</v>
      </c>
      <c r="E19" s="0" t="n">
        <f aca="false">E15+E16+E17+E18</f>
        <v>212.88745697805</v>
      </c>
      <c r="F19" s="0" t="n">
        <f aca="false">F15+F16+F17+F18</f>
        <v>218.863889816832</v>
      </c>
      <c r="G19" s="0" t="n">
        <f aca="false">G15+G16+G17+G18</f>
        <v>227.330376894092</v>
      </c>
      <c r="H19" s="0" t="n">
        <f aca="false">H15+H16+H17+H18</f>
        <v>246.889121134815</v>
      </c>
      <c r="I19" s="0" t="n">
        <f aca="false">I15+I16+I17+I18</f>
        <v>263.142033194978</v>
      </c>
      <c r="J19" s="0" t="n">
        <f aca="false">J15+J16+J17+J18</f>
        <v>276.999312459878</v>
      </c>
      <c r="K19" s="0" t="n">
        <f aca="false">K15+K16+K17+K18</f>
        <v>285.309291833675</v>
      </c>
      <c r="L19" s="0" t="n">
        <f aca="false">L15+L16+L17+L18</f>
        <v>298.798899755239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191.165351027397</v>
      </c>
      <c r="D21" s="0" t="n">
        <f aca="false">D19*D20</f>
        <v>176.007184080816</v>
      </c>
      <c r="E21" s="0" t="n">
        <f aca="false">E19*E20</f>
        <v>162.146551514544</v>
      </c>
      <c r="F21" s="0" t="n">
        <f aca="false">F19*F20</f>
        <v>152.236095528424</v>
      </c>
      <c r="G21" s="0" t="n">
        <f aca="false">G19*G20</f>
        <v>144.40654456208</v>
      </c>
      <c r="H21" s="0" t="n">
        <f aca="false">H19*H20</f>
        <v>143.224474887634</v>
      </c>
      <c r="I21" s="0" t="n">
        <f aca="false">I19*I20</f>
        <v>139.409186117026</v>
      </c>
      <c r="J21" s="0" t="n">
        <f aca="false">J19*J20</f>
        <v>134.018803930072</v>
      </c>
      <c r="K21" s="0" t="n">
        <f aca="false">K19*K20</f>
        <v>126.063349815502</v>
      </c>
      <c r="L21" s="0" t="n">
        <f aca="false">L19*L20</f>
        <v>120.569595033376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1489.24713649687</v>
      </c>
    </row>
    <row r="31" customFormat="false" ht="15" hidden="false" customHeight="false" outlineLevel="0" collapsed="false">
      <c r="A31" s="0" t="s">
        <v>128</v>
      </c>
      <c r="B31" s="0" t="n">
        <f aca="false">L19</f>
        <v>298.798899755239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4375.26960355886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3585.58679706287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3585.58679706287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1446.83514040051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2936.08227689738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2317.08227689738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12.0222394550875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-0.504850104815176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119.222896932215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132.180741371171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13.3266535320924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2450.15097799296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6.00596625142822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6</v>
      </c>
      <c r="D5" s="4" t="n">
        <f aca="false">Assumptions!D41</f>
        <v>6.5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8007.5</v>
      </c>
      <c r="C6" s="0" t="n">
        <f aca="false">B6*(1+C5/100)</f>
        <v>8487.95</v>
      </c>
      <c r="D6" s="0" t="n">
        <f aca="false">C6*(1+D5/100)</f>
        <v>9039.66675</v>
      </c>
      <c r="E6" s="0" t="n">
        <f aca="false">D6*(1+E5/100)</f>
        <v>9582.046755</v>
      </c>
      <c r="F6" s="0" t="n">
        <f aca="false">E6*(1+F5/100)</f>
        <v>10109.059326525</v>
      </c>
      <c r="G6" s="0" t="n">
        <f aca="false">F6*(1+G5/100)</f>
        <v>10614.5122928513</v>
      </c>
      <c r="H6" s="0" t="n">
        <f aca="false">G6*(1+H5/100)</f>
        <v>11092.1653460296</v>
      </c>
      <c r="I6" s="0" t="n">
        <f aca="false">H6*(1+I5/100)</f>
        <v>11535.8519598707</v>
      </c>
      <c r="J6" s="0" t="n">
        <f aca="false">I6*(1+J5/100)</f>
        <v>11939.6067784662</v>
      </c>
      <c r="K6" s="0" t="n">
        <f aca="false">J6*(1+K5/100)</f>
        <v>12297.7949818202</v>
      </c>
      <c r="L6" s="0" t="n">
        <f aca="false">K6*(1+L5/100)</f>
        <v>12605.2398563657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7</v>
      </c>
      <c r="D7" s="4" t="n">
        <f aca="false">Assumptions!D42</f>
        <v>7.5</v>
      </c>
      <c r="E7" s="4" t="n">
        <f aca="false">Assumptions!E42</f>
        <v>8</v>
      </c>
      <c r="F7" s="4" t="n">
        <f aca="false">Assumptions!F42</f>
        <v>8.3</v>
      </c>
      <c r="G7" s="4" t="n">
        <f aca="false">Assumptions!G42</f>
        <v>8.5</v>
      </c>
      <c r="H7" s="4" t="n">
        <f aca="false">Assumptions!H42</f>
        <v>8.6</v>
      </c>
      <c r="I7" s="4" t="n">
        <f aca="false">Assumptions!I42</f>
        <v>8.7</v>
      </c>
      <c r="J7" s="4" t="n">
        <f aca="false">Assumptions!J42</f>
        <v>8.7</v>
      </c>
      <c r="K7" s="4" t="n">
        <f aca="false">Assumptions!K42</f>
        <v>8.7</v>
      </c>
      <c r="L7" s="4" t="n">
        <f aca="false">Assumptions!L42</f>
        <v>8.7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594.1565</v>
      </c>
      <c r="D8" s="0" t="n">
        <f aca="false">D6*D7/100</f>
        <v>677.97500625</v>
      </c>
      <c r="E8" s="0" t="n">
        <f aca="false">E6*E7/100</f>
        <v>766.5637404</v>
      </c>
      <c r="F8" s="0" t="n">
        <f aca="false">F6*F7/100</f>
        <v>839.051924101575</v>
      </c>
      <c r="G8" s="0" t="n">
        <f aca="false">G6*G7/100</f>
        <v>902.233544892357</v>
      </c>
      <c r="H8" s="0" t="n">
        <f aca="false">H6*H7/100</f>
        <v>953.926219758542</v>
      </c>
      <c r="I8" s="0" t="n">
        <f aca="false">I6*I7/100</f>
        <v>1003.61912050875</v>
      </c>
      <c r="J8" s="0" t="n">
        <f aca="false">J6*J7/100</f>
        <v>1038.74578972656</v>
      </c>
      <c r="K8" s="0" t="n">
        <f aca="false">K6*K7/100</f>
        <v>1069.90816341836</v>
      </c>
      <c r="L8" s="0" t="n">
        <f aca="false">L6*L7/100</f>
        <v>1096.65586750382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0.2</v>
      </c>
      <c r="I9" s="4" t="n">
        <f aca="false">Assumptions!I43</f>
        <v>0.2</v>
      </c>
      <c r="J9" s="4" t="n">
        <f aca="false">Assumptions!J43</f>
        <v>0.2</v>
      </c>
      <c r="K9" s="4" t="n">
        <f aca="false">Assumptions!K43</f>
        <v>0.2</v>
      </c>
      <c r="L9" s="4" t="n">
        <f aca="false">Assumptions!L43</f>
        <v>0.2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-16.9759</v>
      </c>
      <c r="D10" s="0" t="n">
        <f aca="false">-D6*D9/100</f>
        <v>-18.0793335</v>
      </c>
      <c r="E10" s="0" t="n">
        <f aca="false">-E6*E9/100</f>
        <v>-19.16409351</v>
      </c>
      <c r="F10" s="0" t="n">
        <f aca="false">-F6*F9/100</f>
        <v>-20.21811865305</v>
      </c>
      <c r="G10" s="0" t="n">
        <f aca="false">-G6*G9/100</f>
        <v>-21.2290245857025</v>
      </c>
      <c r="H10" s="0" t="n">
        <f aca="false">-H6*H9/100</f>
        <v>-22.1843306920591</v>
      </c>
      <c r="I10" s="0" t="n">
        <f aca="false">-I6*I9/100</f>
        <v>-23.0717039197415</v>
      </c>
      <c r="J10" s="0" t="n">
        <f aca="false">-J6*J9/100</f>
        <v>-23.8792135569324</v>
      </c>
      <c r="K10" s="0" t="n">
        <f aca="false">-K6*K9/100</f>
        <v>-24.5955899636404</v>
      </c>
      <c r="L10" s="0" t="n">
        <f aca="false">-L6*L9/100</f>
        <v>-25.2104797127314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577.1806</v>
      </c>
      <c r="D11" s="0" t="n">
        <f aca="false">D8+D10+D24</f>
        <v>659.89567275</v>
      </c>
      <c r="E11" s="0" t="n">
        <f aca="false">E8+E10+E24</f>
        <v>747.39964689</v>
      </c>
      <c r="F11" s="0" t="n">
        <f aca="false">F8+F10+F24</f>
        <v>818.833805448525</v>
      </c>
      <c r="G11" s="0" t="n">
        <f aca="false">G8+G10+G24</f>
        <v>881.004520306654</v>
      </c>
      <c r="H11" s="0" t="n">
        <f aca="false">H8+H10+H24</f>
        <v>931.741889066483</v>
      </c>
      <c r="I11" s="0" t="n">
        <f aca="false">I8+I10+I24</f>
        <v>980.547416589013</v>
      </c>
      <c r="J11" s="0" t="n">
        <f aca="false">J8+J10+J24</f>
        <v>1014.86657616963</v>
      </c>
      <c r="K11" s="0" t="n">
        <f aca="false">K8+K10+K24</f>
        <v>1045.31257345472</v>
      </c>
      <c r="L11" s="0" t="n">
        <f aca="false">L8+L10+L24</f>
        <v>1071.44538779108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-271.6144</v>
      </c>
      <c r="D12" s="4" t="n">
        <f aca="false">-D6*Assumptions!D45/100</f>
        <v>-280.22966925</v>
      </c>
      <c r="E12" s="4" t="n">
        <f aca="false">-E6*Assumptions!E45/100</f>
        <v>-292.2524260275</v>
      </c>
      <c r="F12" s="4" t="n">
        <f aca="false">-F6*Assumptions!F45/100</f>
        <v>-303.27177979575</v>
      </c>
      <c r="G12" s="4" t="n">
        <f aca="false">-G6*Assumptions!G45/100</f>
        <v>-313.128112639112</v>
      </c>
      <c r="H12" s="4" t="n">
        <f aca="false">-H6*Assumptions!H45/100</f>
        <v>-321.672795034857</v>
      </c>
      <c r="I12" s="4" t="n">
        <f aca="false">-I6*Assumptions!I45/100</f>
        <v>-334.539706836252</v>
      </c>
      <c r="J12" s="4" t="n">
        <f aca="false">-J6*Assumptions!J45/100</f>
        <v>-346.24859657552</v>
      </c>
      <c r="K12" s="4" t="n">
        <f aca="false">-K6*Assumptions!K45/100</f>
        <v>-356.636054472786</v>
      </c>
      <c r="L12" s="4" t="n">
        <f aca="false">-L6*Assumptions!L45/100</f>
        <v>-365.551955834605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305.5662</v>
      </c>
      <c r="D13" s="0" t="n">
        <f aca="false">D11+D12</f>
        <v>379.6660035</v>
      </c>
      <c r="E13" s="0" t="n">
        <f aca="false">E11+E12</f>
        <v>455.1472208625</v>
      </c>
      <c r="F13" s="0" t="n">
        <f aca="false">F11+F12</f>
        <v>515.562025652775</v>
      </c>
      <c r="G13" s="0" t="n">
        <f aca="false">G11+G12</f>
        <v>567.876407667542</v>
      </c>
      <c r="H13" s="0" t="n">
        <f aca="false">H11+H12</f>
        <v>610.069094031626</v>
      </c>
      <c r="I13" s="0" t="n">
        <f aca="false">I11+I12</f>
        <v>646.007709752762</v>
      </c>
      <c r="J13" s="0" t="n">
        <f aca="false">J11+J12</f>
        <v>668.617979594108</v>
      </c>
      <c r="K13" s="0" t="n">
        <f aca="false">K11+K12</f>
        <v>688.676518981931</v>
      </c>
      <c r="L13" s="0" t="n">
        <f aca="false">L11+L12</f>
        <v>705.893431956479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16</v>
      </c>
      <c r="D14" s="4" t="n">
        <f aca="false">Assumptions!D47</f>
        <v>19</v>
      </c>
      <c r="E14" s="4" t="n">
        <f aca="false">Assumptions!E47</f>
        <v>22</v>
      </c>
      <c r="F14" s="4" t="n">
        <f aca="false">Assumptions!F47</f>
        <v>25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256.675608</v>
      </c>
      <c r="D15" s="0" t="n">
        <f aca="false">D13-MAX(0,D13)*D14/100</f>
        <v>307.529462835</v>
      </c>
      <c r="E15" s="0" t="n">
        <f aca="false">E13-MAX(0,E13)*E14/100</f>
        <v>355.01483227275</v>
      </c>
      <c r="F15" s="0" t="n">
        <f aca="false">F13-MAX(0,F13)*F14/100</f>
        <v>386.671519239581</v>
      </c>
      <c r="G15" s="0" t="n">
        <f aca="false">G13-MAX(0,G13)*G14/100</f>
        <v>414.549777597306</v>
      </c>
      <c r="H15" s="0" t="n">
        <f aca="false">H13-MAX(0,H13)*H14/100</f>
        <v>445.350438643087</v>
      </c>
      <c r="I15" s="0" t="n">
        <f aca="false">I13-MAX(0,I13)*I14/100</f>
        <v>471.585628119516</v>
      </c>
      <c r="J15" s="0" t="n">
        <f aca="false">J13-MAX(0,J13)*J14/100</f>
        <v>488.091125103699</v>
      </c>
      <c r="K15" s="0" t="n">
        <f aca="false">K13-MAX(0,K13)*K14/100</f>
        <v>502.73385885681</v>
      </c>
      <c r="L15" s="0" t="n">
        <f aca="false">L13-MAX(0,L13)*L14/100</f>
        <v>515.30220532823</v>
      </c>
    </row>
    <row r="16" customFormat="false" ht="15" hidden="false" customHeight="false" outlineLevel="0" collapsed="false">
      <c r="A16" s="0" t="s">
        <v>119</v>
      </c>
      <c r="C16" s="0" t="n">
        <f aca="false">-C12</f>
        <v>271.6144</v>
      </c>
      <c r="D16" s="0" t="n">
        <f aca="false">-D12</f>
        <v>280.22966925</v>
      </c>
      <c r="E16" s="0" t="n">
        <f aca="false">-E12</f>
        <v>292.2524260275</v>
      </c>
      <c r="F16" s="0" t="n">
        <f aca="false">-F12</f>
        <v>303.27177979575</v>
      </c>
      <c r="G16" s="0" t="n">
        <f aca="false">-G12</f>
        <v>313.128112639112</v>
      </c>
      <c r="H16" s="0" t="n">
        <f aca="false">-H12</f>
        <v>321.672795034857</v>
      </c>
      <c r="I16" s="0" t="n">
        <f aca="false">-I12</f>
        <v>334.539706836252</v>
      </c>
      <c r="J16" s="0" t="n">
        <f aca="false">-J12</f>
        <v>346.24859657552</v>
      </c>
      <c r="K16" s="0" t="n">
        <f aca="false">-K12</f>
        <v>356.636054472786</v>
      </c>
      <c r="L16" s="0" t="n">
        <f aca="false">-L12</f>
        <v>365.551955834605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-246.15055</v>
      </c>
      <c r="D17" s="4" t="n">
        <f aca="false">-D6*Assumptions!D46/100</f>
        <v>-262.15033575</v>
      </c>
      <c r="E17" s="4" t="n">
        <f aca="false">-E6*Assumptions!E46/100</f>
        <v>-277.879355895</v>
      </c>
      <c r="F17" s="4" t="n">
        <f aca="false">-F6*Assumptions!F46/100</f>
        <v>-293.162720469225</v>
      </c>
      <c r="G17" s="4" t="n">
        <f aca="false">-G6*Assumptions!G46/100</f>
        <v>-307.820856492686</v>
      </c>
      <c r="H17" s="4" t="n">
        <f aca="false">-H6*Assumptions!H46/100</f>
        <v>-310.580629688828</v>
      </c>
      <c r="I17" s="4" t="n">
        <f aca="false">-I6*Assumptions!I46/100</f>
        <v>-323.003854876381</v>
      </c>
      <c r="J17" s="4" t="n">
        <f aca="false">-J6*Assumptions!J46/100</f>
        <v>-334.308989797054</v>
      </c>
      <c r="K17" s="4" t="n">
        <f aca="false">-K6*Assumptions!K46/100</f>
        <v>-344.338259490966</v>
      </c>
      <c r="L17" s="4" t="n">
        <f aca="false">-L6*Assumptions!L46/100</f>
        <v>-352.94671597824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-48.0450000000001</v>
      </c>
      <c r="D18" s="4" t="n">
        <f aca="false">(D6-C6)*Assumptions!$B$51/100</f>
        <v>-55.171675</v>
      </c>
      <c r="E18" s="4" t="n">
        <f aca="false">(E6-D6)*Assumptions!$B$51/100</f>
        <v>-54.2380005000001</v>
      </c>
      <c r="F18" s="4" t="n">
        <f aca="false">(F6-E6)*Assumptions!$B$51/100</f>
        <v>-52.7012571525</v>
      </c>
      <c r="G18" s="4" t="n">
        <f aca="false">(G6-F6)*Assumptions!$B$51/100</f>
        <v>-50.5452966326251</v>
      </c>
      <c r="H18" s="4" t="n">
        <f aca="false">(H6-G6)*Assumptions!$B$51/100</f>
        <v>-47.7653053178306</v>
      </c>
      <c r="I18" s="4" t="n">
        <f aca="false">(I6-H6)*Assumptions!$B$51/100</f>
        <v>-44.3686613841182</v>
      </c>
      <c r="J18" s="4" t="n">
        <f aca="false">(J6-I6)*Assumptions!$B$51/100</f>
        <v>-40.3754818595475</v>
      </c>
      <c r="K18" s="4" t="n">
        <f aca="false">(K6-J6)*Assumptions!$B$51/100</f>
        <v>-35.8188203353986</v>
      </c>
      <c r="L18" s="4" t="n">
        <f aca="false">(L6-K6)*Assumptions!$B$51/100</f>
        <v>-30.7444874545505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234.094458</v>
      </c>
      <c r="D19" s="0" t="n">
        <f aca="false">D15+D16+D17+D18</f>
        <v>270.437121335</v>
      </c>
      <c r="E19" s="0" t="n">
        <f aca="false">E15+E16+E17+E18</f>
        <v>315.14990190525</v>
      </c>
      <c r="F19" s="0" t="n">
        <f aca="false">F15+F16+F17+F18</f>
        <v>344.079321413606</v>
      </c>
      <c r="G19" s="0" t="n">
        <f aca="false">G15+G16+G17+G18</f>
        <v>369.311737111106</v>
      </c>
      <c r="H19" s="0" t="n">
        <f aca="false">H15+H16+H17+H18</f>
        <v>408.677298671286</v>
      </c>
      <c r="I19" s="0" t="n">
        <f aca="false">I15+I16+I17+I18</f>
        <v>438.752818695268</v>
      </c>
      <c r="J19" s="0" t="n">
        <f aca="false">J15+J16+J17+J18</f>
        <v>459.655250022618</v>
      </c>
      <c r="K19" s="0" t="n">
        <f aca="false">K15+K16+K17+K18</f>
        <v>479.212833503232</v>
      </c>
      <c r="L19" s="0" t="n">
        <f aca="false">L15+L16+L17+L18</f>
        <v>497.162957730045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214.765557798165</v>
      </c>
      <c r="D21" s="0" t="n">
        <f aca="false">D19*D20</f>
        <v>227.621514464271</v>
      </c>
      <c r="E21" s="0" t="n">
        <f aca="false">E19*E20</f>
        <v>243.353547994099</v>
      </c>
      <c r="F21" s="0" t="n">
        <f aca="false">F19*F20</f>
        <v>243.754465895604</v>
      </c>
      <c r="G21" s="0" t="n">
        <f aca="false">G19*G20</f>
        <v>240.027289276871</v>
      </c>
      <c r="H21" s="0" t="n">
        <f aca="false">H19*H20</f>
        <v>243.680920434946</v>
      </c>
      <c r="I21" s="0" t="n">
        <f aca="false">I19*I20</f>
        <v>240.012816847843</v>
      </c>
      <c r="J21" s="0" t="n">
        <f aca="false">J19*J20</f>
        <v>230.685470260907</v>
      </c>
      <c r="K21" s="0" t="n">
        <f aca="false">K19*K20</f>
        <v>220.642900845608</v>
      </c>
      <c r="L21" s="0" t="n">
        <f aca="false">L19*L20</f>
        <v>210.007006133396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2314.55148995171</v>
      </c>
    </row>
    <row r="31" customFormat="false" ht="15" hidden="false" customHeight="false" outlineLevel="0" collapsed="false">
      <c r="A31" s="0" t="s">
        <v>128</v>
      </c>
      <c r="B31" s="0" t="n">
        <f aca="false">L19</f>
        <v>497.162957730045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8534.63077436577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6960.28140822063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6960.28140822063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2940.09808586754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5254.64957581925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4635.64957581925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24.0521839841607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-0.0093828672091959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133.51651196488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182.810907500212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25.6934567265821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4267.31538718289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11.3235614327919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3.68155603710672</v>
      </c>
      <c r="C4" s="0" t="n">
        <f aca="false">B4/Assumptions!$B$2-1</f>
        <v>-0.84837083866941</v>
      </c>
      <c r="D4" s="4" t="n">
        <f aca="false">Assumptions!$B$24</f>
        <v>0.25</v>
      </c>
      <c r="E4" s="4" t="n">
        <f aca="false">DCF_Bear!$B$43</f>
        <v>4.61832070403266</v>
      </c>
      <c r="F4" s="4" t="n">
        <f aca="false">DCF_Bear!$B$47</f>
        <v>1.63934616437514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12.0222394550875</v>
      </c>
      <c r="C5" s="0" t="n">
        <f aca="false">B5/Assumptions!$B$2-1</f>
        <v>-0.504850104815176</v>
      </c>
      <c r="D5" s="4" t="n">
        <f aca="false">Assumptions!$B$38</f>
        <v>0.5</v>
      </c>
      <c r="E5" s="4" t="n">
        <f aca="false">DCF_Base!$B$43</f>
        <v>13.3266535320924</v>
      </c>
      <c r="F5" s="4" t="n">
        <f aca="false">DCF_Base!$B$47</f>
        <v>6.00596625142822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24.0521839841607</v>
      </c>
      <c r="C6" s="0" t="n">
        <f aca="false">B6/Assumptions!$B$2-1</f>
        <v>-0.0093828672091959</v>
      </c>
      <c r="D6" s="4" t="n">
        <f aca="false">Assumptions!$B$52</f>
        <v>0.25</v>
      </c>
      <c r="E6" s="4" t="n">
        <f aca="false">DCF_Bull!$B$43</f>
        <v>25.6934567265821</v>
      </c>
      <c r="F6" s="4" t="n">
        <f aca="false">DCF_Bull!$B$47</f>
        <v>11.3235614327919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12.9445547328606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14.2412711236999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-0.875692173355611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874.16534156731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6.24371002500588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12.5572733512063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12.0222394550875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11.5107943479524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10.553986934566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9.07386856733083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6.00596625142822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14.3168599438487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14.3168599438487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14.3168599438487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14.3168599438487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14.3168599438487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13.1171534663758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13.1171534663758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13.1171534663758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13.1171534663758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13.1171534663758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12.0222394550875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12.0222394550875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12.0222394550875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12.0222394550875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12.0222394550875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10.6092060080797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11.0217506771155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11.0217506771155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11.0217506771155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11.0217506771155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9.14073519208909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9.44706940599315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9.78744075477543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10.1064434987014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10.1064434987014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2026-09-25T05:13:40Z</dcterms:created>
  <dc:creator>openpyxl</dc:creator>
  <dc:description/>
  <dc:language>en-NZ</dc:language>
  <cp:lastModifiedBy/>
  <dcterms:modified xsi:type="dcterms:W3CDTF">2026-09-25T05:13:40Z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