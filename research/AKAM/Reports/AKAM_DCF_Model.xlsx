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5.xml" ContentType="application/vnd.openxmlformats-officedocument.spreadsheetml.worksheet+xml"/>
  <Override PartName="/xl/worksheets/sheet3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Model_Info" sheetId="1" state="visible" r:id="rId3"/>
    <sheet name="Actuals" sheetId="2" state="visible" r:id="rId4"/>
    <sheet name="Assumptions" sheetId="3" state="visible" r:id="rId5"/>
    <sheet name="DCF_Bear" sheetId="4" state="visible" r:id="rId6"/>
    <sheet name="DCF_Base" sheetId="5" state="visible" r:id="rId7"/>
    <sheet name="DCF_Bull" sheetId="6" state="visible" r:id="rId8"/>
    <sheet name="Valuation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<sst xmlns="http://schemas.openxmlformats.org/spreadsheetml/2006/main" count="390" uniqueCount="175">
  <si>
    <t xml:space="preserve">Ticker</t>
  </si>
  <si>
    <t xml:space="preserve">AKAM</t>
  </si>
  <si>
    <t xml:space="preserve">Company</t>
  </si>
  <si>
    <t xml:space="preserve">Akamai Technologies, Inc.</t>
  </si>
  <si>
    <t xml:space="preserve">Valuation date</t>
  </si>
  <si>
    <t xml:space="preserve">2026-09-25</t>
  </si>
  <si>
    <t xml:space="preserve">Current price</t>
  </si>
  <si>
    <t xml:space="preserve">Price as of</t>
  </si>
  <si>
    <t xml:space="preserve">2026-09-24T20:00:01Z regular close (Yahoo Finance chart API)</t>
  </si>
  <si>
    <t xml:space="preserve">Balance sheet date</t>
  </si>
  <si>
    <t xml:space="preserve">2026-06-30</t>
  </si>
  <si>
    <t xml:space="preserve">Model</t>
  </si>
  <si>
    <t xml:space="preserve">owner_fcf_dcf_component</t>
  </si>
  <si>
    <t xml:space="preserve">Currency (model)</t>
  </si>
  <si>
    <t xml:space="preserve">USD</t>
  </si>
  <si>
    <t xml:space="preserve">Currency (quote)</t>
  </si>
  <si>
    <t xml:space="preserve">Units</t>
  </si>
  <si>
    <t xml:space="preserve">millions</t>
  </si>
  <si>
    <t xml:space="preserve">Engine</t>
  </si>
  <si>
    <t xml:space="preserve">dcf_engine v1</t>
  </si>
  <si>
    <t xml:space="preserve">Built at</t>
  </si>
  <si>
    <t xml:space="preserve">2026-09-25T09:41:14Z</t>
  </si>
  <si>
    <t xml:space="preserve">Drivers file</t>
  </si>
  <si>
    <t xml:space="preserve">AKAM_Drivers.json</t>
  </si>
  <si>
    <t xml:space="preserve">Convention</t>
  </si>
  <si>
    <t xml:space="preserve">Percents stored as percents; formulas divide by 100. Blue = input, green = link, black = formula.</t>
  </si>
  <si>
    <t xml:space="preserve">Methodology</t>
  </si>
  <si>
    <t xml:space="preserve">summary: Akamai is mid-transition from a mature, high-margin CDN/security compounder into a much more capital-intensive AI/cloud-compute infrastructure provider, funded almost entirely by convertible debt and equity dilution (warrants) rather than internal cash flow. The Sept 24, 2026 Anthropic expansion (up to $11.6B, potential $20B) is the single largest disclosed catalyst in the company's history but is one day old at this valuation date -- it is deliberately NOT baked into base-case FY2026 growth (management itself says minimal FY2026 revenue impact) and only partially credited in FY2027-28 acceleration via management's own 'low-teens' commentary; the full bull-case scale of the relationship is treated as upside, not the central case. The capex step-up (~40% of revenue guided for FY2026, ~$5.5B tied specifically to Anthropic) is taken at face value and drives genuinely negative owner FCF for years 1-4 across all three scenarios -- this is not a modeling artifact, it is what the guidance says will happen, and ignoring it would materially overstate near-term intrinsic value. Net debt is calculated against total liquid assets (cash + short + long-term marketable securities, $4.6B) rather than cash alone, because the May-2026 $3.5B raise sits predominantly in marketable securities on the balance sheet.
key_risks_to_valuation: AI capex cycle sensitivity -- Akamai's entire forward growth acceleration is now levered to continued large-scale spending by a small number of frontier AI labs; any slowdown, renegotiation, or financing stress at Anthropic (or peers) directly hits the model's growth and margin recovery assumptions; Execution risk in an unproven, lower-margin, capital-intensive business where Akamai is structurally disadvantaged versus hyperscalers on GPU/co-location/power purchasing power; Convertible-note dilution mechanics -- the 2033 Notes' market-price trigger was already met at Q2 2026 (conversion price $93.01, well below the $110.41 current price) and reclassified to current liabilities; while note hedges cap the economic dilution up to warrant strikes ($155-$283/share), a sustained rally past those strikes, or vesting of the undisclosed-terms ~5% Anthropic warrant, would dilute per-share value beyond what this model's flat 153.686M share count captures; Legacy Delivery revenue (~30% of FY2025 revenue) remains in structural decline with no sign of stabilization, a permanent headwind the base case does not assume reverses; Gross margin compression from the cloud/compute mix shift (60.4% FY2023 -&gt; 55.8-56.1% H1 2026) is a real, ongoing structural change, not a one-off -- the component build reflects it rather than extrapolating historical margins forward</t>
  </si>
  <si>
    <t xml:space="preserve">Data sources</t>
  </si>
  <si>
    <t xml:space="preserve">price: Yahoo Finance chart API at inputs.price_as_of; 52-week range 70.82-165.45
financials: research/AKAM/Reports/AKAM_Metrics.csv (SEC XBRL + hand-filled recent-period revenue/gross-profit/debt, see AKAM_Corrections.jsonl); Q2 2026 10-Q and FY2025 10-K (research/AKAM/Extracted/) for balance-sheet anchors, interest income/expense, diluted share reconciliation and convertible-note terms not carried in core_metrics
qualitative: research/AKAM/Reports/AKAM_Analysis.json (2026-09-25), including the recent_developments and guidance sections covering the Sept 24, 2026 Anthropic expansion</t>
  </si>
  <si>
    <t xml:space="preserve">Scenario narrative: bear</t>
  </si>
  <si>
    <t xml:space="preserve">The AI capex supercycle funding this deal cools, or Anthropic/another counterparty pulls back; CIS utilization lags the capacity built for it and ~$5.5B of contractually-committed Anthropic-linked capex becomes semi-stranded; Delivery's structural decline continues unoffset. Owner FCF stays negative for six of ten years and matures to only a ~5.5% margin -- value-destroying capital allocation, though the legacy security/delivery business keeps the company solvent (terminal FCF stays barely positive, no zero-floor hit).</t>
  </si>
  <si>
    <t xml:space="preserve">Scenario narrative: base</t>
  </si>
  <si>
    <t xml:space="preserve">FY2026 guided growth (6.6%) accelerating to a management-guided 'low-teens' pace in FY2027-28 as the Anthropic and other 2026 AI-infrastructure commitments ramp, then decelerating to a 3% terminal rate; EBITDA margin dips through the FY2026-27 investment phase before recovering toward 33% as CIS contracts reach guided full-utilization economics; capex tapers from the guided ~40%-of-revenue FY2026 level toward a 10% steady state as the initial buildout completes. Owner FCF is negative for four years and matures to a ~12.7% margin -- below AKAM's historical peak but consistent with a structurally more capital-intensive, lower-gross-margin cloud/AI mix.</t>
  </si>
  <si>
    <t xml:space="preserve">Scenario narrative: bull</t>
  </si>
  <si>
    <t xml:space="preserve">The Anthropic relationship and adjacent frontier-AI-lab/enterprise deals scale toward and beyond the disclosed ~$20B potential; utilization ramps faster than guided so CIS hits its 60-70% gross-margin economics sooner and capex efficiency improves with scale; Security keeps compounding at a mid-teens clip. Terminal owner-FCF margin recovers to ~14.8%, back near Akamai's historical character despite the mix shift.</t>
  </si>
  <si>
    <t xml:space="preserve">Period</t>
  </si>
  <si>
    <t xml:space="preserve">Revenue</t>
  </si>
  <si>
    <t xml:space="preserve">CostOfRevenue</t>
  </si>
  <si>
    <t xml:space="preserve">GrossProfit</t>
  </si>
  <si>
    <t xml:space="preserve">GrossMargin</t>
  </si>
  <si>
    <t xml:space="preserve">OperatingIncome</t>
  </si>
  <si>
    <t xml:space="preserve">OperatingMargin</t>
  </si>
  <si>
    <t xml:space="preserve">EBITDA</t>
  </si>
  <si>
    <t xml:space="preserve">NetIncome</t>
  </si>
  <si>
    <t xml:space="preserve">NetMargin</t>
  </si>
  <si>
    <t xml:space="preserve">EPS</t>
  </si>
  <si>
    <t xml:space="preserve">OperatingCashFlow</t>
  </si>
  <si>
    <t xml:space="preserve">CapEx</t>
  </si>
  <si>
    <t xml:space="preserve">FreeCashFlow</t>
  </si>
  <si>
    <t xml:space="preserve">ShareholdersEquity</t>
  </si>
  <si>
    <t xml:space="preserve">TotalAssets</t>
  </si>
  <si>
    <t xml:space="preserve">TotalLiabilities</t>
  </si>
  <si>
    <t xml:space="preserve">TotalDebt</t>
  </si>
  <si>
    <t xml:space="preserve">CashAndEquivalents</t>
  </si>
  <si>
    <t xml:space="preserve">SharesOutstanding</t>
  </si>
  <si>
    <t xml:space="preserve">StockBasedComp</t>
  </si>
  <si>
    <t xml:space="preserve">DividendPerShare</t>
  </si>
  <si>
    <t xml:space="preserve">EBITDABeforeSignificant</t>
  </si>
  <si>
    <t xml:space="preserve">RevenueContinuing</t>
  </si>
  <si>
    <t xml:space="preserve">EBITDAContinuingBeforeSignificant</t>
  </si>
  <si>
    <t xml:space="preserve">EBITContinuingBeforeSignificant</t>
  </si>
  <si>
    <t xml:space="preserve">Currency</t>
  </si>
  <si>
    <t xml:space="preserve">FY2006</t>
  </si>
  <si>
    <t xml:space="preserve">FY2007</t>
  </si>
  <si>
    <t xml:space="preserve">FY2008</t>
  </si>
  <si>
    <t xml:space="preserve">FY2009</t>
  </si>
  <si>
    <t xml:space="preserve">FY2010</t>
  </si>
  <si>
    <t xml:space="preserve">FY2011</t>
  </si>
  <si>
    <t xml:space="preserve">FY2012</t>
  </si>
  <si>
    <t xml:space="preserve">FY2013</t>
  </si>
  <si>
    <t xml:space="preserve">FY2014</t>
  </si>
  <si>
    <t xml:space="preserve">FY2015</t>
  </si>
  <si>
    <t xml:space="preserve">FY2016</t>
  </si>
  <si>
    <t xml:space="preserve">FY2017</t>
  </si>
  <si>
    <t xml:space="preserve">FY2018</t>
  </si>
  <si>
    <t xml:space="preserve">FY2019</t>
  </si>
  <si>
    <t xml:space="preserve">FY2020</t>
  </si>
  <si>
    <t xml:space="preserve">FY2021</t>
  </si>
  <si>
    <t xml:space="preserve">FY2022</t>
  </si>
  <si>
    <t xml:space="preserve">FY2023</t>
  </si>
  <si>
    <t xml:space="preserve">FY2024</t>
  </si>
  <si>
    <t xml:space="preserve">FY2025</t>
  </si>
  <si>
    <t xml:space="preserve">Input</t>
  </si>
  <si>
    <t xml:space="preserve">Value</t>
  </si>
  <si>
    <t xml:space="preserve">Current price (quote currency)</t>
  </si>
  <si>
    <t xml:space="preserve">Shares, final projected (m)</t>
  </si>
  <si>
    <t xml:space="preserve">Net debt (m, model currency)</t>
  </si>
  <si>
    <t xml:space="preserve">Equity bridge total (m, + adds)</t>
  </si>
  <si>
    <t xml:space="preserve">Hurdle rate (%)</t>
  </si>
  <si>
    <t xml:space="preserve">Base revenue FY0 (m)</t>
  </si>
  <si>
    <t xml:space="preserve">FY0</t>
  </si>
  <si>
    <t xml:space="preserve">Currency / units</t>
  </si>
  <si>
    <t xml:space="preserve">USD millions</t>
  </si>
  <si>
    <t xml:space="preserve">FX rate (model -&gt; quote)</t>
  </si>
  <si>
    <t xml:space="preserve">BEAR</t>
  </si>
  <si>
    <t xml:space="preserve">FY2026</t>
  </si>
  <si>
    <t xml:space="preserve">FY2027</t>
  </si>
  <si>
    <t xml:space="preserve">FY2028</t>
  </si>
  <si>
    <t xml:space="preserve">FY2029</t>
  </si>
  <si>
    <t xml:space="preserve">FY2030</t>
  </si>
  <si>
    <t xml:space="preserve">FY2031</t>
  </si>
  <si>
    <t xml:space="preserve">FY2032</t>
  </si>
  <si>
    <t xml:space="preserve">FY2033</t>
  </si>
  <si>
    <t xml:space="preserve">FY2034</t>
  </si>
  <si>
    <t xml:space="preserve">FY2035</t>
  </si>
  <si>
    <t xml:space="preserve">Revenue growth (%)</t>
  </si>
  <si>
    <t xml:space="preserve">EBITDA margin (%)</t>
  </si>
  <si>
    <t xml:space="preserve">SBC (% of revenue)</t>
  </si>
  <si>
    <t xml:space="preserve">Lease cost (% of revenue)</t>
  </si>
  <si>
    <t xml:space="preserve">D&amp;A (% of revenue)</t>
  </si>
  <si>
    <t xml:space="preserve">Capex (% of revenue)</t>
  </si>
  <si>
    <t xml:space="preserve">Cash tax rate (%)</t>
  </si>
  <si>
    <t xml:space="preserve">WACC (%)</t>
  </si>
  <si>
    <t xml:space="preserve">Terminal growth (%)</t>
  </si>
  <si>
    <t xml:space="preserve">Terminal cap multiple (x FCF)</t>
  </si>
  <si>
    <t xml:space="preserve">Working-capital capture (% of revenue change)</t>
  </si>
  <si>
    <t xml:space="preserve">Scenario weight</t>
  </si>
  <si>
    <t xml:space="preserve">BASE</t>
  </si>
  <si>
    <t xml:space="preserve">BULL</t>
  </si>
  <si>
    <t xml:space="preserve">AKAM owner-FCF component DCF: bear case (millions, USD)</t>
  </si>
  <si>
    <t xml:space="preserve">Line</t>
  </si>
  <si>
    <t xml:space="preserve">Year index (discount exponent)</t>
  </si>
  <si>
    <t xml:space="preserve">SBC charge</t>
  </si>
  <si>
    <t xml:space="preserve">Owner EBITDA (after SBC and leases)</t>
  </si>
  <si>
    <t xml:space="preserve">D&amp;A</t>
  </si>
  <si>
    <t xml:space="preserve">EBIT</t>
  </si>
  <si>
    <t xml:space="preserve">NOPAT</t>
  </si>
  <si>
    <t xml:space="preserve">D&amp;A add-back</t>
  </si>
  <si>
    <t xml:space="preserve">Capex</t>
  </si>
  <si>
    <t xml:space="preserve">Working capital</t>
  </si>
  <si>
    <t xml:space="preserve">Unlevered owner FCF</t>
  </si>
  <si>
    <t xml:space="preserve">Discount factor</t>
  </si>
  <si>
    <t xml:space="preserve">PV of FCF</t>
  </si>
  <si>
    <t xml:space="preserve">Lease cost</t>
  </si>
  <si>
    <t xml:space="preserve">Valuation</t>
  </si>
  <si>
    <t xml:space="preserve">Sum of PV of FCF</t>
  </si>
  <si>
    <t xml:space="preserve">Terminal-year FCF</t>
  </si>
  <si>
    <t xml:space="preserve">Gordon terminal value</t>
  </si>
  <si>
    <t xml:space="preserve">Cap terminal value</t>
  </si>
  <si>
    <t xml:space="preserve">Terminal value used: MAX(0,MIN(Gordon,cap))</t>
  </si>
  <si>
    <t xml:space="preserve">PV of terminal value</t>
  </si>
  <si>
    <t xml:space="preserve">Enterprise value</t>
  </si>
  <si>
    <t xml:space="preserve">Equity value (EV + bridge - net debt)</t>
  </si>
  <si>
    <t xml:space="preserve">Value per share (quote currency)</t>
  </si>
  <si>
    <t xml:space="preserve">Upside vs price</t>
  </si>
  <si>
    <t xml:space="preserve">Street memo: PV of explicit-period SBC</t>
  </si>
  <si>
    <t xml:space="preserve">Street memo: PV of terminal SBC (Gordon)</t>
  </si>
  <si>
    <t xml:space="preserve">Street value per share</t>
  </si>
  <si>
    <t xml:space="preserve">Terminal value at hurdle: MAX(0,MIN(Gordon@hurdle,cap))</t>
  </si>
  <si>
    <t xml:space="preserve">Hurdle entry price (quote currency)</t>
  </si>
  <si>
    <t xml:space="preserve">AKAM owner-FCF component DCF: base case (millions, USD)</t>
  </si>
  <si>
    <t xml:space="preserve">AKAM owner-FCF component DCF: bull case (millions, USD)</t>
  </si>
  <si>
    <t xml:space="preserve">AKAM valuation summary</t>
  </si>
  <si>
    <t xml:space="preserve">Scenario</t>
  </si>
  <si>
    <t xml:space="preserve">Value per share</t>
  </si>
  <si>
    <t xml:space="preserve">Weight</t>
  </si>
  <si>
    <t xml:space="preserve">Hurdle entry price</t>
  </si>
  <si>
    <t xml:space="preserve">Bear</t>
  </si>
  <si>
    <t xml:space="preserve">Base</t>
  </si>
  <si>
    <t xml:space="preserve">Bull</t>
  </si>
  <si>
    <t xml:space="preserve">Probability-weighted value per share</t>
  </si>
  <si>
    <t xml:space="preserve">Street weighted value per share</t>
  </si>
  <si>
    <t xml:space="preserve">Margin of safety (1 - price/weighted)</t>
  </si>
  <si>
    <t xml:space="preserve">Band position (%; 0 = house, 100 = street)</t>
  </si>
  <si>
    <t xml:space="preserve">Weighted 15% hurdle entry price</t>
  </si>
  <si>
    <t xml:space="preserve">Required-return table (base case; each row rebuilds its own terminal value)</t>
  </si>
  <si>
    <t xml:space="preserve">Rate (%)</t>
  </si>
  <si>
    <t xml:space="preserve">Value per share at 9%</t>
  </si>
  <si>
    <t xml:space="preserve">Value per share at 9.5% (WACC)</t>
  </si>
  <si>
    <t xml:space="preserve">Value per share at 10%</t>
  </si>
  <si>
    <t xml:space="preserve">Value per share at 11%</t>
  </si>
  <si>
    <t xml:space="preserve">Value per share at 12%</t>
  </si>
  <si>
    <t xml:space="preserve">Value per share at 15%</t>
  </si>
  <si>
    <t xml:space="preserve">Sensitivity: value per share, rows WACC (%) x columns terminal growth (%)</t>
  </si>
</sst>
</file>

<file path=xl/styles.xml><?xml version="1.0" encoding="utf-8"?>
<styleSheet xmlns="http://schemas.openxmlformats.org/spreadsheetml/2006/main">
  <numFmts count="1">
    <numFmt numFmtId="164" formatCode="General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  <font>
      <sz val="11"/>
      <color rgb="FF0000FF"/>
      <name val="Cambria"/>
      <family val="0"/>
      <charset val="1"/>
    </font>
    <font>
      <sz val="11"/>
      <color rgb="FF008000"/>
      <name val="Cambria"/>
      <family val="0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00"/>
  </cols>
  <sheetData>
    <row r="1" customFormat="false" ht="15" hidden="false" customHeight="false" outlineLevel="0" collapsed="false">
      <c r="A1" s="0" t="s">
        <v>0</v>
      </c>
      <c r="B1" s="0" t="s">
        <v>1</v>
      </c>
    </row>
    <row r="2" customFormat="false" ht="15" hidden="false" customHeight="false" outlineLevel="0" collapsed="false">
      <c r="A2" s="0" t="s">
        <v>2</v>
      </c>
      <c r="B2" s="0" t="s">
        <v>3</v>
      </c>
    </row>
    <row r="3" customFormat="false" ht="15" hidden="false" customHeight="false" outlineLevel="0" collapsed="false">
      <c r="A3" s="0" t="s">
        <v>4</v>
      </c>
      <c r="B3" s="0" t="s">
        <v>5</v>
      </c>
    </row>
    <row r="4" customFormat="false" ht="15" hidden="false" customHeight="false" outlineLevel="0" collapsed="false">
      <c r="A4" s="0" t="s">
        <v>6</v>
      </c>
      <c r="B4" s="0" t="n">
        <v>110.41</v>
      </c>
    </row>
    <row r="5" customFormat="false" ht="15" hidden="false" customHeight="false" outlineLevel="0" collapsed="false">
      <c r="A5" s="0" t="s">
        <v>7</v>
      </c>
      <c r="B5" s="0" t="s">
        <v>8</v>
      </c>
    </row>
    <row r="6" customFormat="false" ht="15" hidden="false" customHeight="false" outlineLevel="0" collapsed="false">
      <c r="A6" s="0" t="s">
        <v>9</v>
      </c>
      <c r="B6" s="0" t="s">
        <v>10</v>
      </c>
    </row>
    <row r="7" customFormat="false" ht="15" hidden="false" customHeight="false" outlineLevel="0" collapsed="false">
      <c r="A7" s="0" t="s">
        <v>11</v>
      </c>
      <c r="B7" s="0" t="s">
        <v>12</v>
      </c>
    </row>
    <row r="8" customFormat="false" ht="15" hidden="false" customHeight="false" outlineLevel="0" collapsed="false">
      <c r="A8" s="0" t="s">
        <v>13</v>
      </c>
      <c r="B8" s="0" t="s">
        <v>14</v>
      </c>
    </row>
    <row r="9" customFormat="false" ht="15" hidden="false" customHeight="false" outlineLevel="0" collapsed="false">
      <c r="A9" s="0" t="s">
        <v>15</v>
      </c>
      <c r="B9" s="0" t="s">
        <v>14</v>
      </c>
    </row>
    <row r="10" customFormat="false" ht="15" hidden="false" customHeight="false" outlineLevel="0" collapsed="false">
      <c r="A10" s="0" t="s">
        <v>16</v>
      </c>
      <c r="B10" s="0" t="s">
        <v>17</v>
      </c>
    </row>
    <row r="11" customFormat="false" ht="15" hidden="false" customHeight="false" outlineLevel="0" collapsed="false">
      <c r="A11" s="0" t="s">
        <v>18</v>
      </c>
      <c r="B11" s="0" t="s">
        <v>19</v>
      </c>
    </row>
    <row r="12" customFormat="false" ht="15" hidden="false" customHeight="false" outlineLevel="0" collapsed="false">
      <c r="A12" s="0" t="s">
        <v>20</v>
      </c>
      <c r="B12" s="0" t="s">
        <v>21</v>
      </c>
    </row>
    <row r="13" customFormat="false" ht="15" hidden="false" customHeight="false" outlineLevel="0" collapsed="false">
      <c r="A13" s="0" t="s">
        <v>22</v>
      </c>
      <c r="B13" s="0" t="s">
        <v>23</v>
      </c>
    </row>
    <row r="14" customFormat="false" ht="15" hidden="false" customHeight="false" outlineLevel="0" collapsed="false">
      <c r="A14" s="0" t="s">
        <v>24</v>
      </c>
      <c r="B14" s="0" t="s">
        <v>25</v>
      </c>
    </row>
    <row r="15" customFormat="false" ht="23.85" hidden="false" customHeight="false" outlineLevel="0" collapsed="false">
      <c r="A15" s="0" t="s">
        <v>26</v>
      </c>
      <c r="B15" s="1" t="s">
        <v>27</v>
      </c>
    </row>
    <row r="16" customFormat="false" ht="35.05" hidden="false" customHeight="false" outlineLevel="0" collapsed="false">
      <c r="A16" s="0" t="s">
        <v>28</v>
      </c>
      <c r="B16" s="1" t="s">
        <v>29</v>
      </c>
    </row>
    <row r="17" customFormat="false" ht="15" hidden="false" customHeight="false" outlineLevel="0" collapsed="false">
      <c r="A17" s="0" t="s">
        <v>30</v>
      </c>
      <c r="B17" s="0" t="s">
        <v>31</v>
      </c>
    </row>
    <row r="18" customFormat="false" ht="15" hidden="false" customHeight="false" outlineLevel="0" collapsed="false">
      <c r="A18" s="0" t="s">
        <v>32</v>
      </c>
      <c r="B18" s="0" t="s">
        <v>33</v>
      </c>
    </row>
    <row r="19" customFormat="false" ht="15" hidden="false" customHeight="false" outlineLevel="0" collapsed="false">
      <c r="A19" s="0" t="s">
        <v>34</v>
      </c>
      <c r="B19" s="0" t="s">
        <v>35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B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sheetData>
    <row r="1" customFormat="false" ht="15" hidden="false" customHeight="false" outlineLevel="0" collapsed="false">
      <c r="A1" s="2" t="s">
        <v>36</v>
      </c>
      <c r="B1" s="2" t="s">
        <v>37</v>
      </c>
      <c r="C1" s="2" t="s">
        <v>38</v>
      </c>
      <c r="D1" s="2" t="s">
        <v>39</v>
      </c>
      <c r="E1" s="2" t="s">
        <v>40</v>
      </c>
      <c r="F1" s="2" t="s">
        <v>41</v>
      </c>
      <c r="G1" s="2" t="s">
        <v>42</v>
      </c>
      <c r="H1" s="2" t="s">
        <v>43</v>
      </c>
      <c r="I1" s="2" t="s">
        <v>44</v>
      </c>
      <c r="J1" s="2" t="s">
        <v>45</v>
      </c>
      <c r="K1" s="2" t="s">
        <v>46</v>
      </c>
      <c r="L1" s="2" t="s">
        <v>47</v>
      </c>
      <c r="M1" s="2" t="s">
        <v>48</v>
      </c>
      <c r="N1" s="2" t="s">
        <v>49</v>
      </c>
      <c r="O1" s="2" t="s">
        <v>50</v>
      </c>
      <c r="P1" s="2" t="s">
        <v>51</v>
      </c>
      <c r="Q1" s="2" t="s">
        <v>52</v>
      </c>
      <c r="R1" s="2" t="s">
        <v>53</v>
      </c>
      <c r="S1" s="2" t="s">
        <v>54</v>
      </c>
      <c r="T1" s="2" t="s">
        <v>55</v>
      </c>
      <c r="U1" s="2" t="s">
        <v>56</v>
      </c>
      <c r="V1" s="2" t="s">
        <v>57</v>
      </c>
      <c r="W1" s="2" t="s">
        <v>58</v>
      </c>
      <c r="X1" s="2" t="s">
        <v>59</v>
      </c>
      <c r="Y1" s="2" t="s">
        <v>60</v>
      </c>
      <c r="Z1" s="2" t="s">
        <v>61</v>
      </c>
      <c r="AA1" s="2" t="s">
        <v>16</v>
      </c>
      <c r="AB1" s="2" t="s">
        <v>62</v>
      </c>
    </row>
    <row r="2" customFormat="false" ht="15" hidden="false" customHeight="false" outlineLevel="0" collapsed="false">
      <c r="A2" s="0" t="s">
        <v>63</v>
      </c>
      <c r="O2" s="0" t="n">
        <v>954.693</v>
      </c>
      <c r="S2" s="0" t="n">
        <v>80.595</v>
      </c>
      <c r="AA2" s="0" t="s">
        <v>17</v>
      </c>
      <c r="AB2" s="0" t="s">
        <v>14</v>
      </c>
    </row>
    <row r="3" customFormat="false" ht="15" hidden="false" customHeight="false" outlineLevel="0" collapsed="false">
      <c r="A3" s="0" t="s">
        <v>64</v>
      </c>
      <c r="B3" s="0" t="n">
        <v>636.406</v>
      </c>
      <c r="C3" s="0" t="n">
        <v>167.444</v>
      </c>
      <c r="D3" s="0" t="n">
        <v>468.962</v>
      </c>
      <c r="E3" s="0" t="n">
        <v>73.6891229812415</v>
      </c>
      <c r="F3" s="0" t="n">
        <v>144.928</v>
      </c>
      <c r="G3" s="0" t="n">
        <v>22.772883976581</v>
      </c>
      <c r="H3" s="0" t="n">
        <v>216.823</v>
      </c>
      <c r="I3" s="0" t="n">
        <v>100.967</v>
      </c>
      <c r="J3" s="0" t="n">
        <v>15.8651866890004</v>
      </c>
      <c r="K3" s="0" t="n">
        <v>0.56</v>
      </c>
      <c r="L3" s="0" t="n">
        <v>236.954</v>
      </c>
      <c r="M3" s="0" t="n">
        <v>81.405</v>
      </c>
      <c r="N3" s="0" t="n">
        <v>155.549</v>
      </c>
      <c r="O3" s="0" t="n">
        <v>1358.552</v>
      </c>
      <c r="S3" s="0" t="n">
        <v>145.078</v>
      </c>
      <c r="T3" s="0" t="n">
        <v>185.094</v>
      </c>
      <c r="U3" s="0" t="n">
        <v>66.555</v>
      </c>
      <c r="AA3" s="0" t="s">
        <v>17</v>
      </c>
      <c r="AB3" s="0" t="s">
        <v>14</v>
      </c>
    </row>
    <row r="4" customFormat="false" ht="15" hidden="false" customHeight="false" outlineLevel="0" collapsed="false">
      <c r="A4" s="0" t="s">
        <v>65</v>
      </c>
      <c r="B4" s="0" t="n">
        <v>790.924</v>
      </c>
      <c r="C4" s="0" t="n">
        <v>222.61</v>
      </c>
      <c r="D4" s="0" t="n">
        <v>568.314</v>
      </c>
      <c r="E4" s="0" t="n">
        <v>71.8544386059849</v>
      </c>
      <c r="F4" s="0" t="n">
        <v>212.264</v>
      </c>
      <c r="G4" s="0" t="n">
        <v>26.83747110974</v>
      </c>
      <c r="H4" s="0" t="n">
        <v>310.344</v>
      </c>
      <c r="I4" s="0" t="n">
        <v>145.138</v>
      </c>
      <c r="J4" s="0" t="n">
        <v>18.3504356929364</v>
      </c>
      <c r="K4" s="0" t="n">
        <v>0.79</v>
      </c>
      <c r="L4" s="0" t="n">
        <v>343.494</v>
      </c>
      <c r="M4" s="0" t="n">
        <v>90.369</v>
      </c>
      <c r="N4" s="0" t="n">
        <v>253.125</v>
      </c>
      <c r="O4" s="0" t="n">
        <v>1568.77</v>
      </c>
      <c r="P4" s="0" t="n">
        <v>1880.951</v>
      </c>
      <c r="Q4" s="0" t="n">
        <v>312.181</v>
      </c>
      <c r="S4" s="0" t="n">
        <v>156.074</v>
      </c>
      <c r="T4" s="0" t="n">
        <v>186.685</v>
      </c>
      <c r="U4" s="0" t="n">
        <v>57.899</v>
      </c>
      <c r="AA4" s="0" t="s">
        <v>17</v>
      </c>
      <c r="AB4" s="0" t="s">
        <v>14</v>
      </c>
    </row>
    <row r="5" customFormat="false" ht="15" hidden="false" customHeight="false" outlineLevel="0" collapsed="false">
      <c r="A5" s="0" t="s">
        <v>66</v>
      </c>
      <c r="B5" s="0" t="n">
        <v>859.773</v>
      </c>
      <c r="C5" s="0" t="n">
        <v>249.938</v>
      </c>
      <c r="D5" s="0" t="n">
        <v>609.835</v>
      </c>
      <c r="E5" s="0" t="n">
        <v>70.9297686714982</v>
      </c>
      <c r="F5" s="0" t="n">
        <v>223.48</v>
      </c>
      <c r="G5" s="0" t="n">
        <v>25.992907430217</v>
      </c>
      <c r="H5" s="0" t="n">
        <v>345.974</v>
      </c>
      <c r="I5" s="0" t="n">
        <v>145.913</v>
      </c>
      <c r="J5" s="0" t="n">
        <v>16.9711074900003</v>
      </c>
      <c r="K5" s="0" t="n">
        <v>0.78</v>
      </c>
      <c r="L5" s="0" t="n">
        <v>424.412</v>
      </c>
      <c r="M5" s="0" t="n">
        <v>80.918</v>
      </c>
      <c r="N5" s="0" t="n">
        <v>343.494</v>
      </c>
      <c r="O5" s="0" t="n">
        <v>1738.722</v>
      </c>
      <c r="P5" s="0" t="n">
        <v>2087.51</v>
      </c>
      <c r="Q5" s="0" t="n">
        <v>348.788</v>
      </c>
      <c r="S5" s="0" t="n">
        <v>181.305</v>
      </c>
      <c r="T5" s="0" t="n">
        <v>188.658</v>
      </c>
      <c r="U5" s="0" t="n">
        <v>58.797</v>
      </c>
      <c r="AA5" s="0" t="s">
        <v>17</v>
      </c>
      <c r="AB5" s="0" t="s">
        <v>14</v>
      </c>
    </row>
    <row r="6" customFormat="false" ht="15" hidden="false" customHeight="false" outlineLevel="0" collapsed="false">
      <c r="A6" s="0" t="s">
        <v>67</v>
      </c>
      <c r="B6" s="0" t="n">
        <v>1023.586</v>
      </c>
      <c r="C6" s="0" t="n">
        <v>303.403</v>
      </c>
      <c r="D6" s="0" t="n">
        <v>720.183</v>
      </c>
      <c r="E6" s="0" t="n">
        <v>70.358816943569</v>
      </c>
      <c r="F6" s="0" t="n">
        <v>254.277</v>
      </c>
      <c r="G6" s="0" t="n">
        <v>24.8417817359753</v>
      </c>
      <c r="H6" s="0" t="n">
        <v>397.519</v>
      </c>
      <c r="I6" s="0" t="n">
        <v>171.22</v>
      </c>
      <c r="J6" s="0" t="n">
        <v>16.7274659872253</v>
      </c>
      <c r="K6" s="0" t="n">
        <v>0.9</v>
      </c>
      <c r="L6" s="0" t="n">
        <v>402.455</v>
      </c>
      <c r="M6" s="0" t="n">
        <v>159.276</v>
      </c>
      <c r="N6" s="0" t="n">
        <v>243.179</v>
      </c>
      <c r="O6" s="0" t="n">
        <v>2177.605</v>
      </c>
      <c r="P6" s="0" t="n">
        <v>2352.676</v>
      </c>
      <c r="Q6" s="0" t="n">
        <v>175.071</v>
      </c>
      <c r="S6" s="0" t="n">
        <v>231.866</v>
      </c>
      <c r="T6" s="0" t="n">
        <v>190.65</v>
      </c>
      <c r="U6" s="0" t="n">
        <v>76.468</v>
      </c>
      <c r="AA6" s="0" t="s">
        <v>17</v>
      </c>
      <c r="AB6" s="0" t="s">
        <v>14</v>
      </c>
    </row>
    <row r="7" customFormat="false" ht="15" hidden="false" customHeight="false" outlineLevel="0" collapsed="false">
      <c r="A7" s="0" t="s">
        <v>68</v>
      </c>
      <c r="B7" s="0" t="n">
        <v>1158.538</v>
      </c>
      <c r="C7" s="0" t="n">
        <v>453.705</v>
      </c>
      <c r="D7" s="0" t="n">
        <v>704.833</v>
      </c>
      <c r="E7" s="0" t="n">
        <v>60.8381425555312</v>
      </c>
      <c r="F7" s="0" t="n">
        <v>290.649</v>
      </c>
      <c r="G7" s="0" t="n">
        <v>25.0875672614968</v>
      </c>
      <c r="H7" s="0" t="n">
        <v>458.527</v>
      </c>
      <c r="I7" s="0" t="n">
        <v>200.904</v>
      </c>
      <c r="J7" s="0" t="n">
        <v>17.3411661939444</v>
      </c>
      <c r="K7" s="0" t="n">
        <v>1.07</v>
      </c>
      <c r="L7" s="0" t="n">
        <v>446.278</v>
      </c>
      <c r="M7" s="0" t="n">
        <v>133.445</v>
      </c>
      <c r="N7" s="0" t="n">
        <v>312.833</v>
      </c>
      <c r="O7" s="0" t="n">
        <v>2156.25</v>
      </c>
      <c r="P7" s="0" t="n">
        <v>2345.501</v>
      </c>
      <c r="Q7" s="0" t="n">
        <v>189.251</v>
      </c>
      <c r="S7" s="0" t="n">
        <v>559.197</v>
      </c>
      <c r="T7" s="0" t="n">
        <v>187.556</v>
      </c>
      <c r="U7" s="0" t="n">
        <v>61.305</v>
      </c>
      <c r="AA7" s="0" t="s">
        <v>17</v>
      </c>
      <c r="AB7" s="0" t="s">
        <v>14</v>
      </c>
    </row>
    <row r="8" customFormat="false" ht="15" hidden="false" customHeight="false" outlineLevel="0" collapsed="false">
      <c r="A8" s="0" t="s">
        <v>69</v>
      </c>
      <c r="B8" s="0" t="n">
        <v>1373.947</v>
      </c>
      <c r="C8" s="0" t="n">
        <v>529.9</v>
      </c>
      <c r="D8" s="0" t="n">
        <v>844.047</v>
      </c>
      <c r="E8" s="0" t="n">
        <v>61.4322823223894</v>
      </c>
      <c r="F8" s="0" t="n">
        <v>314.487</v>
      </c>
      <c r="G8" s="0" t="n">
        <v>22.8893108686143</v>
      </c>
      <c r="H8" s="0" t="n">
        <v>518.65</v>
      </c>
      <c r="I8" s="0" t="n">
        <v>203.989</v>
      </c>
      <c r="J8" s="0" t="n">
        <v>14.8469336881263</v>
      </c>
      <c r="K8" s="0" t="n">
        <v>1.12</v>
      </c>
      <c r="L8" s="0" t="n">
        <v>530.02</v>
      </c>
      <c r="M8" s="0" t="n">
        <v>166.773</v>
      </c>
      <c r="N8" s="0" t="n">
        <v>363.247</v>
      </c>
      <c r="O8" s="0" t="n">
        <v>2345.754</v>
      </c>
      <c r="P8" s="0" t="n">
        <v>2600.627</v>
      </c>
      <c r="Q8" s="0" t="n">
        <v>254.873</v>
      </c>
      <c r="S8" s="0" t="n">
        <v>201.989</v>
      </c>
      <c r="T8" s="0" t="n">
        <v>181.749</v>
      </c>
      <c r="U8" s="0" t="n">
        <v>90.585</v>
      </c>
      <c r="AA8" s="0" t="s">
        <v>17</v>
      </c>
      <c r="AB8" s="0" t="s">
        <v>14</v>
      </c>
    </row>
    <row r="9" customFormat="false" ht="15" hidden="false" customHeight="false" outlineLevel="0" collapsed="false">
      <c r="A9" s="0" t="s">
        <v>70</v>
      </c>
      <c r="B9" s="0" t="n">
        <v>1577.922</v>
      </c>
      <c r="C9" s="0" t="n">
        <v>511.087</v>
      </c>
      <c r="D9" s="0" t="n">
        <v>1066.835</v>
      </c>
      <c r="E9" s="0" t="n">
        <v>67.6101226803353</v>
      </c>
      <c r="F9" s="0" t="n">
        <v>413.968</v>
      </c>
      <c r="G9" s="0" t="n">
        <v>26.235010349054</v>
      </c>
      <c r="H9" s="0" t="n">
        <v>598.399</v>
      </c>
      <c r="I9" s="0" t="n">
        <v>293.487</v>
      </c>
      <c r="J9" s="0" t="n">
        <v>18.5995885728192</v>
      </c>
      <c r="K9" s="0" t="n">
        <v>1.61</v>
      </c>
      <c r="L9" s="0" t="n">
        <v>563.908</v>
      </c>
      <c r="M9" s="0" t="n">
        <v>187.964</v>
      </c>
      <c r="N9" s="0" t="n">
        <v>375.944</v>
      </c>
      <c r="O9" s="0" t="n">
        <v>2629.431</v>
      </c>
      <c r="P9" s="0" t="n">
        <v>2957.685</v>
      </c>
      <c r="Q9" s="0" t="n">
        <v>328.254</v>
      </c>
      <c r="S9" s="0" t="n">
        <v>333.891</v>
      </c>
      <c r="T9" s="0" t="n">
        <v>181.783</v>
      </c>
      <c r="U9" s="0" t="n">
        <v>95.884</v>
      </c>
      <c r="AA9" s="0" t="s">
        <v>17</v>
      </c>
      <c r="AB9" s="0" t="s">
        <v>14</v>
      </c>
    </row>
    <row r="10" customFormat="false" ht="15" hidden="false" customHeight="false" outlineLevel="0" collapsed="false">
      <c r="A10" s="0" t="s">
        <v>71</v>
      </c>
      <c r="B10" s="0" t="n">
        <v>1963.874</v>
      </c>
      <c r="C10" s="0" t="n">
        <v>610.943</v>
      </c>
      <c r="D10" s="0" t="n">
        <v>1352.931</v>
      </c>
      <c r="E10" s="0" t="n">
        <v>68.8909268109869</v>
      </c>
      <c r="F10" s="0" t="n">
        <v>489.519</v>
      </c>
      <c r="G10" s="0" t="n">
        <v>24.9261918025291</v>
      </c>
      <c r="H10" s="0" t="n">
        <v>736.925</v>
      </c>
      <c r="I10" s="0" t="n">
        <v>333.948</v>
      </c>
      <c r="J10" s="0" t="n">
        <v>17.0045532452693</v>
      </c>
      <c r="K10" s="0" t="n">
        <v>1.84</v>
      </c>
      <c r="L10" s="0" t="n">
        <v>658.07</v>
      </c>
      <c r="M10" s="0" t="n">
        <v>207.159</v>
      </c>
      <c r="N10" s="0" t="n">
        <v>450.911</v>
      </c>
      <c r="O10" s="0" t="n">
        <v>2945.335</v>
      </c>
      <c r="P10" s="0" t="n">
        <v>4001.546</v>
      </c>
      <c r="Q10" s="0" t="n">
        <v>1056.211</v>
      </c>
      <c r="S10" s="0" t="n">
        <v>238.65</v>
      </c>
      <c r="T10" s="0" t="n">
        <v>181.186</v>
      </c>
      <c r="U10" s="0" t="n">
        <v>111.996</v>
      </c>
      <c r="AA10" s="0" t="s">
        <v>17</v>
      </c>
      <c r="AB10" s="0" t="s">
        <v>14</v>
      </c>
    </row>
    <row r="11" customFormat="false" ht="15" hidden="false" customHeight="false" outlineLevel="0" collapsed="false">
      <c r="A11" s="0" t="s">
        <v>72</v>
      </c>
      <c r="B11" s="0" t="n">
        <v>2197.448</v>
      </c>
      <c r="C11" s="0" t="n">
        <v>725.62</v>
      </c>
      <c r="D11" s="0" t="n">
        <v>1471.828</v>
      </c>
      <c r="E11" s="0" t="n">
        <v>66.9789683305362</v>
      </c>
      <c r="F11" s="0" t="n">
        <v>466.15</v>
      </c>
      <c r="G11" s="0" t="n">
        <v>21.2132437263589</v>
      </c>
      <c r="H11" s="0" t="n">
        <v>765.713</v>
      </c>
      <c r="I11" s="0" t="n">
        <v>321.406</v>
      </c>
      <c r="J11" s="0" t="n">
        <v>14.6263301793717</v>
      </c>
      <c r="K11" s="0" t="n">
        <v>1.78</v>
      </c>
      <c r="L11" s="0" t="n">
        <v>793.452</v>
      </c>
      <c r="M11" s="0" t="n">
        <v>311.676</v>
      </c>
      <c r="N11" s="0" t="n">
        <v>481.776</v>
      </c>
      <c r="O11" s="0" t="n">
        <v>3162.865</v>
      </c>
      <c r="P11" s="0" t="n">
        <v>4181.684</v>
      </c>
      <c r="Q11" s="0" t="n">
        <v>1060.806</v>
      </c>
      <c r="S11" s="0" t="n">
        <v>289.473</v>
      </c>
      <c r="T11" s="0" t="n">
        <v>180.415</v>
      </c>
      <c r="U11" s="0" t="n">
        <v>126.677</v>
      </c>
      <c r="AA11" s="0" t="s">
        <v>17</v>
      </c>
      <c r="AB11" s="0" t="s">
        <v>14</v>
      </c>
    </row>
    <row r="12" customFormat="false" ht="15" hidden="false" customHeight="false" outlineLevel="0" collapsed="false">
      <c r="A12" s="0" t="s">
        <v>73</v>
      </c>
      <c r="B12" s="0" t="n">
        <v>2340.049</v>
      </c>
      <c r="C12" s="0" t="n">
        <v>809.106</v>
      </c>
      <c r="D12" s="0" t="n">
        <v>1530.943</v>
      </c>
      <c r="E12" s="0" t="n">
        <v>65.4235445497081</v>
      </c>
      <c r="F12" s="0" t="n">
        <v>466.51</v>
      </c>
      <c r="G12" s="0" t="n">
        <v>19.9359073250176</v>
      </c>
      <c r="H12" s="0" t="n">
        <v>800.812</v>
      </c>
      <c r="I12" s="0" t="n">
        <v>320.727</v>
      </c>
      <c r="J12" s="0" t="n">
        <v>13.7059950454029</v>
      </c>
      <c r="K12" s="0" t="n">
        <v>1.82</v>
      </c>
      <c r="L12" s="0" t="n">
        <v>871.812</v>
      </c>
      <c r="M12" s="0" t="n">
        <v>180.949</v>
      </c>
      <c r="N12" s="0" t="n">
        <v>690.863</v>
      </c>
      <c r="O12" s="0" t="n">
        <v>3270.218</v>
      </c>
      <c r="P12" s="0" t="n">
        <v>4373.146</v>
      </c>
      <c r="Q12" s="0" t="n">
        <v>1148.776</v>
      </c>
      <c r="S12" s="0" t="n">
        <v>324.169</v>
      </c>
      <c r="T12" s="0" t="n">
        <v>176.215</v>
      </c>
      <c r="U12" s="0" t="n">
        <v>144.506</v>
      </c>
      <c r="AA12" s="0" t="s">
        <v>17</v>
      </c>
      <c r="AB12" s="0" t="s">
        <v>14</v>
      </c>
    </row>
    <row r="13" customFormat="false" ht="15" hidden="false" customHeight="false" outlineLevel="0" collapsed="false">
      <c r="A13" s="0" t="s">
        <v>74</v>
      </c>
      <c r="B13" s="0" t="n">
        <v>2502.996</v>
      </c>
      <c r="C13" s="0" t="n">
        <v>875.837</v>
      </c>
      <c r="D13" s="0" t="n">
        <v>1627.159</v>
      </c>
      <c r="E13" s="0" t="n">
        <v>65.0084538688835</v>
      </c>
      <c r="F13" s="0" t="n">
        <v>314.289</v>
      </c>
      <c r="G13" s="0" t="n">
        <v>12.5565122756888</v>
      </c>
      <c r="H13" s="0" t="n">
        <v>686.602</v>
      </c>
      <c r="I13" s="0" t="n">
        <v>222.766</v>
      </c>
      <c r="J13" s="0" t="n">
        <v>8.89997427083383</v>
      </c>
      <c r="K13" s="0" t="n">
        <v>1.29</v>
      </c>
      <c r="L13" s="0" t="n">
        <v>800.983</v>
      </c>
      <c r="M13" s="0" t="n">
        <v>254.146</v>
      </c>
      <c r="N13" s="0" t="n">
        <v>546.837</v>
      </c>
      <c r="O13" s="0" t="n">
        <v>3362.469</v>
      </c>
      <c r="P13" s="0" t="n">
        <v>4648.916</v>
      </c>
      <c r="Q13" s="0" t="n">
        <v>1286.447</v>
      </c>
      <c r="S13" s="0" t="n">
        <v>313.382</v>
      </c>
      <c r="T13" s="0" t="n">
        <v>172.711</v>
      </c>
      <c r="U13" s="0" t="n">
        <v>164.308</v>
      </c>
      <c r="AA13" s="0" t="s">
        <v>17</v>
      </c>
      <c r="AB13" s="0" t="s">
        <v>14</v>
      </c>
    </row>
    <row r="14" customFormat="false" ht="15" hidden="false" customHeight="false" outlineLevel="0" collapsed="false">
      <c r="A14" s="0" t="s">
        <v>75</v>
      </c>
      <c r="C14" s="0" t="n">
        <v>953.485</v>
      </c>
      <c r="F14" s="0" t="n">
        <v>362.499</v>
      </c>
      <c r="H14" s="0" t="n">
        <v>797.019</v>
      </c>
      <c r="I14" s="0" t="n">
        <v>298.373</v>
      </c>
      <c r="K14" s="0" t="n">
        <v>1.76</v>
      </c>
      <c r="L14" s="0" t="n">
        <v>1008.327</v>
      </c>
      <c r="M14" s="0" t="n">
        <v>217.609</v>
      </c>
      <c r="N14" s="0" t="n">
        <v>790.718</v>
      </c>
      <c r="O14" s="0" t="n">
        <v>3191.86</v>
      </c>
      <c r="P14" s="0" t="n">
        <v>5461.77</v>
      </c>
      <c r="Q14" s="0" t="n">
        <v>2269.91</v>
      </c>
      <c r="S14" s="0" t="n">
        <v>1036.455</v>
      </c>
      <c r="T14" s="0" t="n">
        <v>169.188</v>
      </c>
      <c r="U14" s="0" t="n">
        <v>183.813</v>
      </c>
      <c r="AA14" s="0" t="s">
        <v>17</v>
      </c>
      <c r="AB14" s="0" t="s">
        <v>14</v>
      </c>
    </row>
    <row r="15" customFormat="false" ht="15" hidden="false" customHeight="false" outlineLevel="0" collapsed="false">
      <c r="A15" s="0" t="s">
        <v>76</v>
      </c>
      <c r="C15" s="0" t="n">
        <v>987.624</v>
      </c>
      <c r="F15" s="0" t="n">
        <v>548.918</v>
      </c>
      <c r="H15" s="0" t="n">
        <v>989.592</v>
      </c>
      <c r="I15" s="0" t="n">
        <v>478.035</v>
      </c>
      <c r="K15" s="0" t="n">
        <v>2.9</v>
      </c>
      <c r="L15" s="0" t="n">
        <v>1058.304</v>
      </c>
      <c r="M15" s="0" t="n">
        <v>359.667</v>
      </c>
      <c r="N15" s="0" t="n">
        <v>698.637</v>
      </c>
      <c r="O15" s="0" t="n">
        <v>3657.958</v>
      </c>
      <c r="P15" s="0" t="n">
        <v>7006.886</v>
      </c>
      <c r="Q15" s="0" t="n">
        <v>3348.928</v>
      </c>
      <c r="S15" s="0" t="n">
        <v>393.745</v>
      </c>
      <c r="T15" s="0" t="n">
        <v>164.573</v>
      </c>
      <c r="U15" s="0" t="n">
        <v>187.14</v>
      </c>
      <c r="AA15" s="0" t="s">
        <v>17</v>
      </c>
      <c r="AB15" s="0" t="s">
        <v>14</v>
      </c>
    </row>
    <row r="16" customFormat="false" ht="15" hidden="false" customHeight="false" outlineLevel="0" collapsed="false">
      <c r="A16" s="0" t="s">
        <v>77</v>
      </c>
      <c r="C16" s="0" t="n">
        <v>1132.672</v>
      </c>
      <c r="F16" s="0" t="n">
        <v>658.534</v>
      </c>
      <c r="H16" s="0" t="n">
        <v>1136.923</v>
      </c>
      <c r="I16" s="0" t="n">
        <v>557.054</v>
      </c>
      <c r="K16" s="0" t="n">
        <v>3.37</v>
      </c>
      <c r="L16" s="0" t="n">
        <v>1215</v>
      </c>
      <c r="M16" s="0" t="n">
        <v>514.313</v>
      </c>
      <c r="N16" s="0" t="n">
        <v>700.687</v>
      </c>
      <c r="O16" s="0" t="n">
        <v>4251.296</v>
      </c>
      <c r="P16" s="0" t="n">
        <v>7764.13</v>
      </c>
      <c r="Q16" s="0" t="n">
        <v>3512.834</v>
      </c>
      <c r="S16" s="0" t="n">
        <v>352.917</v>
      </c>
      <c r="T16" s="0" t="n">
        <v>165.213</v>
      </c>
      <c r="U16" s="0" t="n">
        <v>197.411</v>
      </c>
      <c r="AA16" s="0" t="s">
        <v>17</v>
      </c>
      <c r="AB16" s="0" t="s">
        <v>14</v>
      </c>
    </row>
    <row r="17" customFormat="false" ht="15" hidden="false" customHeight="false" outlineLevel="0" collapsed="false">
      <c r="A17" s="0" t="s">
        <v>78</v>
      </c>
      <c r="C17" s="0" t="n">
        <v>1268.956</v>
      </c>
      <c r="F17" s="0" t="n">
        <v>783.148</v>
      </c>
      <c r="H17" s="0" t="n">
        <v>1333.78</v>
      </c>
      <c r="I17" s="0" t="n">
        <v>651.642</v>
      </c>
      <c r="K17" s="0" t="n">
        <v>3.93</v>
      </c>
      <c r="L17" s="0" t="n">
        <v>1404.563</v>
      </c>
      <c r="M17" s="0" t="n">
        <v>328.969</v>
      </c>
      <c r="N17" s="0" t="n">
        <v>1075.594</v>
      </c>
      <c r="O17" s="0" t="n">
        <v>4530.014</v>
      </c>
      <c r="P17" s="0" t="n">
        <v>8138.673</v>
      </c>
      <c r="Q17" s="0" t="n">
        <v>3608.659</v>
      </c>
      <c r="S17" s="0" t="n">
        <v>536.725</v>
      </c>
      <c r="T17" s="0" t="n">
        <v>165.804</v>
      </c>
      <c r="U17" s="0" t="n">
        <v>202.759</v>
      </c>
      <c r="AA17" s="0" t="s">
        <v>17</v>
      </c>
      <c r="AB17" s="0" t="s">
        <v>14</v>
      </c>
    </row>
    <row r="18" customFormat="false" ht="15" hidden="false" customHeight="false" outlineLevel="0" collapsed="false">
      <c r="A18" s="0" t="s">
        <v>79</v>
      </c>
      <c r="C18" s="0" t="n">
        <v>1383.819</v>
      </c>
      <c r="F18" s="0" t="n">
        <v>676.274</v>
      </c>
      <c r="H18" s="0" t="n">
        <v>1269.028</v>
      </c>
      <c r="I18" s="0" t="n">
        <v>523.672</v>
      </c>
      <c r="K18" s="0" t="n">
        <v>3.26</v>
      </c>
      <c r="L18" s="0" t="n">
        <v>1274.676</v>
      </c>
      <c r="M18" s="0" t="n">
        <v>241.266</v>
      </c>
      <c r="N18" s="0" t="n">
        <v>1033.41</v>
      </c>
      <c r="O18" s="0" t="n">
        <v>4360.187</v>
      </c>
      <c r="P18" s="0" t="n">
        <v>8303.4</v>
      </c>
      <c r="Q18" s="0" t="n">
        <v>3943.213</v>
      </c>
      <c r="S18" s="0" t="n">
        <v>542.337</v>
      </c>
      <c r="T18" s="0" t="n">
        <v>160.467</v>
      </c>
      <c r="U18" s="0" t="n">
        <v>217.185</v>
      </c>
      <c r="AA18" s="0" t="s">
        <v>17</v>
      </c>
      <c r="AB18" s="0" t="s">
        <v>14</v>
      </c>
    </row>
    <row r="19" customFormat="false" ht="15" hidden="false" customHeight="false" outlineLevel="0" collapsed="false">
      <c r="A19" s="0" t="s">
        <v>80</v>
      </c>
      <c r="B19" s="0" t="n">
        <v>3811.92</v>
      </c>
      <c r="C19" s="0" t="n">
        <v>1511.063</v>
      </c>
      <c r="D19" s="0" t="n">
        <v>2300.857</v>
      </c>
      <c r="E19" s="0" t="n">
        <v>60.3595301055636</v>
      </c>
      <c r="F19" s="0" t="n">
        <v>637.338</v>
      </c>
      <c r="H19" s="0" t="n">
        <v>1208.114</v>
      </c>
      <c r="I19" s="0" t="n">
        <v>547.629</v>
      </c>
      <c r="K19" s="0" t="n">
        <v>3.52</v>
      </c>
      <c r="L19" s="0" t="n">
        <v>1348.439</v>
      </c>
      <c r="M19" s="0" t="n">
        <v>457.909</v>
      </c>
      <c r="N19" s="0" t="n">
        <v>890.53</v>
      </c>
      <c r="O19" s="0" t="n">
        <v>4597.155</v>
      </c>
      <c r="P19" s="0" t="n">
        <v>9900.037</v>
      </c>
      <c r="Q19" s="0" t="n">
        <v>5302.882</v>
      </c>
      <c r="S19" s="0" t="n">
        <v>489.468</v>
      </c>
      <c r="T19" s="0" t="n">
        <v>155.397</v>
      </c>
      <c r="U19" s="0" t="n">
        <v>328.467</v>
      </c>
      <c r="AA19" s="0" t="s">
        <v>17</v>
      </c>
      <c r="AB19" s="0" t="s">
        <v>14</v>
      </c>
    </row>
    <row r="20" customFormat="false" ht="15" hidden="false" customHeight="false" outlineLevel="0" collapsed="false">
      <c r="A20" s="0" t="s">
        <v>81</v>
      </c>
      <c r="B20" s="0" t="n">
        <v>3991.168</v>
      </c>
      <c r="C20" s="0" t="n">
        <v>1620.793</v>
      </c>
      <c r="D20" s="0" t="n">
        <v>2370.375</v>
      </c>
      <c r="E20" s="0" t="n">
        <v>59.3905092444117</v>
      </c>
      <c r="F20" s="0" t="n">
        <v>533.411</v>
      </c>
      <c r="H20" s="0" t="n">
        <v>1181.821</v>
      </c>
      <c r="I20" s="0" t="n">
        <v>504.918</v>
      </c>
      <c r="K20" s="0" t="n">
        <v>3.27</v>
      </c>
      <c r="L20" s="0" t="n">
        <v>1519.171</v>
      </c>
      <c r="M20" s="0" t="n">
        <v>390.433</v>
      </c>
      <c r="N20" s="0" t="n">
        <v>1128.738</v>
      </c>
      <c r="O20" s="0" t="n">
        <v>4878.357</v>
      </c>
      <c r="P20" s="0" t="n">
        <v>10368.785</v>
      </c>
      <c r="Q20" s="0" t="n">
        <v>5490.428</v>
      </c>
      <c r="R20" s="0" t="n">
        <v>3545.811</v>
      </c>
      <c r="S20" s="0" t="n">
        <v>517.707</v>
      </c>
      <c r="T20" s="0" t="n">
        <v>154.346</v>
      </c>
      <c r="U20" s="0" t="n">
        <v>393.378</v>
      </c>
      <c r="AA20" s="0" t="s">
        <v>17</v>
      </c>
      <c r="AB20" s="0" t="s">
        <v>14</v>
      </c>
    </row>
    <row r="21" customFormat="false" ht="15" hidden="false" customHeight="false" outlineLevel="0" collapsed="false">
      <c r="A21" s="0" t="s">
        <v>82</v>
      </c>
      <c r="B21" s="0" t="n">
        <v>4208.175</v>
      </c>
      <c r="C21" s="0" t="n">
        <v>1727.513</v>
      </c>
      <c r="D21" s="0" t="n">
        <v>2480.662</v>
      </c>
      <c r="E21" s="0" t="n">
        <v>58.9486416320614</v>
      </c>
      <c r="F21" s="0" t="n">
        <v>566.944</v>
      </c>
      <c r="H21" s="0" t="n">
        <v>1275.555</v>
      </c>
      <c r="I21" s="0" t="n">
        <v>452.031</v>
      </c>
      <c r="K21" s="0" t="n">
        <v>3.07</v>
      </c>
      <c r="L21" s="0" t="n">
        <v>1518.765</v>
      </c>
      <c r="M21" s="0" t="n">
        <v>507.786</v>
      </c>
      <c r="N21" s="0" t="n">
        <v>1010.979</v>
      </c>
      <c r="O21" s="0" t="n">
        <v>4977.371</v>
      </c>
      <c r="P21" s="0" t="n">
        <v>11479.643</v>
      </c>
      <c r="Q21" s="0" t="n">
        <v>6502.272</v>
      </c>
      <c r="R21" s="0" t="n">
        <v>4105.355</v>
      </c>
      <c r="S21" s="0" t="n">
        <v>930.231</v>
      </c>
      <c r="T21" s="0" t="n">
        <v>147.023</v>
      </c>
      <c r="U21" s="0" t="n">
        <v>459.402</v>
      </c>
      <c r="AA21" s="0" t="s">
        <v>17</v>
      </c>
      <c r="AB21" s="0" t="s">
        <v>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4"/>
  </cols>
  <sheetData>
    <row r="1" customFormat="false" ht="15" hidden="false" customHeight="false" outlineLevel="0" collapsed="false">
      <c r="A1" s="2" t="s">
        <v>83</v>
      </c>
      <c r="B1" s="2" t="s">
        <v>84</v>
      </c>
    </row>
    <row r="2" customFormat="false" ht="15" hidden="false" customHeight="false" outlineLevel="0" collapsed="false">
      <c r="A2" s="0" t="s">
        <v>85</v>
      </c>
      <c r="B2" s="3" t="n">
        <v>110.41</v>
      </c>
    </row>
    <row r="3" customFormat="false" ht="15" hidden="false" customHeight="false" outlineLevel="0" collapsed="false">
      <c r="A3" s="0" t="s">
        <v>86</v>
      </c>
      <c r="B3" s="3" t="n">
        <v>153.686</v>
      </c>
    </row>
    <row r="4" customFormat="false" ht="15" hidden="false" customHeight="false" outlineLevel="0" collapsed="false">
      <c r="A4" s="0" t="s">
        <v>87</v>
      </c>
      <c r="B4" s="3" t="n">
        <v>2946.5</v>
      </c>
    </row>
    <row r="5" customFormat="false" ht="15" hidden="false" customHeight="false" outlineLevel="0" collapsed="false">
      <c r="A5" s="0" t="s">
        <v>88</v>
      </c>
      <c r="B5" s="3" t="n">
        <v>0</v>
      </c>
    </row>
    <row r="6" customFormat="false" ht="15" hidden="false" customHeight="false" outlineLevel="0" collapsed="false">
      <c r="A6" s="0" t="s">
        <v>89</v>
      </c>
      <c r="B6" s="3" t="n">
        <v>15</v>
      </c>
    </row>
    <row r="7" customFormat="false" ht="15" hidden="false" customHeight="false" outlineLevel="0" collapsed="false">
      <c r="A7" s="0" t="s">
        <v>90</v>
      </c>
      <c r="B7" s="3" t="n">
        <v>4208.175</v>
      </c>
    </row>
    <row r="8" customFormat="false" ht="15" hidden="false" customHeight="false" outlineLevel="0" collapsed="false">
      <c r="A8" s="0" t="s">
        <v>91</v>
      </c>
      <c r="B8" s="3" t="s">
        <v>82</v>
      </c>
    </row>
    <row r="9" customFormat="false" ht="15" hidden="false" customHeight="false" outlineLevel="0" collapsed="false">
      <c r="A9" s="0" t="s">
        <v>92</v>
      </c>
      <c r="B9" s="3" t="s">
        <v>93</v>
      </c>
    </row>
    <row r="10" customFormat="false" ht="15" hidden="false" customHeight="false" outlineLevel="0" collapsed="false">
      <c r="A10" s="0" t="s">
        <v>94</v>
      </c>
      <c r="B10" s="3" t="n">
        <v>1</v>
      </c>
    </row>
    <row r="12" customFormat="false" ht="15" hidden="false" customHeight="false" outlineLevel="0" collapsed="false">
      <c r="A12" s="2" t="s">
        <v>95</v>
      </c>
      <c r="C12" s="2" t="s">
        <v>96</v>
      </c>
      <c r="D12" s="2" t="s">
        <v>97</v>
      </c>
      <c r="E12" s="2" t="s">
        <v>98</v>
      </c>
      <c r="F12" s="2" t="s">
        <v>99</v>
      </c>
      <c r="G12" s="2" t="s">
        <v>100</v>
      </c>
      <c r="H12" s="2" t="s">
        <v>101</v>
      </c>
      <c r="I12" s="2" t="s">
        <v>102</v>
      </c>
      <c r="J12" s="2" t="s">
        <v>103</v>
      </c>
      <c r="K12" s="2" t="s">
        <v>104</v>
      </c>
      <c r="L12" s="2" t="s">
        <v>105</v>
      </c>
    </row>
    <row r="13" customFormat="false" ht="15" hidden="false" customHeight="false" outlineLevel="0" collapsed="false">
      <c r="A13" s="0" t="s">
        <v>106</v>
      </c>
      <c r="C13" s="3" t="n">
        <v>4</v>
      </c>
      <c r="D13" s="3" t="n">
        <v>4.5</v>
      </c>
      <c r="E13" s="3" t="n">
        <v>4</v>
      </c>
      <c r="F13" s="3" t="n">
        <v>3.5</v>
      </c>
      <c r="G13" s="3" t="n">
        <v>3</v>
      </c>
      <c r="H13" s="3" t="n">
        <v>3</v>
      </c>
      <c r="I13" s="3" t="n">
        <v>2.5</v>
      </c>
      <c r="J13" s="3" t="n">
        <v>2.5</v>
      </c>
      <c r="K13" s="3" t="n">
        <v>2</v>
      </c>
      <c r="L13" s="3" t="n">
        <v>2</v>
      </c>
    </row>
    <row r="14" customFormat="false" ht="15" hidden="false" customHeight="false" outlineLevel="0" collapsed="false">
      <c r="A14" s="0" t="s">
        <v>107</v>
      </c>
      <c r="C14" s="3" t="n">
        <v>25</v>
      </c>
      <c r="D14" s="3" t="n">
        <v>23</v>
      </c>
      <c r="E14" s="3" t="n">
        <v>22.5</v>
      </c>
      <c r="F14" s="3" t="n">
        <v>23.5</v>
      </c>
      <c r="G14" s="3" t="n">
        <v>25</v>
      </c>
      <c r="H14" s="3" t="n">
        <v>26.5</v>
      </c>
      <c r="I14" s="3" t="n">
        <v>27.5</v>
      </c>
      <c r="J14" s="3" t="n">
        <v>28</v>
      </c>
      <c r="K14" s="3" t="n">
        <v>28</v>
      </c>
      <c r="L14" s="3" t="n">
        <v>28</v>
      </c>
    </row>
    <row r="15" customFormat="false" ht="15" hidden="false" customHeight="false" outlineLevel="0" collapsed="false">
      <c r="A15" s="0" t="s">
        <v>108</v>
      </c>
      <c r="C15" s="3" t="n">
        <v>13</v>
      </c>
      <c r="D15" s="3" t="n">
        <v>13</v>
      </c>
      <c r="E15" s="3" t="n">
        <v>12.5</v>
      </c>
      <c r="F15" s="3" t="n">
        <v>12</v>
      </c>
      <c r="G15" s="3" t="n">
        <v>11.5</v>
      </c>
      <c r="H15" s="3" t="n">
        <v>11</v>
      </c>
      <c r="I15" s="3" t="n">
        <v>10.5</v>
      </c>
      <c r="J15" s="3" t="n">
        <v>10</v>
      </c>
      <c r="K15" s="3" t="n">
        <v>9.5</v>
      </c>
      <c r="L15" s="3" t="n">
        <v>9</v>
      </c>
    </row>
    <row r="16" customFormat="false" ht="15" hidden="false" customHeight="false" outlineLevel="0" collapsed="false">
      <c r="A16" s="0" t="s">
        <v>109</v>
      </c>
      <c r="C16" s="3" t="n">
        <v>0</v>
      </c>
      <c r="D16" s="3" t="n">
        <v>0</v>
      </c>
      <c r="E16" s="3" t="n">
        <v>0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0</v>
      </c>
      <c r="K16" s="3" t="n">
        <v>0</v>
      </c>
      <c r="L16" s="3" t="n">
        <v>0</v>
      </c>
    </row>
    <row r="17" customFormat="false" ht="15" hidden="false" customHeight="false" outlineLevel="0" collapsed="false">
      <c r="A17" s="0" t="s">
        <v>110</v>
      </c>
      <c r="C17" s="3" t="n">
        <v>17.5</v>
      </c>
      <c r="D17" s="3" t="n">
        <v>20</v>
      </c>
      <c r="E17" s="3" t="n">
        <v>22</v>
      </c>
      <c r="F17" s="3" t="n">
        <v>22.5</v>
      </c>
      <c r="G17" s="3" t="n">
        <v>21.5</v>
      </c>
      <c r="H17" s="3" t="n">
        <v>20</v>
      </c>
      <c r="I17" s="3" t="n">
        <v>18.5</v>
      </c>
      <c r="J17" s="3" t="n">
        <v>17.5</v>
      </c>
      <c r="K17" s="3" t="n">
        <v>17</v>
      </c>
      <c r="L17" s="3" t="n">
        <v>16.5</v>
      </c>
    </row>
    <row r="18" customFormat="false" ht="15" hidden="false" customHeight="false" outlineLevel="0" collapsed="false">
      <c r="A18" s="0" t="s">
        <v>111</v>
      </c>
      <c r="C18" s="3" t="n">
        <v>38</v>
      </c>
      <c r="D18" s="3" t="n">
        <v>34</v>
      </c>
      <c r="E18" s="3" t="n">
        <v>30</v>
      </c>
      <c r="F18" s="3" t="n">
        <v>25</v>
      </c>
      <c r="G18" s="3" t="n">
        <v>20</v>
      </c>
      <c r="H18" s="3" t="n">
        <v>17</v>
      </c>
      <c r="I18" s="3" t="n">
        <v>15</v>
      </c>
      <c r="J18" s="3" t="n">
        <v>14</v>
      </c>
      <c r="K18" s="3" t="n">
        <v>13.5</v>
      </c>
      <c r="L18" s="3" t="n">
        <v>13</v>
      </c>
    </row>
    <row r="19" customFormat="false" ht="15" hidden="false" customHeight="false" outlineLevel="0" collapsed="false">
      <c r="A19" s="0" t="s">
        <v>112</v>
      </c>
      <c r="C19" s="3" t="n">
        <v>12</v>
      </c>
      <c r="D19" s="3" t="n">
        <v>14</v>
      </c>
      <c r="E19" s="3" t="n">
        <v>16</v>
      </c>
      <c r="F19" s="3" t="n">
        <v>18</v>
      </c>
      <c r="G19" s="3" t="n">
        <v>19</v>
      </c>
      <c r="H19" s="3" t="n">
        <v>20</v>
      </c>
      <c r="I19" s="3" t="n">
        <v>20</v>
      </c>
      <c r="J19" s="3" t="n">
        <v>21</v>
      </c>
      <c r="K19" s="3" t="n">
        <v>21</v>
      </c>
      <c r="L19" s="3" t="n">
        <v>21</v>
      </c>
    </row>
    <row r="20" customFormat="false" ht="15" hidden="false" customHeight="false" outlineLevel="0" collapsed="false">
      <c r="A20" s="0" t="s">
        <v>113</v>
      </c>
      <c r="B20" s="3" t="n">
        <v>11</v>
      </c>
    </row>
    <row r="21" customFormat="false" ht="15" hidden="false" customHeight="false" outlineLevel="0" collapsed="false">
      <c r="A21" s="0" t="s">
        <v>114</v>
      </c>
      <c r="B21" s="3" t="n">
        <v>2</v>
      </c>
    </row>
    <row r="22" customFormat="false" ht="15" hidden="false" customHeight="false" outlineLevel="0" collapsed="false">
      <c r="A22" s="0" t="s">
        <v>115</v>
      </c>
      <c r="B22" s="3" t="n">
        <v>14</v>
      </c>
    </row>
    <row r="23" customFormat="false" ht="15" hidden="false" customHeight="false" outlineLevel="0" collapsed="false">
      <c r="A23" s="0" t="s">
        <v>116</v>
      </c>
      <c r="B23" s="3" t="n">
        <v>3</v>
      </c>
    </row>
    <row r="24" customFormat="false" ht="15" hidden="false" customHeight="false" outlineLevel="0" collapsed="false">
      <c r="A24" s="0" t="s">
        <v>117</v>
      </c>
      <c r="B24" s="3" t="n">
        <v>0.25</v>
      </c>
    </row>
    <row r="26" customFormat="false" ht="15" hidden="false" customHeight="false" outlineLevel="0" collapsed="false">
      <c r="A26" s="2" t="s">
        <v>118</v>
      </c>
      <c r="C26" s="2" t="s">
        <v>96</v>
      </c>
      <c r="D26" s="2" t="s">
        <v>97</v>
      </c>
      <c r="E26" s="2" t="s">
        <v>98</v>
      </c>
      <c r="F26" s="2" t="s">
        <v>99</v>
      </c>
      <c r="G26" s="2" t="s">
        <v>100</v>
      </c>
      <c r="H26" s="2" t="s">
        <v>101</v>
      </c>
      <c r="I26" s="2" t="s">
        <v>102</v>
      </c>
      <c r="J26" s="2" t="s">
        <v>103</v>
      </c>
      <c r="K26" s="2" t="s">
        <v>104</v>
      </c>
      <c r="L26" s="2" t="s">
        <v>105</v>
      </c>
    </row>
    <row r="27" customFormat="false" ht="15" hidden="false" customHeight="false" outlineLevel="0" collapsed="false">
      <c r="A27" s="0" t="s">
        <v>106</v>
      </c>
      <c r="C27" s="3" t="n">
        <v>6.6</v>
      </c>
      <c r="D27" s="3" t="n">
        <v>11.5</v>
      </c>
      <c r="E27" s="3" t="n">
        <v>10</v>
      </c>
      <c r="F27" s="3" t="n">
        <v>8.5</v>
      </c>
      <c r="G27" s="3" t="n">
        <v>7</v>
      </c>
      <c r="H27" s="3" t="n">
        <v>6</v>
      </c>
      <c r="I27" s="3" t="n">
        <v>5</v>
      </c>
      <c r="J27" s="3" t="n">
        <v>4</v>
      </c>
      <c r="K27" s="3" t="n">
        <v>3.5</v>
      </c>
      <c r="L27" s="3" t="n">
        <v>3</v>
      </c>
    </row>
    <row r="28" customFormat="false" ht="15" hidden="false" customHeight="false" outlineLevel="0" collapsed="false">
      <c r="A28" s="0" t="s">
        <v>107</v>
      </c>
      <c r="C28" s="3" t="n">
        <v>26.5</v>
      </c>
      <c r="D28" s="3" t="n">
        <v>26</v>
      </c>
      <c r="E28" s="3" t="n">
        <v>27</v>
      </c>
      <c r="F28" s="3" t="n">
        <v>28.5</v>
      </c>
      <c r="G28" s="3" t="n">
        <v>30</v>
      </c>
      <c r="H28" s="3" t="n">
        <v>31.5</v>
      </c>
      <c r="I28" s="3" t="n">
        <v>32.5</v>
      </c>
      <c r="J28" s="3" t="n">
        <v>33</v>
      </c>
      <c r="K28" s="3" t="n">
        <v>33</v>
      </c>
      <c r="L28" s="3" t="n">
        <v>33</v>
      </c>
    </row>
    <row r="29" customFormat="false" ht="15" hidden="false" customHeight="false" outlineLevel="0" collapsed="false">
      <c r="A29" s="0" t="s">
        <v>108</v>
      </c>
      <c r="C29" s="3" t="n">
        <v>12.5</v>
      </c>
      <c r="D29" s="3" t="n">
        <v>12.5</v>
      </c>
      <c r="E29" s="3" t="n">
        <v>12</v>
      </c>
      <c r="F29" s="3" t="n">
        <v>11.5</v>
      </c>
      <c r="G29" s="3" t="n">
        <v>11</v>
      </c>
      <c r="H29" s="3" t="n">
        <v>10.5</v>
      </c>
      <c r="I29" s="3" t="n">
        <v>10</v>
      </c>
      <c r="J29" s="3" t="n">
        <v>9.5</v>
      </c>
      <c r="K29" s="3" t="n">
        <v>9</v>
      </c>
      <c r="L29" s="3" t="n">
        <v>8.5</v>
      </c>
    </row>
    <row r="30" customFormat="false" ht="15" hidden="false" customHeight="false" outlineLevel="0" collapsed="false">
      <c r="A30" s="0" t="s">
        <v>109</v>
      </c>
      <c r="C30" s="3" t="n">
        <v>0</v>
      </c>
      <c r="D30" s="3" t="n">
        <v>0</v>
      </c>
      <c r="E30" s="3" t="n">
        <v>0</v>
      </c>
      <c r="F30" s="3" t="n">
        <v>0</v>
      </c>
      <c r="G30" s="3" t="n">
        <v>0</v>
      </c>
      <c r="H30" s="3" t="n">
        <v>0</v>
      </c>
      <c r="I30" s="3" t="n">
        <v>0</v>
      </c>
      <c r="J30" s="3" t="n">
        <v>0</v>
      </c>
      <c r="K30" s="3" t="n">
        <v>0</v>
      </c>
      <c r="L30" s="3" t="n">
        <v>0</v>
      </c>
    </row>
    <row r="31" customFormat="false" ht="15" hidden="false" customHeight="false" outlineLevel="0" collapsed="false">
      <c r="A31" s="0" t="s">
        <v>110</v>
      </c>
      <c r="C31" s="3" t="n">
        <v>17</v>
      </c>
      <c r="D31" s="3" t="n">
        <v>19</v>
      </c>
      <c r="E31" s="3" t="n">
        <v>20.5</v>
      </c>
      <c r="F31" s="3" t="n">
        <v>21</v>
      </c>
      <c r="G31" s="3" t="n">
        <v>20</v>
      </c>
      <c r="H31" s="3" t="n">
        <v>18.5</v>
      </c>
      <c r="I31" s="3" t="n">
        <v>17</v>
      </c>
      <c r="J31" s="3" t="n">
        <v>16</v>
      </c>
      <c r="K31" s="3" t="n">
        <v>15.5</v>
      </c>
      <c r="L31" s="3" t="n">
        <v>15</v>
      </c>
    </row>
    <row r="32" customFormat="false" ht="15" hidden="false" customHeight="false" outlineLevel="0" collapsed="false">
      <c r="A32" s="0" t="s">
        <v>111</v>
      </c>
      <c r="C32" s="3" t="n">
        <v>38</v>
      </c>
      <c r="D32" s="3" t="n">
        <v>32</v>
      </c>
      <c r="E32" s="3" t="n">
        <v>25</v>
      </c>
      <c r="F32" s="3" t="n">
        <v>19</v>
      </c>
      <c r="G32" s="3" t="n">
        <v>15</v>
      </c>
      <c r="H32" s="3" t="n">
        <v>13</v>
      </c>
      <c r="I32" s="3" t="n">
        <v>12</v>
      </c>
      <c r="J32" s="3" t="n">
        <v>11</v>
      </c>
      <c r="K32" s="3" t="n">
        <v>10.5</v>
      </c>
      <c r="L32" s="3" t="n">
        <v>10</v>
      </c>
    </row>
    <row r="33" customFormat="false" ht="15" hidden="false" customHeight="false" outlineLevel="0" collapsed="false">
      <c r="A33" s="0" t="s">
        <v>112</v>
      </c>
      <c r="C33" s="3" t="n">
        <v>15</v>
      </c>
      <c r="D33" s="3" t="n">
        <v>17</v>
      </c>
      <c r="E33" s="3" t="n">
        <v>19</v>
      </c>
      <c r="F33" s="3" t="n">
        <v>20</v>
      </c>
      <c r="G33" s="3" t="n">
        <v>21</v>
      </c>
      <c r="H33" s="3" t="n">
        <v>21</v>
      </c>
      <c r="I33" s="3" t="n">
        <v>21</v>
      </c>
      <c r="J33" s="3" t="n">
        <v>21</v>
      </c>
      <c r="K33" s="3" t="n">
        <v>21</v>
      </c>
      <c r="L33" s="3" t="n">
        <v>21</v>
      </c>
    </row>
    <row r="34" customFormat="false" ht="15" hidden="false" customHeight="false" outlineLevel="0" collapsed="false">
      <c r="A34" s="0" t="s">
        <v>113</v>
      </c>
      <c r="B34" s="3" t="n">
        <v>9.5</v>
      </c>
    </row>
    <row r="35" customFormat="false" ht="15" hidden="false" customHeight="false" outlineLevel="0" collapsed="false">
      <c r="A35" s="0" t="s">
        <v>114</v>
      </c>
      <c r="B35" s="3" t="n">
        <v>3</v>
      </c>
    </row>
    <row r="36" customFormat="false" ht="15" hidden="false" customHeight="false" outlineLevel="0" collapsed="false">
      <c r="A36" s="0" t="s">
        <v>115</v>
      </c>
      <c r="B36" s="3" t="n">
        <v>18</v>
      </c>
    </row>
    <row r="37" customFormat="false" ht="15" hidden="false" customHeight="false" outlineLevel="0" collapsed="false">
      <c r="A37" s="0" t="s">
        <v>116</v>
      </c>
      <c r="B37" s="3" t="n">
        <v>5</v>
      </c>
    </row>
    <row r="38" customFormat="false" ht="15" hidden="false" customHeight="false" outlineLevel="0" collapsed="false">
      <c r="A38" s="0" t="s">
        <v>117</v>
      </c>
      <c r="B38" s="3" t="n">
        <v>0.45</v>
      </c>
    </row>
    <row r="40" customFormat="false" ht="15" hidden="false" customHeight="false" outlineLevel="0" collapsed="false">
      <c r="A40" s="2" t="s">
        <v>119</v>
      </c>
      <c r="C40" s="2" t="s">
        <v>96</v>
      </c>
      <c r="D40" s="2" t="s">
        <v>97</v>
      </c>
      <c r="E40" s="2" t="s">
        <v>98</v>
      </c>
      <c r="F40" s="2" t="s">
        <v>99</v>
      </c>
      <c r="G40" s="2" t="s">
        <v>100</v>
      </c>
      <c r="H40" s="2" t="s">
        <v>101</v>
      </c>
      <c r="I40" s="2" t="s">
        <v>102</v>
      </c>
      <c r="J40" s="2" t="s">
        <v>103</v>
      </c>
      <c r="K40" s="2" t="s">
        <v>104</v>
      </c>
      <c r="L40" s="2" t="s">
        <v>105</v>
      </c>
    </row>
    <row r="41" customFormat="false" ht="15" hidden="false" customHeight="false" outlineLevel="0" collapsed="false">
      <c r="A41" s="0" t="s">
        <v>106</v>
      </c>
      <c r="C41" s="3" t="n">
        <v>8</v>
      </c>
      <c r="D41" s="3" t="n">
        <v>16</v>
      </c>
      <c r="E41" s="3" t="n">
        <v>15</v>
      </c>
      <c r="F41" s="3" t="n">
        <v>13</v>
      </c>
      <c r="G41" s="3" t="n">
        <v>11</v>
      </c>
      <c r="H41" s="3" t="n">
        <v>9</v>
      </c>
      <c r="I41" s="3" t="n">
        <v>7.5</v>
      </c>
      <c r="J41" s="3" t="n">
        <v>6</v>
      </c>
      <c r="K41" s="3" t="n">
        <v>5</v>
      </c>
      <c r="L41" s="3" t="n">
        <v>4</v>
      </c>
    </row>
    <row r="42" customFormat="false" ht="15" hidden="false" customHeight="false" outlineLevel="0" collapsed="false">
      <c r="A42" s="0" t="s">
        <v>107</v>
      </c>
      <c r="C42" s="3" t="n">
        <v>27</v>
      </c>
      <c r="D42" s="3" t="n">
        <v>27.5</v>
      </c>
      <c r="E42" s="3" t="n">
        <v>29</v>
      </c>
      <c r="F42" s="3" t="n">
        <v>31</v>
      </c>
      <c r="G42" s="3" t="n">
        <v>33</v>
      </c>
      <c r="H42" s="3" t="n">
        <v>34.5</v>
      </c>
      <c r="I42" s="3" t="n">
        <v>35.5</v>
      </c>
      <c r="J42" s="3" t="n">
        <v>36</v>
      </c>
      <c r="K42" s="3" t="n">
        <v>36</v>
      </c>
      <c r="L42" s="3" t="n">
        <v>36</v>
      </c>
    </row>
    <row r="43" customFormat="false" ht="15" hidden="false" customHeight="false" outlineLevel="0" collapsed="false">
      <c r="A43" s="0" t="s">
        <v>108</v>
      </c>
      <c r="C43" s="3" t="n">
        <v>12</v>
      </c>
      <c r="D43" s="3" t="n">
        <v>12</v>
      </c>
      <c r="E43" s="3" t="n">
        <v>11.5</v>
      </c>
      <c r="F43" s="3" t="n">
        <v>11</v>
      </c>
      <c r="G43" s="3" t="n">
        <v>10.5</v>
      </c>
      <c r="H43" s="3" t="n">
        <v>10</v>
      </c>
      <c r="I43" s="3" t="n">
        <v>9.5</v>
      </c>
      <c r="J43" s="3" t="n">
        <v>9</v>
      </c>
      <c r="K43" s="3" t="n">
        <v>8.5</v>
      </c>
      <c r="L43" s="3" t="n">
        <v>8</v>
      </c>
    </row>
    <row r="44" customFormat="false" ht="15" hidden="false" customHeight="false" outlineLevel="0" collapsed="false">
      <c r="A44" s="0" t="s">
        <v>109</v>
      </c>
      <c r="C44" s="3" t="n">
        <v>0</v>
      </c>
      <c r="D44" s="3" t="n">
        <v>0</v>
      </c>
      <c r="E44" s="3" t="n">
        <v>0</v>
      </c>
      <c r="F44" s="3" t="n">
        <v>0</v>
      </c>
      <c r="G44" s="3" t="n">
        <v>0</v>
      </c>
      <c r="H44" s="3" t="n">
        <v>0</v>
      </c>
      <c r="I44" s="3" t="n">
        <v>0</v>
      </c>
      <c r="J44" s="3" t="n">
        <v>0</v>
      </c>
      <c r="K44" s="3" t="n">
        <v>0</v>
      </c>
      <c r="L44" s="3" t="n">
        <v>0</v>
      </c>
    </row>
    <row r="45" customFormat="false" ht="15" hidden="false" customHeight="false" outlineLevel="0" collapsed="false">
      <c r="A45" s="0" t="s">
        <v>110</v>
      </c>
      <c r="C45" s="3" t="n">
        <v>17</v>
      </c>
      <c r="D45" s="3" t="n">
        <v>19.5</v>
      </c>
      <c r="E45" s="3" t="n">
        <v>21</v>
      </c>
      <c r="F45" s="3" t="n">
        <v>21</v>
      </c>
      <c r="G45" s="3" t="n">
        <v>19.5</v>
      </c>
      <c r="H45" s="3" t="n">
        <v>17.5</v>
      </c>
      <c r="I45" s="3" t="n">
        <v>16</v>
      </c>
      <c r="J45" s="3" t="n">
        <v>15</v>
      </c>
      <c r="K45" s="3" t="n">
        <v>14.5</v>
      </c>
      <c r="L45" s="3" t="n">
        <v>14</v>
      </c>
    </row>
    <row r="46" customFormat="false" ht="15" hidden="false" customHeight="false" outlineLevel="0" collapsed="false">
      <c r="A46" s="0" t="s">
        <v>111</v>
      </c>
      <c r="C46" s="3" t="n">
        <v>38</v>
      </c>
      <c r="D46" s="3" t="n">
        <v>33</v>
      </c>
      <c r="E46" s="3" t="n">
        <v>27</v>
      </c>
      <c r="F46" s="3" t="n">
        <v>21</v>
      </c>
      <c r="G46" s="3" t="n">
        <v>17</v>
      </c>
      <c r="H46" s="3" t="n">
        <v>14</v>
      </c>
      <c r="I46" s="3" t="n">
        <v>12.5</v>
      </c>
      <c r="J46" s="3" t="n">
        <v>11.5</v>
      </c>
      <c r="K46" s="3" t="n">
        <v>11</v>
      </c>
      <c r="L46" s="3" t="n">
        <v>10.5</v>
      </c>
    </row>
    <row r="47" customFormat="false" ht="15" hidden="false" customHeight="false" outlineLevel="0" collapsed="false">
      <c r="A47" s="0" t="s">
        <v>112</v>
      </c>
      <c r="C47" s="3" t="n">
        <v>15</v>
      </c>
      <c r="D47" s="3" t="n">
        <v>17</v>
      </c>
      <c r="E47" s="3" t="n">
        <v>19</v>
      </c>
      <c r="F47" s="3" t="n">
        <v>20</v>
      </c>
      <c r="G47" s="3" t="n">
        <v>21</v>
      </c>
      <c r="H47" s="3" t="n">
        <v>21</v>
      </c>
      <c r="I47" s="3" t="n">
        <v>21</v>
      </c>
      <c r="J47" s="3" t="n">
        <v>21</v>
      </c>
      <c r="K47" s="3" t="n">
        <v>21</v>
      </c>
      <c r="L47" s="3" t="n">
        <v>21</v>
      </c>
    </row>
    <row r="48" customFormat="false" ht="15" hidden="false" customHeight="false" outlineLevel="0" collapsed="false">
      <c r="A48" s="0" t="s">
        <v>113</v>
      </c>
      <c r="B48" s="3" t="n">
        <v>9</v>
      </c>
    </row>
    <row r="49" customFormat="false" ht="15" hidden="false" customHeight="false" outlineLevel="0" collapsed="false">
      <c r="A49" s="0" t="s">
        <v>114</v>
      </c>
      <c r="B49" s="3" t="n">
        <v>3.5</v>
      </c>
    </row>
    <row r="50" customFormat="false" ht="15" hidden="false" customHeight="false" outlineLevel="0" collapsed="false">
      <c r="A50" s="0" t="s">
        <v>115</v>
      </c>
      <c r="B50" s="3" t="n">
        <v>20</v>
      </c>
    </row>
    <row r="51" customFormat="false" ht="15" hidden="false" customHeight="false" outlineLevel="0" collapsed="false">
      <c r="A51" s="0" t="s">
        <v>116</v>
      </c>
      <c r="B51" s="3" t="n">
        <v>6</v>
      </c>
    </row>
    <row r="52" customFormat="false" ht="15" hidden="false" customHeight="false" outlineLevel="0" collapsed="false">
      <c r="A52" s="0" t="s">
        <v>117</v>
      </c>
      <c r="B52" s="3" t="n">
        <v>0.3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2"/>
  </cols>
  <sheetData>
    <row r="1" customFormat="false" ht="15" hidden="false" customHeight="false" outlineLevel="0" collapsed="false">
      <c r="A1" s="2" t="s">
        <v>120</v>
      </c>
    </row>
    <row r="3" customFormat="false" ht="15" hidden="false" customHeight="false" outlineLevel="0" collapsed="false">
      <c r="A3" s="0" t="s">
        <v>121</v>
      </c>
      <c r="B3" s="0" t="s">
        <v>82</v>
      </c>
      <c r="C3" s="2" t="s">
        <v>96</v>
      </c>
      <c r="D3" s="2" t="s">
        <v>97</v>
      </c>
      <c r="E3" s="2" t="s">
        <v>98</v>
      </c>
      <c r="F3" s="2" t="s">
        <v>99</v>
      </c>
      <c r="G3" s="2" t="s">
        <v>100</v>
      </c>
      <c r="H3" s="2" t="s">
        <v>101</v>
      </c>
      <c r="I3" s="2" t="s">
        <v>102</v>
      </c>
      <c r="J3" s="2" t="s">
        <v>103</v>
      </c>
      <c r="K3" s="2" t="s">
        <v>104</v>
      </c>
      <c r="L3" s="2" t="s">
        <v>105</v>
      </c>
    </row>
    <row r="4" customFormat="false" ht="15" hidden="false" customHeight="false" outlineLevel="0" collapsed="false">
      <c r="A4" s="0" t="s">
        <v>122</v>
      </c>
      <c r="B4" s="0" t="n">
        <v>0</v>
      </c>
      <c r="C4" s="0" t="n">
        <f aca="false">B4+1</f>
        <v>1</v>
      </c>
      <c r="D4" s="0" t="n">
        <f aca="false">C4+1</f>
        <v>2</v>
      </c>
      <c r="E4" s="0" t="n">
        <f aca="false">D4+1</f>
        <v>3</v>
      </c>
      <c r="F4" s="0" t="n">
        <f aca="false">E4+1</f>
        <v>4</v>
      </c>
      <c r="G4" s="0" t="n">
        <f aca="false">F4+1</f>
        <v>5</v>
      </c>
      <c r="H4" s="0" t="n">
        <f aca="false">G4+1</f>
        <v>6</v>
      </c>
      <c r="I4" s="0" t="n">
        <f aca="false">H4+1</f>
        <v>7</v>
      </c>
      <c r="J4" s="0" t="n">
        <f aca="false">I4+1</f>
        <v>8</v>
      </c>
      <c r="K4" s="0" t="n">
        <f aca="false">J4+1</f>
        <v>9</v>
      </c>
      <c r="L4" s="0" t="n">
        <f aca="false">K4+1</f>
        <v>10</v>
      </c>
    </row>
    <row r="5" customFormat="false" ht="15" hidden="false" customHeight="false" outlineLevel="0" collapsed="false">
      <c r="A5" s="0" t="s">
        <v>106</v>
      </c>
      <c r="C5" s="4" t="n">
        <f aca="false">Assumptions!C13</f>
        <v>4</v>
      </c>
      <c r="D5" s="4" t="n">
        <f aca="false">Assumptions!D13</f>
        <v>4.5</v>
      </c>
      <c r="E5" s="4" t="n">
        <f aca="false">Assumptions!E13</f>
        <v>4</v>
      </c>
      <c r="F5" s="4" t="n">
        <f aca="false">Assumptions!F13</f>
        <v>3.5</v>
      </c>
      <c r="G5" s="4" t="n">
        <f aca="false">Assumptions!G13</f>
        <v>3</v>
      </c>
      <c r="H5" s="4" t="n">
        <f aca="false">Assumptions!H13</f>
        <v>3</v>
      </c>
      <c r="I5" s="4" t="n">
        <f aca="false">Assumptions!I13</f>
        <v>2.5</v>
      </c>
      <c r="J5" s="4" t="n">
        <f aca="false">Assumptions!J13</f>
        <v>2.5</v>
      </c>
      <c r="K5" s="4" t="n">
        <f aca="false">Assumptions!K13</f>
        <v>2</v>
      </c>
      <c r="L5" s="4" t="n">
        <f aca="false">Assumptions!L13</f>
        <v>2</v>
      </c>
    </row>
    <row r="6" customFormat="false" ht="15" hidden="false" customHeight="false" outlineLevel="0" collapsed="false">
      <c r="A6" s="0" t="s">
        <v>37</v>
      </c>
      <c r="B6" s="3" t="n">
        <v>4208.175</v>
      </c>
      <c r="C6" s="0" t="n">
        <f aca="false">B6*(1+C5/100)</f>
        <v>4376.502</v>
      </c>
      <c r="D6" s="0" t="n">
        <f aca="false">C6*(1+D5/100)</f>
        <v>4573.44459</v>
      </c>
      <c r="E6" s="0" t="n">
        <f aca="false">D6*(1+E5/100)</f>
        <v>4756.3823736</v>
      </c>
      <c r="F6" s="0" t="n">
        <f aca="false">E6*(1+F5/100)</f>
        <v>4922.855756676</v>
      </c>
      <c r="G6" s="0" t="n">
        <f aca="false">F6*(1+G5/100)</f>
        <v>5070.54142937628</v>
      </c>
      <c r="H6" s="0" t="n">
        <f aca="false">G6*(1+H5/100)</f>
        <v>5222.65767225757</v>
      </c>
      <c r="I6" s="0" t="n">
        <f aca="false">H6*(1+I5/100)</f>
        <v>5353.22411406401</v>
      </c>
      <c r="J6" s="0" t="n">
        <f aca="false">I6*(1+J5/100)</f>
        <v>5487.05471691561</v>
      </c>
      <c r="K6" s="0" t="n">
        <f aca="false">J6*(1+K5/100)</f>
        <v>5596.79581125392</v>
      </c>
      <c r="L6" s="0" t="n">
        <f aca="false">K6*(1+L5/100)</f>
        <v>5708.731727479</v>
      </c>
    </row>
    <row r="7" customFormat="false" ht="15" hidden="false" customHeight="false" outlineLevel="0" collapsed="false">
      <c r="A7" s="0" t="s">
        <v>107</v>
      </c>
      <c r="C7" s="4" t="n">
        <f aca="false">Assumptions!C14</f>
        <v>25</v>
      </c>
      <c r="D7" s="4" t="n">
        <f aca="false">Assumptions!D14</f>
        <v>23</v>
      </c>
      <c r="E7" s="4" t="n">
        <f aca="false">Assumptions!E14</f>
        <v>22.5</v>
      </c>
      <c r="F7" s="4" t="n">
        <f aca="false">Assumptions!F14</f>
        <v>23.5</v>
      </c>
      <c r="G7" s="4" t="n">
        <f aca="false">Assumptions!G14</f>
        <v>25</v>
      </c>
      <c r="H7" s="4" t="n">
        <f aca="false">Assumptions!H14</f>
        <v>26.5</v>
      </c>
      <c r="I7" s="4" t="n">
        <f aca="false">Assumptions!I14</f>
        <v>27.5</v>
      </c>
      <c r="J7" s="4" t="n">
        <f aca="false">Assumptions!J14</f>
        <v>28</v>
      </c>
      <c r="K7" s="4" t="n">
        <f aca="false">Assumptions!K14</f>
        <v>28</v>
      </c>
      <c r="L7" s="4" t="n">
        <f aca="false">Assumptions!L14</f>
        <v>28</v>
      </c>
    </row>
    <row r="8" customFormat="false" ht="15" hidden="false" customHeight="false" outlineLevel="0" collapsed="false">
      <c r="A8" s="0" t="s">
        <v>43</v>
      </c>
      <c r="C8" s="0" t="n">
        <f aca="false">C6*C7/100</f>
        <v>1094.1255</v>
      </c>
      <c r="D8" s="0" t="n">
        <f aca="false">D6*D7/100</f>
        <v>1051.8922557</v>
      </c>
      <c r="E8" s="0" t="n">
        <f aca="false">E6*E7/100</f>
        <v>1070.18603406</v>
      </c>
      <c r="F8" s="0" t="n">
        <f aca="false">F6*F7/100</f>
        <v>1156.87110281886</v>
      </c>
      <c r="G8" s="0" t="n">
        <f aca="false">G6*G7/100</f>
        <v>1267.63535734407</v>
      </c>
      <c r="H8" s="0" t="n">
        <f aca="false">H6*H7/100</f>
        <v>1384.00428314826</v>
      </c>
      <c r="I8" s="0" t="n">
        <f aca="false">I6*I7/100</f>
        <v>1472.1366313676</v>
      </c>
      <c r="J8" s="0" t="n">
        <f aca="false">J6*J7/100</f>
        <v>1536.37532073637</v>
      </c>
      <c r="K8" s="0" t="n">
        <f aca="false">K6*K7/100</f>
        <v>1567.1028271511</v>
      </c>
      <c r="L8" s="0" t="n">
        <f aca="false">L6*L7/100</f>
        <v>1598.44488369412</v>
      </c>
    </row>
    <row r="9" customFormat="false" ht="15" hidden="false" customHeight="false" outlineLevel="0" collapsed="false">
      <c r="A9" s="0" t="s">
        <v>108</v>
      </c>
      <c r="C9" s="4" t="n">
        <f aca="false">Assumptions!C15</f>
        <v>13</v>
      </c>
      <c r="D9" s="4" t="n">
        <f aca="false">Assumptions!D15</f>
        <v>13</v>
      </c>
      <c r="E9" s="4" t="n">
        <f aca="false">Assumptions!E15</f>
        <v>12.5</v>
      </c>
      <c r="F9" s="4" t="n">
        <f aca="false">Assumptions!F15</f>
        <v>12</v>
      </c>
      <c r="G9" s="4" t="n">
        <f aca="false">Assumptions!G15</f>
        <v>11.5</v>
      </c>
      <c r="H9" s="4" t="n">
        <f aca="false">Assumptions!H15</f>
        <v>11</v>
      </c>
      <c r="I9" s="4" t="n">
        <f aca="false">Assumptions!I15</f>
        <v>10.5</v>
      </c>
      <c r="J9" s="4" t="n">
        <f aca="false">Assumptions!J15</f>
        <v>10</v>
      </c>
      <c r="K9" s="4" t="n">
        <f aca="false">Assumptions!K15</f>
        <v>9.5</v>
      </c>
      <c r="L9" s="4" t="n">
        <f aca="false">Assumptions!L15</f>
        <v>9</v>
      </c>
    </row>
    <row r="10" customFormat="false" ht="15" hidden="false" customHeight="false" outlineLevel="0" collapsed="false">
      <c r="A10" s="0" t="s">
        <v>123</v>
      </c>
      <c r="C10" s="0" t="n">
        <f aca="false">-C6*C9/100</f>
        <v>-568.94526</v>
      </c>
      <c r="D10" s="0" t="n">
        <f aca="false">-D6*D9/100</f>
        <v>-594.5477967</v>
      </c>
      <c r="E10" s="0" t="n">
        <f aca="false">-E6*E9/100</f>
        <v>-594.5477967</v>
      </c>
      <c r="F10" s="0" t="n">
        <f aca="false">-F6*F9/100</f>
        <v>-590.74269080112</v>
      </c>
      <c r="G10" s="0" t="n">
        <f aca="false">-G6*G9/100</f>
        <v>-583.112264378272</v>
      </c>
      <c r="H10" s="0" t="n">
        <f aca="false">-H6*H9/100</f>
        <v>-574.492343948333</v>
      </c>
      <c r="I10" s="0" t="n">
        <f aca="false">-I6*I9/100</f>
        <v>-562.088531976721</v>
      </c>
      <c r="J10" s="0" t="n">
        <f aca="false">-J6*J9/100</f>
        <v>-548.705471691561</v>
      </c>
      <c r="K10" s="0" t="n">
        <f aca="false">-K6*K9/100</f>
        <v>-531.695602069122</v>
      </c>
      <c r="L10" s="0" t="n">
        <f aca="false">-L6*L9/100</f>
        <v>-513.78585547311</v>
      </c>
    </row>
    <row r="11" customFormat="false" ht="15" hidden="false" customHeight="false" outlineLevel="0" collapsed="false">
      <c r="A11" s="0" t="s">
        <v>124</v>
      </c>
      <c r="C11" s="0" t="n">
        <f aca="false">C8+C10+C24</f>
        <v>525.18024</v>
      </c>
      <c r="D11" s="0" t="n">
        <f aca="false">D8+D10+D24</f>
        <v>457.344459</v>
      </c>
      <c r="E11" s="0" t="n">
        <f aca="false">E8+E10+E24</f>
        <v>475.63823736</v>
      </c>
      <c r="F11" s="0" t="n">
        <f aca="false">F8+F10+F24</f>
        <v>566.12841201774</v>
      </c>
      <c r="G11" s="0" t="n">
        <f aca="false">G8+G10+G24</f>
        <v>684.523092965798</v>
      </c>
      <c r="H11" s="0" t="n">
        <f aca="false">H8+H10+H24</f>
        <v>809.511939199923</v>
      </c>
      <c r="I11" s="0" t="n">
        <f aca="false">I8+I10+I24</f>
        <v>910.048099390881</v>
      </c>
      <c r="J11" s="0" t="n">
        <f aca="false">J8+J10+J24</f>
        <v>987.66984904481</v>
      </c>
      <c r="K11" s="0" t="n">
        <f aca="false">K8+K10+K24</f>
        <v>1035.40722508198</v>
      </c>
      <c r="L11" s="0" t="n">
        <f aca="false">L8+L10+L24</f>
        <v>1084.65902822101</v>
      </c>
    </row>
    <row r="12" customFormat="false" ht="15" hidden="false" customHeight="false" outlineLevel="0" collapsed="false">
      <c r="A12" s="0" t="s">
        <v>125</v>
      </c>
      <c r="C12" s="4" t="n">
        <f aca="false">-C6*Assumptions!C17/100</f>
        <v>-765.88785</v>
      </c>
      <c r="D12" s="4" t="n">
        <f aca="false">-D6*Assumptions!D17/100</f>
        <v>-914.688918</v>
      </c>
      <c r="E12" s="4" t="n">
        <f aca="false">-E6*Assumptions!E17/100</f>
        <v>-1046.404122192</v>
      </c>
      <c r="F12" s="4" t="n">
        <f aca="false">-F6*Assumptions!F17/100</f>
        <v>-1107.6425452521</v>
      </c>
      <c r="G12" s="4" t="n">
        <f aca="false">-G6*Assumptions!G17/100</f>
        <v>-1090.1664073159</v>
      </c>
      <c r="H12" s="4" t="n">
        <f aca="false">-H6*Assumptions!H17/100</f>
        <v>-1044.53153445151</v>
      </c>
      <c r="I12" s="4" t="n">
        <f aca="false">-I6*Assumptions!I17/100</f>
        <v>-990.346461101842</v>
      </c>
      <c r="J12" s="4" t="n">
        <f aca="false">-J6*Assumptions!J17/100</f>
        <v>-960.234575460231</v>
      </c>
      <c r="K12" s="4" t="n">
        <f aca="false">-K6*Assumptions!K17/100</f>
        <v>-951.455287913166</v>
      </c>
      <c r="L12" s="4" t="n">
        <f aca="false">-L6*Assumptions!L17/100</f>
        <v>-941.940735034035</v>
      </c>
    </row>
    <row r="13" customFormat="false" ht="15" hidden="false" customHeight="false" outlineLevel="0" collapsed="false">
      <c r="A13" s="0" t="s">
        <v>126</v>
      </c>
      <c r="C13" s="0" t="n">
        <f aca="false">C11+C12</f>
        <v>-240.70761</v>
      </c>
      <c r="D13" s="0" t="n">
        <f aca="false">D11+D12</f>
        <v>-457.344459</v>
      </c>
      <c r="E13" s="0" t="n">
        <f aca="false">E11+E12</f>
        <v>-570.765884832</v>
      </c>
      <c r="F13" s="0" t="n">
        <f aca="false">F11+F12</f>
        <v>-541.51413323436</v>
      </c>
      <c r="G13" s="0" t="n">
        <f aca="false">G11+G12</f>
        <v>-405.643314350102</v>
      </c>
      <c r="H13" s="0" t="n">
        <f aca="false">H11+H12</f>
        <v>-235.019595251591</v>
      </c>
      <c r="I13" s="0" t="n">
        <f aca="false">I11+I12</f>
        <v>-80.2983617109602</v>
      </c>
      <c r="J13" s="0" t="n">
        <f aca="false">J11+J12</f>
        <v>27.4352735845782</v>
      </c>
      <c r="K13" s="0" t="n">
        <f aca="false">K11+K12</f>
        <v>83.951937168809</v>
      </c>
      <c r="L13" s="0" t="n">
        <f aca="false">L11+L12</f>
        <v>142.718293186975</v>
      </c>
    </row>
    <row r="14" customFormat="false" ht="15" hidden="false" customHeight="false" outlineLevel="0" collapsed="false">
      <c r="A14" s="0" t="s">
        <v>112</v>
      </c>
      <c r="C14" s="4" t="n">
        <f aca="false">Assumptions!C19</f>
        <v>12</v>
      </c>
      <c r="D14" s="4" t="n">
        <f aca="false">Assumptions!D19</f>
        <v>14</v>
      </c>
      <c r="E14" s="4" t="n">
        <f aca="false">Assumptions!E19</f>
        <v>16</v>
      </c>
      <c r="F14" s="4" t="n">
        <f aca="false">Assumptions!F19</f>
        <v>18</v>
      </c>
      <c r="G14" s="4" t="n">
        <f aca="false">Assumptions!G19</f>
        <v>19</v>
      </c>
      <c r="H14" s="4" t="n">
        <f aca="false">Assumptions!H19</f>
        <v>20</v>
      </c>
      <c r="I14" s="4" t="n">
        <f aca="false">Assumptions!I19</f>
        <v>20</v>
      </c>
      <c r="J14" s="4" t="n">
        <f aca="false">Assumptions!J19</f>
        <v>21</v>
      </c>
      <c r="K14" s="4" t="n">
        <f aca="false">Assumptions!K19</f>
        <v>21</v>
      </c>
      <c r="L14" s="4" t="n">
        <f aca="false">Assumptions!L19</f>
        <v>21</v>
      </c>
    </row>
    <row r="15" customFormat="false" ht="15" hidden="false" customHeight="false" outlineLevel="0" collapsed="false">
      <c r="A15" s="0" t="s">
        <v>127</v>
      </c>
      <c r="C15" s="0" t="n">
        <f aca="false">C13-MAX(0,C13)*C14/100</f>
        <v>-240.70761</v>
      </c>
      <c r="D15" s="0" t="n">
        <f aca="false">D13-MAX(0,D13)*D14/100</f>
        <v>-457.344459</v>
      </c>
      <c r="E15" s="0" t="n">
        <f aca="false">E13-MAX(0,E13)*E14/100</f>
        <v>-570.765884832</v>
      </c>
      <c r="F15" s="0" t="n">
        <f aca="false">F13-MAX(0,F13)*F14/100</f>
        <v>-541.51413323436</v>
      </c>
      <c r="G15" s="0" t="n">
        <f aca="false">G13-MAX(0,G13)*G14/100</f>
        <v>-405.643314350102</v>
      </c>
      <c r="H15" s="0" t="n">
        <f aca="false">H13-MAX(0,H13)*H14/100</f>
        <v>-235.019595251591</v>
      </c>
      <c r="I15" s="0" t="n">
        <f aca="false">I13-MAX(0,I13)*I14/100</f>
        <v>-80.2983617109602</v>
      </c>
      <c r="J15" s="0" t="n">
        <f aca="false">J13-MAX(0,J13)*J14/100</f>
        <v>21.6738661318168</v>
      </c>
      <c r="K15" s="0" t="n">
        <f aca="false">K13-MAX(0,K13)*K14/100</f>
        <v>66.3220303633591</v>
      </c>
      <c r="L15" s="0" t="n">
        <f aca="false">L13-MAX(0,L13)*L14/100</f>
        <v>112.74745161771</v>
      </c>
    </row>
    <row r="16" customFormat="false" ht="15" hidden="false" customHeight="false" outlineLevel="0" collapsed="false">
      <c r="A16" s="0" t="s">
        <v>128</v>
      </c>
      <c r="C16" s="0" t="n">
        <f aca="false">-C12</f>
        <v>765.88785</v>
      </c>
      <c r="D16" s="0" t="n">
        <f aca="false">-D12</f>
        <v>914.688918</v>
      </c>
      <c r="E16" s="0" t="n">
        <f aca="false">-E12</f>
        <v>1046.404122192</v>
      </c>
      <c r="F16" s="0" t="n">
        <f aca="false">-F12</f>
        <v>1107.6425452521</v>
      </c>
      <c r="G16" s="0" t="n">
        <f aca="false">-G12</f>
        <v>1090.1664073159</v>
      </c>
      <c r="H16" s="0" t="n">
        <f aca="false">-H12</f>
        <v>1044.53153445151</v>
      </c>
      <c r="I16" s="0" t="n">
        <f aca="false">-I12</f>
        <v>990.346461101842</v>
      </c>
      <c r="J16" s="0" t="n">
        <f aca="false">-J12</f>
        <v>960.234575460231</v>
      </c>
      <c r="K16" s="0" t="n">
        <f aca="false">-K12</f>
        <v>951.455287913166</v>
      </c>
      <c r="L16" s="0" t="n">
        <f aca="false">-L12</f>
        <v>941.940735034035</v>
      </c>
    </row>
    <row r="17" customFormat="false" ht="15" hidden="false" customHeight="false" outlineLevel="0" collapsed="false">
      <c r="A17" s="0" t="s">
        <v>129</v>
      </c>
      <c r="C17" s="4" t="n">
        <f aca="false">-C6*Assumptions!C18/100</f>
        <v>-1663.07076</v>
      </c>
      <c r="D17" s="4" t="n">
        <f aca="false">-D6*Assumptions!D18/100</f>
        <v>-1554.9711606</v>
      </c>
      <c r="E17" s="4" t="n">
        <f aca="false">-E6*Assumptions!E18/100</f>
        <v>-1426.91471208</v>
      </c>
      <c r="F17" s="4" t="n">
        <f aca="false">-F6*Assumptions!F18/100</f>
        <v>-1230.713939169</v>
      </c>
      <c r="G17" s="4" t="n">
        <f aca="false">-G6*Assumptions!G18/100</f>
        <v>-1014.10828587526</v>
      </c>
      <c r="H17" s="4" t="n">
        <f aca="false">-H6*Assumptions!H18/100</f>
        <v>-887.851804283787</v>
      </c>
      <c r="I17" s="4" t="n">
        <f aca="false">-I6*Assumptions!I18/100</f>
        <v>-802.983617109601</v>
      </c>
      <c r="J17" s="4" t="n">
        <f aca="false">-J6*Assumptions!J18/100</f>
        <v>-768.187660368185</v>
      </c>
      <c r="K17" s="4" t="n">
        <f aca="false">-K6*Assumptions!K18/100</f>
        <v>-755.567434519279</v>
      </c>
      <c r="L17" s="4" t="n">
        <f aca="false">-L6*Assumptions!L18/100</f>
        <v>-742.13512457227</v>
      </c>
    </row>
    <row r="18" customFormat="false" ht="15" hidden="false" customHeight="false" outlineLevel="0" collapsed="false">
      <c r="A18" s="0" t="s">
        <v>130</v>
      </c>
      <c r="C18" s="4" t="n">
        <f aca="false">(C6-B6)*Assumptions!$B$23/100</f>
        <v>5.04981000000001</v>
      </c>
      <c r="D18" s="4" t="n">
        <f aca="false">(D6-C6)*Assumptions!$B$23/100</f>
        <v>5.90827769999999</v>
      </c>
      <c r="E18" s="4" t="n">
        <f aca="false">(E6-D6)*Assumptions!$B$23/100</f>
        <v>5.48813350800001</v>
      </c>
      <c r="F18" s="4" t="n">
        <f aca="false">(F6-E6)*Assumptions!$B$23/100</f>
        <v>4.99420149227999</v>
      </c>
      <c r="G18" s="4" t="n">
        <f aca="false">(G6-F6)*Assumptions!$B$23/100</f>
        <v>4.43057018100842</v>
      </c>
      <c r="H18" s="4" t="n">
        <f aca="false">(H6-G6)*Assumptions!$B$23/100</f>
        <v>4.56348728643866</v>
      </c>
      <c r="I18" s="4" t="n">
        <f aca="false">(I6-H6)*Assumptions!$B$23/100</f>
        <v>3.91699325419317</v>
      </c>
      <c r="J18" s="4" t="n">
        <f aca="false">(J6-I6)*Assumptions!$B$23/100</f>
        <v>4.014918085548</v>
      </c>
      <c r="K18" s="4" t="n">
        <f aca="false">(K6-J6)*Assumptions!$B$23/100</f>
        <v>3.29223283014936</v>
      </c>
      <c r="L18" s="4" t="n">
        <f aca="false">(L6-K6)*Assumptions!$B$23/100</f>
        <v>3.35807748675235</v>
      </c>
    </row>
    <row r="19" customFormat="false" ht="15" hidden="false" customHeight="false" outlineLevel="0" collapsed="false">
      <c r="A19" s="0" t="s">
        <v>131</v>
      </c>
      <c r="C19" s="0" t="n">
        <f aca="false">C15+C16+C17+C18</f>
        <v>-1132.84071</v>
      </c>
      <c r="D19" s="0" t="n">
        <f aca="false">D15+D16+D17+D18</f>
        <v>-1091.7184239</v>
      </c>
      <c r="E19" s="0" t="n">
        <f aca="false">E15+E16+E17+E18</f>
        <v>-945.788341212</v>
      </c>
      <c r="F19" s="0" t="n">
        <f aca="false">F15+F16+F17+F18</f>
        <v>-659.59132565898</v>
      </c>
      <c r="G19" s="0" t="n">
        <f aca="false">G15+G16+G17+G18</f>
        <v>-325.15462272845</v>
      </c>
      <c r="H19" s="0" t="n">
        <f aca="false">H15+H16+H17+H18</f>
        <v>-73.776377797425</v>
      </c>
      <c r="I19" s="0" t="n">
        <f aca="false">I15+I16+I17+I18</f>
        <v>110.981475535473</v>
      </c>
      <c r="J19" s="0" t="n">
        <f aca="false">J15+J16+J17+J18</f>
        <v>217.735699309411</v>
      </c>
      <c r="K19" s="0" t="n">
        <f aca="false">K15+K16+K17+K18</f>
        <v>265.502116587396</v>
      </c>
      <c r="L19" s="0" t="n">
        <f aca="false">L15+L16+L17+L18</f>
        <v>315.911139566228</v>
      </c>
    </row>
    <row r="20" customFormat="false" ht="15" hidden="false" customHeight="false" outlineLevel="0" collapsed="false">
      <c r="A20" s="0" t="s">
        <v>132</v>
      </c>
      <c r="C20" s="0" t="n">
        <f aca="false">1/(1+$B$27/100)^C4</f>
        <v>0.900900900900901</v>
      </c>
      <c r="D20" s="0" t="n">
        <f aca="false">1/(1+$B$27/100)^D4</f>
        <v>0.811622433244055</v>
      </c>
      <c r="E20" s="0" t="n">
        <f aca="false">1/(1+$B$27/100)^E4</f>
        <v>0.73119138130095</v>
      </c>
      <c r="F20" s="0" t="n">
        <f aca="false">1/(1+$B$27/100)^F4</f>
        <v>0.658730974145</v>
      </c>
      <c r="G20" s="0" t="n">
        <f aca="false">1/(1+$B$27/100)^G4</f>
        <v>0.593451328058559</v>
      </c>
      <c r="H20" s="0" t="n">
        <f aca="false">1/(1+$B$27/100)^H4</f>
        <v>0.534640836088791</v>
      </c>
      <c r="I20" s="0" t="n">
        <f aca="false">1/(1+$B$27/100)^I4</f>
        <v>0.481658410890803</v>
      </c>
      <c r="J20" s="0" t="n">
        <f aca="false">1/(1+$B$27/100)^J4</f>
        <v>0.433926496298021</v>
      </c>
      <c r="K20" s="0" t="n">
        <f aca="false">1/(1+$B$27/100)^K4</f>
        <v>0.390924771439658</v>
      </c>
      <c r="L20" s="0" t="n">
        <f aca="false">1/(1+$B$27/100)^L4</f>
        <v>0.352184478774467</v>
      </c>
    </row>
    <row r="21" customFormat="false" ht="15" hidden="false" customHeight="false" outlineLevel="0" collapsed="false">
      <c r="A21" s="0" t="s">
        <v>133</v>
      </c>
      <c r="C21" s="0" t="n">
        <f aca="false">C19*C20</f>
        <v>-1020.57721621622</v>
      </c>
      <c r="D21" s="0" t="n">
        <f aca="false">D19*D20</f>
        <v>-886.063163623083</v>
      </c>
      <c r="E21" s="0" t="n">
        <f aca="false">E19*E20</f>
        <v>-691.552283629137</v>
      </c>
      <c r="F21" s="0" t="n">
        <f aca="false">F19*F20</f>
        <v>-434.493236488932</v>
      </c>
      <c r="G21" s="0" t="n">
        <f aca="false">G19*G20</f>
        <v>-192.963442682578</v>
      </c>
      <c r="H21" s="0" t="n">
        <f aca="false">H19*H20</f>
        <v>-39.4438643092178</v>
      </c>
      <c r="I21" s="0" t="n">
        <f aca="false">I19*I20</f>
        <v>53.4551611447327</v>
      </c>
      <c r="J21" s="0" t="n">
        <f aca="false">J19*J20</f>
        <v>94.4812891203321</v>
      </c>
      <c r="K21" s="0" t="n">
        <f aca="false">K19*K20</f>
        <v>103.791354243673</v>
      </c>
      <c r="L21" s="0" t="n">
        <f aca="false">L19*L20</f>
        <v>111.25900002718</v>
      </c>
    </row>
    <row r="23" customFormat="false" ht="15" hidden="false" customHeight="false" outlineLevel="0" collapsed="false">
      <c r="A23" s="0" t="s">
        <v>109</v>
      </c>
      <c r="C23" s="4" t="n">
        <f aca="false">Assumptions!C16</f>
        <v>0</v>
      </c>
      <c r="D23" s="4" t="n">
        <f aca="false">Assumptions!D16</f>
        <v>0</v>
      </c>
      <c r="E23" s="4" t="n">
        <f aca="false">Assumptions!E16</f>
        <v>0</v>
      </c>
      <c r="F23" s="4" t="n">
        <f aca="false">Assumptions!F16</f>
        <v>0</v>
      </c>
      <c r="G23" s="4" t="n">
        <f aca="false">Assumptions!G16</f>
        <v>0</v>
      </c>
      <c r="H23" s="4" t="n">
        <f aca="false">Assumptions!H16</f>
        <v>0</v>
      </c>
      <c r="I23" s="4" t="n">
        <f aca="false">Assumptions!I16</f>
        <v>0</v>
      </c>
      <c r="J23" s="4" t="n">
        <f aca="false">Assumptions!J16</f>
        <v>0</v>
      </c>
      <c r="K23" s="4" t="n">
        <f aca="false">Assumptions!K16</f>
        <v>0</v>
      </c>
      <c r="L23" s="4" t="n">
        <f aca="false">Assumptions!L16</f>
        <v>0</v>
      </c>
    </row>
    <row r="24" customFormat="false" ht="15" hidden="false" customHeight="false" outlineLevel="0" collapsed="false">
      <c r="A24" s="0" t="s">
        <v>134</v>
      </c>
      <c r="C24" s="0" t="n">
        <f aca="false">-C6*C23/100</f>
        <v>-0</v>
      </c>
      <c r="D24" s="0" t="n">
        <f aca="false">-D6*D23/100</f>
        <v>-0</v>
      </c>
      <c r="E24" s="0" t="n">
        <f aca="false">-E6*E23/100</f>
        <v>-0</v>
      </c>
      <c r="F24" s="0" t="n">
        <f aca="false">-F6*F23/100</f>
        <v>-0</v>
      </c>
      <c r="G24" s="0" t="n">
        <f aca="false">-G6*G23/100</f>
        <v>-0</v>
      </c>
      <c r="H24" s="0" t="n">
        <f aca="false">-H6*H23/100</f>
        <v>-0</v>
      </c>
      <c r="I24" s="0" t="n">
        <f aca="false">-I6*I23/100</f>
        <v>-0</v>
      </c>
      <c r="J24" s="0" t="n">
        <f aca="false">-J6*J23/100</f>
        <v>-0</v>
      </c>
      <c r="K24" s="0" t="n">
        <f aca="false">-K6*K23/100</f>
        <v>-0</v>
      </c>
      <c r="L24" s="0" t="n">
        <f aca="false">-L6*L23/100</f>
        <v>-0</v>
      </c>
    </row>
    <row r="26" customFormat="false" ht="15" hidden="false" customHeight="false" outlineLevel="0" collapsed="false">
      <c r="A26" s="2" t="s">
        <v>135</v>
      </c>
    </row>
    <row r="27" customFormat="false" ht="15" hidden="false" customHeight="false" outlineLevel="0" collapsed="false">
      <c r="A27" s="0" t="s">
        <v>113</v>
      </c>
      <c r="B27" s="4" t="n">
        <f aca="false">Assumptions!$B$20</f>
        <v>11</v>
      </c>
    </row>
    <row r="28" customFormat="false" ht="15" hidden="false" customHeight="false" outlineLevel="0" collapsed="false">
      <c r="A28" s="0" t="s">
        <v>114</v>
      </c>
      <c r="B28" s="4" t="n">
        <f aca="false">Assumptions!$B$21</f>
        <v>2</v>
      </c>
    </row>
    <row r="29" customFormat="false" ht="15" hidden="false" customHeight="false" outlineLevel="0" collapsed="false">
      <c r="A29" s="0" t="s">
        <v>115</v>
      </c>
      <c r="B29" s="4" t="n">
        <f aca="false">Assumptions!$B$22</f>
        <v>14</v>
      </c>
    </row>
    <row r="30" customFormat="false" ht="15" hidden="false" customHeight="false" outlineLevel="0" collapsed="false">
      <c r="A30" s="0" t="s">
        <v>136</v>
      </c>
      <c r="B30" s="0" t="n">
        <f aca="false">SUM(C21:L21)</f>
        <v>-2902.10640241325</v>
      </c>
    </row>
    <row r="31" customFormat="false" ht="15" hidden="false" customHeight="false" outlineLevel="0" collapsed="false">
      <c r="A31" s="0" t="s">
        <v>137</v>
      </c>
      <c r="B31" s="0" t="n">
        <f aca="false">L19</f>
        <v>315.911139566228</v>
      </c>
    </row>
    <row r="32" customFormat="false" ht="15" hidden="false" customHeight="false" outlineLevel="0" collapsed="false">
      <c r="A32" s="0" t="s">
        <v>138</v>
      </c>
      <c r="B32" s="0" t="n">
        <f aca="false">IF(B27&gt;B28,B31*(1+B28/100)/((B27-B28)/100),B31*B29)</f>
        <v>3580.32624841725</v>
      </c>
    </row>
    <row r="33" customFormat="false" ht="15" hidden="false" customHeight="false" outlineLevel="0" collapsed="false">
      <c r="A33" s="0" t="s">
        <v>139</v>
      </c>
      <c r="B33" s="0" t="n">
        <f aca="false">B31*B29</f>
        <v>4422.75595392719</v>
      </c>
    </row>
    <row r="34" customFormat="false" ht="15" hidden="false" customHeight="false" outlineLevel="0" collapsed="false">
      <c r="A34" s="0" t="s">
        <v>140</v>
      </c>
      <c r="B34" s="0" t="n">
        <f aca="false">MAX(0,MIN(B32,B33))</f>
        <v>3580.32624841725</v>
      </c>
    </row>
    <row r="35" customFormat="false" ht="15" hidden="false" customHeight="false" outlineLevel="0" collapsed="false">
      <c r="A35" s="0" t="s">
        <v>141</v>
      </c>
      <c r="B35" s="0" t="n">
        <f aca="false">B34/(1+B27/100)^L4</f>
        <v>1260.93533364137</v>
      </c>
    </row>
    <row r="36" customFormat="false" ht="15" hidden="false" customHeight="false" outlineLevel="0" collapsed="false">
      <c r="A36" s="0" t="s">
        <v>142</v>
      </c>
      <c r="B36" s="0" t="n">
        <f aca="false">B30+B35</f>
        <v>-1641.17106877188</v>
      </c>
    </row>
    <row r="37" customFormat="false" ht="15" hidden="false" customHeight="false" outlineLevel="0" collapsed="false">
      <c r="A37" s="0" t="s">
        <v>143</v>
      </c>
      <c r="B37" s="0" t="n">
        <f aca="false">B36+Assumptions!$B$5-Assumptions!$B$4</f>
        <v>-4587.67106877188</v>
      </c>
    </row>
    <row r="38" customFormat="false" ht="15" hidden="false" customHeight="false" outlineLevel="0" collapsed="false">
      <c r="A38" s="0" t="s">
        <v>144</v>
      </c>
      <c r="B38" s="0" t="n">
        <f aca="false">B37/Assumptions!$B$3*Assumptions!$B$10</f>
        <v>-29.850936772197</v>
      </c>
    </row>
    <row r="39" customFormat="false" ht="15" hidden="false" customHeight="false" outlineLevel="0" collapsed="false">
      <c r="A39" s="0" t="s">
        <v>145</v>
      </c>
      <c r="B39" s="4" t="n">
        <f aca="false">B38/Assumptions!$B$2-1</f>
        <v>-1.27036443050627</v>
      </c>
    </row>
    <row r="41" customFormat="false" ht="15" hidden="false" customHeight="false" outlineLevel="0" collapsed="false">
      <c r="A41" s="0" t="s">
        <v>146</v>
      </c>
      <c r="B41" s="0" t="n">
        <f aca="false">SUMPRODUCT(-C10:L10/(1+$B$27/100)^C4:L4)</f>
        <v>3369.80907177984</v>
      </c>
    </row>
    <row r="42" customFormat="false" ht="15" hidden="false" customHeight="false" outlineLevel="0" collapsed="false">
      <c r="A42" s="0" t="s">
        <v>147</v>
      </c>
      <c r="B42" s="0" t="n">
        <f aca="false">IF(B27&gt;B28,-L10*(1+B28/100)/((B27-B28)/100),-L10*20)/(1+B27/100)^L4</f>
        <v>2050.73724206356</v>
      </c>
    </row>
    <row r="43" customFormat="false" ht="15" hidden="false" customHeight="false" outlineLevel="0" collapsed="false">
      <c r="A43" s="0" t="s">
        <v>148</v>
      </c>
      <c r="B43" s="0" t="n">
        <f aca="false">(B37+B41+B42)/Assumptions!$B$3*Assumptions!$B$10</f>
        <v>5.41933061613629</v>
      </c>
    </row>
    <row r="45" customFormat="false" ht="15" hidden="false" customHeight="false" outlineLevel="0" collapsed="false">
      <c r="A45" s="0" t="s">
        <v>89</v>
      </c>
      <c r="B45" s="4" t="n">
        <f aca="false">Assumptions!$B$6</f>
        <v>15</v>
      </c>
    </row>
    <row r="46" customFormat="false" ht="15" hidden="false" customHeight="false" outlineLevel="0" collapsed="false">
      <c r="A46" s="0" t="s">
        <v>149</v>
      </c>
      <c r="B46" s="0" t="n">
        <f aca="false">MAX(0,MIN(IF(B45&gt;B28,B31*(1+B28/100)/((B45-B28)/100),B31*B29),B31*B29))</f>
        <v>2478.6874027504</v>
      </c>
    </row>
    <row r="47" customFormat="false" ht="15" hidden="false" customHeight="false" outlineLevel="0" collapsed="false">
      <c r="A47" s="0" t="s">
        <v>150</v>
      </c>
      <c r="B47" s="0" t="n">
        <f aca="false">(SUMPRODUCT(C19:L19/(1+B45/100)^C4:L4)+B46/(1+B45/100)^L4+Assumptions!$B$5-Assumptions!$B$4)/Assumptions!$B$3*Assumptions!$B$10</f>
        <v>-32.9923992530414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2"/>
  </cols>
  <sheetData>
    <row r="1" customFormat="false" ht="15" hidden="false" customHeight="false" outlineLevel="0" collapsed="false">
      <c r="A1" s="2" t="s">
        <v>151</v>
      </c>
    </row>
    <row r="3" customFormat="false" ht="15" hidden="false" customHeight="false" outlineLevel="0" collapsed="false">
      <c r="A3" s="0" t="s">
        <v>121</v>
      </c>
      <c r="B3" s="0" t="s">
        <v>82</v>
      </c>
      <c r="C3" s="2" t="s">
        <v>96</v>
      </c>
      <c r="D3" s="2" t="s">
        <v>97</v>
      </c>
      <c r="E3" s="2" t="s">
        <v>98</v>
      </c>
      <c r="F3" s="2" t="s">
        <v>99</v>
      </c>
      <c r="G3" s="2" t="s">
        <v>100</v>
      </c>
      <c r="H3" s="2" t="s">
        <v>101</v>
      </c>
      <c r="I3" s="2" t="s">
        <v>102</v>
      </c>
      <c r="J3" s="2" t="s">
        <v>103</v>
      </c>
      <c r="K3" s="2" t="s">
        <v>104</v>
      </c>
      <c r="L3" s="2" t="s">
        <v>105</v>
      </c>
    </row>
    <row r="4" customFormat="false" ht="15" hidden="false" customHeight="false" outlineLevel="0" collapsed="false">
      <c r="A4" s="0" t="s">
        <v>122</v>
      </c>
      <c r="B4" s="0" t="n">
        <v>0</v>
      </c>
      <c r="C4" s="0" t="n">
        <f aca="false">B4+1</f>
        <v>1</v>
      </c>
      <c r="D4" s="0" t="n">
        <f aca="false">C4+1</f>
        <v>2</v>
      </c>
      <c r="E4" s="0" t="n">
        <f aca="false">D4+1</f>
        <v>3</v>
      </c>
      <c r="F4" s="0" t="n">
        <f aca="false">E4+1</f>
        <v>4</v>
      </c>
      <c r="G4" s="0" t="n">
        <f aca="false">F4+1</f>
        <v>5</v>
      </c>
      <c r="H4" s="0" t="n">
        <f aca="false">G4+1</f>
        <v>6</v>
      </c>
      <c r="I4" s="0" t="n">
        <f aca="false">H4+1</f>
        <v>7</v>
      </c>
      <c r="J4" s="0" t="n">
        <f aca="false">I4+1</f>
        <v>8</v>
      </c>
      <c r="K4" s="0" t="n">
        <f aca="false">J4+1</f>
        <v>9</v>
      </c>
      <c r="L4" s="0" t="n">
        <f aca="false">K4+1</f>
        <v>10</v>
      </c>
    </row>
    <row r="5" customFormat="false" ht="15" hidden="false" customHeight="false" outlineLevel="0" collapsed="false">
      <c r="A5" s="0" t="s">
        <v>106</v>
      </c>
      <c r="C5" s="4" t="n">
        <f aca="false">Assumptions!C27</f>
        <v>6.6</v>
      </c>
      <c r="D5" s="4" t="n">
        <f aca="false">Assumptions!D27</f>
        <v>11.5</v>
      </c>
      <c r="E5" s="4" t="n">
        <f aca="false">Assumptions!E27</f>
        <v>10</v>
      </c>
      <c r="F5" s="4" t="n">
        <f aca="false">Assumptions!F27</f>
        <v>8.5</v>
      </c>
      <c r="G5" s="4" t="n">
        <f aca="false">Assumptions!G27</f>
        <v>7</v>
      </c>
      <c r="H5" s="4" t="n">
        <f aca="false">Assumptions!H27</f>
        <v>6</v>
      </c>
      <c r="I5" s="4" t="n">
        <f aca="false">Assumptions!I27</f>
        <v>5</v>
      </c>
      <c r="J5" s="4" t="n">
        <f aca="false">Assumptions!J27</f>
        <v>4</v>
      </c>
      <c r="K5" s="4" t="n">
        <f aca="false">Assumptions!K27</f>
        <v>3.5</v>
      </c>
      <c r="L5" s="4" t="n">
        <f aca="false">Assumptions!L27</f>
        <v>3</v>
      </c>
    </row>
    <row r="6" customFormat="false" ht="15" hidden="false" customHeight="false" outlineLevel="0" collapsed="false">
      <c r="A6" s="0" t="s">
        <v>37</v>
      </c>
      <c r="B6" s="3" t="n">
        <v>4208.175</v>
      </c>
      <c r="C6" s="0" t="n">
        <f aca="false">B6*(1+C5/100)</f>
        <v>4485.91455</v>
      </c>
      <c r="D6" s="0" t="n">
        <f aca="false">C6*(1+D5/100)</f>
        <v>5001.79472325</v>
      </c>
      <c r="E6" s="0" t="n">
        <f aca="false">D6*(1+E5/100)</f>
        <v>5501.974195575</v>
      </c>
      <c r="F6" s="0" t="n">
        <f aca="false">E6*(1+F5/100)</f>
        <v>5969.64200219888</v>
      </c>
      <c r="G6" s="0" t="n">
        <f aca="false">F6*(1+G5/100)</f>
        <v>6387.5169423528</v>
      </c>
      <c r="H6" s="0" t="n">
        <f aca="false">G6*(1+H5/100)</f>
        <v>6770.76795889396</v>
      </c>
      <c r="I6" s="0" t="n">
        <f aca="false">H6*(1+I5/100)</f>
        <v>7109.30635683866</v>
      </c>
      <c r="J6" s="0" t="n">
        <f aca="false">I6*(1+J5/100)</f>
        <v>7393.67861111221</v>
      </c>
      <c r="K6" s="0" t="n">
        <f aca="false">J6*(1+K5/100)</f>
        <v>7652.45736250114</v>
      </c>
      <c r="L6" s="0" t="n">
        <f aca="false">K6*(1+L5/100)</f>
        <v>7882.03108337617</v>
      </c>
    </row>
    <row r="7" customFormat="false" ht="15" hidden="false" customHeight="false" outlineLevel="0" collapsed="false">
      <c r="A7" s="0" t="s">
        <v>107</v>
      </c>
      <c r="C7" s="4" t="n">
        <f aca="false">Assumptions!C28</f>
        <v>26.5</v>
      </c>
      <c r="D7" s="4" t="n">
        <f aca="false">Assumptions!D28</f>
        <v>26</v>
      </c>
      <c r="E7" s="4" t="n">
        <f aca="false">Assumptions!E28</f>
        <v>27</v>
      </c>
      <c r="F7" s="4" t="n">
        <f aca="false">Assumptions!F28</f>
        <v>28.5</v>
      </c>
      <c r="G7" s="4" t="n">
        <f aca="false">Assumptions!G28</f>
        <v>30</v>
      </c>
      <c r="H7" s="4" t="n">
        <f aca="false">Assumptions!H28</f>
        <v>31.5</v>
      </c>
      <c r="I7" s="4" t="n">
        <f aca="false">Assumptions!I28</f>
        <v>32.5</v>
      </c>
      <c r="J7" s="4" t="n">
        <f aca="false">Assumptions!J28</f>
        <v>33</v>
      </c>
      <c r="K7" s="4" t="n">
        <f aca="false">Assumptions!K28</f>
        <v>33</v>
      </c>
      <c r="L7" s="4" t="n">
        <f aca="false">Assumptions!L28</f>
        <v>33</v>
      </c>
    </row>
    <row r="8" customFormat="false" ht="15" hidden="false" customHeight="false" outlineLevel="0" collapsed="false">
      <c r="A8" s="0" t="s">
        <v>43</v>
      </c>
      <c r="C8" s="0" t="n">
        <f aca="false">C6*C7/100</f>
        <v>1188.76735575</v>
      </c>
      <c r="D8" s="0" t="n">
        <f aca="false">D6*D7/100</f>
        <v>1300.466628045</v>
      </c>
      <c r="E8" s="0" t="n">
        <f aca="false">E6*E7/100</f>
        <v>1485.53303280525</v>
      </c>
      <c r="F8" s="0" t="n">
        <f aca="false">F6*F7/100</f>
        <v>1701.34797062668</v>
      </c>
      <c r="G8" s="0" t="n">
        <f aca="false">G6*G7/100</f>
        <v>1916.25508270584</v>
      </c>
      <c r="H8" s="0" t="n">
        <f aca="false">H6*H7/100</f>
        <v>2132.7919070516</v>
      </c>
      <c r="I8" s="0" t="n">
        <f aca="false">I6*I7/100</f>
        <v>2310.52456597257</v>
      </c>
      <c r="J8" s="0" t="n">
        <f aca="false">J6*J7/100</f>
        <v>2439.91394166703</v>
      </c>
      <c r="K8" s="0" t="n">
        <f aca="false">K6*K7/100</f>
        <v>2525.31092962538</v>
      </c>
      <c r="L8" s="0" t="n">
        <f aca="false">L6*L7/100</f>
        <v>2601.07025751414</v>
      </c>
    </row>
    <row r="9" customFormat="false" ht="15" hidden="false" customHeight="false" outlineLevel="0" collapsed="false">
      <c r="A9" s="0" t="s">
        <v>108</v>
      </c>
      <c r="C9" s="4" t="n">
        <f aca="false">Assumptions!C29</f>
        <v>12.5</v>
      </c>
      <c r="D9" s="4" t="n">
        <f aca="false">Assumptions!D29</f>
        <v>12.5</v>
      </c>
      <c r="E9" s="4" t="n">
        <f aca="false">Assumptions!E29</f>
        <v>12</v>
      </c>
      <c r="F9" s="4" t="n">
        <f aca="false">Assumptions!F29</f>
        <v>11.5</v>
      </c>
      <c r="G9" s="4" t="n">
        <f aca="false">Assumptions!G29</f>
        <v>11</v>
      </c>
      <c r="H9" s="4" t="n">
        <f aca="false">Assumptions!H29</f>
        <v>10.5</v>
      </c>
      <c r="I9" s="4" t="n">
        <f aca="false">Assumptions!I29</f>
        <v>10</v>
      </c>
      <c r="J9" s="4" t="n">
        <f aca="false">Assumptions!J29</f>
        <v>9.5</v>
      </c>
      <c r="K9" s="4" t="n">
        <f aca="false">Assumptions!K29</f>
        <v>9</v>
      </c>
      <c r="L9" s="4" t="n">
        <f aca="false">Assumptions!L29</f>
        <v>8.5</v>
      </c>
    </row>
    <row r="10" customFormat="false" ht="15" hidden="false" customHeight="false" outlineLevel="0" collapsed="false">
      <c r="A10" s="0" t="s">
        <v>123</v>
      </c>
      <c r="C10" s="0" t="n">
        <f aca="false">-C6*C9/100</f>
        <v>-560.73931875</v>
      </c>
      <c r="D10" s="0" t="n">
        <f aca="false">-D6*D9/100</f>
        <v>-625.22434040625</v>
      </c>
      <c r="E10" s="0" t="n">
        <f aca="false">-E6*E9/100</f>
        <v>-660.236903469</v>
      </c>
      <c r="F10" s="0" t="n">
        <f aca="false">-F6*F9/100</f>
        <v>-686.508830252871</v>
      </c>
      <c r="G10" s="0" t="n">
        <f aca="false">-G6*G9/100</f>
        <v>-702.626863658808</v>
      </c>
      <c r="H10" s="0" t="n">
        <f aca="false">-H6*H9/100</f>
        <v>-710.930635683866</v>
      </c>
      <c r="I10" s="0" t="n">
        <f aca="false">-I6*I9/100</f>
        <v>-710.930635683866</v>
      </c>
      <c r="J10" s="0" t="n">
        <f aca="false">-J6*J9/100</f>
        <v>-702.39946805566</v>
      </c>
      <c r="K10" s="0" t="n">
        <f aca="false">-K6*K9/100</f>
        <v>-688.721162625102</v>
      </c>
      <c r="L10" s="0" t="n">
        <f aca="false">-L6*L9/100</f>
        <v>-669.972642086975</v>
      </c>
    </row>
    <row r="11" customFormat="false" ht="15" hidden="false" customHeight="false" outlineLevel="0" collapsed="false">
      <c r="A11" s="0" t="s">
        <v>124</v>
      </c>
      <c r="C11" s="0" t="n">
        <f aca="false">C8+C10+C24</f>
        <v>628.028037</v>
      </c>
      <c r="D11" s="0" t="n">
        <f aca="false">D8+D10+D24</f>
        <v>675.24228763875</v>
      </c>
      <c r="E11" s="0" t="n">
        <f aca="false">E8+E10+E24</f>
        <v>825.29612933625</v>
      </c>
      <c r="F11" s="0" t="n">
        <f aca="false">F8+F10+F24</f>
        <v>1014.83914037381</v>
      </c>
      <c r="G11" s="0" t="n">
        <f aca="false">G8+G10+G24</f>
        <v>1213.62821904703</v>
      </c>
      <c r="H11" s="0" t="n">
        <f aca="false">H8+H10+H24</f>
        <v>1421.86127136773</v>
      </c>
      <c r="I11" s="0" t="n">
        <f aca="false">I8+I10+I24</f>
        <v>1599.5939302887</v>
      </c>
      <c r="J11" s="0" t="n">
        <f aca="false">J8+J10+J24</f>
        <v>1737.51447361137</v>
      </c>
      <c r="K11" s="0" t="n">
        <f aca="false">K8+K10+K24</f>
        <v>1836.58976700027</v>
      </c>
      <c r="L11" s="0" t="n">
        <f aca="false">L8+L10+L24</f>
        <v>1931.09761542716</v>
      </c>
    </row>
    <row r="12" customFormat="false" ht="15" hidden="false" customHeight="false" outlineLevel="0" collapsed="false">
      <c r="A12" s="0" t="s">
        <v>125</v>
      </c>
      <c r="C12" s="4" t="n">
        <f aca="false">-C6*Assumptions!C31/100</f>
        <v>-762.6054735</v>
      </c>
      <c r="D12" s="4" t="n">
        <f aca="false">-D6*Assumptions!D31/100</f>
        <v>-950.3409974175</v>
      </c>
      <c r="E12" s="4" t="n">
        <f aca="false">-E6*Assumptions!E31/100</f>
        <v>-1127.90471009288</v>
      </c>
      <c r="F12" s="4" t="n">
        <f aca="false">-F6*Assumptions!F31/100</f>
        <v>-1253.62482046176</v>
      </c>
      <c r="G12" s="4" t="n">
        <f aca="false">-G6*Assumptions!G31/100</f>
        <v>-1277.50338847056</v>
      </c>
      <c r="H12" s="4" t="n">
        <f aca="false">-H6*Assumptions!H31/100</f>
        <v>-1252.59207239538</v>
      </c>
      <c r="I12" s="4" t="n">
        <f aca="false">-I6*Assumptions!I31/100</f>
        <v>-1208.58208066257</v>
      </c>
      <c r="J12" s="4" t="n">
        <f aca="false">-J6*Assumptions!J31/100</f>
        <v>-1182.98857777795</v>
      </c>
      <c r="K12" s="4" t="n">
        <f aca="false">-K6*Assumptions!K31/100</f>
        <v>-1186.13089118768</v>
      </c>
      <c r="L12" s="4" t="n">
        <f aca="false">-L6*Assumptions!L31/100</f>
        <v>-1182.30466250643</v>
      </c>
    </row>
    <row r="13" customFormat="false" ht="15" hidden="false" customHeight="false" outlineLevel="0" collapsed="false">
      <c r="A13" s="0" t="s">
        <v>126</v>
      </c>
      <c r="C13" s="0" t="n">
        <f aca="false">C11+C12</f>
        <v>-134.5774365</v>
      </c>
      <c r="D13" s="0" t="n">
        <f aca="false">D11+D12</f>
        <v>-275.09870977875</v>
      </c>
      <c r="E13" s="0" t="n">
        <f aca="false">E11+E12</f>
        <v>-302.608580756625</v>
      </c>
      <c r="F13" s="0" t="n">
        <f aca="false">F11+F12</f>
        <v>-238.785680087955</v>
      </c>
      <c r="G13" s="0" t="n">
        <f aca="false">G11+G12</f>
        <v>-63.8751694235282</v>
      </c>
      <c r="H13" s="0" t="n">
        <f aca="false">H11+H12</f>
        <v>169.269198972349</v>
      </c>
      <c r="I13" s="0" t="n">
        <f aca="false">I11+I12</f>
        <v>391.011849626127</v>
      </c>
      <c r="J13" s="0" t="n">
        <f aca="false">J11+J12</f>
        <v>554.525895833416</v>
      </c>
      <c r="K13" s="0" t="n">
        <f aca="false">K11+K12</f>
        <v>650.458875812597</v>
      </c>
      <c r="L13" s="0" t="n">
        <f aca="false">L11+L12</f>
        <v>748.792952920737</v>
      </c>
    </row>
    <row r="14" customFormat="false" ht="15" hidden="false" customHeight="false" outlineLevel="0" collapsed="false">
      <c r="A14" s="0" t="s">
        <v>112</v>
      </c>
      <c r="C14" s="4" t="n">
        <f aca="false">Assumptions!C33</f>
        <v>15</v>
      </c>
      <c r="D14" s="4" t="n">
        <f aca="false">Assumptions!D33</f>
        <v>17</v>
      </c>
      <c r="E14" s="4" t="n">
        <f aca="false">Assumptions!E33</f>
        <v>19</v>
      </c>
      <c r="F14" s="4" t="n">
        <f aca="false">Assumptions!F33</f>
        <v>20</v>
      </c>
      <c r="G14" s="4" t="n">
        <f aca="false">Assumptions!G33</f>
        <v>21</v>
      </c>
      <c r="H14" s="4" t="n">
        <f aca="false">Assumptions!H33</f>
        <v>21</v>
      </c>
      <c r="I14" s="4" t="n">
        <f aca="false">Assumptions!I33</f>
        <v>21</v>
      </c>
      <c r="J14" s="4" t="n">
        <f aca="false">Assumptions!J33</f>
        <v>21</v>
      </c>
      <c r="K14" s="4" t="n">
        <f aca="false">Assumptions!K33</f>
        <v>21</v>
      </c>
      <c r="L14" s="4" t="n">
        <f aca="false">Assumptions!L33</f>
        <v>21</v>
      </c>
    </row>
    <row r="15" customFormat="false" ht="15" hidden="false" customHeight="false" outlineLevel="0" collapsed="false">
      <c r="A15" s="0" t="s">
        <v>127</v>
      </c>
      <c r="C15" s="0" t="n">
        <f aca="false">C13-MAX(0,C13)*C14/100</f>
        <v>-134.5774365</v>
      </c>
      <c r="D15" s="0" t="n">
        <f aca="false">D13-MAX(0,D13)*D14/100</f>
        <v>-275.09870977875</v>
      </c>
      <c r="E15" s="0" t="n">
        <f aca="false">E13-MAX(0,E13)*E14/100</f>
        <v>-302.608580756625</v>
      </c>
      <c r="F15" s="0" t="n">
        <f aca="false">F13-MAX(0,F13)*F14/100</f>
        <v>-238.785680087955</v>
      </c>
      <c r="G15" s="0" t="n">
        <f aca="false">G13-MAX(0,G13)*G14/100</f>
        <v>-63.8751694235282</v>
      </c>
      <c r="H15" s="0" t="n">
        <f aca="false">H13-MAX(0,H13)*H14/100</f>
        <v>133.722667188156</v>
      </c>
      <c r="I15" s="0" t="n">
        <f aca="false">I13-MAX(0,I13)*I14/100</f>
        <v>308.89936120464</v>
      </c>
      <c r="J15" s="0" t="n">
        <f aca="false">J13-MAX(0,J13)*J14/100</f>
        <v>438.075457708398</v>
      </c>
      <c r="K15" s="0" t="n">
        <f aca="false">K13-MAX(0,K13)*K14/100</f>
        <v>513.862511891951</v>
      </c>
      <c r="L15" s="0" t="n">
        <f aca="false">L13-MAX(0,L13)*L14/100</f>
        <v>591.546432807382</v>
      </c>
    </row>
    <row r="16" customFormat="false" ht="15" hidden="false" customHeight="false" outlineLevel="0" collapsed="false">
      <c r="A16" s="0" t="s">
        <v>128</v>
      </c>
      <c r="C16" s="0" t="n">
        <f aca="false">-C12</f>
        <v>762.6054735</v>
      </c>
      <c r="D16" s="0" t="n">
        <f aca="false">-D12</f>
        <v>950.3409974175</v>
      </c>
      <c r="E16" s="0" t="n">
        <f aca="false">-E12</f>
        <v>1127.90471009288</v>
      </c>
      <c r="F16" s="0" t="n">
        <f aca="false">-F12</f>
        <v>1253.62482046176</v>
      </c>
      <c r="G16" s="0" t="n">
        <f aca="false">-G12</f>
        <v>1277.50338847056</v>
      </c>
      <c r="H16" s="0" t="n">
        <f aca="false">-H12</f>
        <v>1252.59207239538</v>
      </c>
      <c r="I16" s="0" t="n">
        <f aca="false">-I12</f>
        <v>1208.58208066257</v>
      </c>
      <c r="J16" s="0" t="n">
        <f aca="false">-J12</f>
        <v>1182.98857777795</v>
      </c>
      <c r="K16" s="0" t="n">
        <f aca="false">-K12</f>
        <v>1186.13089118768</v>
      </c>
      <c r="L16" s="0" t="n">
        <f aca="false">-L12</f>
        <v>1182.30466250643</v>
      </c>
    </row>
    <row r="17" customFormat="false" ht="15" hidden="false" customHeight="false" outlineLevel="0" collapsed="false">
      <c r="A17" s="0" t="s">
        <v>129</v>
      </c>
      <c r="C17" s="4" t="n">
        <f aca="false">-C6*Assumptions!C32/100</f>
        <v>-1704.647529</v>
      </c>
      <c r="D17" s="4" t="n">
        <f aca="false">-D6*Assumptions!D32/100</f>
        <v>-1600.57431144</v>
      </c>
      <c r="E17" s="4" t="n">
        <f aca="false">-E6*Assumptions!E32/100</f>
        <v>-1375.49354889375</v>
      </c>
      <c r="F17" s="4" t="n">
        <f aca="false">-F6*Assumptions!F32/100</f>
        <v>-1134.23198041779</v>
      </c>
      <c r="G17" s="4" t="n">
        <f aca="false">-G6*Assumptions!G32/100</f>
        <v>-958.12754135292</v>
      </c>
      <c r="H17" s="4" t="n">
        <f aca="false">-H6*Assumptions!H32/100</f>
        <v>-880.199834656215</v>
      </c>
      <c r="I17" s="4" t="n">
        <f aca="false">-I6*Assumptions!I32/100</f>
        <v>-853.11676282064</v>
      </c>
      <c r="J17" s="4" t="n">
        <f aca="false">-J6*Assumptions!J32/100</f>
        <v>-813.304647222343</v>
      </c>
      <c r="K17" s="4" t="n">
        <f aca="false">-K6*Assumptions!K32/100</f>
        <v>-803.50802306262</v>
      </c>
      <c r="L17" s="4" t="n">
        <f aca="false">-L6*Assumptions!L32/100</f>
        <v>-788.203108337617</v>
      </c>
    </row>
    <row r="18" customFormat="false" ht="15" hidden="false" customHeight="false" outlineLevel="0" collapsed="false">
      <c r="A18" s="0" t="s">
        <v>130</v>
      </c>
      <c r="C18" s="4" t="n">
        <f aca="false">(C6-B6)*Assumptions!$B$37/100</f>
        <v>13.8869775</v>
      </c>
      <c r="D18" s="4" t="n">
        <f aca="false">(D6-C6)*Assumptions!$B$37/100</f>
        <v>25.7940086625</v>
      </c>
      <c r="E18" s="4" t="n">
        <f aca="false">(E6-D6)*Assumptions!$B$37/100</f>
        <v>25.00897361625</v>
      </c>
      <c r="F18" s="4" t="n">
        <f aca="false">(F6-E6)*Assumptions!$B$37/100</f>
        <v>23.3833903311937</v>
      </c>
      <c r="G18" s="4" t="n">
        <f aca="false">(G6-F6)*Assumptions!$B$37/100</f>
        <v>20.8937470076961</v>
      </c>
      <c r="H18" s="4" t="n">
        <f aca="false">(H6-G6)*Assumptions!$B$37/100</f>
        <v>19.1625508270584</v>
      </c>
      <c r="I18" s="4" t="n">
        <f aca="false">(I6-H6)*Assumptions!$B$37/100</f>
        <v>16.9269198972349</v>
      </c>
      <c r="J18" s="4" t="n">
        <f aca="false">(J6-I6)*Assumptions!$B$37/100</f>
        <v>14.2186127136773</v>
      </c>
      <c r="K18" s="4" t="n">
        <f aca="false">(K6-J6)*Assumptions!$B$37/100</f>
        <v>12.9389375694464</v>
      </c>
      <c r="L18" s="4" t="n">
        <f aca="false">(L6-K6)*Assumptions!$B$37/100</f>
        <v>11.4786860437517</v>
      </c>
    </row>
    <row r="19" customFormat="false" ht="15" hidden="false" customHeight="false" outlineLevel="0" collapsed="false">
      <c r="A19" s="0" t="s">
        <v>131</v>
      </c>
      <c r="C19" s="0" t="n">
        <f aca="false">C15+C16+C17+C18</f>
        <v>-1062.7325145</v>
      </c>
      <c r="D19" s="0" t="n">
        <f aca="false">D15+D16+D17+D18</f>
        <v>-899.53801513875</v>
      </c>
      <c r="E19" s="0" t="n">
        <f aca="false">E15+E16+E17+E18</f>
        <v>-525.18844594125</v>
      </c>
      <c r="F19" s="0" t="n">
        <f aca="false">F15+F16+F17+F18</f>
        <v>-96.0094497127837</v>
      </c>
      <c r="G19" s="0" t="n">
        <f aca="false">G15+G16+G17+G18</f>
        <v>276.394424701808</v>
      </c>
      <c r="H19" s="0" t="n">
        <f aca="false">H15+H16+H17+H18</f>
        <v>525.277455754382</v>
      </c>
      <c r="I19" s="0" t="n">
        <f aca="false">I15+I16+I17+I18</f>
        <v>681.291598943808</v>
      </c>
      <c r="J19" s="0" t="n">
        <f aca="false">J15+J16+J17+J18</f>
        <v>821.978000977686</v>
      </c>
      <c r="K19" s="0" t="n">
        <f aca="false">K15+K16+K17+K18</f>
        <v>909.424317586454</v>
      </c>
      <c r="L19" s="0" t="n">
        <f aca="false">L15+L16+L17+L18</f>
        <v>997.126673019942</v>
      </c>
    </row>
    <row r="20" customFormat="false" ht="15" hidden="false" customHeight="false" outlineLevel="0" collapsed="false">
      <c r="A20" s="0" t="s">
        <v>132</v>
      </c>
      <c r="C20" s="0" t="n">
        <f aca="false">1/(1+$B$27/100)^C4</f>
        <v>0.91324200913242</v>
      </c>
      <c r="D20" s="0" t="n">
        <f aca="false">1/(1+$B$27/100)^D4</f>
        <v>0.834010967244219</v>
      </c>
      <c r="E20" s="0" t="n">
        <f aca="false">1/(1+$B$27/100)^E4</f>
        <v>0.761653851364584</v>
      </c>
      <c r="F20" s="0" t="n">
        <f aca="false">1/(1+$B$27/100)^F4</f>
        <v>0.695574293483638</v>
      </c>
      <c r="G20" s="0" t="n">
        <f aca="false">1/(1+$B$27/100)^G4</f>
        <v>0.635227665281862</v>
      </c>
      <c r="H20" s="0" t="n">
        <f aca="false">1/(1+$B$27/100)^H4</f>
        <v>0.580116589298504</v>
      </c>
      <c r="I20" s="0" t="n">
        <f aca="false">1/(1+$B$27/100)^I4</f>
        <v>0.529786839542012</v>
      </c>
      <c r="J20" s="0" t="n">
        <f aca="false">1/(1+$B$27/100)^J4</f>
        <v>0.483823597755263</v>
      </c>
      <c r="K20" s="0" t="n">
        <f aca="false">1/(1+$B$27/100)^K4</f>
        <v>0.441848034479692</v>
      </c>
      <c r="L20" s="0" t="n">
        <f aca="false">1/(1+$B$27/100)^L4</f>
        <v>0.403514186739445</v>
      </c>
    </row>
    <row r="21" customFormat="false" ht="15" hidden="false" customHeight="false" outlineLevel="0" collapsed="false">
      <c r="A21" s="0" t="s">
        <v>133</v>
      </c>
      <c r="C21" s="0" t="n">
        <f aca="false">C19*C20</f>
        <v>-970.531976712329</v>
      </c>
      <c r="D21" s="0" t="n">
        <f aca="false">D19*D20</f>
        <v>-750.224570078814</v>
      </c>
      <c r="E21" s="0" t="n">
        <f aca="false">E19*E20</f>
        <v>-400.011802543334</v>
      </c>
      <c r="F21" s="0" t="n">
        <f aca="false">F19*F20</f>
        <v>-66.7817051517224</v>
      </c>
      <c r="G21" s="0" t="n">
        <f aca="false">G19*G20</f>
        <v>175.573385100253</v>
      </c>
      <c r="H21" s="0" t="n">
        <f aca="false">H19*H20</f>
        <v>304.722166067628</v>
      </c>
      <c r="I21" s="0" t="n">
        <f aca="false">I19*I20</f>
        <v>360.939323010964</v>
      </c>
      <c r="J21" s="0" t="n">
        <f aca="false">J19*J20</f>
        <v>397.692353708703</v>
      </c>
      <c r="K21" s="0" t="n">
        <f aca="false">K19*K20</f>
        <v>401.82734723361</v>
      </c>
      <c r="L21" s="0" t="n">
        <f aca="false">L19*L20</f>
        <v>402.35475853985</v>
      </c>
    </row>
    <row r="23" customFormat="false" ht="15" hidden="false" customHeight="false" outlineLevel="0" collapsed="false">
      <c r="A23" s="0" t="s">
        <v>109</v>
      </c>
      <c r="C23" s="4" t="n">
        <f aca="false">Assumptions!C30</f>
        <v>0</v>
      </c>
      <c r="D23" s="4" t="n">
        <f aca="false">Assumptions!D30</f>
        <v>0</v>
      </c>
      <c r="E23" s="4" t="n">
        <f aca="false">Assumptions!E30</f>
        <v>0</v>
      </c>
      <c r="F23" s="4" t="n">
        <f aca="false">Assumptions!F30</f>
        <v>0</v>
      </c>
      <c r="G23" s="4" t="n">
        <f aca="false">Assumptions!G30</f>
        <v>0</v>
      </c>
      <c r="H23" s="4" t="n">
        <f aca="false">Assumptions!H30</f>
        <v>0</v>
      </c>
      <c r="I23" s="4" t="n">
        <f aca="false">Assumptions!I30</f>
        <v>0</v>
      </c>
      <c r="J23" s="4" t="n">
        <f aca="false">Assumptions!J30</f>
        <v>0</v>
      </c>
      <c r="K23" s="4" t="n">
        <f aca="false">Assumptions!K30</f>
        <v>0</v>
      </c>
      <c r="L23" s="4" t="n">
        <f aca="false">Assumptions!L30</f>
        <v>0</v>
      </c>
    </row>
    <row r="24" customFormat="false" ht="15" hidden="false" customHeight="false" outlineLevel="0" collapsed="false">
      <c r="A24" s="0" t="s">
        <v>134</v>
      </c>
      <c r="C24" s="0" t="n">
        <f aca="false">-C6*C23/100</f>
        <v>-0</v>
      </c>
      <c r="D24" s="0" t="n">
        <f aca="false">-D6*D23/100</f>
        <v>-0</v>
      </c>
      <c r="E24" s="0" t="n">
        <f aca="false">-E6*E23/100</f>
        <v>-0</v>
      </c>
      <c r="F24" s="0" t="n">
        <f aca="false">-F6*F23/100</f>
        <v>-0</v>
      </c>
      <c r="G24" s="0" t="n">
        <f aca="false">-G6*G23/100</f>
        <v>-0</v>
      </c>
      <c r="H24" s="0" t="n">
        <f aca="false">-H6*H23/100</f>
        <v>-0</v>
      </c>
      <c r="I24" s="0" t="n">
        <f aca="false">-I6*I23/100</f>
        <v>-0</v>
      </c>
      <c r="J24" s="0" t="n">
        <f aca="false">-J6*J23/100</f>
        <v>-0</v>
      </c>
      <c r="K24" s="0" t="n">
        <f aca="false">-K6*K23/100</f>
        <v>-0</v>
      </c>
      <c r="L24" s="0" t="n">
        <f aca="false">-L6*L23/100</f>
        <v>-0</v>
      </c>
    </row>
    <row r="26" customFormat="false" ht="15" hidden="false" customHeight="false" outlineLevel="0" collapsed="false">
      <c r="A26" s="2" t="s">
        <v>135</v>
      </c>
    </row>
    <row r="27" customFormat="false" ht="15" hidden="false" customHeight="false" outlineLevel="0" collapsed="false">
      <c r="A27" s="0" t="s">
        <v>113</v>
      </c>
      <c r="B27" s="4" t="n">
        <f aca="false">Assumptions!$B$34</f>
        <v>9.5</v>
      </c>
    </row>
    <row r="28" customFormat="false" ht="15" hidden="false" customHeight="false" outlineLevel="0" collapsed="false">
      <c r="A28" s="0" t="s">
        <v>114</v>
      </c>
      <c r="B28" s="4" t="n">
        <f aca="false">Assumptions!$B$35</f>
        <v>3</v>
      </c>
    </row>
    <row r="29" customFormat="false" ht="15" hidden="false" customHeight="false" outlineLevel="0" collapsed="false">
      <c r="A29" s="0" t="s">
        <v>115</v>
      </c>
      <c r="B29" s="4" t="n">
        <f aca="false">Assumptions!$B$36</f>
        <v>18</v>
      </c>
    </row>
    <row r="30" customFormat="false" ht="15" hidden="false" customHeight="false" outlineLevel="0" collapsed="false">
      <c r="A30" s="0" t="s">
        <v>136</v>
      </c>
      <c r="B30" s="0" t="n">
        <f aca="false">SUM(C21:L21)</f>
        <v>-144.440720825192</v>
      </c>
    </row>
    <row r="31" customFormat="false" ht="15" hidden="false" customHeight="false" outlineLevel="0" collapsed="false">
      <c r="A31" s="0" t="s">
        <v>137</v>
      </c>
      <c r="B31" s="0" t="n">
        <f aca="false">L19</f>
        <v>997.126673019942</v>
      </c>
    </row>
    <row r="32" customFormat="false" ht="15" hidden="false" customHeight="false" outlineLevel="0" collapsed="false">
      <c r="A32" s="0" t="s">
        <v>138</v>
      </c>
      <c r="B32" s="0" t="n">
        <f aca="false">IF(B27&gt;B28,B31*(1+B28/100)/((B27-B28)/100),B31*B29)</f>
        <v>15800.6226647775</v>
      </c>
    </row>
    <row r="33" customFormat="false" ht="15" hidden="false" customHeight="false" outlineLevel="0" collapsed="false">
      <c r="A33" s="0" t="s">
        <v>139</v>
      </c>
      <c r="B33" s="0" t="n">
        <f aca="false">B31*B29</f>
        <v>17948.280114359</v>
      </c>
    </row>
    <row r="34" customFormat="false" ht="15" hidden="false" customHeight="false" outlineLevel="0" collapsed="false">
      <c r="A34" s="0" t="s">
        <v>140</v>
      </c>
      <c r="B34" s="0" t="n">
        <f aca="false">MAX(0,MIN(B32,B33))</f>
        <v>15800.6226647775</v>
      </c>
    </row>
    <row r="35" customFormat="false" ht="15" hidden="false" customHeight="false" outlineLevel="0" collapsed="false">
      <c r="A35" s="0" t="s">
        <v>141</v>
      </c>
      <c r="B35" s="0" t="n">
        <f aca="false">B34/(1+B27/100)^L4</f>
        <v>6375.77540455455</v>
      </c>
    </row>
    <row r="36" customFormat="false" ht="15" hidden="false" customHeight="false" outlineLevel="0" collapsed="false">
      <c r="A36" s="0" t="s">
        <v>142</v>
      </c>
      <c r="B36" s="0" t="n">
        <f aca="false">B30+B35</f>
        <v>6231.33468372935</v>
      </c>
    </row>
    <row r="37" customFormat="false" ht="15" hidden="false" customHeight="false" outlineLevel="0" collapsed="false">
      <c r="A37" s="0" t="s">
        <v>143</v>
      </c>
      <c r="B37" s="0" t="n">
        <f aca="false">B36+Assumptions!$B$5-Assumptions!$B$4</f>
        <v>3284.83468372935</v>
      </c>
    </row>
    <row r="38" customFormat="false" ht="15" hidden="false" customHeight="false" outlineLevel="0" collapsed="false">
      <c r="A38" s="0" t="s">
        <v>144</v>
      </c>
      <c r="B38" s="0" t="n">
        <f aca="false">B37/Assumptions!$B$3*Assumptions!$B$10</f>
        <v>21.3736754403742</v>
      </c>
    </row>
    <row r="39" customFormat="false" ht="15" hidden="false" customHeight="false" outlineLevel="0" collapsed="false">
      <c r="A39" s="0" t="s">
        <v>145</v>
      </c>
      <c r="B39" s="4" t="n">
        <f aca="false">B38/Assumptions!$B$2-1</f>
        <v>-0.80641540222467</v>
      </c>
    </row>
    <row r="41" customFormat="false" ht="15" hidden="false" customHeight="false" outlineLevel="0" collapsed="false">
      <c r="A41" s="0" t="s">
        <v>146</v>
      </c>
      <c r="B41" s="0" t="n">
        <f aca="false">SUMPRODUCT(-C10:L10/(1+$B$27/100)^C4:L4)</f>
        <v>4163.80790175079</v>
      </c>
    </row>
    <row r="42" customFormat="false" ht="15" hidden="false" customHeight="false" outlineLevel="0" collapsed="false">
      <c r="A42" s="0" t="s">
        <v>147</v>
      </c>
      <c r="B42" s="0" t="n">
        <f aca="false">IF(B27&gt;B28,-L10*(1+B28/100)/((B27-B28)/100),-L10*20)/(1+B27/100)^L4</f>
        <v>4283.90415051822</v>
      </c>
    </row>
    <row r="43" customFormat="false" ht="15" hidden="false" customHeight="false" outlineLevel="0" collapsed="false">
      <c r="A43" s="0" t="s">
        <v>148</v>
      </c>
      <c r="B43" s="0" t="n">
        <f aca="false">(B37+B41+B42)/Assumptions!$B$3*Assumptions!$B$10</f>
        <v>76.3410247907966</v>
      </c>
    </row>
    <row r="45" customFormat="false" ht="15" hidden="false" customHeight="false" outlineLevel="0" collapsed="false">
      <c r="A45" s="0" t="s">
        <v>89</v>
      </c>
      <c r="B45" s="4" t="n">
        <f aca="false">Assumptions!$B$6</f>
        <v>15</v>
      </c>
    </row>
    <row r="46" customFormat="false" ht="15" hidden="false" customHeight="false" outlineLevel="0" collapsed="false">
      <c r="A46" s="0" t="s">
        <v>149</v>
      </c>
      <c r="B46" s="0" t="n">
        <f aca="false">MAX(0,MIN(IF(B45&gt;B28,B31*(1+B28/100)/((B45-B28)/100),B31*B29),B31*B29))</f>
        <v>8558.67061008784</v>
      </c>
    </row>
    <row r="47" customFormat="false" ht="15" hidden="false" customHeight="false" outlineLevel="0" collapsed="false">
      <c r="A47" s="0" t="s">
        <v>150</v>
      </c>
      <c r="B47" s="0" t="n">
        <f aca="false">(SUMPRODUCT(C19:L19/(1+B45/100)^C4:L4)+B46/(1+B45/100)^L4+Assumptions!$B$5-Assumptions!$B$4)/Assumptions!$B$3*Assumptions!$B$10</f>
        <v>-9.37697072061477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2"/>
  </cols>
  <sheetData>
    <row r="1" customFormat="false" ht="15" hidden="false" customHeight="false" outlineLevel="0" collapsed="false">
      <c r="A1" s="2" t="s">
        <v>152</v>
      </c>
    </row>
    <row r="3" customFormat="false" ht="15" hidden="false" customHeight="false" outlineLevel="0" collapsed="false">
      <c r="A3" s="0" t="s">
        <v>121</v>
      </c>
      <c r="B3" s="0" t="s">
        <v>82</v>
      </c>
      <c r="C3" s="2" t="s">
        <v>96</v>
      </c>
      <c r="D3" s="2" t="s">
        <v>97</v>
      </c>
      <c r="E3" s="2" t="s">
        <v>98</v>
      </c>
      <c r="F3" s="2" t="s">
        <v>99</v>
      </c>
      <c r="G3" s="2" t="s">
        <v>100</v>
      </c>
      <c r="H3" s="2" t="s">
        <v>101</v>
      </c>
      <c r="I3" s="2" t="s">
        <v>102</v>
      </c>
      <c r="J3" s="2" t="s">
        <v>103</v>
      </c>
      <c r="K3" s="2" t="s">
        <v>104</v>
      </c>
      <c r="L3" s="2" t="s">
        <v>105</v>
      </c>
    </row>
    <row r="4" customFormat="false" ht="15" hidden="false" customHeight="false" outlineLevel="0" collapsed="false">
      <c r="A4" s="0" t="s">
        <v>122</v>
      </c>
      <c r="B4" s="0" t="n">
        <v>0</v>
      </c>
      <c r="C4" s="0" t="n">
        <f aca="false">B4+1</f>
        <v>1</v>
      </c>
      <c r="D4" s="0" t="n">
        <f aca="false">C4+1</f>
        <v>2</v>
      </c>
      <c r="E4" s="0" t="n">
        <f aca="false">D4+1</f>
        <v>3</v>
      </c>
      <c r="F4" s="0" t="n">
        <f aca="false">E4+1</f>
        <v>4</v>
      </c>
      <c r="G4" s="0" t="n">
        <f aca="false">F4+1</f>
        <v>5</v>
      </c>
      <c r="H4" s="0" t="n">
        <f aca="false">G4+1</f>
        <v>6</v>
      </c>
      <c r="I4" s="0" t="n">
        <f aca="false">H4+1</f>
        <v>7</v>
      </c>
      <c r="J4" s="0" t="n">
        <f aca="false">I4+1</f>
        <v>8</v>
      </c>
      <c r="K4" s="0" t="n">
        <f aca="false">J4+1</f>
        <v>9</v>
      </c>
      <c r="L4" s="0" t="n">
        <f aca="false">K4+1</f>
        <v>10</v>
      </c>
    </row>
    <row r="5" customFormat="false" ht="15" hidden="false" customHeight="false" outlineLevel="0" collapsed="false">
      <c r="A5" s="0" t="s">
        <v>106</v>
      </c>
      <c r="C5" s="4" t="n">
        <f aca="false">Assumptions!C41</f>
        <v>8</v>
      </c>
      <c r="D5" s="4" t="n">
        <f aca="false">Assumptions!D41</f>
        <v>16</v>
      </c>
      <c r="E5" s="4" t="n">
        <f aca="false">Assumptions!E41</f>
        <v>15</v>
      </c>
      <c r="F5" s="4" t="n">
        <f aca="false">Assumptions!F41</f>
        <v>13</v>
      </c>
      <c r="G5" s="4" t="n">
        <f aca="false">Assumptions!G41</f>
        <v>11</v>
      </c>
      <c r="H5" s="4" t="n">
        <f aca="false">Assumptions!H41</f>
        <v>9</v>
      </c>
      <c r="I5" s="4" t="n">
        <f aca="false">Assumptions!I41</f>
        <v>7.5</v>
      </c>
      <c r="J5" s="4" t="n">
        <f aca="false">Assumptions!J41</f>
        <v>6</v>
      </c>
      <c r="K5" s="4" t="n">
        <f aca="false">Assumptions!K41</f>
        <v>5</v>
      </c>
      <c r="L5" s="4" t="n">
        <f aca="false">Assumptions!L41</f>
        <v>4</v>
      </c>
    </row>
    <row r="6" customFormat="false" ht="15" hidden="false" customHeight="false" outlineLevel="0" collapsed="false">
      <c r="A6" s="0" t="s">
        <v>37</v>
      </c>
      <c r="B6" s="3" t="n">
        <v>4208.175</v>
      </c>
      <c r="C6" s="0" t="n">
        <f aca="false">B6*(1+C5/100)</f>
        <v>4544.829</v>
      </c>
      <c r="D6" s="0" t="n">
        <f aca="false">C6*(1+D5/100)</f>
        <v>5272.00164</v>
      </c>
      <c r="E6" s="0" t="n">
        <f aca="false">D6*(1+E5/100)</f>
        <v>6062.801886</v>
      </c>
      <c r="F6" s="0" t="n">
        <f aca="false">E6*(1+F5/100)</f>
        <v>6850.96613118</v>
      </c>
      <c r="G6" s="0" t="n">
        <f aca="false">F6*(1+G5/100)</f>
        <v>7604.5724056098</v>
      </c>
      <c r="H6" s="0" t="n">
        <f aca="false">G6*(1+H5/100)</f>
        <v>8288.98392211468</v>
      </c>
      <c r="I6" s="0" t="n">
        <f aca="false">H6*(1+I5/100)</f>
        <v>8910.65771627329</v>
      </c>
      <c r="J6" s="0" t="n">
        <f aca="false">I6*(1+J5/100)</f>
        <v>9445.29717924968</v>
      </c>
      <c r="K6" s="0" t="n">
        <f aca="false">J6*(1+K5/100)</f>
        <v>9917.56203821217</v>
      </c>
      <c r="L6" s="0" t="n">
        <f aca="false">K6*(1+L5/100)</f>
        <v>10314.2645197407</v>
      </c>
    </row>
    <row r="7" customFormat="false" ht="15" hidden="false" customHeight="false" outlineLevel="0" collapsed="false">
      <c r="A7" s="0" t="s">
        <v>107</v>
      </c>
      <c r="C7" s="4" t="n">
        <f aca="false">Assumptions!C42</f>
        <v>27</v>
      </c>
      <c r="D7" s="4" t="n">
        <f aca="false">Assumptions!D42</f>
        <v>27.5</v>
      </c>
      <c r="E7" s="4" t="n">
        <f aca="false">Assumptions!E42</f>
        <v>29</v>
      </c>
      <c r="F7" s="4" t="n">
        <f aca="false">Assumptions!F42</f>
        <v>31</v>
      </c>
      <c r="G7" s="4" t="n">
        <f aca="false">Assumptions!G42</f>
        <v>33</v>
      </c>
      <c r="H7" s="4" t="n">
        <f aca="false">Assumptions!H42</f>
        <v>34.5</v>
      </c>
      <c r="I7" s="4" t="n">
        <f aca="false">Assumptions!I42</f>
        <v>35.5</v>
      </c>
      <c r="J7" s="4" t="n">
        <f aca="false">Assumptions!J42</f>
        <v>36</v>
      </c>
      <c r="K7" s="4" t="n">
        <f aca="false">Assumptions!K42</f>
        <v>36</v>
      </c>
      <c r="L7" s="4" t="n">
        <f aca="false">Assumptions!L42</f>
        <v>36</v>
      </c>
    </row>
    <row r="8" customFormat="false" ht="15" hidden="false" customHeight="false" outlineLevel="0" collapsed="false">
      <c r="A8" s="0" t="s">
        <v>43</v>
      </c>
      <c r="C8" s="0" t="n">
        <f aca="false">C6*C7/100</f>
        <v>1227.10383</v>
      </c>
      <c r="D8" s="0" t="n">
        <f aca="false">D6*D7/100</f>
        <v>1449.800451</v>
      </c>
      <c r="E8" s="0" t="n">
        <f aca="false">E6*E7/100</f>
        <v>1758.21254694</v>
      </c>
      <c r="F8" s="0" t="n">
        <f aca="false">F6*F7/100</f>
        <v>2123.7995006658</v>
      </c>
      <c r="G8" s="0" t="n">
        <f aca="false">G6*G7/100</f>
        <v>2509.50889385123</v>
      </c>
      <c r="H8" s="0" t="n">
        <f aca="false">H6*H7/100</f>
        <v>2859.69945312957</v>
      </c>
      <c r="I8" s="0" t="n">
        <f aca="false">I6*I7/100</f>
        <v>3163.28348927702</v>
      </c>
      <c r="J8" s="0" t="n">
        <f aca="false">J6*J7/100</f>
        <v>3400.30698452989</v>
      </c>
      <c r="K8" s="0" t="n">
        <f aca="false">K6*K7/100</f>
        <v>3570.32233375638</v>
      </c>
      <c r="L8" s="0" t="n">
        <f aca="false">L6*L7/100</f>
        <v>3713.13522710664</v>
      </c>
    </row>
    <row r="9" customFormat="false" ht="15" hidden="false" customHeight="false" outlineLevel="0" collapsed="false">
      <c r="A9" s="0" t="s">
        <v>108</v>
      </c>
      <c r="C9" s="4" t="n">
        <f aca="false">Assumptions!C43</f>
        <v>12</v>
      </c>
      <c r="D9" s="4" t="n">
        <f aca="false">Assumptions!D43</f>
        <v>12</v>
      </c>
      <c r="E9" s="4" t="n">
        <f aca="false">Assumptions!E43</f>
        <v>11.5</v>
      </c>
      <c r="F9" s="4" t="n">
        <f aca="false">Assumptions!F43</f>
        <v>11</v>
      </c>
      <c r="G9" s="4" t="n">
        <f aca="false">Assumptions!G43</f>
        <v>10.5</v>
      </c>
      <c r="H9" s="4" t="n">
        <f aca="false">Assumptions!H43</f>
        <v>10</v>
      </c>
      <c r="I9" s="4" t="n">
        <f aca="false">Assumptions!I43</f>
        <v>9.5</v>
      </c>
      <c r="J9" s="4" t="n">
        <f aca="false">Assumptions!J43</f>
        <v>9</v>
      </c>
      <c r="K9" s="4" t="n">
        <f aca="false">Assumptions!K43</f>
        <v>8.5</v>
      </c>
      <c r="L9" s="4" t="n">
        <f aca="false">Assumptions!L43</f>
        <v>8</v>
      </c>
    </row>
    <row r="10" customFormat="false" ht="15" hidden="false" customHeight="false" outlineLevel="0" collapsed="false">
      <c r="A10" s="0" t="s">
        <v>123</v>
      </c>
      <c r="C10" s="0" t="n">
        <f aca="false">-C6*C9/100</f>
        <v>-545.37948</v>
      </c>
      <c r="D10" s="0" t="n">
        <f aca="false">-D6*D9/100</f>
        <v>-632.6401968</v>
      </c>
      <c r="E10" s="0" t="n">
        <f aca="false">-E6*E9/100</f>
        <v>-697.22221689</v>
      </c>
      <c r="F10" s="0" t="n">
        <f aca="false">-F6*F9/100</f>
        <v>-753.6062744298</v>
      </c>
      <c r="G10" s="0" t="n">
        <f aca="false">-G6*G9/100</f>
        <v>-798.480102589029</v>
      </c>
      <c r="H10" s="0" t="n">
        <f aca="false">-H6*H9/100</f>
        <v>-828.898392211468</v>
      </c>
      <c r="I10" s="0" t="n">
        <f aca="false">-I6*I9/100</f>
        <v>-846.512483045962</v>
      </c>
      <c r="J10" s="0" t="n">
        <f aca="false">-J6*J9/100</f>
        <v>-850.076746132472</v>
      </c>
      <c r="K10" s="0" t="n">
        <f aca="false">-K6*K9/100</f>
        <v>-842.992773248034</v>
      </c>
      <c r="L10" s="0" t="n">
        <f aca="false">-L6*L9/100</f>
        <v>-825.141161579252</v>
      </c>
    </row>
    <row r="11" customFormat="false" ht="15" hidden="false" customHeight="false" outlineLevel="0" collapsed="false">
      <c r="A11" s="0" t="s">
        <v>124</v>
      </c>
      <c r="C11" s="0" t="n">
        <f aca="false">C8+C10+C24</f>
        <v>681.72435</v>
      </c>
      <c r="D11" s="0" t="n">
        <f aca="false">D8+D10+D24</f>
        <v>817.1602542</v>
      </c>
      <c r="E11" s="0" t="n">
        <f aca="false">E8+E10+E24</f>
        <v>1060.99033005</v>
      </c>
      <c r="F11" s="0" t="n">
        <f aca="false">F8+F10+F24</f>
        <v>1370.193226236</v>
      </c>
      <c r="G11" s="0" t="n">
        <f aca="false">G8+G10+G24</f>
        <v>1711.02879126221</v>
      </c>
      <c r="H11" s="0" t="n">
        <f aca="false">H8+H10+H24</f>
        <v>2030.8010609181</v>
      </c>
      <c r="I11" s="0" t="n">
        <f aca="false">I8+I10+I24</f>
        <v>2316.77100623105</v>
      </c>
      <c r="J11" s="0" t="n">
        <f aca="false">J8+J10+J24</f>
        <v>2550.23023839741</v>
      </c>
      <c r="K11" s="0" t="n">
        <f aca="false">K8+K10+K24</f>
        <v>2727.32956050835</v>
      </c>
      <c r="L11" s="0" t="n">
        <f aca="false">L8+L10+L24</f>
        <v>2887.99406552738</v>
      </c>
    </row>
    <row r="12" customFormat="false" ht="15" hidden="false" customHeight="false" outlineLevel="0" collapsed="false">
      <c r="A12" s="0" t="s">
        <v>125</v>
      </c>
      <c r="C12" s="4" t="n">
        <f aca="false">-C6*Assumptions!C45/100</f>
        <v>-772.62093</v>
      </c>
      <c r="D12" s="4" t="n">
        <f aca="false">-D6*Assumptions!D45/100</f>
        <v>-1028.0403198</v>
      </c>
      <c r="E12" s="4" t="n">
        <f aca="false">-E6*Assumptions!E45/100</f>
        <v>-1273.18839606</v>
      </c>
      <c r="F12" s="4" t="n">
        <f aca="false">-F6*Assumptions!F45/100</f>
        <v>-1438.7028875478</v>
      </c>
      <c r="G12" s="4" t="n">
        <f aca="false">-G6*Assumptions!G45/100</f>
        <v>-1482.89161909391</v>
      </c>
      <c r="H12" s="4" t="n">
        <f aca="false">-H6*Assumptions!H45/100</f>
        <v>-1450.57218637007</v>
      </c>
      <c r="I12" s="4" t="n">
        <f aca="false">-I6*Assumptions!I45/100</f>
        <v>-1425.70523460373</v>
      </c>
      <c r="J12" s="4" t="n">
        <f aca="false">-J6*Assumptions!J45/100</f>
        <v>-1416.79457688745</v>
      </c>
      <c r="K12" s="4" t="n">
        <f aca="false">-K6*Assumptions!K45/100</f>
        <v>-1438.04649554076</v>
      </c>
      <c r="L12" s="4" t="n">
        <f aca="false">-L6*Assumptions!L45/100</f>
        <v>-1443.99703276369</v>
      </c>
    </row>
    <row r="13" customFormat="false" ht="15" hidden="false" customHeight="false" outlineLevel="0" collapsed="false">
      <c r="A13" s="0" t="s">
        <v>126</v>
      </c>
      <c r="C13" s="0" t="n">
        <f aca="false">C11+C12</f>
        <v>-90.8965799999999</v>
      </c>
      <c r="D13" s="0" t="n">
        <f aca="false">D11+D12</f>
        <v>-210.8800656</v>
      </c>
      <c r="E13" s="0" t="n">
        <f aca="false">E11+E12</f>
        <v>-212.19806601</v>
      </c>
      <c r="F13" s="0" t="n">
        <f aca="false">F11+F12</f>
        <v>-68.5096613118003</v>
      </c>
      <c r="G13" s="0" t="n">
        <f aca="false">G11+G12</f>
        <v>228.137172168294</v>
      </c>
      <c r="H13" s="0" t="n">
        <f aca="false">H11+H12</f>
        <v>580.228874548028</v>
      </c>
      <c r="I13" s="0" t="n">
        <f aca="false">I11+I12</f>
        <v>891.065771627329</v>
      </c>
      <c r="J13" s="0" t="n">
        <f aca="false">J11+J12</f>
        <v>1133.43566150996</v>
      </c>
      <c r="K13" s="0" t="n">
        <f aca="false">K11+K12</f>
        <v>1289.28306496758</v>
      </c>
      <c r="L13" s="0" t="n">
        <f aca="false">L11+L12</f>
        <v>1443.99703276369</v>
      </c>
    </row>
    <row r="14" customFormat="false" ht="15" hidden="false" customHeight="false" outlineLevel="0" collapsed="false">
      <c r="A14" s="0" t="s">
        <v>112</v>
      </c>
      <c r="C14" s="4" t="n">
        <f aca="false">Assumptions!C47</f>
        <v>15</v>
      </c>
      <c r="D14" s="4" t="n">
        <f aca="false">Assumptions!D47</f>
        <v>17</v>
      </c>
      <c r="E14" s="4" t="n">
        <f aca="false">Assumptions!E47</f>
        <v>19</v>
      </c>
      <c r="F14" s="4" t="n">
        <f aca="false">Assumptions!F47</f>
        <v>20</v>
      </c>
      <c r="G14" s="4" t="n">
        <f aca="false">Assumptions!G47</f>
        <v>21</v>
      </c>
      <c r="H14" s="4" t="n">
        <f aca="false">Assumptions!H47</f>
        <v>21</v>
      </c>
      <c r="I14" s="4" t="n">
        <f aca="false">Assumptions!I47</f>
        <v>21</v>
      </c>
      <c r="J14" s="4" t="n">
        <f aca="false">Assumptions!J47</f>
        <v>21</v>
      </c>
      <c r="K14" s="4" t="n">
        <f aca="false">Assumptions!K47</f>
        <v>21</v>
      </c>
      <c r="L14" s="4" t="n">
        <f aca="false">Assumptions!L47</f>
        <v>21</v>
      </c>
    </row>
    <row r="15" customFormat="false" ht="15" hidden="false" customHeight="false" outlineLevel="0" collapsed="false">
      <c r="A15" s="0" t="s">
        <v>127</v>
      </c>
      <c r="C15" s="0" t="n">
        <f aca="false">C13-MAX(0,C13)*C14/100</f>
        <v>-90.8965799999999</v>
      </c>
      <c r="D15" s="0" t="n">
        <f aca="false">D13-MAX(0,D13)*D14/100</f>
        <v>-210.8800656</v>
      </c>
      <c r="E15" s="0" t="n">
        <f aca="false">E13-MAX(0,E13)*E14/100</f>
        <v>-212.19806601</v>
      </c>
      <c r="F15" s="0" t="n">
        <f aca="false">F13-MAX(0,F13)*F14/100</f>
        <v>-68.5096613118003</v>
      </c>
      <c r="G15" s="0" t="n">
        <f aca="false">G13-MAX(0,G13)*G14/100</f>
        <v>180.228366012952</v>
      </c>
      <c r="H15" s="0" t="n">
        <f aca="false">H13-MAX(0,H13)*H14/100</f>
        <v>458.380810892942</v>
      </c>
      <c r="I15" s="0" t="n">
        <f aca="false">I13-MAX(0,I13)*I14/100</f>
        <v>703.94195958559</v>
      </c>
      <c r="J15" s="0" t="n">
        <f aca="false">J13-MAX(0,J13)*J14/100</f>
        <v>895.41417259287</v>
      </c>
      <c r="K15" s="0" t="n">
        <f aca="false">K13-MAX(0,K13)*K14/100</f>
        <v>1018.53362132439</v>
      </c>
      <c r="L15" s="0" t="n">
        <f aca="false">L13-MAX(0,L13)*L14/100</f>
        <v>1140.75765588332</v>
      </c>
    </row>
    <row r="16" customFormat="false" ht="15" hidden="false" customHeight="false" outlineLevel="0" collapsed="false">
      <c r="A16" s="0" t="s">
        <v>128</v>
      </c>
      <c r="C16" s="0" t="n">
        <f aca="false">-C12</f>
        <v>772.62093</v>
      </c>
      <c r="D16" s="0" t="n">
        <f aca="false">-D12</f>
        <v>1028.0403198</v>
      </c>
      <c r="E16" s="0" t="n">
        <f aca="false">-E12</f>
        <v>1273.18839606</v>
      </c>
      <c r="F16" s="0" t="n">
        <f aca="false">-F12</f>
        <v>1438.7028875478</v>
      </c>
      <c r="G16" s="0" t="n">
        <f aca="false">-G12</f>
        <v>1482.89161909391</v>
      </c>
      <c r="H16" s="0" t="n">
        <f aca="false">-H12</f>
        <v>1450.57218637007</v>
      </c>
      <c r="I16" s="0" t="n">
        <f aca="false">-I12</f>
        <v>1425.70523460373</v>
      </c>
      <c r="J16" s="0" t="n">
        <f aca="false">-J12</f>
        <v>1416.79457688745</v>
      </c>
      <c r="K16" s="0" t="n">
        <f aca="false">-K12</f>
        <v>1438.04649554076</v>
      </c>
      <c r="L16" s="0" t="n">
        <f aca="false">-L12</f>
        <v>1443.99703276369</v>
      </c>
    </row>
    <row r="17" customFormat="false" ht="15" hidden="false" customHeight="false" outlineLevel="0" collapsed="false">
      <c r="A17" s="0" t="s">
        <v>129</v>
      </c>
      <c r="C17" s="4" t="n">
        <f aca="false">-C6*Assumptions!C46/100</f>
        <v>-1727.03502</v>
      </c>
      <c r="D17" s="4" t="n">
        <f aca="false">-D6*Assumptions!D46/100</f>
        <v>-1739.7605412</v>
      </c>
      <c r="E17" s="4" t="n">
        <f aca="false">-E6*Assumptions!E46/100</f>
        <v>-1636.95650922</v>
      </c>
      <c r="F17" s="4" t="n">
        <f aca="false">-F6*Assumptions!F46/100</f>
        <v>-1438.7028875478</v>
      </c>
      <c r="G17" s="4" t="n">
        <f aca="false">-G6*Assumptions!G46/100</f>
        <v>-1292.77730895367</v>
      </c>
      <c r="H17" s="4" t="n">
        <f aca="false">-H6*Assumptions!H46/100</f>
        <v>-1160.45774909606</v>
      </c>
      <c r="I17" s="4" t="n">
        <f aca="false">-I6*Assumptions!I46/100</f>
        <v>-1113.83221453416</v>
      </c>
      <c r="J17" s="4" t="n">
        <f aca="false">-J6*Assumptions!J46/100</f>
        <v>-1086.20917561371</v>
      </c>
      <c r="K17" s="4" t="n">
        <f aca="false">-K6*Assumptions!K46/100</f>
        <v>-1090.93182420334</v>
      </c>
      <c r="L17" s="4" t="n">
        <f aca="false">-L6*Assumptions!L46/100</f>
        <v>-1082.99777457277</v>
      </c>
    </row>
    <row r="18" customFormat="false" ht="15" hidden="false" customHeight="false" outlineLevel="0" collapsed="false">
      <c r="A18" s="0" t="s">
        <v>130</v>
      </c>
      <c r="C18" s="4" t="n">
        <f aca="false">(C6-B6)*Assumptions!$B$51/100</f>
        <v>20.19924</v>
      </c>
      <c r="D18" s="4" t="n">
        <f aca="false">(D6-C6)*Assumptions!$B$51/100</f>
        <v>43.6303584</v>
      </c>
      <c r="E18" s="4" t="n">
        <f aca="false">(E6-D6)*Assumptions!$B$51/100</f>
        <v>47.44801476</v>
      </c>
      <c r="F18" s="4" t="n">
        <f aca="false">(F6-E6)*Assumptions!$B$51/100</f>
        <v>47.2898547107999</v>
      </c>
      <c r="G18" s="4" t="n">
        <f aca="false">(G6-F6)*Assumptions!$B$51/100</f>
        <v>45.216376465788</v>
      </c>
      <c r="H18" s="4" t="n">
        <f aca="false">(H6-G6)*Assumptions!$B$51/100</f>
        <v>41.064690990293</v>
      </c>
      <c r="I18" s="4" t="n">
        <f aca="false">(I6-H6)*Assumptions!$B$51/100</f>
        <v>37.3004276495161</v>
      </c>
      <c r="J18" s="4" t="n">
        <f aca="false">(J6-I6)*Assumptions!$B$51/100</f>
        <v>32.0783677785839</v>
      </c>
      <c r="K18" s="4" t="n">
        <f aca="false">(K6-J6)*Assumptions!$B$51/100</f>
        <v>28.3358915377491</v>
      </c>
      <c r="L18" s="4" t="n">
        <f aca="false">(L6-K6)*Assumptions!$B$51/100</f>
        <v>23.8021488917093</v>
      </c>
    </row>
    <row r="19" customFormat="false" ht="15" hidden="false" customHeight="false" outlineLevel="0" collapsed="false">
      <c r="A19" s="0" t="s">
        <v>131</v>
      </c>
      <c r="C19" s="0" t="n">
        <f aca="false">C15+C16+C17+C18</f>
        <v>-1025.11143</v>
      </c>
      <c r="D19" s="0" t="n">
        <f aca="false">D15+D16+D17+D18</f>
        <v>-878.9699286</v>
      </c>
      <c r="E19" s="0" t="n">
        <f aca="false">E15+E16+E17+E18</f>
        <v>-528.51816441</v>
      </c>
      <c r="F19" s="0" t="n">
        <f aca="false">F15+F16+F17+F18</f>
        <v>-21.2198066010004</v>
      </c>
      <c r="G19" s="0" t="n">
        <f aca="false">G15+G16+G17+G18</f>
        <v>415.559052618985</v>
      </c>
      <c r="H19" s="0" t="n">
        <f aca="false">H15+H16+H17+H18</f>
        <v>789.559939157249</v>
      </c>
      <c r="I19" s="0" t="n">
        <f aca="false">I15+I16+I17+I18</f>
        <v>1053.11540730467</v>
      </c>
      <c r="J19" s="0" t="n">
        <f aca="false">J15+J16+J17+J18</f>
        <v>1258.07794164519</v>
      </c>
      <c r="K19" s="0" t="n">
        <f aca="false">K15+K16+K17+K18</f>
        <v>1393.98418419957</v>
      </c>
      <c r="L19" s="0" t="n">
        <f aca="false">L15+L16+L17+L18</f>
        <v>1525.55906296595</v>
      </c>
    </row>
    <row r="20" customFormat="false" ht="15" hidden="false" customHeight="false" outlineLevel="0" collapsed="false">
      <c r="A20" s="0" t="s">
        <v>132</v>
      </c>
      <c r="C20" s="0" t="n">
        <f aca="false">1/(1+$B$27/100)^C4</f>
        <v>0.91743119266055</v>
      </c>
      <c r="D20" s="0" t="n">
        <f aca="false">1/(1+$B$27/100)^D4</f>
        <v>0.84167999326656</v>
      </c>
      <c r="E20" s="0" t="n">
        <f aca="false">1/(1+$B$27/100)^E4</f>
        <v>0.772183480061064</v>
      </c>
      <c r="F20" s="0" t="n">
        <f aca="false">1/(1+$B$27/100)^F4</f>
        <v>0.708425211065196</v>
      </c>
      <c r="G20" s="0" t="n">
        <f aca="false">1/(1+$B$27/100)^G4</f>
        <v>0.649931386298345</v>
      </c>
      <c r="H20" s="0" t="n">
        <f aca="false">1/(1+$B$27/100)^H4</f>
        <v>0.596267326879216</v>
      </c>
      <c r="I20" s="0" t="n">
        <f aca="false">1/(1+$B$27/100)^I4</f>
        <v>0.547034244843317</v>
      </c>
      <c r="J20" s="0" t="n">
        <f aca="false">1/(1+$B$27/100)^J4</f>
        <v>0.501866279672768</v>
      </c>
      <c r="K20" s="0" t="n">
        <f aca="false">1/(1+$B$27/100)^K4</f>
        <v>0.460427779516301</v>
      </c>
      <c r="L20" s="0" t="n">
        <f aca="false">1/(1+$B$27/100)^L4</f>
        <v>0.422410806895689</v>
      </c>
    </row>
    <row r="21" customFormat="false" ht="15" hidden="false" customHeight="false" outlineLevel="0" collapsed="false">
      <c r="A21" s="0" t="s">
        <v>133</v>
      </c>
      <c r="C21" s="0" t="n">
        <f aca="false">C19*C20</f>
        <v>-940.469201834863</v>
      </c>
      <c r="D21" s="0" t="n">
        <f aca="false">D19*D20</f>
        <v>-739.811403585557</v>
      </c>
      <c r="E21" s="0" t="n">
        <f aca="false">E19*E20</f>
        <v>-408.1129954696</v>
      </c>
      <c r="F21" s="0" t="n">
        <f aca="false">F19*F20</f>
        <v>-15.0326459700763</v>
      </c>
      <c r="G21" s="0" t="n">
        <f aca="false">G19*G20</f>
        <v>270.084871157484</v>
      </c>
      <c r="H21" s="0" t="n">
        <f aca="false">H19*H20</f>
        <v>470.788794332209</v>
      </c>
      <c r="I21" s="0" t="n">
        <f aca="false">I19*I20</f>
        <v>576.090191567773</v>
      </c>
      <c r="J21" s="0" t="n">
        <f aca="false">J19*J20</f>
        <v>631.386896111847</v>
      </c>
      <c r="K21" s="0" t="n">
        <f aca="false">K19*K20</f>
        <v>641.829042611848</v>
      </c>
      <c r="L21" s="0" t="n">
        <f aca="false">L19*L20</f>
        <v>644.412634754477</v>
      </c>
    </row>
    <row r="23" customFormat="false" ht="15" hidden="false" customHeight="false" outlineLevel="0" collapsed="false">
      <c r="A23" s="0" t="s">
        <v>109</v>
      </c>
      <c r="C23" s="4" t="n">
        <f aca="false">Assumptions!C44</f>
        <v>0</v>
      </c>
      <c r="D23" s="4" t="n">
        <f aca="false">Assumptions!D44</f>
        <v>0</v>
      </c>
      <c r="E23" s="4" t="n">
        <f aca="false">Assumptions!E44</f>
        <v>0</v>
      </c>
      <c r="F23" s="4" t="n">
        <f aca="false">Assumptions!F44</f>
        <v>0</v>
      </c>
      <c r="G23" s="4" t="n">
        <f aca="false">Assumptions!G44</f>
        <v>0</v>
      </c>
      <c r="H23" s="4" t="n">
        <f aca="false">Assumptions!H44</f>
        <v>0</v>
      </c>
      <c r="I23" s="4" t="n">
        <f aca="false">Assumptions!I44</f>
        <v>0</v>
      </c>
      <c r="J23" s="4" t="n">
        <f aca="false">Assumptions!J44</f>
        <v>0</v>
      </c>
      <c r="K23" s="4" t="n">
        <f aca="false">Assumptions!K44</f>
        <v>0</v>
      </c>
      <c r="L23" s="4" t="n">
        <f aca="false">Assumptions!L44</f>
        <v>0</v>
      </c>
    </row>
    <row r="24" customFormat="false" ht="15" hidden="false" customHeight="false" outlineLevel="0" collapsed="false">
      <c r="A24" s="0" t="s">
        <v>134</v>
      </c>
      <c r="C24" s="0" t="n">
        <f aca="false">-C6*C23/100</f>
        <v>-0</v>
      </c>
      <c r="D24" s="0" t="n">
        <f aca="false">-D6*D23/100</f>
        <v>-0</v>
      </c>
      <c r="E24" s="0" t="n">
        <f aca="false">-E6*E23/100</f>
        <v>-0</v>
      </c>
      <c r="F24" s="0" t="n">
        <f aca="false">-F6*F23/100</f>
        <v>-0</v>
      </c>
      <c r="G24" s="0" t="n">
        <f aca="false">-G6*G23/100</f>
        <v>-0</v>
      </c>
      <c r="H24" s="0" t="n">
        <f aca="false">-H6*H23/100</f>
        <v>-0</v>
      </c>
      <c r="I24" s="0" t="n">
        <f aca="false">-I6*I23/100</f>
        <v>-0</v>
      </c>
      <c r="J24" s="0" t="n">
        <f aca="false">-J6*J23/100</f>
        <v>-0</v>
      </c>
      <c r="K24" s="0" t="n">
        <f aca="false">-K6*K23/100</f>
        <v>-0</v>
      </c>
      <c r="L24" s="0" t="n">
        <f aca="false">-L6*L23/100</f>
        <v>-0</v>
      </c>
    </row>
    <row r="26" customFormat="false" ht="15" hidden="false" customHeight="false" outlineLevel="0" collapsed="false">
      <c r="A26" s="2" t="s">
        <v>135</v>
      </c>
    </row>
    <row r="27" customFormat="false" ht="15" hidden="false" customHeight="false" outlineLevel="0" collapsed="false">
      <c r="A27" s="0" t="s">
        <v>113</v>
      </c>
      <c r="B27" s="4" t="n">
        <f aca="false">Assumptions!$B$48</f>
        <v>9</v>
      </c>
    </row>
    <row r="28" customFormat="false" ht="15" hidden="false" customHeight="false" outlineLevel="0" collapsed="false">
      <c r="A28" s="0" t="s">
        <v>114</v>
      </c>
      <c r="B28" s="4" t="n">
        <f aca="false">Assumptions!$B$49</f>
        <v>3.5</v>
      </c>
    </row>
    <row r="29" customFormat="false" ht="15" hidden="false" customHeight="false" outlineLevel="0" collapsed="false">
      <c r="A29" s="0" t="s">
        <v>115</v>
      </c>
      <c r="B29" s="4" t="n">
        <f aca="false">Assumptions!$B$50</f>
        <v>20</v>
      </c>
    </row>
    <row r="30" customFormat="false" ht="15" hidden="false" customHeight="false" outlineLevel="0" collapsed="false">
      <c r="A30" s="0" t="s">
        <v>136</v>
      </c>
      <c r="B30" s="0" t="n">
        <f aca="false">SUM(C21:L21)</f>
        <v>1131.16618367554</v>
      </c>
    </row>
    <row r="31" customFormat="false" ht="15" hidden="false" customHeight="false" outlineLevel="0" collapsed="false">
      <c r="A31" s="0" t="s">
        <v>137</v>
      </c>
      <c r="B31" s="0" t="n">
        <f aca="false">L19</f>
        <v>1525.55906296595</v>
      </c>
    </row>
    <row r="32" customFormat="false" ht="15" hidden="false" customHeight="false" outlineLevel="0" collapsed="false">
      <c r="A32" s="0" t="s">
        <v>138</v>
      </c>
      <c r="B32" s="0" t="n">
        <f aca="false">IF(B27&gt;B28,B31*(1+B28/100)/((B27-B28)/100),B31*B29)</f>
        <v>28708.2478212683</v>
      </c>
    </row>
    <row r="33" customFormat="false" ht="15" hidden="false" customHeight="false" outlineLevel="0" collapsed="false">
      <c r="A33" s="0" t="s">
        <v>139</v>
      </c>
      <c r="B33" s="0" t="n">
        <f aca="false">B31*B29</f>
        <v>30511.181259319</v>
      </c>
    </row>
    <row r="34" customFormat="false" ht="15" hidden="false" customHeight="false" outlineLevel="0" collapsed="false">
      <c r="A34" s="0" t="s">
        <v>140</v>
      </c>
      <c r="B34" s="0" t="n">
        <f aca="false">MAX(0,MIN(B32,B33))</f>
        <v>28708.2478212683</v>
      </c>
    </row>
    <row r="35" customFormat="false" ht="15" hidden="false" customHeight="false" outlineLevel="0" collapsed="false">
      <c r="A35" s="0" t="s">
        <v>141</v>
      </c>
      <c r="B35" s="0" t="n">
        <f aca="false">B34/(1+B27/100)^L4</f>
        <v>12126.6741267433</v>
      </c>
    </row>
    <row r="36" customFormat="false" ht="15" hidden="false" customHeight="false" outlineLevel="0" collapsed="false">
      <c r="A36" s="0" t="s">
        <v>142</v>
      </c>
      <c r="B36" s="0" t="n">
        <f aca="false">B30+B35</f>
        <v>13257.8403104189</v>
      </c>
    </row>
    <row r="37" customFormat="false" ht="15" hidden="false" customHeight="false" outlineLevel="0" collapsed="false">
      <c r="A37" s="0" t="s">
        <v>143</v>
      </c>
      <c r="B37" s="0" t="n">
        <f aca="false">B36+Assumptions!$B$5-Assumptions!$B$4</f>
        <v>10311.3403104189</v>
      </c>
    </row>
    <row r="38" customFormat="false" ht="15" hidden="false" customHeight="false" outlineLevel="0" collapsed="false">
      <c r="A38" s="0" t="s">
        <v>144</v>
      </c>
      <c r="B38" s="0" t="n">
        <f aca="false">B37/Assumptions!$B$3*Assumptions!$B$10</f>
        <v>67.0935564099455</v>
      </c>
    </row>
    <row r="39" customFormat="false" ht="15" hidden="false" customHeight="false" outlineLevel="0" collapsed="false">
      <c r="A39" s="0" t="s">
        <v>145</v>
      </c>
      <c r="B39" s="4" t="n">
        <f aca="false">B38/Assumptions!$B$2-1</f>
        <v>-0.392323553935825</v>
      </c>
    </row>
    <row r="41" customFormat="false" ht="15" hidden="false" customHeight="false" outlineLevel="0" collapsed="false">
      <c r="A41" s="0" t="s">
        <v>146</v>
      </c>
      <c r="B41" s="0" t="n">
        <f aca="false">SUMPRODUCT(-C10:L10/(1+$B$27/100)^C4:L4)</f>
        <v>4744.67021932626</v>
      </c>
    </row>
    <row r="42" customFormat="false" ht="15" hidden="false" customHeight="false" outlineLevel="0" collapsed="false">
      <c r="A42" s="0" t="s">
        <v>147</v>
      </c>
      <c r="B42" s="0" t="n">
        <f aca="false">IF(B27&gt;B28,-L10*(1+B28/100)/((B27-B28)/100),-L10*20)/(1+B27/100)^L4</f>
        <v>6559.04987092422</v>
      </c>
    </row>
    <row r="43" customFormat="false" ht="15" hidden="false" customHeight="false" outlineLevel="0" collapsed="false">
      <c r="A43" s="0" t="s">
        <v>148</v>
      </c>
      <c r="B43" s="0" t="n">
        <f aca="false">(B37+B41+B42)/Assumptions!$B$3*Assumptions!$B$10</f>
        <v>140.644303324111</v>
      </c>
    </row>
    <row r="45" customFormat="false" ht="15" hidden="false" customHeight="false" outlineLevel="0" collapsed="false">
      <c r="A45" s="0" t="s">
        <v>89</v>
      </c>
      <c r="B45" s="4" t="n">
        <f aca="false">Assumptions!$B$6</f>
        <v>15</v>
      </c>
    </row>
    <row r="46" customFormat="false" ht="15" hidden="false" customHeight="false" outlineLevel="0" collapsed="false">
      <c r="A46" s="0" t="s">
        <v>149</v>
      </c>
      <c r="B46" s="0" t="n">
        <f aca="false">MAX(0,MIN(IF(B45&gt;B28,B31*(1+B28/100)/((B45-B28)/100),B31*B29),B31*B29))</f>
        <v>13730.0315666935</v>
      </c>
    </row>
    <row r="47" customFormat="false" ht="15" hidden="false" customHeight="false" outlineLevel="0" collapsed="false">
      <c r="A47" s="0" t="s">
        <v>150</v>
      </c>
      <c r="B47" s="0" t="n">
        <f aca="false">(SUMPRODUCT(C19:L19/(1+B45/100)^C4:L4)+B46/(1+B45/100)^L4+Assumptions!$B$5-Assumptions!$B$4)/Assumptions!$B$3*Assumptions!$B$10</f>
        <v>4.29553298218339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60"/>
  </cols>
  <sheetData>
    <row r="1" customFormat="false" ht="15" hidden="false" customHeight="false" outlineLevel="0" collapsed="false">
      <c r="A1" s="2" t="s">
        <v>153</v>
      </c>
    </row>
    <row r="3" customFormat="false" ht="15" hidden="false" customHeight="false" outlineLevel="0" collapsed="false">
      <c r="A3" s="2" t="s">
        <v>154</v>
      </c>
      <c r="B3" s="2" t="s">
        <v>155</v>
      </c>
      <c r="C3" s="2" t="s">
        <v>145</v>
      </c>
      <c r="D3" s="2" t="s">
        <v>156</v>
      </c>
      <c r="E3" s="2" t="s">
        <v>148</v>
      </c>
      <c r="F3" s="2" t="s">
        <v>157</v>
      </c>
    </row>
    <row r="4" customFormat="false" ht="15" hidden="false" customHeight="false" outlineLevel="0" collapsed="false">
      <c r="A4" s="0" t="s">
        <v>158</v>
      </c>
      <c r="B4" s="4" t="n">
        <f aca="false">DCF_Bear!$B$38</f>
        <v>-29.850936772197</v>
      </c>
      <c r="C4" s="0" t="n">
        <f aca="false">B4/Assumptions!$B$2-1</f>
        <v>-1.27036443050627</v>
      </c>
      <c r="D4" s="4" t="n">
        <f aca="false">Assumptions!$B$24</f>
        <v>0.25</v>
      </c>
      <c r="E4" s="4" t="n">
        <f aca="false">DCF_Bear!$B$43</f>
        <v>5.41933061613629</v>
      </c>
      <c r="F4" s="4" t="n">
        <f aca="false">DCF_Bear!$B$47</f>
        <v>-32.9923992530414</v>
      </c>
    </row>
    <row r="5" customFormat="false" ht="15" hidden="false" customHeight="false" outlineLevel="0" collapsed="false">
      <c r="A5" s="0" t="s">
        <v>159</v>
      </c>
      <c r="B5" s="4" t="n">
        <f aca="false">DCF_Base!$B$38</f>
        <v>21.3736754403742</v>
      </c>
      <c r="C5" s="0" t="n">
        <f aca="false">B5/Assumptions!$B$2-1</f>
        <v>-0.80641540222467</v>
      </c>
      <c r="D5" s="4" t="n">
        <f aca="false">Assumptions!$B$38</f>
        <v>0.45</v>
      </c>
      <c r="E5" s="4" t="n">
        <f aca="false">DCF_Base!$B$43</f>
        <v>76.3410247907966</v>
      </c>
      <c r="F5" s="4" t="n">
        <f aca="false">DCF_Base!$B$47</f>
        <v>-9.37697072061477</v>
      </c>
    </row>
    <row r="6" customFormat="false" ht="15" hidden="false" customHeight="false" outlineLevel="0" collapsed="false">
      <c r="A6" s="0" t="s">
        <v>160</v>
      </c>
      <c r="B6" s="4" t="n">
        <f aca="false">DCF_Bull!$B$38</f>
        <v>67.0935564099455</v>
      </c>
      <c r="C6" s="0" t="n">
        <f aca="false">B6/Assumptions!$B$2-1</f>
        <v>-0.392323553935825</v>
      </c>
      <c r="D6" s="4" t="n">
        <f aca="false">Assumptions!$B$52</f>
        <v>0.3</v>
      </c>
      <c r="E6" s="4" t="n">
        <f aca="false">DCF_Bull!$B$43</f>
        <v>140.644303324111</v>
      </c>
      <c r="F6" s="4" t="n">
        <f aca="false">DCF_Bull!$B$47</f>
        <v>4.29553298218339</v>
      </c>
    </row>
    <row r="8" customFormat="false" ht="15" hidden="false" customHeight="false" outlineLevel="0" collapsed="false">
      <c r="A8" s="0" t="s">
        <v>161</v>
      </c>
      <c r="B8" s="0" t="n">
        <f aca="false">SUMPRODUCT(B4:B6,D4:D6)</f>
        <v>22.2834866781028</v>
      </c>
    </row>
    <row r="9" customFormat="false" ht="15" hidden="false" customHeight="false" outlineLevel="0" collapsed="false">
      <c r="A9" s="0" t="s">
        <v>162</v>
      </c>
      <c r="B9" s="0" t="n">
        <f aca="false">SUMPRODUCT(E4:E6,D4:D6)</f>
        <v>77.9015848071259</v>
      </c>
    </row>
    <row r="10" customFormat="false" ht="15" hidden="false" customHeight="false" outlineLevel="0" collapsed="false">
      <c r="A10" s="0" t="s">
        <v>163</v>
      </c>
      <c r="B10" s="0" t="n">
        <f aca="false">1-Assumptions!$B$2/B8</f>
        <v>-3.95479013652276</v>
      </c>
    </row>
    <row r="11" customFormat="false" ht="15" hidden="false" customHeight="false" outlineLevel="0" collapsed="false">
      <c r="A11" s="0" t="s">
        <v>164</v>
      </c>
      <c r="B11" s="0" t="n">
        <f aca="false">IF(ABS(B9-B8)&gt;0.01*ABS(B8),(Assumptions!$B$2-B8)/(B9-B8)*100,"n/a")</f>
        <v>158.449347040708</v>
      </c>
    </row>
    <row r="12" customFormat="false" ht="15" hidden="false" customHeight="false" outlineLevel="0" collapsed="false">
      <c r="A12" s="0" t="s">
        <v>165</v>
      </c>
      <c r="B12" s="0" t="n">
        <f aca="false">SUMPRODUCT(F4:F6,D4:D6)</f>
        <v>-11.179076742882</v>
      </c>
    </row>
    <row r="14" customFormat="false" ht="15" hidden="false" customHeight="false" outlineLevel="0" collapsed="false">
      <c r="A14" s="2" t="s">
        <v>166</v>
      </c>
      <c r="C14" s="0" t="s">
        <v>167</v>
      </c>
    </row>
    <row r="15" customFormat="false" ht="15" hidden="false" customHeight="false" outlineLevel="0" collapsed="false">
      <c r="A15" s="0" t="s">
        <v>168</v>
      </c>
      <c r="B15" s="0" t="n">
        <f aca="false">(SUMPRODUCT(DCF_Base!$C$19:$L$19/(1+$C$15/100)^DCF_Base!$C$4:$L$4)+MAX(0,MIN(IF($C$15&gt;DCF_Base!$B$28,DCF_Base!$L$19*(1+DCF_Base!$B$28/100)/(($C$15-DCF_Base!$B$28)/100),DCF_Base!$L$19*DCF_Base!$B$29),DCF_Base!$L$19*DCF_Base!$B$29))/(1+$C$15/100)^DCF_Base!$L$4+Assumptions!$B$5-Assumptions!$B$4)/Assumptions!$B$3*Assumptions!$B$10</f>
        <v>27.3047826464063</v>
      </c>
      <c r="C15" s="3" t="n">
        <v>9</v>
      </c>
    </row>
    <row r="16" customFormat="false" ht="15" hidden="false" customHeight="false" outlineLevel="0" collapsed="false">
      <c r="A16" s="0" t="s">
        <v>169</v>
      </c>
      <c r="B16" s="0" t="n">
        <f aca="false">(SUMPRODUCT(DCF_Base!$C$19:$L$19/(1+$C$16/100)^DCF_Base!$C$4:$L$4)+MAX(0,MIN(IF($C$16&gt;DCF_Base!$B$28,DCF_Base!$L$19*(1+DCF_Base!$B$28/100)/(($C$16-DCF_Base!$B$28)/100),DCF_Base!$L$19*DCF_Base!$B$29),DCF_Base!$L$19*DCF_Base!$B$29))/(1+$C$16/100)^DCF_Base!$L$4+Assumptions!$B$5-Assumptions!$B$4)/Assumptions!$B$3*Assumptions!$B$10</f>
        <v>21.3736754403742</v>
      </c>
      <c r="C16" s="3" t="n">
        <v>9.5</v>
      </c>
    </row>
    <row r="17" customFormat="false" ht="15" hidden="false" customHeight="false" outlineLevel="0" collapsed="false">
      <c r="A17" s="0" t="s">
        <v>170</v>
      </c>
      <c r="B17" s="0" t="n">
        <f aca="false">(SUMPRODUCT(DCF_Base!$C$19:$L$19/(1+$C$17/100)^DCF_Base!$C$4:$L$4)+MAX(0,MIN(IF($C$17&gt;DCF_Base!$B$28,DCF_Base!$L$19*(1+DCF_Base!$B$28/100)/(($C$17-DCF_Base!$B$28)/100),DCF_Base!$L$19*DCF_Base!$B$29),DCF_Base!$L$19*DCF_Base!$B$29))/(1+$C$17/100)^DCF_Base!$L$4+Assumptions!$B$5-Assumptions!$B$4)/Assumptions!$B$3*Assumptions!$B$10</f>
        <v>16.3437773139164</v>
      </c>
      <c r="C17" s="3" t="n">
        <v>10</v>
      </c>
    </row>
    <row r="18" customFormat="false" ht="15" hidden="false" customHeight="false" outlineLevel="0" collapsed="false">
      <c r="A18" s="0" t="s">
        <v>171</v>
      </c>
      <c r="B18" s="0" t="n">
        <f aca="false">(SUMPRODUCT(DCF_Base!$C$19:$L$19/(1+$C$18/100)^DCF_Base!$C$4:$L$4)+MAX(0,MIN(IF($C$18&gt;DCF_Base!$B$28,DCF_Base!$L$19*(1+DCF_Base!$B$28/100)/(($C$18-DCF_Base!$B$28)/100),DCF_Base!$L$19*DCF_Base!$B$29),DCF_Base!$L$19*DCF_Base!$B$29))/(1+$C$18/100)^DCF_Base!$L$4+Assumptions!$B$5-Assumptions!$B$4)/Assumptions!$B$3*Assumptions!$B$10</f>
        <v>8.30566971824065</v>
      </c>
      <c r="C18" s="3" t="n">
        <v>11</v>
      </c>
    </row>
    <row r="19" customFormat="false" ht="15" hidden="false" customHeight="false" outlineLevel="0" collapsed="false">
      <c r="A19" s="0" t="s">
        <v>172</v>
      </c>
      <c r="B19" s="0" t="n">
        <f aca="false">(SUMPRODUCT(DCF_Base!$C$19:$L$19/(1+$C$19/100)^DCF_Base!$C$4:$L$4)+MAX(0,MIN(IF($C$19&gt;DCF_Base!$B$28,DCF_Base!$L$19*(1+DCF_Base!$B$28/100)/(($C$19-DCF_Base!$B$28)/100),DCF_Base!$L$19*DCF_Base!$B$29),DCF_Base!$L$19*DCF_Base!$B$29))/(1+$C$19/100)^DCF_Base!$L$4+Assumptions!$B$5-Assumptions!$B$4)/Assumptions!$B$3*Assumptions!$B$10</f>
        <v>2.20595339841404</v>
      </c>
      <c r="C19" s="3" t="n">
        <v>12</v>
      </c>
    </row>
    <row r="20" customFormat="false" ht="15" hidden="false" customHeight="false" outlineLevel="0" collapsed="false">
      <c r="A20" s="0" t="s">
        <v>173</v>
      </c>
      <c r="B20" s="0" t="n">
        <f aca="false">(SUMPRODUCT(DCF_Base!$C$19:$L$19/(1+$C$20/100)^DCF_Base!$C$4:$L$4)+MAX(0,MIN(IF($C$20&gt;DCF_Base!$B$28,DCF_Base!$L$19*(1+DCF_Base!$B$28/100)/(($C$20-DCF_Base!$B$28)/100),DCF_Base!$L$19*DCF_Base!$B$29),DCF_Base!$L$19*DCF_Base!$B$29))/(1+$C$20/100)^DCF_Base!$L$4+Assumptions!$B$5-Assumptions!$B$4)/Assumptions!$B$3*Assumptions!$B$10</f>
        <v>-9.37697072061477</v>
      </c>
      <c r="C20" s="3" t="n">
        <v>15</v>
      </c>
    </row>
    <row r="22" customFormat="false" ht="15" hidden="false" customHeight="false" outlineLevel="0" collapsed="false">
      <c r="A22" s="2" t="s">
        <v>174</v>
      </c>
    </row>
    <row r="23" customFormat="false" ht="15" hidden="false" customHeight="false" outlineLevel="0" collapsed="false">
      <c r="B23" s="3" t="n">
        <v>2</v>
      </c>
      <c r="C23" s="3" t="n">
        <v>2.5</v>
      </c>
      <c r="D23" s="3" t="n">
        <v>3</v>
      </c>
      <c r="E23" s="3" t="n">
        <v>3.5</v>
      </c>
      <c r="F23" s="3" t="n">
        <v>4</v>
      </c>
    </row>
    <row r="24" customFormat="false" ht="15" hidden="false" customHeight="false" outlineLevel="0" collapsed="false">
      <c r="A24" s="3" t="n">
        <v>7.5</v>
      </c>
      <c r="B24" s="0" t="n">
        <f aca="false">(SUMPRODUCT(DCF_Base!$C$19:$L$19/(1+$A$24/100)^DCF_Base!$C$4:$L$4)+MAX(0,MIN(IF($A$24&gt;$B$23,DCF_Base!$L$19*(1+$B$23/100)/(($A$24-$B$23)/100),DCF_Base!$L$19*DCF_Base!$B$29),DCF_Base!$L$19*DCF_Base!$B$29))/(1+$A$24/100)^DCF_Base!$L$4+Assumptions!$B$5-Assumptions!$B$4)/Assumptions!$B$3*Assumptions!$B$10</f>
        <v>38.1480577570865</v>
      </c>
      <c r="C24" s="0" t="n">
        <f aca="false">(SUMPRODUCT(DCF_Base!$C$19:$L$19/(1+$A$24/100)^DCF_Base!$C$4:$L$4)+MAX(0,MIN(IF($A$24&gt;$C$23,DCF_Base!$L$19*(1+$C$23/100)/(($A$24-$C$23)/100),DCF_Base!$L$19*DCF_Base!$B$29),DCF_Base!$L$19*DCF_Base!$B$29))/(1+$A$24/100)^DCF_Base!$L$4+Assumptions!$B$5-Assumptions!$B$4)/Assumptions!$B$3*Assumptions!$B$10</f>
        <v>38.1480577570865</v>
      </c>
      <c r="D24" s="0" t="n">
        <f aca="false">(SUMPRODUCT(DCF_Base!$C$19:$L$19/(1+$A$24/100)^DCF_Base!$C$4:$L$4)+MAX(0,MIN(IF($A$24&gt;$D$23,DCF_Base!$L$19*(1+$D$23/100)/(($A$24-$D$23)/100),DCF_Base!$L$19*DCF_Base!$B$29),DCF_Base!$L$19*DCF_Base!$B$29))/(1+$A$24/100)^DCF_Base!$L$4+Assumptions!$B$5-Assumptions!$B$4)/Assumptions!$B$3*Assumptions!$B$10</f>
        <v>38.1480577570865</v>
      </c>
      <c r="E24" s="0" t="n">
        <f aca="false">(SUMPRODUCT(DCF_Base!$C$19:$L$19/(1+$A$24/100)^DCF_Base!$C$4:$L$4)+MAX(0,MIN(IF($A$24&gt;$E$23,DCF_Base!$L$19*(1+$E$23/100)/(($A$24-$E$23)/100),DCF_Base!$L$19*DCF_Base!$B$29),DCF_Base!$L$19*DCF_Base!$B$29))/(1+$A$24/100)^DCF_Base!$L$4+Assumptions!$B$5-Assumptions!$B$4)/Assumptions!$B$3*Assumptions!$B$10</f>
        <v>38.1480577570865</v>
      </c>
      <c r="F24" s="0" t="n">
        <f aca="false">(SUMPRODUCT(DCF_Base!$C$19:$L$19/(1+$A$24/100)^DCF_Base!$C$4:$L$4)+MAX(0,MIN(IF($A$24&gt;$F$23,DCF_Base!$L$19*(1+$F$23/100)/(($A$24-$F$23)/100),DCF_Base!$L$19*DCF_Base!$B$29),DCF_Base!$L$19*DCF_Base!$B$29))/(1+$A$24/100)^DCF_Base!$L$4+Assumptions!$B$5-Assumptions!$B$4)/Assumptions!$B$3*Assumptions!$B$10</f>
        <v>38.1480577570865</v>
      </c>
    </row>
    <row r="25" customFormat="false" ht="15" hidden="false" customHeight="false" outlineLevel="0" collapsed="false">
      <c r="A25" s="3" t="n">
        <v>8.5</v>
      </c>
      <c r="B25" s="0" t="n">
        <f aca="false">(SUMPRODUCT(DCF_Base!$C$19:$L$19/(1+$A$25/100)^DCF_Base!$C$4:$L$4)+MAX(0,MIN(IF($A$25&gt;$B$23,DCF_Base!$L$19*(1+$B$23/100)/(($A$25-$B$23)/100),DCF_Base!$L$19*DCF_Base!$B$29),DCF_Base!$L$19*DCF_Base!$B$29))/(1+$A$25/100)^DCF_Base!$L$4+Assumptions!$B$5-Assumptions!$B$4)/Assumptions!$B$3*Assumptions!$B$10</f>
        <v>25.6761080883334</v>
      </c>
      <c r="C25" s="0" t="n">
        <f aca="false">(SUMPRODUCT(DCF_Base!$C$19:$L$19/(1+$A$25/100)^DCF_Base!$C$4:$L$4)+MAX(0,MIN(IF($A$25&gt;$C$23,DCF_Base!$L$19*(1+$C$23/100)/(($A$25-$C$23)/100),DCF_Base!$L$19*DCF_Base!$B$29),DCF_Base!$L$19*DCF_Base!$B$29))/(1+$A$25/100)^DCF_Base!$L$4+Assumptions!$B$5-Assumptions!$B$4)/Assumptions!$B$3*Assumptions!$B$10</f>
        <v>29.6677702761439</v>
      </c>
      <c r="D25" s="0" t="n">
        <f aca="false">(SUMPRODUCT(DCF_Base!$C$19:$L$19/(1+$A$25/100)^DCF_Base!$C$4:$L$4)+MAX(0,MIN(IF($A$25&gt;$D$23,DCF_Base!$L$19*(1+$D$23/100)/(($A$25-$D$23)/100),DCF_Base!$L$19*DCF_Base!$B$29),DCF_Base!$L$19*DCF_Base!$B$29))/(1+$A$25/100)^DCF_Base!$L$4+Assumptions!$B$5-Assumptions!$B$4)/Assumptions!$B$3*Assumptions!$B$10</f>
        <v>32.2982204736412</v>
      </c>
      <c r="E25" s="0" t="n">
        <f aca="false">(SUMPRODUCT(DCF_Base!$C$19:$L$19/(1+$A$25/100)^DCF_Base!$C$4:$L$4)+MAX(0,MIN(IF($A$25&gt;$E$23,DCF_Base!$L$19*(1+$E$23/100)/(($A$25-$E$23)/100),DCF_Base!$L$19*DCF_Base!$B$29),DCF_Base!$L$19*DCF_Base!$B$29))/(1+$A$25/100)^DCF_Base!$L$4+Assumptions!$B$5-Assumptions!$B$4)/Assumptions!$B$3*Assumptions!$B$10</f>
        <v>32.2982204736412</v>
      </c>
      <c r="F25" s="0" t="n">
        <f aca="false">(SUMPRODUCT(DCF_Base!$C$19:$L$19/(1+$A$25/100)^DCF_Base!$C$4:$L$4)+MAX(0,MIN(IF($A$25&gt;$F$23,DCF_Base!$L$19*(1+$F$23/100)/(($A$25-$F$23)/100),DCF_Base!$L$19*DCF_Base!$B$29),DCF_Base!$L$19*DCF_Base!$B$29))/(1+$A$25/100)^DCF_Base!$L$4+Assumptions!$B$5-Assumptions!$B$4)/Assumptions!$B$3*Assumptions!$B$10</f>
        <v>32.2982204736412</v>
      </c>
    </row>
    <row r="26" customFormat="false" ht="15" hidden="false" customHeight="false" outlineLevel="0" collapsed="false">
      <c r="A26" s="3" t="n">
        <v>9.5</v>
      </c>
      <c r="B26" s="0" t="n">
        <f aca="false">(SUMPRODUCT(DCF_Base!$C$19:$L$19/(1+$A$26/100)^DCF_Base!$C$4:$L$4)+MAX(0,MIN(IF($A$26&gt;$B$23,DCF_Base!$L$19*(1+$B$23/100)/(($A$26-$B$23)/100),DCF_Base!$L$19*DCF_Base!$B$29),DCF_Base!$L$19*DCF_Base!$B$29))/(1+$A$26/100)^DCF_Base!$L$4+Assumptions!$B$5-Assumptions!$B$4)/Assumptions!$B$3*Assumptions!$B$10</f>
        <v>15.493174364072</v>
      </c>
      <c r="C26" s="0" t="n">
        <f aca="false">(SUMPRODUCT(DCF_Base!$C$19:$L$19/(1+$A$26/100)^DCF_Base!$C$4:$L$4)+MAX(0,MIN(IF($A$26&gt;$C$23,DCF_Base!$L$19*(1+$C$23/100)/(($A$26-$C$23)/100),DCF_Base!$L$19*DCF_Base!$B$29),DCF_Base!$L$19*DCF_Base!$B$29))/(1+$A$26/100)^DCF_Base!$L$4+Assumptions!$B$5-Assumptions!$B$4)/Assumptions!$B$3*Assumptions!$B$10</f>
        <v>18.2234070066409</v>
      </c>
      <c r="D26" s="0" t="n">
        <f aca="false">(SUMPRODUCT(DCF_Base!$C$19:$L$19/(1+$A$26/100)^DCF_Base!$C$4:$L$4)+MAX(0,MIN(IF($A$26&gt;$D$23,DCF_Base!$L$19*(1+$D$23/100)/(($A$26-$D$23)/100),DCF_Base!$L$19*DCF_Base!$B$29),DCF_Base!$L$19*DCF_Base!$B$29))/(1+$A$26/100)^DCF_Base!$L$4+Assumptions!$B$5-Assumptions!$B$4)/Assumptions!$B$3*Assumptions!$B$10</f>
        <v>21.3736754403742</v>
      </c>
      <c r="E26" s="0" t="n">
        <f aca="false">(SUMPRODUCT(DCF_Base!$C$19:$L$19/(1+$A$26/100)^DCF_Base!$C$4:$L$4)+MAX(0,MIN(IF($A$26&gt;$E$23,DCF_Base!$L$19*(1+$E$23/100)/(($A$26-$E$23)/100),DCF_Base!$L$19*DCF_Base!$B$29),DCF_Base!$L$19*DCF_Base!$B$29))/(1+$A$26/100)^DCF_Base!$L$4+Assumptions!$B$5-Assumptions!$B$4)/Assumptions!$B$3*Assumptions!$B$10</f>
        <v>25.0489886130631</v>
      </c>
      <c r="F26" s="0" t="n">
        <f aca="false">(SUMPRODUCT(DCF_Base!$C$19:$L$19/(1+$A$26/100)^DCF_Base!$C$4:$L$4)+MAX(0,MIN(IF($A$26&gt;$F$23,DCF_Base!$L$19*(1+$F$23/100)/(($A$26-$F$23)/100),DCF_Base!$L$19*DCF_Base!$B$29),DCF_Base!$L$19*DCF_Base!$B$29))/(1+$A$26/100)^DCF_Base!$L$4+Assumptions!$B$5-Assumptions!$B$4)/Assumptions!$B$3*Assumptions!$B$10</f>
        <v>27.0125120888832</v>
      </c>
    </row>
    <row r="27" customFormat="false" ht="15" hidden="false" customHeight="false" outlineLevel="0" collapsed="false">
      <c r="A27" s="3" t="n">
        <v>10.5</v>
      </c>
      <c r="B27" s="0" t="n">
        <f aca="false">(SUMPRODUCT(DCF_Base!$C$19:$L$19/(1+$A$27/100)^DCF_Base!$C$4:$L$4)+MAX(0,MIN(IF($A$27&gt;$B$23,DCF_Base!$L$19*(1+$B$23/100)/(($A$27-$B$23)/100),DCF_Base!$L$19*DCF_Base!$B$29),DCF_Base!$L$19*DCF_Base!$B$29))/(1+$A$27/100)^DCF_Base!$L$4+Assumptions!$B$5-Assumptions!$B$4)/Assumptions!$B$3*Assumptions!$B$10</f>
        <v>7.8896458203239</v>
      </c>
      <c r="C27" s="0" t="n">
        <f aca="false">(SUMPRODUCT(DCF_Base!$C$19:$L$19/(1+$A$27/100)^DCF_Base!$C$4:$L$4)+MAX(0,MIN(IF($A$27&gt;$C$23,DCF_Base!$L$19*(1+$C$23/100)/(($A$27-$C$23)/100),DCF_Base!$L$19*DCF_Base!$B$29),DCF_Base!$L$19*DCF_Base!$B$29))/(1+$A$27/100)^DCF_Base!$L$4+Assumptions!$B$5-Assumptions!$B$4)/Assumptions!$B$3*Assumptions!$B$10</f>
        <v>9.8319471874677</v>
      </c>
      <c r="D27" s="0" t="n">
        <f aca="false">(SUMPRODUCT(DCF_Base!$C$19:$L$19/(1+$A$27/100)^DCF_Base!$C$4:$L$4)+MAX(0,MIN(IF($A$27&gt;$D$23,DCF_Base!$L$19*(1+$D$23/100)/(($A$27-$D$23)/100),DCF_Base!$L$19*DCF_Base!$B$29),DCF_Base!$L$19*DCF_Base!$B$29))/(1+$A$27/100)^DCF_Base!$L$4+Assumptions!$B$5-Assumptions!$B$4)/Assumptions!$B$3*Assumptions!$B$10</f>
        <v>12.0332220702307</v>
      </c>
      <c r="E27" s="0" t="n">
        <f aca="false">(SUMPRODUCT(DCF_Base!$C$19:$L$19/(1+$A$27/100)^DCF_Base!$C$4:$L$4)+MAX(0,MIN(IF($A$27&gt;$E$23,DCF_Base!$L$19*(1+$E$23/100)/(($A$27-$E$23)/100),DCF_Base!$L$19*DCF_Base!$B$29),DCF_Base!$L$19*DCF_Base!$B$29))/(1+$A$27/100)^DCF_Base!$L$4+Assumptions!$B$5-Assumptions!$B$4)/Assumptions!$B$3*Assumptions!$B$10</f>
        <v>14.5489647933884</v>
      </c>
      <c r="F27" s="0" t="n">
        <f aca="false">(SUMPRODUCT(DCF_Base!$C$19:$L$19/(1+$A$27/100)^DCF_Base!$C$4:$L$4)+MAX(0,MIN(IF($A$27&gt;$F$23,DCF_Base!$L$19*(1+$F$23/100)/(($A$27-$F$23)/100),DCF_Base!$L$19*DCF_Base!$B$29),DCF_Base!$L$19*DCF_Base!$B$29))/(1+$A$27/100)^DCF_Base!$L$4+Assumptions!$B$5-Assumptions!$B$4)/Assumptions!$B$3*Assumptions!$B$10</f>
        <v>17.4517448585703</v>
      </c>
    </row>
    <row r="28" customFormat="false" ht="15" hidden="false" customHeight="false" outlineLevel="0" collapsed="false">
      <c r="A28" s="3" t="n">
        <v>11.5</v>
      </c>
      <c r="B28" s="0" t="n">
        <f aca="false">(SUMPRODUCT(DCF_Base!$C$19:$L$19/(1+$A$28/100)^DCF_Base!$C$4:$L$4)+MAX(0,MIN(IF($A$28&gt;$B$23,DCF_Base!$L$19*(1+$B$23/100)/(($A$28-$B$23)/100),DCF_Base!$L$19*DCF_Base!$B$29),DCF_Base!$L$19*DCF_Base!$B$29))/(1+$A$28/100)^DCF_Base!$L$4+Assumptions!$B$5-Assumptions!$B$4)/Assumptions!$B$3*Assumptions!$B$10</f>
        <v>2.04043914590525</v>
      </c>
      <c r="C28" s="0" t="n">
        <f aca="false">(SUMPRODUCT(DCF_Base!$C$19:$L$19/(1+$A$28/100)^DCF_Base!$C$4:$L$4)+MAX(0,MIN(IF($A$28&gt;$C$23,DCF_Base!$L$19*(1+$C$23/100)/(($A$28-$C$23)/100),DCF_Base!$L$19*DCF_Base!$B$29),DCF_Base!$L$19*DCF_Base!$B$29))/(1+$A$28/100)^DCF_Base!$L$4+Assumptions!$B$5-Assumptions!$B$4)/Assumptions!$B$3*Assumptions!$B$10</f>
        <v>3.46488553803707</v>
      </c>
      <c r="D28" s="0" t="n">
        <f aca="false">(SUMPRODUCT(DCF_Base!$C$19:$L$19/(1+$A$28/100)^DCF_Base!$C$4:$L$4)+MAX(0,MIN(IF($A$28&gt;$D$23,DCF_Base!$L$19*(1+$D$23/100)/(($A$28-$D$23)/100),DCF_Base!$L$19*DCF_Base!$B$29),DCF_Base!$L$19*DCF_Base!$B$29))/(1+$A$28/100)^DCF_Base!$L$4+Assumptions!$B$5-Assumptions!$B$4)/Assumptions!$B$3*Assumptions!$B$10</f>
        <v>5.056913858655</v>
      </c>
      <c r="E28" s="0" t="n">
        <f aca="false">(SUMPRODUCT(DCF_Base!$C$19:$L$19/(1+$A$28/100)^DCF_Base!$C$4:$L$4)+MAX(0,MIN(IF($A$28&gt;$E$23,DCF_Base!$L$19*(1+$E$23/100)/(($A$28-$E$23)/100),DCF_Base!$L$19*DCF_Base!$B$29),DCF_Base!$L$19*DCF_Base!$B$29))/(1+$A$28/100)^DCF_Base!$L$4+Assumptions!$B$5-Assumptions!$B$4)/Assumptions!$B$3*Assumptions!$B$10</f>
        <v>6.84794571935017</v>
      </c>
      <c r="F28" s="0" t="n">
        <f aca="false">(SUMPRODUCT(DCF_Base!$C$19:$L$19/(1+$A$28/100)^DCF_Base!$C$4:$L$4)+MAX(0,MIN(IF($A$28&gt;$F$23,DCF_Base!$L$19*(1+$F$23/100)/(($A$28-$F$23)/100),DCF_Base!$L$19*DCF_Base!$B$29),DCF_Base!$L$19*DCF_Base!$B$29))/(1+$A$28/100)^DCF_Base!$L$4+Assumptions!$B$5-Assumptions!$B$4)/Assumptions!$B$3*Assumptions!$B$10</f>
        <v>8.87778182813803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LibreOffice/26.2.5.2$MacOSX_AARCH64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2026-09-25T09:41:14Z</dcterms:created>
  <dc:creator>openpyxl</dc:creator>
  <dc:description/>
  <dc:language>en-NZ</dc:language>
  <cp:lastModifiedBy/>
  <dcterms:modified xsi:type="dcterms:W3CDTF">2026-09-25T09:41:14Z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