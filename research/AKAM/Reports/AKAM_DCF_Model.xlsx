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<sst xmlns="http://schemas.openxmlformats.org/spreadsheetml/2006/main" count="417" uniqueCount="199">
  <si>
    <t xml:space="preserve">Ticker</t>
  </si>
  <si>
    <t xml:space="preserve">AKAM</t>
  </si>
  <si>
    <t xml:space="preserve">Company</t>
  </si>
  <si>
    <t xml:space="preserve">Akamai Technologies, Inc.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</si>
  <si>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</si>
  <si>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</si>
  <si>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</si>
  <si>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</si>
  <si>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2026-09-24T20:00:01Z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</si>
  <si>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</si>
  <si>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</si>
  <si>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</si>
  <si>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</si>
  <si>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</si>
  <si>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</si>
  <si>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</si>
  <si>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</si>
  <si>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</si>
  <si>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</si>
  <si>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</si>
  <si>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</si>
  <si>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2026-09-25T09:56:54Z</t>
  </si>
  <si>
    <t xml:space="preserve">Drivers file</t>
  </si>
  <si>
    <t xml:space="preserve">AKAM_Drivers.json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</si>
  <si>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</si>
  <si>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</si>
  <si>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</si>
  <si>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On the house basis (SBC and equity-award withholding fully expensed, share count flat) Akamai is worth a small fraction of its price. That was already true before the AI pivot: owner FCF was only ~$170-180M in FY2023-24 on $4B of revenue, because SBC plus withholding taxes (10-14% of revenue) consume nearly all of the ~$0.7-0.8B company-defined FCF. The Anthropic build then adds three years of deeply negative flows, funded with $3.5B of new converts. The market price sits far closer to the street basis, which treats comp as non-cash. So the valuation question is how much of Akamai's pay-in-stock an owner should ignore, not the AI deal.
key_risks_to_valuation: SBC treatment dominates: the street basis (SBC as non-cash) is several times the house value; band_position reports where the price sits between them.; Anthropic concentration: ~$5.5B capex and most FY27-30 growth tied to one customer that also holds a warrant for up to ~5% of the shares (only the ~2% said to vest immediately is in the count; strike undisclosed).; Refinancing: $7.64B of convertible principal is cash-settled; 2027 ($1.15B) and 2029 ($1.27B) maturities land in the peak capex years, and the 2033 notes are currently convertible.; Capex economics: at 65% EBITDA the $11.6B contract returns roughly its cost of capital; value creation needs renewal or expansion.; Delivery (30% of revenue) in structural decline; a faster fall compresses the high-margin core that funds the pivot.; Data vintage: Metrics.csv free_cash_flow omits capitalized internal-use software (~$300M/yr) and overstates FCF; this build uses the 10-K lines directly.; Anthropic deal terms come from the 24-Sep-2026 announcement via Analysis.json, not a filing; revenue timing, prepayments and warrant strike are unverified.</t>
  </si>
  <si>
    <t xml:space="preserve">Data sources</t>
  </si>
  <si>
    <t xml:space="preserve">price: Yahoo Finance chart API at inputs.price_as_of; 52-week range 70.82-165.45
financials: AKAM 10-K FY2025 (cash flow statement, SBC note, cash taxes note); 10-Q Q2-2026 (balance sheet at 30-Jun-2026, EPS denominator, convertible notes note 7, cash flow statement); Metrics.csv for FY2016-2025 EPS/equity history
qualitative: AKAM_Analysis.json (2026-09-25): guidance, Anthropic/robotics commitments, LayerX, bull/bear points</t>
  </si>
  <si>
    <t xml:space="preserve">Scenario narrative: bear</t>
  </si>
  <si>
    <t xml:space="preserve">The AI capex cycle cools before the Anthropic capacity is fully used. The customer slows its ramp or renegotiates (it holds a warrant and a 7-year take-or-pay whose enforceability is untested), and the capex that is already committed earns thin returns. Group growth peaks at 9% in FY27 and slides to 2%. Delivery declines faster as big media and social customers keep moving to DIY. Security slows to mid-single digits against Cloudflare, Zscaler and Palo Alto. EBITDA sticks at 37.5-39% because GPU colo and power costs arrive before the revenue does. SBC stays at 12-17% of revenue to keep engineers. Working capital absorbs cash as receivables stretch. Terminal owner-FCF margin is ~5.7%, capitalised at 12x. In this case the $7.6B of converts takes the enterprise value and the equity is under water: a negative IV per share. That is a finding, not a rounding error, although limited liability floors a holder's loss at the price paid.</t>
  </si>
  <si>
    <t xml:space="preserve">Scenario narrative: base</t>
  </si>
  <si>
    <t xml:space="preserve">The contracts ramp as signed. FY26 lands at the $4.49B guidance midpoint; the initial $1.8B frontier-lab deal, the $600M robotics deal and the expanded $11.6B Anthropic commitment take CIS from ~$0.5B to ~$2.4B by FY2030 and lift group growth to 16-17% in FY27-28 before it fades to 3%. Security keeps compounding high-single-digit while delivery shrinks ~5% a year. The price is ~$5.5B of front-loaded GPU/data-centre capex (FY27 capex two-thirds of revenue), so owner FCF is roughly -$1B, -$2.2B and -$1B in FY26-28 and only turns positive in FY29, funded by the May-2026 converts. At maturity EBITDA is 44.5% and SBC-plus-withholding 10.5%, giving a ~9.5% owner-FCF margin (~$0.8B) on ~$8.5B revenue. On contract economics the Anthropic deal is roughly value-neutral at an 8.5% cost of capital; the equity is small because $3.2B of net debt and a decade of SBC at 11-17% of revenue come ahead of it.</t>
  </si>
  <si>
    <t xml:space="preserve">Scenario narrative: bull</t>
  </si>
  <si>
    <t xml:space="preserve">Anthropic grows toward the ~$20B potential and other frontier labs and robotics customers sign on similar terms, so the same distributed capacity is re-let across a wider base. Group growth reaches 20-22% in FY27-28 and stays high-single-digit through FY30. Utilisation ramps faster than the 6-9 month lag and mature EBITDA reaches 48%. API security, Guardicore and LayerX cross-sell hold security near double digits. Capex is higher still (70% of revenue in FY27) but earns more per dollar. Customers prepay part of the build (+5% working-capital capture). SBC falls to 9.2% of a much larger revenue base. Terminal owner-FCF margin is ~12%. The warrant vests further (up to ~5%), which this build does not deduct.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</si>
  <si>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</si>
  <si>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</si>
  <si>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</si>
  <si>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</si>
  <si>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</si>
  <si>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</si>
  <si>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</si>
  <si>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</si>
  <si>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</si>
  <si>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</si>
  <si>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Sonnet-fallback build of the same day; re-judged from scratch at the caller's request.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</si>
  <si>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</si>
  <si>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</si>
  <si>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</si>
  <si>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</si>
  <si>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</si>
  <si>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</si>
  <si>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</si>
  <si>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</t>
  </si>
  <si>
    <t xml:space="preserve">Anchor refresh: principal not carrying value of converts, LayerX $205M cash out, share count 153.69M GAAP diluted -&gt; 150.13M economic (if-converted shares dropped because principal is deducted as debt; 2% Anthropic warrant added), H1-2026 owner-FCF add-back</t>
  </si>
  <si>
    <t xml:space="preserve">Methodology: one 8.5% WACC and 2.5% terminal growth in every scenario (was 9.5/9.0/11.0 and 3.0/3.5/2.0), caps 16/18/12x, weights 25/50/25 (were 25/45/30); effects offset</t>
  </si>
  <si>
    <t xml:space="preserve">SBC charge now includes equity-award withholding taxes ($123.8M FY25, $150.1M H1-26; prior said none was disclosed): SBC path ~12.5% -&gt; 16.9% FY26 falling to 10.5%</t>
  </si>
  <si>
    <t xml:space="preserve">Drivers re-judged: capex now includes capitalized internal-use software and the front-loaded ~$5.5B Anthropic build (FY27 66% of revenue); Anthropic revenue in FY27-28 growth (16-17% vs 11.5/10%); EBITDA margin restated pre-SBC 38.5% -&gt; 44.5% (prior 26.5% -&gt; 33% was the CSV's post-SBC EBITDA with SBC then deducted again, a double charge); D&amp;A, bonus-depreciation cash tax and WC re-set</t>
  </si>
  <si>
    <t xml:space="preserve">New weighted IV</t>
  </si>
  <si>
    <t xml:space="preserve">ties to probability_weighted.weighted_iv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</si>
  <si>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</si>
  <si>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</si>
  <si>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</si>
  <si>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</si>
  <si>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</si>
  <si>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</si>
  <si>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</si>
  <si>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</si>
  <si>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</si>
  <si>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</si>
  <si>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</si>
  <si>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</si>
  <si>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</si>
  <si>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</si>
  <si>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</si>
  <si>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</si>
  <si>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</si>
  <si>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</si>
  <si>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</si>
  <si>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</si>
  <si>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</si>
  <si>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</si>
  <si>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</si>
  <si>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</si>
  <si>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</si>
  <si>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</si>
  <si>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</si>
  <si>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</si>
  <si>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</si>
  <si>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</si>
  <si>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</si>
  <si>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</si>
  <si>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</si>
  <si>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</si>
  <si>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</si>
  <si>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</si>
  <si>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</si>
  <si>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</si>
  <si>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</si>
  <si>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</si>
  <si>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</si>
  <si>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</si>
  <si>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</si>
  <si>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</si>
  <si>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</si>
  <si>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</si>
  <si>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</si>
  <si>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</si>
  <si>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</si>
  <si>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</si>
  <si>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</si>
  <si>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</si>
  <si>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</si>
  <si>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</si>
  <si>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</si>
  <si>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</si>
  <si>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</si>
  <si>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</si>
  <si>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</si>
  <si>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</si>
  <si>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</si>
  <si>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</si>
  <si>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</si>
  <si>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</si>
  <si>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</si>
  <si>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</si>
  <si>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</si>
  <si>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</si>
  <si>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</si>
  <si>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</si>
  <si>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</si>
  <si>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</si>
  <si>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</si>
  <si>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</si>
  <si>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</si>
  <si>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</si>
  <si>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</si>
  <si>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</si>
  <si>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</si>
  <si>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</si>
  <si>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</si>
  <si>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</si>
  <si>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</si>
  <si>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AKAM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</si>
  <si>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</si>
  <si>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</si>
  <si>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</si>
  <si>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</si>
  <si>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</si>
  <si>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</si>
  <si>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</si>
  <si>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</si>
  <si>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</si>
  <si>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</si>
  <si>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</si>
  <si>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</si>
  <si>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</si>
  <si>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</si>
  <si>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</si>
  <si>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</si>
  <si>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</si>
  <si>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</si>
  <si>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</si>
  <si>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</si>
  <si>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</si>
  <si>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</si>
  <si>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</si>
  <si>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</si>
  <si>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</si>
  <si>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</si>
  <si>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</si>
  <si>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</si>
  <si>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</si>
  <si>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</si>
  <si>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AKAM owner-FCF component DCF: base case (millions, USD)</t>
  </si>
  <si>
    <t xml:space="preserve">AKAM owner-FCF component DCF: bull case (millions, USD)</t>
  </si>
  <si>
    <t xml:space="preserve">AKAM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</si>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</sst>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110.41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</row>
    <row r="2" customFormat="false" ht="15" hidden="false" customHeight="false" outlineLevel="0" collapsed="false">
      <c r="A2" s="0" t="s">
        <v>39</v>
      </c>
      <c r="B2" s="0" t="s">
        <v>5</v>
      </c>
    </row>
    <row r="3" customFormat="false" ht="15" hidden="false" customHeight="false" outlineLevel="0" collapsed="false">
      <c r="A3" s="0" t="s">
        <v>40</v>
      </c>
      <c r="B3" s="0" t="n">
        <v>110.41</v>
      </c>
    </row>
    <row r="4" customFormat="false" ht="15" hidden="false" customHeight="false" outlineLevel="0" collapsed="false">
      <c r="A4" s="0" t="s">
        <v>41</v>
      </c>
      <c r="B4" s="0" t="n">
        <v>-29.85</v>
      </c>
    </row>
    <row r="5" customFormat="false" ht="15" hidden="false" customHeight="false" outlineLevel="0" collapsed="false">
      <c r="A5" s="0" t="s">
        <v>42</v>
      </c>
      <c r="B5" s="0" t="n">
        <v>21.37</v>
      </c>
    </row>
    <row r="6" customFormat="false" ht="15" hidden="false" customHeight="false" outlineLevel="0" collapsed="false">
      <c r="A6" s="0" t="s">
        <v>43</v>
      </c>
      <c r="B6" s="0" t="n">
        <v>67.09</v>
      </c>
    </row>
    <row r="7" customFormat="false" ht="15" hidden="false" customHeight="false" outlineLevel="0" collapsed="false">
      <c r="A7" s="0" t="s">
        <v>44</v>
      </c>
      <c r="B7" s="0" t="n">
        <v>22.28</v>
      </c>
    </row>
    <row r="8" customFormat="false" ht="15" hidden="false" customHeight="false" outlineLevel="0" collapsed="false">
      <c r="A8" s="0" t="s">
        <v>45</v>
      </c>
      <c r="B8" s="0" t="s">
        <v>46</v>
      </c>
    </row>
    <row r="9" customFormat="false" ht="15" hidden="false" customHeight="false" outlineLevel="0" collapsed="false">
      <c r="A9" s="0" t="s">
        <v>47</v>
      </c>
      <c r="B9" s="0" t="s">
        <v>5</v>
      </c>
    </row>
    <row r="10" customFormat="false" ht="15" hidden="false" customHeight="false" outlineLevel="0" collapsed="false">
      <c r="A10" s="0" t="s">
        <v>48</v>
      </c>
      <c r="B10" s="0" t="n">
        <v>110.41</v>
      </c>
    </row>
    <row r="11" customFormat="false" ht="15" hidden="false" customHeight="false" outlineLevel="0" collapsed="false">
      <c r="A11" s="0" t="s">
        <v>49</v>
      </c>
      <c r="B11" s="0" t="n">
        <v>-19.91</v>
      </c>
    </row>
    <row r="12" customFormat="false" ht="15" hidden="false" customHeight="false" outlineLevel="0" collapsed="false">
      <c r="A12" s="0" t="s">
        <v>50</v>
      </c>
      <c r="B12" s="0" t="n">
        <v>9.62</v>
      </c>
    </row>
    <row r="13" customFormat="false" ht="15" hidden="false" customHeight="false" outlineLevel="0" collapsed="false">
      <c r="A13" s="0" t="s">
        <v>51</v>
      </c>
      <c r="B13" s="0" t="n">
        <v>40.25</v>
      </c>
    </row>
    <row r="14" customFormat="false" ht="15" hidden="false" customHeight="false" outlineLevel="0" collapsed="false">
      <c r="A14" s="0" t="s">
        <v>52</v>
      </c>
      <c r="B14" s="0" t="n">
        <v>9.89</v>
      </c>
    </row>
    <row r="16" customFormat="false" ht="15" hidden="false" customHeight="false" outlineLevel="0" collapsed="false">
      <c r="A16" s="2" t="s">
        <v>53</v>
      </c>
    </row>
    <row r="17" customFormat="false" ht="15" hidden="false" customHeight="false" outlineLevel="0" collapsed="false">
      <c r="A17" s="0" t="s">
        <v>54</v>
      </c>
      <c r="B17" s="0" t="n">
        <v>22.28</v>
      </c>
    </row>
    <row r="18" customFormat="false" ht="15" hidden="false" customHeight="false" outlineLevel="0" collapsed="false">
      <c r="A18" s="0" t="s">
        <v>55</v>
      </c>
      <c r="B18" s="0" t="n">
        <v>0.21</v>
      </c>
    </row>
    <row r="19" customFormat="false" ht="15" hidden="false" customHeight="false" outlineLevel="0" collapsed="false">
      <c r="A19" s="0" t="s">
        <v>56</v>
      </c>
      <c r="B19" s="0" t="n">
        <v>0</v>
      </c>
    </row>
    <row r="20" customFormat="false" ht="15" hidden="false" customHeight="false" outlineLevel="0" collapsed="false">
      <c r="A20" s="0" t="s">
        <v>57</v>
      </c>
      <c r="B20" s="0" t="n">
        <v>-10.68</v>
      </c>
    </row>
    <row r="21" customFormat="false" ht="15" hidden="false" customHeight="false" outlineLevel="0" collapsed="false">
      <c r="A21" s="0" t="s">
        <v>58</v>
      </c>
      <c r="B21" s="0" t="n">
        <v>-1.92</v>
      </c>
    </row>
    <row r="22" customFormat="false" ht="15" hidden="false" customHeight="false" outlineLevel="0" collapsed="false">
      <c r="A22" s="0" t="s">
        <v>59</v>
      </c>
      <c r="B22" s="0" t="n">
        <v>9.89</v>
      </c>
      <c r="C22" s="0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16</v>
      </c>
      <c r="AB1" s="2" t="s">
        <v>87</v>
      </c>
    </row>
    <row r="2" customFormat="false" ht="15" hidden="false" customHeight="false" outlineLevel="0" collapsed="false">
      <c r="A2" s="0" t="s">
        <v>88</v>
      </c>
      <c r="O2" s="0" t="n">
        <v>954.693</v>
      </c>
      <c r="S2" s="0" t="n">
        <v>80.595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89</v>
      </c>
      <c r="B3" s="0" t="n">
        <v>636.406</v>
      </c>
      <c r="C3" s="0" t="n">
        <v>167.444</v>
      </c>
      <c r="D3" s="0" t="n">
        <v>468.962</v>
      </c>
      <c r="E3" s="0" t="n">
        <v>73.6891229812415</v>
      </c>
      <c r="F3" s="0" t="n">
        <v>144.928</v>
      </c>
      <c r="G3" s="0" t="n">
        <v>22.772883976581</v>
      </c>
      <c r="H3" s="0" t="n">
        <v>216.823</v>
      </c>
      <c r="I3" s="0" t="n">
        <v>100.967</v>
      </c>
      <c r="J3" s="0" t="n">
        <v>15.8651866890004</v>
      </c>
      <c r="K3" s="0" t="n">
        <v>0.56</v>
      </c>
      <c r="L3" s="0" t="n">
        <v>236.954</v>
      </c>
      <c r="M3" s="0" t="n">
        <v>81.405</v>
      </c>
      <c r="N3" s="0" t="n">
        <v>155.549</v>
      </c>
      <c r="O3" s="0" t="n">
        <v>1358.552</v>
      </c>
      <c r="S3" s="0" t="n">
        <v>145.078</v>
      </c>
      <c r="T3" s="0" t="n">
        <v>185.094</v>
      </c>
      <c r="U3" s="0" t="n">
        <v>66.555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90</v>
      </c>
      <c r="B4" s="0" t="n">
        <v>790.924</v>
      </c>
      <c r="C4" s="0" t="n">
        <v>222.61</v>
      </c>
      <c r="D4" s="0" t="n">
        <v>568.314</v>
      </c>
      <c r="E4" s="0" t="n">
        <v>71.8544386059849</v>
      </c>
      <c r="F4" s="0" t="n">
        <v>212.264</v>
      </c>
      <c r="G4" s="0" t="n">
        <v>26.83747110974</v>
      </c>
      <c r="H4" s="0" t="n">
        <v>310.344</v>
      </c>
      <c r="I4" s="0" t="n">
        <v>145.138</v>
      </c>
      <c r="J4" s="0" t="n">
        <v>18.3504356929364</v>
      </c>
      <c r="K4" s="0" t="n">
        <v>0.79</v>
      </c>
      <c r="L4" s="0" t="n">
        <v>343.494</v>
      </c>
      <c r="M4" s="0" t="n">
        <v>90.369</v>
      </c>
      <c r="N4" s="0" t="n">
        <v>253.125</v>
      </c>
      <c r="O4" s="0" t="n">
        <v>1568.77</v>
      </c>
      <c r="P4" s="0" t="n">
        <v>1880.951</v>
      </c>
      <c r="Q4" s="0" t="n">
        <v>312.181</v>
      </c>
      <c r="S4" s="0" t="n">
        <v>156.074</v>
      </c>
      <c r="T4" s="0" t="n">
        <v>186.685</v>
      </c>
      <c r="U4" s="0" t="n">
        <v>57.899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91</v>
      </c>
      <c r="B5" s="0" t="n">
        <v>859.773</v>
      </c>
      <c r="C5" s="0" t="n">
        <v>249.938</v>
      </c>
      <c r="D5" s="0" t="n">
        <v>609.835</v>
      </c>
      <c r="E5" s="0" t="n">
        <v>70.9297686714982</v>
      </c>
      <c r="F5" s="0" t="n">
        <v>223.48</v>
      </c>
      <c r="G5" s="0" t="n">
        <v>25.992907430217</v>
      </c>
      <c r="H5" s="0" t="n">
        <v>345.974</v>
      </c>
      <c r="I5" s="0" t="n">
        <v>145.913</v>
      </c>
      <c r="J5" s="0" t="n">
        <v>16.9711074900003</v>
      </c>
      <c r="K5" s="0" t="n">
        <v>0.78</v>
      </c>
      <c r="L5" s="0" t="n">
        <v>424.412</v>
      </c>
      <c r="M5" s="0" t="n">
        <v>80.918</v>
      </c>
      <c r="N5" s="0" t="n">
        <v>343.494</v>
      </c>
      <c r="O5" s="0" t="n">
        <v>1738.722</v>
      </c>
      <c r="P5" s="0" t="n">
        <v>2087.51</v>
      </c>
      <c r="Q5" s="0" t="n">
        <v>348.788</v>
      </c>
      <c r="S5" s="0" t="n">
        <v>181.305</v>
      </c>
      <c r="T5" s="0" t="n">
        <v>188.658</v>
      </c>
      <c r="U5" s="0" t="n">
        <v>58.797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92</v>
      </c>
      <c r="B6" s="0" t="n">
        <v>1023.586</v>
      </c>
      <c r="C6" s="0" t="n">
        <v>303.403</v>
      </c>
      <c r="D6" s="0" t="n">
        <v>720.183</v>
      </c>
      <c r="E6" s="0" t="n">
        <v>70.358816943569</v>
      </c>
      <c r="F6" s="0" t="n">
        <v>254.277</v>
      </c>
      <c r="G6" s="0" t="n">
        <v>24.8417817359753</v>
      </c>
      <c r="H6" s="0" t="n">
        <v>397.519</v>
      </c>
      <c r="I6" s="0" t="n">
        <v>171.22</v>
      </c>
      <c r="J6" s="0" t="n">
        <v>16.7274659872253</v>
      </c>
      <c r="K6" s="0" t="n">
        <v>0.9</v>
      </c>
      <c r="L6" s="0" t="n">
        <v>402.455</v>
      </c>
      <c r="M6" s="0" t="n">
        <v>159.276</v>
      </c>
      <c r="N6" s="0" t="n">
        <v>243.179</v>
      </c>
      <c r="O6" s="0" t="n">
        <v>2177.605</v>
      </c>
      <c r="P6" s="0" t="n">
        <v>2352.676</v>
      </c>
      <c r="Q6" s="0" t="n">
        <v>175.071</v>
      </c>
      <c r="S6" s="0" t="n">
        <v>231.866</v>
      </c>
      <c r="T6" s="0" t="n">
        <v>190.65</v>
      </c>
      <c r="U6" s="0" t="n">
        <v>76.468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93</v>
      </c>
      <c r="B7" s="0" t="n">
        <v>1158.538</v>
      </c>
      <c r="C7" s="0" t="n">
        <v>453.705</v>
      </c>
      <c r="D7" s="0" t="n">
        <v>704.833</v>
      </c>
      <c r="E7" s="0" t="n">
        <v>60.8381425555312</v>
      </c>
      <c r="F7" s="0" t="n">
        <v>290.649</v>
      </c>
      <c r="G7" s="0" t="n">
        <v>25.0875672614968</v>
      </c>
      <c r="H7" s="0" t="n">
        <v>458.527</v>
      </c>
      <c r="I7" s="0" t="n">
        <v>200.904</v>
      </c>
      <c r="J7" s="0" t="n">
        <v>17.3411661939444</v>
      </c>
      <c r="K7" s="0" t="n">
        <v>1.07</v>
      </c>
      <c r="L7" s="0" t="n">
        <v>446.278</v>
      </c>
      <c r="M7" s="0" t="n">
        <v>133.445</v>
      </c>
      <c r="N7" s="0" t="n">
        <v>312.833</v>
      </c>
      <c r="O7" s="0" t="n">
        <v>2156.25</v>
      </c>
      <c r="P7" s="0" t="n">
        <v>2345.501</v>
      </c>
      <c r="Q7" s="0" t="n">
        <v>189.251</v>
      </c>
      <c r="S7" s="0" t="n">
        <v>559.197</v>
      </c>
      <c r="T7" s="0" t="n">
        <v>187.556</v>
      </c>
      <c r="U7" s="0" t="n">
        <v>61.305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94</v>
      </c>
      <c r="B8" s="0" t="n">
        <v>1373.947</v>
      </c>
      <c r="C8" s="0" t="n">
        <v>529.9</v>
      </c>
      <c r="D8" s="0" t="n">
        <v>844.047</v>
      </c>
      <c r="E8" s="0" t="n">
        <v>61.4322823223894</v>
      </c>
      <c r="F8" s="0" t="n">
        <v>314.487</v>
      </c>
      <c r="G8" s="0" t="n">
        <v>22.8893108686143</v>
      </c>
      <c r="H8" s="0" t="n">
        <v>518.65</v>
      </c>
      <c r="I8" s="0" t="n">
        <v>203.989</v>
      </c>
      <c r="J8" s="0" t="n">
        <v>14.8469336881263</v>
      </c>
      <c r="K8" s="0" t="n">
        <v>1.12</v>
      </c>
      <c r="L8" s="0" t="n">
        <v>530.02</v>
      </c>
      <c r="M8" s="0" t="n">
        <v>166.773</v>
      </c>
      <c r="N8" s="0" t="n">
        <v>363.247</v>
      </c>
      <c r="O8" s="0" t="n">
        <v>2345.754</v>
      </c>
      <c r="P8" s="0" t="n">
        <v>2600.627</v>
      </c>
      <c r="Q8" s="0" t="n">
        <v>254.873</v>
      </c>
      <c r="S8" s="0" t="n">
        <v>201.989</v>
      </c>
      <c r="T8" s="0" t="n">
        <v>181.749</v>
      </c>
      <c r="U8" s="0" t="n">
        <v>90.585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95</v>
      </c>
      <c r="B9" s="0" t="n">
        <v>1577.922</v>
      </c>
      <c r="C9" s="0" t="n">
        <v>511.087</v>
      </c>
      <c r="D9" s="0" t="n">
        <v>1066.835</v>
      </c>
      <c r="E9" s="0" t="n">
        <v>67.6101226803353</v>
      </c>
      <c r="F9" s="0" t="n">
        <v>413.968</v>
      </c>
      <c r="G9" s="0" t="n">
        <v>26.235010349054</v>
      </c>
      <c r="H9" s="0" t="n">
        <v>598.399</v>
      </c>
      <c r="I9" s="0" t="n">
        <v>293.487</v>
      </c>
      <c r="J9" s="0" t="n">
        <v>18.5995885728192</v>
      </c>
      <c r="K9" s="0" t="n">
        <v>1.61</v>
      </c>
      <c r="L9" s="0" t="n">
        <v>563.908</v>
      </c>
      <c r="M9" s="0" t="n">
        <v>187.964</v>
      </c>
      <c r="N9" s="0" t="n">
        <v>375.944</v>
      </c>
      <c r="O9" s="0" t="n">
        <v>2629.431</v>
      </c>
      <c r="P9" s="0" t="n">
        <v>2957.685</v>
      </c>
      <c r="Q9" s="0" t="n">
        <v>328.254</v>
      </c>
      <c r="S9" s="0" t="n">
        <v>333.891</v>
      </c>
      <c r="T9" s="0" t="n">
        <v>181.783</v>
      </c>
      <c r="U9" s="0" t="n">
        <v>95.884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96</v>
      </c>
      <c r="B10" s="0" t="n">
        <v>1963.874</v>
      </c>
      <c r="C10" s="0" t="n">
        <v>610.943</v>
      </c>
      <c r="D10" s="0" t="n">
        <v>1352.931</v>
      </c>
      <c r="E10" s="0" t="n">
        <v>68.8909268109869</v>
      </c>
      <c r="F10" s="0" t="n">
        <v>489.519</v>
      </c>
      <c r="G10" s="0" t="n">
        <v>24.9261918025291</v>
      </c>
      <c r="H10" s="0" t="n">
        <v>736.925</v>
      </c>
      <c r="I10" s="0" t="n">
        <v>333.948</v>
      </c>
      <c r="J10" s="0" t="n">
        <v>17.0045532452693</v>
      </c>
      <c r="K10" s="0" t="n">
        <v>1.84</v>
      </c>
      <c r="L10" s="0" t="n">
        <v>658.07</v>
      </c>
      <c r="M10" s="0" t="n">
        <v>207.159</v>
      </c>
      <c r="N10" s="0" t="n">
        <v>450.911</v>
      </c>
      <c r="O10" s="0" t="n">
        <v>2945.335</v>
      </c>
      <c r="P10" s="0" t="n">
        <v>4001.546</v>
      </c>
      <c r="Q10" s="0" t="n">
        <v>1056.211</v>
      </c>
      <c r="S10" s="0" t="n">
        <v>238.65</v>
      </c>
      <c r="T10" s="0" t="n">
        <v>181.186</v>
      </c>
      <c r="U10" s="0" t="n">
        <v>111.996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97</v>
      </c>
      <c r="B11" s="0" t="n">
        <v>2197.448</v>
      </c>
      <c r="C11" s="0" t="n">
        <v>725.62</v>
      </c>
      <c r="D11" s="0" t="n">
        <v>1471.828</v>
      </c>
      <c r="E11" s="0" t="n">
        <v>66.9789683305362</v>
      </c>
      <c r="F11" s="0" t="n">
        <v>466.15</v>
      </c>
      <c r="G11" s="0" t="n">
        <v>21.2132437263589</v>
      </c>
      <c r="H11" s="0" t="n">
        <v>765.713</v>
      </c>
      <c r="I11" s="0" t="n">
        <v>321.406</v>
      </c>
      <c r="J11" s="0" t="n">
        <v>14.6263301793717</v>
      </c>
      <c r="K11" s="0" t="n">
        <v>1.78</v>
      </c>
      <c r="L11" s="0" t="n">
        <v>793.452</v>
      </c>
      <c r="M11" s="0" t="n">
        <v>311.676</v>
      </c>
      <c r="N11" s="0" t="n">
        <v>481.776</v>
      </c>
      <c r="O11" s="0" t="n">
        <v>3162.865</v>
      </c>
      <c r="P11" s="0" t="n">
        <v>4181.684</v>
      </c>
      <c r="Q11" s="0" t="n">
        <v>1060.806</v>
      </c>
      <c r="S11" s="0" t="n">
        <v>289.473</v>
      </c>
      <c r="T11" s="0" t="n">
        <v>180.415</v>
      </c>
      <c r="U11" s="0" t="n">
        <v>126.677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98</v>
      </c>
      <c r="B12" s="0" t="n">
        <v>2340.049</v>
      </c>
      <c r="C12" s="0" t="n">
        <v>809.106</v>
      </c>
      <c r="D12" s="0" t="n">
        <v>1530.943</v>
      </c>
      <c r="E12" s="0" t="n">
        <v>65.4235445497081</v>
      </c>
      <c r="F12" s="0" t="n">
        <v>466.51</v>
      </c>
      <c r="G12" s="0" t="n">
        <v>19.9359073250176</v>
      </c>
      <c r="H12" s="0" t="n">
        <v>800.812</v>
      </c>
      <c r="I12" s="0" t="n">
        <v>320.727</v>
      </c>
      <c r="J12" s="0" t="n">
        <v>13.7059950454029</v>
      </c>
      <c r="K12" s="0" t="n">
        <v>1.82</v>
      </c>
      <c r="L12" s="0" t="n">
        <v>871.812</v>
      </c>
      <c r="M12" s="0" t="n">
        <v>180.949</v>
      </c>
      <c r="N12" s="0" t="n">
        <v>690.863</v>
      </c>
      <c r="O12" s="0" t="n">
        <v>3270.218</v>
      </c>
      <c r="P12" s="0" t="n">
        <v>4373.146</v>
      </c>
      <c r="Q12" s="0" t="n">
        <v>1148.776</v>
      </c>
      <c r="S12" s="0" t="n">
        <v>324.169</v>
      </c>
      <c r="T12" s="0" t="n">
        <v>176.215</v>
      </c>
      <c r="U12" s="0" t="n">
        <v>144.506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99</v>
      </c>
      <c r="B13" s="0" t="n">
        <v>2502.996</v>
      </c>
      <c r="C13" s="0" t="n">
        <v>875.837</v>
      </c>
      <c r="D13" s="0" t="n">
        <v>1627.159</v>
      </c>
      <c r="E13" s="0" t="n">
        <v>65.0084538688835</v>
      </c>
      <c r="F13" s="0" t="n">
        <v>314.289</v>
      </c>
      <c r="G13" s="0" t="n">
        <v>12.5565122756888</v>
      </c>
      <c r="H13" s="0" t="n">
        <v>686.602</v>
      </c>
      <c r="I13" s="0" t="n">
        <v>222.766</v>
      </c>
      <c r="J13" s="0" t="n">
        <v>8.89997427083383</v>
      </c>
      <c r="K13" s="0" t="n">
        <v>1.29</v>
      </c>
      <c r="L13" s="0" t="n">
        <v>800.983</v>
      </c>
      <c r="M13" s="0" t="n">
        <v>254.146</v>
      </c>
      <c r="N13" s="0" t="n">
        <v>546.837</v>
      </c>
      <c r="O13" s="0" t="n">
        <v>3362.469</v>
      </c>
      <c r="P13" s="0" t="n">
        <v>4648.916</v>
      </c>
      <c r="Q13" s="0" t="n">
        <v>1286.447</v>
      </c>
      <c r="S13" s="0" t="n">
        <v>313.382</v>
      </c>
      <c r="T13" s="0" t="n">
        <v>172.711</v>
      </c>
      <c r="U13" s="0" t="n">
        <v>164.308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100</v>
      </c>
      <c r="C14" s="0" t="n">
        <v>953.485</v>
      </c>
      <c r="F14" s="0" t="n">
        <v>362.499</v>
      </c>
      <c r="H14" s="0" t="n">
        <v>797.019</v>
      </c>
      <c r="I14" s="0" t="n">
        <v>298.373</v>
      </c>
      <c r="K14" s="0" t="n">
        <v>1.76</v>
      </c>
      <c r="L14" s="0" t="n">
        <v>1008.327</v>
      </c>
      <c r="M14" s="0" t="n">
        <v>217.609</v>
      </c>
      <c r="N14" s="0" t="n">
        <v>790.718</v>
      </c>
      <c r="O14" s="0" t="n">
        <v>3191.86</v>
      </c>
      <c r="P14" s="0" t="n">
        <v>5461.77</v>
      </c>
      <c r="Q14" s="0" t="n">
        <v>2269.91</v>
      </c>
      <c r="S14" s="0" t="n">
        <v>1036.455</v>
      </c>
      <c r="T14" s="0" t="n">
        <v>169.188</v>
      </c>
      <c r="U14" s="0" t="n">
        <v>183.813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101</v>
      </c>
      <c r="C15" s="0" t="n">
        <v>987.624</v>
      </c>
      <c r="F15" s="0" t="n">
        <v>548.918</v>
      </c>
      <c r="H15" s="0" t="n">
        <v>989.592</v>
      </c>
      <c r="I15" s="0" t="n">
        <v>478.035</v>
      </c>
      <c r="K15" s="0" t="n">
        <v>2.9</v>
      </c>
      <c r="L15" s="0" t="n">
        <v>1058.304</v>
      </c>
      <c r="M15" s="0" t="n">
        <v>359.667</v>
      </c>
      <c r="N15" s="0" t="n">
        <v>698.637</v>
      </c>
      <c r="O15" s="0" t="n">
        <v>3657.958</v>
      </c>
      <c r="P15" s="0" t="n">
        <v>7006.886</v>
      </c>
      <c r="Q15" s="0" t="n">
        <v>3348.928</v>
      </c>
      <c r="S15" s="0" t="n">
        <v>393.745</v>
      </c>
      <c r="T15" s="0" t="n">
        <v>164.573</v>
      </c>
      <c r="U15" s="0" t="n">
        <v>187.14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102</v>
      </c>
      <c r="C16" s="0" t="n">
        <v>1132.672</v>
      </c>
      <c r="F16" s="0" t="n">
        <v>658.534</v>
      </c>
      <c r="H16" s="0" t="n">
        <v>1136.923</v>
      </c>
      <c r="I16" s="0" t="n">
        <v>557.054</v>
      </c>
      <c r="K16" s="0" t="n">
        <v>3.37</v>
      </c>
      <c r="L16" s="0" t="n">
        <v>1215</v>
      </c>
      <c r="M16" s="0" t="n">
        <v>514.313</v>
      </c>
      <c r="N16" s="0" t="n">
        <v>700.687</v>
      </c>
      <c r="O16" s="0" t="n">
        <v>4251.296</v>
      </c>
      <c r="P16" s="0" t="n">
        <v>7764.13</v>
      </c>
      <c r="Q16" s="0" t="n">
        <v>3512.834</v>
      </c>
      <c r="S16" s="0" t="n">
        <v>352.917</v>
      </c>
      <c r="T16" s="0" t="n">
        <v>165.213</v>
      </c>
      <c r="U16" s="0" t="n">
        <v>197.411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103</v>
      </c>
      <c r="C17" s="0" t="n">
        <v>1268.956</v>
      </c>
      <c r="F17" s="0" t="n">
        <v>783.148</v>
      </c>
      <c r="H17" s="0" t="n">
        <v>1333.78</v>
      </c>
      <c r="I17" s="0" t="n">
        <v>651.642</v>
      </c>
      <c r="K17" s="0" t="n">
        <v>3.93</v>
      </c>
      <c r="L17" s="0" t="n">
        <v>1404.563</v>
      </c>
      <c r="M17" s="0" t="n">
        <v>328.969</v>
      </c>
      <c r="N17" s="0" t="n">
        <v>1075.594</v>
      </c>
      <c r="O17" s="0" t="n">
        <v>4530.014</v>
      </c>
      <c r="P17" s="0" t="n">
        <v>8138.673</v>
      </c>
      <c r="Q17" s="0" t="n">
        <v>3608.659</v>
      </c>
      <c r="S17" s="0" t="n">
        <v>536.725</v>
      </c>
      <c r="T17" s="0" t="n">
        <v>165.804</v>
      </c>
      <c r="U17" s="0" t="n">
        <v>202.759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104</v>
      </c>
      <c r="C18" s="0" t="n">
        <v>1383.819</v>
      </c>
      <c r="F18" s="0" t="n">
        <v>676.274</v>
      </c>
      <c r="H18" s="0" t="n">
        <v>1269.028</v>
      </c>
      <c r="I18" s="0" t="n">
        <v>523.672</v>
      </c>
      <c r="K18" s="0" t="n">
        <v>3.26</v>
      </c>
      <c r="L18" s="0" t="n">
        <v>1274.676</v>
      </c>
      <c r="M18" s="0" t="n">
        <v>241.266</v>
      </c>
      <c r="N18" s="0" t="n">
        <v>1033.41</v>
      </c>
      <c r="O18" s="0" t="n">
        <v>4360.187</v>
      </c>
      <c r="P18" s="0" t="n">
        <v>8303.4</v>
      </c>
      <c r="Q18" s="0" t="n">
        <v>3943.213</v>
      </c>
      <c r="S18" s="0" t="n">
        <v>542.337</v>
      </c>
      <c r="T18" s="0" t="n">
        <v>160.467</v>
      </c>
      <c r="U18" s="0" t="n">
        <v>217.185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105</v>
      </c>
      <c r="B19" s="0" t="n">
        <v>3811.92</v>
      </c>
      <c r="C19" s="0" t="n">
        <v>1511.063</v>
      </c>
      <c r="D19" s="0" t="n">
        <v>2300.857</v>
      </c>
      <c r="E19" s="0" t="n">
        <v>60.3595301055636</v>
      </c>
      <c r="F19" s="0" t="n">
        <v>637.338</v>
      </c>
      <c r="H19" s="0" t="n">
        <v>1208.114</v>
      </c>
      <c r="I19" s="0" t="n">
        <v>547.629</v>
      </c>
      <c r="K19" s="0" t="n">
        <v>3.52</v>
      </c>
      <c r="L19" s="0" t="n">
        <v>1348.439</v>
      </c>
      <c r="M19" s="0" t="n">
        <v>457.909</v>
      </c>
      <c r="N19" s="0" t="n">
        <v>890.53</v>
      </c>
      <c r="O19" s="0" t="n">
        <v>4597.155</v>
      </c>
      <c r="P19" s="0" t="n">
        <v>9900.037</v>
      </c>
      <c r="Q19" s="0" t="n">
        <v>5302.882</v>
      </c>
      <c r="S19" s="0" t="n">
        <v>489.468</v>
      </c>
      <c r="T19" s="0" t="n">
        <v>155.397</v>
      </c>
      <c r="U19" s="0" t="n">
        <v>328.467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106</v>
      </c>
      <c r="B20" s="0" t="n">
        <v>3991.168</v>
      </c>
      <c r="C20" s="0" t="n">
        <v>1620.793</v>
      </c>
      <c r="D20" s="0" t="n">
        <v>2370.375</v>
      </c>
      <c r="E20" s="0" t="n">
        <v>59.3905092444117</v>
      </c>
      <c r="F20" s="0" t="n">
        <v>533.411</v>
      </c>
      <c r="H20" s="0" t="n">
        <v>1181.821</v>
      </c>
      <c r="I20" s="0" t="n">
        <v>504.918</v>
      </c>
      <c r="K20" s="0" t="n">
        <v>3.27</v>
      </c>
      <c r="L20" s="0" t="n">
        <v>1519.171</v>
      </c>
      <c r="M20" s="0" t="n">
        <v>390.433</v>
      </c>
      <c r="N20" s="0" t="n">
        <v>1128.738</v>
      </c>
      <c r="O20" s="0" t="n">
        <v>4878.357</v>
      </c>
      <c r="P20" s="0" t="n">
        <v>10368.785</v>
      </c>
      <c r="Q20" s="0" t="n">
        <v>5490.428</v>
      </c>
      <c r="R20" s="0" t="n">
        <v>3545.811</v>
      </c>
      <c r="S20" s="0" t="n">
        <v>517.707</v>
      </c>
      <c r="T20" s="0" t="n">
        <v>154.346</v>
      </c>
      <c r="U20" s="0" t="n">
        <v>393.378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107</v>
      </c>
      <c r="B21" s="0" t="n">
        <v>4208.175</v>
      </c>
      <c r="C21" s="0" t="n">
        <v>1727.513</v>
      </c>
      <c r="D21" s="0" t="n">
        <v>2480.662</v>
      </c>
      <c r="E21" s="0" t="n">
        <v>58.9486416320614</v>
      </c>
      <c r="F21" s="0" t="n">
        <v>566.944</v>
      </c>
      <c r="H21" s="0" t="n">
        <v>1275.555</v>
      </c>
      <c r="I21" s="0" t="n">
        <v>452.031</v>
      </c>
      <c r="K21" s="0" t="n">
        <v>3.07</v>
      </c>
      <c r="L21" s="0" t="n">
        <v>1518.765</v>
      </c>
      <c r="M21" s="0" t="n">
        <v>507.786</v>
      </c>
      <c r="N21" s="0" t="n">
        <v>1010.979</v>
      </c>
      <c r="O21" s="0" t="n">
        <v>4977.371</v>
      </c>
      <c r="P21" s="0" t="n">
        <v>11479.643</v>
      </c>
      <c r="Q21" s="0" t="n">
        <v>6502.272</v>
      </c>
      <c r="R21" s="0" t="n">
        <v>4105.355</v>
      </c>
      <c r="S21" s="0" t="n">
        <v>930.231</v>
      </c>
      <c r="T21" s="0" t="n">
        <v>147.023</v>
      </c>
      <c r="U21" s="0" t="n">
        <v>459.402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108</v>
      </c>
      <c r="B1" s="2" t="s">
        <v>37</v>
      </c>
    </row>
    <row r="2" customFormat="false" ht="15" hidden="false" customHeight="false" outlineLevel="0" collapsed="false">
      <c r="A2" s="0" t="s">
        <v>109</v>
      </c>
      <c r="B2" s="3" t="n">
        <v>110.41</v>
      </c>
    </row>
    <row r="3" customFormat="false" ht="15" hidden="false" customHeight="false" outlineLevel="0" collapsed="false">
      <c r="A3" s="0" t="s">
        <v>110</v>
      </c>
      <c r="B3" s="3" t="n">
        <v>150.13</v>
      </c>
    </row>
    <row r="4" customFormat="false" ht="15" hidden="false" customHeight="false" outlineLevel="0" collapsed="false">
      <c r="A4" s="0" t="s">
        <v>111</v>
      </c>
      <c r="B4" s="3" t="n">
        <v>3228.7</v>
      </c>
    </row>
    <row r="5" customFormat="false" ht="15" hidden="false" customHeight="false" outlineLevel="0" collapsed="false">
      <c r="A5" s="0" t="s">
        <v>112</v>
      </c>
      <c r="B5" s="3" t="n">
        <v>233.3</v>
      </c>
    </row>
    <row r="6" customFormat="false" ht="15" hidden="false" customHeight="false" outlineLevel="0" collapsed="false">
      <c r="A6" s="0" t="s">
        <v>113</v>
      </c>
      <c r="B6" s="3" t="n">
        <v>15</v>
      </c>
    </row>
    <row r="7" customFormat="false" ht="15" hidden="false" customHeight="false" outlineLevel="0" collapsed="false">
      <c r="A7" s="0" t="s">
        <v>114</v>
      </c>
      <c r="B7" s="3" t="n">
        <v>4208.175</v>
      </c>
    </row>
    <row r="8" customFormat="false" ht="15" hidden="false" customHeight="false" outlineLevel="0" collapsed="false">
      <c r="A8" s="0" t="s">
        <v>115</v>
      </c>
      <c r="B8" s="3" t="s">
        <v>107</v>
      </c>
    </row>
    <row r="9" customFormat="false" ht="15" hidden="false" customHeight="false" outlineLevel="0" collapsed="false">
      <c r="A9" s="0" t="s">
        <v>116</v>
      </c>
      <c r="B9" s="3" t="s">
        <v>117</v>
      </c>
    </row>
    <row r="10" customFormat="false" ht="15" hidden="false" customHeight="false" outlineLevel="0" collapsed="false">
      <c r="A10" s="0" t="s">
        <v>118</v>
      </c>
      <c r="B10" s="3" t="n">
        <v>1</v>
      </c>
    </row>
    <row r="12" customFormat="false" ht="15" hidden="false" customHeight="false" outlineLevel="0" collapsed="false">
      <c r="A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G12" s="2" t="s">
        <v>124</v>
      </c>
      <c r="H12" s="2" t="s">
        <v>125</v>
      </c>
      <c r="I12" s="2" t="s">
        <v>126</v>
      </c>
      <c r="J12" s="2" t="s">
        <v>127</v>
      </c>
      <c r="K12" s="2" t="s">
        <v>128</v>
      </c>
      <c r="L12" s="2" t="s">
        <v>129</v>
      </c>
    </row>
    <row r="13" customFormat="false" ht="15" hidden="false" customHeight="false" outlineLevel="0" collapsed="false">
      <c r="A13" s="0" t="s">
        <v>130</v>
      </c>
      <c r="C13" s="3" t="n">
        <v>6</v>
      </c>
      <c r="D13" s="3" t="n">
        <v>9</v>
      </c>
      <c r="E13" s="3" t="n">
        <v>8</v>
      </c>
      <c r="F13" s="3" t="n">
        <v>4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131</v>
      </c>
      <c r="C14" s="3" t="n">
        <v>38.3</v>
      </c>
      <c r="D14" s="3" t="n">
        <v>37.5</v>
      </c>
      <c r="E14" s="3" t="n">
        <v>38.5</v>
      </c>
      <c r="F14" s="3" t="n">
        <v>39</v>
      </c>
      <c r="G14" s="3" t="n">
        <v>39</v>
      </c>
      <c r="H14" s="3" t="n">
        <v>39</v>
      </c>
      <c r="I14" s="3" t="n">
        <v>39</v>
      </c>
      <c r="J14" s="3" t="n">
        <v>39</v>
      </c>
      <c r="K14" s="3" t="n">
        <v>39</v>
      </c>
      <c r="L14" s="3" t="n">
        <v>39</v>
      </c>
    </row>
    <row r="15" customFormat="false" ht="15" hidden="false" customHeight="false" outlineLevel="0" collapsed="false">
      <c r="A15" s="0" t="s">
        <v>132</v>
      </c>
      <c r="C15" s="3" t="n">
        <v>17</v>
      </c>
      <c r="D15" s="3" t="n">
        <v>16</v>
      </c>
      <c r="E15" s="3" t="n">
        <v>15</v>
      </c>
      <c r="F15" s="3" t="n">
        <v>14.5</v>
      </c>
      <c r="G15" s="3" t="n">
        <v>14</v>
      </c>
      <c r="H15" s="3" t="n">
        <v>13.5</v>
      </c>
      <c r="I15" s="3" t="n">
        <v>13</v>
      </c>
      <c r="J15" s="3" t="n">
        <v>12.5</v>
      </c>
      <c r="K15" s="3" t="n">
        <v>12</v>
      </c>
      <c r="L15" s="3" t="n">
        <v>12</v>
      </c>
    </row>
    <row r="16" customFormat="false" ht="15" hidden="false" customHeight="false" outlineLevel="0" collapsed="false">
      <c r="A16" s="0" t="s">
        <v>133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134</v>
      </c>
      <c r="C17" s="3" t="n">
        <v>17.5</v>
      </c>
      <c r="D17" s="3" t="n">
        <v>22.5</v>
      </c>
      <c r="E17" s="3" t="n">
        <v>26</v>
      </c>
      <c r="F17" s="3" t="n">
        <v>27</v>
      </c>
      <c r="G17" s="3" t="n">
        <v>26</v>
      </c>
      <c r="H17" s="3" t="n">
        <v>24</v>
      </c>
      <c r="I17" s="3" t="n">
        <v>22</v>
      </c>
      <c r="J17" s="3" t="n">
        <v>20.5</v>
      </c>
      <c r="K17" s="3" t="n">
        <v>19.5</v>
      </c>
      <c r="L17" s="3" t="n">
        <v>19</v>
      </c>
    </row>
    <row r="18" customFormat="false" ht="15" hidden="false" customHeight="false" outlineLevel="0" collapsed="false">
      <c r="A18" s="0" t="s">
        <v>135</v>
      </c>
      <c r="C18" s="3" t="n">
        <v>43</v>
      </c>
      <c r="D18" s="3" t="n">
        <v>58</v>
      </c>
      <c r="E18" s="3" t="n">
        <v>35</v>
      </c>
      <c r="F18" s="3" t="n">
        <v>22</v>
      </c>
      <c r="G18" s="3" t="n">
        <v>20</v>
      </c>
      <c r="H18" s="3" t="n">
        <v>20</v>
      </c>
      <c r="I18" s="3" t="n">
        <v>20</v>
      </c>
      <c r="J18" s="3" t="n">
        <v>20</v>
      </c>
      <c r="K18" s="3" t="n">
        <v>19.5</v>
      </c>
      <c r="L18" s="3" t="n">
        <v>19.5</v>
      </c>
    </row>
    <row r="19" customFormat="false" ht="15" hidden="false" customHeight="false" outlineLevel="0" collapsed="false">
      <c r="A19" s="0" t="s">
        <v>136</v>
      </c>
      <c r="C19" s="3" t="n">
        <v>15</v>
      </c>
      <c r="D19" s="3" t="n">
        <v>8</v>
      </c>
      <c r="E19" s="3" t="n">
        <v>10</v>
      </c>
      <c r="F19" s="3" t="n">
        <v>18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137</v>
      </c>
      <c r="B20" s="3" t="n">
        <v>8.5</v>
      </c>
    </row>
    <row r="21" customFormat="false" ht="15" hidden="false" customHeight="false" outlineLevel="0" collapsed="false">
      <c r="A21" s="0" t="s">
        <v>138</v>
      </c>
      <c r="B21" s="3" t="n">
        <v>2.5</v>
      </c>
    </row>
    <row r="22" customFormat="false" ht="15" hidden="false" customHeight="false" outlineLevel="0" collapsed="false">
      <c r="A22" s="0" t="s">
        <v>139</v>
      </c>
      <c r="B22" s="3" t="n">
        <v>12</v>
      </c>
    </row>
    <row r="23" customFormat="false" ht="15" hidden="false" customHeight="false" outlineLevel="0" collapsed="false">
      <c r="A23" s="0" t="s">
        <v>140</v>
      </c>
      <c r="B23" s="3" t="n">
        <v>-5</v>
      </c>
    </row>
    <row r="24" customFormat="false" ht="15" hidden="false" customHeight="false" outlineLevel="0" collapsed="false">
      <c r="A24" s="0" t="s">
        <v>141</v>
      </c>
      <c r="B24" s="3" t="n">
        <v>0.25</v>
      </c>
    </row>
    <row r="26" customFormat="false" ht="15" hidden="false" customHeight="false" outlineLevel="0" collapsed="false">
      <c r="A26" s="2" t="s">
        <v>142</v>
      </c>
      <c r="C26" s="2" t="s">
        <v>120</v>
      </c>
      <c r="D26" s="2" t="s">
        <v>121</v>
      </c>
      <c r="E26" s="2" t="s">
        <v>122</v>
      </c>
      <c r="F26" s="2" t="s">
        <v>123</v>
      </c>
      <c r="G26" s="2" t="s">
        <v>124</v>
      </c>
      <c r="H26" s="2" t="s">
        <v>125</v>
      </c>
      <c r="I26" s="2" t="s">
        <v>126</v>
      </c>
      <c r="J26" s="2" t="s">
        <v>127</v>
      </c>
      <c r="K26" s="2" t="s">
        <v>128</v>
      </c>
      <c r="L26" s="2" t="s">
        <v>129</v>
      </c>
    </row>
    <row r="27" customFormat="false" ht="15" hidden="false" customHeight="false" outlineLevel="0" collapsed="false">
      <c r="A27" s="0" t="s">
        <v>130</v>
      </c>
      <c r="C27" s="3" t="n">
        <v>6.6</v>
      </c>
      <c r="D27" s="3" t="n">
        <v>16</v>
      </c>
      <c r="E27" s="3" t="n">
        <v>17</v>
      </c>
      <c r="F27" s="3" t="n">
        <v>8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131</v>
      </c>
      <c r="C28" s="3" t="n">
        <v>38.5</v>
      </c>
      <c r="D28" s="3" t="n">
        <v>39.5</v>
      </c>
      <c r="E28" s="3" t="n">
        <v>42</v>
      </c>
      <c r="F28" s="3" t="n">
        <v>43.5</v>
      </c>
      <c r="G28" s="3" t="n">
        <v>44</v>
      </c>
      <c r="H28" s="3" t="n">
        <v>44.5</v>
      </c>
      <c r="I28" s="3" t="n">
        <v>44.5</v>
      </c>
      <c r="J28" s="3" t="n">
        <v>44.5</v>
      </c>
      <c r="K28" s="3" t="n">
        <v>44.5</v>
      </c>
      <c r="L28" s="3" t="n">
        <v>44.5</v>
      </c>
    </row>
    <row r="29" customFormat="false" ht="15" hidden="false" customHeight="false" outlineLevel="0" collapsed="false">
      <c r="A29" s="0" t="s">
        <v>132</v>
      </c>
      <c r="C29" s="3" t="n">
        <v>16.9</v>
      </c>
      <c r="D29" s="3" t="n">
        <v>15.4</v>
      </c>
      <c r="E29" s="3" t="n">
        <v>13.8</v>
      </c>
      <c r="F29" s="3" t="n">
        <v>13.3</v>
      </c>
      <c r="G29" s="3" t="n">
        <v>12.8</v>
      </c>
      <c r="H29" s="3" t="n">
        <v>12.3</v>
      </c>
      <c r="I29" s="3" t="n">
        <v>11.8</v>
      </c>
      <c r="J29" s="3" t="n">
        <v>11.3</v>
      </c>
      <c r="K29" s="3" t="n">
        <v>10.8</v>
      </c>
      <c r="L29" s="3" t="n">
        <v>10.5</v>
      </c>
    </row>
    <row r="30" customFormat="false" ht="15" hidden="false" customHeight="false" outlineLevel="0" collapsed="false">
      <c r="A30" s="0" t="s">
        <v>133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134</v>
      </c>
      <c r="C31" s="3" t="n">
        <v>17.5</v>
      </c>
      <c r="D31" s="3" t="n">
        <v>23.6</v>
      </c>
      <c r="E31" s="3" t="n">
        <v>27.9</v>
      </c>
      <c r="F31" s="3" t="n">
        <v>29.6</v>
      </c>
      <c r="G31" s="3" t="n">
        <v>28</v>
      </c>
      <c r="H31" s="3" t="n">
        <v>26</v>
      </c>
      <c r="I31" s="3" t="n">
        <v>24</v>
      </c>
      <c r="J31" s="3" t="n">
        <v>22</v>
      </c>
      <c r="K31" s="3" t="n">
        <v>21</v>
      </c>
      <c r="L31" s="3" t="n">
        <v>20.5</v>
      </c>
    </row>
    <row r="32" customFormat="false" ht="15" hidden="false" customHeight="false" outlineLevel="0" collapsed="false">
      <c r="A32" s="0" t="s">
        <v>135</v>
      </c>
      <c r="C32" s="3" t="n">
        <v>43</v>
      </c>
      <c r="D32" s="3" t="n">
        <v>66</v>
      </c>
      <c r="E32" s="3" t="n">
        <v>45</v>
      </c>
      <c r="F32" s="3" t="n">
        <v>27</v>
      </c>
      <c r="G32" s="3" t="n">
        <v>22</v>
      </c>
      <c r="H32" s="3" t="n">
        <v>21</v>
      </c>
      <c r="I32" s="3" t="n">
        <v>22</v>
      </c>
      <c r="J32" s="3" t="n">
        <v>23</v>
      </c>
      <c r="K32" s="3" t="n">
        <v>22</v>
      </c>
      <c r="L32" s="3" t="n">
        <v>21.5</v>
      </c>
    </row>
    <row r="33" customFormat="false" ht="15" hidden="false" customHeight="false" outlineLevel="0" collapsed="false">
      <c r="A33" s="0" t="s">
        <v>136</v>
      </c>
      <c r="C33" s="3" t="n">
        <v>15</v>
      </c>
      <c r="D33" s="3" t="n">
        <v>8</v>
      </c>
      <c r="E33" s="3" t="n">
        <v>10</v>
      </c>
      <c r="F33" s="3" t="n">
        <v>18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137</v>
      </c>
      <c r="B34" s="3" t="n">
        <v>8.5</v>
      </c>
    </row>
    <row r="35" customFormat="false" ht="15" hidden="false" customHeight="false" outlineLevel="0" collapsed="false">
      <c r="A35" s="0" t="s">
        <v>138</v>
      </c>
      <c r="B35" s="3" t="n">
        <v>2.5</v>
      </c>
    </row>
    <row r="36" customFormat="false" ht="15" hidden="false" customHeight="false" outlineLevel="0" collapsed="false">
      <c r="A36" s="0" t="s">
        <v>139</v>
      </c>
      <c r="B36" s="3" t="n">
        <v>16</v>
      </c>
    </row>
    <row r="37" customFormat="false" ht="15" hidden="false" customHeight="false" outlineLevel="0" collapsed="false">
      <c r="A37" s="0" t="s">
        <v>140</v>
      </c>
      <c r="B37" s="3" t="n">
        <v>0</v>
      </c>
    </row>
    <row r="38" customFormat="false" ht="15" hidden="false" customHeight="false" outlineLevel="0" collapsed="false">
      <c r="A38" s="0" t="s">
        <v>141</v>
      </c>
      <c r="B38" s="3" t="n">
        <v>0.5</v>
      </c>
    </row>
    <row r="40" customFormat="false" ht="15" hidden="false" customHeight="false" outlineLevel="0" collapsed="false">
      <c r="A40" s="2" t="s">
        <v>143</v>
      </c>
      <c r="C40" s="2" t="s">
        <v>120</v>
      </c>
      <c r="D40" s="2" t="s">
        <v>121</v>
      </c>
      <c r="E40" s="2" t="s">
        <v>122</v>
      </c>
      <c r="F40" s="2" t="s">
        <v>123</v>
      </c>
      <c r="G40" s="2" t="s">
        <v>124</v>
      </c>
      <c r="H40" s="2" t="s">
        <v>125</v>
      </c>
      <c r="I40" s="2" t="s">
        <v>126</v>
      </c>
      <c r="J40" s="2" t="s">
        <v>127</v>
      </c>
      <c r="K40" s="2" t="s">
        <v>128</v>
      </c>
      <c r="L40" s="2" t="s">
        <v>129</v>
      </c>
    </row>
    <row r="41" customFormat="false" ht="15" hidden="false" customHeight="false" outlineLevel="0" collapsed="false">
      <c r="A41" s="0" t="s">
        <v>130</v>
      </c>
      <c r="C41" s="3" t="n">
        <v>7.2</v>
      </c>
      <c r="D41" s="3" t="n">
        <v>20</v>
      </c>
      <c r="E41" s="3" t="n">
        <v>22</v>
      </c>
      <c r="F41" s="3" t="n">
        <v>12</v>
      </c>
      <c r="G41" s="3" t="n">
        <v>9</v>
      </c>
      <c r="H41" s="3" t="n">
        <v>7</v>
      </c>
      <c r="I41" s="3" t="n">
        <v>6</v>
      </c>
      <c r="J41" s="3" t="n">
        <v>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131</v>
      </c>
      <c r="C42" s="3" t="n">
        <v>38.8</v>
      </c>
      <c r="D42" s="3" t="n">
        <v>40.5</v>
      </c>
      <c r="E42" s="3" t="n">
        <v>44</v>
      </c>
      <c r="F42" s="3" t="n">
        <v>46</v>
      </c>
      <c r="G42" s="3" t="n">
        <v>47</v>
      </c>
      <c r="H42" s="3" t="n">
        <v>47.5</v>
      </c>
      <c r="I42" s="3" t="n">
        <v>48</v>
      </c>
      <c r="J42" s="3" t="n">
        <v>48</v>
      </c>
      <c r="K42" s="3" t="n">
        <v>48</v>
      </c>
      <c r="L42" s="3" t="n">
        <v>48</v>
      </c>
    </row>
    <row r="43" customFormat="false" ht="15" hidden="false" customHeight="false" outlineLevel="0" collapsed="false">
      <c r="A43" s="0" t="s">
        <v>132</v>
      </c>
      <c r="C43" s="3" t="n">
        <v>16.8</v>
      </c>
      <c r="D43" s="3" t="n">
        <v>14.8</v>
      </c>
      <c r="E43" s="3" t="n">
        <v>12.8</v>
      </c>
      <c r="F43" s="3" t="n">
        <v>12</v>
      </c>
      <c r="G43" s="3" t="n">
        <v>11.3</v>
      </c>
      <c r="H43" s="3" t="n">
        <v>10.8</v>
      </c>
      <c r="I43" s="3" t="n">
        <v>10.3</v>
      </c>
      <c r="J43" s="3" t="n">
        <v>9.8</v>
      </c>
      <c r="K43" s="3" t="n">
        <v>9.5</v>
      </c>
      <c r="L43" s="3" t="n">
        <v>9.2</v>
      </c>
    </row>
    <row r="44" customFormat="false" ht="15" hidden="false" customHeight="false" outlineLevel="0" collapsed="false">
      <c r="A44" s="0" t="s">
        <v>133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134</v>
      </c>
      <c r="C45" s="3" t="n">
        <v>17.5</v>
      </c>
      <c r="D45" s="3" t="n">
        <v>24</v>
      </c>
      <c r="E45" s="3" t="n">
        <v>28</v>
      </c>
      <c r="F45" s="3" t="n">
        <v>29</v>
      </c>
      <c r="G45" s="3" t="n">
        <v>28</v>
      </c>
      <c r="H45" s="3" t="n">
        <v>26.5</v>
      </c>
      <c r="I45" s="3" t="n">
        <v>25</v>
      </c>
      <c r="J45" s="3" t="n">
        <v>23.5</v>
      </c>
      <c r="K45" s="3" t="n">
        <v>22.5</v>
      </c>
      <c r="L45" s="3" t="n">
        <v>22</v>
      </c>
    </row>
    <row r="46" customFormat="false" ht="15" hidden="false" customHeight="false" outlineLevel="0" collapsed="false">
      <c r="A46" s="0" t="s">
        <v>135</v>
      </c>
      <c r="C46" s="3" t="n">
        <v>44</v>
      </c>
      <c r="D46" s="3" t="n">
        <v>70</v>
      </c>
      <c r="E46" s="3" t="n">
        <v>50</v>
      </c>
      <c r="F46" s="3" t="n">
        <v>32</v>
      </c>
      <c r="G46" s="3" t="n">
        <v>25</v>
      </c>
      <c r="H46" s="3" t="n">
        <v>23</v>
      </c>
      <c r="I46" s="3" t="n">
        <v>23.5</v>
      </c>
      <c r="J46" s="3" t="n">
        <v>24</v>
      </c>
      <c r="K46" s="3" t="n">
        <v>23.5</v>
      </c>
      <c r="L46" s="3" t="n">
        <v>23</v>
      </c>
    </row>
    <row r="47" customFormat="false" ht="15" hidden="false" customHeight="false" outlineLevel="0" collapsed="false">
      <c r="A47" s="0" t="s">
        <v>136</v>
      </c>
      <c r="C47" s="3" t="n">
        <v>15</v>
      </c>
      <c r="D47" s="3" t="n">
        <v>8</v>
      </c>
      <c r="E47" s="3" t="n">
        <v>10</v>
      </c>
      <c r="F47" s="3" t="n">
        <v>18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137</v>
      </c>
      <c r="B48" s="3" t="n">
        <v>8.5</v>
      </c>
    </row>
    <row r="49" customFormat="false" ht="15" hidden="false" customHeight="false" outlineLevel="0" collapsed="false">
      <c r="A49" s="0" t="s">
        <v>138</v>
      </c>
      <c r="B49" s="3" t="n">
        <v>2.5</v>
      </c>
    </row>
    <row r="50" customFormat="false" ht="15" hidden="false" customHeight="false" outlineLevel="0" collapsed="false">
      <c r="A50" s="0" t="s">
        <v>139</v>
      </c>
      <c r="B50" s="3" t="n">
        <v>18</v>
      </c>
    </row>
    <row r="51" customFormat="false" ht="15" hidden="false" customHeight="false" outlineLevel="0" collapsed="false">
      <c r="A51" s="0" t="s">
        <v>140</v>
      </c>
      <c r="B51" s="3" t="n">
        <v>5</v>
      </c>
    </row>
    <row r="52" customFormat="false" ht="15" hidden="false" customHeight="false" outlineLevel="0" collapsed="false">
      <c r="A52" s="0" t="s">
        <v>141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145</v>
      </c>
      <c r="B3" s="0" t="s">
        <v>107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</row>
    <row r="4" customFormat="false" ht="15" hidden="false" customHeight="false" outlineLevel="0" collapsed="false">
      <c r="A4" s="0" t="s">
        <v>146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130</v>
      </c>
      <c r="C5" s="4" t="n">
        <f aca="false">Assumptions!C13</f>
        <v>6</v>
      </c>
      <c r="D5" s="4" t="n">
        <f aca="false">Assumptions!D13</f>
        <v>9</v>
      </c>
      <c r="E5" s="4" t="n">
        <f aca="false">Assumptions!E13</f>
        <v>8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62</v>
      </c>
      <c r="B6" s="3" t="n">
        <v>4208.175</v>
      </c>
      <c r="C6" s="0" t="n">
        <f aca="false">B6*(1+C5/100)</f>
        <v>4460.6655</v>
      </c>
      <c r="D6" s="0" t="n">
        <f aca="false">C6*(1+D5/100)</f>
        <v>4862.125395</v>
      </c>
      <c r="E6" s="0" t="n">
        <f aca="false">D6*(1+E5/100)</f>
        <v>5251.0954266</v>
      </c>
      <c r="F6" s="0" t="n">
        <f aca="false">E6*(1+F5/100)</f>
        <v>5461.139243664</v>
      </c>
      <c r="G6" s="0" t="n">
        <f aca="false">F6*(1+G5/100)</f>
        <v>5624.97342097392</v>
      </c>
      <c r="H6" s="0" t="n">
        <f aca="false">G6*(1+H5/100)</f>
        <v>5765.59775649827</v>
      </c>
      <c r="I6" s="0" t="n">
        <f aca="false">H6*(1+I5/100)</f>
        <v>5909.73770041073</v>
      </c>
      <c r="J6" s="0" t="n">
        <f aca="false">I6*(1+J5/100)</f>
        <v>6027.93245441894</v>
      </c>
      <c r="K6" s="0" t="n">
        <f aca="false">J6*(1+K5/100)</f>
        <v>6148.49110350732</v>
      </c>
      <c r="L6" s="0" t="n">
        <f aca="false">K6*(1+L5/100)</f>
        <v>6271.46092557747</v>
      </c>
    </row>
    <row r="7" customFormat="false" ht="15" hidden="false" customHeight="false" outlineLevel="0" collapsed="false">
      <c r="A7" s="0" t="s">
        <v>131</v>
      </c>
      <c r="C7" s="4" t="n">
        <f aca="false">Assumptions!C14</f>
        <v>38.3</v>
      </c>
      <c r="D7" s="4" t="n">
        <f aca="false">Assumptions!D14</f>
        <v>37.5</v>
      </c>
      <c r="E7" s="4" t="n">
        <f aca="false">Assumptions!E14</f>
        <v>38.5</v>
      </c>
      <c r="F7" s="4" t="n">
        <f aca="false">Assumptions!F14</f>
        <v>39</v>
      </c>
      <c r="G7" s="4" t="n">
        <f aca="false">Assumptions!G14</f>
        <v>39</v>
      </c>
      <c r="H7" s="4" t="n">
        <f aca="false">Assumptions!H14</f>
        <v>39</v>
      </c>
      <c r="I7" s="4" t="n">
        <f aca="false">Assumptions!I14</f>
        <v>39</v>
      </c>
      <c r="J7" s="4" t="n">
        <f aca="false">Assumptions!J14</f>
        <v>39</v>
      </c>
      <c r="K7" s="4" t="n">
        <f aca="false">Assumptions!K14</f>
        <v>39</v>
      </c>
      <c r="L7" s="4" t="n">
        <f aca="false">Assumptions!L14</f>
        <v>39</v>
      </c>
    </row>
    <row r="8" customFormat="false" ht="15" hidden="false" customHeight="false" outlineLevel="0" collapsed="false">
      <c r="A8" s="0" t="s">
        <v>68</v>
      </c>
      <c r="C8" s="0" t="n">
        <f aca="false">C6*C7/100</f>
        <v>1708.4348865</v>
      </c>
      <c r="D8" s="0" t="n">
        <f aca="false">D6*D7/100</f>
        <v>1823.297023125</v>
      </c>
      <c r="E8" s="0" t="n">
        <f aca="false">E6*E7/100</f>
        <v>2021.671739241</v>
      </c>
      <c r="F8" s="0" t="n">
        <f aca="false">F6*F7/100</f>
        <v>2129.84430502896</v>
      </c>
      <c r="G8" s="0" t="n">
        <f aca="false">G6*G7/100</f>
        <v>2193.73963417983</v>
      </c>
      <c r="H8" s="0" t="n">
        <f aca="false">H6*H7/100</f>
        <v>2248.58312503433</v>
      </c>
      <c r="I8" s="0" t="n">
        <f aca="false">I6*I7/100</f>
        <v>2304.79770316018</v>
      </c>
      <c r="J8" s="0" t="n">
        <f aca="false">J6*J7/100</f>
        <v>2350.89365722339</v>
      </c>
      <c r="K8" s="0" t="n">
        <f aca="false">K6*K7/100</f>
        <v>2397.91153036785</v>
      </c>
      <c r="L8" s="0" t="n">
        <f aca="false">L6*L7/100</f>
        <v>2445.86976097521</v>
      </c>
    </row>
    <row r="9" customFormat="false" ht="15" hidden="false" customHeight="false" outlineLevel="0" collapsed="false">
      <c r="A9" s="0" t="s">
        <v>132</v>
      </c>
      <c r="C9" s="4" t="n">
        <f aca="false">Assumptions!C15</f>
        <v>17</v>
      </c>
      <c r="D9" s="4" t="n">
        <f aca="false">Assumptions!D15</f>
        <v>16</v>
      </c>
      <c r="E9" s="4" t="n">
        <f aca="false">Assumptions!E15</f>
        <v>15</v>
      </c>
      <c r="F9" s="4" t="n">
        <f aca="false">Assumptions!F15</f>
        <v>14.5</v>
      </c>
      <c r="G9" s="4" t="n">
        <f aca="false">Assumptions!G15</f>
        <v>14</v>
      </c>
      <c r="H9" s="4" t="n">
        <f aca="false">Assumptions!H15</f>
        <v>13.5</v>
      </c>
      <c r="I9" s="4" t="n">
        <f aca="false">Assumptions!I15</f>
        <v>13</v>
      </c>
      <c r="J9" s="4" t="n">
        <f aca="false">Assumptions!J15</f>
        <v>12.5</v>
      </c>
      <c r="K9" s="4" t="n">
        <f aca="false">Assumptions!K15</f>
        <v>12</v>
      </c>
      <c r="L9" s="4" t="n">
        <f aca="false">Assumptions!L15</f>
        <v>12</v>
      </c>
    </row>
    <row r="10" customFormat="false" ht="15" hidden="false" customHeight="false" outlineLevel="0" collapsed="false">
      <c r="A10" s="0" t="s">
        <v>147</v>
      </c>
      <c r="C10" s="0" t="n">
        <f aca="false">-C6*C9/100</f>
        <v>-758.313135</v>
      </c>
      <c r="D10" s="0" t="n">
        <f aca="false">-D6*D9/100</f>
        <v>-777.9400632</v>
      </c>
      <c r="E10" s="0" t="n">
        <f aca="false">-E6*E9/100</f>
        <v>-787.66431399</v>
      </c>
      <c r="F10" s="0" t="n">
        <f aca="false">-F6*F9/100</f>
        <v>-791.86519033128</v>
      </c>
      <c r="G10" s="0" t="n">
        <f aca="false">-G6*G9/100</f>
        <v>-787.496278936349</v>
      </c>
      <c r="H10" s="0" t="n">
        <f aca="false">-H6*H9/100</f>
        <v>-778.355697127266</v>
      </c>
      <c r="I10" s="0" t="n">
        <f aca="false">-I6*I9/100</f>
        <v>-768.265901053394</v>
      </c>
      <c r="J10" s="0" t="n">
        <f aca="false">-J6*J9/100</f>
        <v>-753.491556802367</v>
      </c>
      <c r="K10" s="0" t="n">
        <f aca="false">-K6*K9/100</f>
        <v>-737.818932420878</v>
      </c>
      <c r="L10" s="0" t="n">
        <f aca="false">-L6*L9/100</f>
        <v>-752.575311069296</v>
      </c>
    </row>
    <row r="11" customFormat="false" ht="15" hidden="false" customHeight="false" outlineLevel="0" collapsed="false">
      <c r="A11" s="0" t="s">
        <v>148</v>
      </c>
      <c r="C11" s="0" t="n">
        <f aca="false">C8+C10+C24</f>
        <v>950.1217515</v>
      </c>
      <c r="D11" s="0" t="n">
        <f aca="false">D8+D10+D24</f>
        <v>1045.356959925</v>
      </c>
      <c r="E11" s="0" t="n">
        <f aca="false">E8+E10+E24</f>
        <v>1234.007425251</v>
      </c>
      <c r="F11" s="0" t="n">
        <f aca="false">F8+F10+F24</f>
        <v>1337.97911469768</v>
      </c>
      <c r="G11" s="0" t="n">
        <f aca="false">G8+G10+G24</f>
        <v>1406.24335524348</v>
      </c>
      <c r="H11" s="0" t="n">
        <f aca="false">H8+H10+H24</f>
        <v>1470.22742790706</v>
      </c>
      <c r="I11" s="0" t="n">
        <f aca="false">I8+I10+I24</f>
        <v>1536.53180210679</v>
      </c>
      <c r="J11" s="0" t="n">
        <f aca="false">J8+J10+J24</f>
        <v>1597.40210042102</v>
      </c>
      <c r="K11" s="0" t="n">
        <f aca="false">K8+K10+K24</f>
        <v>1660.09259794698</v>
      </c>
      <c r="L11" s="0" t="n">
        <f aca="false">L8+L10+L24</f>
        <v>1693.29444990592</v>
      </c>
    </row>
    <row r="12" customFormat="false" ht="15" hidden="false" customHeight="false" outlineLevel="0" collapsed="false">
      <c r="A12" s="0" t="s">
        <v>149</v>
      </c>
      <c r="C12" s="4" t="n">
        <f aca="false">-C6*Assumptions!C17/100</f>
        <v>-780.6164625</v>
      </c>
      <c r="D12" s="4" t="n">
        <f aca="false">-D6*Assumptions!D17/100</f>
        <v>-1093.978213875</v>
      </c>
      <c r="E12" s="4" t="n">
        <f aca="false">-E6*Assumptions!E17/100</f>
        <v>-1365.284810916</v>
      </c>
      <c r="F12" s="4" t="n">
        <f aca="false">-F6*Assumptions!F17/100</f>
        <v>-1474.50759578928</v>
      </c>
      <c r="G12" s="4" t="n">
        <f aca="false">-G6*Assumptions!G17/100</f>
        <v>-1462.49308945322</v>
      </c>
      <c r="H12" s="4" t="n">
        <f aca="false">-H6*Assumptions!H17/100</f>
        <v>-1383.74346155958</v>
      </c>
      <c r="I12" s="4" t="n">
        <f aca="false">-I6*Assumptions!I17/100</f>
        <v>-1300.14229409036</v>
      </c>
      <c r="J12" s="4" t="n">
        <f aca="false">-J6*Assumptions!J17/100</f>
        <v>-1235.72615315588</v>
      </c>
      <c r="K12" s="4" t="n">
        <f aca="false">-K6*Assumptions!K17/100</f>
        <v>-1198.95576518393</v>
      </c>
      <c r="L12" s="4" t="n">
        <f aca="false">-L6*Assumptions!L17/100</f>
        <v>-1191.57757585972</v>
      </c>
    </row>
    <row r="13" customFormat="false" ht="15" hidden="false" customHeight="false" outlineLevel="0" collapsed="false">
      <c r="A13" s="0" t="s">
        <v>150</v>
      </c>
      <c r="C13" s="0" t="n">
        <f aca="false">C11+C12</f>
        <v>169.505289</v>
      </c>
      <c r="D13" s="0" t="n">
        <f aca="false">D11+D12</f>
        <v>-48.6212539500002</v>
      </c>
      <c r="E13" s="0" t="n">
        <f aca="false">E11+E12</f>
        <v>-131.277385665</v>
      </c>
      <c r="F13" s="0" t="n">
        <f aca="false">F11+F12</f>
        <v>-136.5284810916</v>
      </c>
      <c r="G13" s="0" t="n">
        <f aca="false">G11+G12</f>
        <v>-56.2497342097395</v>
      </c>
      <c r="H13" s="0" t="n">
        <f aca="false">H11+H12</f>
        <v>86.4839663474738</v>
      </c>
      <c r="I13" s="0" t="n">
        <f aca="false">I11+I12</f>
        <v>236.389508016429</v>
      </c>
      <c r="J13" s="0" t="n">
        <f aca="false">J11+J12</f>
        <v>361.675947265136</v>
      </c>
      <c r="K13" s="0" t="n">
        <f aca="false">K11+K12</f>
        <v>461.136832763049</v>
      </c>
      <c r="L13" s="0" t="n">
        <f aca="false">L11+L12</f>
        <v>501.716874046197</v>
      </c>
    </row>
    <row r="14" customFormat="false" ht="15" hidden="false" customHeight="false" outlineLevel="0" collapsed="false">
      <c r="A14" s="0" t="s">
        <v>136</v>
      </c>
      <c r="C14" s="4" t="n">
        <f aca="false">Assumptions!C19</f>
        <v>15</v>
      </c>
      <c r="D14" s="4" t="n">
        <f aca="false">Assumptions!D19</f>
        <v>8</v>
      </c>
      <c r="E14" s="4" t="n">
        <f aca="false">Assumptions!E19</f>
        <v>10</v>
      </c>
      <c r="F14" s="4" t="n">
        <f aca="false">Assumptions!F19</f>
        <v>18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151</v>
      </c>
      <c r="C15" s="0" t="n">
        <f aca="false">C13-MAX(0,C13)*C14/100</f>
        <v>144.07949565</v>
      </c>
      <c r="D15" s="0" t="n">
        <f aca="false">D13-MAX(0,D13)*D14/100</f>
        <v>-48.6212539500002</v>
      </c>
      <c r="E15" s="0" t="n">
        <f aca="false">E13-MAX(0,E13)*E14/100</f>
        <v>-131.277385665</v>
      </c>
      <c r="F15" s="0" t="n">
        <f aca="false">F13-MAX(0,F13)*F14/100</f>
        <v>-136.5284810916</v>
      </c>
      <c r="G15" s="0" t="n">
        <f aca="false">G13-MAX(0,G13)*G14/100</f>
        <v>-56.2497342097395</v>
      </c>
      <c r="H15" s="0" t="n">
        <f aca="false">H13-MAX(0,H13)*H14/100</f>
        <v>66.5926540875549</v>
      </c>
      <c r="I15" s="0" t="n">
        <f aca="false">I13-MAX(0,I13)*I14/100</f>
        <v>182.01992117265</v>
      </c>
      <c r="J15" s="0" t="n">
        <f aca="false">J13-MAX(0,J13)*J14/100</f>
        <v>278.490479394155</v>
      </c>
      <c r="K15" s="0" t="n">
        <f aca="false">K13-MAX(0,K13)*K14/100</f>
        <v>355.075361227548</v>
      </c>
      <c r="L15" s="0" t="n">
        <f aca="false">L13-MAX(0,L13)*L14/100</f>
        <v>386.321993015572</v>
      </c>
    </row>
    <row r="16" customFormat="false" ht="15" hidden="false" customHeight="false" outlineLevel="0" collapsed="false">
      <c r="A16" s="0" t="s">
        <v>152</v>
      </c>
      <c r="C16" s="0" t="n">
        <f aca="false">-C12</f>
        <v>780.6164625</v>
      </c>
      <c r="D16" s="0" t="n">
        <f aca="false">-D12</f>
        <v>1093.978213875</v>
      </c>
      <c r="E16" s="0" t="n">
        <f aca="false">-E12</f>
        <v>1365.284810916</v>
      </c>
      <c r="F16" s="0" t="n">
        <f aca="false">-F12</f>
        <v>1474.50759578928</v>
      </c>
      <c r="G16" s="0" t="n">
        <f aca="false">-G12</f>
        <v>1462.49308945322</v>
      </c>
      <c r="H16" s="0" t="n">
        <f aca="false">-H12</f>
        <v>1383.74346155958</v>
      </c>
      <c r="I16" s="0" t="n">
        <f aca="false">-I12</f>
        <v>1300.14229409036</v>
      </c>
      <c r="J16" s="0" t="n">
        <f aca="false">-J12</f>
        <v>1235.72615315588</v>
      </c>
      <c r="K16" s="0" t="n">
        <f aca="false">-K12</f>
        <v>1198.95576518393</v>
      </c>
      <c r="L16" s="0" t="n">
        <f aca="false">-L12</f>
        <v>1191.57757585972</v>
      </c>
    </row>
    <row r="17" customFormat="false" ht="15" hidden="false" customHeight="false" outlineLevel="0" collapsed="false">
      <c r="A17" s="0" t="s">
        <v>153</v>
      </c>
      <c r="C17" s="4" t="n">
        <f aca="false">-C6*Assumptions!C18/100</f>
        <v>-1918.086165</v>
      </c>
      <c r="D17" s="4" t="n">
        <f aca="false">-D6*Assumptions!D18/100</f>
        <v>-2820.0327291</v>
      </c>
      <c r="E17" s="4" t="n">
        <f aca="false">-E6*Assumptions!E18/100</f>
        <v>-1837.88339931</v>
      </c>
      <c r="F17" s="4" t="n">
        <f aca="false">-F6*Assumptions!F18/100</f>
        <v>-1201.45063360608</v>
      </c>
      <c r="G17" s="4" t="n">
        <f aca="false">-G6*Assumptions!G18/100</f>
        <v>-1124.99468419478</v>
      </c>
      <c r="H17" s="4" t="n">
        <f aca="false">-H6*Assumptions!H18/100</f>
        <v>-1153.11955129965</v>
      </c>
      <c r="I17" s="4" t="n">
        <f aca="false">-I6*Assumptions!I18/100</f>
        <v>-1181.94754008215</v>
      </c>
      <c r="J17" s="4" t="n">
        <f aca="false">-J6*Assumptions!J18/100</f>
        <v>-1205.58649088379</v>
      </c>
      <c r="K17" s="4" t="n">
        <f aca="false">-K6*Assumptions!K18/100</f>
        <v>-1198.95576518393</v>
      </c>
      <c r="L17" s="4" t="n">
        <f aca="false">-L6*Assumptions!L18/100</f>
        <v>-1222.93488048761</v>
      </c>
    </row>
    <row r="18" customFormat="false" ht="15" hidden="false" customHeight="false" outlineLevel="0" collapsed="false">
      <c r="A18" s="0" t="s">
        <v>154</v>
      </c>
      <c r="C18" s="4" t="n">
        <f aca="false">(C6-B6)*Assumptions!$B$23/100</f>
        <v>-12.624525</v>
      </c>
      <c r="D18" s="4" t="n">
        <f aca="false">(D6-C6)*Assumptions!$B$23/100</f>
        <v>-20.07299475</v>
      </c>
      <c r="E18" s="4" t="n">
        <f aca="false">(E6-D6)*Assumptions!$B$23/100</f>
        <v>-19.44850158</v>
      </c>
      <c r="F18" s="4" t="n">
        <f aca="false">(F6-E6)*Assumptions!$B$23/100</f>
        <v>-10.5021908532</v>
      </c>
      <c r="G18" s="4" t="n">
        <f aca="false">(G6-F6)*Assumptions!$B$23/100</f>
        <v>-8.191708865496</v>
      </c>
      <c r="H18" s="4" t="n">
        <f aca="false">(H6-G6)*Assumptions!$B$23/100</f>
        <v>-7.03121677621739</v>
      </c>
      <c r="I18" s="4" t="n">
        <f aca="false">(I6-H6)*Assumptions!$B$23/100</f>
        <v>-7.20699719562281</v>
      </c>
      <c r="J18" s="4" t="n">
        <f aca="false">(J6-I6)*Assumptions!$B$23/100</f>
        <v>-5.90973770041073</v>
      </c>
      <c r="K18" s="4" t="n">
        <f aca="false">(K6-J6)*Assumptions!$B$23/100</f>
        <v>-6.02793245441894</v>
      </c>
      <c r="L18" s="4" t="n">
        <f aca="false">(L6-K6)*Assumptions!$B$23/100</f>
        <v>-6.14849110350733</v>
      </c>
    </row>
    <row r="19" customFormat="false" ht="15" hidden="false" customHeight="false" outlineLevel="0" collapsed="false">
      <c r="A19" s="0" t="s">
        <v>155</v>
      </c>
      <c r="C19" s="0" t="n">
        <f aca="false">C15+C16+C17+C18</f>
        <v>-1006.01473185</v>
      </c>
      <c r="D19" s="0" t="n">
        <f aca="false">D15+D16+D17+D18</f>
        <v>-1794.748763925</v>
      </c>
      <c r="E19" s="0" t="n">
        <f aca="false">E15+E16+E17+E18</f>
        <v>-623.324475639</v>
      </c>
      <c r="F19" s="0" t="n">
        <f aca="false">F15+F16+F17+F18</f>
        <v>126.0262902384</v>
      </c>
      <c r="G19" s="0" t="n">
        <f aca="false">G15+G16+G17+G18</f>
        <v>273.0569621832</v>
      </c>
      <c r="H19" s="0" t="n">
        <f aca="false">H15+H16+H17+H18</f>
        <v>290.185347571268</v>
      </c>
      <c r="I19" s="0" t="n">
        <f aca="false">I15+I16+I17+I18</f>
        <v>293.007677985242</v>
      </c>
      <c r="J19" s="0" t="n">
        <f aca="false">J15+J16+J17+J18</f>
        <v>302.720403965839</v>
      </c>
      <c r="K19" s="0" t="n">
        <f aca="false">K15+K16+K17+K18</f>
        <v>349.047428773129</v>
      </c>
      <c r="L19" s="0" t="n">
        <f aca="false">L15+L16+L17+L18</f>
        <v>348.816197284177</v>
      </c>
    </row>
    <row r="20" customFormat="false" ht="15" hidden="false" customHeight="false" outlineLevel="0" collapsed="false">
      <c r="A20" s="0" t="s">
        <v>156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157</v>
      </c>
      <c r="C21" s="0" t="n">
        <f aca="false">C19*C20</f>
        <v>-927.202517834101</v>
      </c>
      <c r="D21" s="0" t="n">
        <f aca="false">D19*D20</f>
        <v>-1524.55882598908</v>
      </c>
      <c r="E21" s="0" t="n">
        <f aca="false">E19*E20</f>
        <v>-488.005779927861</v>
      </c>
      <c r="F21" s="0" t="n">
        <f aca="false">F19*F20</f>
        <v>90.9373301777187</v>
      </c>
      <c r="G21" s="0" t="n">
        <f aca="false">G19*G20</f>
        <v>181.595282996981</v>
      </c>
      <c r="H21" s="0" t="n">
        <f aca="false">H19*H20</f>
        <v>177.867684154503</v>
      </c>
      <c r="I21" s="0" t="n">
        <f aca="false">I19*I20</f>
        <v>165.527758272596</v>
      </c>
      <c r="J21" s="0" t="n">
        <f aca="false">J19*J20</f>
        <v>157.617265545503</v>
      </c>
      <c r="K21" s="0" t="n">
        <f aca="false">K19*K20</f>
        <v>167.500766789196</v>
      </c>
      <c r="L21" s="0" t="n">
        <f aca="false">L19*L20</f>
        <v>154.276316587424</v>
      </c>
    </row>
    <row r="23" customFormat="false" ht="15" hidden="false" customHeight="false" outlineLevel="0" collapsed="false">
      <c r="A23" s="0" t="s">
        <v>133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158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159</v>
      </c>
    </row>
    <row r="27" customFormat="false" ht="15" hidden="false" customHeight="false" outlineLevel="0" collapsed="false">
      <c r="A27" s="0" t="s">
        <v>137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138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139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160</v>
      </c>
      <c r="B30" s="0" t="n">
        <f aca="false">SUM(C21:L21)</f>
        <v>-1844.44471922713</v>
      </c>
    </row>
    <row r="31" customFormat="false" ht="15" hidden="false" customHeight="false" outlineLevel="0" collapsed="false">
      <c r="A31" s="0" t="s">
        <v>161</v>
      </c>
      <c r="B31" s="0" t="n">
        <f aca="false">L19</f>
        <v>348.816197284177</v>
      </c>
    </row>
    <row r="32" customFormat="false" ht="15" hidden="false" customHeight="false" outlineLevel="0" collapsed="false">
      <c r="A32" s="0" t="s">
        <v>162</v>
      </c>
      <c r="B32" s="0" t="n">
        <f aca="false">IF(B27&gt;B28,B31*(1+B28/100)/((B27-B28)/100),B31*B29)</f>
        <v>5958.94337027136</v>
      </c>
    </row>
    <row r="33" customFormat="false" ht="15" hidden="false" customHeight="false" outlineLevel="0" collapsed="false">
      <c r="A33" s="0" t="s">
        <v>163</v>
      </c>
      <c r="B33" s="0" t="n">
        <f aca="false">B31*B29</f>
        <v>4185.79436741012</v>
      </c>
    </row>
    <row r="34" customFormat="false" ht="15" hidden="false" customHeight="false" outlineLevel="0" collapsed="false">
      <c r="A34" s="0" t="s">
        <v>164</v>
      </c>
      <c r="B34" s="0" t="n">
        <f aca="false">MAX(0,MIN(B32,B33))</f>
        <v>4185.79436741012</v>
      </c>
    </row>
    <row r="35" customFormat="false" ht="15" hidden="false" customHeight="false" outlineLevel="0" collapsed="false">
      <c r="A35" s="0" t="s">
        <v>165</v>
      </c>
      <c r="B35" s="0" t="n">
        <f aca="false">B34/(1+B27/100)^L4</f>
        <v>1851.31579904909</v>
      </c>
    </row>
    <row r="36" customFormat="false" ht="15" hidden="false" customHeight="false" outlineLevel="0" collapsed="false">
      <c r="A36" s="0" t="s">
        <v>166</v>
      </c>
      <c r="B36" s="0" t="n">
        <f aca="false">B30+B35</f>
        <v>6.87107982195994</v>
      </c>
    </row>
    <row r="37" customFormat="false" ht="15" hidden="false" customHeight="false" outlineLevel="0" collapsed="false">
      <c r="A37" s="0" t="s">
        <v>167</v>
      </c>
      <c r="B37" s="0" t="n">
        <f aca="false">B36+Assumptions!$B$5-Assumptions!$B$4</f>
        <v>-2988.52892017804</v>
      </c>
    </row>
    <row r="38" customFormat="false" ht="15" hidden="false" customHeight="false" outlineLevel="0" collapsed="false">
      <c r="A38" s="0" t="s">
        <v>168</v>
      </c>
      <c r="B38" s="0" t="n">
        <f aca="false">B37/Assumptions!$B$3*Assumptions!$B$10</f>
        <v>-19.9062740303606</v>
      </c>
    </row>
    <row r="39" customFormat="false" ht="15" hidden="false" customHeight="false" outlineLevel="0" collapsed="false">
      <c r="A39" s="0" t="s">
        <v>169</v>
      </c>
      <c r="B39" s="4" t="n">
        <f aca="false">B38/Assumptions!$B$2-1</f>
        <v>-1.18029412218423</v>
      </c>
    </row>
    <row r="41" customFormat="false" ht="15" hidden="false" customHeight="false" outlineLevel="0" collapsed="false">
      <c r="A41" s="0" t="s">
        <v>170</v>
      </c>
      <c r="B41" s="0" t="n">
        <f aca="false">SUMPRODUCT(-C10:L10/(1+$B$27/100)^C4:L4)</f>
        <v>5061.85092054971</v>
      </c>
    </row>
    <row r="42" customFormat="false" ht="15" hidden="false" customHeight="false" outlineLevel="0" collapsed="false">
      <c r="A42" s="0" t="s">
        <v>171</v>
      </c>
      <c r="B42" s="0" t="n">
        <f aca="false">IF(B27&gt;B28,-L10*(1+B28/100)/((B27-B28)/100),-L10*20)/(1+B27/100)^L4</f>
        <v>5686.24018163124</v>
      </c>
    </row>
    <row r="43" customFormat="false" ht="15" hidden="false" customHeight="false" outlineLevel="0" collapsed="false">
      <c r="A43" s="0" t="s">
        <v>172</v>
      </c>
      <c r="B43" s="0" t="n">
        <f aca="false">(B37+B41+B42)/Assumptions!$B$3*Assumptions!$B$10</f>
        <v>51.6856203423893</v>
      </c>
    </row>
    <row r="45" customFormat="false" ht="15" hidden="false" customHeight="false" outlineLevel="0" collapsed="false">
      <c r="A45" s="0" t="s">
        <v>113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173</v>
      </c>
      <c r="B46" s="0" t="n">
        <f aca="false">MAX(0,MIN(IF(B45&gt;B28,B31*(1+B28/100)/((B45-B28)/100),B31*B29),B31*B29))</f>
        <v>2860.29281773025</v>
      </c>
    </row>
    <row r="47" customFormat="false" ht="15" hidden="false" customHeight="false" outlineLevel="0" collapsed="false">
      <c r="A47" s="0" t="s">
        <v>174</v>
      </c>
      <c r="B47" s="0" t="n">
        <f aca="false">(SUMPRODUCT(C19:L19/(1+B45/100)^C4:L4)+B46/(1+B45/100)^L4+Assumptions!$B$5-Assumptions!$B$4)/Assumptions!$B$3*Assumptions!$B$10</f>
        <v>-27.9909720901046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175</v>
      </c>
    </row>
    <row r="3" customFormat="false" ht="15" hidden="false" customHeight="false" outlineLevel="0" collapsed="false">
      <c r="A3" s="0" t="s">
        <v>145</v>
      </c>
      <c r="B3" s="0" t="s">
        <v>107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</row>
    <row r="4" customFormat="false" ht="15" hidden="false" customHeight="false" outlineLevel="0" collapsed="false">
      <c r="A4" s="0" t="s">
        <v>146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130</v>
      </c>
      <c r="C5" s="4" t="n">
        <f aca="false">Assumptions!C27</f>
        <v>6.6</v>
      </c>
      <c r="D5" s="4" t="n">
        <f aca="false">Assumptions!D27</f>
        <v>16</v>
      </c>
      <c r="E5" s="4" t="n">
        <f aca="false">Assumptions!E27</f>
        <v>17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62</v>
      </c>
      <c r="B6" s="3" t="n">
        <v>4208.175</v>
      </c>
      <c r="C6" s="0" t="n">
        <f aca="false">B6*(1+C5/100)</f>
        <v>4485.91455</v>
      </c>
      <c r="D6" s="0" t="n">
        <f aca="false">C6*(1+D5/100)</f>
        <v>5203.660878</v>
      </c>
      <c r="E6" s="0" t="n">
        <f aca="false">D6*(1+E5/100)</f>
        <v>6088.28322726</v>
      </c>
      <c r="F6" s="0" t="n">
        <f aca="false">E6*(1+F5/100)</f>
        <v>6575.3458854408</v>
      </c>
      <c r="G6" s="0" t="n">
        <f aca="false">F6*(1+G5/100)</f>
        <v>6969.86663856725</v>
      </c>
      <c r="H6" s="0" t="n">
        <f aca="false">G6*(1+H5/100)</f>
        <v>7318.35997049561</v>
      </c>
      <c r="I6" s="0" t="n">
        <f aca="false">H6*(1+I5/100)</f>
        <v>7647.68616916791</v>
      </c>
      <c r="J6" s="0" t="n">
        <f aca="false">I6*(1+J5/100)</f>
        <v>7953.59361593463</v>
      </c>
      <c r="K6" s="0" t="n">
        <f aca="false">J6*(1+K5/100)</f>
        <v>8231.96939249234</v>
      </c>
      <c r="L6" s="0" t="n">
        <f aca="false">K6*(1+L5/100)</f>
        <v>8478.92847426711</v>
      </c>
    </row>
    <row r="7" customFormat="false" ht="15" hidden="false" customHeight="false" outlineLevel="0" collapsed="false">
      <c r="A7" s="0" t="s">
        <v>131</v>
      </c>
      <c r="C7" s="4" t="n">
        <f aca="false">Assumptions!C28</f>
        <v>38.5</v>
      </c>
      <c r="D7" s="4" t="n">
        <f aca="false">Assumptions!D28</f>
        <v>39.5</v>
      </c>
      <c r="E7" s="4" t="n">
        <f aca="false">Assumptions!E28</f>
        <v>42</v>
      </c>
      <c r="F7" s="4" t="n">
        <f aca="false">Assumptions!F28</f>
        <v>43.5</v>
      </c>
      <c r="G7" s="4" t="n">
        <f aca="false">Assumptions!G28</f>
        <v>44</v>
      </c>
      <c r="H7" s="4" t="n">
        <f aca="false">Assumptions!H28</f>
        <v>44.5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44.5</v>
      </c>
      <c r="L7" s="4" t="n">
        <f aca="false">Assumptions!L28</f>
        <v>44.5</v>
      </c>
    </row>
    <row r="8" customFormat="false" ht="15" hidden="false" customHeight="false" outlineLevel="0" collapsed="false">
      <c r="A8" s="0" t="s">
        <v>68</v>
      </c>
      <c r="C8" s="0" t="n">
        <f aca="false">C6*C7/100</f>
        <v>1727.07710175</v>
      </c>
      <c r="D8" s="0" t="n">
        <f aca="false">D6*D7/100</f>
        <v>2055.44604681</v>
      </c>
      <c r="E8" s="0" t="n">
        <f aca="false">E6*E7/100</f>
        <v>2557.0789554492</v>
      </c>
      <c r="F8" s="0" t="n">
        <f aca="false">F6*F7/100</f>
        <v>2860.27546016675</v>
      </c>
      <c r="G8" s="0" t="n">
        <f aca="false">G6*G7/100</f>
        <v>3066.74132096959</v>
      </c>
      <c r="H8" s="0" t="n">
        <f aca="false">H6*H7/100</f>
        <v>3256.67018687055</v>
      </c>
      <c r="I8" s="0" t="n">
        <f aca="false">I6*I7/100</f>
        <v>3403.22034527972</v>
      </c>
      <c r="J8" s="0" t="n">
        <f aca="false">J6*J7/100</f>
        <v>3539.34915909091</v>
      </c>
      <c r="K8" s="0" t="n">
        <f aca="false">K6*K7/100</f>
        <v>3663.22637965909</v>
      </c>
      <c r="L8" s="0" t="n">
        <f aca="false">L6*L7/100</f>
        <v>3773.12317104886</v>
      </c>
    </row>
    <row r="9" customFormat="false" ht="15" hidden="false" customHeight="false" outlineLevel="0" collapsed="false">
      <c r="A9" s="0" t="s">
        <v>132</v>
      </c>
      <c r="C9" s="4" t="n">
        <f aca="false">Assumptions!C29</f>
        <v>16.9</v>
      </c>
      <c r="D9" s="4" t="n">
        <f aca="false">Assumptions!D29</f>
        <v>15.4</v>
      </c>
      <c r="E9" s="4" t="n">
        <f aca="false">Assumptions!E29</f>
        <v>13.8</v>
      </c>
      <c r="F9" s="4" t="n">
        <f aca="false">Assumptions!F29</f>
        <v>13.3</v>
      </c>
      <c r="G9" s="4" t="n">
        <f aca="false">Assumptions!G29</f>
        <v>12.8</v>
      </c>
      <c r="H9" s="4" t="n">
        <f aca="false">Assumptions!H29</f>
        <v>12.3</v>
      </c>
      <c r="I9" s="4" t="n">
        <f aca="false">Assumptions!I29</f>
        <v>11.8</v>
      </c>
      <c r="J9" s="4" t="n">
        <f aca="false">Assumptions!J29</f>
        <v>11.3</v>
      </c>
      <c r="K9" s="4" t="n">
        <f aca="false">Assumptions!K29</f>
        <v>10.8</v>
      </c>
      <c r="L9" s="4" t="n">
        <f aca="false">Assumptions!L29</f>
        <v>10.5</v>
      </c>
    </row>
    <row r="10" customFormat="false" ht="15" hidden="false" customHeight="false" outlineLevel="0" collapsed="false">
      <c r="A10" s="0" t="s">
        <v>147</v>
      </c>
      <c r="C10" s="0" t="n">
        <f aca="false">-C6*C9/100</f>
        <v>-758.11955895</v>
      </c>
      <c r="D10" s="0" t="n">
        <f aca="false">-D6*D9/100</f>
        <v>-801.363775212</v>
      </c>
      <c r="E10" s="0" t="n">
        <f aca="false">-E6*E9/100</f>
        <v>-840.18308536188</v>
      </c>
      <c r="F10" s="0" t="n">
        <f aca="false">-F6*F9/100</f>
        <v>-874.521002763626</v>
      </c>
      <c r="G10" s="0" t="n">
        <f aca="false">-G6*G9/100</f>
        <v>-892.142929736608</v>
      </c>
      <c r="H10" s="0" t="n">
        <f aca="false">-H6*H9/100</f>
        <v>-900.15827637096</v>
      </c>
      <c r="I10" s="0" t="n">
        <f aca="false">-I6*I9/100</f>
        <v>-902.426967961814</v>
      </c>
      <c r="J10" s="0" t="n">
        <f aca="false">-J6*J9/100</f>
        <v>-898.756078600613</v>
      </c>
      <c r="K10" s="0" t="n">
        <f aca="false">-K6*K9/100</f>
        <v>-889.052694389173</v>
      </c>
      <c r="L10" s="0" t="n">
        <f aca="false">-L6*L9/100</f>
        <v>-890.287489798047</v>
      </c>
    </row>
    <row r="11" customFormat="false" ht="15" hidden="false" customHeight="false" outlineLevel="0" collapsed="false">
      <c r="A11" s="0" t="s">
        <v>148</v>
      </c>
      <c r="C11" s="0" t="n">
        <f aca="false">C8+C10+C24</f>
        <v>968.9575428</v>
      </c>
      <c r="D11" s="0" t="n">
        <f aca="false">D8+D10+D24</f>
        <v>1254.082271598</v>
      </c>
      <c r="E11" s="0" t="n">
        <f aca="false">E8+E10+E24</f>
        <v>1716.89587008732</v>
      </c>
      <c r="F11" s="0" t="n">
        <f aca="false">F8+F10+F24</f>
        <v>1985.75445740312</v>
      </c>
      <c r="G11" s="0" t="n">
        <f aca="false">G8+G10+G24</f>
        <v>2174.59839123298</v>
      </c>
      <c r="H11" s="0" t="n">
        <f aca="false">H8+H10+H24</f>
        <v>2356.51191049959</v>
      </c>
      <c r="I11" s="0" t="n">
        <f aca="false">I8+I10+I24</f>
        <v>2500.79337731791</v>
      </c>
      <c r="J11" s="0" t="n">
        <f aca="false">J8+J10+J24</f>
        <v>2640.5930804903</v>
      </c>
      <c r="K11" s="0" t="n">
        <f aca="false">K8+K10+K24</f>
        <v>2774.17368526992</v>
      </c>
      <c r="L11" s="0" t="n">
        <f aca="false">L8+L10+L24</f>
        <v>2882.83568125082</v>
      </c>
    </row>
    <row r="12" customFormat="false" ht="15" hidden="false" customHeight="false" outlineLevel="0" collapsed="false">
      <c r="A12" s="0" t="s">
        <v>149</v>
      </c>
      <c r="C12" s="4" t="n">
        <f aca="false">-C6*Assumptions!C31/100</f>
        <v>-785.03504625</v>
      </c>
      <c r="D12" s="4" t="n">
        <f aca="false">-D6*Assumptions!D31/100</f>
        <v>-1228.063967208</v>
      </c>
      <c r="E12" s="4" t="n">
        <f aca="false">-E6*Assumptions!E31/100</f>
        <v>-1698.63102040554</v>
      </c>
      <c r="F12" s="4" t="n">
        <f aca="false">-F6*Assumptions!F31/100</f>
        <v>-1946.30238209048</v>
      </c>
      <c r="G12" s="4" t="n">
        <f aca="false">-G6*Assumptions!G31/100</f>
        <v>-1951.56265879883</v>
      </c>
      <c r="H12" s="4" t="n">
        <f aca="false">-H6*Assumptions!H31/100</f>
        <v>-1902.77359232886</v>
      </c>
      <c r="I12" s="4" t="n">
        <f aca="false">-I6*Assumptions!I31/100</f>
        <v>-1835.4446806003</v>
      </c>
      <c r="J12" s="4" t="n">
        <f aca="false">-J6*Assumptions!J31/100</f>
        <v>-1749.79059550562</v>
      </c>
      <c r="K12" s="4" t="n">
        <f aca="false">-K6*Assumptions!K31/100</f>
        <v>-1728.71357242339</v>
      </c>
      <c r="L12" s="4" t="n">
        <f aca="false">-L6*Assumptions!L31/100</f>
        <v>-1738.18033722476</v>
      </c>
    </row>
    <row r="13" customFormat="false" ht="15" hidden="false" customHeight="false" outlineLevel="0" collapsed="false">
      <c r="A13" s="0" t="s">
        <v>150</v>
      </c>
      <c r="C13" s="0" t="n">
        <f aca="false">C11+C12</f>
        <v>183.92249655</v>
      </c>
      <c r="D13" s="0" t="n">
        <f aca="false">D11+D12</f>
        <v>26.0183043900001</v>
      </c>
      <c r="E13" s="0" t="n">
        <f aca="false">E11+E12</f>
        <v>18.2648496817799</v>
      </c>
      <c r="F13" s="0" t="n">
        <f aca="false">F11+F12</f>
        <v>39.4520753126449</v>
      </c>
      <c r="G13" s="0" t="n">
        <f aca="false">G11+G12</f>
        <v>223.035732434152</v>
      </c>
      <c r="H13" s="0" t="n">
        <f aca="false">H11+H12</f>
        <v>453.738318170728</v>
      </c>
      <c r="I13" s="0" t="n">
        <f aca="false">I11+I12</f>
        <v>665.348696717608</v>
      </c>
      <c r="J13" s="0" t="n">
        <f aca="false">J11+J12</f>
        <v>890.802484984679</v>
      </c>
      <c r="K13" s="0" t="n">
        <f aca="false">K11+K12</f>
        <v>1045.46011284653</v>
      </c>
      <c r="L13" s="0" t="n">
        <f aca="false">L11+L12</f>
        <v>1144.65534402606</v>
      </c>
    </row>
    <row r="14" customFormat="false" ht="15" hidden="false" customHeight="false" outlineLevel="0" collapsed="false">
      <c r="A14" s="0" t="s">
        <v>136</v>
      </c>
      <c r="C14" s="4" t="n">
        <f aca="false">Assumptions!C33</f>
        <v>15</v>
      </c>
      <c r="D14" s="4" t="n">
        <f aca="false">Assumptions!D33</f>
        <v>8</v>
      </c>
      <c r="E14" s="4" t="n">
        <f aca="false">Assumptions!E33</f>
        <v>10</v>
      </c>
      <c r="F14" s="4" t="n">
        <f aca="false">Assumptions!F33</f>
        <v>18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151</v>
      </c>
      <c r="C15" s="0" t="n">
        <f aca="false">C13-MAX(0,C13)*C14/100</f>
        <v>156.3341220675</v>
      </c>
      <c r="D15" s="0" t="n">
        <f aca="false">D13-MAX(0,D13)*D14/100</f>
        <v>23.9368400388001</v>
      </c>
      <c r="E15" s="0" t="n">
        <f aca="false">E13-MAX(0,E13)*E14/100</f>
        <v>16.4383647136019</v>
      </c>
      <c r="F15" s="0" t="n">
        <f aca="false">F13-MAX(0,F13)*F14/100</f>
        <v>32.3507017563688</v>
      </c>
      <c r="G15" s="0" t="n">
        <f aca="false">G13-MAX(0,G13)*G14/100</f>
        <v>171.737513974297</v>
      </c>
      <c r="H15" s="0" t="n">
        <f aca="false">H13-MAX(0,H13)*H14/100</f>
        <v>349.37850499146</v>
      </c>
      <c r="I15" s="0" t="n">
        <f aca="false">I13-MAX(0,I13)*I14/100</f>
        <v>512.318496472558</v>
      </c>
      <c r="J15" s="0" t="n">
        <f aca="false">J13-MAX(0,J13)*J14/100</f>
        <v>685.917913438203</v>
      </c>
      <c r="K15" s="0" t="n">
        <f aca="false">K13-MAX(0,K13)*K14/100</f>
        <v>805.004286891826</v>
      </c>
      <c r="L15" s="0" t="n">
        <f aca="false">L13-MAX(0,L13)*L14/100</f>
        <v>881.384614900066</v>
      </c>
    </row>
    <row r="16" customFormat="false" ht="15" hidden="false" customHeight="false" outlineLevel="0" collapsed="false">
      <c r="A16" s="0" t="s">
        <v>152</v>
      </c>
      <c r="C16" s="0" t="n">
        <f aca="false">-C12</f>
        <v>785.03504625</v>
      </c>
      <c r="D16" s="0" t="n">
        <f aca="false">-D12</f>
        <v>1228.063967208</v>
      </c>
      <c r="E16" s="0" t="n">
        <f aca="false">-E12</f>
        <v>1698.63102040554</v>
      </c>
      <c r="F16" s="0" t="n">
        <f aca="false">-F12</f>
        <v>1946.30238209048</v>
      </c>
      <c r="G16" s="0" t="n">
        <f aca="false">-G12</f>
        <v>1951.56265879883</v>
      </c>
      <c r="H16" s="0" t="n">
        <f aca="false">-H12</f>
        <v>1902.77359232886</v>
      </c>
      <c r="I16" s="0" t="n">
        <f aca="false">-I12</f>
        <v>1835.4446806003</v>
      </c>
      <c r="J16" s="0" t="n">
        <f aca="false">-J12</f>
        <v>1749.79059550562</v>
      </c>
      <c r="K16" s="0" t="n">
        <f aca="false">-K12</f>
        <v>1728.71357242339</v>
      </c>
      <c r="L16" s="0" t="n">
        <f aca="false">-L12</f>
        <v>1738.18033722476</v>
      </c>
    </row>
    <row r="17" customFormat="false" ht="15" hidden="false" customHeight="false" outlineLevel="0" collapsed="false">
      <c r="A17" s="0" t="s">
        <v>153</v>
      </c>
      <c r="C17" s="4" t="n">
        <f aca="false">-C6*Assumptions!C32/100</f>
        <v>-1928.9432565</v>
      </c>
      <c r="D17" s="4" t="n">
        <f aca="false">-D6*Assumptions!D32/100</f>
        <v>-3434.41617948</v>
      </c>
      <c r="E17" s="4" t="n">
        <f aca="false">-E6*Assumptions!E32/100</f>
        <v>-2739.727452267</v>
      </c>
      <c r="F17" s="4" t="n">
        <f aca="false">-F6*Assumptions!F32/100</f>
        <v>-1775.34338906902</v>
      </c>
      <c r="G17" s="4" t="n">
        <f aca="false">-G6*Assumptions!G32/100</f>
        <v>-1533.37066048479</v>
      </c>
      <c r="H17" s="4" t="n">
        <f aca="false">-H6*Assumptions!H32/100</f>
        <v>-1536.85559380408</v>
      </c>
      <c r="I17" s="4" t="n">
        <f aca="false">-I6*Assumptions!I32/100</f>
        <v>-1682.49095721694</v>
      </c>
      <c r="J17" s="4" t="n">
        <f aca="false">-J6*Assumptions!J32/100</f>
        <v>-1829.32653166497</v>
      </c>
      <c r="K17" s="4" t="n">
        <f aca="false">-K6*Assumptions!K32/100</f>
        <v>-1811.03326634832</v>
      </c>
      <c r="L17" s="4" t="n">
        <f aca="false">-L6*Assumptions!L32/100</f>
        <v>-1822.96962196743</v>
      </c>
    </row>
    <row r="18" customFormat="false" ht="15" hidden="false" customHeight="false" outlineLevel="0" collapsed="false">
      <c r="A18" s="0" t="s">
        <v>154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155</v>
      </c>
      <c r="C19" s="0" t="n">
        <f aca="false">C15+C16+C17+C18</f>
        <v>-987.5740881825</v>
      </c>
      <c r="D19" s="0" t="n">
        <f aca="false">D15+D16+D17+D18</f>
        <v>-2182.4153722332</v>
      </c>
      <c r="E19" s="0" t="n">
        <f aca="false">E15+E16+E17+E18</f>
        <v>-1024.65806714786</v>
      </c>
      <c r="F19" s="0" t="n">
        <f aca="false">F15+F16+F17+F18</f>
        <v>203.30969477783</v>
      </c>
      <c r="G19" s="0" t="n">
        <f aca="false">G15+G16+G17+G18</f>
        <v>589.929512288332</v>
      </c>
      <c r="H19" s="0" t="n">
        <f aca="false">H15+H16+H17+H18</f>
        <v>715.296503516241</v>
      </c>
      <c r="I19" s="0" t="n">
        <f aca="false">I15+I16+I17+I18</f>
        <v>665.272219855917</v>
      </c>
      <c r="J19" s="0" t="n">
        <f aca="false">J15+J16+J17+J18</f>
        <v>606.381977278857</v>
      </c>
      <c r="K19" s="0" t="n">
        <f aca="false">K15+K16+K17+K18</f>
        <v>722.684592966903</v>
      </c>
      <c r="L19" s="0" t="n">
        <f aca="false">L15+L16+L17+L18</f>
        <v>796.595330157395</v>
      </c>
    </row>
    <row r="20" customFormat="false" ht="15" hidden="false" customHeight="false" outlineLevel="0" collapsed="false">
      <c r="A20" s="0" t="s">
        <v>156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157</v>
      </c>
      <c r="C21" s="0" t="n">
        <f aca="false">C19*C20</f>
        <v>-910.206532887097</v>
      </c>
      <c r="D21" s="0" t="n">
        <f aca="false">D19*D20</f>
        <v>-1853.86427593128</v>
      </c>
      <c r="E21" s="0" t="n">
        <f aca="false">E19*E20</f>
        <v>-802.213098892436</v>
      </c>
      <c r="F21" s="0" t="n">
        <f aca="false">F19*F20</f>
        <v>146.703047494049</v>
      </c>
      <c r="G21" s="0" t="n">
        <f aca="false">G19*G20</f>
        <v>392.329922210134</v>
      </c>
      <c r="H21" s="0" t="n">
        <f aca="false">H19*H20</f>
        <v>438.437480145343</v>
      </c>
      <c r="I21" s="0" t="n">
        <f aca="false">I19*I20</f>
        <v>375.829807433682</v>
      </c>
      <c r="J21" s="0" t="n">
        <f aca="false">J19*J20</f>
        <v>315.724569215209</v>
      </c>
      <c r="K21" s="0" t="n">
        <f aca="false">K19*K20</f>
        <v>346.801647828133</v>
      </c>
      <c r="L21" s="0" t="n">
        <f aca="false">L19*L20</f>
        <v>352.322496215116</v>
      </c>
    </row>
    <row r="23" customFormat="false" ht="15" hidden="false" customHeight="false" outlineLevel="0" collapsed="false">
      <c r="A23" s="0" t="s">
        <v>133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158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159</v>
      </c>
    </row>
    <row r="27" customFormat="false" ht="15" hidden="false" customHeight="false" outlineLevel="0" collapsed="false">
      <c r="A27" s="0" t="s">
        <v>137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138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139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160</v>
      </c>
      <c r="B30" s="0" t="n">
        <f aca="false">SUM(C21:L21)</f>
        <v>-1198.13493716915</v>
      </c>
    </row>
    <row r="31" customFormat="false" ht="15" hidden="false" customHeight="false" outlineLevel="0" collapsed="false">
      <c r="A31" s="0" t="s">
        <v>161</v>
      </c>
      <c r="B31" s="0" t="n">
        <f aca="false">L19</f>
        <v>796.595330157395</v>
      </c>
    </row>
    <row r="32" customFormat="false" ht="15" hidden="false" customHeight="false" outlineLevel="0" collapsed="false">
      <c r="A32" s="0" t="s">
        <v>162</v>
      </c>
      <c r="B32" s="0" t="n">
        <f aca="false">IF(B27&gt;B28,B31*(1+B28/100)/((B27-B28)/100),B31*B29)</f>
        <v>13608.5035568555</v>
      </c>
    </row>
    <row r="33" customFormat="false" ht="15" hidden="false" customHeight="false" outlineLevel="0" collapsed="false">
      <c r="A33" s="0" t="s">
        <v>163</v>
      </c>
      <c r="B33" s="0" t="n">
        <f aca="false">B31*B29</f>
        <v>12745.5252825183</v>
      </c>
    </row>
    <row r="34" customFormat="false" ht="15" hidden="false" customHeight="false" outlineLevel="0" collapsed="false">
      <c r="A34" s="0" t="s">
        <v>164</v>
      </c>
      <c r="B34" s="0" t="n">
        <f aca="false">MAX(0,MIN(B32,B33))</f>
        <v>12745.5252825183</v>
      </c>
    </row>
    <row r="35" customFormat="false" ht="15" hidden="false" customHeight="false" outlineLevel="0" collapsed="false">
      <c r="A35" s="0" t="s">
        <v>165</v>
      </c>
      <c r="B35" s="0" t="n">
        <f aca="false">B34/(1+B27/100)^L4</f>
        <v>5637.15993944186</v>
      </c>
    </row>
    <row r="36" customFormat="false" ht="15" hidden="false" customHeight="false" outlineLevel="0" collapsed="false">
      <c r="A36" s="0" t="s">
        <v>166</v>
      </c>
      <c r="B36" s="0" t="n">
        <f aca="false">B30+B35</f>
        <v>4439.02500227271</v>
      </c>
    </row>
    <row r="37" customFormat="false" ht="15" hidden="false" customHeight="false" outlineLevel="0" collapsed="false">
      <c r="A37" s="0" t="s">
        <v>167</v>
      </c>
      <c r="B37" s="0" t="n">
        <f aca="false">B36+Assumptions!$B$5-Assumptions!$B$4</f>
        <v>1443.62500227271</v>
      </c>
    </row>
    <row r="38" customFormat="false" ht="15" hidden="false" customHeight="false" outlineLevel="0" collapsed="false">
      <c r="A38" s="0" t="s">
        <v>168</v>
      </c>
      <c r="B38" s="0" t="n">
        <f aca="false">B37/Assumptions!$B$3*Assumptions!$B$10</f>
        <v>9.61583295991949</v>
      </c>
    </row>
    <row r="39" customFormat="false" ht="15" hidden="false" customHeight="false" outlineLevel="0" collapsed="false">
      <c r="A39" s="0" t="s">
        <v>169</v>
      </c>
      <c r="B39" s="4" t="n">
        <f aca="false">B38/Assumptions!$B$2-1</f>
        <v>-0.91290795254126</v>
      </c>
    </row>
    <row r="41" customFormat="false" ht="15" hidden="false" customHeight="false" outlineLevel="0" collapsed="false">
      <c r="A41" s="0" t="s">
        <v>170</v>
      </c>
      <c r="B41" s="0" t="n">
        <f aca="false">SUMPRODUCT(-C10:L10/(1+$B$27/100)^C4:L4)</f>
        <v>5611.49067171406</v>
      </c>
    </row>
    <row r="42" customFormat="false" ht="15" hidden="false" customHeight="false" outlineLevel="0" collapsed="false">
      <c r="A42" s="0" t="s">
        <v>171</v>
      </c>
      <c r="B42" s="0" t="n">
        <f aca="false">IF(B27&gt;B28,-L10*(1+B28/100)/((B27-B28)/100),-L10*20)/(1+B27/100)^L4</f>
        <v>6726.7533537612</v>
      </c>
    </row>
    <row r="43" customFormat="false" ht="15" hidden="false" customHeight="false" outlineLevel="0" collapsed="false">
      <c r="A43" s="0" t="s">
        <v>172</v>
      </c>
      <c r="B43" s="0" t="n">
        <f aca="false">(B37+B41+B42)/Assumptions!$B$3*Assumptions!$B$10</f>
        <v>91.7995672267233</v>
      </c>
    </row>
    <row r="45" customFormat="false" ht="15" hidden="false" customHeight="false" outlineLevel="0" collapsed="false">
      <c r="A45" s="0" t="s">
        <v>113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173</v>
      </c>
      <c r="B46" s="0" t="n">
        <f aca="false">MAX(0,MIN(IF(B45&gt;B28,B31*(1+B28/100)/((B45-B28)/100),B31*B29),B31*B29))</f>
        <v>6532.08170729064</v>
      </c>
    </row>
    <row r="47" customFormat="false" ht="15" hidden="false" customHeight="false" outlineLevel="0" collapsed="false">
      <c r="A47" s="0" t="s">
        <v>174</v>
      </c>
      <c r="B47" s="0" t="n">
        <f aca="false">(SUMPRODUCT(C19:L19/(1+B45/100)^C4:L4)+B46/(1+B45/100)^L4+Assumptions!$B$5-Assumptions!$B$4)/Assumptions!$B$3*Assumptions!$B$10</f>
        <v>-19.9428999447955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176</v>
      </c>
    </row>
    <row r="3" customFormat="false" ht="15" hidden="false" customHeight="false" outlineLevel="0" collapsed="false">
      <c r="A3" s="0" t="s">
        <v>145</v>
      </c>
      <c r="B3" s="0" t="s">
        <v>107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</row>
    <row r="4" customFormat="false" ht="15" hidden="false" customHeight="false" outlineLevel="0" collapsed="false">
      <c r="A4" s="0" t="s">
        <v>146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130</v>
      </c>
      <c r="C5" s="4" t="n">
        <f aca="false">Assumptions!C41</f>
        <v>7.2</v>
      </c>
      <c r="D5" s="4" t="n">
        <f aca="false">Assumptions!D41</f>
        <v>20</v>
      </c>
      <c r="E5" s="4" t="n">
        <f aca="false">Assumptions!E41</f>
        <v>22</v>
      </c>
      <c r="F5" s="4" t="n">
        <f aca="false">Assumptions!F41</f>
        <v>12</v>
      </c>
      <c r="G5" s="4" t="n">
        <f aca="false">Assumptions!G41</f>
        <v>9</v>
      </c>
      <c r="H5" s="4" t="n">
        <f aca="false">Assumptions!H41</f>
        <v>7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62</v>
      </c>
      <c r="B6" s="3" t="n">
        <v>4208.175</v>
      </c>
      <c r="C6" s="0" t="n">
        <f aca="false">B6*(1+C5/100)</f>
        <v>4511.1636</v>
      </c>
      <c r="D6" s="0" t="n">
        <f aca="false">C6*(1+D5/100)</f>
        <v>5413.39632</v>
      </c>
      <c r="E6" s="0" t="n">
        <f aca="false">D6*(1+E5/100)</f>
        <v>6604.3435104</v>
      </c>
      <c r="F6" s="0" t="n">
        <f aca="false">E6*(1+F5/100)</f>
        <v>7396.864731648</v>
      </c>
      <c r="G6" s="0" t="n">
        <f aca="false">F6*(1+G5/100)</f>
        <v>8062.58255749632</v>
      </c>
      <c r="H6" s="0" t="n">
        <f aca="false">G6*(1+H5/100)</f>
        <v>8626.96333652107</v>
      </c>
      <c r="I6" s="0" t="n">
        <f aca="false">H6*(1+I5/100)</f>
        <v>9144.58113671233</v>
      </c>
      <c r="J6" s="0" t="n">
        <f aca="false">I6*(1+J5/100)</f>
        <v>9601.81019354795</v>
      </c>
      <c r="K6" s="0" t="n">
        <f aca="false">J6*(1+K5/100)</f>
        <v>9985.88260128987</v>
      </c>
      <c r="L6" s="0" t="n">
        <f aca="false">K6*(1+L5/100)</f>
        <v>10335.388492335</v>
      </c>
    </row>
    <row r="7" customFormat="false" ht="15" hidden="false" customHeight="false" outlineLevel="0" collapsed="false">
      <c r="A7" s="0" t="s">
        <v>131</v>
      </c>
      <c r="C7" s="4" t="n">
        <f aca="false">Assumptions!C42</f>
        <v>38.8</v>
      </c>
      <c r="D7" s="4" t="n">
        <f aca="false">Assumptions!D42</f>
        <v>40.5</v>
      </c>
      <c r="E7" s="4" t="n">
        <f aca="false">Assumptions!E42</f>
        <v>44</v>
      </c>
      <c r="F7" s="4" t="n">
        <f aca="false">Assumptions!F42</f>
        <v>46</v>
      </c>
      <c r="G7" s="4" t="n">
        <f aca="false">Assumptions!G42</f>
        <v>47</v>
      </c>
      <c r="H7" s="4" t="n">
        <f aca="false">Assumptions!H42</f>
        <v>47.5</v>
      </c>
      <c r="I7" s="4" t="n">
        <f aca="false">Assumptions!I42</f>
        <v>48</v>
      </c>
      <c r="J7" s="4" t="n">
        <f aca="false">Assumptions!J42</f>
        <v>48</v>
      </c>
      <c r="K7" s="4" t="n">
        <f aca="false">Assumptions!K42</f>
        <v>48</v>
      </c>
      <c r="L7" s="4" t="n">
        <f aca="false">Assumptions!L42</f>
        <v>48</v>
      </c>
    </row>
    <row r="8" customFormat="false" ht="15" hidden="false" customHeight="false" outlineLevel="0" collapsed="false">
      <c r="A8" s="0" t="s">
        <v>68</v>
      </c>
      <c r="C8" s="0" t="n">
        <f aca="false">C6*C7/100</f>
        <v>1750.3314768</v>
      </c>
      <c r="D8" s="0" t="n">
        <f aca="false">D6*D7/100</f>
        <v>2192.4255096</v>
      </c>
      <c r="E8" s="0" t="n">
        <f aca="false">E6*E7/100</f>
        <v>2905.911144576</v>
      </c>
      <c r="F8" s="0" t="n">
        <f aca="false">F6*F7/100</f>
        <v>3402.55777655808</v>
      </c>
      <c r="G8" s="0" t="n">
        <f aca="false">G6*G7/100</f>
        <v>3789.41380202327</v>
      </c>
      <c r="H8" s="0" t="n">
        <f aca="false">H6*H7/100</f>
        <v>4097.80758484751</v>
      </c>
      <c r="I8" s="0" t="n">
        <f aca="false">I6*I7/100</f>
        <v>4389.39894562192</v>
      </c>
      <c r="J8" s="0" t="n">
        <f aca="false">J6*J7/100</f>
        <v>4608.86889290302</v>
      </c>
      <c r="K8" s="0" t="n">
        <f aca="false">K6*K7/100</f>
        <v>4793.22364861914</v>
      </c>
      <c r="L8" s="0" t="n">
        <f aca="false">L6*L7/100</f>
        <v>4960.98647632081</v>
      </c>
    </row>
    <row r="9" customFormat="false" ht="15" hidden="false" customHeight="false" outlineLevel="0" collapsed="false">
      <c r="A9" s="0" t="s">
        <v>132</v>
      </c>
      <c r="C9" s="4" t="n">
        <f aca="false">Assumptions!C43</f>
        <v>16.8</v>
      </c>
      <c r="D9" s="4" t="n">
        <f aca="false">Assumptions!D43</f>
        <v>14.8</v>
      </c>
      <c r="E9" s="4" t="n">
        <f aca="false">Assumptions!E43</f>
        <v>12.8</v>
      </c>
      <c r="F9" s="4" t="n">
        <f aca="false">Assumptions!F43</f>
        <v>12</v>
      </c>
      <c r="G9" s="4" t="n">
        <f aca="false">Assumptions!G43</f>
        <v>11.3</v>
      </c>
      <c r="H9" s="4" t="n">
        <f aca="false">Assumptions!H43</f>
        <v>10.8</v>
      </c>
      <c r="I9" s="4" t="n">
        <f aca="false">Assumptions!I43</f>
        <v>10.3</v>
      </c>
      <c r="J9" s="4" t="n">
        <f aca="false">Assumptions!J43</f>
        <v>9.8</v>
      </c>
      <c r="K9" s="4" t="n">
        <f aca="false">Assumptions!K43</f>
        <v>9.5</v>
      </c>
      <c r="L9" s="4" t="n">
        <f aca="false">Assumptions!L43</f>
        <v>9.2</v>
      </c>
    </row>
    <row r="10" customFormat="false" ht="15" hidden="false" customHeight="false" outlineLevel="0" collapsed="false">
      <c r="A10" s="0" t="s">
        <v>147</v>
      </c>
      <c r="C10" s="0" t="n">
        <f aca="false">-C6*C9/100</f>
        <v>-757.8754848</v>
      </c>
      <c r="D10" s="0" t="n">
        <f aca="false">-D6*D9/100</f>
        <v>-801.18265536</v>
      </c>
      <c r="E10" s="0" t="n">
        <f aca="false">-E6*E9/100</f>
        <v>-845.3559693312</v>
      </c>
      <c r="F10" s="0" t="n">
        <f aca="false">-F6*F9/100</f>
        <v>-887.62376779776</v>
      </c>
      <c r="G10" s="0" t="n">
        <f aca="false">-G6*G9/100</f>
        <v>-911.071828997085</v>
      </c>
      <c r="H10" s="0" t="n">
        <f aca="false">-H6*H9/100</f>
        <v>-931.712040344275</v>
      </c>
      <c r="I10" s="0" t="n">
        <f aca="false">-I6*I9/100</f>
        <v>-941.89185708137</v>
      </c>
      <c r="J10" s="0" t="n">
        <f aca="false">-J6*J9/100</f>
        <v>-940.977398967699</v>
      </c>
      <c r="K10" s="0" t="n">
        <f aca="false">-K6*K9/100</f>
        <v>-948.658847122537</v>
      </c>
      <c r="L10" s="0" t="n">
        <f aca="false">-L6*L9/100</f>
        <v>-950.855741294821</v>
      </c>
    </row>
    <row r="11" customFormat="false" ht="15" hidden="false" customHeight="false" outlineLevel="0" collapsed="false">
      <c r="A11" s="0" t="s">
        <v>148</v>
      </c>
      <c r="C11" s="0" t="n">
        <f aca="false">C8+C10+C24</f>
        <v>992.455992</v>
      </c>
      <c r="D11" s="0" t="n">
        <f aca="false">D8+D10+D24</f>
        <v>1391.24285424</v>
      </c>
      <c r="E11" s="0" t="n">
        <f aca="false">E8+E10+E24</f>
        <v>2060.5551752448</v>
      </c>
      <c r="F11" s="0" t="n">
        <f aca="false">F8+F10+F24</f>
        <v>2514.93400876032</v>
      </c>
      <c r="G11" s="0" t="n">
        <f aca="false">G8+G10+G24</f>
        <v>2878.34197302619</v>
      </c>
      <c r="H11" s="0" t="n">
        <f aca="false">H8+H10+H24</f>
        <v>3166.09554450323</v>
      </c>
      <c r="I11" s="0" t="n">
        <f aca="false">I8+I10+I24</f>
        <v>3447.50708854055</v>
      </c>
      <c r="J11" s="0" t="n">
        <f aca="false">J8+J10+J24</f>
        <v>3667.89149393532</v>
      </c>
      <c r="K11" s="0" t="n">
        <f aca="false">K8+K10+K24</f>
        <v>3844.5648014966</v>
      </c>
      <c r="L11" s="0" t="n">
        <f aca="false">L8+L10+L24</f>
        <v>4010.13073502598</v>
      </c>
    </row>
    <row r="12" customFormat="false" ht="15" hidden="false" customHeight="false" outlineLevel="0" collapsed="false">
      <c r="A12" s="0" t="s">
        <v>149</v>
      </c>
      <c r="C12" s="4" t="n">
        <f aca="false">-C6*Assumptions!C45/100</f>
        <v>-789.45363</v>
      </c>
      <c r="D12" s="4" t="n">
        <f aca="false">-D6*Assumptions!D45/100</f>
        <v>-1299.2151168</v>
      </c>
      <c r="E12" s="4" t="n">
        <f aca="false">-E6*Assumptions!E45/100</f>
        <v>-1849.216182912</v>
      </c>
      <c r="F12" s="4" t="n">
        <f aca="false">-F6*Assumptions!F45/100</f>
        <v>-2145.09077217792</v>
      </c>
      <c r="G12" s="4" t="n">
        <f aca="false">-G6*Assumptions!G45/100</f>
        <v>-2257.52311609897</v>
      </c>
      <c r="H12" s="4" t="n">
        <f aca="false">-H6*Assumptions!H45/100</f>
        <v>-2286.14528417808</v>
      </c>
      <c r="I12" s="4" t="n">
        <f aca="false">-I6*Assumptions!I45/100</f>
        <v>-2286.14528417808</v>
      </c>
      <c r="J12" s="4" t="n">
        <f aca="false">-J6*Assumptions!J45/100</f>
        <v>-2256.42539548377</v>
      </c>
      <c r="K12" s="4" t="n">
        <f aca="false">-K6*Assumptions!K45/100</f>
        <v>-2246.82358529022</v>
      </c>
      <c r="L12" s="4" t="n">
        <f aca="false">-L6*Assumptions!L45/100</f>
        <v>-2273.7854683137</v>
      </c>
    </row>
    <row r="13" customFormat="false" ht="15" hidden="false" customHeight="false" outlineLevel="0" collapsed="false">
      <c r="A13" s="0" t="s">
        <v>150</v>
      </c>
      <c r="C13" s="0" t="n">
        <f aca="false">C11+C12</f>
        <v>203.002362</v>
      </c>
      <c r="D13" s="0" t="n">
        <f aca="false">D11+D12</f>
        <v>92.0277374399996</v>
      </c>
      <c r="E13" s="0" t="n">
        <f aca="false">E11+E12</f>
        <v>211.3389923328</v>
      </c>
      <c r="F13" s="0" t="n">
        <f aca="false">F11+F12</f>
        <v>369.8432365824</v>
      </c>
      <c r="G13" s="0" t="n">
        <f aca="false">G11+G12</f>
        <v>620.818856927217</v>
      </c>
      <c r="H13" s="0" t="n">
        <f aca="false">H11+H12</f>
        <v>879.950260325148</v>
      </c>
      <c r="I13" s="0" t="n">
        <f aca="false">I11+I12</f>
        <v>1161.36180436247</v>
      </c>
      <c r="J13" s="0" t="n">
        <f aca="false">J11+J12</f>
        <v>1411.46609845155</v>
      </c>
      <c r="K13" s="0" t="n">
        <f aca="false">K11+K12</f>
        <v>1597.74121620638</v>
      </c>
      <c r="L13" s="0" t="n">
        <f aca="false">L11+L12</f>
        <v>1736.34526671228</v>
      </c>
    </row>
    <row r="14" customFormat="false" ht="15" hidden="false" customHeight="false" outlineLevel="0" collapsed="false">
      <c r="A14" s="0" t="s">
        <v>136</v>
      </c>
      <c r="C14" s="4" t="n">
        <f aca="false">Assumptions!C47</f>
        <v>15</v>
      </c>
      <c r="D14" s="4" t="n">
        <f aca="false">Assumptions!D47</f>
        <v>8</v>
      </c>
      <c r="E14" s="4" t="n">
        <f aca="false">Assumptions!E47</f>
        <v>10</v>
      </c>
      <c r="F14" s="4" t="n">
        <f aca="false">Assumptions!F47</f>
        <v>18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151</v>
      </c>
      <c r="C15" s="0" t="n">
        <f aca="false">C13-MAX(0,C13)*C14/100</f>
        <v>172.5520077</v>
      </c>
      <c r="D15" s="0" t="n">
        <f aca="false">D13-MAX(0,D13)*D14/100</f>
        <v>84.6655184447996</v>
      </c>
      <c r="E15" s="0" t="n">
        <f aca="false">E13-MAX(0,E13)*E14/100</f>
        <v>190.20509309952</v>
      </c>
      <c r="F15" s="0" t="n">
        <f aca="false">F13-MAX(0,F13)*F14/100</f>
        <v>303.271453997568</v>
      </c>
      <c r="G15" s="0" t="n">
        <f aca="false">G13-MAX(0,G13)*G14/100</f>
        <v>478.030519833957</v>
      </c>
      <c r="H15" s="0" t="n">
        <f aca="false">H13-MAX(0,H13)*H14/100</f>
        <v>677.561700450364</v>
      </c>
      <c r="I15" s="0" t="n">
        <f aca="false">I13-MAX(0,I13)*I14/100</f>
        <v>894.248589359099</v>
      </c>
      <c r="J15" s="0" t="n">
        <f aca="false">J13-MAX(0,J13)*J14/100</f>
        <v>1086.82889580769</v>
      </c>
      <c r="K15" s="0" t="n">
        <f aca="false">K13-MAX(0,K13)*K14/100</f>
        <v>1230.26073647891</v>
      </c>
      <c r="L15" s="0" t="n">
        <f aca="false">L13-MAX(0,L13)*L14/100</f>
        <v>1336.98585536846</v>
      </c>
    </row>
    <row r="16" customFormat="false" ht="15" hidden="false" customHeight="false" outlineLevel="0" collapsed="false">
      <c r="A16" s="0" t="s">
        <v>152</v>
      </c>
      <c r="C16" s="0" t="n">
        <f aca="false">-C12</f>
        <v>789.45363</v>
      </c>
      <c r="D16" s="0" t="n">
        <f aca="false">-D12</f>
        <v>1299.2151168</v>
      </c>
      <c r="E16" s="0" t="n">
        <f aca="false">-E12</f>
        <v>1849.216182912</v>
      </c>
      <c r="F16" s="0" t="n">
        <f aca="false">-F12</f>
        <v>2145.09077217792</v>
      </c>
      <c r="G16" s="0" t="n">
        <f aca="false">-G12</f>
        <v>2257.52311609897</v>
      </c>
      <c r="H16" s="0" t="n">
        <f aca="false">-H12</f>
        <v>2286.14528417808</v>
      </c>
      <c r="I16" s="0" t="n">
        <f aca="false">-I12</f>
        <v>2286.14528417808</v>
      </c>
      <c r="J16" s="0" t="n">
        <f aca="false">-J12</f>
        <v>2256.42539548377</v>
      </c>
      <c r="K16" s="0" t="n">
        <f aca="false">-K12</f>
        <v>2246.82358529022</v>
      </c>
      <c r="L16" s="0" t="n">
        <f aca="false">-L12</f>
        <v>2273.7854683137</v>
      </c>
    </row>
    <row r="17" customFormat="false" ht="15" hidden="false" customHeight="false" outlineLevel="0" collapsed="false">
      <c r="A17" s="0" t="s">
        <v>153</v>
      </c>
      <c r="C17" s="4" t="n">
        <f aca="false">-C6*Assumptions!C46/100</f>
        <v>-1984.911984</v>
      </c>
      <c r="D17" s="4" t="n">
        <f aca="false">-D6*Assumptions!D46/100</f>
        <v>-3789.377424</v>
      </c>
      <c r="E17" s="4" t="n">
        <f aca="false">-E6*Assumptions!E46/100</f>
        <v>-3302.1717552</v>
      </c>
      <c r="F17" s="4" t="n">
        <f aca="false">-F6*Assumptions!F46/100</f>
        <v>-2366.99671412736</v>
      </c>
      <c r="G17" s="4" t="n">
        <f aca="false">-G6*Assumptions!G46/100</f>
        <v>-2015.64563937408</v>
      </c>
      <c r="H17" s="4" t="n">
        <f aca="false">-H6*Assumptions!H46/100</f>
        <v>-1984.20156739985</v>
      </c>
      <c r="I17" s="4" t="n">
        <f aca="false">-I6*Assumptions!I46/100</f>
        <v>-2148.9765671274</v>
      </c>
      <c r="J17" s="4" t="n">
        <f aca="false">-J6*Assumptions!J46/100</f>
        <v>-2304.43444645151</v>
      </c>
      <c r="K17" s="4" t="n">
        <f aca="false">-K6*Assumptions!K46/100</f>
        <v>-2346.68241130312</v>
      </c>
      <c r="L17" s="4" t="n">
        <f aca="false">-L6*Assumptions!L46/100</f>
        <v>-2377.13935323705</v>
      </c>
    </row>
    <row r="18" customFormat="false" ht="15" hidden="false" customHeight="false" outlineLevel="0" collapsed="false">
      <c r="A18" s="0" t="s">
        <v>154</v>
      </c>
      <c r="C18" s="4" t="n">
        <f aca="false">(C6-B6)*Assumptions!$B$51/100</f>
        <v>15.14943</v>
      </c>
      <c r="D18" s="4" t="n">
        <f aca="false">(D6-C6)*Assumptions!$B$51/100</f>
        <v>45.111636</v>
      </c>
      <c r="E18" s="4" t="n">
        <f aca="false">(E6-D6)*Assumptions!$B$51/100</f>
        <v>59.54735952</v>
      </c>
      <c r="F18" s="4" t="n">
        <f aca="false">(F6-E6)*Assumptions!$B$51/100</f>
        <v>39.6260610624001</v>
      </c>
      <c r="G18" s="4" t="n">
        <f aca="false">(G6-F6)*Assumptions!$B$51/100</f>
        <v>33.285891292416</v>
      </c>
      <c r="H18" s="4" t="n">
        <f aca="false">(H6-G6)*Assumptions!$B$51/100</f>
        <v>28.2190389512372</v>
      </c>
      <c r="I18" s="4" t="n">
        <f aca="false">(I6-H6)*Assumptions!$B$51/100</f>
        <v>25.8808900095632</v>
      </c>
      <c r="J18" s="4" t="n">
        <f aca="false">(J6-I6)*Assumptions!$B$51/100</f>
        <v>22.8614528417808</v>
      </c>
      <c r="K18" s="4" t="n">
        <f aca="false">(K6-J6)*Assumptions!$B$51/100</f>
        <v>19.2036203870959</v>
      </c>
      <c r="L18" s="4" t="n">
        <f aca="false">(L6-K6)*Assumptions!$B$51/100</f>
        <v>17.4752945522572</v>
      </c>
    </row>
    <row r="19" customFormat="false" ht="15" hidden="false" customHeight="false" outlineLevel="0" collapsed="false">
      <c r="A19" s="0" t="s">
        <v>155</v>
      </c>
      <c r="C19" s="0" t="n">
        <f aca="false">C15+C16+C17+C18</f>
        <v>-1007.7569163</v>
      </c>
      <c r="D19" s="0" t="n">
        <f aca="false">D15+D16+D17+D18</f>
        <v>-2360.3851527552</v>
      </c>
      <c r="E19" s="0" t="n">
        <f aca="false">E15+E16+E17+E18</f>
        <v>-1203.20311966848</v>
      </c>
      <c r="F19" s="0" t="n">
        <f aca="false">F15+F16+F17+F18</f>
        <v>120.991573110528</v>
      </c>
      <c r="G19" s="0" t="n">
        <f aca="false">G15+G16+G17+G18</f>
        <v>753.193887851263</v>
      </c>
      <c r="H19" s="0" t="n">
        <f aca="false">H15+H16+H17+H18</f>
        <v>1007.72445617984</v>
      </c>
      <c r="I19" s="0" t="n">
        <f aca="false">I15+I16+I17+I18</f>
        <v>1057.29819641935</v>
      </c>
      <c r="J19" s="0" t="n">
        <f aca="false">J15+J16+J17+J18</f>
        <v>1061.68129768173</v>
      </c>
      <c r="K19" s="0" t="n">
        <f aca="false">K15+K16+K17+K18</f>
        <v>1149.60553085311</v>
      </c>
      <c r="L19" s="0" t="n">
        <f aca="false">L15+L16+L17+L18</f>
        <v>1251.10726499736</v>
      </c>
    </row>
    <row r="20" customFormat="false" ht="15" hidden="false" customHeight="false" outlineLevel="0" collapsed="false">
      <c r="A20" s="0" t="s">
        <v>156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157</v>
      </c>
      <c r="C21" s="0" t="n">
        <f aca="false">C19*C20</f>
        <v>-928.808217788019</v>
      </c>
      <c r="D21" s="0" t="n">
        <f aca="false">D19*D20</f>
        <v>-2005.04164688585</v>
      </c>
      <c r="E21" s="0" t="n">
        <f aca="false">E19*E20</f>
        <v>-941.997466445571</v>
      </c>
      <c r="F21" s="0" t="n">
        <f aca="false">F19*F20</f>
        <v>87.3044077696831</v>
      </c>
      <c r="G21" s="0" t="n">
        <f aca="false">G19*G20</f>
        <v>500.908147964306</v>
      </c>
      <c r="H21" s="0" t="n">
        <f aca="false">H19*H20</f>
        <v>617.679758081318</v>
      </c>
      <c r="I21" s="0" t="n">
        <f aca="false">I19*I20</f>
        <v>597.295611781779</v>
      </c>
      <c r="J21" s="0" t="n">
        <f aca="false">J19*J20</f>
        <v>552.785014915213</v>
      </c>
      <c r="K21" s="0" t="n">
        <f aca="false">K19*K20</f>
        <v>551.672328886154</v>
      </c>
      <c r="L21" s="0" t="n">
        <f aca="false">L19*L20</f>
        <v>553.346495955034</v>
      </c>
    </row>
    <row r="23" customFormat="false" ht="15" hidden="false" customHeight="false" outlineLevel="0" collapsed="false">
      <c r="A23" s="0" t="s">
        <v>133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158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159</v>
      </c>
    </row>
    <row r="27" customFormat="false" ht="15" hidden="false" customHeight="false" outlineLevel="0" collapsed="false">
      <c r="A27" s="0" t="s">
        <v>137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138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139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160</v>
      </c>
      <c r="B30" s="0" t="n">
        <f aca="false">SUM(C21:L21)</f>
        <v>-414.855565765957</v>
      </c>
    </row>
    <row r="31" customFormat="false" ht="15" hidden="false" customHeight="false" outlineLevel="0" collapsed="false">
      <c r="A31" s="0" t="s">
        <v>161</v>
      </c>
      <c r="B31" s="0" t="n">
        <f aca="false">L19</f>
        <v>1251.10726499736</v>
      </c>
    </row>
    <row r="32" customFormat="false" ht="15" hidden="false" customHeight="false" outlineLevel="0" collapsed="false">
      <c r="A32" s="0" t="s">
        <v>162</v>
      </c>
      <c r="B32" s="0" t="n">
        <f aca="false">IF(B27&gt;B28,B31*(1+B28/100)/((B27-B28)/100),B31*B29)</f>
        <v>21373.082443705</v>
      </c>
    </row>
    <row r="33" customFormat="false" ht="15" hidden="false" customHeight="false" outlineLevel="0" collapsed="false">
      <c r="A33" s="0" t="s">
        <v>163</v>
      </c>
      <c r="B33" s="0" t="n">
        <f aca="false">B31*B29</f>
        <v>22519.9307699526</v>
      </c>
    </row>
    <row r="34" customFormat="false" ht="15" hidden="false" customHeight="false" outlineLevel="0" collapsed="false">
      <c r="A34" s="0" t="s">
        <v>164</v>
      </c>
      <c r="B34" s="0" t="n">
        <f aca="false">MAX(0,MIN(B32,B33))</f>
        <v>21373.082443705</v>
      </c>
    </row>
    <row r="35" customFormat="false" ht="15" hidden="false" customHeight="false" outlineLevel="0" collapsed="false">
      <c r="A35" s="0" t="s">
        <v>165</v>
      </c>
      <c r="B35" s="0" t="n">
        <f aca="false">B34/(1+B27/100)^L4</f>
        <v>9453.00263923184</v>
      </c>
    </row>
    <row r="36" customFormat="false" ht="15" hidden="false" customHeight="false" outlineLevel="0" collapsed="false">
      <c r="A36" s="0" t="s">
        <v>166</v>
      </c>
      <c r="B36" s="0" t="n">
        <f aca="false">B30+B35</f>
        <v>9038.14707346588</v>
      </c>
    </row>
    <row r="37" customFormat="false" ht="15" hidden="false" customHeight="false" outlineLevel="0" collapsed="false">
      <c r="A37" s="0" t="s">
        <v>167</v>
      </c>
      <c r="B37" s="0" t="n">
        <f aca="false">B36+Assumptions!$B$5-Assumptions!$B$4</f>
        <v>6042.74707346588</v>
      </c>
    </row>
    <row r="38" customFormat="false" ht="15" hidden="false" customHeight="false" outlineLevel="0" collapsed="false">
      <c r="A38" s="0" t="s">
        <v>168</v>
      </c>
      <c r="B38" s="0" t="n">
        <f aca="false">B37/Assumptions!$B$3*Assumptions!$B$10</f>
        <v>40.2500970723099</v>
      </c>
    </row>
    <row r="39" customFormat="false" ht="15" hidden="false" customHeight="false" outlineLevel="0" collapsed="false">
      <c r="A39" s="0" t="s">
        <v>169</v>
      </c>
      <c r="B39" s="4" t="n">
        <f aca="false">B38/Assumptions!$B$2-1</f>
        <v>-0.635448808329772</v>
      </c>
    </row>
    <row r="41" customFormat="false" ht="15" hidden="false" customHeight="false" outlineLevel="0" collapsed="false">
      <c r="A41" s="0" t="s">
        <v>170</v>
      </c>
      <c r="B41" s="0" t="n">
        <f aca="false">SUMPRODUCT(-C10:L10/(1+$B$27/100)^C4:L4)</f>
        <v>5756.21602177909</v>
      </c>
    </row>
    <row r="42" customFormat="false" ht="15" hidden="false" customHeight="false" outlineLevel="0" collapsed="false">
      <c r="A42" s="0" t="s">
        <v>171</v>
      </c>
      <c r="B42" s="0" t="n">
        <f aca="false">IF(B27&gt;B28,-L10*(1+B28/100)/((B27-B28)/100),-L10*20)/(1+B27/100)^L4</f>
        <v>7184.38944722108</v>
      </c>
    </row>
    <row r="43" customFormat="false" ht="15" hidden="false" customHeight="false" outlineLevel="0" collapsed="false">
      <c r="A43" s="0" t="s">
        <v>172</v>
      </c>
      <c r="B43" s="0" t="n">
        <f aca="false">(B37+B41+B42)/Assumptions!$B$3*Assumptions!$B$10</f>
        <v>126.446096999041</v>
      </c>
    </row>
    <row r="45" customFormat="false" ht="15" hidden="false" customHeight="false" outlineLevel="0" collapsed="false">
      <c r="A45" s="0" t="s">
        <v>113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173</v>
      </c>
      <c r="B46" s="0" t="n">
        <f aca="false">MAX(0,MIN(IF(B45&gt;B28,B31*(1+B28/100)/((B45-B28)/100),B31*B29),B31*B29))</f>
        <v>10259.0795729784</v>
      </c>
    </row>
    <row r="47" customFormat="false" ht="15" hidden="false" customHeight="false" outlineLevel="0" collapsed="false">
      <c r="A47" s="0" t="s">
        <v>174</v>
      </c>
      <c r="B47" s="0" t="n">
        <f aca="false">(SUMPRODUCT(C19:L19/(1+B45/100)^C4:L4)+B46/(1+B45/100)^L4+Assumptions!$B$5-Assumptions!$B$4)/Assumptions!$B$3*Assumptions!$B$10</f>
        <v>-11.0027075842902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177</v>
      </c>
    </row>
    <row r="3" customFormat="false" ht="15" hidden="false" customHeight="false" outlineLevel="0" collapsed="false">
      <c r="A3" s="2" t="s">
        <v>178</v>
      </c>
      <c r="B3" s="2" t="s">
        <v>179</v>
      </c>
      <c r="C3" s="2" t="s">
        <v>169</v>
      </c>
      <c r="D3" s="2" t="s">
        <v>180</v>
      </c>
      <c r="E3" s="2" t="s">
        <v>172</v>
      </c>
      <c r="F3" s="2" t="s">
        <v>181</v>
      </c>
    </row>
    <row r="4" customFormat="false" ht="15" hidden="false" customHeight="false" outlineLevel="0" collapsed="false">
      <c r="A4" s="0" t="s">
        <v>182</v>
      </c>
      <c r="B4" s="4" t="n">
        <f aca="false">DCF_Bear!$B$38</f>
        <v>-19.9062740303606</v>
      </c>
      <c r="C4" s="0" t="n">
        <f aca="false">B4/Assumptions!$B$2-1</f>
        <v>-1.18029412218423</v>
      </c>
      <c r="D4" s="4" t="n">
        <f aca="false">Assumptions!$B$24</f>
        <v>0.25</v>
      </c>
      <c r="E4" s="4" t="n">
        <f aca="false">DCF_Bear!$B$43</f>
        <v>51.6856203423893</v>
      </c>
      <c r="F4" s="4" t="n">
        <f aca="false">DCF_Bear!$B$47</f>
        <v>-27.9909720901046</v>
      </c>
    </row>
    <row r="5" customFormat="false" ht="15" hidden="false" customHeight="false" outlineLevel="0" collapsed="false">
      <c r="A5" s="0" t="s">
        <v>183</v>
      </c>
      <c r="B5" s="4" t="n">
        <f aca="false">DCF_Base!$B$38</f>
        <v>9.61583295991949</v>
      </c>
      <c r="C5" s="0" t="n">
        <f aca="false">B5/Assumptions!$B$2-1</f>
        <v>-0.91290795254126</v>
      </c>
      <c r="D5" s="4" t="n">
        <f aca="false">Assumptions!$B$38</f>
        <v>0.5</v>
      </c>
      <c r="E5" s="4" t="n">
        <f aca="false">DCF_Base!$B$43</f>
        <v>91.7995672267233</v>
      </c>
      <c r="F5" s="4" t="n">
        <f aca="false">DCF_Base!$B$47</f>
        <v>-19.9428999447955</v>
      </c>
    </row>
    <row r="6" customFormat="false" ht="15" hidden="false" customHeight="false" outlineLevel="0" collapsed="false">
      <c r="A6" s="0" t="s">
        <v>184</v>
      </c>
      <c r="B6" s="4" t="n">
        <f aca="false">DCF_Bull!$B$38</f>
        <v>40.2500970723099</v>
      </c>
      <c r="C6" s="0" t="n">
        <f aca="false">B6/Assumptions!$B$2-1</f>
        <v>-0.635448808329772</v>
      </c>
      <c r="D6" s="4" t="n">
        <f aca="false">Assumptions!$B$52</f>
        <v>0.25</v>
      </c>
      <c r="E6" s="4" t="n">
        <f aca="false">DCF_Bull!$B$43</f>
        <v>126.446096999041</v>
      </c>
      <c r="F6" s="4" t="n">
        <f aca="false">DCF_Bull!$B$47</f>
        <v>-11.0027075842902</v>
      </c>
    </row>
    <row r="8" customFormat="false" ht="15" hidden="false" customHeight="false" outlineLevel="0" collapsed="false">
      <c r="A8" s="0" t="s">
        <v>185</v>
      </c>
      <c r="B8" s="0" t="n">
        <f aca="false">SUMPRODUCT(B4:B6,D4:D6)</f>
        <v>9.89387224044705</v>
      </c>
    </row>
    <row r="9" customFormat="false" ht="15" hidden="false" customHeight="false" outlineLevel="0" collapsed="false">
      <c r="A9" s="0" t="s">
        <v>186</v>
      </c>
      <c r="B9" s="0" t="n">
        <f aca="false">SUMPRODUCT(E4:E6,D4:D6)</f>
        <v>90.4327129487193</v>
      </c>
    </row>
    <row r="10" customFormat="false" ht="15" hidden="false" customHeight="false" outlineLevel="0" collapsed="false">
      <c r="A10" s="0" t="s">
        <v>187</v>
      </c>
      <c r="B10" s="0" t="n">
        <f aca="false">1-Assumptions!$B$2/B8</f>
        <v>-10.1594325575212</v>
      </c>
    </row>
    <row r="11" customFormat="false" ht="15" hidden="false" customHeight="false" outlineLevel="0" collapsed="false">
      <c r="A11" s="0" t="s">
        <v>188</v>
      </c>
      <c r="B11" s="0" t="n">
        <f aca="false">IF(ABS(B9-B8)&gt;0.01*ABS(B8),(Assumptions!$B$2-B8)/(B9-B8)*100,"n/a")</f>
        <v>124.804537631281</v>
      </c>
    </row>
    <row r="12" customFormat="false" ht="15" hidden="false" customHeight="false" outlineLevel="0" collapsed="false">
      <c r="A12" s="0" t="s">
        <v>189</v>
      </c>
      <c r="B12" s="0" t="n">
        <f aca="false">SUMPRODUCT(F4:F6,D4:D6)</f>
        <v>-19.7198698909965</v>
      </c>
    </row>
    <row r="14" customFormat="false" ht="15" hidden="false" customHeight="false" outlineLevel="0" collapsed="false">
      <c r="A14" s="2" t="s">
        <v>190</v>
      </c>
      <c r="C14" s="0" t="s">
        <v>191</v>
      </c>
    </row>
    <row r="15" customFormat="false" ht="15" hidden="false" customHeight="false" outlineLevel="0" collapsed="false">
      <c r="A15" s="0" t="s">
        <v>192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9.61583295991949</v>
      </c>
      <c r="C15" s="3" t="n">
        <v>8.5</v>
      </c>
    </row>
    <row r="16" customFormat="false" ht="15" hidden="false" customHeight="false" outlineLevel="0" collapsed="false">
      <c r="A16" s="0" t="s">
        <v>193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7.11437124014463</v>
      </c>
      <c r="C16" s="3" t="n">
        <v>9</v>
      </c>
    </row>
    <row r="17" customFormat="false" ht="15" hidden="false" customHeight="false" outlineLevel="0" collapsed="false">
      <c r="A17" s="0" t="s">
        <v>194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-0.816219804407043</v>
      </c>
      <c r="C17" s="3" t="n">
        <v>10</v>
      </c>
    </row>
    <row r="18" customFormat="false" ht="15" hidden="false" customHeight="false" outlineLevel="0" collapsed="false">
      <c r="A18" s="0" t="s">
        <v>195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-6.72396767210347</v>
      </c>
      <c r="C18" s="3" t="n">
        <v>11</v>
      </c>
    </row>
    <row r="19" customFormat="false" ht="15" hidden="false" customHeight="false" outlineLevel="0" collapsed="false">
      <c r="A19" s="0" t="s">
        <v>196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-11.2550416546595</v>
      </c>
      <c r="C19" s="3" t="n">
        <v>12</v>
      </c>
    </row>
    <row r="20" customFormat="false" ht="15" hidden="false" customHeight="false" outlineLevel="0" collapsed="false">
      <c r="A20" s="0" t="s">
        <v>197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-19.9428999447955</v>
      </c>
      <c r="C20" s="3" t="n">
        <v>15</v>
      </c>
    </row>
    <row r="22" customFormat="false" ht="15" hidden="false" customHeight="false" outlineLevel="0" collapsed="false">
      <c r="A22" s="2" t="s">
        <v>198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18.6670445824717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18.6670445824717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18.6670445824717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18.6670445824717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18.6670445824717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13.9061897063871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13.9061897063871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13.9061897063871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13.9061897063871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13.9061897063871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6.09565881536027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8.89374595590735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9.61583295991949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9.61583295991949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9.61583295991949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-1.34515550656038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0.608562831467486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2.8413837892136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5.41771566353605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5.74710969312979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-6.97536403860774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-5.56341722215962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-3.97497705365549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-2.17474486268413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-0.117336644431164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2026-09-25T09:56:54Z</dcterms:created>
  <dc:creator>openpyxl</dc:creator>
  <dc:description/>
  <dc:language>en-NZ</dc:language>
  <cp:lastModifiedBy/>
  <dcterms:modified xsi:type="dcterms:W3CDTF">2026-09-25T09:56:54Z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