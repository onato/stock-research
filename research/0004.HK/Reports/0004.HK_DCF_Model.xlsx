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<sst xmlns="http://schemas.openxmlformats.org/spreadsheetml/2006/main" count="357" uniqueCount="164">
  <si>
    <t xml:space="preserve">Ticker</t>
  </si>
  <si>
    <t xml:space="preserve">0004.HK</t>
  </si>
  <si>
    <t xml:space="preserve">Company</t>
  </si>
  <si>
    <t xml:space="preserve">The Wharf (Holdings) Limited</t>
  </si>
  <si>
    <t xml:space="preserve">Valuation date</t>
  </si>
  <si>
    <t xml:space="preserve">2026-09-26</t>
  </si>
  <si>
    <t xml:space="preserve">Current price</t>
  </si>
  <si>
    <t xml:space="preserve">Price as of</t>
  </si>
  <si>
    <t xml:space="preserve">2026-09-25T08:08:12Z Yahoo Finance v8 chart meta (HKEX regular close); 52-week range 17.68-30.60 HKD</t>
  </si>
  <si>
    <t xml:space="preserve">Balance sheet date</t>
  </si>
  <si>
    <t xml:space="preserve">2025-12-31 (FY2025 annual); H1-2026 interim balance sheet dated 2026-06-30 shows net cash risen further to HK$6,231m, referenced as corroborating trend evidence only -- FY2025 year-end remains the modelled anchor since it is the last completed annual balance sheet</t>
  </si>
  <si>
    <t xml:space="preserve">Model</t>
  </si>
  <si>
    <t xml:space="preserve">Diversified conglomerate: Underlying Net Profit capitalisation at cost of equity (engine route; property IP/DP + hotels + logistics + wind-down investment portfolio)</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</si>
  <si>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</si>
  <si>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</si>
  <si>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</si>
  <si>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</si>
  <si>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</si>
  <si>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</si>
  <si>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</si>
  <si>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</si>
  <si>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2026-09-25T16:48:36Z</t>
  </si>
  <si>
    <t xml:space="preserve">Drivers file</t>
  </si>
  <si>
    <t xml:space="preserve">0004.HK_Drivers.json</t>
  </si>
  <si>
    <t xml:space="preserve">Convention</t>
  </si>
  <si>
    <t xml:space="preserve">Percents stored as percents; formulas divide by 100. Blue = input, green = link, black = formula.</t>
  </si>
  <si>
    <t xml:space="preserve">Methodology</t>
  </si>
  <si>
    <t xml:space="preserve">summary: 0004.HK is valued on Underlying Net Profit -- the company's own audited, consistently-defined non-GAAP measure that strips non-cash Mainland investment-property revaluation swings and mark-to-market movements on financial instruments -- capitalised at the HKD cost of equity, because UNP is already a post-interest, post-tax, attributable distributable-earnings flow (net debt is therefore held at zero and the Group's actual net cash, HK$1,962m at FY2025 year-end, is added separately in the equity bridge). Statutory net income (HK$50m profit FY2025, HK$3,224m LOSS FY2024) is unusable for a growth DCF: it swings on IP revaluation deficits of HK$3.6-6.0bn/year that have nothing to do with the cash economics of the underlying malls, hotels, development pipeline and container terminals. Statutory revenue is likewise not a coherent growth base -- it nearly halved FY2021-FY2025 purely because the Group deliberately stopped buying Mainland DP land in 2019 and progressively realised ~HK$9.7bn of its investment portfolio in FY2025 alone, while UNP itself held up. The single biggest judgement in this model is the near-term UNP path: the FY2025 base of HK$4,104m already reflects a materially larger Investments-segment (dividend income) contribution than the run-rate management has since disclosed for H1-2026 (UNP down 17% YoY, Investments profit down 41%), so the base case explicitly steps UNP down for one to two years before letting the shrinking DP-impairment drag and resilient core property/logistics businesses stabilise growth at a low single-digit rate consistent with 5 years of essentially flat-to-declining NAV per share and a flat HK$0.40/share dividend.
key_risks_to_valuation: The Investments-portfolio unwind path is the largest single swing factor: if dividend income from the remaining ~HK$40bn book falls faster than modelled (forced realisation at weak prices), UNP falls further than the base case; if the unwind pauses and the retained portfolio recovers with markets, UNP holds up better than modelled.; Mainland China office oversupply and the DP legacy-book impairment cadence are largely outside management's control and could either fade faster (bull) or reappear in size (bear, as they did in FY2022 and FY2024).; The Hong Kong ultra-luxury segment (Peak Portfolio) that the growth path leans on for its DP recovery is directly exposed to both the February 2026 stamp-duty hike and China's July 2026 outbound-investment regulation, both aimed at exactly this buyer pool.; Discount rate: the terminal value is a meaningful share of the base case (Gordon-growth terminal on a 9.5% cost of equity and 2.0% terminal growth); each 1pp on the cost of equity moves the base value materially.; This is a UNP-capitalisation model, not a NAV/asset-based model: book NAV/share (HK$48.01 FY2025) sits well above the DCF's per-share output, reflecting the market's persistent discount to book for this conglomerate structure (Wheelock control ~68-71%, complex cross-holdings with sister company Wharf REIC) rather than a modelling error -- a sum-of-parts/NAV cross-check would likely value the Group higher than the earnings-capitalisation approach used here, and is worth running as a memo if the discount to NAV becomes the live investment question.; 0004.HK straddles the REIT-adjacent row (IP fair-value swings, capitalise post-financing flow) and the holdco/mixed-conglomerate row (DP, hotels, logistics, investment portfolio) rather than fitting either cleanly; a future update could instead sum-of-parts the segments (IP at a cap rate, DP/hotels/logistics at earnings multiples, investment portfolio at fair value) rather than capitalising the single blended UNP line, which would separate the true property-yield economics from the highly variable Investments-segment contribution.</t>
  </si>
  <si>
    <t xml:space="preserve">Data sources</t>
  </si>
  <si>
    <t xml:space="preserve">price: Yahoo Finance v8 chart API at inputs.price_as_of; 52-week range 17.68-30.60 HKD
financials: 0004.HK_Metrics.csv / core_metrics and kpis (FY2017-FY2025, H1 FY2022-FY2026); 0004.HK_Annual_FY2025.txt Financial Highlights (p.5, lines ~200-232), Financial Review UNP/segment discussion (lines 960-1000), Ten-Year Financial Summary (lines 8440-8560); 0004.HK_HalfYear_H1-2026.txt Financial Review (lines 140-180), net cash disclosure (lines 336-345)
qualitative: 0004.HK_Analysis.json (2026-09-26); FY2025 Annual Report Chairman's Statement and H1-2026 Interim Report outlook sections</t>
  </si>
  <si>
    <t xml:space="preserve">Scenario narrative: bear</t>
  </si>
  <si>
    <t xml:space="preserve">A renewed Mainland China property downturn or Hong Kong rate/policy shock repeats the FY2022 pattern (UNP fell to just HK$303m that year): the portfolio unwind is forced at weaker prices, Mainland office oversupply deepens and IP profit falls rather than holds, fresh DP impairments reappear, China's tighter outbound-investment rules and Hong Kong's higher ultra-luxury stamp duty specifically cool the Peak Portfolio's core buyer pool, and Modern Terminals' Hong Kong throughput decline continues unmitigated. UNP falls sharply for two years before stabilising at a low terminal growth rate; the net-cash balance sheet means this is an earnings and multiple case, not a solvency case.</t>
  </si>
  <si>
    <t xml:space="preserve">Scenario narrative: base</t>
  </si>
  <si>
    <t xml:space="preserve">The disclosed H1-2026 step-down in Investments segment profit (-41% YoY as the ~HK$40bn portfolio continues to be progressively realised) pulls Group UNP below the FY2025 peak of HK$4,104m for one to two years, before the drag fades: the Mainland DP legacy book keeps shrinking its impairment charge (loss narrowed 75% in FY2025 alone), IP holds roughly flat on continued luxury-brand demand at Chengdu/Changsha even as Mainland retail stays soft, and Logistics is roughly stable as DaChan Bay growth partly offsets Hong Kong throughput decline. UNP settles into low-single-digit growth, reflecting a mature, capital-return conglomerate (NAV/share CAGR has been negative for 5 years, DPS held flat at HK$0.40) rather than a compounder. Net cash of HK$1,962m (FY2025), risen to HK$6,231m by H1-2026, is added in the equity bridge.</t>
  </si>
  <si>
    <t xml:space="preserve">Scenario narrative: bull</t>
  </si>
  <si>
    <t xml:space="preserve">The investment-portfolio unwind stabilises quickly and a broadening Hong Kong luxury-residential recovery (&gt;HK$100m transaction volumes +156% YoY in Q1 2026, rate cuts, improving equity markets) drives faster Peak Portfolio and Kai Tak sales recognition than the base case, the Mainland DP legacy book finishes working through its impairments sooner, Changsha/Chengdu IFS keep attracting flagship luxury-brand expansions, and Modern Terminals' DaChan Bay diversification offsets more of the Hong Kong port decline. UNP grows mid-single-digit for several years before fading to a still-modest terminal rate.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</si>
  <si>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</si>
  <si>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</si>
  <si>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</si>
  <si>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</si>
  <si>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</si>
  <si>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</si>
  <si>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</si>
  <si>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</si>
  <si>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</si>
  <si>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</si>
  <si>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</si>
  <si>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</si>
  <si>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</si>
  <si>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</si>
  <si>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</si>
  <si>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</si>
  <si>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</si>
  <si>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</si>
  <si>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</si>
  <si>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</si>
  <si>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</si>
  <si>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</si>
  <si>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</si>
  <si>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</si>
  <si>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</si>
  <si>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</si>
  <si>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</si>
  <si>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</si>
  <si>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</si>
  <si>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</si>
  <si>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</si>
  <si>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</si>
  <si>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</si>
  <si>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</si>
  <si>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</si>
  <si>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</si>
  <si>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</si>
  <si>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</si>
  <si>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</si>
  <si>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</si>
  <si>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</si>
  <si>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</si>
  <si>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</si>
  <si>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</si>
  <si>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</si>
  <si>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</si>
  <si>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</si>
  <si>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</si>
  <si>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</si>
  <si>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</si>
  <si>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</si>
  <si>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</si>
  <si>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</si>
  <si>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</si>
  <si>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</si>
  <si>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</si>
  <si>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</si>
  <si>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</si>
  <si>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</si>
  <si>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</si>
  <si>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</si>
  <si>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</si>
  <si>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</si>
  <si>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</si>
  <si>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</si>
  <si>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</si>
  <si>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</si>
  <si>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</si>
  <si>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</si>
  <si>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</si>
  <si>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</si>
  <si>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</si>
  <si>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</si>
  <si>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0004.HK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</si>
  <si>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</si>
  <si>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</si>
  <si>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</si>
  <si>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</si>
  <si>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</si>
  <si>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</si>
  <si>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</si>
  <si>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</si>
  <si>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</si>
  <si>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</si>
  <si>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</si>
  <si>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</si>
  <si>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</si>
  <si>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</si>
  <si>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</si>
  <si>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</si>
  <si>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</si>
  <si>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</si>
  <si>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</si>
  <si>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</si>
  <si>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</si>
  <si>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</si>
  <si>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</si>
  <si>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</si>
  <si>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</si>
  <si>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</si>
  <si>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</si>
  <si>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</si>
  <si>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</si>
  <si>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</si>
  <si>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0004.HK owner-FCF component DCF: base case (millions, HKD)</t>
  </si>
  <si>
    <t xml:space="preserve">0004.HK owner-FCF component DCF: bull case (millions, HKD)</t>
  </si>
  <si>
    <t xml:space="preserve">0004.HK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</si>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</sst>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43273</v>
      </c>
      <c r="F2" s="0" t="n">
        <v>20622</v>
      </c>
      <c r="G2" s="0" t="n">
        <v>47.7</v>
      </c>
      <c r="H2" s="0" t="n">
        <v>21560</v>
      </c>
      <c r="I2" s="0" t="n">
        <v>21876</v>
      </c>
      <c r="J2" s="0" t="n">
        <v>50.6</v>
      </c>
      <c r="K2" s="0" t="n">
        <v>7.21</v>
      </c>
      <c r="L2" s="0" t="n">
        <v>5208</v>
      </c>
      <c r="M2" s="0" t="n">
        <v>5368</v>
      </c>
      <c r="N2" s="0" t="n">
        <v>-160</v>
      </c>
      <c r="O2" s="0" t="n">
        <v>141974</v>
      </c>
      <c r="P2" s="0" t="n">
        <v>222647</v>
      </c>
      <c r="Q2" s="0" t="n">
        <v>77176</v>
      </c>
      <c r="R2" s="0" t="n">
        <v>36409</v>
      </c>
      <c r="S2" s="0" t="n">
        <v>45697</v>
      </c>
      <c r="T2" s="0" t="n">
        <v>3034</v>
      </c>
      <c r="AA2" s="0" t="s">
        <v>17</v>
      </c>
      <c r="AB2" s="0" t="s">
        <v>14</v>
      </c>
    </row>
    <row r="3" customFormat="false" ht="15" hidden="false" customHeight="false" outlineLevel="0" collapsed="false">
      <c r="A3" s="0" t="s">
        <v>64</v>
      </c>
      <c r="B3" s="0" t="n">
        <v>21055</v>
      </c>
      <c r="F3" s="0" t="n">
        <v>8752</v>
      </c>
      <c r="G3" s="0" t="n">
        <v>41.6</v>
      </c>
      <c r="H3" s="0" t="n">
        <v>9395</v>
      </c>
      <c r="I3" s="0" t="n">
        <v>6623</v>
      </c>
      <c r="J3" s="0" t="n">
        <v>31.5</v>
      </c>
      <c r="K3" s="0" t="n">
        <v>2.17</v>
      </c>
      <c r="L3" s="0" t="n">
        <v>-8091</v>
      </c>
      <c r="M3" s="0" t="n">
        <v>2504</v>
      </c>
      <c r="N3" s="0" t="n">
        <v>-10595</v>
      </c>
      <c r="O3" s="0" t="n">
        <v>135424</v>
      </c>
      <c r="P3" s="0" t="n">
        <v>227349</v>
      </c>
      <c r="Q3" s="0" t="n">
        <v>88589</v>
      </c>
      <c r="R3" s="0" t="n">
        <v>43086</v>
      </c>
      <c r="S3" s="0" t="n">
        <v>17448</v>
      </c>
      <c r="T3" s="0" t="n">
        <v>3047.13</v>
      </c>
      <c r="AA3" s="0" t="s">
        <v>17</v>
      </c>
      <c r="AB3" s="0" t="s">
        <v>14</v>
      </c>
    </row>
    <row r="4" customFormat="false" ht="15" hidden="false" customHeight="false" outlineLevel="0" collapsed="false">
      <c r="A4" s="0" t="s">
        <v>65</v>
      </c>
      <c r="B4" s="0" t="n">
        <v>16874</v>
      </c>
      <c r="F4" s="0" t="n">
        <v>7869</v>
      </c>
      <c r="G4" s="0" t="n">
        <v>46.6</v>
      </c>
      <c r="H4" s="0" t="n">
        <v>8581</v>
      </c>
      <c r="I4" s="0" t="n">
        <v>3386</v>
      </c>
      <c r="J4" s="0" t="n">
        <v>20.1</v>
      </c>
      <c r="K4" s="0" t="n">
        <v>1.11</v>
      </c>
      <c r="L4" s="0" t="n">
        <v>9320</v>
      </c>
      <c r="M4" s="0" t="n">
        <v>837</v>
      </c>
      <c r="N4" s="0" t="n">
        <v>8483</v>
      </c>
      <c r="O4" s="0" t="n">
        <v>142874</v>
      </c>
      <c r="P4" s="0" t="n">
        <v>242218</v>
      </c>
      <c r="Q4" s="0" t="n">
        <v>95875</v>
      </c>
      <c r="R4" s="0" t="n">
        <v>46336</v>
      </c>
      <c r="S4" s="0" t="n">
        <v>27292</v>
      </c>
      <c r="T4" s="0" t="n">
        <v>3049.23</v>
      </c>
      <c r="AA4" s="0" t="s">
        <v>17</v>
      </c>
      <c r="AB4" s="0" t="s">
        <v>14</v>
      </c>
    </row>
    <row r="5" customFormat="false" ht="15" hidden="false" customHeight="false" outlineLevel="0" collapsed="false">
      <c r="A5" s="0" t="s">
        <v>66</v>
      </c>
      <c r="B5" s="0" t="n">
        <v>20997</v>
      </c>
      <c r="F5" s="0" t="n">
        <v>11104</v>
      </c>
      <c r="G5" s="0" t="n">
        <v>52.9</v>
      </c>
      <c r="H5" s="0" t="n">
        <v>11828</v>
      </c>
      <c r="I5" s="0" t="n">
        <v>3864</v>
      </c>
      <c r="J5" s="0" t="n">
        <v>18.4</v>
      </c>
      <c r="K5" s="0" t="n">
        <v>1.27</v>
      </c>
      <c r="L5" s="0" t="n">
        <v>10268</v>
      </c>
      <c r="M5" s="0" t="n">
        <v>1287</v>
      </c>
      <c r="N5" s="0" t="n">
        <v>8981</v>
      </c>
      <c r="O5" s="0" t="n">
        <v>158854</v>
      </c>
      <c r="P5" s="0" t="n">
        <v>254095</v>
      </c>
      <c r="Q5" s="0" t="n">
        <v>90619</v>
      </c>
      <c r="R5" s="0" t="n">
        <v>42174</v>
      </c>
      <c r="S5" s="0" t="n">
        <v>16668</v>
      </c>
      <c r="T5" s="0" t="n">
        <v>3051.33</v>
      </c>
      <c r="AA5" s="0" t="s">
        <v>17</v>
      </c>
      <c r="AB5" s="0" t="s">
        <v>14</v>
      </c>
    </row>
    <row r="6" customFormat="false" ht="15" hidden="false" customHeight="false" outlineLevel="0" collapsed="false">
      <c r="A6" s="0" t="s">
        <v>67</v>
      </c>
      <c r="B6" s="0" t="n">
        <v>22378</v>
      </c>
      <c r="F6" s="0" t="n">
        <v>8536</v>
      </c>
      <c r="G6" s="0" t="n">
        <v>38.1</v>
      </c>
      <c r="H6" s="0" t="n">
        <v>9290</v>
      </c>
      <c r="I6" s="0" t="n">
        <v>6019</v>
      </c>
      <c r="J6" s="0" t="n">
        <v>26.9</v>
      </c>
      <c r="K6" s="0" t="n">
        <v>1.97</v>
      </c>
      <c r="L6" s="0" t="n">
        <v>2554</v>
      </c>
      <c r="M6" s="0" t="n">
        <v>1000</v>
      </c>
      <c r="N6" s="0" t="n">
        <v>1554</v>
      </c>
      <c r="O6" s="0" t="n">
        <v>162020</v>
      </c>
      <c r="P6" s="0" t="n">
        <v>253700</v>
      </c>
      <c r="Q6" s="0" t="n">
        <v>87323</v>
      </c>
      <c r="R6" s="0" t="n">
        <v>36745</v>
      </c>
      <c r="S6" s="0" t="n">
        <v>23559</v>
      </c>
      <c r="T6" s="0" t="n">
        <v>3056.03</v>
      </c>
      <c r="AA6" s="0" t="s">
        <v>17</v>
      </c>
      <c r="AB6" s="0" t="s">
        <v>14</v>
      </c>
    </row>
    <row r="7" customFormat="false" ht="15" hidden="false" customHeight="false" outlineLevel="0" collapsed="false">
      <c r="A7" s="0" t="s">
        <v>68</v>
      </c>
      <c r="B7" s="0" t="n">
        <v>18064</v>
      </c>
      <c r="F7" s="0" t="n">
        <v>6603</v>
      </c>
      <c r="G7" s="0" t="n">
        <v>36.6</v>
      </c>
      <c r="H7" s="0" t="n">
        <v>7320</v>
      </c>
      <c r="I7" s="0" t="n">
        <v>-1705</v>
      </c>
      <c r="J7" s="0" t="n">
        <v>-9.4</v>
      </c>
      <c r="K7" s="0" t="n">
        <v>-0.56</v>
      </c>
      <c r="L7" s="0" t="n">
        <v>6183</v>
      </c>
      <c r="M7" s="0" t="n">
        <v>1015</v>
      </c>
      <c r="N7" s="0" t="n">
        <v>5168</v>
      </c>
      <c r="O7" s="0" t="n">
        <v>151585</v>
      </c>
      <c r="P7" s="0" t="n">
        <v>221745</v>
      </c>
      <c r="Q7" s="0" t="n">
        <v>66038</v>
      </c>
      <c r="R7" s="0" t="n">
        <v>19964</v>
      </c>
      <c r="S7" s="0" t="n">
        <v>14648</v>
      </c>
      <c r="T7" s="0" t="n">
        <v>3056.03</v>
      </c>
      <c r="AA7" s="0" t="s">
        <v>17</v>
      </c>
      <c r="AB7" s="0" t="s">
        <v>14</v>
      </c>
    </row>
    <row r="8" customFormat="false" ht="15" hidden="false" customHeight="false" outlineLevel="0" collapsed="false">
      <c r="A8" s="0" t="s">
        <v>69</v>
      </c>
      <c r="B8" s="0" t="n">
        <v>18950</v>
      </c>
      <c r="F8" s="0" t="n">
        <v>6896</v>
      </c>
      <c r="G8" s="0" t="n">
        <v>36.4</v>
      </c>
      <c r="H8" s="0" t="n">
        <v>7602</v>
      </c>
      <c r="I8" s="0" t="n">
        <v>945</v>
      </c>
      <c r="J8" s="0" t="n">
        <v>5</v>
      </c>
      <c r="K8" s="0" t="n">
        <v>0.31</v>
      </c>
      <c r="L8" s="0" t="n">
        <v>2379</v>
      </c>
      <c r="M8" s="0" t="n">
        <v>774</v>
      </c>
      <c r="N8" s="0" t="n">
        <v>1605</v>
      </c>
      <c r="O8" s="0" t="n">
        <v>142989</v>
      </c>
      <c r="P8" s="0" t="n">
        <v>204877</v>
      </c>
      <c r="Q8" s="0" t="n">
        <v>56674</v>
      </c>
      <c r="R8" s="0" t="n">
        <v>19432</v>
      </c>
      <c r="S8" s="0" t="n">
        <v>11593</v>
      </c>
      <c r="T8" s="0" t="n">
        <v>3056.03</v>
      </c>
      <c r="AA8" s="0" t="s">
        <v>17</v>
      </c>
      <c r="AB8" s="0" t="s">
        <v>14</v>
      </c>
    </row>
    <row r="9" customFormat="false" ht="15" hidden="false" customHeight="false" outlineLevel="0" collapsed="false">
      <c r="A9" s="0" t="s">
        <v>70</v>
      </c>
      <c r="B9" s="0" t="n">
        <v>12115</v>
      </c>
      <c r="F9" s="0" t="n">
        <v>5644</v>
      </c>
      <c r="G9" s="0" t="n">
        <v>46.6</v>
      </c>
      <c r="H9" s="0" t="n">
        <v>6352</v>
      </c>
      <c r="I9" s="0" t="n">
        <v>-3224</v>
      </c>
      <c r="J9" s="0" t="n">
        <v>-26.6</v>
      </c>
      <c r="K9" s="0" t="n">
        <v>-1.05</v>
      </c>
      <c r="L9" s="0" t="n">
        <v>3830</v>
      </c>
      <c r="M9" s="0" t="n">
        <v>808</v>
      </c>
      <c r="N9" s="0" t="n">
        <v>3022</v>
      </c>
      <c r="O9" s="0" t="n">
        <v>136832</v>
      </c>
      <c r="P9" s="0" t="n">
        <v>190039</v>
      </c>
      <c r="Q9" s="0" t="n">
        <v>47569</v>
      </c>
      <c r="R9" s="0" t="n">
        <v>16854</v>
      </c>
      <c r="S9" s="0" t="n">
        <v>9718</v>
      </c>
      <c r="T9" s="0" t="n">
        <v>3056.03</v>
      </c>
      <c r="AA9" s="0" t="s">
        <v>17</v>
      </c>
      <c r="AB9" s="0" t="s">
        <v>14</v>
      </c>
    </row>
    <row r="10" customFormat="false" ht="15" hidden="false" customHeight="false" outlineLevel="0" collapsed="false">
      <c r="A10" s="0" t="s">
        <v>71</v>
      </c>
      <c r="B10" s="0" t="n">
        <v>10997</v>
      </c>
      <c r="F10" s="0" t="n">
        <v>5068</v>
      </c>
      <c r="G10" s="0" t="n">
        <v>46.1</v>
      </c>
      <c r="H10" s="0" t="n">
        <v>5773</v>
      </c>
      <c r="I10" s="0" t="n">
        <v>50</v>
      </c>
      <c r="J10" s="0" t="n">
        <v>0.5</v>
      </c>
      <c r="K10" s="0" t="n">
        <v>0.02</v>
      </c>
      <c r="L10" s="0" t="n">
        <v>4018</v>
      </c>
      <c r="M10" s="0" t="n">
        <v>360</v>
      </c>
      <c r="N10" s="0" t="n">
        <v>3658</v>
      </c>
      <c r="O10" s="0" t="n">
        <v>146707</v>
      </c>
      <c r="P10" s="0" t="n">
        <v>198509</v>
      </c>
      <c r="Q10" s="0" t="n">
        <v>46091</v>
      </c>
      <c r="R10" s="0" t="n">
        <v>17906</v>
      </c>
      <c r="S10" s="0" t="n">
        <v>19868</v>
      </c>
      <c r="T10" s="0" t="n">
        <v>3056.03</v>
      </c>
      <c r="AA10" s="0" t="s">
        <v>17</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19.5</v>
      </c>
    </row>
    <row r="3" customFormat="false" ht="15" hidden="false" customHeight="false" outlineLevel="0" collapsed="false">
      <c r="A3" s="0" t="s">
        <v>75</v>
      </c>
      <c r="B3" s="3" t="n">
        <v>3056</v>
      </c>
    </row>
    <row r="4" customFormat="false" ht="15" hidden="false" customHeight="false" outlineLevel="0" collapsed="false">
      <c r="A4" s="0" t="s">
        <v>76</v>
      </c>
      <c r="B4" s="3" t="n">
        <v>0</v>
      </c>
    </row>
    <row r="5" customFormat="false" ht="15" hidden="false" customHeight="false" outlineLevel="0" collapsed="false">
      <c r="A5" s="0" t="s">
        <v>77</v>
      </c>
      <c r="B5" s="3" t="n">
        <v>1962</v>
      </c>
    </row>
    <row r="6" customFormat="false" ht="15" hidden="false" customHeight="false" outlineLevel="0" collapsed="false">
      <c r="A6" s="0" t="s">
        <v>78</v>
      </c>
      <c r="B6" s="3" t="n">
        <v>15</v>
      </c>
    </row>
    <row r="7" customFormat="false" ht="15" hidden="false" customHeight="false" outlineLevel="0" collapsed="false">
      <c r="A7" s="0" t="s">
        <v>79</v>
      </c>
      <c r="B7" s="3" t="n">
        <v>4104</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-20</v>
      </c>
      <c r="D13" s="3" t="n">
        <v>-15</v>
      </c>
      <c r="E13" s="3" t="n">
        <v>-5</v>
      </c>
      <c r="F13" s="3" t="n">
        <v>0</v>
      </c>
      <c r="G13" s="3" t="n">
        <v>1</v>
      </c>
      <c r="H13" s="3" t="n">
        <v>1.5</v>
      </c>
      <c r="I13" s="3" t="n">
        <v>1.5</v>
      </c>
      <c r="J13" s="3" t="n">
        <v>1.5</v>
      </c>
      <c r="K13" s="3" t="n">
        <v>1.5</v>
      </c>
      <c r="L13" s="3" t="n">
        <v>1.5</v>
      </c>
    </row>
    <row r="14" customFormat="false" ht="15" hidden="false" customHeight="false" outlineLevel="0" collapsed="false">
      <c r="A14" s="0" t="s">
        <v>96</v>
      </c>
      <c r="C14" s="3" t="n">
        <v>100</v>
      </c>
      <c r="D14" s="3" t="n">
        <v>100</v>
      </c>
      <c r="E14" s="3" t="n">
        <v>100</v>
      </c>
      <c r="F14" s="3" t="n">
        <v>100</v>
      </c>
      <c r="G14" s="3" t="n">
        <v>100</v>
      </c>
      <c r="H14" s="3" t="n">
        <v>100</v>
      </c>
      <c r="I14" s="3" t="n">
        <v>100</v>
      </c>
      <c r="J14" s="3" t="n">
        <v>100</v>
      </c>
      <c r="K14" s="3" t="n">
        <v>100</v>
      </c>
      <c r="L14" s="3" t="n">
        <v>100</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100</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101</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102</v>
      </c>
      <c r="B20" s="3" t="n">
        <v>10.5</v>
      </c>
    </row>
    <row r="21" customFormat="false" ht="15" hidden="false" customHeight="false" outlineLevel="0" collapsed="false">
      <c r="A21" s="0" t="s">
        <v>103</v>
      </c>
      <c r="B21" s="3" t="n">
        <v>1.5</v>
      </c>
    </row>
    <row r="22" customFormat="false" ht="15" hidden="false" customHeight="false" outlineLevel="0" collapsed="false">
      <c r="A22" s="0" t="s">
        <v>104</v>
      </c>
      <c r="B22" s="3" t="n">
        <v>9</v>
      </c>
    </row>
    <row r="23" customFormat="false" ht="15" hidden="false" customHeight="false" outlineLevel="0" collapsed="false">
      <c r="A23" s="0" t="s">
        <v>105</v>
      </c>
      <c r="B23" s="3" t="n">
        <v>0</v>
      </c>
    </row>
    <row r="24" customFormat="false" ht="15" hidden="false" customHeight="false" outlineLevel="0" collapsed="false">
      <c r="A24" s="0" t="s">
        <v>106</v>
      </c>
      <c r="B24" s="3" t="n">
        <v>0.3</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-8</v>
      </c>
      <c r="D27" s="3" t="n">
        <v>-4</v>
      </c>
      <c r="E27" s="3" t="n">
        <v>2</v>
      </c>
      <c r="F27" s="3" t="n">
        <v>3</v>
      </c>
      <c r="G27" s="3" t="n">
        <v>3</v>
      </c>
      <c r="H27" s="3" t="n">
        <v>2.5</v>
      </c>
      <c r="I27" s="3" t="n">
        <v>2.5</v>
      </c>
      <c r="J27" s="3" t="n">
        <v>2</v>
      </c>
      <c r="K27" s="3" t="n">
        <v>2</v>
      </c>
      <c r="L27" s="3" t="n">
        <v>2</v>
      </c>
    </row>
    <row r="28" customFormat="false" ht="15" hidden="false" customHeight="false" outlineLevel="0" collapsed="false">
      <c r="A28" s="0" t="s">
        <v>96</v>
      </c>
      <c r="C28" s="3" t="n">
        <v>100</v>
      </c>
      <c r="D28" s="3" t="n">
        <v>100</v>
      </c>
      <c r="E28" s="3" t="n">
        <v>100</v>
      </c>
      <c r="F28" s="3" t="n">
        <v>100</v>
      </c>
      <c r="G28" s="3" t="n">
        <v>100</v>
      </c>
      <c r="H28" s="3" t="n">
        <v>100</v>
      </c>
      <c r="I28" s="3" t="n">
        <v>100</v>
      </c>
      <c r="J28" s="3" t="n">
        <v>100</v>
      </c>
      <c r="K28" s="3" t="n">
        <v>100</v>
      </c>
      <c r="L28" s="3" t="n">
        <v>100</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100</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101</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102</v>
      </c>
      <c r="B34" s="3" t="n">
        <v>9.5</v>
      </c>
    </row>
    <row r="35" customFormat="false" ht="15" hidden="false" customHeight="false" outlineLevel="0" collapsed="false">
      <c r="A35" s="0" t="s">
        <v>103</v>
      </c>
      <c r="B35" s="3" t="n">
        <v>2</v>
      </c>
    </row>
    <row r="36" customFormat="false" ht="15" hidden="false" customHeight="false" outlineLevel="0" collapsed="false">
      <c r="A36" s="0" t="s">
        <v>104</v>
      </c>
      <c r="B36" s="3" t="n">
        <v>12</v>
      </c>
    </row>
    <row r="37" customFormat="false" ht="15" hidden="false" customHeight="false" outlineLevel="0" collapsed="false">
      <c r="A37" s="0" t="s">
        <v>105</v>
      </c>
      <c r="B37" s="3" t="n">
        <v>0</v>
      </c>
    </row>
    <row r="38" customFormat="false" ht="15" hidden="false" customHeight="false" outlineLevel="0" collapsed="false">
      <c r="A38" s="0" t="s">
        <v>106</v>
      </c>
      <c r="B38" s="3" t="n">
        <v>0.45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-3</v>
      </c>
      <c r="D41" s="3" t="n">
        <v>3</v>
      </c>
      <c r="E41" s="3" t="n">
        <v>6</v>
      </c>
      <c r="F41" s="3" t="n">
        <v>6</v>
      </c>
      <c r="G41" s="3" t="n">
        <v>5</v>
      </c>
      <c r="H41" s="3" t="n">
        <v>4</v>
      </c>
      <c r="I41" s="3" t="n">
        <v>3.5</v>
      </c>
      <c r="J41" s="3" t="n">
        <v>3</v>
      </c>
      <c r="K41" s="3" t="n">
        <v>3</v>
      </c>
      <c r="L41" s="3" t="n">
        <v>2.5</v>
      </c>
    </row>
    <row r="42" customFormat="false" ht="15" hidden="false" customHeight="false" outlineLevel="0" collapsed="false">
      <c r="A42" s="0" t="s">
        <v>96</v>
      </c>
      <c r="C42" s="3" t="n">
        <v>100</v>
      </c>
      <c r="D42" s="3" t="n">
        <v>100</v>
      </c>
      <c r="E42" s="3" t="n">
        <v>100</v>
      </c>
      <c r="F42" s="3" t="n">
        <v>100</v>
      </c>
      <c r="G42" s="3" t="n">
        <v>100</v>
      </c>
      <c r="H42" s="3" t="n">
        <v>100</v>
      </c>
      <c r="I42" s="3" t="n">
        <v>100</v>
      </c>
      <c r="J42" s="3" t="n">
        <v>100</v>
      </c>
      <c r="K42" s="3" t="n">
        <v>100</v>
      </c>
      <c r="L42" s="3" t="n">
        <v>100</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100</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101</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102</v>
      </c>
      <c r="B48" s="3" t="n">
        <v>9</v>
      </c>
    </row>
    <row r="49" customFormat="false" ht="15" hidden="false" customHeight="false" outlineLevel="0" collapsed="false">
      <c r="A49" s="0" t="s">
        <v>103</v>
      </c>
      <c r="B49" s="3" t="n">
        <v>2.5</v>
      </c>
    </row>
    <row r="50" customFormat="false" ht="15" hidden="false" customHeight="false" outlineLevel="0" collapsed="false">
      <c r="A50" s="0" t="s">
        <v>104</v>
      </c>
      <c r="B50" s="3" t="n">
        <v>14</v>
      </c>
    </row>
    <row r="51" customFormat="false" ht="15" hidden="false" customHeight="false" outlineLevel="0" collapsed="false">
      <c r="A51" s="0" t="s">
        <v>105</v>
      </c>
      <c r="B51" s="3" t="n">
        <v>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-20</v>
      </c>
      <c r="D5" s="4" t="n">
        <f aca="false">Assumptions!D13</f>
        <v>-15</v>
      </c>
      <c r="E5" s="4" t="n">
        <f aca="false">Assumptions!E13</f>
        <v>-5</v>
      </c>
      <c r="F5" s="4" t="n">
        <f aca="false">Assumptions!F13</f>
        <v>0</v>
      </c>
      <c r="G5" s="4" t="n">
        <f aca="false">Assumptions!G13</f>
        <v>1</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4104</v>
      </c>
      <c r="C6" s="0" t="n">
        <f aca="false">B6*(1+C5/100)</f>
        <v>3283.2</v>
      </c>
      <c r="D6" s="0" t="n">
        <f aca="false">C6*(1+D5/100)</f>
        <v>2790.72</v>
      </c>
      <c r="E6" s="0" t="n">
        <f aca="false">D6*(1+E5/100)</f>
        <v>2651.184</v>
      </c>
      <c r="F6" s="0" t="n">
        <f aca="false">E6*(1+F5/100)</f>
        <v>2651.184</v>
      </c>
      <c r="G6" s="0" t="n">
        <f aca="false">F6*(1+G5/100)</f>
        <v>2677.69584</v>
      </c>
      <c r="H6" s="0" t="n">
        <f aca="false">G6*(1+H5/100)</f>
        <v>2717.8612776</v>
      </c>
      <c r="I6" s="0" t="n">
        <f aca="false">H6*(1+I5/100)</f>
        <v>2758.629196764</v>
      </c>
      <c r="J6" s="0" t="n">
        <f aca="false">I6*(1+J5/100)</f>
        <v>2800.00863471546</v>
      </c>
      <c r="K6" s="0" t="n">
        <f aca="false">J6*(1+K5/100)</f>
        <v>2842.00876423619</v>
      </c>
      <c r="L6" s="0" t="n">
        <f aca="false">K6*(1+L5/100)</f>
        <v>2884.63889569973</v>
      </c>
    </row>
    <row r="7" customFormat="false" ht="15" hidden="false" customHeight="false" outlineLevel="0" collapsed="false">
      <c r="A7" s="0" t="s">
        <v>96</v>
      </c>
      <c r="C7" s="4" t="n">
        <f aca="false">Assumptions!C14</f>
        <v>100</v>
      </c>
      <c r="D7" s="4" t="n">
        <f aca="false">Assumptions!D14</f>
        <v>100</v>
      </c>
      <c r="E7" s="4" t="n">
        <f aca="false">Assumptions!E14</f>
        <v>100</v>
      </c>
      <c r="F7" s="4" t="n">
        <f aca="false">Assumptions!F14</f>
        <v>100</v>
      </c>
      <c r="G7" s="4" t="n">
        <f aca="false">Assumptions!G14</f>
        <v>100</v>
      </c>
      <c r="H7" s="4" t="n">
        <f aca="false">Assumptions!H14</f>
        <v>100</v>
      </c>
      <c r="I7" s="4" t="n">
        <f aca="false">Assumptions!I14</f>
        <v>100</v>
      </c>
      <c r="J7" s="4" t="n">
        <f aca="false">Assumptions!J14</f>
        <v>100</v>
      </c>
      <c r="K7" s="4" t="n">
        <f aca="false">Assumptions!K14</f>
        <v>100</v>
      </c>
      <c r="L7" s="4" t="n">
        <f aca="false">Assumptions!L14</f>
        <v>100</v>
      </c>
    </row>
    <row r="8" customFormat="false" ht="15" hidden="false" customHeight="false" outlineLevel="0" collapsed="false">
      <c r="A8" s="0" t="s">
        <v>43</v>
      </c>
      <c r="C8" s="0" t="n">
        <f aca="false">C6*C7/100</f>
        <v>3283.2</v>
      </c>
      <c r="D8" s="0" t="n">
        <f aca="false">D6*D7/100</f>
        <v>2790.72</v>
      </c>
      <c r="E8" s="0" t="n">
        <f aca="false">E6*E7/100</f>
        <v>2651.184</v>
      </c>
      <c r="F8" s="0" t="n">
        <f aca="false">F6*F7/100</f>
        <v>2651.184</v>
      </c>
      <c r="G8" s="0" t="n">
        <f aca="false">G6*G7/100</f>
        <v>2677.69584</v>
      </c>
      <c r="H8" s="0" t="n">
        <f aca="false">H6*H7/100</f>
        <v>2717.8612776</v>
      </c>
      <c r="I8" s="0" t="n">
        <f aca="false">I6*I7/100</f>
        <v>2758.629196764</v>
      </c>
      <c r="J8" s="0" t="n">
        <f aca="false">J6*J7/100</f>
        <v>2800.00863471546</v>
      </c>
      <c r="K8" s="0" t="n">
        <f aca="false">K6*K7/100</f>
        <v>2842.00876423619</v>
      </c>
      <c r="L8" s="0" t="n">
        <f aca="false">L6*L7/100</f>
        <v>2884.63889569973</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3283.2</v>
      </c>
      <c r="D11" s="0" t="n">
        <f aca="false">D8+D10+D24</f>
        <v>2790.72</v>
      </c>
      <c r="E11" s="0" t="n">
        <f aca="false">E8+E10+E24</f>
        <v>2651.184</v>
      </c>
      <c r="F11" s="0" t="n">
        <f aca="false">F8+F10+F24</f>
        <v>2651.184</v>
      </c>
      <c r="G11" s="0" t="n">
        <f aca="false">G8+G10+G24</f>
        <v>2677.69584</v>
      </c>
      <c r="H11" s="0" t="n">
        <f aca="false">H8+H10+H24</f>
        <v>2717.8612776</v>
      </c>
      <c r="I11" s="0" t="n">
        <f aca="false">I8+I10+I24</f>
        <v>2758.629196764</v>
      </c>
      <c r="J11" s="0" t="n">
        <f aca="false">J8+J10+J24</f>
        <v>2800.00863471546</v>
      </c>
      <c r="K11" s="0" t="n">
        <f aca="false">K8+K10+K24</f>
        <v>2842.00876423619</v>
      </c>
      <c r="L11" s="0" t="n">
        <f aca="false">L8+L10+L24</f>
        <v>2884.63889569973</v>
      </c>
    </row>
    <row r="12" customFormat="false" ht="15" hidden="false" customHeight="false" outlineLevel="0" collapsed="false">
      <c r="A12" s="0" t="s">
        <v>114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115</v>
      </c>
      <c r="C13" s="0" t="n">
        <f aca="false">C11+C12</f>
        <v>3283.2</v>
      </c>
      <c r="D13" s="0" t="n">
        <f aca="false">D11+D12</f>
        <v>2790.72</v>
      </c>
      <c r="E13" s="0" t="n">
        <f aca="false">E11+E12</f>
        <v>2651.184</v>
      </c>
      <c r="F13" s="0" t="n">
        <f aca="false">F11+F12</f>
        <v>2651.184</v>
      </c>
      <c r="G13" s="0" t="n">
        <f aca="false">G11+G12</f>
        <v>2677.69584</v>
      </c>
      <c r="H13" s="0" t="n">
        <f aca="false">H11+H12</f>
        <v>2717.8612776</v>
      </c>
      <c r="I13" s="0" t="n">
        <f aca="false">I11+I12</f>
        <v>2758.629196764</v>
      </c>
      <c r="J13" s="0" t="n">
        <f aca="false">J11+J12</f>
        <v>2800.00863471546</v>
      </c>
      <c r="K13" s="0" t="n">
        <f aca="false">K11+K12</f>
        <v>2842.00876423619</v>
      </c>
      <c r="L13" s="0" t="n">
        <f aca="false">L11+L12</f>
        <v>2884.63889569973</v>
      </c>
    </row>
    <row r="14" customFormat="false" ht="15" hidden="false" customHeight="false" outlineLevel="0" collapsed="false">
      <c r="A14" s="0" t="s">
        <v>101</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116</v>
      </c>
      <c r="C15" s="0" t="n">
        <f aca="false">C13-MAX(0,C13)*C14/100</f>
        <v>3283.2</v>
      </c>
      <c r="D15" s="0" t="n">
        <f aca="false">D13-MAX(0,D13)*D14/100</f>
        <v>2790.72</v>
      </c>
      <c r="E15" s="0" t="n">
        <f aca="false">E13-MAX(0,E13)*E14/100</f>
        <v>2651.184</v>
      </c>
      <c r="F15" s="0" t="n">
        <f aca="false">F13-MAX(0,F13)*F14/100</f>
        <v>2651.184</v>
      </c>
      <c r="G15" s="0" t="n">
        <f aca="false">G13-MAX(0,G13)*G14/100</f>
        <v>2677.69584</v>
      </c>
      <c r="H15" s="0" t="n">
        <f aca="false">H13-MAX(0,H13)*H14/100</f>
        <v>2717.8612776</v>
      </c>
      <c r="I15" s="0" t="n">
        <f aca="false">I13-MAX(0,I13)*I14/100</f>
        <v>2758.629196764</v>
      </c>
      <c r="J15" s="0" t="n">
        <f aca="false">J13-MAX(0,J13)*J14/100</f>
        <v>2800.00863471546</v>
      </c>
      <c r="K15" s="0" t="n">
        <f aca="false">K13-MAX(0,K13)*K14/100</f>
        <v>2842.00876423619</v>
      </c>
      <c r="L15" s="0" t="n">
        <f aca="false">L13-MAX(0,L13)*L14/100</f>
        <v>2884.63889569973</v>
      </c>
    </row>
    <row r="16" customFormat="false" ht="15" hidden="false" customHeight="false" outlineLevel="0" collapsed="false">
      <c r="A16" s="0" t="s">
        <v>117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118</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119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120</v>
      </c>
      <c r="C19" s="0" t="n">
        <f aca="false">C15+C16+C17+C18</f>
        <v>3283.2</v>
      </c>
      <c r="D19" s="0" t="n">
        <f aca="false">D15+D16+D17+D18</f>
        <v>2790.72</v>
      </c>
      <c r="E19" s="0" t="n">
        <f aca="false">E15+E16+E17+E18</f>
        <v>2651.184</v>
      </c>
      <c r="F19" s="0" t="n">
        <f aca="false">F15+F16+F17+F18</f>
        <v>2651.184</v>
      </c>
      <c r="G19" s="0" t="n">
        <f aca="false">G15+G16+G17+G18</f>
        <v>2677.69584</v>
      </c>
      <c r="H19" s="0" t="n">
        <f aca="false">H15+H16+H17+H18</f>
        <v>2717.8612776</v>
      </c>
      <c r="I19" s="0" t="n">
        <f aca="false">I15+I16+I17+I18</f>
        <v>2758.629196764</v>
      </c>
      <c r="J19" s="0" t="n">
        <f aca="false">J15+J16+J17+J18</f>
        <v>2800.00863471546</v>
      </c>
      <c r="K19" s="0" t="n">
        <f aca="false">K15+K16+K17+K18</f>
        <v>2842.00876423619</v>
      </c>
      <c r="L19" s="0" t="n">
        <f aca="false">L15+L16+L17+L18</f>
        <v>2884.63889569973</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2971.22171945701</v>
      </c>
      <c r="D21" s="0" t="n">
        <f aca="false">D19*D20</f>
        <v>2285.55516881309</v>
      </c>
      <c r="E21" s="0" t="n">
        <f aca="false">E19*E20</f>
        <v>1964.95693246374</v>
      </c>
      <c r="F21" s="0" t="n">
        <f aca="false">F19*F20</f>
        <v>1778.24156784049</v>
      </c>
      <c r="G21" s="0" t="n">
        <f aca="false">G19*G20</f>
        <v>1625.36107105782</v>
      </c>
      <c r="H21" s="0" t="n">
        <f aca="false">H19*H20</f>
        <v>1492.97872137891</v>
      </c>
      <c r="I21" s="0" t="n">
        <f aca="false">I19*I20</f>
        <v>1371.37864452451</v>
      </c>
      <c r="J21" s="0" t="n">
        <f aca="false">J19*J20</f>
        <v>1259.68264632795</v>
      </c>
      <c r="K21" s="0" t="n">
        <f aca="false">K19*K20</f>
        <v>1157.0840597492</v>
      </c>
      <c r="L21" s="0" t="n">
        <f aca="false">L19*L20</f>
        <v>1062.84191913614</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10.5</v>
      </c>
    </row>
    <row r="28" customFormat="false" ht="15" hidden="false" customHeight="false" outlineLevel="0" collapsed="false">
      <c r="A28" s="0" t="s">
        <v>103</v>
      </c>
      <c r="B28" s="4" t="n">
        <f aca="false">Assumptions!$B$21</f>
        <v>1.5</v>
      </c>
    </row>
    <row r="29" customFormat="false" ht="15" hidden="false" customHeight="false" outlineLevel="0" collapsed="false">
      <c r="A29" s="0" t="s">
        <v>104</v>
      </c>
      <c r="B29" s="4" t="n">
        <f aca="false">Assumptions!$B$22</f>
        <v>9</v>
      </c>
    </row>
    <row r="30" customFormat="false" ht="15" hidden="false" customHeight="false" outlineLevel="0" collapsed="false">
      <c r="A30" s="0" t="s">
        <v>125</v>
      </c>
      <c r="B30" s="0" t="n">
        <f aca="false">SUM(C21:L21)</f>
        <v>16969.3024507489</v>
      </c>
    </row>
    <row r="31" customFormat="false" ht="15" hidden="false" customHeight="false" outlineLevel="0" collapsed="false">
      <c r="A31" s="0" t="s">
        <v>126</v>
      </c>
      <c r="B31" s="0" t="n">
        <f aca="false">L19</f>
        <v>2884.63889569973</v>
      </c>
    </row>
    <row r="32" customFormat="false" ht="15" hidden="false" customHeight="false" outlineLevel="0" collapsed="false">
      <c r="A32" s="0" t="s">
        <v>127</v>
      </c>
      <c r="B32" s="0" t="n">
        <f aca="false">IF(B27&gt;B28,B31*(1+B28/100)/((B27-B28)/100),B31*B29)</f>
        <v>32532.3164348359</v>
      </c>
    </row>
    <row r="33" customFormat="false" ht="15" hidden="false" customHeight="false" outlineLevel="0" collapsed="false">
      <c r="A33" s="0" t="s">
        <v>128</v>
      </c>
      <c r="B33" s="0" t="n">
        <f aca="false">B31*B29</f>
        <v>25961.7500612976</v>
      </c>
    </row>
    <row r="34" customFormat="false" ht="15" hidden="false" customHeight="false" outlineLevel="0" collapsed="false">
      <c r="A34" s="0" t="s">
        <v>129</v>
      </c>
      <c r="B34" s="0" t="n">
        <f aca="false">MAX(0,MIN(B32,B33))</f>
        <v>25961.7500612976</v>
      </c>
    </row>
    <row r="35" customFormat="false" ht="15" hidden="false" customHeight="false" outlineLevel="0" collapsed="false">
      <c r="A35" s="0" t="s">
        <v>130</v>
      </c>
      <c r="B35" s="0" t="n">
        <f aca="false">B34/(1+B27/100)^L4</f>
        <v>9565.57727222529</v>
      </c>
    </row>
    <row r="36" customFormat="false" ht="15" hidden="false" customHeight="false" outlineLevel="0" collapsed="false">
      <c r="A36" s="0" t="s">
        <v>131</v>
      </c>
      <c r="B36" s="0" t="n">
        <f aca="false">B30+B35</f>
        <v>26534.8797229742</v>
      </c>
    </row>
    <row r="37" customFormat="false" ht="15" hidden="false" customHeight="false" outlineLevel="0" collapsed="false">
      <c r="A37" s="0" t="s">
        <v>132</v>
      </c>
      <c r="B37" s="0" t="n">
        <f aca="false">B36+Assumptions!$B$5-Assumptions!$B$4</f>
        <v>28496.8797229742</v>
      </c>
    </row>
    <row r="38" customFormat="false" ht="15" hidden="false" customHeight="false" outlineLevel="0" collapsed="false">
      <c r="A38" s="0" t="s">
        <v>133</v>
      </c>
      <c r="B38" s="0" t="n">
        <f aca="false">B37/Assumptions!$B$3*Assumptions!$B$10</f>
        <v>9.3248951973083</v>
      </c>
    </row>
    <row r="39" customFormat="false" ht="15" hidden="false" customHeight="false" outlineLevel="0" collapsed="false">
      <c r="A39" s="0" t="s">
        <v>134</v>
      </c>
      <c r="B39" s="4" t="n">
        <f aca="false">B38/Assumptions!$B$2-1</f>
        <v>-0.521800246291882</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9.3248951973083</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21688.2109565573</v>
      </c>
    </row>
    <row r="47" customFormat="false" ht="15" hidden="false" customHeight="false" outlineLevel="0" collapsed="false">
      <c r="A47" s="0" t="s">
        <v>139</v>
      </c>
      <c r="B47" s="0" t="n">
        <f aca="false">(SUMPRODUCT(C19:L19/(1+B45/100)^C4:L4)+B46/(1+B45/100)^L4+Assumptions!$B$5-Assumptions!$B$4)/Assumptions!$B$3*Assumptions!$B$10</f>
        <v>7.04409799620506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-8</v>
      </c>
      <c r="D5" s="4" t="n">
        <f aca="false">Assumptions!D27</f>
        <v>-4</v>
      </c>
      <c r="E5" s="4" t="n">
        <f aca="false">Assumptions!E27</f>
        <v>2</v>
      </c>
      <c r="F5" s="4" t="n">
        <f aca="false">Assumptions!F27</f>
        <v>3</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4104</v>
      </c>
      <c r="C6" s="0" t="n">
        <f aca="false">B6*(1+C5/100)</f>
        <v>3775.68</v>
      </c>
      <c r="D6" s="0" t="n">
        <f aca="false">C6*(1+D5/100)</f>
        <v>3624.6528</v>
      </c>
      <c r="E6" s="0" t="n">
        <f aca="false">D6*(1+E5/100)</f>
        <v>3697.145856</v>
      </c>
      <c r="F6" s="0" t="n">
        <f aca="false">E6*(1+F5/100)</f>
        <v>3808.06023168</v>
      </c>
      <c r="G6" s="0" t="n">
        <f aca="false">F6*(1+G5/100)</f>
        <v>3922.3020386304</v>
      </c>
      <c r="H6" s="0" t="n">
        <f aca="false">G6*(1+H5/100)</f>
        <v>4020.35958959616</v>
      </c>
      <c r="I6" s="0" t="n">
        <f aca="false">H6*(1+I5/100)</f>
        <v>4120.86857933606</v>
      </c>
      <c r="J6" s="0" t="n">
        <f aca="false">I6*(1+J5/100)</f>
        <v>4203.28595092279</v>
      </c>
      <c r="K6" s="0" t="n">
        <f aca="false">J6*(1+K5/100)</f>
        <v>4287.35166994124</v>
      </c>
      <c r="L6" s="0" t="n">
        <f aca="false">K6*(1+L5/100)</f>
        <v>4373.09870334007</v>
      </c>
    </row>
    <row r="7" customFormat="false" ht="15" hidden="false" customHeight="false" outlineLevel="0" collapsed="false">
      <c r="A7" s="0" t="s">
        <v>96</v>
      </c>
      <c r="C7" s="4" t="n">
        <f aca="false">Assumptions!C28</f>
        <v>100</v>
      </c>
      <c r="D7" s="4" t="n">
        <f aca="false">Assumptions!D28</f>
        <v>100</v>
      </c>
      <c r="E7" s="4" t="n">
        <f aca="false">Assumptions!E28</f>
        <v>100</v>
      </c>
      <c r="F7" s="4" t="n">
        <f aca="false">Assumptions!F28</f>
        <v>100</v>
      </c>
      <c r="G7" s="4" t="n">
        <f aca="false">Assumptions!G28</f>
        <v>100</v>
      </c>
      <c r="H7" s="4" t="n">
        <f aca="false">Assumptions!H28</f>
        <v>100</v>
      </c>
      <c r="I7" s="4" t="n">
        <f aca="false">Assumptions!I28</f>
        <v>100</v>
      </c>
      <c r="J7" s="4" t="n">
        <f aca="false">Assumptions!J28</f>
        <v>100</v>
      </c>
      <c r="K7" s="4" t="n">
        <f aca="false">Assumptions!K28</f>
        <v>100</v>
      </c>
      <c r="L7" s="4" t="n">
        <f aca="false">Assumptions!L28</f>
        <v>100</v>
      </c>
    </row>
    <row r="8" customFormat="false" ht="15" hidden="false" customHeight="false" outlineLevel="0" collapsed="false">
      <c r="A8" s="0" t="s">
        <v>43</v>
      </c>
      <c r="C8" s="0" t="n">
        <f aca="false">C6*C7/100</f>
        <v>3775.68</v>
      </c>
      <c r="D8" s="0" t="n">
        <f aca="false">D6*D7/100</f>
        <v>3624.6528</v>
      </c>
      <c r="E8" s="0" t="n">
        <f aca="false">E6*E7/100</f>
        <v>3697.145856</v>
      </c>
      <c r="F8" s="0" t="n">
        <f aca="false">F6*F7/100</f>
        <v>3808.06023168</v>
      </c>
      <c r="G8" s="0" t="n">
        <f aca="false">G6*G7/100</f>
        <v>3922.3020386304</v>
      </c>
      <c r="H8" s="0" t="n">
        <f aca="false">H6*H7/100</f>
        <v>4020.35958959616</v>
      </c>
      <c r="I8" s="0" t="n">
        <f aca="false">I6*I7/100</f>
        <v>4120.86857933606</v>
      </c>
      <c r="J8" s="0" t="n">
        <f aca="false">J6*J7/100</f>
        <v>4203.28595092279</v>
      </c>
      <c r="K8" s="0" t="n">
        <f aca="false">K6*K7/100</f>
        <v>4287.35166994124</v>
      </c>
      <c r="L8" s="0" t="n">
        <f aca="false">L6*L7/100</f>
        <v>4373.09870334007</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3775.68</v>
      </c>
      <c r="D11" s="0" t="n">
        <f aca="false">D8+D10+D24</f>
        <v>3624.6528</v>
      </c>
      <c r="E11" s="0" t="n">
        <f aca="false">E8+E10+E24</f>
        <v>3697.145856</v>
      </c>
      <c r="F11" s="0" t="n">
        <f aca="false">F8+F10+F24</f>
        <v>3808.06023168</v>
      </c>
      <c r="G11" s="0" t="n">
        <f aca="false">G8+G10+G24</f>
        <v>3922.3020386304</v>
      </c>
      <c r="H11" s="0" t="n">
        <f aca="false">H8+H10+H24</f>
        <v>4020.35958959616</v>
      </c>
      <c r="I11" s="0" t="n">
        <f aca="false">I8+I10+I24</f>
        <v>4120.86857933606</v>
      </c>
      <c r="J11" s="0" t="n">
        <f aca="false">J8+J10+J24</f>
        <v>4203.28595092279</v>
      </c>
      <c r="K11" s="0" t="n">
        <f aca="false">K8+K10+K24</f>
        <v>4287.35166994124</v>
      </c>
      <c r="L11" s="0" t="n">
        <f aca="false">L8+L10+L24</f>
        <v>4373.09870334007</v>
      </c>
    </row>
    <row r="12" customFormat="false" ht="15" hidden="false" customHeight="false" outlineLevel="0" collapsed="false">
      <c r="A12" s="0" t="s">
        <v>114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115</v>
      </c>
      <c r="C13" s="0" t="n">
        <f aca="false">C11+C12</f>
        <v>3775.68</v>
      </c>
      <c r="D13" s="0" t="n">
        <f aca="false">D11+D12</f>
        <v>3624.6528</v>
      </c>
      <c r="E13" s="0" t="n">
        <f aca="false">E11+E12</f>
        <v>3697.145856</v>
      </c>
      <c r="F13" s="0" t="n">
        <f aca="false">F11+F12</f>
        <v>3808.06023168</v>
      </c>
      <c r="G13" s="0" t="n">
        <f aca="false">G11+G12</f>
        <v>3922.3020386304</v>
      </c>
      <c r="H13" s="0" t="n">
        <f aca="false">H11+H12</f>
        <v>4020.35958959616</v>
      </c>
      <c r="I13" s="0" t="n">
        <f aca="false">I11+I12</f>
        <v>4120.86857933606</v>
      </c>
      <c r="J13" s="0" t="n">
        <f aca="false">J11+J12</f>
        <v>4203.28595092279</v>
      </c>
      <c r="K13" s="0" t="n">
        <f aca="false">K11+K12</f>
        <v>4287.35166994124</v>
      </c>
      <c r="L13" s="0" t="n">
        <f aca="false">L11+L12</f>
        <v>4373.09870334007</v>
      </c>
    </row>
    <row r="14" customFormat="false" ht="15" hidden="false" customHeight="false" outlineLevel="0" collapsed="false">
      <c r="A14" s="0" t="s">
        <v>101</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116</v>
      </c>
      <c r="C15" s="0" t="n">
        <f aca="false">C13-MAX(0,C13)*C14/100</f>
        <v>3775.68</v>
      </c>
      <c r="D15" s="0" t="n">
        <f aca="false">D13-MAX(0,D13)*D14/100</f>
        <v>3624.6528</v>
      </c>
      <c r="E15" s="0" t="n">
        <f aca="false">E13-MAX(0,E13)*E14/100</f>
        <v>3697.145856</v>
      </c>
      <c r="F15" s="0" t="n">
        <f aca="false">F13-MAX(0,F13)*F14/100</f>
        <v>3808.06023168</v>
      </c>
      <c r="G15" s="0" t="n">
        <f aca="false">G13-MAX(0,G13)*G14/100</f>
        <v>3922.3020386304</v>
      </c>
      <c r="H15" s="0" t="n">
        <f aca="false">H13-MAX(0,H13)*H14/100</f>
        <v>4020.35958959616</v>
      </c>
      <c r="I15" s="0" t="n">
        <f aca="false">I13-MAX(0,I13)*I14/100</f>
        <v>4120.86857933606</v>
      </c>
      <c r="J15" s="0" t="n">
        <f aca="false">J13-MAX(0,J13)*J14/100</f>
        <v>4203.28595092279</v>
      </c>
      <c r="K15" s="0" t="n">
        <f aca="false">K13-MAX(0,K13)*K14/100</f>
        <v>4287.35166994124</v>
      </c>
      <c r="L15" s="0" t="n">
        <f aca="false">L13-MAX(0,L13)*L14/100</f>
        <v>4373.09870334007</v>
      </c>
    </row>
    <row r="16" customFormat="false" ht="15" hidden="false" customHeight="false" outlineLevel="0" collapsed="false">
      <c r="A16" s="0" t="s">
        <v>117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118</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119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120</v>
      </c>
      <c r="C19" s="0" t="n">
        <f aca="false">C15+C16+C17+C18</f>
        <v>3775.68</v>
      </c>
      <c r="D19" s="0" t="n">
        <f aca="false">D15+D16+D17+D18</f>
        <v>3624.6528</v>
      </c>
      <c r="E19" s="0" t="n">
        <f aca="false">E15+E16+E17+E18</f>
        <v>3697.145856</v>
      </c>
      <c r="F19" s="0" t="n">
        <f aca="false">F15+F16+F17+F18</f>
        <v>3808.06023168</v>
      </c>
      <c r="G19" s="0" t="n">
        <f aca="false">G15+G16+G17+G18</f>
        <v>3922.3020386304</v>
      </c>
      <c r="H19" s="0" t="n">
        <f aca="false">H15+H16+H17+H18</f>
        <v>4020.35958959616</v>
      </c>
      <c r="I19" s="0" t="n">
        <f aca="false">I15+I16+I17+I18</f>
        <v>4120.86857933606</v>
      </c>
      <c r="J19" s="0" t="n">
        <f aca="false">J15+J16+J17+J18</f>
        <v>4203.28595092279</v>
      </c>
      <c r="K19" s="0" t="n">
        <f aca="false">K15+K16+K17+K18</f>
        <v>4287.35166994124</v>
      </c>
      <c r="L19" s="0" t="n">
        <f aca="false">L15+L16+L17+L18</f>
        <v>4373.09870334007</v>
      </c>
    </row>
    <row r="20" customFormat="false" ht="15" hidden="false" customHeight="false" outlineLevel="0" collapsed="false">
      <c r="A20" s="0" t="s">
        <v>121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122</v>
      </c>
      <c r="C21" s="0" t="n">
        <f aca="false">C19*C20</f>
        <v>3448.1095890411</v>
      </c>
      <c r="D21" s="0" t="n">
        <f aca="false">D19*D20</f>
        <v>3023.00018765247</v>
      </c>
      <c r="E21" s="0" t="n">
        <f aca="false">E19*E20</f>
        <v>2815.94538027901</v>
      </c>
      <c r="F21" s="0" t="n">
        <f aca="false">F19*F20</f>
        <v>2648.78880519396</v>
      </c>
      <c r="G21" s="0" t="n">
        <f aca="false">G19*G20</f>
        <v>2491.55476652948</v>
      </c>
      <c r="H21" s="0" t="n">
        <f aca="false">H19*H20</f>
        <v>2332.27729287006</v>
      </c>
      <c r="I21" s="0" t="n">
        <f aca="false">I19*I20</f>
        <v>2183.18194081444</v>
      </c>
      <c r="J21" s="0" t="n">
        <f aca="false">J19*J20</f>
        <v>2033.64893116961</v>
      </c>
      <c r="K21" s="0" t="n">
        <f aca="false">K19*K20</f>
        <v>1894.35790848676</v>
      </c>
      <c r="L21" s="0" t="n">
        <f aca="false">L19*L20</f>
        <v>1764.60736680959</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9.5</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12</v>
      </c>
    </row>
    <row r="30" customFormat="false" ht="15" hidden="false" customHeight="false" outlineLevel="0" collapsed="false">
      <c r="A30" s="0" t="s">
        <v>125</v>
      </c>
      <c r="B30" s="0" t="n">
        <f aca="false">SUM(C21:L21)</f>
        <v>24635.4721688465</v>
      </c>
    </row>
    <row r="31" customFormat="false" ht="15" hidden="false" customHeight="false" outlineLevel="0" collapsed="false">
      <c r="A31" s="0" t="s">
        <v>126</v>
      </c>
      <c r="B31" s="0" t="n">
        <f aca="false">L19</f>
        <v>4373.09870334007</v>
      </c>
    </row>
    <row r="32" customFormat="false" ht="15" hidden="false" customHeight="false" outlineLevel="0" collapsed="false">
      <c r="A32" s="0" t="s">
        <v>127</v>
      </c>
      <c r="B32" s="0" t="n">
        <f aca="false">IF(B27&gt;B28,B31*(1+B28/100)/((B27-B28)/100),B31*B29)</f>
        <v>59474.1423654249</v>
      </c>
    </row>
    <row r="33" customFormat="false" ht="15" hidden="false" customHeight="false" outlineLevel="0" collapsed="false">
      <c r="A33" s="0" t="s">
        <v>128</v>
      </c>
      <c r="B33" s="0" t="n">
        <f aca="false">B31*B29</f>
        <v>52477.1844400808</v>
      </c>
    </row>
    <row r="34" customFormat="false" ht="15" hidden="false" customHeight="false" outlineLevel="0" collapsed="false">
      <c r="A34" s="0" t="s">
        <v>129</v>
      </c>
      <c r="B34" s="0" t="n">
        <f aca="false">MAX(0,MIN(B32,B33))</f>
        <v>52477.1844400808</v>
      </c>
    </row>
    <row r="35" customFormat="false" ht="15" hidden="false" customHeight="false" outlineLevel="0" collapsed="false">
      <c r="A35" s="0" t="s">
        <v>130</v>
      </c>
      <c r="B35" s="0" t="n">
        <f aca="false">B34/(1+B27/100)^L4</f>
        <v>21175.288401715</v>
      </c>
    </row>
    <row r="36" customFormat="false" ht="15" hidden="false" customHeight="false" outlineLevel="0" collapsed="false">
      <c r="A36" s="0" t="s">
        <v>131</v>
      </c>
      <c r="B36" s="0" t="n">
        <f aca="false">B30+B35</f>
        <v>45810.7605705615</v>
      </c>
    </row>
    <row r="37" customFormat="false" ht="15" hidden="false" customHeight="false" outlineLevel="0" collapsed="false">
      <c r="A37" s="0" t="s">
        <v>132</v>
      </c>
      <c r="B37" s="0" t="n">
        <f aca="false">B36+Assumptions!$B$5-Assumptions!$B$4</f>
        <v>47772.7605705615</v>
      </c>
    </row>
    <row r="38" customFormat="false" ht="15" hidden="false" customHeight="false" outlineLevel="0" collapsed="false">
      <c r="A38" s="0" t="s">
        <v>133</v>
      </c>
      <c r="B38" s="0" t="n">
        <f aca="false">B37/Assumptions!$B$3*Assumptions!$B$10</f>
        <v>15.6324478306811</v>
      </c>
    </row>
    <row r="39" customFormat="false" ht="15" hidden="false" customHeight="false" outlineLevel="0" collapsed="false">
      <c r="A39" s="0" t="s">
        <v>134</v>
      </c>
      <c r="B39" s="4" t="n">
        <f aca="false">B38/Assumptions!$B$2-1</f>
        <v>-0.19833600868302</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15.6324478306811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34312.0052108221</v>
      </c>
    </row>
    <row r="47" customFormat="false" ht="15" hidden="false" customHeight="false" outlineLevel="0" collapsed="false">
      <c r="A47" s="0" t="s">
        <v>139</v>
      </c>
      <c r="B47" s="0" t="n">
        <f aca="false">(SUMPRODUCT(C19:L19/(1+B45/100)^C4:L4)+B46/(1+B45/100)^L4+Assumptions!$B$5-Assumptions!$B$4)/Assumptions!$B$3*Assumptions!$B$10</f>
        <v>9.81240180905434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-3</v>
      </c>
      <c r="D5" s="4" t="n">
        <f aca="false">Assumptions!D41</f>
        <v>3</v>
      </c>
      <c r="E5" s="4" t="n">
        <f aca="false">Assumptions!E41</f>
        <v>6</v>
      </c>
      <c r="F5" s="4" t="n">
        <f aca="false">Assumptions!F41</f>
        <v>6</v>
      </c>
      <c r="G5" s="4" t="n">
        <f aca="false">Assumptions!G41</f>
        <v>5</v>
      </c>
      <c r="H5" s="4" t="n">
        <f aca="false">Assumptions!H41</f>
        <v>4</v>
      </c>
      <c r="I5" s="4" t="n">
        <f aca="false">Assumptions!I41</f>
        <v>3.5</v>
      </c>
      <c r="J5" s="4" t="n">
        <f aca="false">Assumptions!J41</f>
        <v>3</v>
      </c>
      <c r="K5" s="4" t="n">
        <f aca="false">Assumptions!K41</f>
        <v>3</v>
      </c>
      <c r="L5" s="4" t="n">
        <f aca="false">Assumptions!L41</f>
        <v>2.5</v>
      </c>
    </row>
    <row r="6" customFormat="false" ht="15" hidden="false" customHeight="false" outlineLevel="0" collapsed="false">
      <c r="A6" s="0" t="s">
        <v>37</v>
      </c>
      <c r="B6" s="3" t="n">
        <v>4104</v>
      </c>
      <c r="C6" s="0" t="n">
        <f aca="false">B6*(1+C5/100)</f>
        <v>3980.88</v>
      </c>
      <c r="D6" s="0" t="n">
        <f aca="false">C6*(1+D5/100)</f>
        <v>4100.3064</v>
      </c>
      <c r="E6" s="0" t="n">
        <f aca="false">D6*(1+E5/100)</f>
        <v>4346.324784</v>
      </c>
      <c r="F6" s="0" t="n">
        <f aca="false">E6*(1+F5/100)</f>
        <v>4607.10427104</v>
      </c>
      <c r="G6" s="0" t="n">
        <f aca="false">F6*(1+G5/100)</f>
        <v>4837.459484592</v>
      </c>
      <c r="H6" s="0" t="n">
        <f aca="false">G6*(1+H5/100)</f>
        <v>5030.95786397568</v>
      </c>
      <c r="I6" s="0" t="n">
        <f aca="false">H6*(1+I5/100)</f>
        <v>5207.04138921483</v>
      </c>
      <c r="J6" s="0" t="n">
        <f aca="false">I6*(1+J5/100)</f>
        <v>5363.25263089127</v>
      </c>
      <c r="K6" s="0" t="n">
        <f aca="false">J6*(1+K5/100)</f>
        <v>5524.15020981801</v>
      </c>
      <c r="L6" s="0" t="n">
        <f aca="false">K6*(1+L5/100)</f>
        <v>5662.25396506346</v>
      </c>
    </row>
    <row r="7" customFormat="false" ht="15" hidden="false" customHeight="false" outlineLevel="0" collapsed="false">
      <c r="A7" s="0" t="s">
        <v>96</v>
      </c>
      <c r="C7" s="4" t="n">
        <f aca="false">Assumptions!C42</f>
        <v>100</v>
      </c>
      <c r="D7" s="4" t="n">
        <f aca="false">Assumptions!D42</f>
        <v>100</v>
      </c>
      <c r="E7" s="4" t="n">
        <f aca="false">Assumptions!E42</f>
        <v>100</v>
      </c>
      <c r="F7" s="4" t="n">
        <f aca="false">Assumptions!F42</f>
        <v>100</v>
      </c>
      <c r="G7" s="4" t="n">
        <f aca="false">Assumptions!G42</f>
        <v>100</v>
      </c>
      <c r="H7" s="4" t="n">
        <f aca="false">Assumptions!H42</f>
        <v>100</v>
      </c>
      <c r="I7" s="4" t="n">
        <f aca="false">Assumptions!I42</f>
        <v>100</v>
      </c>
      <c r="J7" s="4" t="n">
        <f aca="false">Assumptions!J42</f>
        <v>100</v>
      </c>
      <c r="K7" s="4" t="n">
        <f aca="false">Assumptions!K42</f>
        <v>100</v>
      </c>
      <c r="L7" s="4" t="n">
        <f aca="false">Assumptions!L42</f>
        <v>100</v>
      </c>
    </row>
    <row r="8" customFormat="false" ht="15" hidden="false" customHeight="false" outlineLevel="0" collapsed="false">
      <c r="A8" s="0" t="s">
        <v>43</v>
      </c>
      <c r="C8" s="0" t="n">
        <f aca="false">C6*C7/100</f>
        <v>3980.88</v>
      </c>
      <c r="D8" s="0" t="n">
        <f aca="false">D6*D7/100</f>
        <v>4100.3064</v>
      </c>
      <c r="E8" s="0" t="n">
        <f aca="false">E6*E7/100</f>
        <v>4346.324784</v>
      </c>
      <c r="F8" s="0" t="n">
        <f aca="false">F6*F7/100</f>
        <v>4607.10427104</v>
      </c>
      <c r="G8" s="0" t="n">
        <f aca="false">G6*G7/100</f>
        <v>4837.459484592</v>
      </c>
      <c r="H8" s="0" t="n">
        <f aca="false">H6*H7/100</f>
        <v>5030.95786397568</v>
      </c>
      <c r="I8" s="0" t="n">
        <f aca="false">I6*I7/100</f>
        <v>5207.04138921483</v>
      </c>
      <c r="J8" s="0" t="n">
        <f aca="false">J6*J7/100</f>
        <v>5363.25263089127</v>
      </c>
      <c r="K8" s="0" t="n">
        <f aca="false">K6*K7/100</f>
        <v>5524.15020981801</v>
      </c>
      <c r="L8" s="0" t="n">
        <f aca="false">L6*L7/100</f>
        <v>5662.25396506346</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3980.88</v>
      </c>
      <c r="D11" s="0" t="n">
        <f aca="false">D8+D10+D24</f>
        <v>4100.3064</v>
      </c>
      <c r="E11" s="0" t="n">
        <f aca="false">E8+E10+E24</f>
        <v>4346.324784</v>
      </c>
      <c r="F11" s="0" t="n">
        <f aca="false">F8+F10+F24</f>
        <v>4607.10427104</v>
      </c>
      <c r="G11" s="0" t="n">
        <f aca="false">G8+G10+G24</f>
        <v>4837.459484592</v>
      </c>
      <c r="H11" s="0" t="n">
        <f aca="false">H8+H10+H24</f>
        <v>5030.95786397568</v>
      </c>
      <c r="I11" s="0" t="n">
        <f aca="false">I8+I10+I24</f>
        <v>5207.04138921483</v>
      </c>
      <c r="J11" s="0" t="n">
        <f aca="false">J8+J10+J24</f>
        <v>5363.25263089127</v>
      </c>
      <c r="K11" s="0" t="n">
        <f aca="false">K8+K10+K24</f>
        <v>5524.15020981801</v>
      </c>
      <c r="L11" s="0" t="n">
        <f aca="false">L8+L10+L24</f>
        <v>5662.25396506346</v>
      </c>
    </row>
    <row r="12" customFormat="false" ht="15" hidden="false" customHeight="false" outlineLevel="0" collapsed="false">
      <c r="A12" s="0" t="s">
        <v>114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115</v>
      </c>
      <c r="C13" s="0" t="n">
        <f aca="false">C11+C12</f>
        <v>3980.88</v>
      </c>
      <c r="D13" s="0" t="n">
        <f aca="false">D11+D12</f>
        <v>4100.3064</v>
      </c>
      <c r="E13" s="0" t="n">
        <f aca="false">E11+E12</f>
        <v>4346.324784</v>
      </c>
      <c r="F13" s="0" t="n">
        <f aca="false">F11+F12</f>
        <v>4607.10427104</v>
      </c>
      <c r="G13" s="0" t="n">
        <f aca="false">G11+G12</f>
        <v>4837.459484592</v>
      </c>
      <c r="H13" s="0" t="n">
        <f aca="false">H11+H12</f>
        <v>5030.95786397568</v>
      </c>
      <c r="I13" s="0" t="n">
        <f aca="false">I11+I12</f>
        <v>5207.04138921483</v>
      </c>
      <c r="J13" s="0" t="n">
        <f aca="false">J11+J12</f>
        <v>5363.25263089127</v>
      </c>
      <c r="K13" s="0" t="n">
        <f aca="false">K11+K12</f>
        <v>5524.15020981801</v>
      </c>
      <c r="L13" s="0" t="n">
        <f aca="false">L11+L12</f>
        <v>5662.25396506346</v>
      </c>
    </row>
    <row r="14" customFormat="false" ht="15" hidden="false" customHeight="false" outlineLevel="0" collapsed="false">
      <c r="A14" s="0" t="s">
        <v>101</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116</v>
      </c>
      <c r="C15" s="0" t="n">
        <f aca="false">C13-MAX(0,C13)*C14/100</f>
        <v>3980.88</v>
      </c>
      <c r="D15" s="0" t="n">
        <f aca="false">D13-MAX(0,D13)*D14/100</f>
        <v>4100.3064</v>
      </c>
      <c r="E15" s="0" t="n">
        <f aca="false">E13-MAX(0,E13)*E14/100</f>
        <v>4346.324784</v>
      </c>
      <c r="F15" s="0" t="n">
        <f aca="false">F13-MAX(0,F13)*F14/100</f>
        <v>4607.10427104</v>
      </c>
      <c r="G15" s="0" t="n">
        <f aca="false">G13-MAX(0,G13)*G14/100</f>
        <v>4837.459484592</v>
      </c>
      <c r="H15" s="0" t="n">
        <f aca="false">H13-MAX(0,H13)*H14/100</f>
        <v>5030.95786397568</v>
      </c>
      <c r="I15" s="0" t="n">
        <f aca="false">I13-MAX(0,I13)*I14/100</f>
        <v>5207.04138921483</v>
      </c>
      <c r="J15" s="0" t="n">
        <f aca="false">J13-MAX(0,J13)*J14/100</f>
        <v>5363.25263089127</v>
      </c>
      <c r="K15" s="0" t="n">
        <f aca="false">K13-MAX(0,K13)*K14/100</f>
        <v>5524.15020981801</v>
      </c>
      <c r="L15" s="0" t="n">
        <f aca="false">L13-MAX(0,L13)*L14/100</f>
        <v>5662.25396506346</v>
      </c>
    </row>
    <row r="16" customFormat="false" ht="15" hidden="false" customHeight="false" outlineLevel="0" collapsed="false">
      <c r="A16" s="0" t="s">
        <v>117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118</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119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120</v>
      </c>
      <c r="C19" s="0" t="n">
        <f aca="false">C15+C16+C17+C18</f>
        <v>3980.88</v>
      </c>
      <c r="D19" s="0" t="n">
        <f aca="false">D15+D16+D17+D18</f>
        <v>4100.3064</v>
      </c>
      <c r="E19" s="0" t="n">
        <f aca="false">E15+E16+E17+E18</f>
        <v>4346.324784</v>
      </c>
      <c r="F19" s="0" t="n">
        <f aca="false">F15+F16+F17+F18</f>
        <v>4607.10427104</v>
      </c>
      <c r="G19" s="0" t="n">
        <f aca="false">G15+G16+G17+G18</f>
        <v>4837.459484592</v>
      </c>
      <c r="H19" s="0" t="n">
        <f aca="false">H15+H16+H17+H18</f>
        <v>5030.95786397568</v>
      </c>
      <c r="I19" s="0" t="n">
        <f aca="false">I15+I16+I17+I18</f>
        <v>5207.04138921483</v>
      </c>
      <c r="J19" s="0" t="n">
        <f aca="false">J15+J16+J17+J18</f>
        <v>5363.25263089127</v>
      </c>
      <c r="K19" s="0" t="n">
        <f aca="false">K15+K16+K17+K18</f>
        <v>5524.15020981801</v>
      </c>
      <c r="L19" s="0" t="n">
        <f aca="false">L15+L16+L17+L18</f>
        <v>5662.25396506346</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3652.18348623853</v>
      </c>
      <c r="D21" s="0" t="n">
        <f aca="false">D19*D20</f>
        <v>3451.14586314283</v>
      </c>
      <c r="E21" s="0" t="n">
        <f aca="false">E19*E20</f>
        <v>3356.16019718477</v>
      </c>
      <c r="F21" s="0" t="n">
        <f aca="false">F19*F20</f>
        <v>3263.78881561088</v>
      </c>
      <c r="G21" s="0" t="n">
        <f aca="false">G19*G20</f>
        <v>3144.01674898296</v>
      </c>
      <c r="H21" s="0" t="n">
        <f aca="false">H19*H20</f>
        <v>2999.79579719475</v>
      </c>
      <c r="I21" s="0" t="n">
        <f aca="false">I19*I20</f>
        <v>2848.42995421703</v>
      </c>
      <c r="J21" s="0" t="n">
        <f aca="false">J19*J20</f>
        <v>2691.63564481059</v>
      </c>
      <c r="K21" s="0" t="n">
        <f aca="false">K19*K20</f>
        <v>2543.47221482102</v>
      </c>
      <c r="L21" s="0" t="n">
        <f aca="false">L19*L20</f>
        <v>2391.79726623077</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9</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14</v>
      </c>
    </row>
    <row r="30" customFormat="false" ht="15" hidden="false" customHeight="false" outlineLevel="0" collapsed="false">
      <c r="A30" s="0" t="s">
        <v>125</v>
      </c>
      <c r="B30" s="0" t="n">
        <f aca="false">SUM(C21:L21)</f>
        <v>30342.4259884341</v>
      </c>
    </row>
    <row r="31" customFormat="false" ht="15" hidden="false" customHeight="false" outlineLevel="0" collapsed="false">
      <c r="A31" s="0" t="s">
        <v>126</v>
      </c>
      <c r="B31" s="0" t="n">
        <f aca="false">L19</f>
        <v>5662.25396506346</v>
      </c>
    </row>
    <row r="32" customFormat="false" ht="15" hidden="false" customHeight="false" outlineLevel="0" collapsed="false">
      <c r="A32" s="0" t="s">
        <v>127</v>
      </c>
      <c r="B32" s="0" t="n">
        <f aca="false">IF(B27&gt;B28,B31*(1+B28/100)/((B27-B28)/100),B31*B29)</f>
        <v>89289.3894490777</v>
      </c>
    </row>
    <row r="33" customFormat="false" ht="15" hidden="false" customHeight="false" outlineLevel="0" collapsed="false">
      <c r="A33" s="0" t="s">
        <v>128</v>
      </c>
      <c r="B33" s="0" t="n">
        <f aca="false">B31*B29</f>
        <v>79271.5555108885</v>
      </c>
    </row>
    <row r="34" customFormat="false" ht="15" hidden="false" customHeight="false" outlineLevel="0" collapsed="false">
      <c r="A34" s="0" t="s">
        <v>129</v>
      </c>
      <c r="B34" s="0" t="n">
        <f aca="false">MAX(0,MIN(B32,B33))</f>
        <v>79271.5555108885</v>
      </c>
    </row>
    <row r="35" customFormat="false" ht="15" hidden="false" customHeight="false" outlineLevel="0" collapsed="false">
      <c r="A35" s="0" t="s">
        <v>130</v>
      </c>
      <c r="B35" s="0" t="n">
        <f aca="false">B34/(1+B27/100)^L4</f>
        <v>33485.1617272308</v>
      </c>
    </row>
    <row r="36" customFormat="false" ht="15" hidden="false" customHeight="false" outlineLevel="0" collapsed="false">
      <c r="A36" s="0" t="s">
        <v>131</v>
      </c>
      <c r="B36" s="0" t="n">
        <f aca="false">B30+B35</f>
        <v>63827.5877156649</v>
      </c>
    </row>
    <row r="37" customFormat="false" ht="15" hidden="false" customHeight="false" outlineLevel="0" collapsed="false">
      <c r="A37" s="0" t="s">
        <v>132</v>
      </c>
      <c r="B37" s="0" t="n">
        <f aca="false">B36+Assumptions!$B$5-Assumptions!$B$4</f>
        <v>65789.5877156649</v>
      </c>
    </row>
    <row r="38" customFormat="false" ht="15" hidden="false" customHeight="false" outlineLevel="0" collapsed="false">
      <c r="A38" s="0" t="s">
        <v>133</v>
      </c>
      <c r="B38" s="0" t="n">
        <f aca="false">B37/Assumptions!$B$3*Assumptions!$B$10</f>
        <v>21.528006451461</v>
      </c>
    </row>
    <row r="39" customFormat="false" ht="15" hidden="false" customHeight="false" outlineLevel="0" collapsed="false">
      <c r="A39" s="0" t="s">
        <v>134</v>
      </c>
      <c r="B39" s="4" t="n">
        <f aca="false">B38/Assumptions!$B$2-1</f>
        <v>0.104000330844156</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21.528006451461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46430.4825135204</v>
      </c>
    </row>
    <row r="47" customFormat="false" ht="15" hidden="false" customHeight="false" outlineLevel="0" collapsed="false">
      <c r="A47" s="0" t="s">
        <v>139</v>
      </c>
      <c r="B47" s="0" t="n">
        <f aca="false">(SUMPRODUCT(C19:L19/(1+B45/100)^C4:L4)+B46/(1+B45/100)^L4+Assumptions!$B$5-Assumptions!$B$4)/Assumptions!$B$3*Assumptions!$B$10</f>
        <v>12.0267238860114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9.3248951973083</v>
      </c>
      <c r="C4" s="0" t="n">
        <f aca="false">B4/Assumptions!$B$2-1</f>
        <v>-0.521800246291882</v>
      </c>
      <c r="D4" s="4" t="n">
        <f aca="false">Assumptions!$B$24</f>
        <v>0.3</v>
      </c>
      <c r="E4" s="4" t="n">
        <f aca="false">DCF_Bear!$B$43</f>
        <v>9.3248951973083</v>
      </c>
      <c r="F4" s="4" t="n">
        <f aca="false">DCF_Bear!$B$47</f>
        <v>7.04409799620506</v>
      </c>
    </row>
    <row r="5" customFormat="false" ht="15" hidden="false" customHeight="false" outlineLevel="0" collapsed="false">
      <c r="A5" s="0" t="s">
        <v>148</v>
      </c>
      <c r="B5" s="4" t="n">
        <f aca="false">DCF_Base!$B$38</f>
        <v>15.6324478306811</v>
      </c>
      <c r="C5" s="0" t="n">
        <f aca="false">B5/Assumptions!$B$2-1</f>
        <v>-0.19833600868302</v>
      </c>
      <c r="D5" s="4" t="n">
        <f aca="false">Assumptions!$B$38</f>
        <v>0.45</v>
      </c>
      <c r="E5" s="4" t="n">
        <f aca="false">DCF_Base!$B$43</f>
        <v>15.6324478306811</v>
      </c>
      <c r="F5" s="4" t="n">
        <f aca="false">DCF_Base!$B$47</f>
        <v>9.81240180905434</v>
      </c>
    </row>
    <row r="6" customFormat="false" ht="15" hidden="false" customHeight="false" outlineLevel="0" collapsed="false">
      <c r="A6" s="0" t="s">
        <v>149</v>
      </c>
      <c r="B6" s="4" t="n">
        <f aca="false">DCF_Bull!$B$38</f>
        <v>21.528006451461</v>
      </c>
      <c r="C6" s="0" t="n">
        <f aca="false">B6/Assumptions!$B$2-1</f>
        <v>0.104000330844156</v>
      </c>
      <c r="D6" s="4" t="n">
        <f aca="false">Assumptions!$B$52</f>
        <v>0.25</v>
      </c>
      <c r="E6" s="4" t="n">
        <f aca="false">DCF_Bull!$B$43</f>
        <v>21.528006451461</v>
      </c>
      <c r="F6" s="4" t="n">
        <f aca="false">DCF_Bull!$B$47</f>
        <v>12.0267238860114</v>
      </c>
    </row>
    <row r="8" customFormat="false" ht="15" hidden="false" customHeight="false" outlineLevel="0" collapsed="false">
      <c r="A8" s="0" t="s">
        <v>150</v>
      </c>
      <c r="B8" s="0" t="n">
        <f aca="false">SUMPRODUCT(B4:B6,D4:D6)</f>
        <v>15.2140716958643</v>
      </c>
    </row>
    <row r="9" customFormat="false" ht="15" hidden="false" customHeight="false" outlineLevel="0" collapsed="false">
      <c r="A9" s="0" t="s">
        <v>151</v>
      </c>
      <c r="B9" s="0" t="n">
        <f aca="false">SUMPRODUCT(E4:E6,D4:D6)</f>
        <v>15.2140716958643</v>
      </c>
    </row>
    <row r="10" customFormat="false" ht="15" hidden="false" customHeight="false" outlineLevel="0" collapsed="false">
      <c r="A10" s="0" t="s">
        <v>152</v>
      </c>
      <c r="B10" s="0" t="n">
        <f aca="false">1-Assumptions!$B$2/B8</f>
        <v>-0.281708170555081</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9.53549118443882</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16.1412614338454</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15.6324478306811</v>
      </c>
      <c r="C16" s="3" t="n">
        <v>9.5</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15.1457935216773</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13.8986074466758</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12.570157682307</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9.81240180905434</v>
      </c>
      <c r="C20" s="3" t="n">
        <v>15</v>
      </c>
    </row>
    <row r="22" customFormat="false" ht="15" hidden="false" customHeight="false" outlineLevel="0" collapsed="false">
      <c r="A22" s="2" t="s">
        <v>163</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17.8127506777744</v>
      </c>
      <c r="C24" s="0" t="n">
        <f aca="false">(SUMPRODUCT(DCF_Base!$C$19:$L$19/(1+$A$24/100)^DCF_Base!$C$4:$L$4)+MAX(0,MIN(IF($A$24&gt;$C$23,DCF_Base!$L$19*(1+$C$23/100)/(($A$24-$C$23)/100),DCF_Base!$L$19*DCF_Base!$B$29),DCF_Base!$L$19*DCF_Base!$B$29))/(1+$A$24/100)^DCF_Base!$L$4+Assumptions!$B$5-Assumptions!$B$4)/Assumptions!$B$3*Assumptions!$B$10</f>
        <v>17.8127506777744</v>
      </c>
      <c r="D24" s="0" t="n">
        <f aca="false">(SUMPRODUCT(DCF_Base!$C$19:$L$19/(1+$A$24/100)^DCF_Base!$C$4:$L$4)+MAX(0,MIN(IF($A$24&gt;$D$23,DCF_Base!$L$19*(1+$D$23/100)/(($A$24-$D$23)/100),DCF_Base!$L$19*DCF_Base!$B$29),DCF_Base!$L$19*DCF_Base!$B$29))/(1+$A$24/100)^DCF_Base!$L$4+Assumptions!$B$5-Assumptions!$B$4)/Assumptions!$B$3*Assumptions!$B$10</f>
        <v>17.8127506777744</v>
      </c>
      <c r="E24" s="0" t="n">
        <f aca="false">(SUMPRODUCT(DCF_Base!$C$19:$L$19/(1+$A$24/100)^DCF_Base!$C$4:$L$4)+MAX(0,MIN(IF($A$24&gt;$E$23,DCF_Base!$L$19*(1+$E$23/100)/(($A$24-$E$23)/100),DCF_Base!$L$19*DCF_Base!$B$29),DCF_Base!$L$19*DCF_Base!$B$29))/(1+$A$24/100)^DCF_Base!$L$4+Assumptions!$B$5-Assumptions!$B$4)/Assumptions!$B$3*Assumptions!$B$10</f>
        <v>17.8127506777744</v>
      </c>
      <c r="F24" s="0" t="n">
        <f aca="false">(SUMPRODUCT(DCF_Base!$C$19:$L$19/(1+$A$24/100)^DCF_Base!$C$4:$L$4)+MAX(0,MIN(IF($A$24&gt;$F$23,DCF_Base!$L$19*(1+$F$23/100)/(($A$24-$F$23)/100),DCF_Base!$L$19*DCF_Base!$B$29),DCF_Base!$L$19*DCF_Base!$B$29))/(1+$A$24/100)^DCF_Base!$L$4+Assumptions!$B$5-Assumptions!$B$4)/Assumptions!$B$3*Assumptions!$B$10</f>
        <v>17.8127506777744</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16.6734084327644</v>
      </c>
      <c r="C25" s="0" t="n">
        <f aca="false">(SUMPRODUCT(DCF_Base!$C$19:$L$19/(1+$A$25/100)^DCF_Base!$C$4:$L$4)+MAX(0,MIN(IF($A$25&gt;$C$23,DCF_Base!$L$19*(1+$C$23/100)/(($A$25-$C$23)/100),DCF_Base!$L$19*DCF_Base!$B$29),DCF_Base!$L$19*DCF_Base!$B$29))/(1+$A$25/100)^DCF_Base!$L$4+Assumptions!$B$5-Assumptions!$B$4)/Assumptions!$B$3*Assumptions!$B$10</f>
        <v>16.6734084327644</v>
      </c>
      <c r="D25" s="0" t="n">
        <f aca="false">(SUMPRODUCT(DCF_Base!$C$19:$L$19/(1+$A$25/100)^DCF_Base!$C$4:$L$4)+MAX(0,MIN(IF($A$25&gt;$D$23,DCF_Base!$L$19*(1+$D$23/100)/(($A$25-$D$23)/100),DCF_Base!$L$19*DCF_Base!$B$29),DCF_Base!$L$19*DCF_Base!$B$29))/(1+$A$25/100)^DCF_Base!$L$4+Assumptions!$B$5-Assumptions!$B$4)/Assumptions!$B$3*Assumptions!$B$10</f>
        <v>16.6734084327644</v>
      </c>
      <c r="E25" s="0" t="n">
        <f aca="false">(SUMPRODUCT(DCF_Base!$C$19:$L$19/(1+$A$25/100)^DCF_Base!$C$4:$L$4)+MAX(0,MIN(IF($A$25&gt;$E$23,DCF_Base!$L$19*(1+$E$23/100)/(($A$25-$E$23)/100),DCF_Base!$L$19*DCF_Base!$B$29),DCF_Base!$L$19*DCF_Base!$B$29))/(1+$A$25/100)^DCF_Base!$L$4+Assumptions!$B$5-Assumptions!$B$4)/Assumptions!$B$3*Assumptions!$B$10</f>
        <v>16.6734084327644</v>
      </c>
      <c r="F25" s="0" t="n">
        <f aca="false">(SUMPRODUCT(DCF_Base!$C$19:$L$19/(1+$A$25/100)^DCF_Base!$C$4:$L$4)+MAX(0,MIN(IF($A$25&gt;$F$23,DCF_Base!$L$19*(1+$F$23/100)/(($A$25-$F$23)/100),DCF_Base!$L$19*DCF_Base!$B$29),DCF_Base!$L$19*DCF_Base!$B$29))/(1+$A$25/100)^DCF_Base!$L$4+Assumptions!$B$5-Assumptions!$B$4)/Assumptions!$B$3*Assumptions!$B$10</f>
        <v>16.6734084327644</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15.5645156099077</v>
      </c>
      <c r="C26" s="0" t="n">
        <f aca="false">(SUMPRODUCT(DCF_Base!$C$19:$L$19/(1+$A$26/100)^DCF_Base!$C$4:$L$4)+MAX(0,MIN(IF($A$26&gt;$C$23,DCF_Base!$L$19*(1+$C$23/100)/(($A$26-$C$23)/100),DCF_Base!$L$19*DCF_Base!$B$29),DCF_Base!$L$19*DCF_Base!$B$29))/(1+$A$26/100)^DCF_Base!$L$4+Assumptions!$B$5-Assumptions!$B$4)/Assumptions!$B$3*Assumptions!$B$10</f>
        <v>15.6324478306811</v>
      </c>
      <c r="D26" s="0" t="n">
        <f aca="false">(SUMPRODUCT(DCF_Base!$C$19:$L$19/(1+$A$26/100)^DCF_Base!$C$4:$L$4)+MAX(0,MIN(IF($A$26&gt;$D$23,DCF_Base!$L$19*(1+$D$23/100)/(($A$26-$D$23)/100),DCF_Base!$L$19*DCF_Base!$B$29),DCF_Base!$L$19*DCF_Base!$B$29))/(1+$A$26/100)^DCF_Base!$L$4+Assumptions!$B$5-Assumptions!$B$4)/Assumptions!$B$3*Assumptions!$B$10</f>
        <v>15.6324478306811</v>
      </c>
      <c r="E26" s="0" t="n">
        <f aca="false">(SUMPRODUCT(DCF_Base!$C$19:$L$19/(1+$A$26/100)^DCF_Base!$C$4:$L$4)+MAX(0,MIN(IF($A$26&gt;$E$23,DCF_Base!$L$19*(1+$E$23/100)/(($A$26-$E$23)/100),DCF_Base!$L$19*DCF_Base!$B$29),DCF_Base!$L$19*DCF_Base!$B$29))/(1+$A$26/100)^DCF_Base!$L$4+Assumptions!$B$5-Assumptions!$B$4)/Assumptions!$B$3*Assumptions!$B$10</f>
        <v>15.6324478306811</v>
      </c>
      <c r="F26" s="0" t="n">
        <f aca="false">(SUMPRODUCT(DCF_Base!$C$19:$L$19/(1+$A$26/100)^DCF_Base!$C$4:$L$4)+MAX(0,MIN(IF($A$26&gt;$F$23,DCF_Base!$L$19*(1+$F$23/100)/(($A$26-$F$23)/100),DCF_Base!$L$19*DCF_Base!$B$29),DCF_Base!$L$19*DCF_Base!$B$29))/(1+$A$26/100)^DCF_Base!$L$4+Assumptions!$B$5-Assumptions!$B$4)/Assumptions!$B$3*Assumptions!$B$10</f>
        <v>15.6324478306811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13.9586953433685</v>
      </c>
      <c r="C27" s="0" t="n">
        <f aca="false">(SUMPRODUCT(DCF_Base!$C$19:$L$19/(1+$A$27/100)^DCF_Base!$C$4:$L$4)+MAX(0,MIN(IF($A$27&gt;$C$23,DCF_Base!$L$19*(1+$C$23/100)/(($A$27-$C$23)/100),DCF_Base!$L$19*DCF_Base!$B$29),DCF_Base!$L$19*DCF_Base!$B$29))/(1+$A$27/100)^DCF_Base!$L$4+Assumptions!$B$5-Assumptions!$B$4)/Assumptions!$B$3*Assumptions!$B$10</f>
        <v>14.2994009789429</v>
      </c>
      <c r="D27" s="0" t="n">
        <f aca="false">(SUMPRODUCT(DCF_Base!$C$19:$L$19/(1+$A$27/100)^DCF_Base!$C$4:$L$4)+MAX(0,MIN(IF($A$27&gt;$D$23,DCF_Base!$L$19*(1+$D$23/100)/(($A$27-$D$23)/100),DCF_Base!$L$19*DCF_Base!$B$29),DCF_Base!$L$19*DCF_Base!$B$29))/(1+$A$27/100)^DCF_Base!$L$4+Assumptions!$B$5-Assumptions!$B$4)/Assumptions!$B$3*Assumptions!$B$10</f>
        <v>14.6801896304672</v>
      </c>
      <c r="E27" s="0" t="n">
        <f aca="false">(SUMPRODUCT(DCF_Base!$C$19:$L$19/(1+$A$27/100)^DCF_Base!$C$4:$L$4)+MAX(0,MIN(IF($A$27&gt;$E$23,DCF_Base!$L$19*(1+$E$23/100)/(($A$27-$E$23)/100),DCF_Base!$L$19*DCF_Base!$B$29),DCF_Base!$L$19*DCF_Base!$B$29))/(1+$A$27/100)^DCF_Base!$L$4+Assumptions!$B$5-Assumptions!$B$4)/Assumptions!$B$3*Assumptions!$B$10</f>
        <v>14.6801896304672</v>
      </c>
      <c r="F27" s="0" t="n">
        <f aca="false">(SUMPRODUCT(DCF_Base!$C$19:$L$19/(1+$A$27/100)^DCF_Base!$C$4:$L$4)+MAX(0,MIN(IF($A$27&gt;$F$23,DCF_Base!$L$19*(1+$F$23/100)/(($A$27-$F$23)/100),DCF_Base!$L$19*DCF_Base!$B$29),DCF_Base!$L$19*DCF_Base!$B$29))/(1+$A$27/100)^DCF_Base!$L$4+Assumptions!$B$5-Assumptions!$B$4)/Assumptions!$B$3*Assumptions!$B$10</f>
        <v>14.6801896304672</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12.6608034828033</v>
      </c>
      <c r="C28" s="0" t="n">
        <f aca="false">(SUMPRODUCT(DCF_Base!$C$19:$L$19/(1+$A$28/100)^DCF_Base!$C$4:$L$4)+MAX(0,MIN(IF($A$28&gt;$C$23,DCF_Base!$L$19*(1+$C$23/100)/(($A$28-$C$23)/100),DCF_Base!$L$19*DCF_Base!$B$29),DCF_Base!$L$19*DCF_Base!$B$29))/(1+$A$28/100)^DCF_Base!$L$4+Assumptions!$B$5-Assumptions!$B$4)/Assumptions!$B$3*Assumptions!$B$10</f>
        <v>12.9166283919918</v>
      </c>
      <c r="D28" s="0" t="n">
        <f aca="false">(SUMPRODUCT(DCF_Base!$C$19:$L$19/(1+$A$28/100)^DCF_Base!$C$4:$L$4)+MAX(0,MIN(IF($A$28&gt;$D$23,DCF_Base!$L$19*(1+$D$23/100)/(($A$28-$D$23)/100),DCF_Base!$L$19*DCF_Base!$B$29),DCF_Base!$L$19*DCF_Base!$B$29))/(1+$A$28/100)^DCF_Base!$L$4+Assumptions!$B$5-Assumptions!$B$4)/Assumptions!$B$3*Assumptions!$B$10</f>
        <v>13.1993822389895</v>
      </c>
      <c r="E28" s="0" t="n">
        <f aca="false">(SUMPRODUCT(DCF_Base!$C$19:$L$19/(1+$A$28/100)^DCF_Base!$C$4:$L$4)+MAX(0,MIN(IF($A$28&gt;$E$23,DCF_Base!$L$19*(1+$E$23/100)/(($A$28-$E$23)/100),DCF_Base!$L$19*DCF_Base!$B$29),DCF_Base!$L$19*DCF_Base!$B$29))/(1+$A$28/100)^DCF_Base!$L$4+Assumptions!$B$5-Assumptions!$B$4)/Assumptions!$B$3*Assumptions!$B$10</f>
        <v>13.5135531800982</v>
      </c>
      <c r="F28" s="0" t="n">
        <f aca="false">(SUMPRODUCT(DCF_Base!$C$19:$L$19/(1+$A$28/100)^DCF_Base!$C$4:$L$4)+MAX(0,MIN(IF($A$28&gt;$F$23,DCF_Base!$L$19*(1+$F$23/100)/(($A$28-$F$23)/100),DCF_Base!$L$19*DCF_Base!$B$29),DCF_Base!$L$19*DCF_Base!$B$29))/(1+$A$28/100)^DCF_Base!$L$4+Assumptions!$B$5-Assumptions!$B$4)/Assumptions!$B$3*Assumptions!$B$10</f>
        <v>13.8080003849937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2026-09-25T16:48:36Z</dcterms:created>
  <dc:creator>openpyxl</dc:creator>
  <dc:description/>
  <dc:language>en-NZ</dc:language>
  <cp:lastModifiedBy/>
  <dcterms:modified xsi:type="dcterms:W3CDTF">2026-09-25T16:48:36Z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