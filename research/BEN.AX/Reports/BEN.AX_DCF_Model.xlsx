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ull" sheetId="3" state="visible" r:id="rId3"/>
    <sheet xmlns:r="http://schemas.openxmlformats.org/officeDocument/2006/relationships" name="Bear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Ticker</t>
        </is>
      </c>
      <c r="B1" t="inlineStr">
        <is>
          <t>BEN.AX</t>
        </is>
      </c>
    </row>
    <row r="2">
      <c r="A2" s="1" t="inlineStr">
        <is>
          <t>Valuation date</t>
        </is>
      </c>
      <c r="B2" t="inlineStr">
        <is>
          <t>2026-09-21</t>
        </is>
      </c>
    </row>
    <row r="3">
      <c r="A3" s="1" t="inlineStr">
        <is>
          <t>Current price (AUD)</t>
        </is>
      </c>
      <c r="B3" t="n">
        <v>10.5</v>
      </c>
    </row>
    <row r="4">
      <c r="A4" s="1" t="inlineStr">
        <is>
          <t>Shares on issue (m, 30-Jun-26)</t>
        </is>
      </c>
      <c r="B4" t="n">
        <v>577.15</v>
      </c>
    </row>
    <row r="5">
      <c r="A5" s="1" t="inlineStr">
        <is>
          <t>Tangible book value (A$m, 30-Jun-26)</t>
        </is>
      </c>
      <c r="B5" t="n">
        <v>5306.5</v>
      </c>
    </row>
    <row r="6">
      <c r="A6" s="1" t="inlineStr">
        <is>
          <t>Book value (A$m)</t>
        </is>
      </c>
      <c r="B6" t="n">
        <v>6734.5</v>
      </c>
    </row>
    <row r="7">
      <c r="A7" s="1" t="inlineStr">
        <is>
          <t>Goodwill &amp; intangibles (A$m)</t>
        </is>
      </c>
      <c r="B7" t="n">
        <v>1428</v>
      </c>
    </row>
    <row r="8">
      <c r="A8" s="1" t="inlineStr">
        <is>
          <t>FY26 cash earnings (A$m)</t>
        </is>
      </c>
      <c r="B8" t="n">
        <v>530.2</v>
      </c>
    </row>
    <row r="9">
      <c r="A9" s="1" t="inlineStr">
        <is>
          <t>FY26 cash ROTE (%)</t>
        </is>
      </c>
      <c r="B9" t="n">
        <v>10.1</v>
      </c>
    </row>
    <row r="10">
      <c r="A10" s="1" t="inlineStr">
        <is>
          <t>FY26 DPS (A$)</t>
        </is>
      </c>
      <c r="B10" t="n">
        <v>0.63</v>
      </c>
    </row>
    <row r="11">
      <c r="A11" s="1" t="inlineStr">
        <is>
          <t>Hurdle rate</t>
        </is>
      </c>
      <c r="B11" t="n">
        <v>0.15</v>
      </c>
    </row>
    <row r="12">
      <c r="A12" s="1" t="inlineStr">
        <is>
          <t>Weight bear</t>
        </is>
      </c>
      <c r="B12" t="n">
        <v>0.25</v>
      </c>
    </row>
    <row r="13">
      <c r="A13" s="1" t="inlineStr">
        <is>
          <t>Weight base</t>
        </is>
      </c>
      <c r="B13" t="n">
        <v>0.5</v>
      </c>
    </row>
    <row r="14">
      <c r="A14" s="1" t="inlineStr">
        <is>
          <t>Weight bull</t>
        </is>
      </c>
      <c r="B14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Base scenario -- residual income on tangible book (A$m)</t>
        </is>
      </c>
    </row>
    <row r="2">
      <c r="A2" t="inlineStr">
        <is>
          <t>Cost of equity (%)</t>
        </is>
      </c>
      <c r="B2" t="n">
        <v>10</v>
      </c>
    </row>
    <row r="3">
      <c r="A3" t="inlineStr">
        <is>
          <t>Terminal growth of RI (%)</t>
        </is>
      </c>
      <c r="B3" t="n">
        <v>3</v>
      </c>
    </row>
    <row r="4">
      <c r="A4" t="inlineStr">
        <is>
          <t>Dividend payout (% of cash earnings)</t>
        </is>
      </c>
      <c r="B4" t="n">
        <v>68</v>
      </c>
    </row>
    <row r="6">
      <c r="A6" s="1" t="inlineStr">
        <is>
          <t>Year</t>
        </is>
      </c>
      <c r="B6" s="1" t="inlineStr">
        <is>
          <t>Y1 FY27 (Jul26-Jun27)</t>
        </is>
      </c>
      <c r="C6" s="1" t="inlineStr">
        <is>
          <t>Y2 FY28</t>
        </is>
      </c>
      <c r="D6" s="1" t="inlineStr">
        <is>
          <t>Y3 FY29</t>
        </is>
      </c>
      <c r="E6" s="1" t="inlineStr">
        <is>
          <t>Y4 FY30</t>
        </is>
      </c>
      <c r="F6" s="1" t="inlineStr">
        <is>
          <t>Y5 FY31</t>
        </is>
      </c>
    </row>
    <row r="7">
      <c r="A7" t="inlineStr">
        <is>
          <t>Period index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A8" t="inlineStr">
        <is>
          <t>ROTE (%)</t>
        </is>
      </c>
      <c r="B8" t="n">
        <v>10.3</v>
      </c>
      <c r="C8" t="n">
        <v>10.6</v>
      </c>
      <c r="D8" t="n">
        <v>10.8</v>
      </c>
      <c r="E8" t="n">
        <v>11</v>
      </c>
      <c r="F8" t="n">
        <v>11</v>
      </c>
    </row>
    <row r="9">
      <c r="A9" t="inlineStr">
        <is>
          <t>One-offs after tax</t>
        </is>
      </c>
      <c r="B9" t="n">
        <v>80</v>
      </c>
      <c r="C9" t="n">
        <v>50</v>
      </c>
      <c r="D9" t="n">
        <v>30</v>
      </c>
      <c r="E9" t="n">
        <v>15</v>
      </c>
      <c r="F9" t="n">
        <v>15</v>
      </c>
    </row>
    <row r="10">
      <c r="A10" t="inlineStr">
        <is>
          <t>TBV opening</t>
        </is>
      </c>
      <c r="B10">
        <f>Inputs!$B$5</f>
        <v/>
      </c>
      <c r="C10">
        <f>B15</f>
        <v/>
      </c>
      <c r="D10">
        <f>C15</f>
        <v/>
      </c>
      <c r="E10">
        <f>D15</f>
        <v/>
      </c>
      <c r="F10">
        <f>E15</f>
        <v/>
      </c>
    </row>
    <row r="11">
      <c r="A11" t="inlineStr">
        <is>
          <t>Cash earnings</t>
        </is>
      </c>
      <c r="B11">
        <f>B8/100*B10</f>
        <v/>
      </c>
      <c r="C11">
        <f>C8/100*C10</f>
        <v/>
      </c>
      <c r="D11">
        <f>D8/100*D10</f>
        <v/>
      </c>
      <c r="E11">
        <f>E8/100*E10</f>
        <v/>
      </c>
      <c r="F11">
        <f>F8/100*F10</f>
        <v/>
      </c>
    </row>
    <row r="12">
      <c r="A12" t="inlineStr">
        <is>
          <t>Net income</t>
        </is>
      </c>
      <c r="B12">
        <f>B11-B9</f>
        <v/>
      </c>
      <c r="C12">
        <f>C11-C9</f>
        <v/>
      </c>
      <c r="D12">
        <f>D11-D9</f>
        <v/>
      </c>
      <c r="E12">
        <f>E11-E9</f>
        <v/>
      </c>
      <c r="F12">
        <f>F11-F9</f>
        <v/>
      </c>
    </row>
    <row r="13">
      <c r="A13" t="inlineStr">
        <is>
          <t>Dividends</t>
        </is>
      </c>
      <c r="B13">
        <f>$B$4/100*B11</f>
        <v/>
      </c>
      <c r="C13">
        <f>$B$4/100*C11</f>
        <v/>
      </c>
      <c r="D13">
        <f>$B$4/100*D11</f>
        <v/>
      </c>
      <c r="E13">
        <f>$B$4/100*E11</f>
        <v/>
      </c>
      <c r="F13">
        <f>$B$4/100*F11</f>
        <v/>
      </c>
    </row>
    <row r="14">
      <c r="A14" t="inlineStr">
        <is>
          <t>Retained</t>
        </is>
      </c>
      <c r="B14">
        <f>B12-B13</f>
        <v/>
      </c>
      <c r="C14">
        <f>C12-C13</f>
        <v/>
      </c>
      <c r="D14">
        <f>D12-D13</f>
        <v/>
      </c>
      <c r="E14">
        <f>E12-E13</f>
        <v/>
      </c>
      <c r="F14">
        <f>F12-F13</f>
        <v/>
      </c>
    </row>
    <row r="15">
      <c r="A15" t="inlineStr">
        <is>
          <t>TBV closing</t>
        </is>
      </c>
      <c r="B15">
        <f>B10+B14</f>
        <v/>
      </c>
      <c r="C15">
        <f>C10+C14</f>
        <v/>
      </c>
      <c r="D15">
        <f>D10+D14</f>
        <v/>
      </c>
      <c r="E15">
        <f>E10+E14</f>
        <v/>
      </c>
      <c r="F15">
        <f>F10+F14</f>
        <v/>
      </c>
    </row>
    <row r="16">
      <c r="A16" t="inlineStr">
        <is>
          <t>Equity charge</t>
        </is>
      </c>
      <c r="B16">
        <f>$B$2/100*B10</f>
        <v/>
      </c>
      <c r="C16">
        <f>$B$2/100*C10</f>
        <v/>
      </c>
      <c r="D16">
        <f>$B$2/100*D10</f>
        <v/>
      </c>
      <c r="E16">
        <f>$B$2/100*E10</f>
        <v/>
      </c>
      <c r="F16">
        <f>$B$2/100*F10</f>
        <v/>
      </c>
    </row>
    <row r="17">
      <c r="A17" t="inlineStr">
        <is>
          <t>Residual income</t>
        </is>
      </c>
      <c r="B17">
        <f>B12-B16</f>
        <v/>
      </c>
      <c r="C17">
        <f>C12-C16</f>
        <v/>
      </c>
      <c r="D17">
        <f>D12-D16</f>
        <v/>
      </c>
      <c r="E17">
        <f>E12-E16</f>
        <v/>
      </c>
      <c r="F17">
        <f>F12-F16</f>
        <v/>
      </c>
    </row>
    <row r="18">
      <c r="A18" t="inlineStr">
        <is>
          <t>Discount factor</t>
        </is>
      </c>
      <c r="B18">
        <f>1/(1+$B$2/100)^B7</f>
        <v/>
      </c>
      <c r="C18">
        <f>1/(1+$B$2/100)^C7</f>
        <v/>
      </c>
      <c r="D18">
        <f>1/(1+$B$2/100)^D7</f>
        <v/>
      </c>
      <c r="E18">
        <f>1/(1+$B$2/100)^E7</f>
        <v/>
      </c>
      <c r="F18">
        <f>1/(1+$B$2/100)^F7</f>
        <v/>
      </c>
    </row>
    <row r="19">
      <c r="A19" t="inlineStr">
        <is>
          <t>PV residual income</t>
        </is>
      </c>
      <c r="B19">
        <f>B17*B18</f>
        <v/>
      </c>
      <c r="C19">
        <f>C17*C18</f>
        <v/>
      </c>
      <c r="D19">
        <f>D17*D18</f>
        <v/>
      </c>
      <c r="E19">
        <f>E17*E18</f>
        <v/>
      </c>
      <c r="F19">
        <f>F17*F18</f>
        <v/>
      </c>
    </row>
    <row r="20">
      <c r="A20" t="inlineStr">
        <is>
          <t>EPS (A$)</t>
        </is>
      </c>
      <c r="B20">
        <f>B12/Inputs!$B$4</f>
        <v/>
      </c>
      <c r="C20">
        <f>C12/Inputs!$B$4</f>
        <v/>
      </c>
      <c r="D20">
        <f>D12/Inputs!$B$4</f>
        <v/>
      </c>
      <c r="E20">
        <f>E12/Inputs!$B$4</f>
        <v/>
      </c>
      <c r="F20">
        <f>F12/Inputs!$B$4</f>
        <v/>
      </c>
    </row>
    <row r="21">
      <c r="A21" t="inlineStr">
        <is>
          <t>DPS (A$)</t>
        </is>
      </c>
      <c r="B21">
        <f>B13/Inputs!$B$4</f>
        <v/>
      </c>
      <c r="C21">
        <f>C13/Inputs!$B$4</f>
        <v/>
      </c>
      <c r="D21">
        <f>D13/Inputs!$B$4</f>
        <v/>
      </c>
      <c r="E21">
        <f>E13/Inputs!$B$4</f>
        <v/>
      </c>
      <c r="F21">
        <f>F13/Inputs!$B$4</f>
        <v/>
      </c>
    </row>
    <row r="22">
      <c r="A22" t="inlineStr">
        <is>
          <t>TBV per share (A$)</t>
        </is>
      </c>
      <c r="B22">
        <f>B15/Inputs!$B$4</f>
        <v/>
      </c>
      <c r="C22">
        <f>C15/Inputs!$B$4</f>
        <v/>
      </c>
      <c r="D22">
        <f>D15/Inputs!$B$4</f>
        <v/>
      </c>
      <c r="E22">
        <f>E15/Inputs!$B$4</f>
        <v/>
      </c>
      <c r="F22">
        <f>F15/Inputs!$B$4</f>
        <v/>
      </c>
    </row>
    <row r="23">
      <c r="A23" t="inlineStr">
        <is>
          <t>PV dividends at hurdle</t>
        </is>
      </c>
      <c r="B23">
        <f>B13/(1+Inputs!$B$11)^B7</f>
        <v/>
      </c>
      <c r="C23">
        <f>C13/(1+Inputs!$B$11)^C7</f>
        <v/>
      </c>
      <c r="D23">
        <f>D13/(1+Inputs!$B$11)^D7</f>
        <v/>
      </c>
      <c r="E23">
        <f>E13/(1+Inputs!$B$11)^E7</f>
        <v/>
      </c>
      <c r="F23">
        <f>F13/(1+Inputs!$B$11)^F7</f>
        <v/>
      </c>
    </row>
    <row r="25">
      <c r="A25" t="inlineStr">
        <is>
          <t>Sum PV residual income</t>
        </is>
      </c>
      <c r="B25">
        <f>SUM(B19:F19)</f>
        <v/>
      </c>
    </row>
    <row r="26">
      <c r="A26" t="inlineStr">
        <is>
          <t>Terminal value (Gordon on Y5 RI)</t>
        </is>
      </c>
      <c r="B26">
        <f>F17*(1+B3/100)/(B2/100-B3/100)</f>
        <v/>
      </c>
    </row>
    <row r="27">
      <c r="A27" t="inlineStr">
        <is>
          <t>PV terminal</t>
        </is>
      </c>
      <c r="B27">
        <f>B26*F18</f>
        <v/>
      </c>
    </row>
    <row r="28">
      <c r="A28" t="inlineStr">
        <is>
          <t>Equity value</t>
        </is>
      </c>
      <c r="B28">
        <f>Inputs!$B$5+B25+B27</f>
        <v/>
      </c>
    </row>
    <row r="29">
      <c r="A29" t="inlineStr">
        <is>
          <t>Intrinsic value per share (A$)</t>
        </is>
      </c>
      <c r="B29" s="1">
        <f>B28/Inputs!$B$4</f>
        <v/>
      </c>
    </row>
    <row r="30">
      <c r="A30" t="inlineStr">
        <is>
          <t>Upside vs price (%)</t>
        </is>
      </c>
      <c r="B30">
        <f>(B29/Inputs!$B$3-1)*100</f>
        <v/>
      </c>
    </row>
    <row r="31">
      <c r="A31" t="inlineStr">
        <is>
          <t>Terminal equity value Y5 (TBV + TV)</t>
        </is>
      </c>
      <c r="B31">
        <f>F15+B26</f>
        <v/>
      </c>
    </row>
    <row r="32">
      <c r="A32" t="inlineStr">
        <is>
          <t>Implied exit P/TBV</t>
        </is>
      </c>
      <c r="B32">
        <f>B31/F15</f>
        <v/>
      </c>
    </row>
    <row r="33">
      <c r="A33" t="inlineStr">
        <is>
          <t>Terminal % of value</t>
        </is>
      </c>
      <c r="B33">
        <f>B27/B28*100</f>
        <v/>
      </c>
    </row>
    <row r="35">
      <c r="A35" t="inlineStr">
        <is>
          <t>PV dividends at hurdle</t>
        </is>
      </c>
      <c r="B35">
        <f>SUM(B23:F23)</f>
        <v/>
      </c>
    </row>
    <row r="36">
      <c r="A36" t="inlineStr">
        <is>
          <t>PV terminal equity at hurdle</t>
        </is>
      </c>
      <c r="B36">
        <f>B31/(1+Inputs!$B$11)^5</f>
        <v/>
      </c>
    </row>
    <row r="37">
      <c r="A37" t="inlineStr">
        <is>
          <t>Entry price (A$)</t>
        </is>
      </c>
      <c r="B37" s="1">
        <f>(B35+B36)/Inputs!$B$4</f>
        <v/>
      </c>
    </row>
    <row r="38">
      <c r="A38" t="inlineStr">
        <is>
          <t>Entry discount vs price (%)</t>
        </is>
      </c>
      <c r="B38">
        <f>(B37/Inputs!$B$3-1)*100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Bull scenario -- residual income on tangible book (A$m)</t>
        </is>
      </c>
    </row>
    <row r="2">
      <c r="A2" t="inlineStr">
        <is>
          <t>Cost of equity (%)</t>
        </is>
      </c>
      <c r="B2" t="n">
        <v>9</v>
      </c>
    </row>
    <row r="3">
      <c r="A3" t="inlineStr">
        <is>
          <t>Terminal growth of RI (%)</t>
        </is>
      </c>
      <c r="B3" t="n">
        <v>3</v>
      </c>
    </row>
    <row r="4">
      <c r="A4" t="inlineStr">
        <is>
          <t>Dividend payout (% of cash earnings)</t>
        </is>
      </c>
      <c r="B4" t="n">
        <v>65</v>
      </c>
    </row>
    <row r="6">
      <c r="A6" s="1" t="inlineStr">
        <is>
          <t>Year</t>
        </is>
      </c>
      <c r="B6" s="1" t="inlineStr">
        <is>
          <t>Y1 FY27 (Jul26-Jun27)</t>
        </is>
      </c>
      <c r="C6" s="1" t="inlineStr">
        <is>
          <t>Y2 FY28</t>
        </is>
      </c>
      <c r="D6" s="1" t="inlineStr">
        <is>
          <t>Y3 FY29</t>
        </is>
      </c>
      <c r="E6" s="1" t="inlineStr">
        <is>
          <t>Y4 FY30</t>
        </is>
      </c>
      <c r="F6" s="1" t="inlineStr">
        <is>
          <t>Y5 FY31</t>
        </is>
      </c>
    </row>
    <row r="7">
      <c r="A7" t="inlineStr">
        <is>
          <t>Period index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A8" t="inlineStr">
        <is>
          <t>ROTE (%)</t>
        </is>
      </c>
      <c r="B8" t="n">
        <v>10.6</v>
      </c>
      <c r="C8" t="n">
        <v>11.2</v>
      </c>
      <c r="D8" t="n">
        <v>11.8</v>
      </c>
      <c r="E8" t="n">
        <v>12.3</v>
      </c>
      <c r="F8" t="n">
        <v>12.5</v>
      </c>
    </row>
    <row r="9">
      <c r="A9" t="inlineStr">
        <is>
          <t>One-offs after tax</t>
        </is>
      </c>
      <c r="B9" t="n">
        <v>70</v>
      </c>
      <c r="C9" t="n">
        <v>30</v>
      </c>
      <c r="D9" t="n">
        <v>10</v>
      </c>
      <c r="E9" t="n">
        <v>0</v>
      </c>
      <c r="F9" t="n">
        <v>0</v>
      </c>
    </row>
    <row r="10">
      <c r="A10" t="inlineStr">
        <is>
          <t>TBV opening</t>
        </is>
      </c>
      <c r="B10">
        <f>Inputs!$B$5</f>
        <v/>
      </c>
      <c r="C10">
        <f>B15</f>
        <v/>
      </c>
      <c r="D10">
        <f>C15</f>
        <v/>
      </c>
      <c r="E10">
        <f>D15</f>
        <v/>
      </c>
      <c r="F10">
        <f>E15</f>
        <v/>
      </c>
    </row>
    <row r="11">
      <c r="A11" t="inlineStr">
        <is>
          <t>Cash earnings</t>
        </is>
      </c>
      <c r="B11">
        <f>B8/100*B10</f>
        <v/>
      </c>
      <c r="C11">
        <f>C8/100*C10</f>
        <v/>
      </c>
      <c r="D11">
        <f>D8/100*D10</f>
        <v/>
      </c>
      <c r="E11">
        <f>E8/100*E10</f>
        <v/>
      </c>
      <c r="F11">
        <f>F8/100*F10</f>
        <v/>
      </c>
    </row>
    <row r="12">
      <c r="A12" t="inlineStr">
        <is>
          <t>Net income</t>
        </is>
      </c>
      <c r="B12">
        <f>B11-B9</f>
        <v/>
      </c>
      <c r="C12">
        <f>C11-C9</f>
        <v/>
      </c>
      <c r="D12">
        <f>D11-D9</f>
        <v/>
      </c>
      <c r="E12">
        <f>E11-E9</f>
        <v/>
      </c>
      <c r="F12">
        <f>F11-F9</f>
        <v/>
      </c>
    </row>
    <row r="13">
      <c r="A13" t="inlineStr">
        <is>
          <t>Dividends</t>
        </is>
      </c>
      <c r="B13">
        <f>$B$4/100*B11</f>
        <v/>
      </c>
      <c r="C13">
        <f>$B$4/100*C11</f>
        <v/>
      </c>
      <c r="D13">
        <f>$B$4/100*D11</f>
        <v/>
      </c>
      <c r="E13">
        <f>$B$4/100*E11</f>
        <v/>
      </c>
      <c r="F13">
        <f>$B$4/100*F11</f>
        <v/>
      </c>
    </row>
    <row r="14">
      <c r="A14" t="inlineStr">
        <is>
          <t>Retained</t>
        </is>
      </c>
      <c r="B14">
        <f>B12-B13</f>
        <v/>
      </c>
      <c r="C14">
        <f>C12-C13</f>
        <v/>
      </c>
      <c r="D14">
        <f>D12-D13</f>
        <v/>
      </c>
      <c r="E14">
        <f>E12-E13</f>
        <v/>
      </c>
      <c r="F14">
        <f>F12-F13</f>
        <v/>
      </c>
    </row>
    <row r="15">
      <c r="A15" t="inlineStr">
        <is>
          <t>TBV closing</t>
        </is>
      </c>
      <c r="B15">
        <f>B10+B14</f>
        <v/>
      </c>
      <c r="C15">
        <f>C10+C14</f>
        <v/>
      </c>
      <c r="D15">
        <f>D10+D14</f>
        <v/>
      </c>
      <c r="E15">
        <f>E10+E14</f>
        <v/>
      </c>
      <c r="F15">
        <f>F10+F14</f>
        <v/>
      </c>
    </row>
    <row r="16">
      <c r="A16" t="inlineStr">
        <is>
          <t>Equity charge</t>
        </is>
      </c>
      <c r="B16">
        <f>$B$2/100*B10</f>
        <v/>
      </c>
      <c r="C16">
        <f>$B$2/100*C10</f>
        <v/>
      </c>
      <c r="D16">
        <f>$B$2/100*D10</f>
        <v/>
      </c>
      <c r="E16">
        <f>$B$2/100*E10</f>
        <v/>
      </c>
      <c r="F16">
        <f>$B$2/100*F10</f>
        <v/>
      </c>
    </row>
    <row r="17">
      <c r="A17" t="inlineStr">
        <is>
          <t>Residual income</t>
        </is>
      </c>
      <c r="B17">
        <f>B12-B16</f>
        <v/>
      </c>
      <c r="C17">
        <f>C12-C16</f>
        <v/>
      </c>
      <c r="D17">
        <f>D12-D16</f>
        <v/>
      </c>
      <c r="E17">
        <f>E12-E16</f>
        <v/>
      </c>
      <c r="F17">
        <f>F12-F16</f>
        <v/>
      </c>
    </row>
    <row r="18">
      <c r="A18" t="inlineStr">
        <is>
          <t>Discount factor</t>
        </is>
      </c>
      <c r="B18">
        <f>1/(1+$B$2/100)^B7</f>
        <v/>
      </c>
      <c r="C18">
        <f>1/(1+$B$2/100)^C7</f>
        <v/>
      </c>
      <c r="D18">
        <f>1/(1+$B$2/100)^D7</f>
        <v/>
      </c>
      <c r="E18">
        <f>1/(1+$B$2/100)^E7</f>
        <v/>
      </c>
      <c r="F18">
        <f>1/(1+$B$2/100)^F7</f>
        <v/>
      </c>
    </row>
    <row r="19">
      <c r="A19" t="inlineStr">
        <is>
          <t>PV residual income</t>
        </is>
      </c>
      <c r="B19">
        <f>B17*B18</f>
        <v/>
      </c>
      <c r="C19">
        <f>C17*C18</f>
        <v/>
      </c>
      <c r="D19">
        <f>D17*D18</f>
        <v/>
      </c>
      <c r="E19">
        <f>E17*E18</f>
        <v/>
      </c>
      <c r="F19">
        <f>F17*F18</f>
        <v/>
      </c>
    </row>
    <row r="20">
      <c r="A20" t="inlineStr">
        <is>
          <t>EPS (A$)</t>
        </is>
      </c>
      <c r="B20">
        <f>B12/Inputs!$B$4</f>
        <v/>
      </c>
      <c r="C20">
        <f>C12/Inputs!$B$4</f>
        <v/>
      </c>
      <c r="D20">
        <f>D12/Inputs!$B$4</f>
        <v/>
      </c>
      <c r="E20">
        <f>E12/Inputs!$B$4</f>
        <v/>
      </c>
      <c r="F20">
        <f>F12/Inputs!$B$4</f>
        <v/>
      </c>
    </row>
    <row r="21">
      <c r="A21" t="inlineStr">
        <is>
          <t>DPS (A$)</t>
        </is>
      </c>
      <c r="B21">
        <f>B13/Inputs!$B$4</f>
        <v/>
      </c>
      <c r="C21">
        <f>C13/Inputs!$B$4</f>
        <v/>
      </c>
      <c r="D21">
        <f>D13/Inputs!$B$4</f>
        <v/>
      </c>
      <c r="E21">
        <f>E13/Inputs!$B$4</f>
        <v/>
      </c>
      <c r="F21">
        <f>F13/Inputs!$B$4</f>
        <v/>
      </c>
    </row>
    <row r="22">
      <c r="A22" t="inlineStr">
        <is>
          <t>TBV per share (A$)</t>
        </is>
      </c>
      <c r="B22">
        <f>B15/Inputs!$B$4</f>
        <v/>
      </c>
      <c r="C22">
        <f>C15/Inputs!$B$4</f>
        <v/>
      </c>
      <c r="D22">
        <f>D15/Inputs!$B$4</f>
        <v/>
      </c>
      <c r="E22">
        <f>E15/Inputs!$B$4</f>
        <v/>
      </c>
      <c r="F22">
        <f>F15/Inputs!$B$4</f>
        <v/>
      </c>
    </row>
    <row r="23">
      <c r="A23" t="inlineStr">
        <is>
          <t>PV dividends at hurdle</t>
        </is>
      </c>
      <c r="B23">
        <f>B13/(1+Inputs!$B$11)^B7</f>
        <v/>
      </c>
      <c r="C23">
        <f>C13/(1+Inputs!$B$11)^C7</f>
        <v/>
      </c>
      <c r="D23">
        <f>D13/(1+Inputs!$B$11)^D7</f>
        <v/>
      </c>
      <c r="E23">
        <f>E13/(1+Inputs!$B$11)^E7</f>
        <v/>
      </c>
      <c r="F23">
        <f>F13/(1+Inputs!$B$11)^F7</f>
        <v/>
      </c>
    </row>
    <row r="25">
      <c r="A25" t="inlineStr">
        <is>
          <t>Sum PV residual income</t>
        </is>
      </c>
      <c r="B25">
        <f>SUM(B19:F19)</f>
        <v/>
      </c>
    </row>
    <row r="26">
      <c r="A26" t="inlineStr">
        <is>
          <t>Terminal value (Gordon on Y5 RI)</t>
        </is>
      </c>
      <c r="B26">
        <f>F17*(1+B3/100)/(B2/100-B3/100)</f>
        <v/>
      </c>
    </row>
    <row r="27">
      <c r="A27" t="inlineStr">
        <is>
          <t>PV terminal</t>
        </is>
      </c>
      <c r="B27">
        <f>B26*F18</f>
        <v/>
      </c>
    </row>
    <row r="28">
      <c r="A28" t="inlineStr">
        <is>
          <t>Equity value</t>
        </is>
      </c>
      <c r="B28">
        <f>Inputs!$B$5+B25+B27</f>
        <v/>
      </c>
    </row>
    <row r="29">
      <c r="A29" t="inlineStr">
        <is>
          <t>Intrinsic value per share (A$)</t>
        </is>
      </c>
      <c r="B29" s="1">
        <f>B28/Inputs!$B$4</f>
        <v/>
      </c>
    </row>
    <row r="30">
      <c r="A30" t="inlineStr">
        <is>
          <t>Upside vs price (%)</t>
        </is>
      </c>
      <c r="B30">
        <f>(B29/Inputs!$B$3-1)*100</f>
        <v/>
      </c>
    </row>
    <row r="31">
      <c r="A31" t="inlineStr">
        <is>
          <t>Terminal equity value Y5 (TBV + TV)</t>
        </is>
      </c>
      <c r="B31">
        <f>F15+B26</f>
        <v/>
      </c>
    </row>
    <row r="32">
      <c r="A32" t="inlineStr">
        <is>
          <t>Implied exit P/TBV</t>
        </is>
      </c>
      <c r="B32">
        <f>B31/F15</f>
        <v/>
      </c>
    </row>
    <row r="33">
      <c r="A33" t="inlineStr">
        <is>
          <t>Terminal % of value</t>
        </is>
      </c>
      <c r="B33">
        <f>B27/B28*100</f>
        <v/>
      </c>
    </row>
    <row r="35">
      <c r="A35" t="inlineStr">
        <is>
          <t>PV dividends at hurdle</t>
        </is>
      </c>
      <c r="B35">
        <f>SUM(B23:F23)</f>
        <v/>
      </c>
    </row>
    <row r="36">
      <c r="A36" t="inlineStr">
        <is>
          <t>PV terminal equity at hurdle</t>
        </is>
      </c>
      <c r="B36">
        <f>B31/(1+Inputs!$B$11)^5</f>
        <v/>
      </c>
    </row>
    <row r="37">
      <c r="A37" t="inlineStr">
        <is>
          <t>Entry price (A$)</t>
        </is>
      </c>
      <c r="B37" s="1">
        <f>(B35+B36)/Inputs!$B$4</f>
        <v/>
      </c>
    </row>
    <row r="38">
      <c r="A38" t="inlineStr">
        <is>
          <t>Entry discount vs price (%)</t>
        </is>
      </c>
      <c r="B38">
        <f>(B37/Inputs!$B$3-1)*100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Bear scenario -- residual income on tangible book (A$m)</t>
        </is>
      </c>
    </row>
    <row r="2">
      <c r="A2" t="inlineStr">
        <is>
          <t>Cost of equity (%)</t>
        </is>
      </c>
      <c r="B2" t="n">
        <v>11</v>
      </c>
    </row>
    <row r="3">
      <c r="A3" t="inlineStr">
        <is>
          <t>Terminal growth of RI (%)</t>
        </is>
      </c>
      <c r="B3" t="n">
        <v>2</v>
      </c>
    </row>
    <row r="4">
      <c r="A4" t="inlineStr">
        <is>
          <t>Dividend payout (% of cash earnings)</t>
        </is>
      </c>
      <c r="B4" t="n">
        <v>76</v>
      </c>
    </row>
    <row r="6">
      <c r="A6" s="1" t="inlineStr">
        <is>
          <t>Year</t>
        </is>
      </c>
      <c r="B6" s="1" t="inlineStr">
        <is>
          <t>Y1 FY27 (Jul26-Jun27)</t>
        </is>
      </c>
      <c r="C6" s="1" t="inlineStr">
        <is>
          <t>Y2 FY28</t>
        </is>
      </c>
      <c r="D6" s="1" t="inlineStr">
        <is>
          <t>Y3 FY29</t>
        </is>
      </c>
      <c r="E6" s="1" t="inlineStr">
        <is>
          <t>Y4 FY30</t>
        </is>
      </c>
      <c r="F6" s="1" t="inlineStr">
        <is>
          <t>Y5 FY31</t>
        </is>
      </c>
    </row>
    <row r="7">
      <c r="A7" t="inlineStr">
        <is>
          <t>Period index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A8" t="inlineStr">
        <is>
          <t>ROTE (%)</t>
        </is>
      </c>
      <c r="B8" t="n">
        <v>9.6</v>
      </c>
      <c r="C8" t="n">
        <v>9.199999999999999</v>
      </c>
      <c r="D8" t="n">
        <v>9.4</v>
      </c>
      <c r="E8" t="n">
        <v>9.800000000000001</v>
      </c>
      <c r="F8" t="n">
        <v>10</v>
      </c>
    </row>
    <row r="9">
      <c r="A9" t="inlineStr">
        <is>
          <t>One-offs after tax</t>
        </is>
      </c>
      <c r="B9" t="n">
        <v>120</v>
      </c>
      <c r="C9" t="n">
        <v>220</v>
      </c>
      <c r="D9" t="n">
        <v>90</v>
      </c>
      <c r="E9" t="n">
        <v>50</v>
      </c>
      <c r="F9" t="n">
        <v>50</v>
      </c>
    </row>
    <row r="10">
      <c r="A10" t="inlineStr">
        <is>
          <t>TBV opening</t>
        </is>
      </c>
      <c r="B10">
        <f>Inputs!$B$5</f>
        <v/>
      </c>
      <c r="C10">
        <f>B15</f>
        <v/>
      </c>
      <c r="D10">
        <f>C15</f>
        <v/>
      </c>
      <c r="E10">
        <f>D15</f>
        <v/>
      </c>
      <c r="F10">
        <f>E15</f>
        <v/>
      </c>
    </row>
    <row r="11">
      <c r="A11" t="inlineStr">
        <is>
          <t>Cash earnings</t>
        </is>
      </c>
      <c r="B11">
        <f>B8/100*B10</f>
        <v/>
      </c>
      <c r="C11">
        <f>C8/100*C10</f>
        <v/>
      </c>
      <c r="D11">
        <f>D8/100*D10</f>
        <v/>
      </c>
      <c r="E11">
        <f>E8/100*E10</f>
        <v/>
      </c>
      <c r="F11">
        <f>F8/100*F10</f>
        <v/>
      </c>
    </row>
    <row r="12">
      <c r="A12" t="inlineStr">
        <is>
          <t>Net income</t>
        </is>
      </c>
      <c r="B12">
        <f>B11-B9</f>
        <v/>
      </c>
      <c r="C12">
        <f>C11-C9</f>
        <v/>
      </c>
      <c r="D12">
        <f>D11-D9</f>
        <v/>
      </c>
      <c r="E12">
        <f>E11-E9</f>
        <v/>
      </c>
      <c r="F12">
        <f>F11-F9</f>
        <v/>
      </c>
    </row>
    <row r="13">
      <c r="A13" t="inlineStr">
        <is>
          <t>Dividends</t>
        </is>
      </c>
      <c r="B13">
        <f>$B$4/100*B11</f>
        <v/>
      </c>
      <c r="C13">
        <f>$B$4/100*C11</f>
        <v/>
      </c>
      <c r="D13">
        <f>$B$4/100*D11</f>
        <v/>
      </c>
      <c r="E13">
        <f>$B$4/100*E11</f>
        <v/>
      </c>
      <c r="F13">
        <f>$B$4/100*F11</f>
        <v/>
      </c>
    </row>
    <row r="14">
      <c r="A14" t="inlineStr">
        <is>
          <t>Retained</t>
        </is>
      </c>
      <c r="B14">
        <f>B12-B13</f>
        <v/>
      </c>
      <c r="C14">
        <f>C12-C13</f>
        <v/>
      </c>
      <c r="D14">
        <f>D12-D13</f>
        <v/>
      </c>
      <c r="E14">
        <f>E12-E13</f>
        <v/>
      </c>
      <c r="F14">
        <f>F12-F13</f>
        <v/>
      </c>
    </row>
    <row r="15">
      <c r="A15" t="inlineStr">
        <is>
          <t>TBV closing</t>
        </is>
      </c>
      <c r="B15">
        <f>B10+B14</f>
        <v/>
      </c>
      <c r="C15">
        <f>C10+C14</f>
        <v/>
      </c>
      <c r="D15">
        <f>D10+D14</f>
        <v/>
      </c>
      <c r="E15">
        <f>E10+E14</f>
        <v/>
      </c>
      <c r="F15">
        <f>F10+F14</f>
        <v/>
      </c>
    </row>
    <row r="16">
      <c r="A16" t="inlineStr">
        <is>
          <t>Equity charge</t>
        </is>
      </c>
      <c r="B16">
        <f>$B$2/100*B10</f>
        <v/>
      </c>
      <c r="C16">
        <f>$B$2/100*C10</f>
        <v/>
      </c>
      <c r="D16">
        <f>$B$2/100*D10</f>
        <v/>
      </c>
      <c r="E16">
        <f>$B$2/100*E10</f>
        <v/>
      </c>
      <c r="F16">
        <f>$B$2/100*F10</f>
        <v/>
      </c>
    </row>
    <row r="17">
      <c r="A17" t="inlineStr">
        <is>
          <t>Residual income</t>
        </is>
      </c>
      <c r="B17">
        <f>B12-B16</f>
        <v/>
      </c>
      <c r="C17">
        <f>C12-C16</f>
        <v/>
      </c>
      <c r="D17">
        <f>D12-D16</f>
        <v/>
      </c>
      <c r="E17">
        <f>E12-E16</f>
        <v/>
      </c>
      <c r="F17">
        <f>F12-F16</f>
        <v/>
      </c>
    </row>
    <row r="18">
      <c r="A18" t="inlineStr">
        <is>
          <t>Discount factor</t>
        </is>
      </c>
      <c r="B18">
        <f>1/(1+$B$2/100)^B7</f>
        <v/>
      </c>
      <c r="C18">
        <f>1/(1+$B$2/100)^C7</f>
        <v/>
      </c>
      <c r="D18">
        <f>1/(1+$B$2/100)^D7</f>
        <v/>
      </c>
      <c r="E18">
        <f>1/(1+$B$2/100)^E7</f>
        <v/>
      </c>
      <c r="F18">
        <f>1/(1+$B$2/100)^F7</f>
        <v/>
      </c>
    </row>
    <row r="19">
      <c r="A19" t="inlineStr">
        <is>
          <t>PV residual income</t>
        </is>
      </c>
      <c r="B19">
        <f>B17*B18</f>
        <v/>
      </c>
      <c r="C19">
        <f>C17*C18</f>
        <v/>
      </c>
      <c r="D19">
        <f>D17*D18</f>
        <v/>
      </c>
      <c r="E19">
        <f>E17*E18</f>
        <v/>
      </c>
      <c r="F19">
        <f>F17*F18</f>
        <v/>
      </c>
    </row>
    <row r="20">
      <c r="A20" t="inlineStr">
        <is>
          <t>EPS (A$)</t>
        </is>
      </c>
      <c r="B20">
        <f>B12/Inputs!$B$4</f>
        <v/>
      </c>
      <c r="C20">
        <f>C12/Inputs!$B$4</f>
        <v/>
      </c>
      <c r="D20">
        <f>D12/Inputs!$B$4</f>
        <v/>
      </c>
      <c r="E20">
        <f>E12/Inputs!$B$4</f>
        <v/>
      </c>
      <c r="F20">
        <f>F12/Inputs!$B$4</f>
        <v/>
      </c>
    </row>
    <row r="21">
      <c r="A21" t="inlineStr">
        <is>
          <t>DPS (A$)</t>
        </is>
      </c>
      <c r="B21">
        <f>B13/Inputs!$B$4</f>
        <v/>
      </c>
      <c r="C21">
        <f>C13/Inputs!$B$4</f>
        <v/>
      </c>
      <c r="D21">
        <f>D13/Inputs!$B$4</f>
        <v/>
      </c>
      <c r="E21">
        <f>E13/Inputs!$B$4</f>
        <v/>
      </c>
      <c r="F21">
        <f>F13/Inputs!$B$4</f>
        <v/>
      </c>
    </row>
    <row r="22">
      <c r="A22" t="inlineStr">
        <is>
          <t>TBV per share (A$)</t>
        </is>
      </c>
      <c r="B22">
        <f>B15/Inputs!$B$4</f>
        <v/>
      </c>
      <c r="C22">
        <f>C15/Inputs!$B$4</f>
        <v/>
      </c>
      <c r="D22">
        <f>D15/Inputs!$B$4</f>
        <v/>
      </c>
      <c r="E22">
        <f>E15/Inputs!$B$4</f>
        <v/>
      </c>
      <c r="F22">
        <f>F15/Inputs!$B$4</f>
        <v/>
      </c>
    </row>
    <row r="23">
      <c r="A23" t="inlineStr">
        <is>
          <t>PV dividends at hurdle</t>
        </is>
      </c>
      <c r="B23">
        <f>B13/(1+Inputs!$B$11)^B7</f>
        <v/>
      </c>
      <c r="C23">
        <f>C13/(1+Inputs!$B$11)^C7</f>
        <v/>
      </c>
      <c r="D23">
        <f>D13/(1+Inputs!$B$11)^D7</f>
        <v/>
      </c>
      <c r="E23">
        <f>E13/(1+Inputs!$B$11)^E7</f>
        <v/>
      </c>
      <c r="F23">
        <f>F13/(1+Inputs!$B$11)^F7</f>
        <v/>
      </c>
    </row>
    <row r="25">
      <c r="A25" t="inlineStr">
        <is>
          <t>Sum PV residual income</t>
        </is>
      </c>
      <c r="B25">
        <f>SUM(B19:F19)</f>
        <v/>
      </c>
    </row>
    <row r="26">
      <c r="A26" t="inlineStr">
        <is>
          <t>Terminal value (Gordon on Y5 RI)</t>
        </is>
      </c>
      <c r="B26">
        <f>F17*(1+B3/100)/(B2/100-B3/100)</f>
        <v/>
      </c>
    </row>
    <row r="27">
      <c r="A27" t="inlineStr">
        <is>
          <t>PV terminal</t>
        </is>
      </c>
      <c r="B27">
        <f>B26*F18</f>
        <v/>
      </c>
    </row>
    <row r="28">
      <c r="A28" t="inlineStr">
        <is>
          <t>Equity value</t>
        </is>
      </c>
      <c r="B28">
        <f>Inputs!$B$5+B25+B27</f>
        <v/>
      </c>
    </row>
    <row r="29">
      <c r="A29" t="inlineStr">
        <is>
          <t>Intrinsic value per share (A$)</t>
        </is>
      </c>
      <c r="B29" s="1">
        <f>B28/Inputs!$B$4</f>
        <v/>
      </c>
    </row>
    <row r="30">
      <c r="A30" t="inlineStr">
        <is>
          <t>Upside vs price (%)</t>
        </is>
      </c>
      <c r="B30">
        <f>(B29/Inputs!$B$3-1)*100</f>
        <v/>
      </c>
    </row>
    <row r="31">
      <c r="A31" t="inlineStr">
        <is>
          <t>Terminal equity value Y5 (TBV + TV)</t>
        </is>
      </c>
      <c r="B31">
        <f>F15+B26</f>
        <v/>
      </c>
    </row>
    <row r="32">
      <c r="A32" t="inlineStr">
        <is>
          <t>Implied exit P/TBV</t>
        </is>
      </c>
      <c r="B32">
        <f>B31/F15</f>
        <v/>
      </c>
    </row>
    <row r="33">
      <c r="A33" t="inlineStr">
        <is>
          <t>Terminal % of value</t>
        </is>
      </c>
      <c r="B33">
        <f>B27/B28*100</f>
        <v/>
      </c>
    </row>
    <row r="35">
      <c r="A35" t="inlineStr">
        <is>
          <t>PV dividends at hurdle</t>
        </is>
      </c>
      <c r="B35">
        <f>SUM(B23:F23)</f>
        <v/>
      </c>
    </row>
    <row r="36">
      <c r="A36" t="inlineStr">
        <is>
          <t>PV terminal equity at hurdle</t>
        </is>
      </c>
      <c r="B36">
        <f>B31/(1+Inputs!$B$11)^5</f>
        <v/>
      </c>
    </row>
    <row r="37">
      <c r="A37" t="inlineStr">
        <is>
          <t>Entry price (A$)</t>
        </is>
      </c>
      <c r="B37" s="1">
        <f>(B35+B36)/Inputs!$B$4</f>
        <v/>
      </c>
    </row>
    <row r="38">
      <c r="A38" t="inlineStr">
        <is>
          <t>Entry discount vs price (%)</t>
        </is>
      </c>
      <c r="B38">
        <f>(B37/Inputs!$B$3-1)*100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Scenario</t>
        </is>
      </c>
      <c r="B1" s="1" t="inlineStr">
        <is>
          <t>Weight</t>
        </is>
      </c>
      <c r="C1" s="1" t="inlineStr">
        <is>
          <t>IV (A$)</t>
        </is>
      </c>
      <c r="D1" s="1" t="inlineStr">
        <is>
          <t>Entry (A$)</t>
        </is>
      </c>
      <c r="E1" s="1" t="inlineStr">
        <is>
          <t>Upside %</t>
        </is>
      </c>
    </row>
    <row r="2">
      <c r="A2" t="inlineStr">
        <is>
          <t>bear</t>
        </is>
      </c>
      <c r="B2">
        <f>Inputs!$B$12</f>
        <v/>
      </c>
      <c r="C2">
        <f>Bear!$B$29</f>
        <v/>
      </c>
      <c r="D2">
        <f>Bear!$B$37</f>
        <v/>
      </c>
      <c r="E2">
        <f>(C2/Inputs!$B$3-1)*100</f>
        <v/>
      </c>
    </row>
    <row r="3">
      <c r="A3" t="inlineStr">
        <is>
          <t>base</t>
        </is>
      </c>
      <c r="B3">
        <f>Inputs!$B$13</f>
        <v/>
      </c>
      <c r="C3">
        <f>Base!$B$29</f>
        <v/>
      </c>
      <c r="D3">
        <f>Base!$B$37</f>
        <v/>
      </c>
      <c r="E3">
        <f>(C3/Inputs!$B$3-1)*100</f>
        <v/>
      </c>
    </row>
    <row r="4">
      <c r="A4" t="inlineStr">
        <is>
          <t>bull</t>
        </is>
      </c>
      <c r="B4">
        <f>Inputs!$B$14</f>
        <v/>
      </c>
      <c r="C4">
        <f>Bull!$B$29</f>
        <v/>
      </c>
      <c r="D4">
        <f>Bull!$B$37</f>
        <v/>
      </c>
      <c r="E4">
        <f>(C4/Inputs!$B$3-1)*100</f>
        <v/>
      </c>
    </row>
    <row r="6">
      <c r="A6" t="inlineStr">
        <is>
          <t>Probability-weighted IV (A$)</t>
        </is>
      </c>
      <c r="B6" s="1">
        <f>SUMPRODUCT(B2:B4,C2:C4)</f>
        <v/>
      </c>
    </row>
    <row r="7">
      <c r="A7" t="inlineStr">
        <is>
          <t>Probability-weighted entry (A$)</t>
        </is>
      </c>
      <c r="B7">
        <f>SUMPRODUCT(B2:B4,D2:D4)</f>
        <v/>
      </c>
    </row>
    <row r="8">
      <c r="A8" t="inlineStr">
        <is>
          <t>Weighted upside (%)</t>
        </is>
      </c>
      <c r="B8">
        <f>(B6/Inputs!$B$3-1)*100</f>
        <v/>
      </c>
    </row>
    <row r="9">
      <c r="A9" t="inlineStr">
        <is>
          <t>Weights sum</t>
        </is>
      </c>
      <c r="B9">
        <f>SUM(B2:B4)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IV (A$/share): rows = cost of equity %, cols = terminal RI growth % (values, from model)</t>
        </is>
      </c>
    </row>
    <row r="2">
      <c r="B2" s="1" t="n">
        <v>2</v>
      </c>
      <c r="C2" s="1" t="n">
        <v>2.5</v>
      </c>
      <c r="D2" s="1" t="n">
        <v>3</v>
      </c>
      <c r="E2" s="1" t="n">
        <v>3.5</v>
      </c>
      <c r="F2" s="1" t="n">
        <v>4</v>
      </c>
    </row>
    <row r="3">
      <c r="A3" s="1" t="n">
        <v>8</v>
      </c>
      <c r="B3" t="n">
        <v>13.19</v>
      </c>
      <c r="C3" t="n">
        <v>13.5</v>
      </c>
      <c r="D3" t="n">
        <v>13.88</v>
      </c>
      <c r="E3" t="n">
        <v>14.34</v>
      </c>
      <c r="F3" t="n">
        <v>14.91</v>
      </c>
    </row>
    <row r="4">
      <c r="A4" s="1" t="n">
        <v>9</v>
      </c>
      <c r="B4" t="n">
        <v>11.24</v>
      </c>
      <c r="C4" t="n">
        <v>11.38</v>
      </c>
      <c r="D4" t="n">
        <v>11.54</v>
      </c>
      <c r="E4" t="n">
        <v>11.73</v>
      </c>
      <c r="F4" t="n">
        <v>11.96</v>
      </c>
    </row>
    <row r="5">
      <c r="A5" s="1" t="n">
        <v>10</v>
      </c>
      <c r="B5" t="n">
        <v>9.779999999999999</v>
      </c>
      <c r="C5" t="n">
        <v>9.83</v>
      </c>
      <c r="D5" t="n">
        <v>9.880000000000001</v>
      </c>
      <c r="E5" t="n">
        <v>9.93</v>
      </c>
      <c r="F5" t="n">
        <v>10</v>
      </c>
    </row>
    <row r="6">
      <c r="A6" s="1" t="n">
        <v>11</v>
      </c>
      <c r="B6" t="n">
        <v>8.65</v>
      </c>
      <c r="C6" t="n">
        <v>8.640000000000001</v>
      </c>
      <c r="D6" t="n">
        <v>8.630000000000001</v>
      </c>
      <c r="E6" t="n">
        <v>8.609999999999999</v>
      </c>
      <c r="F6" t="n">
        <v>8.6</v>
      </c>
    </row>
    <row r="7">
      <c r="A7" s="1" t="n">
        <v>12</v>
      </c>
      <c r="B7" t="n">
        <v>7.75</v>
      </c>
      <c r="C7" t="n">
        <v>7.7</v>
      </c>
      <c r="D7" t="n">
        <v>7.66</v>
      </c>
      <c r="E7" t="n">
        <v>7.6</v>
      </c>
      <c r="F7" t="n">
        <v>7.54</v>
      </c>
    </row>
    <row r="10">
      <c r="A10" s="1" t="inlineStr">
        <is>
          <t>Base IV: rows = flat ROTE %, cols = cost of equity % (values, from model)</t>
        </is>
      </c>
    </row>
    <row r="11">
      <c r="B11" s="1" t="n">
        <v>8</v>
      </c>
      <c r="C11" s="1" t="n">
        <v>9</v>
      </c>
      <c r="D11" s="1" t="n">
        <v>10</v>
      </c>
      <c r="E11" s="1" t="n">
        <v>11</v>
      </c>
      <c r="F11" s="1" t="n">
        <v>12</v>
      </c>
    </row>
    <row r="12">
      <c r="A12" s="1" t="n">
        <v>9</v>
      </c>
      <c r="B12" t="n">
        <v>10.33</v>
      </c>
      <c r="C12" t="n">
        <v>8.630000000000001</v>
      </c>
      <c r="D12" t="n">
        <v>7.41</v>
      </c>
      <c r="E12" t="n">
        <v>6.5</v>
      </c>
      <c r="F12" t="n">
        <v>5.79</v>
      </c>
    </row>
    <row r="13">
      <c r="A13" s="1" t="n">
        <v>10</v>
      </c>
      <c r="B13" t="n">
        <v>12.15</v>
      </c>
      <c r="C13" t="n">
        <v>10.13</v>
      </c>
      <c r="D13" t="n">
        <v>8.69</v>
      </c>
      <c r="E13" t="n">
        <v>7.6</v>
      </c>
      <c r="F13" t="n">
        <v>6.76</v>
      </c>
    </row>
    <row r="14">
      <c r="A14" s="1" t="n">
        <v>11</v>
      </c>
      <c r="B14" t="n">
        <v>14.01</v>
      </c>
      <c r="C14" t="n">
        <v>11.66</v>
      </c>
      <c r="D14" t="n">
        <v>9.99</v>
      </c>
      <c r="E14" t="n">
        <v>8.73</v>
      </c>
      <c r="F14" t="n">
        <v>7.75</v>
      </c>
    </row>
    <row r="15">
      <c r="A15" s="1" t="n">
        <v>12</v>
      </c>
      <c r="B15" t="n">
        <v>15.91</v>
      </c>
      <c r="C15" t="n">
        <v>13.23</v>
      </c>
      <c r="D15" t="n">
        <v>11.31</v>
      </c>
      <c r="E15" t="n">
        <v>9.880000000000001</v>
      </c>
      <c r="F15" t="n">
        <v>8.76</v>
      </c>
    </row>
    <row r="16">
      <c r="A16" s="1" t="n">
        <v>13</v>
      </c>
      <c r="B16" t="n">
        <v>17.85</v>
      </c>
      <c r="C16" t="n">
        <v>14.83</v>
      </c>
      <c r="D16" t="n">
        <v>12.67</v>
      </c>
      <c r="E16" t="n">
        <v>11.05</v>
      </c>
      <c r="F16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2026-09-21T11:41:03Z</dcterms:created>
  <dcterms:modified xmlns:dcterms="http://purl.org/dc/terms/" xmlns:xsi="http://www.w3.org/2001/XMLSchema-instance" xsi:type="dcterms:W3CDTF">2026-09-21T11:41:03Z</dcterms:modified>
</cp:coreProperties>
</file>