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<sst xmlns="http://schemas.openxmlformats.org/spreadsheetml/2006/main" count="359" uniqueCount="169">
  <si>
    <t xml:space="preserve">Ticker</t>
  </si>
  <si>
    <t xml:space="preserve">2328.HK</t>
  </si>
  <si>
    <t xml:space="preserve">Company</t>
  </si>
  <si>
    <t xml:space="preserve">PICC Property and Casualty Company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</si>
  <si>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</si>
  <si>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</si>
  <si>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</si>
  <si>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</si>
  <si>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HKEX regular close (Friday); 52-week range 13.65-19.74. Q3 2026 results due late October 2026.</t>
  </si>
  <si>
    <t xml:space="preserve">Balance sheet date</t>
  </si>
  <si>
    <t xml:space="preserve">2026-06-30</t>
  </si>
  <si>
    <t xml:space="preserve">Model</t>
  </si>
  <si>
    <t xml:space="preserve">P&amp;C insurer FCFE at cost of equity, net debt held at zero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</si>
  <si>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</si>
  <si>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</si>
  <si>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</si>
  <si>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</si>
  <si>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</si>
  <si>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</si>
  <si>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</si>
  <si>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</si>
  <si>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</si>
  <si>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2026-10-18T01:05:55Z</t>
  </si>
  <si>
    <t xml:space="preserve">Drivers file</t>
  </si>
  <si>
    <t xml:space="preserve">2328.HK_Drivers.json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</si>
  <si>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</si>
  <si>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</si>
  <si>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</si>
  <si>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Chinese P&amp;C insurer on the cash it distributes, not on OCF (premium float) and not on a peak-year net income. Profit before tax as a share of insurance revenue -- underwriting profit plus total investment income less finance costs -- is the earnings measure; after a structurally low 16% tax rate, the payout ratio (calibrated to a 36.5-44% history and the FY2025 37.5%) sets how much is retained. Debt interest is inside that measure, so net debt is zero. FY2025 and H1 2026 are peak-cycle (5.8% total investment yield, 94-97.5% combined ratio) and are normalised to a ~12% ROE. CROSS-CHECKS: (1) Book: attributable equity RMB303,688M at H1 2026 = RMB13.65/share = HKD16.05; the price is 0.95x book. A residual-income P/B at a 12% ROE, 9.5% CoE and 3% growth is (12-3)/(9.5-3) = 1.38x = HKD22, so the FCFE base, which treats retained earnings as lost cash, is the conservative of the two. (2) Earnings: FY2025 EPS RMB1.815 = HKD2.13, P/E 7.1x; normalised FY2027 EPS ~RMB1.78 = HKD2.10, P/E 7.2x. (3) Yield: FY2025 DPS RMB0.68 = HKD0.80, 5.3% yield. (4) Parent consistency: 1339.HK's sum-of-parts marks this stake at market, so a change here flows into the Group cross-check.
key_risks_to_valuation: Capital-markets leverage: total investment income 27,359 in H1 2026 (+58.5%) was ~68% of PBT; equities and funds ~27% of RMB782bn investment assets; Underwriting cycle: combined ratio 97.5% FY2025 and 94.0% H1 2026 vs 98-99.6% in FY2018-21; each 1pt of combined ratio is ~RMB5bn of PBT, ~10% of normalised profit; Motor (~44% of premium) faces regulated pricing, flat volumes and NEV claims-cost inflation; motor premium growth was 0.1-1.9%; Catastrophe and agriculture exposure as China's largest agricultural and catastrophe-scheme insurer; losses concentrate in H2; Falling China government bond yields compress the fixed-income return on ~59% of investment assets; Payout policy is a state-shareholder decision (PICC Group 68.98%); the rise from 38% to 50% is a judgment, not guidance -- held at 38% the base value falls ~20%; Q3 2026 results (late October 2026) are the first evidence on H2 2026; the base assumes H2 PBT ~17bn, the bear ~8bn; Model risk: FCFE charges retained earnings as lost; at a 12% ROE above a 9.5% CoE the residual-income cross-check is ~50% higher than the base</t>
  </si>
  <si>
    <t xml:space="preserve">Data sources</t>
  </si>
  <si>
    <t xml:space="preserve">price: Yahoo Finance chart API at inputs.price_as_of (HKEX regular close); 52-week range 13.65-19.74. FX: Yahoo HKDCNY=X, inverted, 2026-10-17T21:32Z
financials: 2328.HK_Metrics.csv (core_metrics, RMB millions, FY2018-FY2025 + H1 FY2023-FY2026) and kpis (CombinedOperatingRatio, ProfitBeforeTax, InsuranceRevenue, UnderwritingIncome, SolvencyRatio, DividendsPaid); FY2025 Annual Report (investment results table, DPS 0.24 + 0.44, ROE 14.7%, income tax 7,324, NCI, lease liabilities); H1 2026 Interim Report (underwriting profit 15,376, combined ratio 94.0%, total investment income 27,359 and yield 3.8% unannualised, investment assets 781,951, solvency 237.2% / 213.8%, bonds payable 12,246, interim dividend RMB0.34); FY2019-FY2024 Annual Reports for the DPS history
qualitative: 2328.HK_Analysis.json (2026-10-18): segment mix, market share, moat, growth drivers, risks</t>
  </si>
  <si>
    <t xml:space="preserve">Scenario narrative: bear</t>
  </si>
  <si>
    <t xml:space="preserve">An equity drawdown and catastrophe season wipe out H2 2026, then motor/NEV competition and falling bond yields push the combined ratio to 99% and ROE to ~8%, below the cost of equity; the payout stays at 35% and the shares settle near 0.55x book.</t>
  </si>
  <si>
    <t xml:space="preserve">Scenario narrative: base</t>
  </si>
  <si>
    <t xml:space="preserve">China's largest P&amp;C insurer (33.3% share, roughly double its nearest rival) in a regulated three-player oligopoly, valued on the dividends it pays. Profit normalises from the FY2025 / H1 2026 peak (14.7% ROE, 5.8% investment yield, 94% H1 combined ratio) to a ~12% ROE built on a 97% combined ratio and a ~4.8% investment yield, grows with premiums at ~4% fading to 3%, and the payout rises from 38% toward 50% against 214% core solvency. Capitalised at a 9.5% CNY cost of equity, the shares are worth roughly 1x book -- about where they trade (0.95x H1 2026 book, ~7x FY2025 earnings, 5.3% yield).</t>
  </si>
  <si>
    <t xml:space="preserve">Scenario narrative: bull</t>
  </si>
  <si>
    <t xml:space="preserve">The combined ratio holds at 95-96%, investment yields stay above 5%, premium growth returns to 5% and the payout reaches 55%; ROE ~13.5% earns ~1.2x book.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</si>
  <si>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</si>
  <si>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</si>
  <si>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</si>
  <si>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</si>
  <si>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</si>
  <si>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</si>
  <si>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</si>
  <si>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</si>
  <si>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</si>
  <si>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</si>
  <si>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</si>
  <si>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</si>
  <si>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</si>
  <si>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</si>
  <si>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</si>
  <si>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</si>
  <si>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</si>
  <si>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</si>
  <si>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</si>
  <si>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</si>
  <si>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</si>
  <si>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</si>
  <si>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</si>
  <si>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</si>
  <si>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</si>
  <si>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</si>
  <si>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</si>
  <si>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CombinedOperatingRatio</t>
  </si>
  <si>
    <t xml:space="preserve">GrossInvestmentIncome</t>
  </si>
  <si>
    <t xml:space="preserve">GrossWrittenPremiums</t>
  </si>
  <si>
    <t xml:space="preserve">NetEarnedPremium</t>
  </si>
  <si>
    <t xml:space="preserve">UnderwritingIncome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</si>
  <si>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</si>
  <si>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</si>
  <si>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</si>
  <si>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</si>
  <si>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</si>
  <si>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</si>
  <si>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</si>
  <si>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</si>
  <si>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</si>
  <si>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</si>
  <si>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</si>
  <si>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</si>
  <si>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</si>
  <si>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</si>
  <si>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</si>
  <si>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</si>
  <si>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</si>
  <si>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</si>
  <si>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</si>
  <si>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</si>
  <si>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</si>
  <si>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</si>
  <si>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</si>
  <si>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</si>
  <si>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</si>
  <si>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</si>
  <si>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</si>
  <si>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</si>
  <si>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</si>
  <si>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</si>
  <si>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</si>
  <si>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</si>
  <si>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</si>
  <si>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</si>
  <si>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</si>
  <si>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</si>
  <si>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</si>
  <si>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</si>
  <si>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</si>
  <si>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</si>
  <si>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</si>
  <si>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</si>
  <si>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</si>
  <si>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</si>
  <si>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</si>
  <si>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2328.HK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</si>
  <si>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</si>
  <si>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</si>
  <si>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</si>
  <si>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</si>
  <si>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</si>
  <si>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</si>
  <si>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</si>
  <si>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</si>
  <si>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</si>
  <si>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</si>
  <si>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</si>
  <si>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</si>
  <si>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</si>
  <si>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</si>
  <si>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</si>
  <si>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</si>
  <si>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</si>
  <si>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</si>
  <si>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</si>
  <si>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</si>
  <si>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</si>
  <si>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</si>
  <si>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</si>
  <si>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</si>
  <si>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</si>
  <si>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</si>
  <si>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</si>
  <si>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</si>
  <si>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</si>
  <si>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</si>
  <si>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2328.HK owner-FCF component DCF: base case (millions, CNY)</t>
  </si>
  <si>
    <t xml:space="preserve">2328.HK owner-FCF component DCF: bull case (millions, CNY)</t>
  </si>
  <si>
    <t xml:space="preserve">2328.HK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</si>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</sst>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15.22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344124</v>
      </c>
      <c r="I2" s="0" t="n">
        <v>15485</v>
      </c>
      <c r="J2" s="0" t="n">
        <v>4.5</v>
      </c>
      <c r="K2" s="0" t="n">
        <v>0.696</v>
      </c>
      <c r="L2" s="0" t="n">
        <v>9879</v>
      </c>
      <c r="M2" s="0" t="n">
        <v>4177</v>
      </c>
      <c r="N2" s="0" t="n">
        <v>5702</v>
      </c>
      <c r="O2" s="0" t="n">
        <v>141495</v>
      </c>
      <c r="P2" s="0" t="n">
        <v>550619</v>
      </c>
      <c r="Q2" s="0" t="n">
        <v>409116</v>
      </c>
      <c r="R2" s="0" t="n">
        <v>23420</v>
      </c>
      <c r="S2" s="0" t="n">
        <v>33797</v>
      </c>
      <c r="T2" s="0" t="n">
        <v>22242</v>
      </c>
      <c r="AA2" s="0" t="s">
        <v>18</v>
      </c>
      <c r="AB2" s="0" t="s">
        <v>14</v>
      </c>
      <c r="AC2" s="0" t="n">
        <v>98.5</v>
      </c>
      <c r="AD2" s="0" t="n">
        <v>16635</v>
      </c>
      <c r="AE2" s="0" t="n">
        <v>388769</v>
      </c>
      <c r="AF2" s="0" t="n">
        <v>344124</v>
      </c>
      <c r="AG2" s="0" t="n">
        <v>5304</v>
      </c>
    </row>
    <row r="3" customFormat="false" ht="15" hidden="false" customHeight="false" outlineLevel="0" collapsed="false">
      <c r="A3" s="0" t="s">
        <v>70</v>
      </c>
      <c r="B3" s="0" t="n">
        <v>380683</v>
      </c>
      <c r="I3" s="0" t="n">
        <v>24282</v>
      </c>
      <c r="J3" s="0" t="n">
        <v>6.4</v>
      </c>
      <c r="K3" s="0" t="n">
        <v>1.092</v>
      </c>
      <c r="L3" s="0" t="n">
        <v>25845</v>
      </c>
      <c r="M3" s="0" t="n">
        <v>3813</v>
      </c>
      <c r="N3" s="0" t="n">
        <v>22032</v>
      </c>
      <c r="O3" s="0" t="n">
        <v>169953</v>
      </c>
      <c r="P3" s="0" t="n">
        <v>596081</v>
      </c>
      <c r="Q3" s="0" t="n">
        <v>426127</v>
      </c>
      <c r="R3" s="0" t="n">
        <v>15198</v>
      </c>
      <c r="S3" s="0" t="n">
        <v>32520</v>
      </c>
      <c r="T3" s="0" t="n">
        <v>22242</v>
      </c>
      <c r="AA3" s="0" t="s">
        <v>18</v>
      </c>
      <c r="AB3" s="0" t="s">
        <v>14</v>
      </c>
      <c r="AC3" s="0" t="n">
        <v>99.2</v>
      </c>
      <c r="AD3" s="0" t="n">
        <v>16986</v>
      </c>
      <c r="AE3" s="0" t="n">
        <v>433175</v>
      </c>
      <c r="AF3" s="0" t="n">
        <v>380683</v>
      </c>
      <c r="AG3" s="0" t="n">
        <v>3177</v>
      </c>
    </row>
    <row r="4" customFormat="false" ht="15" hidden="false" customHeight="false" outlineLevel="0" collapsed="false">
      <c r="A4" s="0" t="s">
        <v>71</v>
      </c>
      <c r="B4" s="0" t="n">
        <v>393127</v>
      </c>
      <c r="I4" s="0" t="n">
        <v>20868</v>
      </c>
      <c r="J4" s="0" t="n">
        <v>5.3</v>
      </c>
      <c r="K4" s="0" t="n">
        <v>0.938</v>
      </c>
      <c r="L4" s="0" t="n">
        <v>12811</v>
      </c>
      <c r="M4" s="0" t="n">
        <v>9780</v>
      </c>
      <c r="N4" s="0" t="n">
        <v>3031</v>
      </c>
      <c r="O4" s="0" t="n">
        <v>187513</v>
      </c>
      <c r="P4" s="0" t="n">
        <v>646801</v>
      </c>
      <c r="Q4" s="0" t="n">
        <v>456770</v>
      </c>
      <c r="R4" s="0" t="n">
        <v>23297</v>
      </c>
      <c r="S4" s="0" t="n">
        <v>26192</v>
      </c>
      <c r="T4" s="0" t="n">
        <v>22242</v>
      </c>
      <c r="AA4" s="0" t="s">
        <v>18</v>
      </c>
      <c r="AB4" s="0" t="s">
        <v>14</v>
      </c>
      <c r="AC4" s="0" t="n">
        <v>98.9</v>
      </c>
      <c r="AD4" s="0" t="n">
        <v>17709</v>
      </c>
      <c r="AE4" s="0" t="n">
        <v>433187</v>
      </c>
      <c r="AF4" s="0" t="n">
        <v>393127</v>
      </c>
      <c r="AG4" s="0" t="n">
        <v>4177</v>
      </c>
    </row>
    <row r="5" customFormat="false" ht="15" hidden="false" customHeight="false" outlineLevel="0" collapsed="false">
      <c r="A5" s="0" t="s">
        <v>72</v>
      </c>
      <c r="B5" s="0" t="n">
        <v>396997</v>
      </c>
      <c r="I5" s="0" t="n">
        <v>22360</v>
      </c>
      <c r="J5" s="0" t="n">
        <v>5.6</v>
      </c>
      <c r="K5" s="0" t="n">
        <v>1.005</v>
      </c>
      <c r="L5" s="0" t="n">
        <v>16336</v>
      </c>
      <c r="M5" s="0" t="n">
        <v>2417</v>
      </c>
      <c r="N5" s="0" t="n">
        <v>13919</v>
      </c>
      <c r="O5" s="0" t="n">
        <v>202887</v>
      </c>
      <c r="P5" s="0" t="n">
        <v>682622</v>
      </c>
      <c r="Q5" s="0" t="n">
        <v>476973</v>
      </c>
      <c r="R5" s="0" t="n">
        <v>8058</v>
      </c>
      <c r="S5" s="0" t="n">
        <v>17414</v>
      </c>
      <c r="T5" s="0" t="n">
        <v>22242</v>
      </c>
      <c r="AA5" s="0" t="s">
        <v>18</v>
      </c>
      <c r="AB5" s="0" t="s">
        <v>14</v>
      </c>
      <c r="AC5" s="0" t="n">
        <v>99.6</v>
      </c>
      <c r="AD5" s="0" t="n">
        <v>17996</v>
      </c>
      <c r="AE5" s="0" t="n">
        <v>449533</v>
      </c>
      <c r="AF5" s="0" t="n">
        <v>396997</v>
      </c>
      <c r="AG5" s="0" t="n">
        <v>1521</v>
      </c>
    </row>
    <row r="6" customFormat="false" ht="15" hidden="false" customHeight="false" outlineLevel="0" collapsed="false">
      <c r="A6" s="0" t="s">
        <v>73</v>
      </c>
      <c r="B6" s="0" t="n">
        <v>424355</v>
      </c>
      <c r="I6" s="0" t="n">
        <v>29163</v>
      </c>
      <c r="J6" s="0" t="n">
        <v>6.9</v>
      </c>
      <c r="K6" s="0" t="n">
        <v>1.311</v>
      </c>
      <c r="L6" s="0" t="n">
        <v>42710</v>
      </c>
      <c r="M6" s="0" t="n">
        <v>5563</v>
      </c>
      <c r="N6" s="0" t="n">
        <v>37147</v>
      </c>
      <c r="O6" s="0" t="n">
        <v>218713</v>
      </c>
      <c r="P6" s="0" t="n">
        <v>672462</v>
      </c>
      <c r="Q6" s="0" t="n">
        <v>450857</v>
      </c>
      <c r="R6" s="0" t="n">
        <v>8097</v>
      </c>
      <c r="S6" s="0" t="n">
        <v>21250</v>
      </c>
      <c r="T6" s="0" t="n">
        <v>22242</v>
      </c>
      <c r="AA6" s="0" t="s">
        <v>18</v>
      </c>
      <c r="AB6" s="0" t="s">
        <v>14</v>
      </c>
      <c r="AC6" s="0" t="n">
        <v>97.6</v>
      </c>
      <c r="AE6" s="0" t="n">
        <v>487533</v>
      </c>
    </row>
    <row r="7" customFormat="false" ht="15" hidden="false" customHeight="false" outlineLevel="0" collapsed="false">
      <c r="A7" s="0" t="s">
        <v>74</v>
      </c>
      <c r="B7" s="0" t="n">
        <v>457203</v>
      </c>
      <c r="I7" s="0" t="n">
        <v>24585</v>
      </c>
      <c r="J7" s="0" t="n">
        <v>5.4</v>
      </c>
      <c r="K7" s="0" t="n">
        <v>1.105</v>
      </c>
      <c r="L7" s="0" t="n">
        <v>20542</v>
      </c>
      <c r="M7" s="0" t="n">
        <v>2734</v>
      </c>
      <c r="N7" s="0" t="n">
        <v>17808</v>
      </c>
      <c r="O7" s="0" t="n">
        <v>231420</v>
      </c>
      <c r="P7" s="0" t="n">
        <v>703623</v>
      </c>
      <c r="Q7" s="0" t="n">
        <v>469319</v>
      </c>
      <c r="R7" s="0" t="n">
        <v>8365</v>
      </c>
      <c r="S7" s="0" t="n">
        <v>16526</v>
      </c>
      <c r="T7" s="0" t="n">
        <v>22242</v>
      </c>
      <c r="AA7" s="0" t="s">
        <v>18</v>
      </c>
      <c r="AB7" s="0" t="s">
        <v>14</v>
      </c>
      <c r="AC7" s="0" t="n">
        <v>97.8</v>
      </c>
      <c r="AG7" s="0" t="n">
        <v>10189</v>
      </c>
    </row>
    <row r="8" customFormat="false" ht="15" hidden="false" customHeight="false" outlineLevel="0" collapsed="false">
      <c r="A8" s="0" t="s">
        <v>75</v>
      </c>
      <c r="B8" s="0" t="n">
        <v>485223</v>
      </c>
      <c r="I8" s="0" t="n">
        <v>32173</v>
      </c>
      <c r="J8" s="0" t="n">
        <v>6.6</v>
      </c>
      <c r="K8" s="0" t="n">
        <v>1.446</v>
      </c>
      <c r="L8" s="0" t="n">
        <v>36464</v>
      </c>
      <c r="M8" s="0" t="n">
        <v>3182</v>
      </c>
      <c r="N8" s="0" t="n">
        <v>33282</v>
      </c>
      <c r="O8" s="0" t="n">
        <v>257924</v>
      </c>
      <c r="P8" s="0" t="n">
        <v>778244</v>
      </c>
      <c r="Q8" s="0" t="n">
        <v>517622</v>
      </c>
      <c r="R8" s="0" t="n">
        <v>20433</v>
      </c>
      <c r="S8" s="0" t="n">
        <v>19370</v>
      </c>
      <c r="T8" s="0" t="n">
        <v>22242</v>
      </c>
      <c r="AA8" s="0" t="s">
        <v>18</v>
      </c>
      <c r="AB8" s="0" t="s">
        <v>14</v>
      </c>
      <c r="AC8" s="0" t="n">
        <v>98.8</v>
      </c>
      <c r="AG8" s="0" t="n">
        <v>5713</v>
      </c>
    </row>
    <row r="9" customFormat="false" ht="15" hidden="false" customHeight="false" outlineLevel="0" collapsed="false">
      <c r="A9" s="0" t="s">
        <v>76</v>
      </c>
      <c r="B9" s="0" t="n">
        <v>511594</v>
      </c>
      <c r="I9" s="0" t="n">
        <v>40370</v>
      </c>
      <c r="J9" s="0" t="n">
        <v>7.9</v>
      </c>
      <c r="K9" s="0" t="n">
        <v>1.815</v>
      </c>
      <c r="L9" s="0" t="n">
        <v>43048</v>
      </c>
      <c r="M9" s="0" t="n">
        <v>3442</v>
      </c>
      <c r="N9" s="0" t="n">
        <v>39606</v>
      </c>
      <c r="O9" s="0" t="n">
        <v>285974</v>
      </c>
      <c r="P9" s="0" t="n">
        <v>860498</v>
      </c>
      <c r="Q9" s="0" t="n">
        <v>571795</v>
      </c>
      <c r="R9" s="0" t="n">
        <v>12076</v>
      </c>
      <c r="S9" s="0" t="n">
        <v>23273</v>
      </c>
      <c r="T9" s="0" t="n">
        <v>22242</v>
      </c>
      <c r="AA9" s="0" t="s">
        <v>18</v>
      </c>
      <c r="AB9" s="0" t="s">
        <v>14</v>
      </c>
      <c r="AC9" s="0" t="n">
        <v>97.5</v>
      </c>
      <c r="AG9" s="0" t="n">
        <v>12535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15.22</v>
      </c>
    </row>
    <row r="3" customFormat="false" ht="15" hidden="false" customHeight="false" outlineLevel="0" collapsed="false">
      <c r="A3" s="0" t="s">
        <v>80</v>
      </c>
      <c r="B3" s="3" t="n">
        <v>22242</v>
      </c>
    </row>
    <row r="4" customFormat="false" ht="15" hidden="false" customHeight="false" outlineLevel="0" collapsed="false">
      <c r="A4" s="0" t="s">
        <v>81</v>
      </c>
      <c r="B4" s="3" t="n">
        <v>0</v>
      </c>
    </row>
    <row r="5" customFormat="false" ht="15" hidden="false" customHeight="false" outlineLevel="0" collapsed="false">
      <c r="A5" s="0" t="s">
        <v>82</v>
      </c>
      <c r="B5" s="3" t="n">
        <v>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511594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1.1758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1</v>
      </c>
      <c r="D13" s="3" t="n">
        <v>1</v>
      </c>
      <c r="E13" s="3" t="n">
        <v>2</v>
      </c>
      <c r="F13" s="3" t="n">
        <v>2.5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101</v>
      </c>
      <c r="C14" s="3" t="n">
        <v>9.2</v>
      </c>
      <c r="D14" s="3" t="n">
        <v>6</v>
      </c>
      <c r="E14" s="3" t="n">
        <v>6</v>
      </c>
      <c r="F14" s="3" t="n">
        <v>6.2</v>
      </c>
      <c r="G14" s="3" t="n">
        <v>6.4</v>
      </c>
      <c r="H14" s="3" t="n">
        <v>6.5</v>
      </c>
      <c r="I14" s="3" t="n">
        <v>6.5</v>
      </c>
      <c r="J14" s="3" t="n">
        <v>6.5</v>
      </c>
      <c r="K14" s="3" t="n">
        <v>6.5</v>
      </c>
      <c r="L14" s="3" t="n">
        <v>6.5</v>
      </c>
    </row>
    <row r="15" customFormat="false" ht="15" hidden="false" customHeight="false" outlineLevel="0" collapsed="false">
      <c r="A15" s="0" t="s">
        <v>102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105</v>
      </c>
      <c r="C18" s="3" t="n">
        <v>4.92</v>
      </c>
      <c r="D18" s="3" t="n">
        <v>3.26</v>
      </c>
      <c r="E18" s="3" t="n">
        <v>3.26</v>
      </c>
      <c r="F18" s="3" t="n">
        <v>3.37</v>
      </c>
      <c r="G18" s="3" t="n">
        <v>3.47</v>
      </c>
      <c r="H18" s="3" t="n">
        <v>3.53</v>
      </c>
      <c r="I18" s="3" t="n">
        <v>3.53</v>
      </c>
      <c r="J18" s="3" t="n">
        <v>3.53</v>
      </c>
      <c r="K18" s="3" t="n">
        <v>3.53</v>
      </c>
      <c r="L18" s="3" t="n">
        <v>3.53</v>
      </c>
    </row>
    <row r="19" customFormat="false" ht="15" hidden="false" customHeight="false" outlineLevel="0" collapsed="false">
      <c r="A19" s="0" t="s">
        <v>106</v>
      </c>
      <c r="C19" s="3" t="n">
        <v>16.5</v>
      </c>
      <c r="D19" s="3" t="n">
        <v>16.5</v>
      </c>
      <c r="E19" s="3" t="n">
        <v>16.5</v>
      </c>
      <c r="F19" s="3" t="n">
        <v>16.5</v>
      </c>
      <c r="G19" s="3" t="n">
        <v>16.5</v>
      </c>
      <c r="H19" s="3" t="n">
        <v>16.5</v>
      </c>
      <c r="I19" s="3" t="n">
        <v>16.5</v>
      </c>
      <c r="J19" s="3" t="n">
        <v>16.5</v>
      </c>
      <c r="K19" s="3" t="n">
        <v>16.5</v>
      </c>
      <c r="L19" s="3" t="n">
        <v>16.5</v>
      </c>
    </row>
    <row r="20" customFormat="false" ht="15" hidden="false" customHeight="false" outlineLevel="0" collapsed="false">
      <c r="A20" s="0" t="s">
        <v>107</v>
      </c>
      <c r="B20" s="3" t="n">
        <v>9.5</v>
      </c>
    </row>
    <row r="21" customFormat="false" ht="15" hidden="false" customHeight="false" outlineLevel="0" collapsed="false">
      <c r="A21" s="0" t="s">
        <v>108</v>
      </c>
      <c r="B21" s="3" t="n">
        <v>2.5</v>
      </c>
    </row>
    <row r="22" customFormat="false" ht="15" hidden="false" customHeight="false" outlineLevel="0" collapsed="false">
      <c r="A22" s="0" t="s">
        <v>109</v>
      </c>
      <c r="B22" s="3" t="n">
        <v>11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2</v>
      </c>
      <c r="D27" s="3" t="n">
        <v>3</v>
      </c>
      <c r="E27" s="3" t="n">
        <v>4</v>
      </c>
      <c r="F27" s="3" t="n">
        <v>4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101</v>
      </c>
      <c r="C28" s="3" t="n">
        <v>10.9</v>
      </c>
      <c r="D28" s="3" t="n">
        <v>8.8</v>
      </c>
      <c r="E28" s="3" t="n">
        <v>8.8</v>
      </c>
      <c r="F28" s="3" t="n">
        <v>8.9</v>
      </c>
      <c r="G28" s="3" t="n">
        <v>9</v>
      </c>
      <c r="H28" s="3" t="n">
        <v>9</v>
      </c>
      <c r="I28" s="3" t="n">
        <v>9</v>
      </c>
      <c r="J28" s="3" t="n">
        <v>9</v>
      </c>
      <c r="K28" s="3" t="n">
        <v>9</v>
      </c>
      <c r="L28" s="3" t="n">
        <v>9</v>
      </c>
    </row>
    <row r="29" customFormat="false" ht="15" hidden="false" customHeight="false" outlineLevel="0" collapsed="false">
      <c r="A29" s="0" t="s">
        <v>102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105</v>
      </c>
      <c r="C32" s="3" t="n">
        <v>5.68</v>
      </c>
      <c r="D32" s="3" t="n">
        <v>4.44</v>
      </c>
      <c r="E32" s="3" t="n">
        <v>4.36</v>
      </c>
      <c r="F32" s="3" t="n">
        <v>4.34</v>
      </c>
      <c r="G32" s="3" t="n">
        <v>4.31</v>
      </c>
      <c r="H32" s="3" t="n">
        <v>4.23</v>
      </c>
      <c r="I32" s="3" t="n">
        <v>4.08</v>
      </c>
      <c r="J32" s="3" t="n">
        <v>3.93</v>
      </c>
      <c r="K32" s="3" t="n">
        <v>3.78</v>
      </c>
      <c r="L32" s="3" t="n">
        <v>3.78</v>
      </c>
    </row>
    <row r="33" customFormat="false" ht="15" hidden="false" customHeight="false" outlineLevel="0" collapsed="false">
      <c r="A33" s="0" t="s">
        <v>106</v>
      </c>
      <c r="C33" s="3" t="n">
        <v>16</v>
      </c>
      <c r="D33" s="3" t="n">
        <v>16</v>
      </c>
      <c r="E33" s="3" t="n">
        <v>16</v>
      </c>
      <c r="F33" s="3" t="n">
        <v>16</v>
      </c>
      <c r="G33" s="3" t="n">
        <v>16</v>
      </c>
      <c r="H33" s="3" t="n">
        <v>16</v>
      </c>
      <c r="I33" s="3" t="n">
        <v>16</v>
      </c>
      <c r="J33" s="3" t="n">
        <v>16</v>
      </c>
      <c r="K33" s="3" t="n">
        <v>16</v>
      </c>
      <c r="L33" s="3" t="n">
        <v>16</v>
      </c>
    </row>
    <row r="34" customFormat="false" ht="15" hidden="false" customHeight="false" outlineLevel="0" collapsed="false">
      <c r="A34" s="0" t="s">
        <v>107</v>
      </c>
      <c r="B34" s="3" t="n">
        <v>9.5</v>
      </c>
    </row>
    <row r="35" customFormat="false" ht="15" hidden="false" customHeight="false" outlineLevel="0" collapsed="false">
      <c r="A35" s="0" t="s">
        <v>108</v>
      </c>
      <c r="B35" s="3" t="n">
        <v>3</v>
      </c>
    </row>
    <row r="36" customFormat="false" ht="15" hidden="false" customHeight="false" outlineLevel="0" collapsed="false">
      <c r="A36" s="0" t="s">
        <v>109</v>
      </c>
      <c r="B36" s="3" t="n">
        <v>16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3</v>
      </c>
      <c r="D41" s="3" t="n">
        <v>4.5</v>
      </c>
      <c r="E41" s="3" t="n">
        <v>5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101</v>
      </c>
      <c r="C42" s="3" t="n">
        <v>11.8</v>
      </c>
      <c r="D42" s="3" t="n">
        <v>10</v>
      </c>
      <c r="E42" s="3" t="n">
        <v>10</v>
      </c>
      <c r="F42" s="3" t="n">
        <v>10.1</v>
      </c>
      <c r="G42" s="3" t="n">
        <v>10.2</v>
      </c>
      <c r="H42" s="3" t="n">
        <v>10.2</v>
      </c>
      <c r="I42" s="3" t="n">
        <v>10.2</v>
      </c>
      <c r="J42" s="3" t="n">
        <v>10.2</v>
      </c>
      <c r="K42" s="3" t="n">
        <v>10.2</v>
      </c>
      <c r="L42" s="3" t="n">
        <v>10.2</v>
      </c>
    </row>
    <row r="43" customFormat="false" ht="15" hidden="false" customHeight="false" outlineLevel="0" collapsed="false">
      <c r="A43" s="0" t="s">
        <v>102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105</v>
      </c>
      <c r="C46" s="3" t="n">
        <v>6.15</v>
      </c>
      <c r="D46" s="3" t="n">
        <v>4.96</v>
      </c>
      <c r="E46" s="3" t="n">
        <v>4.79</v>
      </c>
      <c r="F46" s="3" t="n">
        <v>4.67</v>
      </c>
      <c r="G46" s="3" t="n">
        <v>4.54</v>
      </c>
      <c r="H46" s="3" t="n">
        <v>4.37</v>
      </c>
      <c r="I46" s="3" t="n">
        <v>4.2</v>
      </c>
      <c r="J46" s="3" t="n">
        <v>4.03</v>
      </c>
      <c r="K46" s="3" t="n">
        <v>3.86</v>
      </c>
      <c r="L46" s="3" t="n">
        <v>3.86</v>
      </c>
    </row>
    <row r="47" customFormat="false" ht="15" hidden="false" customHeight="false" outlineLevel="0" collapsed="false">
      <c r="A47" s="0" t="s">
        <v>106</v>
      </c>
      <c r="C47" s="3" t="n">
        <v>16</v>
      </c>
      <c r="D47" s="3" t="n">
        <v>16</v>
      </c>
      <c r="E47" s="3" t="n">
        <v>16</v>
      </c>
      <c r="F47" s="3" t="n">
        <v>16</v>
      </c>
      <c r="G47" s="3" t="n">
        <v>16</v>
      </c>
      <c r="H47" s="3" t="n">
        <v>16</v>
      </c>
      <c r="I47" s="3" t="n">
        <v>16</v>
      </c>
      <c r="J47" s="3" t="n">
        <v>16</v>
      </c>
      <c r="K47" s="3" t="n">
        <v>16</v>
      </c>
      <c r="L47" s="3" t="n">
        <v>16</v>
      </c>
    </row>
    <row r="48" customFormat="false" ht="15" hidden="false" customHeight="false" outlineLevel="0" collapsed="false">
      <c r="A48" s="0" t="s">
        <v>107</v>
      </c>
      <c r="B48" s="3" t="n">
        <v>9.5</v>
      </c>
    </row>
    <row r="49" customFormat="false" ht="15" hidden="false" customHeight="false" outlineLevel="0" collapsed="false">
      <c r="A49" s="0" t="s">
        <v>108</v>
      </c>
      <c r="B49" s="3" t="n">
        <v>3.5</v>
      </c>
    </row>
    <row r="50" customFormat="false" ht="15" hidden="false" customHeight="false" outlineLevel="0" collapsed="false">
      <c r="A50" s="0" t="s">
        <v>109</v>
      </c>
      <c r="B50" s="3" t="n">
        <v>18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1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511594</v>
      </c>
      <c r="C6" s="0" t="n">
        <f aca="false">B6*(1+C5/100)</f>
        <v>516709.94</v>
      </c>
      <c r="D6" s="0" t="n">
        <f aca="false">C6*(1+D5/100)</f>
        <v>521877.0394</v>
      </c>
      <c r="E6" s="0" t="n">
        <f aca="false">D6*(1+E5/100)</f>
        <v>532314.580188</v>
      </c>
      <c r="F6" s="0" t="n">
        <f aca="false">E6*(1+F5/100)</f>
        <v>545622.4446927</v>
      </c>
      <c r="G6" s="0" t="n">
        <f aca="false">F6*(1+G5/100)</f>
        <v>561991.118033481</v>
      </c>
      <c r="H6" s="0" t="n">
        <f aca="false">G6*(1+H5/100)</f>
        <v>578850.851574485</v>
      </c>
      <c r="I6" s="0" t="n">
        <f aca="false">H6*(1+I5/100)</f>
        <v>596216.37712172</v>
      </c>
      <c r="J6" s="0" t="n">
        <f aca="false">I6*(1+J5/100)</f>
        <v>611121.786549763</v>
      </c>
      <c r="K6" s="0" t="n">
        <f aca="false">J6*(1+K5/100)</f>
        <v>626399.831213507</v>
      </c>
      <c r="L6" s="0" t="n">
        <f aca="false">K6*(1+L5/100)</f>
        <v>642059.826993845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9.2</v>
      </c>
      <c r="D7" s="4" t="n">
        <f aca="false">Assumptions!D14</f>
        <v>6</v>
      </c>
      <c r="E7" s="4" t="n">
        <f aca="false">Assumptions!E14</f>
        <v>6</v>
      </c>
      <c r="F7" s="4" t="n">
        <f aca="false">Assumptions!F14</f>
        <v>6.2</v>
      </c>
      <c r="G7" s="4" t="n">
        <f aca="false">Assumptions!G14</f>
        <v>6.4</v>
      </c>
      <c r="H7" s="4" t="n">
        <f aca="false">Assumptions!H14</f>
        <v>6.5</v>
      </c>
      <c r="I7" s="4" t="n">
        <f aca="false">Assumptions!I14</f>
        <v>6.5</v>
      </c>
      <c r="J7" s="4" t="n">
        <f aca="false">Assumptions!J14</f>
        <v>6.5</v>
      </c>
      <c r="K7" s="4" t="n">
        <f aca="false">Assumptions!K14</f>
        <v>6.5</v>
      </c>
      <c r="L7" s="4" t="n">
        <f aca="false">Assumptions!L14</f>
        <v>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47537.31448</v>
      </c>
      <c r="D8" s="0" t="n">
        <f aca="false">D6*D7/100</f>
        <v>31312.622364</v>
      </c>
      <c r="E8" s="0" t="n">
        <f aca="false">E6*E7/100</f>
        <v>31938.87481128</v>
      </c>
      <c r="F8" s="0" t="n">
        <f aca="false">F6*F7/100</f>
        <v>33828.5915709474</v>
      </c>
      <c r="G8" s="0" t="n">
        <f aca="false">G6*G7/100</f>
        <v>35967.4315541428</v>
      </c>
      <c r="H8" s="0" t="n">
        <f aca="false">H6*H7/100</f>
        <v>37625.3053523416</v>
      </c>
      <c r="I8" s="0" t="n">
        <f aca="false">I6*I7/100</f>
        <v>38754.0645129118</v>
      </c>
      <c r="J8" s="0" t="n">
        <f aca="false">J6*J7/100</f>
        <v>39722.9161257346</v>
      </c>
      <c r="K8" s="0" t="n">
        <f aca="false">K6*K7/100</f>
        <v>40715.989028878</v>
      </c>
      <c r="L8" s="0" t="n">
        <f aca="false">L6*L7/100</f>
        <v>41733.8887545999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47537.31448</v>
      </c>
      <c r="D11" s="0" t="n">
        <f aca="false">D8+D10+D24</f>
        <v>31312.622364</v>
      </c>
      <c r="E11" s="0" t="n">
        <f aca="false">E8+E10+E24</f>
        <v>31938.87481128</v>
      </c>
      <c r="F11" s="0" t="n">
        <f aca="false">F8+F10+F24</f>
        <v>33828.5915709474</v>
      </c>
      <c r="G11" s="0" t="n">
        <f aca="false">G8+G10+G24</f>
        <v>35967.4315541428</v>
      </c>
      <c r="H11" s="0" t="n">
        <f aca="false">H8+H10+H24</f>
        <v>37625.3053523416</v>
      </c>
      <c r="I11" s="0" t="n">
        <f aca="false">I8+I10+I24</f>
        <v>38754.0645129118</v>
      </c>
      <c r="J11" s="0" t="n">
        <f aca="false">J8+J10+J24</f>
        <v>39722.9161257346</v>
      </c>
      <c r="K11" s="0" t="n">
        <f aca="false">K8+K10+K24</f>
        <v>40715.989028878</v>
      </c>
      <c r="L11" s="0" t="n">
        <f aca="false">L8+L10+L24</f>
        <v>41733.8887545999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47537.31448</v>
      </c>
      <c r="D13" s="0" t="n">
        <f aca="false">D11+D12</f>
        <v>31312.622364</v>
      </c>
      <c r="E13" s="0" t="n">
        <f aca="false">E11+E12</f>
        <v>31938.87481128</v>
      </c>
      <c r="F13" s="0" t="n">
        <f aca="false">F11+F12</f>
        <v>33828.5915709474</v>
      </c>
      <c r="G13" s="0" t="n">
        <f aca="false">G11+G12</f>
        <v>35967.4315541428</v>
      </c>
      <c r="H13" s="0" t="n">
        <f aca="false">H11+H12</f>
        <v>37625.3053523416</v>
      </c>
      <c r="I13" s="0" t="n">
        <f aca="false">I11+I12</f>
        <v>38754.0645129118</v>
      </c>
      <c r="J13" s="0" t="n">
        <f aca="false">J11+J12</f>
        <v>39722.9161257346</v>
      </c>
      <c r="K13" s="0" t="n">
        <f aca="false">K11+K12</f>
        <v>40715.989028878</v>
      </c>
      <c r="L13" s="0" t="n">
        <f aca="false">L11+L12</f>
        <v>41733.8887545999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16.5</v>
      </c>
      <c r="D14" s="4" t="n">
        <f aca="false">Assumptions!D19</f>
        <v>16.5</v>
      </c>
      <c r="E14" s="4" t="n">
        <f aca="false">Assumptions!E19</f>
        <v>16.5</v>
      </c>
      <c r="F14" s="4" t="n">
        <f aca="false">Assumptions!F19</f>
        <v>16.5</v>
      </c>
      <c r="G14" s="4" t="n">
        <f aca="false">Assumptions!G19</f>
        <v>16.5</v>
      </c>
      <c r="H14" s="4" t="n">
        <f aca="false">Assumptions!H19</f>
        <v>16.5</v>
      </c>
      <c r="I14" s="4" t="n">
        <f aca="false">Assumptions!I19</f>
        <v>16.5</v>
      </c>
      <c r="J14" s="4" t="n">
        <f aca="false">Assumptions!J19</f>
        <v>16.5</v>
      </c>
      <c r="K14" s="4" t="n">
        <f aca="false">Assumptions!K19</f>
        <v>16.5</v>
      </c>
      <c r="L14" s="4" t="n">
        <f aca="false">Assumptions!L19</f>
        <v>16.5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39693.6575908</v>
      </c>
      <c r="D15" s="0" t="n">
        <f aca="false">D13-MAX(0,D13)*D14/100</f>
        <v>26146.03967394</v>
      </c>
      <c r="E15" s="0" t="n">
        <f aca="false">E13-MAX(0,E13)*E14/100</f>
        <v>26668.9604674188</v>
      </c>
      <c r="F15" s="0" t="n">
        <f aca="false">F13-MAX(0,F13)*F14/100</f>
        <v>28246.8739617411</v>
      </c>
      <c r="G15" s="0" t="n">
        <f aca="false">G13-MAX(0,G13)*G14/100</f>
        <v>30032.8053477092</v>
      </c>
      <c r="H15" s="0" t="n">
        <f aca="false">H13-MAX(0,H13)*H14/100</f>
        <v>31417.1299692052</v>
      </c>
      <c r="I15" s="0" t="n">
        <f aca="false">I13-MAX(0,I13)*I14/100</f>
        <v>32359.6438682814</v>
      </c>
      <c r="J15" s="0" t="n">
        <f aca="false">J13-MAX(0,J13)*J14/100</f>
        <v>33168.6349649884</v>
      </c>
      <c r="K15" s="0" t="n">
        <f aca="false">K13-MAX(0,K13)*K14/100</f>
        <v>33997.8508391131</v>
      </c>
      <c r="L15" s="0" t="n">
        <f aca="false">L13-MAX(0,L13)*L14/100</f>
        <v>34847.7971100909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-25422.129048</v>
      </c>
      <c r="D17" s="4" t="n">
        <f aca="false">-D6*Assumptions!D18/100</f>
        <v>-17013.19148444</v>
      </c>
      <c r="E17" s="4" t="n">
        <f aca="false">-E6*Assumptions!E18/100</f>
        <v>-17353.4553141288</v>
      </c>
      <c r="F17" s="4" t="n">
        <f aca="false">-F6*Assumptions!F18/100</f>
        <v>-18387.476386144</v>
      </c>
      <c r="G17" s="4" t="n">
        <f aca="false">-G6*Assumptions!G18/100</f>
        <v>-19501.0917957618</v>
      </c>
      <c r="H17" s="4" t="n">
        <f aca="false">-H6*Assumptions!H18/100</f>
        <v>-20433.4350605793</v>
      </c>
      <c r="I17" s="4" t="n">
        <f aca="false">-I6*Assumptions!I18/100</f>
        <v>-21046.4381123967</v>
      </c>
      <c r="J17" s="4" t="n">
        <f aca="false">-J6*Assumptions!J18/100</f>
        <v>-21572.5990652066</v>
      </c>
      <c r="K17" s="4" t="n">
        <f aca="false">-K6*Assumptions!K18/100</f>
        <v>-22111.9140418368</v>
      </c>
      <c r="L17" s="4" t="n">
        <f aca="false">-L6*Assumptions!L18/100</f>
        <v>-22664.7118928827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14271.5285428</v>
      </c>
      <c r="D19" s="0" t="n">
        <f aca="false">D15+D16+D17+D18</f>
        <v>9132.8481895</v>
      </c>
      <c r="E19" s="0" t="n">
        <f aca="false">E15+E16+E17+E18</f>
        <v>9315.50515329</v>
      </c>
      <c r="F19" s="0" t="n">
        <f aca="false">F15+F16+F17+F18</f>
        <v>9859.39757559709</v>
      </c>
      <c r="G19" s="0" t="n">
        <f aca="false">G15+G16+G17+G18</f>
        <v>10531.7135519474</v>
      </c>
      <c r="H19" s="0" t="n">
        <f aca="false">H15+H16+H17+H18</f>
        <v>10983.6949086259</v>
      </c>
      <c r="I19" s="0" t="n">
        <f aca="false">I15+I16+I17+I18</f>
        <v>11313.2057558846</v>
      </c>
      <c r="J19" s="0" t="n">
        <f aca="false">J15+J16+J17+J18</f>
        <v>11596.0358997818</v>
      </c>
      <c r="K19" s="0" t="n">
        <f aca="false">K15+K16+K17+K18</f>
        <v>11885.9367972763</v>
      </c>
      <c r="L19" s="0" t="n">
        <f aca="false">L15+L16+L17+L18</f>
        <v>12183.0852172082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13033.3593998174</v>
      </c>
      <c r="D21" s="0" t="n">
        <f aca="false">D19*D20</f>
        <v>7616.89555221951</v>
      </c>
      <c r="E21" s="0" t="n">
        <f aca="false">E19*E20</f>
        <v>7095.19037740996</v>
      </c>
      <c r="F21" s="0" t="n">
        <f aca="false">F19*F20</f>
        <v>6857.94350282024</v>
      </c>
      <c r="G21" s="0" t="n">
        <f aca="false">G19*G20</f>
        <v>6690.03581102091</v>
      </c>
      <c r="H21" s="0" t="n">
        <f aca="false">H19*H20</f>
        <v>6371.82362828737</v>
      </c>
      <c r="I21" s="0" t="n">
        <f aca="false">I19*I20</f>
        <v>5993.58752249863</v>
      </c>
      <c r="J21" s="0" t="n">
        <f aca="false">J19*J20</f>
        <v>5610.43580873159</v>
      </c>
      <c r="K21" s="0" t="n">
        <f aca="false">K19*K20</f>
        <v>5251.77781182638</v>
      </c>
      <c r="L21" s="0" t="n">
        <f aca="false">L19*L20</f>
        <v>4916.04772339912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69437.0971380311</v>
      </c>
    </row>
    <row r="31" customFormat="false" ht="15" hidden="false" customHeight="false" outlineLevel="0" collapsed="false">
      <c r="A31" s="0" t="s">
        <v>131</v>
      </c>
      <c r="B31" s="0" t="n">
        <f aca="false">L19</f>
        <v>12183.0852172082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178395.176394834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134013.93738929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134013.93738929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54076.5249573903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123513.622095421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123513.622095421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6.52941807660267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-0.570997498252124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6.52941807660267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99901.2987811073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4.23920117018988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2</v>
      </c>
      <c r="D5" s="4" t="n">
        <f aca="false">Assumptions!D27</f>
        <v>3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511594</v>
      </c>
      <c r="C6" s="0" t="n">
        <f aca="false">B6*(1+C5/100)</f>
        <v>521825.88</v>
      </c>
      <c r="D6" s="0" t="n">
        <f aca="false">C6*(1+D5/100)</f>
        <v>537480.6564</v>
      </c>
      <c r="E6" s="0" t="n">
        <f aca="false">D6*(1+E5/100)</f>
        <v>558979.882656</v>
      </c>
      <c r="F6" s="0" t="n">
        <f aca="false">E6*(1+F5/100)</f>
        <v>581339.07796224</v>
      </c>
      <c r="G6" s="0" t="n">
        <f aca="false">F6*(1+G5/100)</f>
        <v>604592.64108073</v>
      </c>
      <c r="H6" s="0" t="n">
        <f aca="false">G6*(1+H5/100)</f>
        <v>628776.346723959</v>
      </c>
      <c r="I6" s="0" t="n">
        <f aca="false">H6*(1+I5/100)</f>
        <v>650783.518859297</v>
      </c>
      <c r="J6" s="0" t="n">
        <f aca="false">I6*(1+J5/100)</f>
        <v>673560.942019373</v>
      </c>
      <c r="K6" s="0" t="n">
        <f aca="false">J6*(1+K5/100)</f>
        <v>693767.770279954</v>
      </c>
      <c r="L6" s="0" t="n">
        <f aca="false">K6*(1+L5/100)</f>
        <v>714580.803388353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10.9</v>
      </c>
      <c r="D7" s="4" t="n">
        <f aca="false">Assumptions!D28</f>
        <v>8.8</v>
      </c>
      <c r="E7" s="4" t="n">
        <f aca="false">Assumptions!E28</f>
        <v>8.8</v>
      </c>
      <c r="F7" s="4" t="n">
        <f aca="false">Assumptions!F28</f>
        <v>8.9</v>
      </c>
      <c r="G7" s="4" t="n">
        <f aca="false">Assumptions!G28</f>
        <v>9</v>
      </c>
      <c r="H7" s="4" t="n">
        <f aca="false">Assumptions!H28</f>
        <v>9</v>
      </c>
      <c r="I7" s="4" t="n">
        <f aca="false">Assumptions!I28</f>
        <v>9</v>
      </c>
      <c r="J7" s="4" t="n">
        <f aca="false">Assumptions!J28</f>
        <v>9</v>
      </c>
      <c r="K7" s="4" t="n">
        <f aca="false">Assumptions!K28</f>
        <v>9</v>
      </c>
      <c r="L7" s="4" t="n">
        <f aca="false">Assumptions!L28</f>
        <v>9</v>
      </c>
    </row>
    <row r="8" customFormat="false" ht="15" hidden="false" customHeight="false" outlineLevel="0" collapsed="false">
      <c r="A8" s="0" t="s">
        <v>44</v>
      </c>
      <c r="C8" s="0" t="n">
        <f aca="false">C6*C7/100</f>
        <v>56879.02092</v>
      </c>
      <c r="D8" s="0" t="n">
        <f aca="false">D6*D7/100</f>
        <v>47298.2977632</v>
      </c>
      <c r="E8" s="0" t="n">
        <f aca="false">E6*E7/100</f>
        <v>49190.229673728</v>
      </c>
      <c r="F8" s="0" t="n">
        <f aca="false">F6*F7/100</f>
        <v>51739.1779386394</v>
      </c>
      <c r="G8" s="0" t="n">
        <f aca="false">G6*G7/100</f>
        <v>54413.3376972657</v>
      </c>
      <c r="H8" s="0" t="n">
        <f aca="false">H6*H7/100</f>
        <v>56589.8712051563</v>
      </c>
      <c r="I8" s="0" t="n">
        <f aca="false">I6*I7/100</f>
        <v>58570.5166973368</v>
      </c>
      <c r="J8" s="0" t="n">
        <f aca="false">J6*J7/100</f>
        <v>60620.4847817435</v>
      </c>
      <c r="K8" s="0" t="n">
        <f aca="false">K6*K7/100</f>
        <v>62439.0993251959</v>
      </c>
      <c r="L8" s="0" t="n">
        <f aca="false">L6*L7/100</f>
        <v>64312.2723049517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56879.02092</v>
      </c>
      <c r="D11" s="0" t="n">
        <f aca="false">D8+D10+D24</f>
        <v>47298.2977632</v>
      </c>
      <c r="E11" s="0" t="n">
        <f aca="false">E8+E10+E24</f>
        <v>49190.229673728</v>
      </c>
      <c r="F11" s="0" t="n">
        <f aca="false">F8+F10+F24</f>
        <v>51739.1779386394</v>
      </c>
      <c r="G11" s="0" t="n">
        <f aca="false">G8+G10+G24</f>
        <v>54413.3376972657</v>
      </c>
      <c r="H11" s="0" t="n">
        <f aca="false">H8+H10+H24</f>
        <v>56589.8712051563</v>
      </c>
      <c r="I11" s="0" t="n">
        <f aca="false">I8+I10+I24</f>
        <v>58570.5166973368</v>
      </c>
      <c r="J11" s="0" t="n">
        <f aca="false">J8+J10+J24</f>
        <v>60620.4847817435</v>
      </c>
      <c r="K11" s="0" t="n">
        <f aca="false">K8+K10+K24</f>
        <v>62439.0993251959</v>
      </c>
      <c r="L11" s="0" t="n">
        <f aca="false">L8+L10+L24</f>
        <v>64312.2723049517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56879.02092</v>
      </c>
      <c r="D13" s="0" t="n">
        <f aca="false">D11+D12</f>
        <v>47298.2977632</v>
      </c>
      <c r="E13" s="0" t="n">
        <f aca="false">E11+E12</f>
        <v>49190.229673728</v>
      </c>
      <c r="F13" s="0" t="n">
        <f aca="false">F11+F12</f>
        <v>51739.1779386394</v>
      </c>
      <c r="G13" s="0" t="n">
        <f aca="false">G11+G12</f>
        <v>54413.3376972657</v>
      </c>
      <c r="H13" s="0" t="n">
        <f aca="false">H11+H12</f>
        <v>56589.8712051563</v>
      </c>
      <c r="I13" s="0" t="n">
        <f aca="false">I11+I12</f>
        <v>58570.5166973368</v>
      </c>
      <c r="J13" s="0" t="n">
        <f aca="false">J11+J12</f>
        <v>60620.4847817435</v>
      </c>
      <c r="K13" s="0" t="n">
        <f aca="false">K11+K12</f>
        <v>62439.0993251959</v>
      </c>
      <c r="L13" s="0" t="n">
        <f aca="false">L11+L12</f>
        <v>64312.2723049517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16</v>
      </c>
      <c r="D14" s="4" t="n">
        <f aca="false">Assumptions!D33</f>
        <v>16</v>
      </c>
      <c r="E14" s="4" t="n">
        <f aca="false">Assumptions!E33</f>
        <v>16</v>
      </c>
      <c r="F14" s="4" t="n">
        <f aca="false">Assumptions!F33</f>
        <v>16</v>
      </c>
      <c r="G14" s="4" t="n">
        <f aca="false">Assumptions!G33</f>
        <v>16</v>
      </c>
      <c r="H14" s="4" t="n">
        <f aca="false">Assumptions!H33</f>
        <v>16</v>
      </c>
      <c r="I14" s="4" t="n">
        <f aca="false">Assumptions!I33</f>
        <v>16</v>
      </c>
      <c r="J14" s="4" t="n">
        <f aca="false">Assumptions!J33</f>
        <v>16</v>
      </c>
      <c r="K14" s="4" t="n">
        <f aca="false">Assumptions!K33</f>
        <v>16</v>
      </c>
      <c r="L14" s="4" t="n">
        <f aca="false">Assumptions!L33</f>
        <v>16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47778.3775728</v>
      </c>
      <c r="D15" s="0" t="n">
        <f aca="false">D13-MAX(0,D13)*D14/100</f>
        <v>39730.570121088</v>
      </c>
      <c r="E15" s="0" t="n">
        <f aca="false">E13-MAX(0,E13)*E14/100</f>
        <v>41319.7929259315</v>
      </c>
      <c r="F15" s="0" t="n">
        <f aca="false">F13-MAX(0,F13)*F14/100</f>
        <v>43460.9094684571</v>
      </c>
      <c r="G15" s="0" t="n">
        <f aca="false">G13-MAX(0,G13)*G14/100</f>
        <v>45707.2036657032</v>
      </c>
      <c r="H15" s="0" t="n">
        <f aca="false">H13-MAX(0,H13)*H14/100</f>
        <v>47535.4918123313</v>
      </c>
      <c r="I15" s="0" t="n">
        <f aca="false">I13-MAX(0,I13)*I14/100</f>
        <v>49199.2340257629</v>
      </c>
      <c r="J15" s="0" t="n">
        <f aca="false">J13-MAX(0,J13)*J14/100</f>
        <v>50921.2072166646</v>
      </c>
      <c r="K15" s="0" t="n">
        <f aca="false">K13-MAX(0,K13)*K14/100</f>
        <v>52448.8434331645</v>
      </c>
      <c r="L15" s="0" t="n">
        <f aca="false">L13-MAX(0,L13)*L14/100</f>
        <v>54022.3087361594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-29639.709984</v>
      </c>
      <c r="D17" s="4" t="n">
        <f aca="false">-D6*Assumptions!D32/100</f>
        <v>-23864.14114416</v>
      </c>
      <c r="E17" s="4" t="n">
        <f aca="false">-E6*Assumptions!E32/100</f>
        <v>-24371.5228838016</v>
      </c>
      <c r="F17" s="4" t="n">
        <f aca="false">-F6*Assumptions!F32/100</f>
        <v>-25230.1159835612</v>
      </c>
      <c r="G17" s="4" t="n">
        <f aca="false">-G6*Assumptions!G32/100</f>
        <v>-26057.9428305794</v>
      </c>
      <c r="H17" s="4" t="n">
        <f aca="false">-H6*Assumptions!H32/100</f>
        <v>-26597.2394664235</v>
      </c>
      <c r="I17" s="4" t="n">
        <f aca="false">-I6*Assumptions!I32/100</f>
        <v>-26551.9675694593</v>
      </c>
      <c r="J17" s="4" t="n">
        <f aca="false">-J6*Assumptions!J32/100</f>
        <v>-26470.9450213613</v>
      </c>
      <c r="K17" s="4" t="n">
        <f aca="false">-K6*Assumptions!K32/100</f>
        <v>-26224.4217165823</v>
      </c>
      <c r="L17" s="4" t="n">
        <f aca="false">-L6*Assumptions!L32/100</f>
        <v>-27011.1543680797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18138.6675888</v>
      </c>
      <c r="D19" s="0" t="n">
        <f aca="false">D15+D16+D17+D18</f>
        <v>15866.428976928</v>
      </c>
      <c r="E19" s="0" t="n">
        <f aca="false">E15+E16+E17+E18</f>
        <v>16948.2700421299</v>
      </c>
      <c r="F19" s="0" t="n">
        <f aca="false">F15+F16+F17+F18</f>
        <v>18230.7934848958</v>
      </c>
      <c r="G19" s="0" t="n">
        <f aca="false">G15+G16+G17+G18</f>
        <v>19649.2608351237</v>
      </c>
      <c r="H19" s="0" t="n">
        <f aca="false">H15+H16+H17+H18</f>
        <v>20938.2523459078</v>
      </c>
      <c r="I19" s="0" t="n">
        <f aca="false">I15+I16+I17+I18</f>
        <v>22647.2664563035</v>
      </c>
      <c r="J19" s="0" t="n">
        <f aca="false">J15+J16+J17+J18</f>
        <v>24450.2621953032</v>
      </c>
      <c r="K19" s="0" t="n">
        <f aca="false">K15+K16+K17+K18</f>
        <v>26224.4217165823</v>
      </c>
      <c r="L19" s="0" t="n">
        <f aca="false">L15+L16+L17+L18</f>
        <v>27011.1543680797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16564.9932317808</v>
      </c>
      <c r="D21" s="0" t="n">
        <f aca="false">D19*D20</f>
        <v>13232.7757777594</v>
      </c>
      <c r="E21" s="0" t="n">
        <f aca="false">E19*E20</f>
        <v>12908.7151515553</v>
      </c>
      <c r="F21" s="0" t="n">
        <f aca="false">F19*F20</f>
        <v>12680.8712979025</v>
      </c>
      <c r="G21" s="0" t="n">
        <f aca="false">G19*G20</f>
        <v>12481.75408481</v>
      </c>
      <c r="H21" s="0" t="n">
        <f aca="false">H19*H20</f>
        <v>12146.6275367794</v>
      </c>
      <c r="I21" s="0" t="n">
        <f aca="false">I19*I20</f>
        <v>11998.2237201509</v>
      </c>
      <c r="J21" s="0" t="n">
        <f aca="false">J19*J20</f>
        <v>11829.6138213911</v>
      </c>
      <c r="K21" s="0" t="n">
        <f aca="false">K19*K20</f>
        <v>11587.2091908384</v>
      </c>
      <c r="L21" s="0" t="n">
        <f aca="false">L19*L20</f>
        <v>10899.3839877293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126330.167800697</v>
      </c>
    </row>
    <row r="31" customFormat="false" ht="15" hidden="false" customHeight="false" outlineLevel="0" collapsed="false">
      <c r="A31" s="0" t="s">
        <v>131</v>
      </c>
      <c r="B31" s="0" t="n">
        <f aca="false">L19</f>
        <v>27011.1543680797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428022.907678802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432178.469889276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428022.907678802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172713.315497864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299043.483298561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299043.483298561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15.8086200729453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0.0386741178019217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15.8086200729453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231845.741659351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8.25235538832307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3</v>
      </c>
      <c r="D5" s="4" t="n">
        <f aca="false">Assumptions!D41</f>
        <v>4.5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511594</v>
      </c>
      <c r="C6" s="0" t="n">
        <f aca="false">B6*(1+C5/100)</f>
        <v>526941.82</v>
      </c>
      <c r="D6" s="0" t="n">
        <f aca="false">C6*(1+D5/100)</f>
        <v>550654.2019</v>
      </c>
      <c r="E6" s="0" t="n">
        <f aca="false">D6*(1+E5/100)</f>
        <v>578186.911995</v>
      </c>
      <c r="F6" s="0" t="n">
        <f aca="false">E6*(1+F5/100)</f>
        <v>607096.25759475</v>
      </c>
      <c r="G6" s="0" t="n">
        <f aca="false">F6*(1+G5/100)</f>
        <v>637451.070474488</v>
      </c>
      <c r="H6" s="0" t="n">
        <f aca="false">G6*(1+H5/100)</f>
        <v>666136.36864584</v>
      </c>
      <c r="I6" s="0" t="n">
        <f aca="false">H6*(1+I5/100)</f>
        <v>692781.823391673</v>
      </c>
      <c r="J6" s="0" t="n">
        <f aca="false">I6*(1+J5/100)</f>
        <v>720493.09632734</v>
      </c>
      <c r="K6" s="0" t="n">
        <f aca="false">J6*(1+K5/100)</f>
        <v>745710.354698797</v>
      </c>
      <c r="L6" s="0" t="n">
        <f aca="false">K6*(1+L5/100)</f>
        <v>771810.217113255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11.8</v>
      </c>
      <c r="D7" s="4" t="n">
        <f aca="false">Assumptions!D42</f>
        <v>10</v>
      </c>
      <c r="E7" s="4" t="n">
        <f aca="false">Assumptions!E42</f>
        <v>10</v>
      </c>
      <c r="F7" s="4" t="n">
        <f aca="false">Assumptions!F42</f>
        <v>10.1</v>
      </c>
      <c r="G7" s="4" t="n">
        <f aca="false">Assumptions!G42</f>
        <v>10.2</v>
      </c>
      <c r="H7" s="4" t="n">
        <f aca="false">Assumptions!H42</f>
        <v>10.2</v>
      </c>
      <c r="I7" s="4" t="n">
        <f aca="false">Assumptions!I42</f>
        <v>10.2</v>
      </c>
      <c r="J7" s="4" t="n">
        <f aca="false">Assumptions!J42</f>
        <v>10.2</v>
      </c>
      <c r="K7" s="4" t="n">
        <f aca="false">Assumptions!K42</f>
        <v>10.2</v>
      </c>
      <c r="L7" s="4" t="n">
        <f aca="false">Assumptions!L42</f>
        <v>10.2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62179.13476</v>
      </c>
      <c r="D8" s="0" t="n">
        <f aca="false">D6*D7/100</f>
        <v>55065.42019</v>
      </c>
      <c r="E8" s="0" t="n">
        <f aca="false">E6*E7/100</f>
        <v>57818.6911995</v>
      </c>
      <c r="F8" s="0" t="n">
        <f aca="false">F6*F7/100</f>
        <v>61316.7220170698</v>
      </c>
      <c r="G8" s="0" t="n">
        <f aca="false">G6*G7/100</f>
        <v>65020.0091883977</v>
      </c>
      <c r="H8" s="0" t="n">
        <f aca="false">H6*H7/100</f>
        <v>67945.9096018756</v>
      </c>
      <c r="I8" s="0" t="n">
        <f aca="false">I6*I7/100</f>
        <v>70663.7459859507</v>
      </c>
      <c r="J8" s="0" t="n">
        <f aca="false">J6*J7/100</f>
        <v>73490.2958253887</v>
      </c>
      <c r="K8" s="0" t="n">
        <f aca="false">K6*K7/100</f>
        <v>76062.4561792773</v>
      </c>
      <c r="L8" s="0" t="n">
        <f aca="false">L6*L7/100</f>
        <v>78724.642145552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62179.13476</v>
      </c>
      <c r="D11" s="0" t="n">
        <f aca="false">D8+D10+D24</f>
        <v>55065.42019</v>
      </c>
      <c r="E11" s="0" t="n">
        <f aca="false">E8+E10+E24</f>
        <v>57818.6911995</v>
      </c>
      <c r="F11" s="0" t="n">
        <f aca="false">F8+F10+F24</f>
        <v>61316.7220170698</v>
      </c>
      <c r="G11" s="0" t="n">
        <f aca="false">G8+G10+G24</f>
        <v>65020.0091883977</v>
      </c>
      <c r="H11" s="0" t="n">
        <f aca="false">H8+H10+H24</f>
        <v>67945.9096018756</v>
      </c>
      <c r="I11" s="0" t="n">
        <f aca="false">I8+I10+I24</f>
        <v>70663.7459859507</v>
      </c>
      <c r="J11" s="0" t="n">
        <f aca="false">J8+J10+J24</f>
        <v>73490.2958253887</v>
      </c>
      <c r="K11" s="0" t="n">
        <f aca="false">K8+K10+K24</f>
        <v>76062.4561792773</v>
      </c>
      <c r="L11" s="0" t="n">
        <f aca="false">L8+L10+L24</f>
        <v>78724.642145552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62179.13476</v>
      </c>
      <c r="D13" s="0" t="n">
        <f aca="false">D11+D12</f>
        <v>55065.42019</v>
      </c>
      <c r="E13" s="0" t="n">
        <f aca="false">E11+E12</f>
        <v>57818.6911995</v>
      </c>
      <c r="F13" s="0" t="n">
        <f aca="false">F11+F12</f>
        <v>61316.7220170698</v>
      </c>
      <c r="G13" s="0" t="n">
        <f aca="false">G11+G12</f>
        <v>65020.0091883977</v>
      </c>
      <c r="H13" s="0" t="n">
        <f aca="false">H11+H12</f>
        <v>67945.9096018756</v>
      </c>
      <c r="I13" s="0" t="n">
        <f aca="false">I11+I12</f>
        <v>70663.7459859507</v>
      </c>
      <c r="J13" s="0" t="n">
        <f aca="false">J11+J12</f>
        <v>73490.2958253887</v>
      </c>
      <c r="K13" s="0" t="n">
        <f aca="false">K11+K12</f>
        <v>76062.4561792773</v>
      </c>
      <c r="L13" s="0" t="n">
        <f aca="false">L11+L12</f>
        <v>78724.642145552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16</v>
      </c>
      <c r="D14" s="4" t="n">
        <f aca="false">Assumptions!D47</f>
        <v>16</v>
      </c>
      <c r="E14" s="4" t="n">
        <f aca="false">Assumptions!E47</f>
        <v>16</v>
      </c>
      <c r="F14" s="4" t="n">
        <f aca="false">Assumptions!F47</f>
        <v>16</v>
      </c>
      <c r="G14" s="4" t="n">
        <f aca="false">Assumptions!G47</f>
        <v>16</v>
      </c>
      <c r="H14" s="4" t="n">
        <f aca="false">Assumptions!H47</f>
        <v>16</v>
      </c>
      <c r="I14" s="4" t="n">
        <f aca="false">Assumptions!I47</f>
        <v>16</v>
      </c>
      <c r="J14" s="4" t="n">
        <f aca="false">Assumptions!J47</f>
        <v>16</v>
      </c>
      <c r="K14" s="4" t="n">
        <f aca="false">Assumptions!K47</f>
        <v>16</v>
      </c>
      <c r="L14" s="4" t="n">
        <f aca="false">Assumptions!L47</f>
        <v>16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52230.4731984</v>
      </c>
      <c r="D15" s="0" t="n">
        <f aca="false">D13-MAX(0,D13)*D14/100</f>
        <v>46254.9529596</v>
      </c>
      <c r="E15" s="0" t="n">
        <f aca="false">E13-MAX(0,E13)*E14/100</f>
        <v>48567.70060758</v>
      </c>
      <c r="F15" s="0" t="n">
        <f aca="false">F13-MAX(0,F13)*F14/100</f>
        <v>51506.0464943386</v>
      </c>
      <c r="G15" s="0" t="n">
        <f aca="false">G13-MAX(0,G13)*G14/100</f>
        <v>54616.8077182541</v>
      </c>
      <c r="H15" s="0" t="n">
        <f aca="false">H13-MAX(0,H13)*H14/100</f>
        <v>57074.5640655755</v>
      </c>
      <c r="I15" s="0" t="n">
        <f aca="false">I13-MAX(0,I13)*I14/100</f>
        <v>59357.5466281986</v>
      </c>
      <c r="J15" s="0" t="n">
        <f aca="false">J13-MAX(0,J13)*J14/100</f>
        <v>61731.8484933265</v>
      </c>
      <c r="K15" s="0" t="n">
        <f aca="false">K13-MAX(0,K13)*K14/100</f>
        <v>63892.4631905929</v>
      </c>
      <c r="L15" s="0" t="n">
        <f aca="false">L13-MAX(0,L13)*L14/100</f>
        <v>66128.6994022637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-32406.92193</v>
      </c>
      <c r="D17" s="4" t="n">
        <f aca="false">-D6*Assumptions!D46/100</f>
        <v>-27312.44841424</v>
      </c>
      <c r="E17" s="4" t="n">
        <f aca="false">-E6*Assumptions!E46/100</f>
        <v>-27695.1530845605</v>
      </c>
      <c r="F17" s="4" t="n">
        <f aca="false">-F6*Assumptions!F46/100</f>
        <v>-28351.3952296748</v>
      </c>
      <c r="G17" s="4" t="n">
        <f aca="false">-G6*Assumptions!G46/100</f>
        <v>-28940.2785995417</v>
      </c>
      <c r="H17" s="4" t="n">
        <f aca="false">-H6*Assumptions!H46/100</f>
        <v>-29110.1593098232</v>
      </c>
      <c r="I17" s="4" t="n">
        <f aca="false">-I6*Assumptions!I46/100</f>
        <v>-29096.8365824503</v>
      </c>
      <c r="J17" s="4" t="n">
        <f aca="false">-J6*Assumptions!J46/100</f>
        <v>-29035.8717819918</v>
      </c>
      <c r="K17" s="4" t="n">
        <f aca="false">-K6*Assumptions!K46/100</f>
        <v>-28784.4196913736</v>
      </c>
      <c r="L17" s="4" t="n">
        <f aca="false">-L6*Assumptions!L46/100</f>
        <v>-29791.8743805716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19823.5512684</v>
      </c>
      <c r="D19" s="0" t="n">
        <f aca="false">D15+D16+D17+D18</f>
        <v>18942.50454536</v>
      </c>
      <c r="E19" s="0" t="n">
        <f aca="false">E15+E16+E17+E18</f>
        <v>20872.5475230195</v>
      </c>
      <c r="F19" s="0" t="n">
        <f aca="false">F15+F16+F17+F18</f>
        <v>23154.6512646638</v>
      </c>
      <c r="G19" s="0" t="n">
        <f aca="false">G15+G16+G17+G18</f>
        <v>25676.5291187124</v>
      </c>
      <c r="H19" s="0" t="n">
        <f aca="false">H15+H16+H17+H18</f>
        <v>27964.4047557523</v>
      </c>
      <c r="I19" s="0" t="n">
        <f aca="false">I15+I16+I17+I18</f>
        <v>30260.7100457483</v>
      </c>
      <c r="J19" s="0" t="n">
        <f aca="false">J15+J16+J17+J18</f>
        <v>32695.9767113347</v>
      </c>
      <c r="K19" s="0" t="n">
        <f aca="false">K15+K16+K17+K18</f>
        <v>35108.0434992194</v>
      </c>
      <c r="L19" s="0" t="n">
        <f aca="false">L15+L16+L17+L18</f>
        <v>36336.825021692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18103.6997884932</v>
      </c>
      <c r="D21" s="0" t="n">
        <f aca="false">D19*D20</f>
        <v>15798.2565379037</v>
      </c>
      <c r="E21" s="0" t="n">
        <f aca="false">E19*E20</f>
        <v>15897.6562086981</v>
      </c>
      <c r="F21" s="0" t="n">
        <f aca="false">F19*F20</f>
        <v>16105.7801942785</v>
      </c>
      <c r="G21" s="0" t="n">
        <f aca="false">G19*G20</f>
        <v>16310.4416446214</v>
      </c>
      <c r="H21" s="0" t="n">
        <f aca="false">H19*H20</f>
        <v>16222.6151086699</v>
      </c>
      <c r="I21" s="0" t="n">
        <f aca="false">I19*I20</f>
        <v>16031.7259374342</v>
      </c>
      <c r="J21" s="0" t="n">
        <f aca="false">J19*J20</f>
        <v>15819.0850846002</v>
      </c>
      <c r="K21" s="0" t="n">
        <f aca="false">K19*K20</f>
        <v>15512.4200145576</v>
      </c>
      <c r="L21" s="0" t="n">
        <f aca="false">L19*L20</f>
        <v>14662.4243973216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160464.104916578</v>
      </c>
    </row>
    <row r="31" customFormat="false" ht="15" hidden="false" customHeight="false" outlineLevel="0" collapsed="false">
      <c r="A31" s="0" t="s">
        <v>131</v>
      </c>
      <c r="B31" s="0" t="n">
        <f aca="false">L19</f>
        <v>36336.825021692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626810.231624187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654062.850390457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626810.231624187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252926.820853797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413390.925770375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413390.925770375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21.8534776783026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0.435839532082959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21.8534776783026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327031.425195228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10.8499524210465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6.52941807660267</v>
      </c>
      <c r="C4" s="0" t="n">
        <f aca="false">B4/Assumptions!$B$2-1</f>
        <v>-0.570997498252124</v>
      </c>
      <c r="D4" s="4" t="n">
        <f aca="false">Assumptions!$B$24</f>
        <v>0.25</v>
      </c>
      <c r="E4" s="4" t="n">
        <f aca="false">DCF_Bear!$B$43</f>
        <v>6.52941807660267</v>
      </c>
      <c r="F4" s="4" t="n">
        <f aca="false">DCF_Bear!$B$47</f>
        <v>4.23920117018988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15.8086200729453</v>
      </c>
      <c r="C5" s="0" t="n">
        <f aca="false">B5/Assumptions!$B$2-1</f>
        <v>0.0386741178019217</v>
      </c>
      <c r="D5" s="4" t="n">
        <f aca="false">Assumptions!$B$38</f>
        <v>0.5</v>
      </c>
      <c r="E5" s="4" t="n">
        <f aca="false">DCF_Base!$B$43</f>
        <v>15.8086200729453</v>
      </c>
      <c r="F5" s="4" t="n">
        <f aca="false">DCF_Base!$B$47</f>
        <v>8.25235538832307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21.8534776783026</v>
      </c>
      <c r="C6" s="0" t="n">
        <f aca="false">B6/Assumptions!$B$2-1</f>
        <v>0.435839532082959</v>
      </c>
      <c r="D6" s="4" t="n">
        <f aca="false">Assumptions!$B$52</f>
        <v>0.25</v>
      </c>
      <c r="E6" s="4" t="n">
        <f aca="false">DCF_Bull!$B$43</f>
        <v>21.8534776783026</v>
      </c>
      <c r="F6" s="4" t="n">
        <f aca="false">DCF_Bull!$B$47</f>
        <v>10.8499524210465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15.000033975199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15.000033975199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-0.0146643684384142</v>
      </c>
    </row>
    <row r="11" customFormat="false" ht="15" hidden="false" customHeight="false" outlineLevel="0" collapsed="false">
      <c r="A11" s="0" t="s">
        <v>158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7.89846609197064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16.491117539954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15.8086200729453</v>
      </c>
      <c r="C16" s="3" t="n">
        <v>9.5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14.6224445727194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12.6998711786783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11.2100547951651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8.25235538832307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18.4487359390415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18.4487359390415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18.4487359390415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18.4487359390415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18.4487359390415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16.9189511239059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17.1132731462138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17.1132731462138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17.1132731462138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17.1132731462138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14.5144210377556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15.1152991612365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15.8086200729453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15.8972638424788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15.8972638424788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12.6842812443421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13.1117489928874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13.5962124412387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14.1498849536402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14.788737852565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11.2465668270825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11.5600634360374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11.910441998987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12.3046178823053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12.751350550066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2026-10-18T01:05:55Z</dcterms:created>
  <dc:creator>openpyxl</dc:creator>
  <dc:description/>
  <dc:language>en-NZ</dc:language>
  <cp:lastModifiedBy/>
  <dcterms:modified xsi:type="dcterms:W3CDTF">2026-10-18T01:05:55Z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