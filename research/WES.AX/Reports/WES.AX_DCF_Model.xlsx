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<sst xmlns="http://schemas.openxmlformats.org/spreadsheetml/2006/main" count="364" uniqueCount="167">
  <si>
    <t xml:space="preserve">Ticker</t>
  </si>
  <si>
    <t xml:space="preserve">WES.AX</t>
  </si>
  <si>
    <t xml:space="preserve">Company</t>
  </si>
  <si>
    <t xml:space="preserve">Wesfarmers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</si>
  <si>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</si>
  <si>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</si>
  <si>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</si>
  <si>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</si>
  <si>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2026-09-25T05:46:15Z regular close (ASX)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</si>
  <si>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</si>
  <si>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</si>
  <si>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</si>
  <si>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</si>
  <si>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</si>
  <si>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</si>
  <si>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</si>
  <si>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</si>
  <si>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</si>
  <si>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</si>
  <si>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</si>
  <si>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</si>
  <si>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2026-09-25T06:09:06Z</t>
  </si>
  <si>
    <t xml:space="preserve">Drivers file</t>
  </si>
  <si>
    <t xml:space="preserve">WES.AX_Drivers.json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</si>
  <si>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</si>
  <si>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</si>
  <si>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</si>
  <si>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Wesfarmers is valued as a single consolidated owner-FCF DCF, not sum-of-parts, because its divisions report into one consolidated P&amp;L and cash flow statement and the group's stated identity IS the capital-allocation function connecting them (42-year track record of rotating out of declining businesses and into new ones) -- unlike a REIT/funds-manager stapled structure or a holdco with separately-listed pieces, there is no natural place to split the valuation. The single largest historical discontinuity is the November 2018 Coles demerger: FY2016-2018 (Coles included) are excluded entirely from growth/margin history, and FY2019's headline net income is a one-off demerger-gain artefact, so the clean historical base for this build is the post-demerger NetIncomeContinuing/revenue-continuing series, FY2019-FY2026. The other structural adjustment is AASB16 leases (from FY2020): the cash-flow statement shows lease interest already inside operating cash flow but lease principal sitting in financing and NOT deducted, which flatters reported FCF by ~$1.0-1.2bn/year; this build corrects for that with an explicit lease-cost-as-%-of-revenue deduction (treatment B) and D&amp;A ex-right-of-use for the tax calculation, while keeping lease liabilities out of net debt to avoid double-counting. A 10-year horizon is used because the FY2027 guided capex step-up ($1.3-1.5bn net vs $779m FY2026, driven by Mt Holland lithium expansion and the new Built Living JV) means the owner-FCF margin has not yet reached a mature run-rate at year 5; the capex_pct path tapers back toward the historical ~2.6% of revenue by around year 5-6. Growth is anchored on revenue-continuing and NetIncomeContinuing CAGRs (6.9% and 3.8% over 5 years) rather than equity/book-value CAGR, which is negative (-3.9%) purely as an artefact of the FY2022 and FY2026 capital returns (~$3.5bn combined distributed back to shareholders on top of ordinary dividends) -- a capital-allocation choice, not business contraction.
key_risks_to_valuation: Covalent Lithium refinery ramp-up execution risk (odour mitigation, recovery rates below design through FY2027, offtake qualification pending) could keep WesCEF/lithium a capital-intensive drag well past this model's assumed normalisation; ACCC antitrust scrutiny of the Bunnings-Uber Eats exclusive delivery arrangement could constrain Bunnings' commercial practices or invite broader market-power findings that compress the group's largest and most profitable segment's margins; Elevated post-capital-return leverage (net debt/equity 66.1%, debt/EBITDA 1.9x) combined with guided-higher FY2027 finance costs reduces balance sheet flexibility just as capex is stepping up, raising the cost of any further downside surprise; Officeworks and Target (within Kmart Group) remain structurally weaker performers requiring ongoing transformation spend without a clear inflection point in this build's base case; The lease treatment (B) and the Coles-demerger historical exclusion are both judgment calls with real magnitude -- a reader who prefers treatment (A) or wants FY2016-18 included would get a materially different owner-FCF base</t>
  </si>
  <si>
    <t xml:space="preserve">Data sources</t>
  </si>
  <si>
    <t xml:space="preserve">price: Yahoo Finance chart API at inputs.price_as_of; 52-week range 70.80-94.70 AUD
financials: research/WES.AX/Reports/WES.AX_Metrics.csv (core_metrics/metrics_normalized) and research/WES.AX/Extracted/WES.AX_Annual_FY2024/FY2025/FY2026.txt cash-flow and segment notes, per file:line pointers cited in inputs.lease_treatment and inputs.nci_treatment
qualitative: research/WES.AX/Reports/WES.AX_Analysis.json (business model, growth drivers, bull/bear case, FY2026 results and FY2027 guidance)</t>
  </si>
  <si>
    <t xml:space="preserve">Scenario narrative: bear</t>
  </si>
  <si>
    <t xml:space="preserve">Soft Australian consumer spending, a stalled lithium ramp, and adverse ACCC findings on Bunnings' market power compound with elevated post-capital-return leverage and rising finance costs to compress margins for several years running.</t>
  </si>
  <si>
    <t xml:space="preserve">Scenario narrative: base</t>
  </si>
  <si>
    <t xml:space="preserve">Diversified conglomerate compounds at a mid-single-digit blended rate as mature retail (Bunnings/Kmart, ~68% of revenue) grinds out share gains while WesCEF/lithium normalises into a modest contributor after the FY2027 capex step-up; margins hold broadly flat to slightly improving on digital/retail-media monetisation.</t>
  </si>
  <si>
    <t xml:space="preserve">Scenario narrative: bull</t>
  </si>
  <si>
    <t xml:space="preserve">Lithium ramp-up and OneDigital monetisation both inflect faster than guided, turning two emerging platforms into real growth engines alongside continued Bunnings/Kmart share gains and an earlier residential-construction recovery.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</si>
  <si>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</si>
  <si>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</si>
  <si>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</si>
  <si>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</si>
  <si>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</si>
  <si>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</si>
  <si>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</si>
  <si>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</si>
  <si>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</si>
  <si>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</si>
  <si>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</si>
  <si>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</si>
  <si>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</si>
  <si>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</si>
  <si>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</si>
  <si>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</si>
  <si>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</si>
  <si>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</si>
  <si>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</si>
  <si>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</si>
  <si>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</si>
  <si>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</si>
  <si>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</si>
  <si>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</si>
  <si>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</si>
  <si>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</si>
  <si>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</si>
  <si>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NetIncomeContinuing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</si>
  <si>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</si>
  <si>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</si>
  <si>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</si>
  <si>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</si>
  <si>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</si>
  <si>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</si>
  <si>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</si>
  <si>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</si>
  <si>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</si>
  <si>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</si>
  <si>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</si>
  <si>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</si>
  <si>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</si>
  <si>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</si>
  <si>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</si>
  <si>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</si>
  <si>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</si>
  <si>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</si>
  <si>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</si>
  <si>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</si>
  <si>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</si>
  <si>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</si>
  <si>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</si>
  <si>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</si>
  <si>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</si>
  <si>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</si>
  <si>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</si>
  <si>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</si>
  <si>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</si>
  <si>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</si>
  <si>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</si>
  <si>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</si>
  <si>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</si>
  <si>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</si>
  <si>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</si>
  <si>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</si>
  <si>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</si>
  <si>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</si>
  <si>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</si>
  <si>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</si>
  <si>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</si>
  <si>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</si>
  <si>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</si>
  <si>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</si>
  <si>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</si>
  <si>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</si>
  <si>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</si>
  <si>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</si>
  <si>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WES.AX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</si>
  <si>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</si>
  <si>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</si>
  <si>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</si>
  <si>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</si>
  <si>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</si>
  <si>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</si>
  <si>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</si>
  <si>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</si>
  <si>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</si>
  <si>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</si>
  <si>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</si>
  <si>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</si>
  <si>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</si>
  <si>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</si>
  <si>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</si>
  <si>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</si>
  <si>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</si>
  <si>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</si>
  <si>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</si>
  <si>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</si>
  <si>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</si>
  <si>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</si>
  <si>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</si>
  <si>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</si>
  <si>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</si>
  <si>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</si>
  <si>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</si>
  <si>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</si>
  <si>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</si>
  <si>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</si>
  <si>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WES.AX owner-FCF component DCF: base case (millions, AUD)</t>
  </si>
  <si>
    <t xml:space="preserve">WES.AX owner-FCF component DCF: bull case (millions, AUD)</t>
  </si>
  <si>
    <t xml:space="preserve">WES.AX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</si>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</sst>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73.61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65981</v>
      </c>
      <c r="F2" s="0" t="n">
        <v>1346</v>
      </c>
      <c r="G2" s="0" t="n">
        <v>2</v>
      </c>
      <c r="H2" s="0" t="n">
        <v>2642</v>
      </c>
      <c r="I2" s="0" t="n">
        <v>407</v>
      </c>
      <c r="J2" s="0" t="n">
        <v>0.6</v>
      </c>
      <c r="K2" s="0" t="n">
        <v>0.362</v>
      </c>
      <c r="L2" s="0" t="n">
        <v>3365</v>
      </c>
      <c r="M2" s="0" t="n">
        <v>1899</v>
      </c>
      <c r="N2" s="0" t="n">
        <v>1466</v>
      </c>
      <c r="O2" s="0" t="n">
        <v>22949</v>
      </c>
      <c r="P2" s="0" t="n">
        <v>40783</v>
      </c>
      <c r="Q2" s="0" t="n">
        <v>17834</v>
      </c>
      <c r="R2" s="0" t="n">
        <v>7303</v>
      </c>
      <c r="S2" s="0" t="n">
        <v>611</v>
      </c>
      <c r="T2" s="0" t="n">
        <v>1124.3</v>
      </c>
      <c r="U2" s="0" t="n">
        <v>103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68444</v>
      </c>
      <c r="F3" s="0" t="n">
        <v>4402</v>
      </c>
      <c r="G3" s="0" t="n">
        <v>6.4</v>
      </c>
      <c r="H3" s="0" t="n">
        <v>5668</v>
      </c>
      <c r="I3" s="0" t="n">
        <v>2873</v>
      </c>
      <c r="J3" s="0" t="n">
        <v>4.2</v>
      </c>
      <c r="K3" s="0" t="n">
        <v>2.542</v>
      </c>
      <c r="L3" s="0" t="n">
        <v>4226</v>
      </c>
      <c r="M3" s="0" t="n">
        <v>1681</v>
      </c>
      <c r="N3" s="0" t="n">
        <v>2545</v>
      </c>
      <c r="O3" s="0" t="n">
        <v>23941</v>
      </c>
      <c r="P3" s="0" t="n">
        <v>40115</v>
      </c>
      <c r="Q3" s="0" t="n">
        <v>16174</v>
      </c>
      <c r="R3" s="0" t="n">
        <v>5413</v>
      </c>
      <c r="S3" s="0" t="n">
        <v>1013</v>
      </c>
      <c r="T3" s="0" t="n">
        <v>1130.2</v>
      </c>
      <c r="U3" s="0" t="n">
        <v>105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66883</v>
      </c>
      <c r="F4" s="0" t="n">
        <v>4061</v>
      </c>
      <c r="G4" s="0" t="n">
        <v>6.1</v>
      </c>
      <c r="H4" s="0" t="n">
        <v>5259</v>
      </c>
      <c r="I4" s="0" t="n">
        <v>1197</v>
      </c>
      <c r="J4" s="0" t="n">
        <v>1.8</v>
      </c>
      <c r="K4" s="0" t="n">
        <v>1.056</v>
      </c>
      <c r="L4" s="0" t="n">
        <v>4080</v>
      </c>
      <c r="M4" s="0" t="n">
        <v>1815</v>
      </c>
      <c r="N4" s="0" t="n">
        <v>2265</v>
      </c>
      <c r="O4" s="0" t="n">
        <v>22754</v>
      </c>
      <c r="P4" s="0" t="n">
        <v>36933</v>
      </c>
      <c r="Q4" s="0" t="n">
        <v>14179</v>
      </c>
      <c r="R4" s="0" t="n">
        <v>4124</v>
      </c>
      <c r="S4" s="0" t="n">
        <v>683</v>
      </c>
      <c r="T4" s="0" t="n">
        <v>1133.5</v>
      </c>
      <c r="U4" s="0" t="n">
        <v>105</v>
      </c>
      <c r="X4" s="0" t="n">
        <v>26763</v>
      </c>
      <c r="AA4" s="0" t="s">
        <v>17</v>
      </c>
      <c r="AB4" s="0" t="s">
        <v>14</v>
      </c>
      <c r="AC4" s="0" t="n">
        <v>1409</v>
      </c>
    </row>
    <row r="5" customFormat="false" ht="15" hidden="false" customHeight="false" outlineLevel="0" collapsed="false">
      <c r="A5" s="0" t="s">
        <v>67</v>
      </c>
      <c r="B5" s="0" t="n">
        <v>27920</v>
      </c>
      <c r="F5" s="0" t="n">
        <v>2974</v>
      </c>
      <c r="G5" s="0" t="n">
        <v>10.7</v>
      </c>
      <c r="H5" s="0" t="n">
        <v>3511</v>
      </c>
      <c r="I5" s="0" t="n">
        <v>5510</v>
      </c>
      <c r="J5" s="0" t="n">
        <v>19.7</v>
      </c>
      <c r="K5" s="0" t="n">
        <v>4.867</v>
      </c>
      <c r="L5" s="0" t="n">
        <v>2718</v>
      </c>
      <c r="M5" s="0" t="n">
        <v>1356</v>
      </c>
      <c r="N5" s="0" t="n">
        <v>1362</v>
      </c>
      <c r="O5" s="0" t="n">
        <v>9971</v>
      </c>
      <c r="P5" s="0" t="n">
        <v>18333</v>
      </c>
      <c r="Q5" s="0" t="n">
        <v>8362</v>
      </c>
      <c r="R5" s="0" t="n">
        <v>3029</v>
      </c>
      <c r="S5" s="0" t="n">
        <v>795</v>
      </c>
      <c r="T5" s="0" t="n">
        <v>1132.1</v>
      </c>
      <c r="U5" s="0" t="n">
        <v>82</v>
      </c>
      <c r="X5" s="0" t="n">
        <v>27920</v>
      </c>
      <c r="AA5" s="0" t="s">
        <v>17</v>
      </c>
      <c r="AB5" s="0" t="s">
        <v>14</v>
      </c>
      <c r="AC5" s="0" t="n">
        <v>1940</v>
      </c>
    </row>
    <row r="6" customFormat="false" ht="15" hidden="false" customHeight="false" outlineLevel="0" collapsed="false">
      <c r="A6" s="0" t="s">
        <v>68</v>
      </c>
      <c r="B6" s="0" t="n">
        <v>30846</v>
      </c>
      <c r="F6" s="0" t="n">
        <v>2744</v>
      </c>
      <c r="G6" s="0" t="n">
        <v>8.9</v>
      </c>
      <c r="H6" s="0" t="n">
        <v>4272</v>
      </c>
      <c r="I6" s="0" t="n">
        <v>1697</v>
      </c>
      <c r="J6" s="0" t="n">
        <v>5.5</v>
      </c>
      <c r="K6" s="0" t="n">
        <v>1.499</v>
      </c>
      <c r="L6" s="0" t="n">
        <v>4546</v>
      </c>
      <c r="M6" s="0" t="n">
        <v>844</v>
      </c>
      <c r="N6" s="0" t="n">
        <v>3702</v>
      </c>
      <c r="O6" s="0" t="n">
        <v>9344</v>
      </c>
      <c r="P6" s="0" t="n">
        <v>25425</v>
      </c>
      <c r="Q6" s="0" t="n">
        <v>16081</v>
      </c>
      <c r="R6" s="0" t="n">
        <v>2656</v>
      </c>
      <c r="S6" s="0" t="n">
        <v>2913</v>
      </c>
      <c r="T6" s="0" t="n">
        <v>1132.1</v>
      </c>
      <c r="U6" s="0" t="n">
        <v>92</v>
      </c>
      <c r="X6" s="0" t="n">
        <v>30846</v>
      </c>
      <c r="AA6" s="0" t="s">
        <v>17</v>
      </c>
      <c r="AB6" s="0" t="s">
        <v>14</v>
      </c>
      <c r="AC6" s="0" t="n">
        <v>1622</v>
      </c>
    </row>
    <row r="7" customFormat="false" ht="15" hidden="false" customHeight="false" outlineLevel="0" collapsed="false">
      <c r="A7" s="0" t="s">
        <v>69</v>
      </c>
      <c r="B7" s="0" t="n">
        <v>33941</v>
      </c>
      <c r="F7" s="0" t="n">
        <v>3717</v>
      </c>
      <c r="G7" s="0" t="n">
        <v>11</v>
      </c>
      <c r="H7" s="0" t="n">
        <v>5226</v>
      </c>
      <c r="I7" s="0" t="n">
        <v>2380</v>
      </c>
      <c r="J7" s="0" t="n">
        <v>7</v>
      </c>
      <c r="K7" s="0" t="n">
        <v>2.102</v>
      </c>
      <c r="L7" s="0" t="n">
        <v>3383</v>
      </c>
      <c r="M7" s="0" t="n">
        <v>843</v>
      </c>
      <c r="N7" s="0" t="n">
        <v>2540</v>
      </c>
      <c r="O7" s="0" t="n">
        <v>9715</v>
      </c>
      <c r="P7" s="0" t="n">
        <v>26214</v>
      </c>
      <c r="Q7" s="0" t="n">
        <v>16499</v>
      </c>
      <c r="R7" s="0" t="n">
        <v>3022</v>
      </c>
      <c r="S7" s="0" t="n">
        <v>3023</v>
      </c>
      <c r="T7" s="0" t="n">
        <v>1132.3</v>
      </c>
      <c r="U7" s="0" t="n">
        <v>61</v>
      </c>
      <c r="X7" s="0" t="n">
        <v>33941</v>
      </c>
      <c r="AA7" s="0" t="s">
        <v>17</v>
      </c>
      <c r="AB7" s="0" t="s">
        <v>14</v>
      </c>
      <c r="AC7" s="0" t="n">
        <v>2380</v>
      </c>
    </row>
    <row r="8" customFormat="false" ht="15" hidden="false" customHeight="false" outlineLevel="0" collapsed="false">
      <c r="A8" s="0" t="s">
        <v>70</v>
      </c>
      <c r="B8" s="0" t="n">
        <v>36838</v>
      </c>
      <c r="F8" s="0" t="n">
        <v>3633</v>
      </c>
      <c r="G8" s="0" t="n">
        <v>9.9</v>
      </c>
      <c r="H8" s="0" t="n">
        <v>5208</v>
      </c>
      <c r="I8" s="0" t="n">
        <v>2352</v>
      </c>
      <c r="J8" s="0" t="n">
        <v>6.4</v>
      </c>
      <c r="K8" s="0" t="n">
        <v>2.076</v>
      </c>
      <c r="L8" s="0" t="n">
        <v>2301</v>
      </c>
      <c r="M8" s="0" t="n">
        <v>1140</v>
      </c>
      <c r="N8" s="0" t="n">
        <v>1161</v>
      </c>
      <c r="O8" s="0" t="n">
        <v>7981</v>
      </c>
      <c r="P8" s="0" t="n">
        <v>27271</v>
      </c>
      <c r="Q8" s="0" t="n">
        <v>19290</v>
      </c>
      <c r="R8" s="0" t="n">
        <v>4958</v>
      </c>
      <c r="S8" s="0" t="n">
        <v>705</v>
      </c>
      <c r="T8" s="0" t="n">
        <v>1132.9</v>
      </c>
      <c r="U8" s="0" t="n">
        <v>86</v>
      </c>
      <c r="X8" s="0" t="n">
        <v>36838</v>
      </c>
      <c r="AA8" s="0" t="s">
        <v>17</v>
      </c>
      <c r="AB8" s="0" t="s">
        <v>14</v>
      </c>
      <c r="AC8" s="0" t="n">
        <v>2352</v>
      </c>
    </row>
    <row r="9" customFormat="false" ht="15" hidden="false" customHeight="false" outlineLevel="0" collapsed="false">
      <c r="A9" s="0" t="s">
        <v>71</v>
      </c>
      <c r="B9" s="0" t="n">
        <v>43550</v>
      </c>
      <c r="F9" s="0" t="n">
        <v>3863</v>
      </c>
      <c r="G9" s="0" t="n">
        <v>8.9</v>
      </c>
      <c r="H9" s="0" t="n">
        <v>5564</v>
      </c>
      <c r="I9" s="0" t="n">
        <v>2465</v>
      </c>
      <c r="J9" s="0" t="n">
        <v>5.7</v>
      </c>
      <c r="K9" s="0" t="n">
        <v>2.176</v>
      </c>
      <c r="L9" s="0" t="n">
        <v>4179</v>
      </c>
      <c r="M9" s="0" t="n">
        <v>1286</v>
      </c>
      <c r="N9" s="0" t="n">
        <v>2893</v>
      </c>
      <c r="O9" s="0" t="n">
        <v>8281</v>
      </c>
      <c r="P9" s="0" t="n">
        <v>26546</v>
      </c>
      <c r="Q9" s="0" t="n">
        <v>18265</v>
      </c>
      <c r="R9" s="0" t="n">
        <v>4430</v>
      </c>
      <c r="S9" s="0" t="n">
        <v>673</v>
      </c>
      <c r="T9" s="0" t="n">
        <v>1132.8</v>
      </c>
      <c r="U9" s="0" t="n">
        <v>91</v>
      </c>
      <c r="X9" s="0" t="n">
        <v>43550</v>
      </c>
      <c r="AA9" s="0" t="s">
        <v>17</v>
      </c>
      <c r="AB9" s="0" t="s">
        <v>14</v>
      </c>
      <c r="AC9" s="0" t="n">
        <v>2465</v>
      </c>
    </row>
    <row r="10" customFormat="false" ht="15" hidden="false" customHeight="false" outlineLevel="0" collapsed="false">
      <c r="A10" s="0" t="s">
        <v>72</v>
      </c>
      <c r="B10" s="0" t="n">
        <v>44189</v>
      </c>
      <c r="F10" s="0" t="n">
        <v>3989</v>
      </c>
      <c r="G10" s="0" t="n">
        <v>9</v>
      </c>
      <c r="H10" s="0" t="n">
        <v>5789</v>
      </c>
      <c r="I10" s="0" t="n">
        <v>2557</v>
      </c>
      <c r="J10" s="0" t="n">
        <v>5.8</v>
      </c>
      <c r="K10" s="0" t="n">
        <v>2.257</v>
      </c>
      <c r="L10" s="0" t="n">
        <v>4594</v>
      </c>
      <c r="M10" s="0" t="n">
        <v>1076</v>
      </c>
      <c r="N10" s="0" t="n">
        <v>3518</v>
      </c>
      <c r="O10" s="0" t="n">
        <v>8585</v>
      </c>
      <c r="P10" s="0" t="n">
        <v>27309</v>
      </c>
      <c r="Q10" s="0" t="n">
        <v>18724</v>
      </c>
      <c r="R10" s="0" t="n">
        <v>4756</v>
      </c>
      <c r="S10" s="0" t="n">
        <v>835</v>
      </c>
      <c r="T10" s="0" t="n">
        <v>1132.9</v>
      </c>
      <c r="U10" s="0" t="n">
        <v>96</v>
      </c>
      <c r="X10" s="0" t="n">
        <v>44189</v>
      </c>
      <c r="AA10" s="0" t="s">
        <v>17</v>
      </c>
      <c r="AB10" s="0" t="s">
        <v>14</v>
      </c>
      <c r="AC10" s="0" t="n">
        <v>2557</v>
      </c>
    </row>
    <row r="11" customFormat="false" ht="15" hidden="false" customHeight="false" outlineLevel="0" collapsed="false">
      <c r="A11" s="0" t="s">
        <v>73</v>
      </c>
      <c r="B11" s="0" t="n">
        <v>45700</v>
      </c>
      <c r="F11" s="0" t="n">
        <v>4465</v>
      </c>
      <c r="G11" s="0" t="n">
        <v>9.8</v>
      </c>
      <c r="H11" s="0" t="n">
        <v>6298</v>
      </c>
      <c r="I11" s="0" t="n">
        <v>2926</v>
      </c>
      <c r="J11" s="0" t="n">
        <v>6.4</v>
      </c>
      <c r="K11" s="0" t="n">
        <v>2.58</v>
      </c>
      <c r="L11" s="0" t="n">
        <v>4568</v>
      </c>
      <c r="M11" s="0" t="n">
        <v>1147</v>
      </c>
      <c r="N11" s="0" t="n">
        <v>3421</v>
      </c>
      <c r="O11" s="0" t="n">
        <v>9189</v>
      </c>
      <c r="P11" s="0" t="n">
        <v>27981</v>
      </c>
      <c r="Q11" s="0" t="n">
        <v>18792</v>
      </c>
      <c r="R11" s="0" t="n">
        <v>4719</v>
      </c>
      <c r="S11" s="0" t="n">
        <v>638</v>
      </c>
      <c r="T11" s="0" t="n">
        <v>1134.1</v>
      </c>
      <c r="U11" s="0" t="n">
        <v>106</v>
      </c>
      <c r="X11" s="0" t="n">
        <v>45700</v>
      </c>
      <c r="AA11" s="0" t="s">
        <v>17</v>
      </c>
      <c r="AB11" s="0" t="s">
        <v>14</v>
      </c>
      <c r="AC11" s="0" t="n">
        <v>2926</v>
      </c>
    </row>
    <row r="12" customFormat="false" ht="15" hidden="false" customHeight="false" outlineLevel="0" collapsed="false">
      <c r="A12" s="0" t="s">
        <v>74</v>
      </c>
      <c r="B12" s="0" t="n">
        <v>47274</v>
      </c>
      <c r="F12" s="0" t="n">
        <v>4493</v>
      </c>
      <c r="G12" s="0" t="n">
        <v>9.5</v>
      </c>
      <c r="H12" s="0" t="n">
        <v>6337</v>
      </c>
      <c r="I12" s="0" t="n">
        <v>2874</v>
      </c>
      <c r="J12" s="0" t="n">
        <v>6.1</v>
      </c>
      <c r="K12" s="0" t="n">
        <v>2.534</v>
      </c>
      <c r="L12" s="0" t="n">
        <v>4272</v>
      </c>
      <c r="M12" s="0" t="n">
        <v>1194</v>
      </c>
      <c r="N12" s="0" t="n">
        <v>3078</v>
      </c>
      <c r="O12" s="0" t="n">
        <v>7977</v>
      </c>
      <c r="P12" s="0" t="n">
        <v>28884</v>
      </c>
      <c r="Q12" s="0" t="n">
        <v>20907</v>
      </c>
      <c r="R12" s="0" t="n">
        <v>5646</v>
      </c>
      <c r="S12" s="0" t="n">
        <v>530</v>
      </c>
      <c r="T12" s="0" t="n">
        <v>1134.2</v>
      </c>
      <c r="U12" s="0" t="n">
        <v>104</v>
      </c>
      <c r="X12" s="0" t="n">
        <v>47274</v>
      </c>
      <c r="AA12" s="0" t="s">
        <v>17</v>
      </c>
      <c r="AB12" s="0" t="s">
        <v>14</v>
      </c>
      <c r="AC12" s="0" t="n">
        <v>2874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73.61</v>
      </c>
    </row>
    <row r="3" customFormat="false" ht="15" hidden="false" customHeight="false" outlineLevel="0" collapsed="false">
      <c r="A3" s="0" t="s">
        <v>78</v>
      </c>
      <c r="B3" s="3" t="n">
        <v>1135.3</v>
      </c>
    </row>
    <row r="4" customFormat="false" ht="15" hidden="false" customHeight="false" outlineLevel="0" collapsed="false">
      <c r="A4" s="0" t="s">
        <v>79</v>
      </c>
      <c r="B4" s="3" t="n">
        <v>5116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47274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1.5</v>
      </c>
      <c r="D13" s="3" t="n">
        <v>1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12.8</v>
      </c>
      <c r="D14" s="3" t="n">
        <v>12.5</v>
      </c>
      <c r="E14" s="3" t="n">
        <v>12.3</v>
      </c>
      <c r="F14" s="3" t="n">
        <v>12.2</v>
      </c>
      <c r="G14" s="3" t="n">
        <v>12.2</v>
      </c>
      <c r="H14" s="3" t="n">
        <v>12.3</v>
      </c>
      <c r="I14" s="3" t="n">
        <v>12.4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100</v>
      </c>
      <c r="C15" s="3" t="n">
        <v>0.22</v>
      </c>
      <c r="D15" s="3" t="n">
        <v>0.22</v>
      </c>
      <c r="E15" s="3" t="n">
        <v>0.22</v>
      </c>
      <c r="F15" s="3" t="n">
        <v>0.22</v>
      </c>
      <c r="G15" s="3" t="n">
        <v>0.22</v>
      </c>
      <c r="H15" s="3" t="n">
        <v>0.22</v>
      </c>
      <c r="I15" s="3" t="n">
        <v>0.22</v>
      </c>
      <c r="J15" s="3" t="n">
        <v>0.22</v>
      </c>
      <c r="K15" s="3" t="n">
        <v>0.22</v>
      </c>
      <c r="L15" s="3" t="n">
        <v>0.22</v>
      </c>
    </row>
    <row r="16" customFormat="false" ht="15" hidden="false" customHeight="false" outlineLevel="0" collapsed="false">
      <c r="A16" s="0" t="s">
        <v>101</v>
      </c>
      <c r="C16" s="3" t="n">
        <v>3.2</v>
      </c>
      <c r="D16" s="3" t="n">
        <v>3.2</v>
      </c>
      <c r="E16" s="3" t="n">
        <v>3.2</v>
      </c>
      <c r="F16" s="3" t="n">
        <v>3.15</v>
      </c>
      <c r="G16" s="3" t="n">
        <v>3.1</v>
      </c>
      <c r="H16" s="3" t="n">
        <v>3.1</v>
      </c>
      <c r="I16" s="3" t="n">
        <v>3.1</v>
      </c>
      <c r="J16" s="3" t="n">
        <v>3.1</v>
      </c>
      <c r="K16" s="3" t="n">
        <v>3.1</v>
      </c>
      <c r="L16" s="3" t="n">
        <v>3.1</v>
      </c>
    </row>
    <row r="17" customFormat="false" ht="15" hidden="false" customHeight="false" outlineLevel="0" collapsed="false">
      <c r="A17" s="0" t="s">
        <v>102</v>
      </c>
      <c r="C17" s="3" t="n">
        <v>1.6</v>
      </c>
      <c r="D17" s="3" t="n">
        <v>1.62</v>
      </c>
      <c r="E17" s="3" t="n">
        <v>1.63</v>
      </c>
      <c r="F17" s="3" t="n">
        <v>1.63</v>
      </c>
      <c r="G17" s="3" t="n">
        <v>1.62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103</v>
      </c>
      <c r="C18" s="3" t="n">
        <v>3.6</v>
      </c>
      <c r="D18" s="3" t="n">
        <v>3.5</v>
      </c>
      <c r="E18" s="3" t="n">
        <v>3.3</v>
      </c>
      <c r="F18" s="3" t="n">
        <v>3.1</v>
      </c>
      <c r="G18" s="3" t="n">
        <v>2.9</v>
      </c>
      <c r="H18" s="3" t="n">
        <v>2.8</v>
      </c>
      <c r="I18" s="3" t="n">
        <v>2.75</v>
      </c>
      <c r="J18" s="3" t="n">
        <v>2.7</v>
      </c>
      <c r="K18" s="3" t="n">
        <v>2.7</v>
      </c>
      <c r="L18" s="3" t="n">
        <v>2.7</v>
      </c>
    </row>
    <row r="19" customFormat="false" ht="15" hidden="false" customHeight="false" outlineLevel="0" collapsed="false">
      <c r="A19" s="0" t="s">
        <v>104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14</v>
      </c>
    </row>
    <row r="23" customFormat="false" ht="15" hidden="false" customHeight="false" outlineLevel="0" collapsed="false">
      <c r="A23" s="0" t="s">
        <v>108</v>
      </c>
      <c r="B23" s="3" t="n">
        <v>-12</v>
      </c>
    </row>
    <row r="24" customFormat="false" ht="15" hidden="false" customHeight="false" outlineLevel="0" collapsed="false">
      <c r="A24" s="0" t="s">
        <v>109</v>
      </c>
      <c r="B24" s="3" t="n">
        <v>0.2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4</v>
      </c>
      <c r="D27" s="3" t="n">
        <v>4</v>
      </c>
      <c r="E27" s="3" t="n">
        <v>3.8</v>
      </c>
      <c r="F27" s="3" t="n">
        <v>3.6</v>
      </c>
      <c r="G27" s="3" t="n">
        <v>3.4</v>
      </c>
      <c r="H27" s="3" t="n">
        <v>3.2</v>
      </c>
      <c r="I27" s="3" t="n">
        <v>3</v>
      </c>
      <c r="J27" s="3" t="n">
        <v>2.8</v>
      </c>
      <c r="K27" s="3" t="n">
        <v>2.6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13.6</v>
      </c>
      <c r="D28" s="3" t="n">
        <v>13.7</v>
      </c>
      <c r="E28" s="3" t="n">
        <v>13.8</v>
      </c>
      <c r="F28" s="3" t="n">
        <v>13.9</v>
      </c>
      <c r="G28" s="3" t="n">
        <v>14</v>
      </c>
      <c r="H28" s="3" t="n">
        <v>14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100</v>
      </c>
      <c r="C29" s="3" t="n">
        <v>0.22</v>
      </c>
      <c r="D29" s="3" t="n">
        <v>0.22</v>
      </c>
      <c r="E29" s="3" t="n">
        <v>0.22</v>
      </c>
      <c r="F29" s="3" t="n">
        <v>0.22</v>
      </c>
      <c r="G29" s="3" t="n">
        <v>0.22</v>
      </c>
      <c r="H29" s="3" t="n">
        <v>0.22</v>
      </c>
      <c r="I29" s="3" t="n">
        <v>0.22</v>
      </c>
      <c r="J29" s="3" t="n">
        <v>0.22</v>
      </c>
      <c r="K29" s="3" t="n">
        <v>0.22</v>
      </c>
      <c r="L29" s="3" t="n">
        <v>0.22</v>
      </c>
    </row>
    <row r="30" customFormat="false" ht="15" hidden="false" customHeight="false" outlineLevel="0" collapsed="false">
      <c r="A30" s="0" t="s">
        <v>101</v>
      </c>
      <c r="C30" s="3" t="n">
        <v>3.05</v>
      </c>
      <c r="D30" s="3" t="n">
        <v>3</v>
      </c>
      <c r="E30" s="3" t="n">
        <v>2.95</v>
      </c>
      <c r="F30" s="3" t="n">
        <v>2.9</v>
      </c>
      <c r="G30" s="3" t="n">
        <v>2.85</v>
      </c>
      <c r="H30" s="3" t="n">
        <v>2.8</v>
      </c>
      <c r="I30" s="3" t="n">
        <v>2.8</v>
      </c>
      <c r="J30" s="3" t="n">
        <v>2.8</v>
      </c>
      <c r="K30" s="3" t="n">
        <v>2.8</v>
      </c>
      <c r="L30" s="3" t="n">
        <v>2.8</v>
      </c>
    </row>
    <row r="31" customFormat="false" ht="15" hidden="false" customHeight="false" outlineLevel="0" collapsed="false">
      <c r="A31" s="0" t="s">
        <v>102</v>
      </c>
      <c r="C31" s="3" t="n">
        <v>1.55</v>
      </c>
      <c r="D31" s="3" t="n">
        <v>1.55</v>
      </c>
      <c r="E31" s="3" t="n">
        <v>1.54</v>
      </c>
      <c r="F31" s="3" t="n">
        <v>1.53</v>
      </c>
      <c r="G31" s="3" t="n">
        <v>1.52</v>
      </c>
      <c r="H31" s="3" t="n">
        <v>1.51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103</v>
      </c>
      <c r="C32" s="3" t="n">
        <v>3.4</v>
      </c>
      <c r="D32" s="3" t="n">
        <v>3.2</v>
      </c>
      <c r="E32" s="3" t="n">
        <v>3</v>
      </c>
      <c r="F32" s="3" t="n">
        <v>2.8</v>
      </c>
      <c r="G32" s="3" t="n">
        <v>2.65</v>
      </c>
      <c r="H32" s="3" t="n">
        <v>2.6</v>
      </c>
      <c r="I32" s="3" t="n">
        <v>2.6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104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105</v>
      </c>
      <c r="B34" s="3" t="n">
        <v>8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18</v>
      </c>
    </row>
    <row r="37" customFormat="false" ht="15" hidden="false" customHeight="false" outlineLevel="0" collapsed="false">
      <c r="A37" s="0" t="s">
        <v>108</v>
      </c>
      <c r="B37" s="3" t="n">
        <v>-8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14</v>
      </c>
      <c r="D42" s="3" t="n">
        <v>14.3</v>
      </c>
      <c r="E42" s="3" t="n">
        <v>14.6</v>
      </c>
      <c r="F42" s="3" t="n">
        <v>14.9</v>
      </c>
      <c r="G42" s="3" t="n">
        <v>15.2</v>
      </c>
      <c r="H42" s="3" t="n">
        <v>15.4</v>
      </c>
      <c r="I42" s="3" t="n">
        <v>15.4</v>
      </c>
      <c r="J42" s="3" t="n">
        <v>15.4</v>
      </c>
      <c r="K42" s="3" t="n">
        <v>15.4</v>
      </c>
      <c r="L42" s="3" t="n">
        <v>15.4</v>
      </c>
    </row>
    <row r="43" customFormat="false" ht="15" hidden="false" customHeight="false" outlineLevel="0" collapsed="false">
      <c r="A43" s="0" t="s">
        <v>100</v>
      </c>
      <c r="C43" s="3" t="n">
        <v>0.22</v>
      </c>
      <c r="D43" s="3" t="n">
        <v>0.22</v>
      </c>
      <c r="E43" s="3" t="n">
        <v>0.22</v>
      </c>
      <c r="F43" s="3" t="n">
        <v>0.22</v>
      </c>
      <c r="G43" s="3" t="n">
        <v>0.22</v>
      </c>
      <c r="H43" s="3" t="n">
        <v>0.22</v>
      </c>
      <c r="I43" s="3" t="n">
        <v>0.22</v>
      </c>
      <c r="J43" s="3" t="n">
        <v>0.22</v>
      </c>
      <c r="K43" s="3" t="n">
        <v>0.22</v>
      </c>
      <c r="L43" s="3" t="n">
        <v>0.22</v>
      </c>
    </row>
    <row r="44" customFormat="false" ht="15" hidden="false" customHeight="false" outlineLevel="0" collapsed="false">
      <c r="A44" s="0" t="s">
        <v>101</v>
      </c>
      <c r="C44" s="3" t="n">
        <v>3</v>
      </c>
      <c r="D44" s="3" t="n">
        <v>2.9</v>
      </c>
      <c r="E44" s="3" t="n">
        <v>2.8</v>
      </c>
      <c r="F44" s="3" t="n">
        <v>2.7</v>
      </c>
      <c r="G44" s="3" t="n">
        <v>2.6</v>
      </c>
      <c r="H44" s="3" t="n">
        <v>2.6</v>
      </c>
      <c r="I44" s="3" t="n">
        <v>2.6</v>
      </c>
      <c r="J44" s="3" t="n">
        <v>2.6</v>
      </c>
      <c r="K44" s="3" t="n">
        <v>2.6</v>
      </c>
      <c r="L44" s="3" t="n">
        <v>2.6</v>
      </c>
    </row>
    <row r="45" customFormat="false" ht="15" hidden="false" customHeight="false" outlineLevel="0" collapsed="false">
      <c r="A45" s="0" t="s">
        <v>102</v>
      </c>
      <c r="C45" s="3" t="n">
        <v>1.55</v>
      </c>
      <c r="D45" s="3" t="n">
        <v>1.53</v>
      </c>
      <c r="E45" s="3" t="n">
        <v>1.5</v>
      </c>
      <c r="F45" s="3" t="n">
        <v>1.48</v>
      </c>
      <c r="G45" s="3" t="n">
        <v>1.45</v>
      </c>
      <c r="H45" s="3" t="n">
        <v>1.43</v>
      </c>
      <c r="I45" s="3" t="n">
        <v>1.4</v>
      </c>
      <c r="J45" s="3" t="n">
        <v>1.4</v>
      </c>
      <c r="K45" s="3" t="n">
        <v>1.4</v>
      </c>
      <c r="L45" s="3" t="n">
        <v>1.4</v>
      </c>
    </row>
    <row r="46" customFormat="false" ht="15" hidden="false" customHeight="false" outlineLevel="0" collapsed="false">
      <c r="A46" s="0" t="s">
        <v>103</v>
      </c>
      <c r="C46" s="3" t="n">
        <v>3.3</v>
      </c>
      <c r="D46" s="3" t="n">
        <v>3.1</v>
      </c>
      <c r="E46" s="3" t="n">
        <v>2.9</v>
      </c>
      <c r="F46" s="3" t="n">
        <v>2.7</v>
      </c>
      <c r="G46" s="3" t="n">
        <v>2.6</v>
      </c>
      <c r="H46" s="3" t="n">
        <v>2.55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104</v>
      </c>
      <c r="C47" s="3" t="n">
        <v>29</v>
      </c>
      <c r="D47" s="3" t="n">
        <v>29</v>
      </c>
      <c r="E47" s="3" t="n">
        <v>29</v>
      </c>
      <c r="F47" s="3" t="n">
        <v>29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105</v>
      </c>
      <c r="B48" s="3" t="n">
        <v>7.5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20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47274</v>
      </c>
      <c r="C6" s="0" t="n">
        <f aca="false">B6*(1+C5/100)</f>
        <v>47983.11</v>
      </c>
      <c r="D6" s="0" t="n">
        <f aca="false">C6*(1+D5/100)</f>
        <v>48462.9411</v>
      </c>
      <c r="E6" s="0" t="n">
        <f aca="false">D6*(1+E5/100)</f>
        <v>48947.570511</v>
      </c>
      <c r="F6" s="0" t="n">
        <f aca="false">E6*(1+F5/100)</f>
        <v>49437.04621611</v>
      </c>
      <c r="G6" s="0" t="n">
        <f aca="false">F6*(1+G5/100)</f>
        <v>50178.6019093516</v>
      </c>
      <c r="H6" s="0" t="n">
        <f aca="false">G6*(1+H5/100)</f>
        <v>50931.2809379919</v>
      </c>
      <c r="I6" s="0" t="n">
        <f aca="false">H6*(1+I5/100)</f>
        <v>51695.2501520618</v>
      </c>
      <c r="J6" s="0" t="n">
        <f aca="false">I6*(1+J5/100)</f>
        <v>52729.155155103</v>
      </c>
      <c r="K6" s="0" t="n">
        <f aca="false">J6*(1+K5/100)</f>
        <v>53783.7382582051</v>
      </c>
      <c r="L6" s="0" t="n">
        <f aca="false">K6*(1+L5/100)</f>
        <v>54859.4130233692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12.8</v>
      </c>
      <c r="D7" s="4" t="n">
        <f aca="false">Assumptions!D14</f>
        <v>12.5</v>
      </c>
      <c r="E7" s="4" t="n">
        <f aca="false">Assumptions!E14</f>
        <v>12.3</v>
      </c>
      <c r="F7" s="4" t="n">
        <f aca="false">Assumptions!F14</f>
        <v>12.2</v>
      </c>
      <c r="G7" s="4" t="n">
        <f aca="false">Assumptions!G14</f>
        <v>12.2</v>
      </c>
      <c r="H7" s="4" t="n">
        <f aca="false">Assumptions!H14</f>
        <v>12.3</v>
      </c>
      <c r="I7" s="4" t="n">
        <f aca="false">Assumptions!I14</f>
        <v>12.4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6141.83808</v>
      </c>
      <c r="D8" s="0" t="n">
        <f aca="false">D6*D7/100</f>
        <v>6057.8676375</v>
      </c>
      <c r="E8" s="0" t="n">
        <f aca="false">E6*E7/100</f>
        <v>6020.551172853</v>
      </c>
      <c r="F8" s="0" t="n">
        <f aca="false">F6*F7/100</f>
        <v>6031.31963836542</v>
      </c>
      <c r="G8" s="0" t="n">
        <f aca="false">G6*G7/100</f>
        <v>6121.7894329409</v>
      </c>
      <c r="H8" s="0" t="n">
        <f aca="false">H6*H7/100</f>
        <v>6264.54755537301</v>
      </c>
      <c r="I8" s="0" t="n">
        <f aca="false">I6*I7/100</f>
        <v>6410.21101885566</v>
      </c>
      <c r="J8" s="0" t="n">
        <f aca="false">J6*J7/100</f>
        <v>6591.14439438788</v>
      </c>
      <c r="K8" s="0" t="n">
        <f aca="false">K6*K7/100</f>
        <v>6722.96728227564</v>
      </c>
      <c r="L8" s="0" t="n">
        <f aca="false">L6*L7/100</f>
        <v>6857.42662792115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0.22</v>
      </c>
      <c r="D9" s="4" t="n">
        <f aca="false">Assumptions!D15</f>
        <v>0.22</v>
      </c>
      <c r="E9" s="4" t="n">
        <f aca="false">Assumptions!E15</f>
        <v>0.22</v>
      </c>
      <c r="F9" s="4" t="n">
        <f aca="false">Assumptions!F15</f>
        <v>0.22</v>
      </c>
      <c r="G9" s="4" t="n">
        <f aca="false">Assumptions!G15</f>
        <v>0.22</v>
      </c>
      <c r="H9" s="4" t="n">
        <f aca="false">Assumptions!H15</f>
        <v>0.22</v>
      </c>
      <c r="I9" s="4" t="n">
        <f aca="false">Assumptions!I15</f>
        <v>0.22</v>
      </c>
      <c r="J9" s="4" t="n">
        <f aca="false">Assumptions!J15</f>
        <v>0.22</v>
      </c>
      <c r="K9" s="4" t="n">
        <f aca="false">Assumptions!K15</f>
        <v>0.22</v>
      </c>
      <c r="L9" s="4" t="n">
        <f aca="false">Assumptions!L15</f>
        <v>0.22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-105.562842</v>
      </c>
      <c r="D10" s="0" t="n">
        <f aca="false">-D6*D9/100</f>
        <v>-106.61847042</v>
      </c>
      <c r="E10" s="0" t="n">
        <f aca="false">-E6*E9/100</f>
        <v>-107.6846551242</v>
      </c>
      <c r="F10" s="0" t="n">
        <f aca="false">-F6*F9/100</f>
        <v>-108.761501675442</v>
      </c>
      <c r="G10" s="0" t="n">
        <f aca="false">-G6*G9/100</f>
        <v>-110.392924200574</v>
      </c>
      <c r="H10" s="0" t="n">
        <f aca="false">-H6*H9/100</f>
        <v>-112.048818063582</v>
      </c>
      <c r="I10" s="0" t="n">
        <f aca="false">-I6*I9/100</f>
        <v>-113.729550334536</v>
      </c>
      <c r="J10" s="0" t="n">
        <f aca="false">-J6*J9/100</f>
        <v>-116.004141341227</v>
      </c>
      <c r="K10" s="0" t="n">
        <f aca="false">-K6*K9/100</f>
        <v>-118.324224168051</v>
      </c>
      <c r="L10" s="0" t="n">
        <f aca="false">-L6*L9/100</f>
        <v>-120.690708651412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4500.815718</v>
      </c>
      <c r="D11" s="0" t="n">
        <f aca="false">D8+D10+D24</f>
        <v>4400.43505188</v>
      </c>
      <c r="E11" s="0" t="n">
        <f aca="false">E8+E10+E24</f>
        <v>4346.5442613768</v>
      </c>
      <c r="F11" s="0" t="n">
        <f aca="false">F8+F10+F24</f>
        <v>4365.29118088251</v>
      </c>
      <c r="G11" s="0" t="n">
        <f aca="false">G8+G10+G24</f>
        <v>4455.85984955043</v>
      </c>
      <c r="H11" s="0" t="n">
        <f aca="false">H8+H10+H24</f>
        <v>4573.62902823167</v>
      </c>
      <c r="I11" s="0" t="n">
        <f aca="false">I8+I10+I24</f>
        <v>4693.92871380721</v>
      </c>
      <c r="J11" s="0" t="n">
        <f aca="false">J8+J10+J24</f>
        <v>4840.53644323846</v>
      </c>
      <c r="K11" s="0" t="n">
        <f aca="false">K8+K10+K24</f>
        <v>4937.34717210323</v>
      </c>
      <c r="L11" s="0" t="n">
        <f aca="false">L8+L10+L24</f>
        <v>5036.09411554529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-767.72976</v>
      </c>
      <c r="D12" s="4" t="n">
        <f aca="false">-D6*Assumptions!D17/100</f>
        <v>-785.09964582</v>
      </c>
      <c r="E12" s="4" t="n">
        <f aca="false">-E6*Assumptions!E17/100</f>
        <v>-797.8453993293</v>
      </c>
      <c r="F12" s="4" t="n">
        <f aca="false">-F6*Assumptions!F17/100</f>
        <v>-805.823853322593</v>
      </c>
      <c r="G12" s="4" t="n">
        <f aca="false">-G6*Assumptions!G17/100</f>
        <v>-812.893350931497</v>
      </c>
      <c r="H12" s="4" t="n">
        <f aca="false">-H6*Assumptions!H17/100</f>
        <v>-814.900495007871</v>
      </c>
      <c r="I12" s="4" t="n">
        <f aca="false">-I6*Assumptions!I17/100</f>
        <v>-827.124002432989</v>
      </c>
      <c r="J12" s="4" t="n">
        <f aca="false">-J6*Assumptions!J17/100</f>
        <v>-843.666482481649</v>
      </c>
      <c r="K12" s="4" t="n">
        <f aca="false">-K6*Assumptions!K17/100</f>
        <v>-860.539812131282</v>
      </c>
      <c r="L12" s="4" t="n">
        <f aca="false">-L6*Assumptions!L17/100</f>
        <v>-877.750608373907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3733.085958</v>
      </c>
      <c r="D13" s="0" t="n">
        <f aca="false">D11+D12</f>
        <v>3615.33540606</v>
      </c>
      <c r="E13" s="0" t="n">
        <f aca="false">E11+E12</f>
        <v>3548.6988620475</v>
      </c>
      <c r="F13" s="0" t="n">
        <f aca="false">F11+F12</f>
        <v>3559.46732755992</v>
      </c>
      <c r="G13" s="0" t="n">
        <f aca="false">G11+G12</f>
        <v>3642.96649861893</v>
      </c>
      <c r="H13" s="0" t="n">
        <f aca="false">H11+H12</f>
        <v>3758.7285332238</v>
      </c>
      <c r="I13" s="0" t="n">
        <f aca="false">I11+I12</f>
        <v>3866.80471137422</v>
      </c>
      <c r="J13" s="0" t="n">
        <f aca="false">J11+J12</f>
        <v>3996.86996075681</v>
      </c>
      <c r="K13" s="0" t="n">
        <f aca="false">K11+K12</f>
        <v>4076.80735997195</v>
      </c>
      <c r="L13" s="0" t="n">
        <f aca="false">L11+L12</f>
        <v>4158.34350717139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2650.49103018</v>
      </c>
      <c r="D15" s="0" t="n">
        <f aca="false">D13-MAX(0,D13)*D14/100</f>
        <v>2566.8881383026</v>
      </c>
      <c r="E15" s="0" t="n">
        <f aca="false">E13-MAX(0,E13)*E14/100</f>
        <v>2519.57619205373</v>
      </c>
      <c r="F15" s="0" t="n">
        <f aca="false">F13-MAX(0,F13)*F14/100</f>
        <v>2527.22180256754</v>
      </c>
      <c r="G15" s="0" t="n">
        <f aca="false">G13-MAX(0,G13)*G14/100</f>
        <v>2586.50621401944</v>
      </c>
      <c r="H15" s="0" t="n">
        <f aca="false">H13-MAX(0,H13)*H14/100</f>
        <v>2668.6972585889</v>
      </c>
      <c r="I15" s="0" t="n">
        <f aca="false">I13-MAX(0,I13)*I14/100</f>
        <v>2745.4313450757</v>
      </c>
      <c r="J15" s="0" t="n">
        <f aca="false">J13-MAX(0,J13)*J14/100</f>
        <v>2837.77767213734</v>
      </c>
      <c r="K15" s="0" t="n">
        <f aca="false">K13-MAX(0,K13)*K14/100</f>
        <v>2894.53322558008</v>
      </c>
      <c r="L15" s="0" t="n">
        <f aca="false">L13-MAX(0,L13)*L14/100</f>
        <v>2952.42389009168</v>
      </c>
    </row>
    <row r="16" customFormat="false" ht="15" hidden="false" customHeight="false" outlineLevel="0" collapsed="false">
      <c r="A16" s="0" t="s">
        <v>120</v>
      </c>
      <c r="C16" s="0" t="n">
        <f aca="false">-C12</f>
        <v>767.72976</v>
      </c>
      <c r="D16" s="0" t="n">
        <f aca="false">-D12</f>
        <v>785.09964582</v>
      </c>
      <c r="E16" s="0" t="n">
        <f aca="false">-E12</f>
        <v>797.8453993293</v>
      </c>
      <c r="F16" s="0" t="n">
        <f aca="false">-F12</f>
        <v>805.823853322593</v>
      </c>
      <c r="G16" s="0" t="n">
        <f aca="false">-G12</f>
        <v>812.893350931497</v>
      </c>
      <c r="H16" s="0" t="n">
        <f aca="false">-H12</f>
        <v>814.900495007871</v>
      </c>
      <c r="I16" s="0" t="n">
        <f aca="false">-I12</f>
        <v>827.124002432989</v>
      </c>
      <c r="J16" s="0" t="n">
        <f aca="false">-J12</f>
        <v>843.666482481649</v>
      </c>
      <c r="K16" s="0" t="n">
        <f aca="false">-K12</f>
        <v>860.539812131282</v>
      </c>
      <c r="L16" s="0" t="n">
        <f aca="false">-L12</f>
        <v>877.750608373907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-1727.39196</v>
      </c>
      <c r="D17" s="4" t="n">
        <f aca="false">-D6*Assumptions!D18/100</f>
        <v>-1696.2029385</v>
      </c>
      <c r="E17" s="4" t="n">
        <f aca="false">-E6*Assumptions!E18/100</f>
        <v>-1615.269826863</v>
      </c>
      <c r="F17" s="4" t="n">
        <f aca="false">-F6*Assumptions!F18/100</f>
        <v>-1532.54843269941</v>
      </c>
      <c r="G17" s="4" t="n">
        <f aca="false">-G6*Assumptions!G18/100</f>
        <v>-1455.1794553712</v>
      </c>
      <c r="H17" s="4" t="n">
        <f aca="false">-H6*Assumptions!H18/100</f>
        <v>-1426.07586626377</v>
      </c>
      <c r="I17" s="4" t="n">
        <f aca="false">-I6*Assumptions!I18/100</f>
        <v>-1421.6193791817</v>
      </c>
      <c r="J17" s="4" t="n">
        <f aca="false">-J6*Assumptions!J18/100</f>
        <v>-1423.68718918778</v>
      </c>
      <c r="K17" s="4" t="n">
        <f aca="false">-K6*Assumptions!K18/100</f>
        <v>-1452.16093297154</v>
      </c>
      <c r="L17" s="4" t="n">
        <f aca="false">-L6*Assumptions!L18/100</f>
        <v>-1481.20415163097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-85.0931999999992</v>
      </c>
      <c r="D18" s="4" t="n">
        <f aca="false">(D6-C6)*Assumptions!$B$23/100</f>
        <v>-57.5797320000004</v>
      </c>
      <c r="E18" s="4" t="n">
        <f aca="false">(E6-D6)*Assumptions!$B$23/100</f>
        <v>-58.1555293200002</v>
      </c>
      <c r="F18" s="4" t="n">
        <f aca="false">(F6-E6)*Assumptions!$B$23/100</f>
        <v>-58.7370846132003</v>
      </c>
      <c r="G18" s="4" t="n">
        <f aca="false">(G6-F6)*Assumptions!$B$23/100</f>
        <v>-88.9866831889973</v>
      </c>
      <c r="H18" s="4" t="n">
        <f aca="false">(H6-G6)*Assumptions!$B$23/100</f>
        <v>-90.3214834368322</v>
      </c>
      <c r="I18" s="4" t="n">
        <f aca="false">(I6-H6)*Assumptions!$B$23/100</f>
        <v>-91.676305688385</v>
      </c>
      <c r="J18" s="4" t="n">
        <f aca="false">(J6-I6)*Assumptions!$B$23/100</f>
        <v>-124.068600364949</v>
      </c>
      <c r="K18" s="4" t="n">
        <f aca="false">(K6-J6)*Assumptions!$B$23/100</f>
        <v>-126.549972372248</v>
      </c>
      <c r="L18" s="4" t="n">
        <f aca="false">(L6-K6)*Assumptions!$B$23/100</f>
        <v>-129.080971819693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1605.73563018</v>
      </c>
      <c r="D19" s="0" t="n">
        <f aca="false">D15+D16+D17+D18</f>
        <v>1598.2051136226</v>
      </c>
      <c r="E19" s="0" t="n">
        <f aca="false">E15+E16+E17+E18</f>
        <v>1643.99623520003</v>
      </c>
      <c r="F19" s="0" t="n">
        <f aca="false">F15+F16+F17+F18</f>
        <v>1741.76013857753</v>
      </c>
      <c r="G19" s="0" t="n">
        <f aca="false">G15+G16+G17+G18</f>
        <v>1855.23342639074</v>
      </c>
      <c r="H19" s="0" t="n">
        <f aca="false">H15+H16+H17+H18</f>
        <v>1967.20040389617</v>
      </c>
      <c r="I19" s="0" t="n">
        <f aca="false">I15+I16+I17+I18</f>
        <v>2059.2596626386</v>
      </c>
      <c r="J19" s="0" t="n">
        <f aca="false">J15+J16+J17+J18</f>
        <v>2133.68836506625</v>
      </c>
      <c r="K19" s="0" t="n">
        <f aca="false">K15+K16+K17+K18</f>
        <v>2176.36213236758</v>
      </c>
      <c r="L19" s="0" t="n">
        <f aca="false">L15+L16+L17+L18</f>
        <v>2219.88937501493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1473.15195429358</v>
      </c>
      <c r="D21" s="0" t="n">
        <f aca="false">D19*D20</f>
        <v>1345.17726927245</v>
      </c>
      <c r="E21" s="0" t="n">
        <f aca="false">E19*E20</f>
        <v>1269.46673410404</v>
      </c>
      <c r="F21" s="0" t="n">
        <f aca="false">F19*F20</f>
        <v>1233.90679379673</v>
      </c>
      <c r="G21" s="0" t="n">
        <f aca="false">G19*G20</f>
        <v>1205.77443272116</v>
      </c>
      <c r="H21" s="0" t="n">
        <f aca="false">H19*H20</f>
        <v>1172.97732626688</v>
      </c>
      <c r="I21" s="0" t="n">
        <f aca="false">I19*I20</f>
        <v>1126.48555448781</v>
      </c>
      <c r="J21" s="0" t="n">
        <f aca="false">J19*J20</f>
        <v>1070.82624175687</v>
      </c>
      <c r="K21" s="0" t="n">
        <f aca="false">K19*K20</f>
        <v>1002.05758402937</v>
      </c>
      <c r="L21" s="0" t="n">
        <f aca="false">L19*L20</f>
        <v>937.705262119223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3.2</v>
      </c>
      <c r="D23" s="4" t="n">
        <f aca="false">Assumptions!D16</f>
        <v>3.2</v>
      </c>
      <c r="E23" s="4" t="n">
        <f aca="false">Assumptions!E16</f>
        <v>3.2</v>
      </c>
      <c r="F23" s="4" t="n">
        <f aca="false">Assumptions!F16</f>
        <v>3.15</v>
      </c>
      <c r="G23" s="4" t="n">
        <f aca="false">Assumptions!G16</f>
        <v>3.1</v>
      </c>
      <c r="H23" s="4" t="n">
        <f aca="false">Assumptions!H16</f>
        <v>3.1</v>
      </c>
      <c r="I23" s="4" t="n">
        <f aca="false">Assumptions!I16</f>
        <v>3.1</v>
      </c>
      <c r="J23" s="4" t="n">
        <f aca="false">Assumptions!J16</f>
        <v>3.1</v>
      </c>
      <c r="K23" s="4" t="n">
        <f aca="false">Assumptions!K16</f>
        <v>3.1</v>
      </c>
      <c r="L23" s="4" t="n">
        <f aca="false">Assumptions!L16</f>
        <v>3.1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-1535.45952</v>
      </c>
      <c r="D24" s="0" t="n">
        <f aca="false">-D6*D23/100</f>
        <v>-1550.8141152</v>
      </c>
      <c r="E24" s="0" t="n">
        <f aca="false">-E6*E23/100</f>
        <v>-1566.322256352</v>
      </c>
      <c r="F24" s="0" t="n">
        <f aca="false">-F6*F23/100</f>
        <v>-1557.26695580747</v>
      </c>
      <c r="G24" s="0" t="n">
        <f aca="false">-G6*G23/100</f>
        <v>-1555.5366591899</v>
      </c>
      <c r="H24" s="0" t="n">
        <f aca="false">-H6*H23/100</f>
        <v>-1578.86970907775</v>
      </c>
      <c r="I24" s="0" t="n">
        <f aca="false">-I6*I23/100</f>
        <v>-1602.55275471392</v>
      </c>
      <c r="J24" s="0" t="n">
        <f aca="false">-J6*J23/100</f>
        <v>-1634.60380980819</v>
      </c>
      <c r="K24" s="0" t="n">
        <f aca="false">-K6*K23/100</f>
        <v>-1667.29588600436</v>
      </c>
      <c r="L24" s="0" t="n">
        <f aca="false">-L6*L23/100</f>
        <v>-1700.64180372445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11837.5291528481</v>
      </c>
    </row>
    <row r="31" customFormat="false" ht="15" hidden="false" customHeight="false" outlineLevel="0" collapsed="false">
      <c r="A31" s="0" t="s">
        <v>129</v>
      </c>
      <c r="B31" s="0" t="n">
        <f aca="false">L19</f>
        <v>2219.88937501493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32346.9594645033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31078.451250209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31078.451250209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13127.8736696691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24965.4028225172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19849.4028225172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17.4838393574538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-0.762480106541859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711.23919946314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742.866868839724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18.764651537761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17417.5935578095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7.29572056793818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3.8</v>
      </c>
      <c r="F5" s="4" t="n">
        <f aca="false">Assumptions!F27</f>
        <v>3.6</v>
      </c>
      <c r="G5" s="4" t="n">
        <f aca="false">Assumptions!G27</f>
        <v>3.4</v>
      </c>
      <c r="H5" s="4" t="n">
        <f aca="false">Assumptions!H27</f>
        <v>3.2</v>
      </c>
      <c r="I5" s="4" t="n">
        <f aca="false">Assumptions!I27</f>
        <v>3</v>
      </c>
      <c r="J5" s="4" t="n">
        <f aca="false">Assumptions!J27</f>
        <v>2.8</v>
      </c>
      <c r="K5" s="4" t="n">
        <f aca="false">Assumptions!K27</f>
        <v>2.6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47274</v>
      </c>
      <c r="C6" s="0" t="n">
        <f aca="false">B6*(1+C5/100)</f>
        <v>49164.96</v>
      </c>
      <c r="D6" s="0" t="n">
        <f aca="false">C6*(1+D5/100)</f>
        <v>51131.5584</v>
      </c>
      <c r="E6" s="0" t="n">
        <f aca="false">D6*(1+E5/100)</f>
        <v>53074.5576192</v>
      </c>
      <c r="F6" s="0" t="n">
        <f aca="false">E6*(1+F5/100)</f>
        <v>54985.2416934912</v>
      </c>
      <c r="G6" s="0" t="n">
        <f aca="false">F6*(1+G5/100)</f>
        <v>56854.7399110699</v>
      </c>
      <c r="H6" s="0" t="n">
        <f aca="false">G6*(1+H5/100)</f>
        <v>58674.0915882241</v>
      </c>
      <c r="I6" s="0" t="n">
        <f aca="false">H6*(1+I5/100)</f>
        <v>60434.3143358709</v>
      </c>
      <c r="J6" s="0" t="n">
        <f aca="false">I6*(1+J5/100)</f>
        <v>62126.4751372753</v>
      </c>
      <c r="K6" s="0" t="n">
        <f aca="false">J6*(1+K5/100)</f>
        <v>63741.7634908444</v>
      </c>
      <c r="L6" s="0" t="n">
        <f aca="false">K6*(1+L5/100)</f>
        <v>65335.3075781155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13.6</v>
      </c>
      <c r="D7" s="4" t="n">
        <f aca="false">Assumptions!D28</f>
        <v>13.7</v>
      </c>
      <c r="E7" s="4" t="n">
        <f aca="false">Assumptions!E28</f>
        <v>13.8</v>
      </c>
      <c r="F7" s="4" t="n">
        <f aca="false">Assumptions!F28</f>
        <v>13.9</v>
      </c>
      <c r="G7" s="4" t="n">
        <f aca="false">Assumptions!G28</f>
        <v>14</v>
      </c>
      <c r="H7" s="4" t="n">
        <f aca="false">Assumptions!H28</f>
        <v>14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6686.43456</v>
      </c>
      <c r="D8" s="0" t="n">
        <f aca="false">D6*D7/100</f>
        <v>7005.0235008</v>
      </c>
      <c r="E8" s="0" t="n">
        <f aca="false">E6*E7/100</f>
        <v>7324.2889514496</v>
      </c>
      <c r="F8" s="0" t="n">
        <f aca="false">F6*F7/100</f>
        <v>7642.94859539528</v>
      </c>
      <c r="G8" s="0" t="n">
        <f aca="false">G6*G7/100</f>
        <v>7959.66358754979</v>
      </c>
      <c r="H8" s="0" t="n">
        <f aca="false">H6*H7/100</f>
        <v>8214.37282235138</v>
      </c>
      <c r="I8" s="0" t="n">
        <f aca="false">I6*I7/100</f>
        <v>8460.80400702192</v>
      </c>
      <c r="J8" s="0" t="n">
        <f aca="false">J6*J7/100</f>
        <v>8697.70651921854</v>
      </c>
      <c r="K8" s="0" t="n">
        <f aca="false">K6*K7/100</f>
        <v>8923.84688871822</v>
      </c>
      <c r="L8" s="0" t="n">
        <f aca="false">L6*L7/100</f>
        <v>9146.94306093617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0.22</v>
      </c>
      <c r="D9" s="4" t="n">
        <f aca="false">Assumptions!D29</f>
        <v>0.22</v>
      </c>
      <c r="E9" s="4" t="n">
        <f aca="false">Assumptions!E29</f>
        <v>0.22</v>
      </c>
      <c r="F9" s="4" t="n">
        <f aca="false">Assumptions!F29</f>
        <v>0.22</v>
      </c>
      <c r="G9" s="4" t="n">
        <f aca="false">Assumptions!G29</f>
        <v>0.22</v>
      </c>
      <c r="H9" s="4" t="n">
        <f aca="false">Assumptions!H29</f>
        <v>0.22</v>
      </c>
      <c r="I9" s="4" t="n">
        <f aca="false">Assumptions!I29</f>
        <v>0.22</v>
      </c>
      <c r="J9" s="4" t="n">
        <f aca="false">Assumptions!J29</f>
        <v>0.22</v>
      </c>
      <c r="K9" s="4" t="n">
        <f aca="false">Assumptions!K29</f>
        <v>0.22</v>
      </c>
      <c r="L9" s="4" t="n">
        <f aca="false">Assumptions!L29</f>
        <v>0.22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-108.162912</v>
      </c>
      <c r="D10" s="0" t="n">
        <f aca="false">-D6*D9/100</f>
        <v>-112.48942848</v>
      </c>
      <c r="E10" s="0" t="n">
        <f aca="false">-E6*E9/100</f>
        <v>-116.76402676224</v>
      </c>
      <c r="F10" s="0" t="n">
        <f aca="false">-F6*F9/100</f>
        <v>-120.967531725681</v>
      </c>
      <c r="G10" s="0" t="n">
        <f aca="false">-G6*G9/100</f>
        <v>-125.080427804354</v>
      </c>
      <c r="H10" s="0" t="n">
        <f aca="false">-H6*H9/100</f>
        <v>-129.083001494093</v>
      </c>
      <c r="I10" s="0" t="n">
        <f aca="false">-I6*I9/100</f>
        <v>-132.955491538916</v>
      </c>
      <c r="J10" s="0" t="n">
        <f aca="false">-J6*J9/100</f>
        <v>-136.678245302006</v>
      </c>
      <c r="K10" s="0" t="n">
        <f aca="false">-K6*K9/100</f>
        <v>-140.231879679858</v>
      </c>
      <c r="L10" s="0" t="n">
        <f aca="false">-L6*L9/100</f>
        <v>-143.737676671854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5078.740368</v>
      </c>
      <c r="D11" s="0" t="n">
        <f aca="false">D8+D10+D24</f>
        <v>5358.58732032</v>
      </c>
      <c r="E11" s="0" t="n">
        <f aca="false">E8+E10+E24</f>
        <v>5641.82547492096</v>
      </c>
      <c r="F11" s="0" t="n">
        <f aca="false">F8+F10+F24</f>
        <v>5927.40905455835</v>
      </c>
      <c r="G11" s="0" t="n">
        <f aca="false">G8+G10+G24</f>
        <v>6214.22307227994</v>
      </c>
      <c r="H11" s="0" t="n">
        <f aca="false">H8+H10+H24</f>
        <v>6442.41525638701</v>
      </c>
      <c r="I11" s="0" t="n">
        <f aca="false">I8+I10+I24</f>
        <v>6635.68771407862</v>
      </c>
      <c r="J11" s="0" t="n">
        <f aca="false">J8+J10+J24</f>
        <v>6821.48697007282</v>
      </c>
      <c r="K11" s="0" t="n">
        <f aca="false">K8+K10+K24</f>
        <v>6998.84563129472</v>
      </c>
      <c r="L11" s="0" t="n">
        <f aca="false">L8+L10+L24</f>
        <v>7173.81677207709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-762.05688</v>
      </c>
      <c r="D12" s="4" t="n">
        <f aca="false">-D6*Assumptions!D31/100</f>
        <v>-792.5391552</v>
      </c>
      <c r="E12" s="4" t="n">
        <f aca="false">-E6*Assumptions!E31/100</f>
        <v>-817.34818733568</v>
      </c>
      <c r="F12" s="4" t="n">
        <f aca="false">-F6*Assumptions!F31/100</f>
        <v>-841.274197910415</v>
      </c>
      <c r="G12" s="4" t="n">
        <f aca="false">-G6*Assumptions!G31/100</f>
        <v>-864.192046648263</v>
      </c>
      <c r="H12" s="4" t="n">
        <f aca="false">-H6*Assumptions!H31/100</f>
        <v>-885.978782982185</v>
      </c>
      <c r="I12" s="4" t="n">
        <f aca="false">-I6*Assumptions!I31/100</f>
        <v>-906.514715038063</v>
      </c>
      <c r="J12" s="4" t="n">
        <f aca="false">-J6*Assumptions!J31/100</f>
        <v>-931.897127059129</v>
      </c>
      <c r="K12" s="4" t="n">
        <f aca="false">-K6*Assumptions!K31/100</f>
        <v>-956.126452362666</v>
      </c>
      <c r="L12" s="4" t="n">
        <f aca="false">-L6*Assumptions!L31/100</f>
        <v>-980.029613671733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4316.683488</v>
      </c>
      <c r="D13" s="0" t="n">
        <f aca="false">D11+D12</f>
        <v>4566.04816512</v>
      </c>
      <c r="E13" s="0" t="n">
        <f aca="false">E11+E12</f>
        <v>4824.47728758528</v>
      </c>
      <c r="F13" s="0" t="n">
        <f aca="false">F11+F12</f>
        <v>5086.13485664794</v>
      </c>
      <c r="G13" s="0" t="n">
        <f aca="false">G11+G12</f>
        <v>5350.03102563168</v>
      </c>
      <c r="H13" s="0" t="n">
        <f aca="false">H11+H12</f>
        <v>5556.43647340483</v>
      </c>
      <c r="I13" s="0" t="n">
        <f aca="false">I11+I12</f>
        <v>5729.17299904056</v>
      </c>
      <c r="J13" s="0" t="n">
        <f aca="false">J11+J12</f>
        <v>5889.58984301369</v>
      </c>
      <c r="K13" s="0" t="n">
        <f aca="false">K11+K12</f>
        <v>6042.71917893205</v>
      </c>
      <c r="L13" s="0" t="n">
        <f aca="false">L11+L12</f>
        <v>6193.78715840535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3064.84527648</v>
      </c>
      <c r="D15" s="0" t="n">
        <f aca="false">D13-MAX(0,D13)*D14/100</f>
        <v>3241.8941972352</v>
      </c>
      <c r="E15" s="0" t="n">
        <f aca="false">E13-MAX(0,E13)*E14/100</f>
        <v>3425.37887418555</v>
      </c>
      <c r="F15" s="0" t="n">
        <f aca="false">F13-MAX(0,F13)*F14/100</f>
        <v>3611.15574822004</v>
      </c>
      <c r="G15" s="0" t="n">
        <f aca="false">G13-MAX(0,G13)*G14/100</f>
        <v>3798.52202819849</v>
      </c>
      <c r="H15" s="0" t="n">
        <f aca="false">H13-MAX(0,H13)*H14/100</f>
        <v>3945.06989611743</v>
      </c>
      <c r="I15" s="0" t="n">
        <f aca="false">I13-MAX(0,I13)*I14/100</f>
        <v>4067.7128293188</v>
      </c>
      <c r="J15" s="0" t="n">
        <f aca="false">J13-MAX(0,J13)*J14/100</f>
        <v>4181.60878853972</v>
      </c>
      <c r="K15" s="0" t="n">
        <f aca="false">K13-MAX(0,K13)*K14/100</f>
        <v>4290.33061704176</v>
      </c>
      <c r="L15" s="0" t="n">
        <f aca="false">L13-MAX(0,L13)*L14/100</f>
        <v>4397.5888824678</v>
      </c>
    </row>
    <row r="16" customFormat="false" ht="15" hidden="false" customHeight="false" outlineLevel="0" collapsed="false">
      <c r="A16" s="0" t="s">
        <v>120</v>
      </c>
      <c r="C16" s="0" t="n">
        <f aca="false">-C12</f>
        <v>762.05688</v>
      </c>
      <c r="D16" s="0" t="n">
        <f aca="false">-D12</f>
        <v>792.5391552</v>
      </c>
      <c r="E16" s="0" t="n">
        <f aca="false">-E12</f>
        <v>817.34818733568</v>
      </c>
      <c r="F16" s="0" t="n">
        <f aca="false">-F12</f>
        <v>841.274197910415</v>
      </c>
      <c r="G16" s="0" t="n">
        <f aca="false">-G12</f>
        <v>864.192046648263</v>
      </c>
      <c r="H16" s="0" t="n">
        <f aca="false">-H12</f>
        <v>885.978782982185</v>
      </c>
      <c r="I16" s="0" t="n">
        <f aca="false">-I12</f>
        <v>906.514715038063</v>
      </c>
      <c r="J16" s="0" t="n">
        <f aca="false">-J12</f>
        <v>931.897127059129</v>
      </c>
      <c r="K16" s="0" t="n">
        <f aca="false">-K12</f>
        <v>956.126452362666</v>
      </c>
      <c r="L16" s="0" t="n">
        <f aca="false">-L12</f>
        <v>980.029613671733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-1671.60864</v>
      </c>
      <c r="D17" s="4" t="n">
        <f aca="false">-D6*Assumptions!D32/100</f>
        <v>-1636.2098688</v>
      </c>
      <c r="E17" s="4" t="n">
        <f aca="false">-E6*Assumptions!E32/100</f>
        <v>-1592.236728576</v>
      </c>
      <c r="F17" s="4" t="n">
        <f aca="false">-F6*Assumptions!F32/100</f>
        <v>-1539.58676741775</v>
      </c>
      <c r="G17" s="4" t="n">
        <f aca="false">-G6*Assumptions!G32/100</f>
        <v>-1506.65060764335</v>
      </c>
      <c r="H17" s="4" t="n">
        <f aca="false">-H6*Assumptions!H32/100</f>
        <v>-1525.52638129383</v>
      </c>
      <c r="I17" s="4" t="n">
        <f aca="false">-I6*Assumptions!I32/100</f>
        <v>-1571.29217273264</v>
      </c>
      <c r="J17" s="4" t="n">
        <f aca="false">-J6*Assumptions!J32/100</f>
        <v>-1615.28835356916</v>
      </c>
      <c r="K17" s="4" t="n">
        <f aca="false">-K6*Assumptions!K32/100</f>
        <v>-1657.28585076195</v>
      </c>
      <c r="L17" s="4" t="n">
        <f aca="false">-L6*Assumptions!L32/100</f>
        <v>-1698.717997031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-151.2768</v>
      </c>
      <c r="D18" s="4" t="n">
        <f aca="false">(D6-C6)*Assumptions!$B$37/100</f>
        <v>-157.327872</v>
      </c>
      <c r="E18" s="4" t="n">
        <f aca="false">(E6-D6)*Assumptions!$B$37/100</f>
        <v>-155.439937536</v>
      </c>
      <c r="F18" s="4" t="n">
        <f aca="false">(F6-E6)*Assumptions!$B$37/100</f>
        <v>-152.854725943296</v>
      </c>
      <c r="G18" s="4" t="n">
        <f aca="false">(G6-F6)*Assumptions!$B$37/100</f>
        <v>-149.559857406296</v>
      </c>
      <c r="H18" s="4" t="n">
        <f aca="false">(H6-G6)*Assumptions!$B$37/100</f>
        <v>-145.548134172339</v>
      </c>
      <c r="I18" s="4" t="n">
        <f aca="false">(I6-H6)*Assumptions!$B$37/100</f>
        <v>-140.817819811738</v>
      </c>
      <c r="J18" s="4" t="n">
        <f aca="false">(J6-I6)*Assumptions!$B$37/100</f>
        <v>-135.372864112351</v>
      </c>
      <c r="K18" s="4" t="n">
        <f aca="false">(K6-J6)*Assumptions!$B$37/100</f>
        <v>-129.223068285533</v>
      </c>
      <c r="L18" s="4" t="n">
        <f aca="false">(L6-K6)*Assumptions!$B$37/100</f>
        <v>-127.483526981688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2004.01671648</v>
      </c>
      <c r="D19" s="0" t="n">
        <f aca="false">D15+D16+D17+D18</f>
        <v>2240.8956116352</v>
      </c>
      <c r="E19" s="0" t="n">
        <f aca="false">E15+E16+E17+E18</f>
        <v>2495.05039540923</v>
      </c>
      <c r="F19" s="0" t="n">
        <f aca="false">F15+F16+F17+F18</f>
        <v>2759.9884527694</v>
      </c>
      <c r="G19" s="0" t="n">
        <f aca="false">G15+G16+G17+G18</f>
        <v>3006.50360979711</v>
      </c>
      <c r="H19" s="0" t="n">
        <f aca="false">H15+H16+H17+H18</f>
        <v>3159.97416363345</v>
      </c>
      <c r="I19" s="0" t="n">
        <f aca="false">I15+I16+I17+I18</f>
        <v>3262.11755181248</v>
      </c>
      <c r="J19" s="0" t="n">
        <f aca="false">J15+J16+J17+J18</f>
        <v>3362.84469791734</v>
      </c>
      <c r="K19" s="0" t="n">
        <f aca="false">K15+K16+K17+K18</f>
        <v>3459.94815035694</v>
      </c>
      <c r="L19" s="0" t="n">
        <f aca="false">L15+L16+L17+L18</f>
        <v>3551.41697212684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1855.57103377778</v>
      </c>
      <c r="D21" s="0" t="n">
        <f aca="false">D19*D20</f>
        <v>1921.20680009877</v>
      </c>
      <c r="E21" s="0" t="n">
        <f aca="false">E19*E20</f>
        <v>1980.65144684597</v>
      </c>
      <c r="F21" s="0" t="n">
        <f aca="false">F19*F20</f>
        <v>2028.673906159</v>
      </c>
      <c r="G21" s="0" t="n">
        <f aca="false">G19*G20</f>
        <v>2046.17583864923</v>
      </c>
      <c r="H21" s="0" t="n">
        <f aca="false">H19*H20</f>
        <v>1991.31973965714</v>
      </c>
      <c r="I21" s="0" t="n">
        <f aca="false">I19*I20</f>
        <v>1903.41425969861</v>
      </c>
      <c r="J21" s="0" t="n">
        <f aca="false">J19*J20</f>
        <v>1816.84035369719</v>
      </c>
      <c r="K21" s="0" t="n">
        <f aca="false">K19*K20</f>
        <v>1730.83548854446</v>
      </c>
      <c r="L21" s="0" t="n">
        <f aca="false">L19*L20</f>
        <v>1644.99321496258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3.05</v>
      </c>
      <c r="D23" s="4" t="n">
        <f aca="false">Assumptions!D30</f>
        <v>3</v>
      </c>
      <c r="E23" s="4" t="n">
        <f aca="false">Assumptions!E30</f>
        <v>2.95</v>
      </c>
      <c r="F23" s="4" t="n">
        <f aca="false">Assumptions!F30</f>
        <v>2.9</v>
      </c>
      <c r="G23" s="4" t="n">
        <f aca="false">Assumptions!G30</f>
        <v>2.85</v>
      </c>
      <c r="H23" s="4" t="n">
        <f aca="false">Assumptions!H30</f>
        <v>2.8</v>
      </c>
      <c r="I23" s="4" t="n">
        <f aca="false">Assumptions!I30</f>
        <v>2.8</v>
      </c>
      <c r="J23" s="4" t="n">
        <f aca="false">Assumptions!J30</f>
        <v>2.8</v>
      </c>
      <c r="K23" s="4" t="n">
        <f aca="false">Assumptions!K30</f>
        <v>2.8</v>
      </c>
      <c r="L23" s="4" t="n">
        <f aca="false">Assumptions!L30</f>
        <v>2.8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-1499.53128</v>
      </c>
      <c r="D24" s="0" t="n">
        <f aca="false">-D6*D23/100</f>
        <v>-1533.946752</v>
      </c>
      <c r="E24" s="0" t="n">
        <f aca="false">-E6*E23/100</f>
        <v>-1565.6994497664</v>
      </c>
      <c r="F24" s="0" t="n">
        <f aca="false">-F6*F23/100</f>
        <v>-1594.57200911125</v>
      </c>
      <c r="G24" s="0" t="n">
        <f aca="false">-G6*G23/100</f>
        <v>-1620.36008746549</v>
      </c>
      <c r="H24" s="0" t="n">
        <f aca="false">-H6*H23/100</f>
        <v>-1642.87456447028</v>
      </c>
      <c r="I24" s="0" t="n">
        <f aca="false">-I6*I23/100</f>
        <v>-1692.16080140438</v>
      </c>
      <c r="J24" s="0" t="n">
        <f aca="false">-J6*J23/100</f>
        <v>-1739.54130384371</v>
      </c>
      <c r="K24" s="0" t="n">
        <f aca="false">-K6*K23/100</f>
        <v>-1784.76937774364</v>
      </c>
      <c r="L24" s="0" t="n">
        <f aca="false">-L6*L23/100</f>
        <v>-1829.38861218723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18919.6820820907</v>
      </c>
    </row>
    <row r="31" customFormat="false" ht="15" hidden="false" customHeight="false" outlineLevel="0" collapsed="false">
      <c r="A31" s="0" t="s">
        <v>129</v>
      </c>
      <c r="B31" s="0" t="n">
        <f aca="false">L19</f>
        <v>3551.41697212684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66185.4981169093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63925.5054982831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63925.5054982831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29609.8778693264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48529.5599514171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43413.5599514171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38.2397251399781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-0.480509100122564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832.820482987407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1240.77844949991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40.0662017827045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29121.6191714401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13.9047099346843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47274</v>
      </c>
      <c r="C6" s="0" t="n">
        <f aca="false">B6*(1+C5/100)</f>
        <v>50583.18</v>
      </c>
      <c r="D6" s="0" t="n">
        <f aca="false">C6*(1+D5/100)</f>
        <v>54124.0026</v>
      </c>
      <c r="E6" s="0" t="n">
        <f aca="false">D6*(1+E5/100)</f>
        <v>57642.062769</v>
      </c>
      <c r="F6" s="0" t="n">
        <f aca="false">E6*(1+F5/100)</f>
        <v>61100.58653514</v>
      </c>
      <c r="G6" s="0" t="n">
        <f aca="false">F6*(1+G5/100)</f>
        <v>64461.1187945727</v>
      </c>
      <c r="H6" s="0" t="n">
        <f aca="false">G6*(1+H5/100)</f>
        <v>67684.1747343013</v>
      </c>
      <c r="I6" s="0" t="n">
        <f aca="false">H6*(1+I5/100)</f>
        <v>70729.9625973449</v>
      </c>
      <c r="J6" s="0" t="n">
        <f aca="false">I6*(1+J5/100)</f>
        <v>73559.1611012387</v>
      </c>
      <c r="K6" s="0" t="n">
        <f aca="false">J6*(1+K5/100)</f>
        <v>76133.731739782</v>
      </c>
      <c r="L6" s="0" t="n">
        <f aca="false">K6*(1+L5/100)</f>
        <v>78417.7436919755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14</v>
      </c>
      <c r="D7" s="4" t="n">
        <f aca="false">Assumptions!D42</f>
        <v>14.3</v>
      </c>
      <c r="E7" s="4" t="n">
        <f aca="false">Assumptions!E42</f>
        <v>14.6</v>
      </c>
      <c r="F7" s="4" t="n">
        <f aca="false">Assumptions!F42</f>
        <v>14.9</v>
      </c>
      <c r="G7" s="4" t="n">
        <f aca="false">Assumptions!G42</f>
        <v>15.2</v>
      </c>
      <c r="H7" s="4" t="n">
        <f aca="false">Assumptions!H42</f>
        <v>15.4</v>
      </c>
      <c r="I7" s="4" t="n">
        <f aca="false">Assumptions!I42</f>
        <v>15.4</v>
      </c>
      <c r="J7" s="4" t="n">
        <f aca="false">Assumptions!J42</f>
        <v>15.4</v>
      </c>
      <c r="K7" s="4" t="n">
        <f aca="false">Assumptions!K42</f>
        <v>15.4</v>
      </c>
      <c r="L7" s="4" t="n">
        <f aca="false">Assumptions!L42</f>
        <v>15.4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7081.6452</v>
      </c>
      <c r="D8" s="0" t="n">
        <f aca="false">D6*D7/100</f>
        <v>7739.7323718</v>
      </c>
      <c r="E8" s="0" t="n">
        <f aca="false">E6*E7/100</f>
        <v>8415.741164274</v>
      </c>
      <c r="F8" s="0" t="n">
        <f aca="false">F6*F7/100</f>
        <v>9103.98739373586</v>
      </c>
      <c r="G8" s="0" t="n">
        <f aca="false">G6*G7/100</f>
        <v>9798.09005677505</v>
      </c>
      <c r="H8" s="0" t="n">
        <f aca="false">H6*H7/100</f>
        <v>10423.3629090824</v>
      </c>
      <c r="I8" s="0" t="n">
        <f aca="false">I6*I7/100</f>
        <v>10892.4142399911</v>
      </c>
      <c r="J8" s="0" t="n">
        <f aca="false">J6*J7/100</f>
        <v>11328.1108095908</v>
      </c>
      <c r="K8" s="0" t="n">
        <f aca="false">K6*K7/100</f>
        <v>11724.5946879264</v>
      </c>
      <c r="L8" s="0" t="n">
        <f aca="false">L6*L7/100</f>
        <v>12076.3325285642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0.22</v>
      </c>
      <c r="D9" s="4" t="n">
        <f aca="false">Assumptions!D43</f>
        <v>0.22</v>
      </c>
      <c r="E9" s="4" t="n">
        <f aca="false">Assumptions!E43</f>
        <v>0.22</v>
      </c>
      <c r="F9" s="4" t="n">
        <f aca="false">Assumptions!F43</f>
        <v>0.22</v>
      </c>
      <c r="G9" s="4" t="n">
        <f aca="false">Assumptions!G43</f>
        <v>0.22</v>
      </c>
      <c r="H9" s="4" t="n">
        <f aca="false">Assumptions!H43</f>
        <v>0.22</v>
      </c>
      <c r="I9" s="4" t="n">
        <f aca="false">Assumptions!I43</f>
        <v>0.22</v>
      </c>
      <c r="J9" s="4" t="n">
        <f aca="false">Assumptions!J43</f>
        <v>0.22</v>
      </c>
      <c r="K9" s="4" t="n">
        <f aca="false">Assumptions!K43</f>
        <v>0.22</v>
      </c>
      <c r="L9" s="4" t="n">
        <f aca="false">Assumptions!L43</f>
        <v>0.22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-111.282996</v>
      </c>
      <c r="D10" s="0" t="n">
        <f aca="false">-D6*D9/100</f>
        <v>-119.07280572</v>
      </c>
      <c r="E10" s="0" t="n">
        <f aca="false">-E6*E9/100</f>
        <v>-126.8125380918</v>
      </c>
      <c r="F10" s="0" t="n">
        <f aca="false">-F6*F9/100</f>
        <v>-134.421290377308</v>
      </c>
      <c r="G10" s="0" t="n">
        <f aca="false">-G6*G9/100</f>
        <v>-141.81446134806</v>
      </c>
      <c r="H10" s="0" t="n">
        <f aca="false">-H6*H9/100</f>
        <v>-148.905184415463</v>
      </c>
      <c r="I10" s="0" t="n">
        <f aca="false">-I6*I9/100</f>
        <v>-155.605917714159</v>
      </c>
      <c r="J10" s="0" t="n">
        <f aca="false">-J6*J9/100</f>
        <v>-161.830154422725</v>
      </c>
      <c r="K10" s="0" t="n">
        <f aca="false">-K6*K9/100</f>
        <v>-167.494209827521</v>
      </c>
      <c r="L10" s="0" t="n">
        <f aca="false">-L6*L9/100</f>
        <v>-172.519036122346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5452.866804</v>
      </c>
      <c r="D11" s="0" t="n">
        <f aca="false">D8+D10+D24</f>
        <v>6051.06349068</v>
      </c>
      <c r="E11" s="0" t="n">
        <f aca="false">E8+E10+E24</f>
        <v>6674.9508686502</v>
      </c>
      <c r="F11" s="0" t="n">
        <f aca="false">F8+F10+F24</f>
        <v>7319.85026690977</v>
      </c>
      <c r="G11" s="0" t="n">
        <f aca="false">G8+G10+G24</f>
        <v>7980.2865067681</v>
      </c>
      <c r="H11" s="0" t="n">
        <f aca="false">H8+H10+H24</f>
        <v>8514.66918157511</v>
      </c>
      <c r="I11" s="0" t="n">
        <f aca="false">I8+I10+I24</f>
        <v>8897.82929474599</v>
      </c>
      <c r="J11" s="0" t="n">
        <f aca="false">J8+J10+J24</f>
        <v>9253.74246653583</v>
      </c>
      <c r="K11" s="0" t="n">
        <f aca="false">K8+K10+K24</f>
        <v>9577.62345286458</v>
      </c>
      <c r="L11" s="0" t="n">
        <f aca="false">L8+L10+L24</f>
        <v>9864.95215645052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-784.03929</v>
      </c>
      <c r="D12" s="4" t="n">
        <f aca="false">-D6*Assumptions!D45/100</f>
        <v>-828.09723978</v>
      </c>
      <c r="E12" s="4" t="n">
        <f aca="false">-E6*Assumptions!E45/100</f>
        <v>-864.630941535</v>
      </c>
      <c r="F12" s="4" t="n">
        <f aca="false">-F6*Assumptions!F45/100</f>
        <v>-904.288680720072</v>
      </c>
      <c r="G12" s="4" t="n">
        <f aca="false">-G6*Assumptions!G45/100</f>
        <v>-934.686222521304</v>
      </c>
      <c r="H12" s="4" t="n">
        <f aca="false">-H6*Assumptions!H45/100</f>
        <v>-967.883698700509</v>
      </c>
      <c r="I12" s="4" t="n">
        <f aca="false">-I6*Assumptions!I45/100</f>
        <v>-990.219476362829</v>
      </c>
      <c r="J12" s="4" t="n">
        <f aca="false">-J6*Assumptions!J45/100</f>
        <v>-1029.82825541734</v>
      </c>
      <c r="K12" s="4" t="n">
        <f aca="false">-K6*Assumptions!K45/100</f>
        <v>-1065.87224435695</v>
      </c>
      <c r="L12" s="4" t="n">
        <f aca="false">-L6*Assumptions!L45/100</f>
        <v>-1097.84841168766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4668.827514</v>
      </c>
      <c r="D13" s="0" t="n">
        <f aca="false">D11+D12</f>
        <v>5222.9662509</v>
      </c>
      <c r="E13" s="0" t="n">
        <f aca="false">E11+E12</f>
        <v>5810.3199271152</v>
      </c>
      <c r="F13" s="0" t="n">
        <f aca="false">F11+F12</f>
        <v>6415.5615861897</v>
      </c>
      <c r="G13" s="0" t="n">
        <f aca="false">G11+G12</f>
        <v>7045.6002842468</v>
      </c>
      <c r="H13" s="0" t="n">
        <f aca="false">H11+H12</f>
        <v>7546.7854828746</v>
      </c>
      <c r="I13" s="0" t="n">
        <f aca="false">I11+I12</f>
        <v>7907.60981838316</v>
      </c>
      <c r="J13" s="0" t="n">
        <f aca="false">J11+J12</f>
        <v>8223.91421111849</v>
      </c>
      <c r="K13" s="0" t="n">
        <f aca="false">K11+K12</f>
        <v>8511.75120850763</v>
      </c>
      <c r="L13" s="0" t="n">
        <f aca="false">L11+L12</f>
        <v>8767.10374476286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29</v>
      </c>
      <c r="D14" s="4" t="n">
        <f aca="false">Assumptions!D47</f>
        <v>29</v>
      </c>
      <c r="E14" s="4" t="n">
        <f aca="false">Assumptions!E47</f>
        <v>29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3314.86753494</v>
      </c>
      <c r="D15" s="0" t="n">
        <f aca="false">D13-MAX(0,D13)*D14/100</f>
        <v>3708.306038139</v>
      </c>
      <c r="E15" s="0" t="n">
        <f aca="false">E13-MAX(0,E13)*E14/100</f>
        <v>4125.32714825179</v>
      </c>
      <c r="F15" s="0" t="n">
        <f aca="false">F13-MAX(0,F13)*F14/100</f>
        <v>4555.04872619469</v>
      </c>
      <c r="G15" s="0" t="n">
        <f aca="false">G13-MAX(0,G13)*G14/100</f>
        <v>5002.37620181523</v>
      </c>
      <c r="H15" s="0" t="n">
        <f aca="false">H13-MAX(0,H13)*H14/100</f>
        <v>5358.21769284096</v>
      </c>
      <c r="I15" s="0" t="n">
        <f aca="false">I13-MAX(0,I13)*I14/100</f>
        <v>5614.40297105204</v>
      </c>
      <c r="J15" s="0" t="n">
        <f aca="false">J13-MAX(0,J13)*J14/100</f>
        <v>5838.97908989413</v>
      </c>
      <c r="K15" s="0" t="n">
        <f aca="false">K13-MAX(0,K13)*K14/100</f>
        <v>6043.34335804042</v>
      </c>
      <c r="L15" s="0" t="n">
        <f aca="false">L13-MAX(0,L13)*L14/100</f>
        <v>6224.64365878163</v>
      </c>
    </row>
    <row r="16" customFormat="false" ht="15" hidden="false" customHeight="false" outlineLevel="0" collapsed="false">
      <c r="A16" s="0" t="s">
        <v>120</v>
      </c>
      <c r="C16" s="0" t="n">
        <f aca="false">-C12</f>
        <v>784.03929</v>
      </c>
      <c r="D16" s="0" t="n">
        <f aca="false">-D12</f>
        <v>828.09723978</v>
      </c>
      <c r="E16" s="0" t="n">
        <f aca="false">-E12</f>
        <v>864.630941535</v>
      </c>
      <c r="F16" s="0" t="n">
        <f aca="false">-F12</f>
        <v>904.288680720072</v>
      </c>
      <c r="G16" s="0" t="n">
        <f aca="false">-G12</f>
        <v>934.686222521304</v>
      </c>
      <c r="H16" s="0" t="n">
        <f aca="false">-H12</f>
        <v>967.883698700509</v>
      </c>
      <c r="I16" s="0" t="n">
        <f aca="false">-I12</f>
        <v>990.219476362829</v>
      </c>
      <c r="J16" s="0" t="n">
        <f aca="false">-J12</f>
        <v>1029.82825541734</v>
      </c>
      <c r="K16" s="0" t="n">
        <f aca="false">-K12</f>
        <v>1065.87224435695</v>
      </c>
      <c r="L16" s="0" t="n">
        <f aca="false">-L12</f>
        <v>1097.84841168766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-1669.24494</v>
      </c>
      <c r="D17" s="4" t="n">
        <f aca="false">-D6*Assumptions!D46/100</f>
        <v>-1677.8440806</v>
      </c>
      <c r="E17" s="4" t="n">
        <f aca="false">-E6*Assumptions!E46/100</f>
        <v>-1671.619820301</v>
      </c>
      <c r="F17" s="4" t="n">
        <f aca="false">-F6*Assumptions!F46/100</f>
        <v>-1649.71583644878</v>
      </c>
      <c r="G17" s="4" t="n">
        <f aca="false">-G6*Assumptions!G46/100</f>
        <v>-1675.98908865889</v>
      </c>
      <c r="H17" s="4" t="n">
        <f aca="false">-H6*Assumptions!H46/100</f>
        <v>-1725.94645572468</v>
      </c>
      <c r="I17" s="4" t="n">
        <f aca="false">-I6*Assumptions!I46/100</f>
        <v>-1768.24906493362</v>
      </c>
      <c r="J17" s="4" t="n">
        <f aca="false">-J6*Assumptions!J46/100</f>
        <v>-1838.97902753097</v>
      </c>
      <c r="K17" s="4" t="n">
        <f aca="false">-K6*Assumptions!K46/100</f>
        <v>-1903.34329349455</v>
      </c>
      <c r="L17" s="4" t="n">
        <f aca="false">-L6*Assumptions!L46/100</f>
        <v>-1960.44359229939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-165.459</v>
      </c>
      <c r="D18" s="4" t="n">
        <f aca="false">(D6-C6)*Assumptions!$B$51/100</f>
        <v>-177.04113</v>
      </c>
      <c r="E18" s="4" t="n">
        <f aca="false">(E6-D6)*Assumptions!$B$51/100</f>
        <v>-175.90300845</v>
      </c>
      <c r="F18" s="4" t="n">
        <f aca="false">(F6-E6)*Assumptions!$B$51/100</f>
        <v>-172.926188307</v>
      </c>
      <c r="G18" s="4" t="n">
        <f aca="false">(G6-F6)*Assumptions!$B$51/100</f>
        <v>-168.026612971635</v>
      </c>
      <c r="H18" s="4" t="n">
        <f aca="false">(H6-G6)*Assumptions!$B$51/100</f>
        <v>-161.152796986432</v>
      </c>
      <c r="I18" s="4" t="n">
        <f aca="false">(I6-H6)*Assumptions!$B$51/100</f>
        <v>-152.289393152178</v>
      </c>
      <c r="J18" s="4" t="n">
        <f aca="false">(J6-I6)*Assumptions!$B$51/100</f>
        <v>-141.45992519469</v>
      </c>
      <c r="K18" s="4" t="n">
        <f aca="false">(K6-J6)*Assumptions!$B$51/100</f>
        <v>-128.728531927167</v>
      </c>
      <c r="L18" s="4" t="n">
        <f aca="false">(L6-K6)*Assumptions!$B$51/100</f>
        <v>-114.200597609673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2264.20288494</v>
      </c>
      <c r="D19" s="0" t="n">
        <f aca="false">D15+D16+D17+D18</f>
        <v>2681.518067319</v>
      </c>
      <c r="E19" s="0" t="n">
        <f aca="false">E15+E16+E17+E18</f>
        <v>3142.43526103579</v>
      </c>
      <c r="F19" s="0" t="n">
        <f aca="false">F15+F16+F17+F18</f>
        <v>3636.69538215898</v>
      </c>
      <c r="G19" s="0" t="n">
        <f aca="false">G15+G16+G17+G18</f>
        <v>4093.046722706</v>
      </c>
      <c r="H19" s="0" t="n">
        <f aca="false">H15+H16+H17+H18</f>
        <v>4439.00213883036</v>
      </c>
      <c r="I19" s="0" t="n">
        <f aca="false">I15+I16+I17+I18</f>
        <v>4684.08398932907</v>
      </c>
      <c r="J19" s="0" t="n">
        <f aca="false">J15+J16+J17+J18</f>
        <v>4888.36839258581</v>
      </c>
      <c r="K19" s="0" t="n">
        <f aca="false">K15+K16+K17+K18</f>
        <v>5077.14377697565</v>
      </c>
      <c r="L19" s="0" t="n">
        <f aca="false">L15+L16+L17+L18</f>
        <v>5247.84788056023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2106.23524180465</v>
      </c>
      <c r="D21" s="0" t="n">
        <f aca="false">D19*D20</f>
        <v>2320.40503391585</v>
      </c>
      <c r="E21" s="0" t="n">
        <f aca="false">E19*E20</f>
        <v>2529.53647737043</v>
      </c>
      <c r="F21" s="0" t="n">
        <f aca="false">F19*F20</f>
        <v>2723.15942879594</v>
      </c>
      <c r="G21" s="0" t="n">
        <f aca="false">G19*G20</f>
        <v>2851.04702731322</v>
      </c>
      <c r="H21" s="0" t="n">
        <f aca="false">H19*H20</f>
        <v>2876.3025663469</v>
      </c>
      <c r="I21" s="0" t="n">
        <f aca="false">I19*I20</f>
        <v>2823.35458078541</v>
      </c>
      <c r="J21" s="0" t="n">
        <f aca="false">J19*J20</f>
        <v>2740.91907537247</v>
      </c>
      <c r="K21" s="0" t="n">
        <f aca="false">K19*K20</f>
        <v>2648.15428372981</v>
      </c>
      <c r="L21" s="0" t="n">
        <f aca="false">L19*L20</f>
        <v>2546.22392829753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3</v>
      </c>
      <c r="D23" s="4" t="n">
        <f aca="false">Assumptions!D44</f>
        <v>2.9</v>
      </c>
      <c r="E23" s="4" t="n">
        <f aca="false">Assumptions!E44</f>
        <v>2.8</v>
      </c>
      <c r="F23" s="4" t="n">
        <f aca="false">Assumptions!F44</f>
        <v>2.7</v>
      </c>
      <c r="G23" s="4" t="n">
        <f aca="false">Assumptions!G44</f>
        <v>2.6</v>
      </c>
      <c r="H23" s="4" t="n">
        <f aca="false">Assumptions!H44</f>
        <v>2.6</v>
      </c>
      <c r="I23" s="4" t="n">
        <f aca="false">Assumptions!I44</f>
        <v>2.6</v>
      </c>
      <c r="J23" s="4" t="n">
        <f aca="false">Assumptions!J44</f>
        <v>2.6</v>
      </c>
      <c r="K23" s="4" t="n">
        <f aca="false">Assumptions!K44</f>
        <v>2.6</v>
      </c>
      <c r="L23" s="4" t="n">
        <f aca="false">Assumptions!L44</f>
        <v>2.6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-1517.4954</v>
      </c>
      <c r="D24" s="0" t="n">
        <f aca="false">-D6*D23/100</f>
        <v>-1569.5960754</v>
      </c>
      <c r="E24" s="0" t="n">
        <f aca="false">-E6*E23/100</f>
        <v>-1613.977757532</v>
      </c>
      <c r="F24" s="0" t="n">
        <f aca="false">-F6*F23/100</f>
        <v>-1649.71583644878</v>
      </c>
      <c r="G24" s="0" t="n">
        <f aca="false">-G6*G23/100</f>
        <v>-1675.98908865889</v>
      </c>
      <c r="H24" s="0" t="n">
        <f aca="false">-H6*H23/100</f>
        <v>-1759.78854309184</v>
      </c>
      <c r="I24" s="0" t="n">
        <f aca="false">-I6*I23/100</f>
        <v>-1838.97902753097</v>
      </c>
      <c r="J24" s="0" t="n">
        <f aca="false">-J6*J23/100</f>
        <v>-1912.53818863221</v>
      </c>
      <c r="K24" s="0" t="n">
        <f aca="false">-K6*K23/100</f>
        <v>-1979.47702523433</v>
      </c>
      <c r="L24" s="0" t="n">
        <f aca="false">-L6*L23/100</f>
        <v>-2038.86133599136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26165.3376437322</v>
      </c>
    </row>
    <row r="31" customFormat="false" ht="15" hidden="false" customHeight="false" outlineLevel="0" collapsed="false">
      <c r="A31" s="0" t="s">
        <v>129</v>
      </c>
      <c r="B31" s="0" t="n">
        <f aca="false">L19</f>
        <v>5247.84788056023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120117.407043934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104956.957611205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104956.957611205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50924.4785659506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77089.8162096828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71973.8162096828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63.3962971986989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-0.138754283403086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960.155550066881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1915.91876685051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65.9296137819081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45044.0276414753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21.3279405149567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17.4838393574538</v>
      </c>
      <c r="C4" s="0" t="n">
        <f aca="false">B4/Assumptions!$B$2-1</f>
        <v>-0.762480106541859</v>
      </c>
      <c r="D4" s="4" t="n">
        <f aca="false">Assumptions!$B$24</f>
        <v>0.2</v>
      </c>
      <c r="E4" s="4" t="n">
        <f aca="false">DCF_Bear!$B$43</f>
        <v>18.764651537761</v>
      </c>
      <c r="F4" s="4" t="n">
        <f aca="false">DCF_Bear!$B$47</f>
        <v>7.29572056793818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38.2397251399781</v>
      </c>
      <c r="C5" s="0" t="n">
        <f aca="false">B5/Assumptions!$B$2-1</f>
        <v>-0.480509100122564</v>
      </c>
      <c r="D5" s="4" t="n">
        <f aca="false">Assumptions!$B$38</f>
        <v>0.5</v>
      </c>
      <c r="E5" s="4" t="n">
        <f aca="false">DCF_Base!$B$43</f>
        <v>40.0662017827045</v>
      </c>
      <c r="F5" s="4" t="n">
        <f aca="false">DCF_Base!$B$47</f>
        <v>13.9047099346843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63.3962971986989</v>
      </c>
      <c r="C6" s="0" t="n">
        <f aca="false">B6/Assumptions!$B$2-1</f>
        <v>-0.138754283403086</v>
      </c>
      <c r="D6" s="4" t="n">
        <f aca="false">Assumptions!$B$52</f>
        <v>0.3</v>
      </c>
      <c r="E6" s="4" t="n">
        <f aca="false">DCF_Bull!$B$43</f>
        <v>65.9296137819081</v>
      </c>
      <c r="F6" s="4" t="n">
        <f aca="false">DCF_Bull!$B$47</f>
        <v>21.3279405149567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41.6355196010895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43.5649153334769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-0.767961603584116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1657.22769373733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14.8098812354168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38.2397251399781</v>
      </c>
      <c r="C15" s="3" t="n">
        <v>8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32.1945555914864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27.0942589087671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23.2015359488339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20.134679815016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13.9047099346843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45.3892434729729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45.3892434729729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45.3892434729729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45.3892434729729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45.3892434729729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41.6438133508245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41.6438133508245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41.6438133508245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41.6438133508245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41.6438133508245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34.7845360903985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36.7907748933802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38.2397251399781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38.2397251399781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38.2397251399781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29.2400968705558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30.6118098481307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32.1945555914864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34.0410922920681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35.142238030947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25.0132369040775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25.9887159687758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27.0942589087671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28.3577365544715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29.8155953764381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2026-09-25T06:09:06Z</dcterms:created>
  <dc:creator>openpyxl</dc:creator>
  <dc:description/>
  <dc:language>en-NZ</dc:language>
  <cp:lastModifiedBy/>
  <dcterms:modified xsi:type="dcterms:W3CDTF">2026-09-25T06:09:06Z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