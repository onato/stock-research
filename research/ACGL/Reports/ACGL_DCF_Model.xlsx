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Bull" sheetId="4" state="visible" r:id="rId4"/>
    <sheet xmlns:r="http://schemas.openxmlformats.org/officeDocument/2006/relationships" name="B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x&quot;"/>
    <numFmt numFmtId="166" formatCode="0.0%"/>
    <numFmt numFmtId="167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C62828"/>
        <b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167" fontId="0" fillId="0" borderId="0" pivotButton="0" quotePrefix="0" xfId="0"/>
    <xf numFmtId="164" fontId="4" fillId="0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24" customWidth="1" min="4" max="4"/>
  </cols>
  <sheetData>
    <row r="1">
      <c r="A1" s="1" t="inlineStr">
        <is>
          <t>Arch Capital Group Ltd. (ACGL) -- Valuation Summary</t>
        </is>
      </c>
    </row>
    <row r="2">
      <c r="A2" s="2" t="inlineStr">
        <is>
          <t>BVPS compounding x exit P/B model | Valuation date 2026-09-25</t>
        </is>
      </c>
    </row>
    <row r="4">
      <c r="A4" s="3" t="inlineStr">
        <is>
          <t>Scenario Results</t>
        </is>
      </c>
      <c r="B4" s="3" t="n"/>
      <c r="C4" s="3" t="n"/>
      <c r="D4" s="3" t="n"/>
    </row>
    <row r="5">
      <c r="A5" s="7" t="inlineStr">
        <is>
          <t>Scenario</t>
        </is>
      </c>
      <c r="B5" s="7" t="inlineStr">
        <is>
          <t>Intrinsic Value/sh</t>
        </is>
      </c>
      <c r="C5" s="7" t="inlineStr">
        <is>
          <t>Upside vs Price</t>
        </is>
      </c>
      <c r="D5" s="7" t="inlineStr">
        <is>
          <t>Entry Price @15% hurdle</t>
        </is>
      </c>
    </row>
    <row r="6">
      <c r="A6" t="inlineStr">
        <is>
          <t>Bear</t>
        </is>
      </c>
      <c r="B6" s="4">
        <f>'Bear'!B28</f>
        <v/>
      </c>
      <c r="C6" s="8">
        <f>B6/Inputs!$B$6-1</f>
        <v/>
      </c>
      <c r="D6" s="4">
        <f>'Bear'!B32</f>
        <v/>
      </c>
    </row>
    <row r="7">
      <c r="A7" t="inlineStr">
        <is>
          <t>Base</t>
        </is>
      </c>
      <c r="B7" s="4">
        <f>'Base'!B28</f>
        <v/>
      </c>
      <c r="C7" s="8">
        <f>B7/Inputs!$B$6-1</f>
        <v/>
      </c>
      <c r="D7" s="4">
        <f>'Base'!B32</f>
        <v/>
      </c>
    </row>
    <row r="8">
      <c r="A8" t="inlineStr">
        <is>
          <t>Bull</t>
        </is>
      </c>
      <c r="B8" s="4">
        <f>'Bull'!B28</f>
        <v/>
      </c>
      <c r="C8" s="8">
        <f>B8/Inputs!$B$6-1</f>
        <v/>
      </c>
      <c r="D8" s="4">
        <f>'Bull'!B32</f>
        <v/>
      </c>
    </row>
    <row r="10">
      <c r="A10" s="7" t="inlineStr">
        <is>
          <t>Current price</t>
        </is>
      </c>
      <c r="B10" s="4">
        <f>Inputs!$B$6</f>
        <v/>
      </c>
    </row>
    <row r="12">
      <c r="A12" s="3" t="inlineStr">
        <is>
          <t>Probability-Weighted Value</t>
        </is>
      </c>
      <c r="B12" s="3" t="n"/>
    </row>
    <row r="13">
      <c r="A13" t="inlineStr">
        <is>
          <t>Bear weight</t>
        </is>
      </c>
      <c r="B13" s="8">
        <f>Inputs!$B$26</f>
        <v/>
      </c>
    </row>
    <row r="14">
      <c r="A14" t="inlineStr">
        <is>
          <t>Base weight</t>
        </is>
      </c>
      <c r="B14" s="8">
        <f>Inputs!$B$27</f>
        <v/>
      </c>
    </row>
    <row r="15">
      <c r="A15" t="inlineStr">
        <is>
          <t>Bull weight</t>
        </is>
      </c>
      <c r="B15" s="8">
        <f>Inputs!$B$28</f>
        <v/>
      </c>
    </row>
    <row r="16">
      <c r="A16" s="7" t="inlineStr">
        <is>
          <t>Weighted intrinsic value/sh</t>
        </is>
      </c>
      <c r="B16" s="11">
        <f>B6*Inputs!$B$26+B7*Inputs!$B$27+B8*Inputs!$B$28</f>
        <v/>
      </c>
    </row>
    <row r="17">
      <c r="A17" t="inlineStr">
        <is>
          <t>Weighted upside vs current price</t>
        </is>
      </c>
      <c r="B17" s="8">
        <f>B16/Inputs!$B$6-1</f>
        <v/>
      </c>
    </row>
    <row r="18">
      <c r="A18" t="inlineStr">
        <is>
          <t>Weighted entry price @15% hurdle</t>
        </is>
      </c>
      <c r="B18" s="4">
        <f>'Bear'!B32*Inputs!$B$26+'Base'!B32*Inputs!$B$27+'Bull'!B32*Inputs!$B$28</f>
        <v/>
      </c>
    </row>
    <row r="20">
      <c r="A20" s="3" t="inlineStr">
        <is>
          <t>Model Notes</t>
        </is>
      </c>
      <c r="B20" s="3" t="n"/>
      <c r="C20" s="3" t="n"/>
      <c r="D20" s="3" t="n"/>
    </row>
    <row r="21">
      <c r="A21" t="inlineStr">
        <is>
          <t>- Model routed via .claude/skills/dcf-methods/SKILL.md: 'Insurer, holdco, compounder-of-book' -&gt; BVPS compounding x exit P/B.</t>
        </is>
      </c>
    </row>
    <row r="22">
      <c r="A22" t="inlineStr">
        <is>
          <t>- Net debt is NOT deducted (non-FCF model rule) -- ROE-driven common equity compounding already nets financing costs.</t>
        </is>
      </c>
    </row>
    <row r="23">
      <c r="A23" t="inlineStr">
        <is>
          <t>- Common book value per share of $68.04 (Q2 2026) is Arch's own disclosed figure, net of ~$298M implied preferred equity.</t>
        </is>
      </c>
    </row>
    <row r="24">
      <c r="A24" t="inlineStr">
        <is>
          <t>- Virtually all capital return is via buyback (not dividend); &gt;98% of intrinsic value in every scenario is the terminal exit price.</t>
        </is>
      </c>
    </row>
    <row r="25">
      <c r="A25" t="inlineStr">
        <is>
          <t>- See ACGL_DCF.json valuation_philosophy and inputs.notes for full scenario narratives and risk discussion.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Arch Capital Group Ltd. (ACGL) -- DCF Model</t>
        </is>
      </c>
    </row>
    <row r="2">
      <c r="A2" s="2" t="inlineStr">
        <is>
          <t>Model: BVPS compounding x exit P/B (insurer/holdco route -- dividends + terminal exit discounted at cost of equity)</t>
        </is>
      </c>
    </row>
    <row r="3">
      <c r="A3" t="inlineStr">
        <is>
          <t>Valuation date: 2026-09-25</t>
        </is>
      </c>
    </row>
    <row r="5">
      <c r="A5" s="3" t="inlineStr">
        <is>
          <t>Market &amp; Balance Sheet Anchors</t>
        </is>
      </c>
      <c r="B5" s="3" t="n"/>
    </row>
    <row r="6">
      <c r="A6" t="inlineStr">
        <is>
          <t>Current price (USD)</t>
        </is>
      </c>
      <c r="B6" s="4" t="n">
        <v>95.02</v>
      </c>
    </row>
    <row r="7">
      <c r="A7" t="inlineStr">
        <is>
          <t>Price as of</t>
        </is>
      </c>
      <c r="B7" t="inlineStr">
        <is>
          <t>2026-09-24 20:00:01 UTC regular close</t>
        </is>
      </c>
    </row>
    <row r="8">
      <c r="A8" t="inlineStr">
        <is>
          <t>52-week range</t>
        </is>
      </c>
      <c r="B8" t="inlineStr">
        <is>
          <t>82.45 - 107.09</t>
        </is>
      </c>
    </row>
    <row r="9">
      <c r="A9" t="inlineStr">
        <is>
          <t>Common book value per share (Q2 2026, company-disclosed)</t>
        </is>
      </c>
      <c r="B9" s="4" t="n">
        <v>68.04000000000001</v>
      </c>
    </row>
    <row r="10">
      <c r="A10" t="inlineStr">
        <is>
          <t>Common shares outstanding (period end, millions)</t>
        </is>
      </c>
      <c r="B10" s="5" t="n">
        <v>348.8</v>
      </c>
    </row>
    <row r="11">
      <c r="A11" t="inlineStr">
        <is>
          <t>GAAP shareholders' equity (m)</t>
        </is>
      </c>
      <c r="B11" s="5" t="n">
        <v>24030</v>
      </c>
    </row>
    <row r="12">
      <c r="A12" t="inlineStr">
        <is>
          <t>Balance sheet date</t>
        </is>
      </c>
      <c r="B12" t="inlineStr">
        <is>
          <t>2026-06-30</t>
        </is>
      </c>
    </row>
    <row r="13">
      <c r="A13" t="inlineStr">
        <is>
          <t>Currency / Quote currency</t>
        </is>
      </c>
      <c r="B13" t="inlineStr">
        <is>
          <t>USD / USD</t>
        </is>
      </c>
    </row>
    <row r="15">
      <c r="A15" t="inlineStr">
        <is>
          <t>Implied common equity (m) = BVPS x shares</t>
        </is>
      </c>
      <c r="B15" s="5">
        <f>B9*B10</f>
        <v/>
      </c>
    </row>
    <row r="16">
      <c r="A16" t="inlineStr">
        <is>
          <t>Implied preferred equity (m) = GAAP equity - common equity</t>
        </is>
      </c>
      <c r="B16" s="5">
        <f>B11-B15</f>
        <v/>
      </c>
    </row>
    <row r="17">
      <c r="A17" t="inlineStr">
        <is>
          <t>Current price-to-book (x)</t>
        </is>
      </c>
      <c r="B17" s="6">
        <f>B6/B9</f>
        <v/>
      </c>
    </row>
    <row r="19">
      <c r="A19" s="3" t="inlineStr">
        <is>
          <t>Scenario Discount Rates &amp; Exit Multiples</t>
        </is>
      </c>
      <c r="B19" s="3" t="n"/>
      <c r="C19" s="3" t="n"/>
      <c r="D19" s="3" t="n"/>
    </row>
    <row r="20">
      <c r="A20" s="7" t="inlineStr">
        <is>
          <t>Scenario</t>
        </is>
      </c>
      <c r="B20" s="7" t="inlineStr">
        <is>
          <t>Cost of Equity</t>
        </is>
      </c>
      <c r="C20" s="7" t="inlineStr">
        <is>
          <t>Exit P/B (Yr5)</t>
        </is>
      </c>
      <c r="D20" s="7" t="inlineStr">
        <is>
          <t>Starting P/B (for buybacks)</t>
        </is>
      </c>
    </row>
    <row r="21">
      <c r="A21" t="inlineStr">
        <is>
          <t>Base</t>
        </is>
      </c>
      <c r="B21" s="8" t="n">
        <v>0.095</v>
      </c>
      <c r="C21" s="6" t="n">
        <v>1.35</v>
      </c>
      <c r="D21" s="6" t="n">
        <v>1.4</v>
      </c>
    </row>
    <row r="22">
      <c r="A22" t="inlineStr">
        <is>
          <t>Bull</t>
        </is>
      </c>
      <c r="B22" s="8" t="n">
        <v>0.09</v>
      </c>
      <c r="C22" s="6" t="n">
        <v>1.6</v>
      </c>
      <c r="D22" s="6" t="n">
        <v>1.4</v>
      </c>
    </row>
    <row r="23">
      <c r="A23" t="inlineStr">
        <is>
          <t>Bear</t>
        </is>
      </c>
      <c r="B23" s="8" t="n">
        <v>0.105</v>
      </c>
      <c r="C23" s="6" t="n">
        <v>1</v>
      </c>
      <c r="D23" s="6" t="n">
        <v>1.4</v>
      </c>
    </row>
    <row r="25">
      <c r="A25" s="3" t="inlineStr">
        <is>
          <t>Probability Weights</t>
        </is>
      </c>
      <c r="B25" s="3" t="n"/>
    </row>
    <row r="26">
      <c r="A26" t="inlineStr">
        <is>
          <t>Bear weight</t>
        </is>
      </c>
      <c r="B26" s="8" t="n">
        <v>0.25</v>
      </c>
    </row>
    <row r="27">
      <c r="A27" t="inlineStr">
        <is>
          <t>Base weight</t>
        </is>
      </c>
      <c r="B27" s="8" t="n">
        <v>0.5</v>
      </c>
    </row>
    <row r="28">
      <c r="A28" t="inlineStr">
        <is>
          <t>Bull weight</t>
        </is>
      </c>
      <c r="B28" s="8" t="n">
        <v>0.25</v>
      </c>
    </row>
    <row r="30">
      <c r="A30" s="3" t="inlineStr">
        <is>
          <t>Entry Price Hurdle</t>
        </is>
      </c>
      <c r="B30" s="3" t="n"/>
    </row>
    <row r="31">
      <c r="A31" t="inlineStr">
        <is>
          <t>Hurdle rate</t>
        </is>
      </c>
      <c r="B31" s="8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ACGL -- Base Case</t>
        </is>
      </c>
    </row>
    <row r="2">
      <c r="A2" s="9" t="inlineStr">
        <is>
          <t>Year-by-Year Book Value Compounding</t>
        </is>
      </c>
      <c r="B2" s="9" t="n"/>
      <c r="C2" s="9" t="n"/>
      <c r="D2" s="9" t="n"/>
      <c r="E2" s="9" t="n"/>
      <c r="F2" s="9" t="n"/>
    </row>
    <row r="3">
      <c r="A3" s="7" t="inlineStr">
        <is>
          <t>Metric</t>
        </is>
      </c>
      <c r="B3" s="7" t="inlineStr">
        <is>
          <t>FY2027E</t>
        </is>
      </c>
      <c r="C3" s="7" t="inlineStr">
        <is>
          <t>FY2028E</t>
        </is>
      </c>
      <c r="D3" s="7" t="inlineStr">
        <is>
          <t>FY2029E</t>
        </is>
      </c>
      <c r="E3" s="7" t="inlineStr">
        <is>
          <t>FY2030E</t>
        </is>
      </c>
      <c r="F3" s="7" t="inlineStr">
        <is>
          <t>FY2031E</t>
        </is>
      </c>
    </row>
    <row r="4">
      <c r="A4" t="inlineStr">
        <is>
          <t>ROE (%)</t>
        </is>
      </c>
      <c r="B4" s="8" t="n">
        <v>0.165</v>
      </c>
      <c r="C4" s="8" t="n">
        <v>0.15</v>
      </c>
      <c r="D4" s="8" t="n">
        <v>0.14</v>
      </c>
      <c r="E4" s="8" t="n">
        <v>0.13</v>
      </c>
      <c r="F4" s="8" t="n">
        <v>0.13</v>
      </c>
    </row>
    <row r="5">
      <c r="A5" t="inlineStr">
        <is>
          <t>Common dividend payout (%)</t>
        </is>
      </c>
      <c r="B5" s="8" t="n">
        <v>0.04</v>
      </c>
      <c r="C5" s="8" t="n">
        <v>0.04</v>
      </c>
      <c r="D5" s="8" t="n">
        <v>0.04</v>
      </c>
      <c r="E5" s="8" t="n">
        <v>0.04</v>
      </c>
      <c r="F5" s="8" t="n">
        <v>0.04</v>
      </c>
    </row>
    <row r="6">
      <c r="A6" t="inlineStr">
        <is>
          <t>Buyback % of retained earnings</t>
        </is>
      </c>
      <c r="B6" s="8" t="n">
        <v>0.75</v>
      </c>
      <c r="C6" s="8" t="n">
        <v>0.75</v>
      </c>
      <c r="D6" s="8" t="n">
        <v>0.7</v>
      </c>
      <c r="E6" s="8" t="n">
        <v>0.65</v>
      </c>
      <c r="F6" s="8" t="n">
        <v>0.6</v>
      </c>
    </row>
    <row r="7">
      <c r="A7" t="inlineStr">
        <is>
          <t>Beginning common equity ($m)</t>
        </is>
      </c>
      <c r="B7" s="10">
        <f>Inputs!$B$15</f>
        <v/>
      </c>
      <c r="C7" s="10">
        <f>B16</f>
        <v/>
      </c>
      <c r="D7" s="10">
        <f>C16</f>
        <v/>
      </c>
      <c r="E7" s="10">
        <f>D16</f>
        <v/>
      </c>
      <c r="F7" s="10">
        <f>E16</f>
        <v/>
      </c>
    </row>
    <row r="8">
      <c r="A8" t="inlineStr">
        <is>
          <t>Net income to common ($m)</t>
        </is>
      </c>
      <c r="B8" s="10">
        <f>B7*B4</f>
        <v/>
      </c>
      <c r="C8" s="10">
        <f>C7*C4</f>
        <v/>
      </c>
      <c r="D8" s="10">
        <f>D7*D4</f>
        <v/>
      </c>
      <c r="E8" s="10">
        <f>E7*E4</f>
        <v/>
      </c>
      <c r="F8" s="10">
        <f>F7*F4</f>
        <v/>
      </c>
    </row>
    <row r="9">
      <c r="A9" t="inlineStr">
        <is>
          <t>Total common dividends ($m)</t>
        </is>
      </c>
      <c r="B9" s="10">
        <f>B8*B5</f>
        <v/>
      </c>
      <c r="C9" s="10">
        <f>C8*C5</f>
        <v/>
      </c>
      <c r="D9" s="10">
        <f>D8*D5</f>
        <v/>
      </c>
      <c r="E9" s="10">
        <f>E8*E5</f>
        <v/>
      </c>
      <c r="F9" s="10">
        <f>F8*F5</f>
        <v/>
      </c>
    </row>
    <row r="10">
      <c r="A10" t="inlineStr">
        <is>
          <t>Retained earnings ($m)</t>
        </is>
      </c>
      <c r="B10" s="10">
        <f>B8-B9</f>
        <v/>
      </c>
      <c r="C10" s="10">
        <f>C8-C9</f>
        <v/>
      </c>
      <c r="D10" s="10">
        <f>D8-D9</f>
        <v/>
      </c>
      <c r="E10" s="10">
        <f>E8-E9</f>
        <v/>
      </c>
      <c r="F10" s="10">
        <f>F8-F9</f>
        <v/>
      </c>
    </row>
    <row r="11">
      <c r="A11" t="inlineStr">
        <is>
          <t>Buyback cash spent ($m)</t>
        </is>
      </c>
      <c r="B11" s="10">
        <f>B10*B6</f>
        <v/>
      </c>
      <c r="C11" s="10">
        <f>C10*C6</f>
        <v/>
      </c>
      <c r="D11" s="10">
        <f>D10*D6</f>
        <v/>
      </c>
      <c r="E11" s="10">
        <f>E10*E6</f>
        <v/>
      </c>
      <c r="F11" s="10">
        <f>F10*F6</f>
        <v/>
      </c>
    </row>
    <row r="12">
      <c r="A12" t="inlineStr">
        <is>
          <t>Interpolated P/B for buybacks (x)</t>
        </is>
      </c>
      <c r="B12" s="6">
        <f>Inputs!$D$21+(Inputs!$C$21-Inputs!$D$21)*0.2</f>
        <v/>
      </c>
      <c r="C12" s="6">
        <f>Inputs!$D$21+(Inputs!$C$21-Inputs!$D$21)*0.4</f>
        <v/>
      </c>
      <c r="D12" s="6">
        <f>Inputs!$D$21+(Inputs!$C$21-Inputs!$D$21)*0.6</f>
        <v/>
      </c>
      <c r="E12" s="6">
        <f>Inputs!$D$21+(Inputs!$C$21-Inputs!$D$21)*0.8</f>
        <v/>
      </c>
      <c r="F12" s="6">
        <f>Inputs!$D$21+(Inputs!$C$21-Inputs!$D$21)*1.0</f>
        <v/>
      </c>
    </row>
    <row r="13">
      <c r="A13" t="inlineStr">
        <is>
          <t>Beginning shares (m)</t>
        </is>
      </c>
      <c r="B13" s="10">
        <f>Inputs!$B$10</f>
        <v/>
      </c>
      <c r="C13" s="10">
        <f>B17</f>
        <v/>
      </c>
      <c r="D13" s="10">
        <f>C17</f>
        <v/>
      </c>
      <c r="E13" s="10">
        <f>D17</f>
        <v/>
      </c>
      <c r="F13" s="10">
        <f>E17</f>
        <v/>
      </c>
    </row>
    <row r="14">
      <c r="A14" t="inlineStr">
        <is>
          <t>Assumed buyback price ($/sh)</t>
        </is>
      </c>
      <c r="B14" s="4">
        <f>B12*(B7/B13)</f>
        <v/>
      </c>
      <c r="C14" s="4">
        <f>C12*(C7/C13)</f>
        <v/>
      </c>
      <c r="D14" s="4">
        <f>D12*(D7/D13)</f>
        <v/>
      </c>
      <c r="E14" s="4">
        <f>E12*(E7/E13)</f>
        <v/>
      </c>
      <c r="F14" s="4">
        <f>F12*(F7/F13)</f>
        <v/>
      </c>
    </row>
    <row r="15">
      <c r="A15" t="inlineStr">
        <is>
          <t>Shares repurchased (m)</t>
        </is>
      </c>
      <c r="B15" s="10">
        <f>B11/B14</f>
        <v/>
      </c>
      <c r="C15" s="10">
        <f>C11/C14</f>
        <v/>
      </c>
      <c r="D15" s="10">
        <f>D11/D14</f>
        <v/>
      </c>
      <c r="E15" s="10">
        <f>E11/E14</f>
        <v/>
      </c>
      <c r="F15" s="10">
        <f>F11/F14</f>
        <v/>
      </c>
    </row>
    <row r="16">
      <c r="A16" t="inlineStr">
        <is>
          <t>Ending common equity ($m)</t>
        </is>
      </c>
      <c r="B16" s="10">
        <f>B7+B10-B11</f>
        <v/>
      </c>
      <c r="C16" s="10">
        <f>C7+C10-C11</f>
        <v/>
      </c>
      <c r="D16" s="10">
        <f>D7+D10-D11</f>
        <v/>
      </c>
      <c r="E16" s="10">
        <f>E7+E10-E11</f>
        <v/>
      </c>
      <c r="F16" s="10">
        <f>F7+F10-F11</f>
        <v/>
      </c>
    </row>
    <row r="17">
      <c r="A17" t="inlineStr">
        <is>
          <t>Ending shares (m)</t>
        </is>
      </c>
      <c r="B17" s="10">
        <f>B13-B15</f>
        <v/>
      </c>
      <c r="C17" s="10">
        <f>C13-C15</f>
        <v/>
      </c>
      <c r="D17" s="10">
        <f>D13-D15</f>
        <v/>
      </c>
      <c r="E17" s="10">
        <f>E13-E15</f>
        <v/>
      </c>
      <c r="F17" s="10">
        <f>F13-F15</f>
        <v/>
      </c>
    </row>
    <row r="18">
      <c r="A18" t="inlineStr">
        <is>
          <t>Ending BVPS ($)</t>
        </is>
      </c>
      <c r="B18" s="4">
        <f>B16/B17</f>
        <v/>
      </c>
      <c r="C18" s="4">
        <f>C16/C17</f>
        <v/>
      </c>
      <c r="D18" s="4">
        <f>D16/D17</f>
        <v/>
      </c>
      <c r="E18" s="4">
        <f>E16/E17</f>
        <v/>
      </c>
      <c r="F18" s="4">
        <f>F16/F17</f>
        <v/>
      </c>
    </row>
    <row r="19">
      <c r="A19" t="inlineStr">
        <is>
          <t>Dividend per share ($)</t>
        </is>
      </c>
      <c r="B19" s="4">
        <f>B9/B13</f>
        <v/>
      </c>
      <c r="C19" s="4">
        <f>C9/C13</f>
        <v/>
      </c>
      <c r="D19" s="4">
        <f>D9/D13</f>
        <v/>
      </c>
      <c r="E19" s="4">
        <f>E9/E13</f>
        <v/>
      </c>
      <c r="F19" s="4">
        <f>F9/F13</f>
        <v/>
      </c>
    </row>
    <row r="21">
      <c r="A21" s="9" t="inlineStr">
        <is>
          <t>Valuation (discount at Cost of Equity)</t>
        </is>
      </c>
      <c r="B21" s="9" t="n"/>
    </row>
    <row r="22">
      <c r="A22" t="inlineStr">
        <is>
          <t>Cost of equity</t>
        </is>
      </c>
      <c r="B22" s="8">
        <f>Inputs!$B$21</f>
        <v/>
      </c>
    </row>
    <row r="23">
      <c r="A23" t="inlineStr">
        <is>
          <t>Exit P/B (Year 5)</t>
        </is>
      </c>
      <c r="B23" s="6">
        <f>Inputs!$C$21</f>
        <v/>
      </c>
    </row>
    <row r="24">
      <c r="A24" t="inlineStr">
        <is>
          <t>Year-5 BVPS ($)</t>
        </is>
      </c>
      <c r="B24" s="4">
        <f>F18</f>
        <v/>
      </c>
    </row>
    <row r="25">
      <c r="A25" t="inlineStr">
        <is>
          <t>Exit price per share ($)</t>
        </is>
      </c>
      <c r="B25" s="4">
        <f>B23*B24</f>
        <v/>
      </c>
    </row>
    <row r="26">
      <c r="A26" t="inlineStr">
        <is>
          <t>PV of interim dividends ($/sh)</t>
        </is>
      </c>
      <c r="B26" s="4">
        <f>B19/(1+$B$22)^1+C19/(1+$B$22)^2+D19/(1+$B$22)^3+E19/(1+$B$22)^4+F19/(1+$B$22)^5</f>
        <v/>
      </c>
    </row>
    <row r="27">
      <c r="A27" t="inlineStr">
        <is>
          <t>PV of terminal exit ($/sh)</t>
        </is>
      </c>
      <c r="B27" s="4">
        <f>B25/(1+$B$22)^5</f>
        <v/>
      </c>
    </row>
    <row r="28">
      <c r="A28" s="7" t="inlineStr">
        <is>
          <t>Intrinsic value per share ($)</t>
        </is>
      </c>
      <c r="B28" s="11">
        <f>B26+B27</f>
        <v/>
      </c>
    </row>
    <row r="29">
      <c r="A29" t="inlineStr">
        <is>
          <t>Current price ($)</t>
        </is>
      </c>
      <c r="B29" s="4">
        <f>Inputs!$B$6</f>
        <v/>
      </c>
    </row>
    <row r="30">
      <c r="A30" t="inlineStr">
        <is>
          <t>Upside / (downside)</t>
        </is>
      </c>
      <c r="B30" s="8">
        <f>B28/B29-1</f>
        <v/>
      </c>
    </row>
    <row r="32">
      <c r="A32" t="inlineStr">
        <is>
          <t>Entry price at 15% hurdle ($)</t>
        </is>
      </c>
      <c r="B32" s="4">
        <f>B33+B34</f>
        <v/>
      </c>
    </row>
    <row r="33">
      <c r="A33" t="inlineStr">
        <is>
          <t xml:space="preserve">  PV interim dividends at hurdle</t>
        </is>
      </c>
      <c r="B33" s="4">
        <f>B19/(1+Inputs!$B$31)^1+C19/(1+Inputs!$B$31)^2+D19/(1+Inputs!$B$31)^3+E19/(1+Inputs!$B$31)^4+F19/(1+Inputs!$B$31)^5</f>
        <v/>
      </c>
    </row>
    <row r="34">
      <c r="A34" t="inlineStr">
        <is>
          <t xml:space="preserve">  PV terminal exit at hurdle</t>
        </is>
      </c>
      <c r="B34" s="4">
        <f>B25/(1+Inputs!$B$31)^5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ACGL -- Bull Case</t>
        </is>
      </c>
    </row>
    <row r="2">
      <c r="A2" s="12" t="inlineStr">
        <is>
          <t>Year-by-Year Book Value Compounding</t>
        </is>
      </c>
      <c r="B2" s="12" t="n"/>
      <c r="C2" s="12" t="n"/>
      <c r="D2" s="12" t="n"/>
      <c r="E2" s="12" t="n"/>
      <c r="F2" s="12" t="n"/>
    </row>
    <row r="3">
      <c r="A3" s="7" t="inlineStr">
        <is>
          <t>Metric</t>
        </is>
      </c>
      <c r="B3" s="7" t="inlineStr">
        <is>
          <t>FY2027E</t>
        </is>
      </c>
      <c r="C3" s="7" t="inlineStr">
        <is>
          <t>FY2028E</t>
        </is>
      </c>
      <c r="D3" s="7" t="inlineStr">
        <is>
          <t>FY2029E</t>
        </is>
      </c>
      <c r="E3" s="7" t="inlineStr">
        <is>
          <t>FY2030E</t>
        </is>
      </c>
      <c r="F3" s="7" t="inlineStr">
        <is>
          <t>FY2031E</t>
        </is>
      </c>
    </row>
    <row r="4">
      <c r="A4" t="inlineStr">
        <is>
          <t>ROE (%)</t>
        </is>
      </c>
      <c r="B4" s="8" t="n">
        <v>0.18</v>
      </c>
      <c r="C4" s="8" t="n">
        <v>0.17</v>
      </c>
      <c r="D4" s="8" t="n">
        <v>0.16</v>
      </c>
      <c r="E4" s="8" t="n">
        <v>0.155</v>
      </c>
      <c r="F4" s="8" t="n">
        <v>0.15</v>
      </c>
    </row>
    <row r="5">
      <c r="A5" t="inlineStr">
        <is>
          <t>Common dividend payout (%)</t>
        </is>
      </c>
      <c r="B5" s="8" t="n">
        <v>0.04</v>
      </c>
      <c r="C5" s="8" t="n">
        <v>0.04</v>
      </c>
      <c r="D5" s="8" t="n">
        <v>0.04</v>
      </c>
      <c r="E5" s="8" t="n">
        <v>0.04</v>
      </c>
      <c r="F5" s="8" t="n">
        <v>0.04</v>
      </c>
    </row>
    <row r="6">
      <c r="A6" t="inlineStr">
        <is>
          <t>Buyback % of retained earnings</t>
        </is>
      </c>
      <c r="B6" s="8" t="n">
        <v>0.8</v>
      </c>
      <c r="C6" s="8" t="n">
        <v>0.8</v>
      </c>
      <c r="D6" s="8" t="n">
        <v>0.75</v>
      </c>
      <c r="E6" s="8" t="n">
        <v>0.7</v>
      </c>
      <c r="F6" s="8" t="n">
        <v>0.65</v>
      </c>
    </row>
    <row r="7">
      <c r="A7" t="inlineStr">
        <is>
          <t>Beginning common equity ($m)</t>
        </is>
      </c>
      <c r="B7" s="10">
        <f>Inputs!$B$15</f>
        <v/>
      </c>
      <c r="C7" s="10">
        <f>B16</f>
        <v/>
      </c>
      <c r="D7" s="10">
        <f>C16</f>
        <v/>
      </c>
      <c r="E7" s="10">
        <f>D16</f>
        <v/>
      </c>
      <c r="F7" s="10">
        <f>E16</f>
        <v/>
      </c>
    </row>
    <row r="8">
      <c r="A8" t="inlineStr">
        <is>
          <t>Net income to common ($m)</t>
        </is>
      </c>
      <c r="B8" s="10">
        <f>B7*B4</f>
        <v/>
      </c>
      <c r="C8" s="10">
        <f>C7*C4</f>
        <v/>
      </c>
      <c r="D8" s="10">
        <f>D7*D4</f>
        <v/>
      </c>
      <c r="E8" s="10">
        <f>E7*E4</f>
        <v/>
      </c>
      <c r="F8" s="10">
        <f>F7*F4</f>
        <v/>
      </c>
    </row>
    <row r="9">
      <c r="A9" t="inlineStr">
        <is>
          <t>Total common dividends ($m)</t>
        </is>
      </c>
      <c r="B9" s="10">
        <f>B8*B5</f>
        <v/>
      </c>
      <c r="C9" s="10">
        <f>C8*C5</f>
        <v/>
      </c>
      <c r="D9" s="10">
        <f>D8*D5</f>
        <v/>
      </c>
      <c r="E9" s="10">
        <f>E8*E5</f>
        <v/>
      </c>
      <c r="F9" s="10">
        <f>F8*F5</f>
        <v/>
      </c>
    </row>
    <row r="10">
      <c r="A10" t="inlineStr">
        <is>
          <t>Retained earnings ($m)</t>
        </is>
      </c>
      <c r="B10" s="10">
        <f>B8-B9</f>
        <v/>
      </c>
      <c r="C10" s="10">
        <f>C8-C9</f>
        <v/>
      </c>
      <c r="D10" s="10">
        <f>D8-D9</f>
        <v/>
      </c>
      <c r="E10" s="10">
        <f>E8-E9</f>
        <v/>
      </c>
      <c r="F10" s="10">
        <f>F8-F9</f>
        <v/>
      </c>
    </row>
    <row r="11">
      <c r="A11" t="inlineStr">
        <is>
          <t>Buyback cash spent ($m)</t>
        </is>
      </c>
      <c r="B11" s="10">
        <f>B10*B6</f>
        <v/>
      </c>
      <c r="C11" s="10">
        <f>C10*C6</f>
        <v/>
      </c>
      <c r="D11" s="10">
        <f>D10*D6</f>
        <v/>
      </c>
      <c r="E11" s="10">
        <f>E10*E6</f>
        <v/>
      </c>
      <c r="F11" s="10">
        <f>F10*F6</f>
        <v/>
      </c>
    </row>
    <row r="12">
      <c r="A12" t="inlineStr">
        <is>
          <t>Interpolated P/B for buybacks (x)</t>
        </is>
      </c>
      <c r="B12" s="6">
        <f>Inputs!$D$22+(Inputs!$C$22-Inputs!$D$22)*0.2</f>
        <v/>
      </c>
      <c r="C12" s="6">
        <f>Inputs!$D$22+(Inputs!$C$22-Inputs!$D$22)*0.4</f>
        <v/>
      </c>
      <c r="D12" s="6">
        <f>Inputs!$D$22+(Inputs!$C$22-Inputs!$D$22)*0.6</f>
        <v/>
      </c>
      <c r="E12" s="6">
        <f>Inputs!$D$22+(Inputs!$C$22-Inputs!$D$22)*0.8</f>
        <v/>
      </c>
      <c r="F12" s="6">
        <f>Inputs!$D$22+(Inputs!$C$22-Inputs!$D$22)*1.0</f>
        <v/>
      </c>
    </row>
    <row r="13">
      <c r="A13" t="inlineStr">
        <is>
          <t>Beginning shares (m)</t>
        </is>
      </c>
      <c r="B13" s="10">
        <f>Inputs!$B$10</f>
        <v/>
      </c>
      <c r="C13" s="10">
        <f>B17</f>
        <v/>
      </c>
      <c r="D13" s="10">
        <f>C17</f>
        <v/>
      </c>
      <c r="E13" s="10">
        <f>D17</f>
        <v/>
      </c>
      <c r="F13" s="10">
        <f>E17</f>
        <v/>
      </c>
    </row>
    <row r="14">
      <c r="A14" t="inlineStr">
        <is>
          <t>Assumed buyback price ($/sh)</t>
        </is>
      </c>
      <c r="B14" s="4">
        <f>B12*(B7/B13)</f>
        <v/>
      </c>
      <c r="C14" s="4">
        <f>C12*(C7/C13)</f>
        <v/>
      </c>
      <c r="D14" s="4">
        <f>D12*(D7/D13)</f>
        <v/>
      </c>
      <c r="E14" s="4">
        <f>E12*(E7/E13)</f>
        <v/>
      </c>
      <c r="F14" s="4">
        <f>F12*(F7/F13)</f>
        <v/>
      </c>
    </row>
    <row r="15">
      <c r="A15" t="inlineStr">
        <is>
          <t>Shares repurchased (m)</t>
        </is>
      </c>
      <c r="B15" s="10">
        <f>B11/B14</f>
        <v/>
      </c>
      <c r="C15" s="10">
        <f>C11/C14</f>
        <v/>
      </c>
      <c r="D15" s="10">
        <f>D11/D14</f>
        <v/>
      </c>
      <c r="E15" s="10">
        <f>E11/E14</f>
        <v/>
      </c>
      <c r="F15" s="10">
        <f>F11/F14</f>
        <v/>
      </c>
    </row>
    <row r="16">
      <c r="A16" t="inlineStr">
        <is>
          <t>Ending common equity ($m)</t>
        </is>
      </c>
      <c r="B16" s="10">
        <f>B7+B10-B11</f>
        <v/>
      </c>
      <c r="C16" s="10">
        <f>C7+C10-C11</f>
        <v/>
      </c>
      <c r="D16" s="10">
        <f>D7+D10-D11</f>
        <v/>
      </c>
      <c r="E16" s="10">
        <f>E7+E10-E11</f>
        <v/>
      </c>
      <c r="F16" s="10">
        <f>F7+F10-F11</f>
        <v/>
      </c>
    </row>
    <row r="17">
      <c r="A17" t="inlineStr">
        <is>
          <t>Ending shares (m)</t>
        </is>
      </c>
      <c r="B17" s="10">
        <f>B13-B15</f>
        <v/>
      </c>
      <c r="C17" s="10">
        <f>C13-C15</f>
        <v/>
      </c>
      <c r="D17" s="10">
        <f>D13-D15</f>
        <v/>
      </c>
      <c r="E17" s="10">
        <f>E13-E15</f>
        <v/>
      </c>
      <c r="F17" s="10">
        <f>F13-F15</f>
        <v/>
      </c>
    </row>
    <row r="18">
      <c r="A18" t="inlineStr">
        <is>
          <t>Ending BVPS ($)</t>
        </is>
      </c>
      <c r="B18" s="4">
        <f>B16/B17</f>
        <v/>
      </c>
      <c r="C18" s="4">
        <f>C16/C17</f>
        <v/>
      </c>
      <c r="D18" s="4">
        <f>D16/D17</f>
        <v/>
      </c>
      <c r="E18" s="4">
        <f>E16/E17</f>
        <v/>
      </c>
      <c r="F18" s="4">
        <f>F16/F17</f>
        <v/>
      </c>
    </row>
    <row r="19">
      <c r="A19" t="inlineStr">
        <is>
          <t>Dividend per share ($)</t>
        </is>
      </c>
      <c r="B19" s="4">
        <f>B9/B13</f>
        <v/>
      </c>
      <c r="C19" s="4">
        <f>C9/C13</f>
        <v/>
      </c>
      <c r="D19" s="4">
        <f>D9/D13</f>
        <v/>
      </c>
      <c r="E19" s="4">
        <f>E9/E13</f>
        <v/>
      </c>
      <c r="F19" s="4">
        <f>F9/F13</f>
        <v/>
      </c>
    </row>
    <row r="21">
      <c r="A21" s="12" t="inlineStr">
        <is>
          <t>Valuation (discount at Cost of Equity)</t>
        </is>
      </c>
      <c r="B21" s="12" t="n"/>
    </row>
    <row r="22">
      <c r="A22" t="inlineStr">
        <is>
          <t>Cost of equity</t>
        </is>
      </c>
      <c r="B22" s="8">
        <f>Inputs!$B$22</f>
        <v/>
      </c>
    </row>
    <row r="23">
      <c r="A23" t="inlineStr">
        <is>
          <t>Exit P/B (Year 5)</t>
        </is>
      </c>
      <c r="B23" s="6">
        <f>Inputs!$C$22</f>
        <v/>
      </c>
    </row>
    <row r="24">
      <c r="A24" t="inlineStr">
        <is>
          <t>Year-5 BVPS ($)</t>
        </is>
      </c>
      <c r="B24" s="4">
        <f>F18</f>
        <v/>
      </c>
    </row>
    <row r="25">
      <c r="A25" t="inlineStr">
        <is>
          <t>Exit price per share ($)</t>
        </is>
      </c>
      <c r="B25" s="4">
        <f>B23*B24</f>
        <v/>
      </c>
    </row>
    <row r="26">
      <c r="A26" t="inlineStr">
        <is>
          <t>PV of interim dividends ($/sh)</t>
        </is>
      </c>
      <c r="B26" s="4">
        <f>B19/(1+$B$22)^1+C19/(1+$B$22)^2+D19/(1+$B$22)^3+E19/(1+$B$22)^4+F19/(1+$B$22)^5</f>
        <v/>
      </c>
    </row>
    <row r="27">
      <c r="A27" t="inlineStr">
        <is>
          <t>PV of terminal exit ($/sh)</t>
        </is>
      </c>
      <c r="B27" s="4">
        <f>B25/(1+$B$22)^5</f>
        <v/>
      </c>
    </row>
    <row r="28">
      <c r="A28" s="7" t="inlineStr">
        <is>
          <t>Intrinsic value per share ($)</t>
        </is>
      </c>
      <c r="B28" s="11">
        <f>B26+B27</f>
        <v/>
      </c>
    </row>
    <row r="29">
      <c r="A29" t="inlineStr">
        <is>
          <t>Current price ($)</t>
        </is>
      </c>
      <c r="B29" s="4">
        <f>Inputs!$B$6</f>
        <v/>
      </c>
    </row>
    <row r="30">
      <c r="A30" t="inlineStr">
        <is>
          <t>Upside / (downside)</t>
        </is>
      </c>
      <c r="B30" s="8">
        <f>B28/B29-1</f>
        <v/>
      </c>
    </row>
    <row r="32">
      <c r="A32" t="inlineStr">
        <is>
          <t>Entry price at 15% hurdle ($)</t>
        </is>
      </c>
      <c r="B32" s="4">
        <f>B33+B34</f>
        <v/>
      </c>
    </row>
    <row r="33">
      <c r="A33" t="inlineStr">
        <is>
          <t xml:space="preserve">  PV interim dividends at hurdle</t>
        </is>
      </c>
      <c r="B33" s="4">
        <f>B19/(1+Inputs!$B$31)^1+C19/(1+Inputs!$B$31)^2+D19/(1+Inputs!$B$31)^3+E19/(1+Inputs!$B$31)^4+F19/(1+Inputs!$B$31)^5</f>
        <v/>
      </c>
    </row>
    <row r="34">
      <c r="A34" t="inlineStr">
        <is>
          <t xml:space="preserve">  PV terminal exit at hurdle</t>
        </is>
      </c>
      <c r="B34" s="4">
        <f>B25/(1+Inputs!$B$31)^5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ACGL -- Bear Case</t>
        </is>
      </c>
    </row>
    <row r="2">
      <c r="A2" s="13" t="inlineStr">
        <is>
          <t>Year-by-Year Book Value Compounding</t>
        </is>
      </c>
      <c r="B2" s="13" t="n"/>
      <c r="C2" s="13" t="n"/>
      <c r="D2" s="13" t="n"/>
      <c r="E2" s="13" t="n"/>
      <c r="F2" s="13" t="n"/>
    </row>
    <row r="3">
      <c r="A3" s="7" t="inlineStr">
        <is>
          <t>Metric</t>
        </is>
      </c>
      <c r="B3" s="7" t="inlineStr">
        <is>
          <t>FY2027E</t>
        </is>
      </c>
      <c r="C3" s="7" t="inlineStr">
        <is>
          <t>FY2028E</t>
        </is>
      </c>
      <c r="D3" s="7" t="inlineStr">
        <is>
          <t>FY2029E</t>
        </is>
      </c>
      <c r="E3" s="7" t="inlineStr">
        <is>
          <t>FY2030E</t>
        </is>
      </c>
      <c r="F3" s="7" t="inlineStr">
        <is>
          <t>FY2031E</t>
        </is>
      </c>
    </row>
    <row r="4">
      <c r="A4" t="inlineStr">
        <is>
          <t>ROE (%)</t>
        </is>
      </c>
      <c r="B4" s="8" t="n">
        <v>0.13</v>
      </c>
      <c r="C4" s="8" t="n">
        <v>0.105</v>
      </c>
      <c r="D4" s="8" t="n">
        <v>0.095</v>
      </c>
      <c r="E4" s="8" t="n">
        <v>0.09</v>
      </c>
      <c r="F4" s="8" t="n">
        <v>0.09</v>
      </c>
    </row>
    <row r="5">
      <c r="A5" t="inlineStr">
        <is>
          <t>Common dividend payout (%)</t>
        </is>
      </c>
      <c r="B5" s="8" t="n">
        <v>0.04</v>
      </c>
      <c r="C5" s="8" t="n">
        <v>0.04</v>
      </c>
      <c r="D5" s="8" t="n">
        <v>0.04</v>
      </c>
      <c r="E5" s="8" t="n">
        <v>0.04</v>
      </c>
      <c r="F5" s="8" t="n">
        <v>0.04</v>
      </c>
    </row>
    <row r="6">
      <c r="A6" t="inlineStr">
        <is>
          <t>Buyback % of retained earnings</t>
        </is>
      </c>
      <c r="B6" s="8" t="n">
        <v>0.6</v>
      </c>
      <c r="C6" s="8" t="n">
        <v>0.55</v>
      </c>
      <c r="D6" s="8" t="n">
        <v>0.5</v>
      </c>
      <c r="E6" s="8" t="n">
        <v>0.5</v>
      </c>
      <c r="F6" s="8" t="n">
        <v>0.5</v>
      </c>
    </row>
    <row r="7">
      <c r="A7" t="inlineStr">
        <is>
          <t>Beginning common equity ($m)</t>
        </is>
      </c>
      <c r="B7" s="10">
        <f>Inputs!$B$15</f>
        <v/>
      </c>
      <c r="C7" s="10">
        <f>B16</f>
        <v/>
      </c>
      <c r="D7" s="10">
        <f>C16</f>
        <v/>
      </c>
      <c r="E7" s="10">
        <f>D16</f>
        <v/>
      </c>
      <c r="F7" s="10">
        <f>E16</f>
        <v/>
      </c>
    </row>
    <row r="8">
      <c r="A8" t="inlineStr">
        <is>
          <t>Net income to common ($m)</t>
        </is>
      </c>
      <c r="B8" s="10">
        <f>B7*B4</f>
        <v/>
      </c>
      <c r="C8" s="10">
        <f>C7*C4</f>
        <v/>
      </c>
      <c r="D8" s="10">
        <f>D7*D4</f>
        <v/>
      </c>
      <c r="E8" s="10">
        <f>E7*E4</f>
        <v/>
      </c>
      <c r="F8" s="10">
        <f>F7*F4</f>
        <v/>
      </c>
    </row>
    <row r="9">
      <c r="A9" t="inlineStr">
        <is>
          <t>Total common dividends ($m)</t>
        </is>
      </c>
      <c r="B9" s="10">
        <f>B8*B5</f>
        <v/>
      </c>
      <c r="C9" s="10">
        <f>C8*C5</f>
        <v/>
      </c>
      <c r="D9" s="10">
        <f>D8*D5</f>
        <v/>
      </c>
      <c r="E9" s="10">
        <f>E8*E5</f>
        <v/>
      </c>
      <c r="F9" s="10">
        <f>F8*F5</f>
        <v/>
      </c>
    </row>
    <row r="10">
      <c r="A10" t="inlineStr">
        <is>
          <t>Retained earnings ($m)</t>
        </is>
      </c>
      <c r="B10" s="10">
        <f>B8-B9</f>
        <v/>
      </c>
      <c r="C10" s="10">
        <f>C8-C9</f>
        <v/>
      </c>
      <c r="D10" s="10">
        <f>D8-D9</f>
        <v/>
      </c>
      <c r="E10" s="10">
        <f>E8-E9</f>
        <v/>
      </c>
      <c r="F10" s="10">
        <f>F8-F9</f>
        <v/>
      </c>
    </row>
    <row r="11">
      <c r="A11" t="inlineStr">
        <is>
          <t>Buyback cash spent ($m)</t>
        </is>
      </c>
      <c r="B11" s="10">
        <f>B10*B6</f>
        <v/>
      </c>
      <c r="C11" s="10">
        <f>C10*C6</f>
        <v/>
      </c>
      <c r="D11" s="10">
        <f>D10*D6</f>
        <v/>
      </c>
      <c r="E11" s="10">
        <f>E10*E6</f>
        <v/>
      </c>
      <c r="F11" s="10">
        <f>F10*F6</f>
        <v/>
      </c>
    </row>
    <row r="12">
      <c r="A12" t="inlineStr">
        <is>
          <t>Interpolated P/B for buybacks (x)</t>
        </is>
      </c>
      <c r="B12" s="6">
        <f>Inputs!$D$23+(Inputs!$C$23-Inputs!$D$23)*0.2</f>
        <v/>
      </c>
      <c r="C12" s="6">
        <f>Inputs!$D$23+(Inputs!$C$23-Inputs!$D$23)*0.4</f>
        <v/>
      </c>
      <c r="D12" s="6">
        <f>Inputs!$D$23+(Inputs!$C$23-Inputs!$D$23)*0.6</f>
        <v/>
      </c>
      <c r="E12" s="6">
        <f>Inputs!$D$23+(Inputs!$C$23-Inputs!$D$23)*0.8</f>
        <v/>
      </c>
      <c r="F12" s="6">
        <f>Inputs!$D$23+(Inputs!$C$23-Inputs!$D$23)*1.0</f>
        <v/>
      </c>
    </row>
    <row r="13">
      <c r="A13" t="inlineStr">
        <is>
          <t>Beginning shares (m)</t>
        </is>
      </c>
      <c r="B13" s="10">
        <f>Inputs!$B$10</f>
        <v/>
      </c>
      <c r="C13" s="10">
        <f>B17</f>
        <v/>
      </c>
      <c r="D13" s="10">
        <f>C17</f>
        <v/>
      </c>
      <c r="E13" s="10">
        <f>D17</f>
        <v/>
      </c>
      <c r="F13" s="10">
        <f>E17</f>
        <v/>
      </c>
    </row>
    <row r="14">
      <c r="A14" t="inlineStr">
        <is>
          <t>Assumed buyback price ($/sh)</t>
        </is>
      </c>
      <c r="B14" s="4">
        <f>B12*(B7/B13)</f>
        <v/>
      </c>
      <c r="C14" s="4">
        <f>C12*(C7/C13)</f>
        <v/>
      </c>
      <c r="D14" s="4">
        <f>D12*(D7/D13)</f>
        <v/>
      </c>
      <c r="E14" s="4">
        <f>E12*(E7/E13)</f>
        <v/>
      </c>
      <c r="F14" s="4">
        <f>F12*(F7/F13)</f>
        <v/>
      </c>
    </row>
    <row r="15">
      <c r="A15" t="inlineStr">
        <is>
          <t>Shares repurchased (m)</t>
        </is>
      </c>
      <c r="B15" s="10">
        <f>B11/B14</f>
        <v/>
      </c>
      <c r="C15" s="10">
        <f>C11/C14</f>
        <v/>
      </c>
      <c r="D15" s="10">
        <f>D11/D14</f>
        <v/>
      </c>
      <c r="E15" s="10">
        <f>E11/E14</f>
        <v/>
      </c>
      <c r="F15" s="10">
        <f>F11/F14</f>
        <v/>
      </c>
    </row>
    <row r="16">
      <c r="A16" t="inlineStr">
        <is>
          <t>Ending common equity ($m)</t>
        </is>
      </c>
      <c r="B16" s="10">
        <f>B7+B10-B11</f>
        <v/>
      </c>
      <c r="C16" s="10">
        <f>C7+C10-C11</f>
        <v/>
      </c>
      <c r="D16" s="10">
        <f>D7+D10-D11</f>
        <v/>
      </c>
      <c r="E16" s="10">
        <f>E7+E10-E11</f>
        <v/>
      </c>
      <c r="F16" s="10">
        <f>F7+F10-F11</f>
        <v/>
      </c>
    </row>
    <row r="17">
      <c r="A17" t="inlineStr">
        <is>
          <t>Ending shares (m)</t>
        </is>
      </c>
      <c r="B17" s="10">
        <f>B13-B15</f>
        <v/>
      </c>
      <c r="C17" s="10">
        <f>C13-C15</f>
        <v/>
      </c>
      <c r="D17" s="10">
        <f>D13-D15</f>
        <v/>
      </c>
      <c r="E17" s="10">
        <f>E13-E15</f>
        <v/>
      </c>
      <c r="F17" s="10">
        <f>F13-F15</f>
        <v/>
      </c>
    </row>
    <row r="18">
      <c r="A18" t="inlineStr">
        <is>
          <t>Ending BVPS ($)</t>
        </is>
      </c>
      <c r="B18" s="4">
        <f>B16/B17</f>
        <v/>
      </c>
      <c r="C18" s="4">
        <f>C16/C17</f>
        <v/>
      </c>
      <c r="D18" s="4">
        <f>D16/D17</f>
        <v/>
      </c>
      <c r="E18" s="4">
        <f>E16/E17</f>
        <v/>
      </c>
      <c r="F18" s="4">
        <f>F16/F17</f>
        <v/>
      </c>
    </row>
    <row r="19">
      <c r="A19" t="inlineStr">
        <is>
          <t>Dividend per share ($)</t>
        </is>
      </c>
      <c r="B19" s="4">
        <f>B9/B13</f>
        <v/>
      </c>
      <c r="C19" s="4">
        <f>C9/C13</f>
        <v/>
      </c>
      <c r="D19" s="4">
        <f>D9/D13</f>
        <v/>
      </c>
      <c r="E19" s="4">
        <f>E9/E13</f>
        <v/>
      </c>
      <c r="F19" s="4">
        <f>F9/F13</f>
        <v/>
      </c>
    </row>
    <row r="21">
      <c r="A21" s="13" t="inlineStr">
        <is>
          <t>Valuation (discount at Cost of Equity)</t>
        </is>
      </c>
      <c r="B21" s="13" t="n"/>
    </row>
    <row r="22">
      <c r="A22" t="inlineStr">
        <is>
          <t>Cost of equity</t>
        </is>
      </c>
      <c r="B22" s="8">
        <f>Inputs!$B$23</f>
        <v/>
      </c>
    </row>
    <row r="23">
      <c r="A23" t="inlineStr">
        <is>
          <t>Exit P/B (Year 5)</t>
        </is>
      </c>
      <c r="B23" s="6">
        <f>Inputs!$C$23</f>
        <v/>
      </c>
    </row>
    <row r="24">
      <c r="A24" t="inlineStr">
        <is>
          <t>Year-5 BVPS ($)</t>
        </is>
      </c>
      <c r="B24" s="4">
        <f>F18</f>
        <v/>
      </c>
    </row>
    <row r="25">
      <c r="A25" t="inlineStr">
        <is>
          <t>Exit price per share ($)</t>
        </is>
      </c>
      <c r="B25" s="4">
        <f>B23*B24</f>
        <v/>
      </c>
    </row>
    <row r="26">
      <c r="A26" t="inlineStr">
        <is>
          <t>PV of interim dividends ($/sh)</t>
        </is>
      </c>
      <c r="B26" s="4">
        <f>B19/(1+$B$22)^1+C19/(1+$B$22)^2+D19/(1+$B$22)^3+E19/(1+$B$22)^4+F19/(1+$B$22)^5</f>
        <v/>
      </c>
    </row>
    <row r="27">
      <c r="A27" t="inlineStr">
        <is>
          <t>PV of terminal exit ($/sh)</t>
        </is>
      </c>
      <c r="B27" s="4">
        <f>B25/(1+$B$22)^5</f>
        <v/>
      </c>
    </row>
    <row r="28">
      <c r="A28" s="7" t="inlineStr">
        <is>
          <t>Intrinsic value per share ($)</t>
        </is>
      </c>
      <c r="B28" s="11">
        <f>B26+B27</f>
        <v/>
      </c>
    </row>
    <row r="29">
      <c r="A29" t="inlineStr">
        <is>
          <t>Current price ($)</t>
        </is>
      </c>
      <c r="B29" s="4">
        <f>Inputs!$B$6</f>
        <v/>
      </c>
    </row>
    <row r="30">
      <c r="A30" t="inlineStr">
        <is>
          <t>Upside / (downside)</t>
        </is>
      </c>
      <c r="B30" s="8">
        <f>B28/B29-1</f>
        <v/>
      </c>
    </row>
    <row r="32">
      <c r="A32" t="inlineStr">
        <is>
          <t>Entry price at 15% hurdle ($)</t>
        </is>
      </c>
      <c r="B32" s="4">
        <f>B33+B34</f>
        <v/>
      </c>
    </row>
    <row r="33">
      <c r="A33" t="inlineStr">
        <is>
          <t xml:space="preserve">  PV interim dividends at hurdle</t>
        </is>
      </c>
      <c r="B33" s="4">
        <f>B19/(1+Inputs!$B$31)^1+C19/(1+Inputs!$B$31)^2+D19/(1+Inputs!$B$31)^3+E19/(1+Inputs!$B$31)^4+F19/(1+Inputs!$B$31)^5</f>
        <v/>
      </c>
    </row>
    <row r="34">
      <c r="A34" t="inlineStr">
        <is>
          <t xml:space="preserve">  PV terminal exit at hurdle</t>
        </is>
      </c>
      <c r="B34" s="4">
        <f>B25/(1+Inputs!$B$31)^5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2026-09-25T06:47:37Z</dcterms:created>
  <dcterms:modified xmlns:dcterms="http://purl.org/dc/terms/" xmlns:xsi="http://www.w3.org/2001/XMLSchema-instance" xsi:type="dcterms:W3CDTF">2026-09-25T06:48:25Z</dcterms:modified>
</cp:coreProperties>
</file>