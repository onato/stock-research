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<sst xmlns="http://schemas.openxmlformats.org/spreadsheetml/2006/main" count="390" uniqueCount="176">
  <si>
    <t xml:space="preserve">Ticker</t>
  </si>
  <si>
    <t xml:space="preserve">COF</t>
  </si>
  <si>
    <t xml:space="preserve">Company</t>
  </si>
  <si>
    <t xml:space="preserve">Capital One Financial Corporation</t>
  </si>
  <si>
    <t xml:space="preserve">Valuation date</t>
  </si>
  <si>
    <t xml:space="preserve">2026-09-26</t>
  </si>
  <si>
    <t xml:space="preserve">Current price</t>
  </si>
  <si>
    <t xml:space="preserve">Price as of</t>
  </si>
  <si>
    <t xml:space="preserve">2026-09-25T20:00:02Z regular close (NYSE)</t>
  </si>
  <si>
    <t xml:space="preserve">Balance sheet date</t>
  </si>
  <si>
    <t xml:space="preserve">2026-06-30</t>
  </si>
  <si>
    <t xml:space="preserve">Model</t>
  </si>
  <si>
    <t xml:space="preserve">Bank FCFE capitalisation at cost of equity (engine route; normalised earnings after capital retention, net debt zero; residual-income on tangible book cross-check)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</si>
  <si>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</si>
  <si>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</si>
  <si>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</si>
  <si>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</si>
  <si>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</si>
  <si>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</si>
  <si>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</si>
  <si>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</si>
  <si>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2026-09-26T00:59:11Z</t>
  </si>
  <si>
    <t xml:space="preserve">Drivers file</t>
  </si>
  <si>
    <t xml:space="preserve">COF_Drivers.json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</si>
  <si>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</si>
  <si>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</si>
  <si>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</si>
  <si>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Capital One is valued as a bank: normalised free cash flow to equity (earnings after the capital needed to grow the balance sheet) capitalised at a 10.5% cost of equity, with deposits and debt treated as operating funding (net debt zero), preferred deducted, and an estimated CET1 surplus credited. The base year is a normalised FY2026E that strips the Discover Day-1 CECL loss, integration costs, acquired-intangible amortisation and the Q2 2026 reserve release, and charges a through-cycle provision. A residual-income check on ~$98 of tangible book per share (P/TBV = (ROTE - g)/(CoE - g)) is recorded in inputs.notes. Multiples sanity check (2026-09-26): the P/E trip (89.9x) is an artefact of FY2025 EPS depressed by the Day-1 Discover CECL build and a part-year of Discover; on TTM (15.4x) and normalised FY26E (12.5x) EPS the value is below the 20.3x 10-year average, so no driver was changed. See sanity_check_banner.
key_risks_to_valuation: Credit cycle: every 1pp of revenue in provisions is ~$500m of after-tax earnings (~$0.8/share per year); the base assumes through-cycle, not current, charge-offs.; The excess-capital line ($6bn, ~$10/share) is an estimate -- CET1 and RWA are not in XBRL.; Synergy realisation and network migration: base credits only ~half of the remaining guided synergies.; CFPB 360 Savings litigation (&gt;$2bn alleged withheld interest) is charged only in the bear case.; AOCI of -$6.3bn depresses tangible book and will partly accrete back -- unmodelled upside.; Cost of equity: at 2.0x TBV the value is sensitive to CoE; each 1pp is worth roughly 12-15%.
sanity_check_banner: Sanity check tripped on P/E only: the model's weighted value implies 89.9x FY2025 SBC-adjusted EPS ($2.63) against a 10-year average of 20.3x. That is a denominator artefact, not an over-rich model. FY2025 GAAP net income ($2,453m, EPS $4.03) contains the Q2 2025 GAAP loss of -$4,277m, which is the Day-1 CECL reserve build on acquired non-PCD Discover loans plus merger costs, both one-off acquisition accounting. It also contains only ~7.5 months of Discover earnings while the share count already includes the ~255m shares issued for the deal. The model never uses FY2025 as its base: it capitalises a normalised FY2026E FCFE (priority-1 normalisation is already built in), so no driver was changed. Against honest denominators the same value is 15.4x trailing-twelve-month SBC-adjusted EPS to Q2 2026 (~$15.35; the market price is 13.0x) and 12.5x normalised FY2026E EPS to common (~$18.96; market 10.6x), both below the 20.3x average and well inside the 40.6x trip line. The other rules pass. P/B of 1.33x sits at the top of the 10-year range (avg 0.93x, max 1.33x in FY2025) because the all-stock Discover purchase added ~$48bn of goodwill and intangibles to book; on tangible book the value is ~2.4x against ~2.0x at market. P/Sales of 2.82x is also at the top of its range (avg 1.72x, max 2.84x) and is consistent with a ~25% normalised pre-tax margin. The fixes on the priority list were rejected as indefensible. Passing the P/E rule on FY2025 EPS would need a value below ~$107, about 1.2x required tangible equity, which implies a cost of equity near 19% for a ~22% ROTE bank. A regulatory WACC premium would double-count the CFPB/interchange risk already charged in the bear flows and the 25% bear weight. The through-cycle revenue CAGR (8.7% organic, 13.4% statutory) sits above the 3-5% growth path, so a growth cap does not bind. EV/EBITDA exit caps do not apply to a bank. Framing: a normalised ~20% ROTE card franchise returning ~75-85% of earnings, bought for income plus modest compounding, not a multi-bagger. The risk is credit-cycle and integration execution, which the 25% bear weight carries.</t>
  </si>
  <si>
    <t xml:space="preserve">Data sources</t>
  </si>
  <si>
    <t xml:space="preserve">price: Yahoo Finance chart API at inputs.price_as_of (regular close); 52-week range 174.24-259.64.
financials: COF_Metrics.csv (SEC XBRL, through Q2 2026) plus SEC companyfacts API (CIK 927628) for provision, non-interest expense, goodwill, intangibles, preferred, AOCI, deposits, buybacks, dividends and the 10-Q cover share count.
qualitative: COF_Analysis.json (2026-09-26): Q2 2026 call (21 Jul 2026) -- $664m reserve release, ~$298m integration expense, NCO 4.71%, synergies $2.5-2.7bn by 2H 2027, Brex closed 7 Apr 2026.</t>
  </si>
  <si>
    <t xml:space="preserve">Scenario narrative: bear</t>
  </si>
  <si>
    <t xml:space="preserve">A US recession arrives while two integrations are live. Card NCOs rise to ~7% on a book with roughly double its nearest competitor's subprime share, CECL front-loads the reserve build (FY27 earnings fall ~55%), synergies slip and the CFPB 360 Savings case settles expensively. Through-cycle ROTE resets to the mid-teens. The excess capital cushions the downturn without a raise.</t>
  </si>
  <si>
    <t xml:space="preserve">Scenario narrative: base</t>
  </si>
  <si>
    <t xml:space="preserve">The Discover integration completes on schedule (back-book converted by Q1 2027, $2.5bn run-rate synergies by 2H 2027) but roughly half the benefit is reinvested or competed away. Credit normalises to through-cycle levels rather than staying at the 1H26 reserve-release run-rate. Normalised ROTE ~19-20% on ~$60bn of tangible equity, 3-5% balance-sheet growth, ~76-86% of earnings returned via dividends and buybacks. Value lands at ~2.5x tangible book vs the market's 2.0x: the market is discounting either through-cycle credit worse than this base, synergies below the guided run-rate, or a cost of equity nearer 12%.</t>
  </si>
  <si>
    <t xml:space="preserve">Scenario narrative: bull</t>
  </si>
  <si>
    <t xml:space="preserve">Owning the Discover/PULSE rails proves to be the Amex-style structural advantage the deal was sold on: COF's own volume migrates, network and interchange economics stay in-house, Brex compounds commercial card, and credit stays benign. Efficiency falls to ~49% and ROTE settles in the low-to-mid 20s.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</si>
  <si>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</si>
  <si>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</si>
  <si>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</si>
  <si>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</si>
  <si>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</si>
  <si>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</si>
  <si>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</si>
  <si>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</si>
  <si>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</si>
  <si>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</si>
  <si>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</si>
  <si>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</si>
  <si>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</si>
  <si>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</si>
  <si>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</si>
  <si>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</si>
  <si>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</si>
  <si>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</si>
  <si>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</si>
  <si>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</si>
  <si>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</si>
  <si>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</si>
  <si>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</si>
  <si>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</si>
  <si>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</si>
  <si>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</si>
  <si>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</si>
  <si>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</si>
  <si>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</si>
  <si>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</si>
  <si>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</si>
  <si>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</si>
  <si>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</si>
  <si>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</si>
  <si>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</si>
  <si>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</si>
  <si>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</si>
  <si>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</si>
  <si>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</si>
  <si>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</si>
  <si>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</si>
  <si>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</si>
  <si>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</si>
  <si>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</si>
  <si>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</si>
  <si>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</si>
  <si>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</si>
  <si>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</si>
  <si>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</si>
  <si>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</si>
  <si>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</si>
  <si>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</si>
  <si>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</si>
  <si>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</si>
  <si>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</si>
  <si>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</si>
  <si>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FY2026E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</si>
  <si>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</si>
  <si>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</si>
  <si>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</si>
  <si>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</si>
  <si>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</si>
  <si>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</si>
  <si>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</si>
  <si>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</si>
  <si>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</si>
  <si>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</si>
  <si>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</si>
  <si>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</si>
  <si>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</si>
  <si>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</si>
  <si>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</si>
  <si>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</si>
  <si>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</si>
  <si>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</si>
  <si>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</si>
  <si>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</si>
  <si>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</si>
  <si>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</si>
  <si>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</si>
  <si>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</si>
  <si>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</si>
  <si>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</si>
  <si>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</si>
  <si>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</si>
  <si>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COF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</si>
  <si>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</si>
  <si>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</si>
  <si>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</si>
  <si>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</si>
  <si>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</si>
  <si>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</si>
  <si>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</si>
  <si>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</si>
  <si>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</si>
  <si>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</si>
  <si>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</si>
  <si>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</si>
  <si>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</si>
  <si>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</si>
  <si>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</si>
  <si>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</si>
  <si>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</si>
  <si>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</si>
  <si>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</si>
  <si>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</si>
  <si>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</si>
  <si>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</si>
  <si>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</si>
  <si>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</si>
  <si>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</si>
  <si>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</si>
  <si>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</si>
  <si>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</si>
  <si>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</si>
  <si>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</si>
  <si>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COF owner-FCF component DCF: base case (millions, USD)</t>
  </si>
  <si>
    <t xml:space="preserve">COF owner-FCF component DCF: bull case (millions, USD)</t>
  </si>
  <si>
    <t xml:space="preserve">COF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</si>
  <si>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</si>
  <si>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</si>
  <si>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</si>
  <si>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</si>
  <si>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</si>
  <si>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</si>
  <si>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</si>
  <si>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</si>
  <si>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</si>
  <si>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</si>
  <si>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</si>
  <si>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</si>
  <si>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</si>
  <si>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</si>
  <si>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</si>
  <si>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</si>
  <si>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10.5%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</si>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</sst>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200.2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35.0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25235.206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I3" s="0" t="n">
        <v>1570.332</v>
      </c>
      <c r="K3" s="0" t="n">
        <v>4.02</v>
      </c>
      <c r="L3" s="0" t="n">
        <v>12900.88</v>
      </c>
      <c r="M3" s="0" t="n">
        <v>437.545</v>
      </c>
      <c r="N3" s="0" t="n">
        <v>12463.335</v>
      </c>
      <c r="O3" s="0" t="n">
        <v>24294.112</v>
      </c>
      <c r="U3" s="0" t="n">
        <v>229.228</v>
      </c>
      <c r="V3" s="0" t="n">
        <v>0.11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13893</v>
      </c>
      <c r="I4" s="0" t="n">
        <v>-45.998</v>
      </c>
      <c r="J4" s="0" t="n">
        <v>-0.331087598070971</v>
      </c>
      <c r="K4" s="0" t="n">
        <v>-0.21</v>
      </c>
      <c r="L4" s="0" t="n">
        <v>3482.975</v>
      </c>
      <c r="M4" s="0" t="n">
        <v>356.327</v>
      </c>
      <c r="N4" s="0" t="n">
        <v>3126.648</v>
      </c>
      <c r="O4" s="0" t="n">
        <v>26611</v>
      </c>
      <c r="P4" s="0" t="n">
        <v>165913.452</v>
      </c>
      <c r="Q4" s="0" t="n">
        <v>139301.019</v>
      </c>
      <c r="T4" s="0" t="n">
        <v>378</v>
      </c>
      <c r="U4" s="0" t="n">
        <v>111.646</v>
      </c>
      <c r="V4" s="0" t="n">
        <v>1.5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12983</v>
      </c>
      <c r="I5" s="0" t="n">
        <v>884</v>
      </c>
      <c r="J5" s="0" t="n">
        <v>6.80890395132096</v>
      </c>
      <c r="K5" s="0" t="n">
        <v>0.75</v>
      </c>
      <c r="L5" s="0" t="n">
        <v>2082</v>
      </c>
      <c r="M5" s="0" t="n">
        <v>243</v>
      </c>
      <c r="N5" s="0" t="n">
        <v>1839</v>
      </c>
      <c r="O5" s="0" t="n">
        <v>26590</v>
      </c>
      <c r="P5" s="0" t="n">
        <v>169646</v>
      </c>
      <c r="Q5" s="0" t="n">
        <v>143056.953</v>
      </c>
      <c r="R5" s="0" t="n">
        <v>15438</v>
      </c>
      <c r="T5" s="0" t="n">
        <v>431</v>
      </c>
      <c r="U5" s="0" t="n">
        <v>146</v>
      </c>
      <c r="V5" s="0" t="n">
        <v>0.53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16171</v>
      </c>
      <c r="I6" s="0" t="n">
        <v>2743</v>
      </c>
      <c r="J6" s="0" t="n">
        <v>16.9624636695319</v>
      </c>
      <c r="K6" s="0" t="n">
        <v>6.07</v>
      </c>
      <c r="L6" s="0" t="n">
        <v>8142</v>
      </c>
      <c r="M6" s="0" t="n">
        <v>340</v>
      </c>
      <c r="N6" s="0" t="n">
        <v>7802</v>
      </c>
      <c r="O6" s="0" t="n">
        <v>26541</v>
      </c>
      <c r="P6" s="0" t="n">
        <v>197503</v>
      </c>
      <c r="Q6" s="0" t="n">
        <v>170962</v>
      </c>
      <c r="R6" s="0" t="n">
        <v>40272</v>
      </c>
      <c r="T6" s="0" t="n">
        <v>456</v>
      </c>
      <c r="U6" s="0" t="n">
        <v>149</v>
      </c>
      <c r="V6" s="0" t="n">
        <v>0.2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16279</v>
      </c>
      <c r="I7" s="0" t="n">
        <v>3147</v>
      </c>
      <c r="J7" s="0" t="n">
        <v>19.3316542785183</v>
      </c>
      <c r="K7" s="0" t="n">
        <v>6.85</v>
      </c>
      <c r="L7" s="0" t="n">
        <v>7455</v>
      </c>
      <c r="M7" s="0" t="n">
        <v>315</v>
      </c>
      <c r="N7" s="0" t="n">
        <v>7140</v>
      </c>
      <c r="O7" s="0" t="n">
        <v>29617</v>
      </c>
      <c r="P7" s="0" t="n">
        <v>206019</v>
      </c>
      <c r="Q7" s="0" t="n">
        <v>176353</v>
      </c>
      <c r="R7" s="0" t="n">
        <v>32262</v>
      </c>
      <c r="T7" s="0" t="n">
        <v>459.947217</v>
      </c>
      <c r="U7" s="0" t="n">
        <v>189</v>
      </c>
      <c r="V7" s="0" t="n">
        <v>0.2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21396</v>
      </c>
      <c r="I8" s="0" t="n">
        <v>3492</v>
      </c>
      <c r="J8" s="0" t="n">
        <v>16.3208076275939</v>
      </c>
      <c r="K8" s="0" t="n">
        <v>6.17</v>
      </c>
      <c r="L8" s="0" t="n">
        <v>9524</v>
      </c>
      <c r="M8" s="0" t="n">
        <v>560</v>
      </c>
      <c r="N8" s="0" t="n">
        <v>8964</v>
      </c>
      <c r="O8" s="0" t="n">
        <v>40425</v>
      </c>
      <c r="P8" s="0" t="n">
        <v>312918</v>
      </c>
      <c r="Q8" s="0" t="n">
        <v>272419</v>
      </c>
      <c r="R8" s="0" t="n">
        <v>28762</v>
      </c>
      <c r="T8" s="0" t="n">
        <v>582.207133</v>
      </c>
      <c r="U8" s="0" t="n">
        <v>202</v>
      </c>
      <c r="V8" s="0" t="n">
        <v>0.2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22384</v>
      </c>
      <c r="I9" s="0" t="n">
        <v>4121</v>
      </c>
      <c r="J9" s="0" t="n">
        <v>18.4104717655468</v>
      </c>
      <c r="K9" s="0" t="n">
        <v>6.99</v>
      </c>
      <c r="L9" s="0" t="n">
        <v>9984</v>
      </c>
      <c r="M9" s="0" t="n">
        <v>818</v>
      </c>
      <c r="N9" s="0" t="n">
        <v>9166</v>
      </c>
      <c r="O9" s="0" t="n">
        <v>41632</v>
      </c>
      <c r="P9" s="0" t="n">
        <v>296933</v>
      </c>
      <c r="Q9" s="0" t="n">
        <v>255301</v>
      </c>
      <c r="R9" s="0" t="n">
        <v>24439</v>
      </c>
      <c r="T9" s="0" t="n">
        <v>587.6</v>
      </c>
      <c r="U9" s="0" t="n">
        <v>240</v>
      </c>
      <c r="V9" s="0" t="n">
        <v>0.95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22290</v>
      </c>
      <c r="I10" s="0" t="n">
        <v>4428</v>
      </c>
      <c r="J10" s="0" t="n">
        <v>19.8654104979812</v>
      </c>
      <c r="K10" s="0" t="n">
        <v>7.71</v>
      </c>
      <c r="L10" s="0" t="n">
        <v>9304</v>
      </c>
      <c r="M10" s="0" t="n">
        <v>502</v>
      </c>
      <c r="N10" s="0" t="n">
        <v>8802</v>
      </c>
      <c r="O10" s="0" t="n">
        <v>45053</v>
      </c>
      <c r="P10" s="0" t="n">
        <v>308167</v>
      </c>
      <c r="Q10" s="0" t="n">
        <v>263114</v>
      </c>
      <c r="R10" s="0" t="n">
        <v>31377</v>
      </c>
      <c r="T10" s="0" t="n">
        <v>571.9</v>
      </c>
      <c r="U10" s="0" t="n">
        <v>205</v>
      </c>
      <c r="V10" s="0" t="n">
        <v>1.2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23413</v>
      </c>
      <c r="I11" s="0" t="n">
        <v>4050</v>
      </c>
      <c r="J11" s="0" t="n">
        <v>17.2980822619912</v>
      </c>
      <c r="K11" s="0" t="n">
        <v>7.15</v>
      </c>
      <c r="L11" s="0" t="n">
        <v>10127</v>
      </c>
      <c r="M11" s="0" t="n">
        <v>532</v>
      </c>
      <c r="N11" s="0" t="n">
        <v>9595</v>
      </c>
      <c r="O11" s="0" t="n">
        <v>47284</v>
      </c>
      <c r="P11" s="0" t="n">
        <v>334048</v>
      </c>
      <c r="Q11" s="0" t="n">
        <v>286764</v>
      </c>
      <c r="R11" s="0" t="n">
        <v>58134</v>
      </c>
      <c r="T11" s="0" t="n">
        <v>548</v>
      </c>
      <c r="U11" s="0" t="n">
        <v>161</v>
      </c>
      <c r="V11" s="0" t="n">
        <v>1.5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25501</v>
      </c>
      <c r="I12" s="0" t="n">
        <v>3751</v>
      </c>
      <c r="J12" s="0" t="n">
        <v>14.7092270891338</v>
      </c>
      <c r="K12" s="0" t="n">
        <v>6.96</v>
      </c>
      <c r="L12" s="0" t="n">
        <v>11856</v>
      </c>
      <c r="M12" s="0" t="n">
        <v>779</v>
      </c>
      <c r="N12" s="0" t="n">
        <v>11077</v>
      </c>
      <c r="O12" s="0" t="n">
        <v>47514</v>
      </c>
      <c r="P12" s="0" t="n">
        <v>357033</v>
      </c>
      <c r="Q12" s="0" t="n">
        <v>309519</v>
      </c>
      <c r="R12" s="0" t="n">
        <v>59468</v>
      </c>
      <c r="T12" s="0" t="n">
        <v>509.8</v>
      </c>
      <c r="U12" s="0" t="n">
        <v>239</v>
      </c>
      <c r="V12" s="0" t="n">
        <v>1.6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27237</v>
      </c>
      <c r="I13" s="0" t="n">
        <v>1982</v>
      </c>
      <c r="J13" s="0" t="n">
        <v>7.27686602782979</v>
      </c>
      <c r="K13" s="0" t="n">
        <v>3.52</v>
      </c>
      <c r="L13" s="0" t="n">
        <v>14182</v>
      </c>
      <c r="M13" s="0" t="n">
        <v>1018</v>
      </c>
      <c r="N13" s="0" t="n">
        <v>13164</v>
      </c>
      <c r="O13" s="0" t="n">
        <v>48730</v>
      </c>
      <c r="P13" s="0" t="n">
        <v>365693</v>
      </c>
      <c r="Q13" s="0" t="n">
        <v>316963</v>
      </c>
      <c r="R13" s="0" t="n">
        <v>59705</v>
      </c>
      <c r="T13" s="0" t="n">
        <v>488.6</v>
      </c>
      <c r="U13" s="0" t="n">
        <v>244</v>
      </c>
      <c r="V13" s="0" t="n">
        <v>1.6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28076</v>
      </c>
      <c r="I14" s="0" t="n">
        <v>6015</v>
      </c>
      <c r="J14" s="0" t="n">
        <v>21.4239920216555</v>
      </c>
      <c r="K14" s="0" t="n">
        <v>11.9</v>
      </c>
      <c r="L14" s="0" t="n">
        <v>12978</v>
      </c>
      <c r="M14" s="0" t="n">
        <v>874</v>
      </c>
      <c r="N14" s="0" t="n">
        <v>12104</v>
      </c>
      <c r="O14" s="0" t="n">
        <v>51668</v>
      </c>
      <c r="P14" s="0" t="n">
        <v>372538</v>
      </c>
      <c r="Q14" s="0" t="n">
        <v>320870</v>
      </c>
      <c r="R14" s="0" t="n">
        <v>49503</v>
      </c>
      <c r="T14" s="0" t="n">
        <v>483.1</v>
      </c>
      <c r="U14" s="0" t="n">
        <v>170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28593</v>
      </c>
      <c r="I15" s="0" t="n">
        <v>5546</v>
      </c>
      <c r="J15" s="0" t="n">
        <v>19.3963557514077</v>
      </c>
      <c r="K15" s="0" t="n">
        <v>11.1</v>
      </c>
      <c r="L15" s="0" t="n">
        <v>16639</v>
      </c>
      <c r="M15" s="0" t="n">
        <v>887</v>
      </c>
      <c r="N15" s="0" t="n">
        <v>15752</v>
      </c>
      <c r="O15" s="0" t="n">
        <v>58011</v>
      </c>
      <c r="P15" s="0" t="n">
        <v>390365</v>
      </c>
      <c r="Q15" s="0" t="n">
        <v>332354</v>
      </c>
      <c r="R15" s="0" t="n">
        <v>48383</v>
      </c>
      <c r="T15" s="0" t="n">
        <v>469.9</v>
      </c>
      <c r="U15" s="0" t="n">
        <v>239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28523</v>
      </c>
      <c r="I16" s="0" t="n">
        <v>2714</v>
      </c>
      <c r="J16" s="0" t="n">
        <v>9.51512814220103</v>
      </c>
      <c r="K16" s="0" t="n">
        <v>5.19</v>
      </c>
      <c r="L16" s="0" t="n">
        <v>16699</v>
      </c>
      <c r="M16" s="0" t="n">
        <v>710</v>
      </c>
      <c r="N16" s="0" t="n">
        <v>15989</v>
      </c>
      <c r="O16" s="0" t="n">
        <v>60204</v>
      </c>
      <c r="P16" s="0" t="n">
        <v>421602</v>
      </c>
      <c r="Q16" s="0" t="n">
        <v>361398</v>
      </c>
      <c r="R16" s="0" t="n">
        <v>39871</v>
      </c>
      <c r="T16" s="0" t="n">
        <v>458.972202</v>
      </c>
      <c r="U16" s="0" t="n">
        <v>203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30435</v>
      </c>
      <c r="I17" s="0" t="n">
        <v>12390</v>
      </c>
      <c r="J17" s="0" t="n">
        <v>40.7097092163627</v>
      </c>
      <c r="K17" s="0" t="n">
        <v>27.04</v>
      </c>
      <c r="L17" s="0" t="n">
        <v>12310</v>
      </c>
      <c r="M17" s="0" t="n">
        <v>698</v>
      </c>
      <c r="N17" s="0" t="n">
        <v>11612</v>
      </c>
      <c r="O17" s="0" t="n">
        <v>61029</v>
      </c>
      <c r="P17" s="0" t="n">
        <v>432381</v>
      </c>
      <c r="Q17" s="0" t="n">
        <v>371352</v>
      </c>
      <c r="R17" s="0" t="n">
        <v>42266</v>
      </c>
      <c r="T17" s="0" t="n">
        <v>444.2</v>
      </c>
      <c r="U17" s="0" t="n">
        <v>331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34250</v>
      </c>
      <c r="I18" s="0" t="n">
        <v>7360</v>
      </c>
      <c r="J18" s="0" t="n">
        <v>21.4890510948905</v>
      </c>
      <c r="K18" s="0" t="n">
        <v>17.98</v>
      </c>
      <c r="L18" s="0" t="n">
        <v>13809</v>
      </c>
      <c r="M18" s="0" t="n">
        <v>934</v>
      </c>
      <c r="N18" s="0" t="n">
        <v>12875</v>
      </c>
      <c r="O18" s="0" t="n">
        <v>52582</v>
      </c>
      <c r="P18" s="0" t="n">
        <v>455249</v>
      </c>
      <c r="Q18" s="0" t="n">
        <v>402667</v>
      </c>
      <c r="R18" s="0" t="n">
        <v>47832</v>
      </c>
      <c r="T18" s="0" t="n">
        <v>393.2</v>
      </c>
      <c r="U18" s="0" t="n">
        <v>314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36787</v>
      </c>
      <c r="I19" s="0" t="n">
        <v>4887</v>
      </c>
      <c r="J19" s="0" t="n">
        <v>13.2845842281241</v>
      </c>
      <c r="K19" s="0" t="n">
        <v>11.98</v>
      </c>
      <c r="L19" s="0" t="n">
        <v>20575</v>
      </c>
      <c r="M19" s="0" t="n">
        <v>961</v>
      </c>
      <c r="N19" s="0" t="n">
        <v>19614</v>
      </c>
      <c r="O19" s="0" t="n">
        <v>58089</v>
      </c>
      <c r="P19" s="0" t="n">
        <v>478464</v>
      </c>
      <c r="Q19" s="0" t="n">
        <v>420375</v>
      </c>
      <c r="R19" s="0" t="n">
        <v>49318</v>
      </c>
      <c r="T19" s="0" t="n">
        <v>383.4</v>
      </c>
      <c r="U19" s="0" t="n">
        <v>513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39112</v>
      </c>
      <c r="I20" s="0" t="n">
        <v>4750</v>
      </c>
      <c r="J20" s="0" t="n">
        <v>12.1446103497648</v>
      </c>
      <c r="K20" s="0" t="n">
        <v>11.61</v>
      </c>
      <c r="L20" s="0" t="n">
        <v>18159</v>
      </c>
      <c r="M20" s="0" t="n">
        <v>1204</v>
      </c>
      <c r="N20" s="0" t="n">
        <v>16955</v>
      </c>
      <c r="O20" s="0" t="n">
        <v>60784</v>
      </c>
      <c r="P20" s="0" t="n">
        <v>490144</v>
      </c>
      <c r="Q20" s="0" t="n">
        <v>429360</v>
      </c>
      <c r="R20" s="0" t="n">
        <v>44989</v>
      </c>
      <c r="T20" s="0" t="n">
        <v>383.6</v>
      </c>
      <c r="U20" s="0" t="n">
        <v>569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53434</v>
      </c>
      <c r="I21" s="0" t="n">
        <v>2453</v>
      </c>
      <c r="J21" s="0" t="n">
        <v>4.5907100348093</v>
      </c>
      <c r="K21" s="0" t="n">
        <v>4.03</v>
      </c>
      <c r="L21" s="0" t="n">
        <v>27718</v>
      </c>
      <c r="M21" s="0" t="n">
        <v>1578</v>
      </c>
      <c r="N21" s="0" t="n">
        <v>26140</v>
      </c>
      <c r="O21" s="0" t="n">
        <v>113616</v>
      </c>
      <c r="P21" s="0" t="n">
        <v>669009</v>
      </c>
      <c r="Q21" s="0" t="n">
        <v>555393</v>
      </c>
      <c r="R21" s="0" t="n">
        <v>49913</v>
      </c>
      <c r="T21" s="0" t="n">
        <v>625.102271</v>
      </c>
      <c r="U21" s="0" t="n">
        <v>776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200.2</v>
      </c>
    </row>
    <row r="3" customFormat="false" ht="15" hidden="false" customHeight="false" outlineLevel="0" collapsed="false">
      <c r="A3" s="0" t="s">
        <v>86</v>
      </c>
      <c r="B3" s="3" t="n">
        <v>616.5</v>
      </c>
    </row>
    <row r="4" customFormat="false" ht="15" hidden="false" customHeight="false" outlineLevel="0" collapsed="false">
      <c r="A4" s="0" t="s">
        <v>87</v>
      </c>
      <c r="B4" s="3" t="n">
        <v>0</v>
      </c>
    </row>
    <row r="5" customFormat="false" ht="15" hidden="false" customHeight="false" outlineLevel="0" collapsed="false">
      <c r="A5" s="0" t="s">
        <v>88</v>
      </c>
      <c r="B5" s="3" t="n">
        <v>593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63500</v>
      </c>
    </row>
    <row r="8" customFormat="false" ht="15" hidden="false" customHeight="false" outlineLevel="0" collapsed="false">
      <c r="A8" s="0" t="s">
        <v>91</v>
      </c>
      <c r="B8" s="3" t="s">
        <v>92</v>
      </c>
    </row>
    <row r="9" customFormat="false" ht="15" hidden="false" customHeight="false" outlineLevel="0" collapsed="false">
      <c r="A9" s="0" t="s">
        <v>93</v>
      </c>
      <c r="B9" s="3" t="s">
        <v>94</v>
      </c>
    </row>
    <row r="10" customFormat="false" ht="15" hidden="false" customHeight="false" outlineLevel="0" collapsed="false">
      <c r="A10" s="0" t="s">
        <v>95</v>
      </c>
      <c r="B10" s="3" t="n">
        <v>1</v>
      </c>
    </row>
    <row r="12" customFormat="false" ht="15" hidden="false" customHeight="false" outlineLevel="0" collapsed="false">
      <c r="A12" s="2" t="s">
        <v>96</v>
      </c>
      <c r="C12" s="2" t="s">
        <v>97</v>
      </c>
      <c r="D12" s="2" t="s">
        <v>98</v>
      </c>
      <c r="E12" s="2" t="s">
        <v>99</v>
      </c>
      <c r="F12" s="2" t="s">
        <v>100</v>
      </c>
      <c r="G12" s="2" t="s">
        <v>101</v>
      </c>
      <c r="H12" s="2" t="s">
        <v>102</v>
      </c>
      <c r="I12" s="2" t="s">
        <v>103</v>
      </c>
      <c r="J12" s="2" t="s">
        <v>104</v>
      </c>
      <c r="K12" s="2" t="s">
        <v>105</v>
      </c>
      <c r="L12" s="2" t="s">
        <v>106</v>
      </c>
    </row>
    <row r="13" customFormat="false" ht="15" hidden="false" customHeight="false" outlineLevel="0" collapsed="false">
      <c r="A13" s="0" t="s">
        <v>107</v>
      </c>
      <c r="C13" s="3" t="n">
        <v>1</v>
      </c>
      <c r="D13" s="3" t="n">
        <v>2</v>
      </c>
      <c r="E13" s="3" t="n">
        <v>3</v>
      </c>
      <c r="F13" s="3" t="n">
        <v>3</v>
      </c>
      <c r="G13" s="3" t="n">
        <v>3</v>
      </c>
      <c r="H13" s="3" t="n">
        <v>2.5</v>
      </c>
      <c r="I13" s="3" t="n">
        <v>2.5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108</v>
      </c>
      <c r="C14" s="3" t="n">
        <v>10.6</v>
      </c>
      <c r="D14" s="3" t="n">
        <v>17.1</v>
      </c>
      <c r="E14" s="3" t="n">
        <v>22.1</v>
      </c>
      <c r="F14" s="3" t="n">
        <v>22.1</v>
      </c>
      <c r="G14" s="3" t="n">
        <v>22.1</v>
      </c>
      <c r="H14" s="3" t="n">
        <v>22.1</v>
      </c>
      <c r="I14" s="3" t="n">
        <v>22.1</v>
      </c>
      <c r="J14" s="3" t="n">
        <v>22.1</v>
      </c>
      <c r="K14" s="3" t="n">
        <v>22.1</v>
      </c>
      <c r="L14" s="3" t="n">
        <v>22.1</v>
      </c>
    </row>
    <row r="15" customFormat="false" ht="15" hidden="false" customHeight="false" outlineLevel="0" collapsed="false">
      <c r="A15" s="0" t="s">
        <v>109</v>
      </c>
      <c r="C15" s="3" t="n">
        <v>1.1</v>
      </c>
      <c r="D15" s="3" t="n">
        <v>1.1</v>
      </c>
      <c r="E15" s="3" t="n">
        <v>1.1</v>
      </c>
      <c r="F15" s="3" t="n">
        <v>1.1</v>
      </c>
      <c r="G15" s="3" t="n">
        <v>1.1</v>
      </c>
      <c r="H15" s="3" t="n">
        <v>1.1</v>
      </c>
      <c r="I15" s="3" t="n">
        <v>1.1</v>
      </c>
      <c r="J15" s="3" t="n">
        <v>1.1</v>
      </c>
      <c r="K15" s="3" t="n">
        <v>1.1</v>
      </c>
      <c r="L15" s="3" t="n">
        <v>1.1</v>
      </c>
    </row>
    <row r="16" customFormat="false" ht="15" hidden="false" customHeight="false" outlineLevel="0" collapsed="false">
      <c r="A16" s="0" t="s">
        <v>110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111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112</v>
      </c>
      <c r="C18" s="3" t="n">
        <v>0.9</v>
      </c>
      <c r="D18" s="3" t="n">
        <v>1.7</v>
      </c>
      <c r="E18" s="3" t="n">
        <v>2.6</v>
      </c>
      <c r="F18" s="3" t="n">
        <v>2.6</v>
      </c>
      <c r="G18" s="3" t="n">
        <v>2.6</v>
      </c>
      <c r="H18" s="3" t="n">
        <v>2.1</v>
      </c>
      <c r="I18" s="3" t="n">
        <v>2.1</v>
      </c>
      <c r="J18" s="3" t="n">
        <v>1.7</v>
      </c>
      <c r="K18" s="3" t="n">
        <v>1.7</v>
      </c>
      <c r="L18" s="3" t="n">
        <v>1.7</v>
      </c>
    </row>
    <row r="19" customFormat="false" ht="15" hidden="false" customHeight="false" outlineLevel="0" collapsed="false">
      <c r="A19" s="0" t="s">
        <v>113</v>
      </c>
      <c r="C19" s="3" t="n">
        <v>20</v>
      </c>
      <c r="D19" s="3" t="n">
        <v>20</v>
      </c>
      <c r="E19" s="3" t="n">
        <v>20</v>
      </c>
      <c r="F19" s="3" t="n">
        <v>20</v>
      </c>
      <c r="G19" s="3" t="n">
        <v>20</v>
      </c>
      <c r="H19" s="3" t="n">
        <v>20</v>
      </c>
      <c r="I19" s="3" t="n">
        <v>20</v>
      </c>
      <c r="J19" s="3" t="n">
        <v>20</v>
      </c>
      <c r="K19" s="3" t="n">
        <v>20</v>
      </c>
      <c r="L19" s="3" t="n">
        <v>20</v>
      </c>
    </row>
    <row r="20" customFormat="false" ht="15" hidden="false" customHeight="false" outlineLevel="0" collapsed="false">
      <c r="A20" s="0" t="s">
        <v>114</v>
      </c>
      <c r="B20" s="3" t="n">
        <v>10.5</v>
      </c>
    </row>
    <row r="21" customFormat="false" ht="15" hidden="false" customHeight="false" outlineLevel="0" collapsed="false">
      <c r="A21" s="0" t="s">
        <v>115</v>
      </c>
      <c r="B21" s="3" t="n">
        <v>2</v>
      </c>
    </row>
    <row r="22" customFormat="false" ht="15" hidden="false" customHeight="false" outlineLevel="0" collapsed="false">
      <c r="A22" s="0" t="s">
        <v>116</v>
      </c>
      <c r="B22" s="3" t="n">
        <v>12.5</v>
      </c>
    </row>
    <row r="23" customFormat="false" ht="15" hidden="false" customHeight="false" outlineLevel="0" collapsed="false">
      <c r="A23" s="0" t="s">
        <v>117</v>
      </c>
      <c r="B23" s="3" t="n">
        <v>0</v>
      </c>
    </row>
    <row r="24" customFormat="false" ht="15" hidden="false" customHeight="false" outlineLevel="0" collapsed="false">
      <c r="A24" s="0" t="s">
        <v>118</v>
      </c>
      <c r="B24" s="3" t="n">
        <v>0.25</v>
      </c>
    </row>
    <row r="26" customFormat="false" ht="15" hidden="false" customHeight="false" outlineLevel="0" collapsed="false">
      <c r="A26" s="2" t="s">
        <v>119</v>
      </c>
      <c r="C26" s="2" t="s">
        <v>97</v>
      </c>
      <c r="D26" s="2" t="s">
        <v>98</v>
      </c>
      <c r="E26" s="2" t="s">
        <v>99</v>
      </c>
      <c r="F26" s="2" t="s">
        <v>100</v>
      </c>
      <c r="G26" s="2" t="s">
        <v>101</v>
      </c>
      <c r="H26" s="2" t="s">
        <v>102</v>
      </c>
      <c r="I26" s="2" t="s">
        <v>103</v>
      </c>
      <c r="J26" s="2" t="s">
        <v>104</v>
      </c>
      <c r="K26" s="2" t="s">
        <v>105</v>
      </c>
      <c r="L26" s="2" t="s">
        <v>106</v>
      </c>
    </row>
    <row r="27" customFormat="false" ht="15" hidden="false" customHeight="false" outlineLevel="0" collapsed="false">
      <c r="A27" s="0" t="s">
        <v>107</v>
      </c>
      <c r="C27" s="3" t="n">
        <v>5</v>
      </c>
      <c r="D27" s="3" t="n">
        <v>4.5</v>
      </c>
      <c r="E27" s="3" t="n">
        <v>4.5</v>
      </c>
      <c r="F27" s="3" t="n">
        <v>4</v>
      </c>
      <c r="G27" s="3" t="n">
        <v>4</v>
      </c>
      <c r="H27" s="3" t="n">
        <v>3.5</v>
      </c>
      <c r="I27" s="3" t="n">
        <v>3.5</v>
      </c>
      <c r="J27" s="3" t="n">
        <v>3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108</v>
      </c>
      <c r="C28" s="3" t="n">
        <v>24.4</v>
      </c>
      <c r="D28" s="3" t="n">
        <v>25</v>
      </c>
      <c r="E28" s="3" t="n">
        <v>25</v>
      </c>
      <c r="F28" s="3" t="n">
        <v>25</v>
      </c>
      <c r="G28" s="3" t="n">
        <v>25</v>
      </c>
      <c r="H28" s="3" t="n">
        <v>25</v>
      </c>
      <c r="I28" s="3" t="n">
        <v>25</v>
      </c>
      <c r="J28" s="3" t="n">
        <v>25</v>
      </c>
      <c r="K28" s="3" t="n">
        <v>25</v>
      </c>
      <c r="L28" s="3" t="n">
        <v>25</v>
      </c>
    </row>
    <row r="29" customFormat="false" ht="15" hidden="false" customHeight="false" outlineLevel="0" collapsed="false">
      <c r="A29" s="0" t="s">
        <v>109</v>
      </c>
      <c r="C29" s="3" t="n">
        <v>1.1</v>
      </c>
      <c r="D29" s="3" t="n">
        <v>1.1</v>
      </c>
      <c r="E29" s="3" t="n">
        <v>1.1</v>
      </c>
      <c r="F29" s="3" t="n">
        <v>1.1</v>
      </c>
      <c r="G29" s="3" t="n">
        <v>1.1</v>
      </c>
      <c r="H29" s="3" t="n">
        <v>1.1</v>
      </c>
      <c r="I29" s="3" t="n">
        <v>1.1</v>
      </c>
      <c r="J29" s="3" t="n">
        <v>1.1</v>
      </c>
      <c r="K29" s="3" t="n">
        <v>1.1</v>
      </c>
      <c r="L29" s="3" t="n">
        <v>1.1</v>
      </c>
    </row>
    <row r="30" customFormat="false" ht="15" hidden="false" customHeight="false" outlineLevel="0" collapsed="false">
      <c r="A30" s="0" t="s">
        <v>110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111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112</v>
      </c>
      <c r="C32" s="3" t="n">
        <v>4.3</v>
      </c>
      <c r="D32" s="3" t="n">
        <v>3.8</v>
      </c>
      <c r="E32" s="3" t="n">
        <v>3.8</v>
      </c>
      <c r="F32" s="3" t="n">
        <v>3.4</v>
      </c>
      <c r="G32" s="3" t="n">
        <v>3.4</v>
      </c>
      <c r="H32" s="3" t="n">
        <v>3</v>
      </c>
      <c r="I32" s="3" t="n">
        <v>3</v>
      </c>
      <c r="J32" s="3" t="n">
        <v>2.6</v>
      </c>
      <c r="K32" s="3" t="n">
        <v>2.6</v>
      </c>
      <c r="L32" s="3" t="n">
        <v>2.6</v>
      </c>
    </row>
    <row r="33" customFormat="false" ht="15" hidden="false" customHeight="false" outlineLevel="0" collapsed="false">
      <c r="A33" s="0" t="s">
        <v>113</v>
      </c>
      <c r="C33" s="3" t="n">
        <v>21</v>
      </c>
      <c r="D33" s="3" t="n">
        <v>21</v>
      </c>
      <c r="E33" s="3" t="n">
        <v>21</v>
      </c>
      <c r="F33" s="3" t="n">
        <v>21</v>
      </c>
      <c r="G33" s="3" t="n">
        <v>21</v>
      </c>
      <c r="H33" s="3" t="n">
        <v>21</v>
      </c>
      <c r="I33" s="3" t="n">
        <v>21</v>
      </c>
      <c r="J33" s="3" t="n">
        <v>21</v>
      </c>
      <c r="K33" s="3" t="n">
        <v>21</v>
      </c>
      <c r="L33" s="3" t="n">
        <v>21</v>
      </c>
    </row>
    <row r="34" customFormat="false" ht="15" hidden="false" customHeight="false" outlineLevel="0" collapsed="false">
      <c r="A34" s="0" t="s">
        <v>114</v>
      </c>
      <c r="B34" s="3" t="n">
        <v>10.5</v>
      </c>
    </row>
    <row r="35" customFormat="false" ht="15" hidden="false" customHeight="false" outlineLevel="0" collapsed="false">
      <c r="A35" s="0" t="s">
        <v>115</v>
      </c>
      <c r="B35" s="3" t="n">
        <v>3</v>
      </c>
    </row>
    <row r="36" customFormat="false" ht="15" hidden="false" customHeight="false" outlineLevel="0" collapsed="false">
      <c r="A36" s="0" t="s">
        <v>116</v>
      </c>
      <c r="B36" s="3" t="n">
        <v>14</v>
      </c>
    </row>
    <row r="37" customFormat="false" ht="15" hidden="false" customHeight="false" outlineLevel="0" collapsed="false">
      <c r="A37" s="0" t="s">
        <v>117</v>
      </c>
      <c r="B37" s="3" t="n">
        <v>0</v>
      </c>
    </row>
    <row r="38" customFormat="false" ht="15" hidden="false" customHeight="false" outlineLevel="0" collapsed="false">
      <c r="A38" s="0" t="s">
        <v>118</v>
      </c>
      <c r="B38" s="3" t="n">
        <v>0.5</v>
      </c>
    </row>
    <row r="40" customFormat="false" ht="15" hidden="false" customHeight="false" outlineLevel="0" collapsed="false">
      <c r="A40" s="2" t="s">
        <v>120</v>
      </c>
      <c r="C40" s="2" t="s">
        <v>97</v>
      </c>
      <c r="D40" s="2" t="s">
        <v>98</v>
      </c>
      <c r="E40" s="2" t="s">
        <v>99</v>
      </c>
      <c r="F40" s="2" t="s">
        <v>100</v>
      </c>
      <c r="G40" s="2" t="s">
        <v>101</v>
      </c>
      <c r="H40" s="2" t="s">
        <v>102</v>
      </c>
      <c r="I40" s="2" t="s">
        <v>103</v>
      </c>
      <c r="J40" s="2" t="s">
        <v>104</v>
      </c>
      <c r="K40" s="2" t="s">
        <v>105</v>
      </c>
      <c r="L40" s="2" t="s">
        <v>106</v>
      </c>
    </row>
    <row r="41" customFormat="false" ht="15" hidden="false" customHeight="false" outlineLevel="0" collapsed="false">
      <c r="A41" s="0" t="s">
        <v>107</v>
      </c>
      <c r="C41" s="3" t="n">
        <v>6.5</v>
      </c>
      <c r="D41" s="3" t="n">
        <v>6</v>
      </c>
      <c r="E41" s="3" t="n">
        <v>5.5</v>
      </c>
      <c r="F41" s="3" t="n">
        <v>5</v>
      </c>
      <c r="G41" s="3" t="n">
        <v>4.5</v>
      </c>
      <c r="H41" s="3" t="n">
        <v>4</v>
      </c>
      <c r="I41" s="3" t="n">
        <v>4</v>
      </c>
      <c r="J41" s="3" t="n">
        <v>3.5</v>
      </c>
      <c r="K41" s="3" t="n">
        <v>3.5</v>
      </c>
      <c r="L41" s="3" t="n">
        <v>3.5</v>
      </c>
    </row>
    <row r="42" customFormat="false" ht="15" hidden="false" customHeight="false" outlineLevel="0" collapsed="false">
      <c r="A42" s="0" t="s">
        <v>108</v>
      </c>
      <c r="C42" s="3" t="n">
        <v>25.6</v>
      </c>
      <c r="D42" s="3" t="n">
        <v>26.8</v>
      </c>
      <c r="E42" s="3" t="n">
        <v>27.3</v>
      </c>
      <c r="F42" s="3" t="n">
        <v>27.3</v>
      </c>
      <c r="G42" s="3" t="n">
        <v>27.3</v>
      </c>
      <c r="H42" s="3" t="n">
        <v>27.3</v>
      </c>
      <c r="I42" s="3" t="n">
        <v>27.3</v>
      </c>
      <c r="J42" s="3" t="n">
        <v>27.3</v>
      </c>
      <c r="K42" s="3" t="n">
        <v>27.3</v>
      </c>
      <c r="L42" s="3" t="n">
        <v>27.3</v>
      </c>
    </row>
    <row r="43" customFormat="false" ht="15" hidden="false" customHeight="false" outlineLevel="0" collapsed="false">
      <c r="A43" s="0" t="s">
        <v>109</v>
      </c>
      <c r="C43" s="3" t="n">
        <v>1.1</v>
      </c>
      <c r="D43" s="3" t="n">
        <v>1.1</v>
      </c>
      <c r="E43" s="3" t="n">
        <v>1.1</v>
      </c>
      <c r="F43" s="3" t="n">
        <v>1.1</v>
      </c>
      <c r="G43" s="3" t="n">
        <v>1.1</v>
      </c>
      <c r="H43" s="3" t="n">
        <v>1.1</v>
      </c>
      <c r="I43" s="3" t="n">
        <v>1.1</v>
      </c>
      <c r="J43" s="3" t="n">
        <v>1.1</v>
      </c>
      <c r="K43" s="3" t="n">
        <v>1.1</v>
      </c>
      <c r="L43" s="3" t="n">
        <v>1.1</v>
      </c>
    </row>
    <row r="44" customFormat="false" ht="15" hidden="false" customHeight="false" outlineLevel="0" collapsed="false">
      <c r="A44" s="0" t="s">
        <v>110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111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112</v>
      </c>
      <c r="C46" s="3" t="n">
        <v>5.6</v>
      </c>
      <c r="D46" s="3" t="n">
        <v>5.1</v>
      </c>
      <c r="E46" s="3" t="n">
        <v>4.7</v>
      </c>
      <c r="F46" s="3" t="n">
        <v>4.3</v>
      </c>
      <c r="G46" s="3" t="n">
        <v>3.8</v>
      </c>
      <c r="H46" s="3" t="n">
        <v>3.4</v>
      </c>
      <c r="I46" s="3" t="n">
        <v>3.4</v>
      </c>
      <c r="J46" s="3" t="n">
        <v>3</v>
      </c>
      <c r="K46" s="3" t="n">
        <v>3</v>
      </c>
      <c r="L46" s="3" t="n">
        <v>3</v>
      </c>
    </row>
    <row r="47" customFormat="false" ht="15" hidden="false" customHeight="false" outlineLevel="0" collapsed="false">
      <c r="A47" s="0" t="s">
        <v>113</v>
      </c>
      <c r="C47" s="3" t="n">
        <v>21</v>
      </c>
      <c r="D47" s="3" t="n">
        <v>21</v>
      </c>
      <c r="E47" s="3" t="n">
        <v>21</v>
      </c>
      <c r="F47" s="3" t="n">
        <v>21</v>
      </c>
      <c r="G47" s="3" t="n">
        <v>21</v>
      </c>
      <c r="H47" s="3" t="n">
        <v>21</v>
      </c>
      <c r="I47" s="3" t="n">
        <v>21</v>
      </c>
      <c r="J47" s="3" t="n">
        <v>21</v>
      </c>
      <c r="K47" s="3" t="n">
        <v>21</v>
      </c>
      <c r="L47" s="3" t="n">
        <v>21</v>
      </c>
    </row>
    <row r="48" customFormat="false" ht="15" hidden="false" customHeight="false" outlineLevel="0" collapsed="false">
      <c r="A48" s="0" t="s">
        <v>114</v>
      </c>
      <c r="B48" s="3" t="n">
        <v>10.5</v>
      </c>
    </row>
    <row r="49" customFormat="false" ht="15" hidden="false" customHeight="false" outlineLevel="0" collapsed="false">
      <c r="A49" s="0" t="s">
        <v>115</v>
      </c>
      <c r="B49" s="3" t="n">
        <v>3.5</v>
      </c>
    </row>
    <row r="50" customFormat="false" ht="15" hidden="false" customHeight="false" outlineLevel="0" collapsed="false">
      <c r="A50" s="0" t="s">
        <v>116</v>
      </c>
      <c r="B50" s="3" t="n">
        <v>15</v>
      </c>
    </row>
    <row r="51" customFormat="false" ht="15" hidden="false" customHeight="false" outlineLevel="0" collapsed="false">
      <c r="A51" s="0" t="s">
        <v>117</v>
      </c>
      <c r="B51" s="3" t="n">
        <v>0</v>
      </c>
    </row>
    <row r="52" customFormat="false" ht="15" hidden="false" customHeight="false" outlineLevel="0" collapsed="false">
      <c r="A52" s="0" t="s">
        <v>118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121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Assumptions!C13</f>
        <v>1</v>
      </c>
      <c r="D5" s="4" t="n">
        <f aca="false">Assumptions!D13</f>
        <v>2</v>
      </c>
      <c r="E5" s="4" t="n">
        <f aca="false">Assumptions!E13</f>
        <v>3</v>
      </c>
      <c r="F5" s="4" t="n">
        <f aca="false">Assumptions!F13</f>
        <v>3</v>
      </c>
      <c r="G5" s="4" t="n">
        <f aca="false">Assumptions!G13</f>
        <v>3</v>
      </c>
      <c r="H5" s="4" t="n">
        <f aca="false">Assumptions!H13</f>
        <v>2.5</v>
      </c>
      <c r="I5" s="4" t="n">
        <f aca="false">Assumptions!I13</f>
        <v>2.5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63500</v>
      </c>
      <c r="C6" s="0" t="n">
        <f aca="false">B6*(1+C5/100)</f>
        <v>64135</v>
      </c>
      <c r="D6" s="0" t="n">
        <f aca="false">C6*(1+D5/100)</f>
        <v>65417.7</v>
      </c>
      <c r="E6" s="0" t="n">
        <f aca="false">D6*(1+E5/100)</f>
        <v>67380.231</v>
      </c>
      <c r="F6" s="0" t="n">
        <f aca="false">E6*(1+F5/100)</f>
        <v>69401.63793</v>
      </c>
      <c r="G6" s="0" t="n">
        <f aca="false">F6*(1+G5/100)</f>
        <v>71483.6870679</v>
      </c>
      <c r="H6" s="0" t="n">
        <f aca="false">G6*(1+H5/100)</f>
        <v>73270.7792445975</v>
      </c>
      <c r="I6" s="0" t="n">
        <f aca="false">H6*(1+I5/100)</f>
        <v>75102.5487257124</v>
      </c>
      <c r="J6" s="0" t="n">
        <f aca="false">I6*(1+J5/100)</f>
        <v>76604.5997002267</v>
      </c>
      <c r="K6" s="0" t="n">
        <f aca="false">J6*(1+K5/100)</f>
        <v>78136.6916942312</v>
      </c>
      <c r="L6" s="0" t="n">
        <f aca="false">K6*(1+L5/100)</f>
        <v>79699.4255281158</v>
      </c>
    </row>
    <row r="7" customFormat="false" ht="15" hidden="false" customHeight="false" outlineLevel="0" collapsed="false">
      <c r="A7" s="0" t="s">
        <v>108</v>
      </c>
      <c r="C7" s="4" t="n">
        <f aca="false">Assumptions!C14</f>
        <v>10.6</v>
      </c>
      <c r="D7" s="4" t="n">
        <f aca="false">Assumptions!D14</f>
        <v>17.1</v>
      </c>
      <c r="E7" s="4" t="n">
        <f aca="false">Assumptions!E14</f>
        <v>22.1</v>
      </c>
      <c r="F7" s="4" t="n">
        <f aca="false">Assumptions!F14</f>
        <v>22.1</v>
      </c>
      <c r="G7" s="4" t="n">
        <f aca="false">Assumptions!G14</f>
        <v>22.1</v>
      </c>
      <c r="H7" s="4" t="n">
        <f aca="false">Assumptions!H14</f>
        <v>22.1</v>
      </c>
      <c r="I7" s="4" t="n">
        <f aca="false">Assumptions!I14</f>
        <v>22.1</v>
      </c>
      <c r="J7" s="4" t="n">
        <f aca="false">Assumptions!J14</f>
        <v>22.1</v>
      </c>
      <c r="K7" s="4" t="n">
        <f aca="false">Assumptions!K14</f>
        <v>22.1</v>
      </c>
      <c r="L7" s="4" t="n">
        <f aca="false">Assumptions!L14</f>
        <v>22.1</v>
      </c>
    </row>
    <row r="8" customFormat="false" ht="15" hidden="false" customHeight="false" outlineLevel="0" collapsed="false">
      <c r="A8" s="0" t="s">
        <v>43</v>
      </c>
      <c r="C8" s="0" t="n">
        <f aca="false">C6*C7/100</f>
        <v>6798.31</v>
      </c>
      <c r="D8" s="0" t="n">
        <f aca="false">D6*D7/100</f>
        <v>11186.4267</v>
      </c>
      <c r="E8" s="0" t="n">
        <f aca="false">E6*E7/100</f>
        <v>14891.031051</v>
      </c>
      <c r="F8" s="0" t="n">
        <f aca="false">F6*F7/100</f>
        <v>15337.76198253</v>
      </c>
      <c r="G8" s="0" t="n">
        <f aca="false">G6*G7/100</f>
        <v>15797.8948420059</v>
      </c>
      <c r="H8" s="0" t="n">
        <f aca="false">H6*H7/100</f>
        <v>16192.842213056</v>
      </c>
      <c r="I8" s="0" t="n">
        <f aca="false">I6*I7/100</f>
        <v>16597.6632683824</v>
      </c>
      <c r="J8" s="0" t="n">
        <f aca="false">J6*J7/100</f>
        <v>16929.6165337501</v>
      </c>
      <c r="K8" s="0" t="n">
        <f aca="false">K6*K7/100</f>
        <v>17268.2088644251</v>
      </c>
      <c r="L8" s="0" t="n">
        <f aca="false">L6*L7/100</f>
        <v>17613.5730417136</v>
      </c>
    </row>
    <row r="9" customFormat="false" ht="15" hidden="false" customHeight="false" outlineLevel="0" collapsed="false">
      <c r="A9" s="0" t="s">
        <v>109</v>
      </c>
      <c r="C9" s="4" t="n">
        <f aca="false">Assumptions!C15</f>
        <v>1.1</v>
      </c>
      <c r="D9" s="4" t="n">
        <f aca="false">Assumptions!D15</f>
        <v>1.1</v>
      </c>
      <c r="E9" s="4" t="n">
        <f aca="false">Assumptions!E15</f>
        <v>1.1</v>
      </c>
      <c r="F9" s="4" t="n">
        <f aca="false">Assumptions!F15</f>
        <v>1.1</v>
      </c>
      <c r="G9" s="4" t="n">
        <f aca="false">Assumptions!G15</f>
        <v>1.1</v>
      </c>
      <c r="H9" s="4" t="n">
        <f aca="false">Assumptions!H15</f>
        <v>1.1</v>
      </c>
      <c r="I9" s="4" t="n">
        <f aca="false">Assumptions!I15</f>
        <v>1.1</v>
      </c>
      <c r="J9" s="4" t="n">
        <f aca="false">Assumptions!J15</f>
        <v>1.1</v>
      </c>
      <c r="K9" s="4" t="n">
        <f aca="false">Assumptions!K15</f>
        <v>1.1</v>
      </c>
      <c r="L9" s="4" t="n">
        <f aca="false">Assumptions!L15</f>
        <v>1.1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-705.485</v>
      </c>
      <c r="D10" s="0" t="n">
        <f aca="false">-D6*D9/100</f>
        <v>-719.5947</v>
      </c>
      <c r="E10" s="0" t="n">
        <f aca="false">-E6*E9/100</f>
        <v>-741.182541</v>
      </c>
      <c r="F10" s="0" t="n">
        <f aca="false">-F6*F9/100</f>
        <v>-763.41801723</v>
      </c>
      <c r="G10" s="0" t="n">
        <f aca="false">-G6*G9/100</f>
        <v>-786.3205577469</v>
      </c>
      <c r="H10" s="0" t="n">
        <f aca="false">-H6*H9/100</f>
        <v>-805.978571690572</v>
      </c>
      <c r="I10" s="0" t="n">
        <f aca="false">-I6*I9/100</f>
        <v>-826.128035982837</v>
      </c>
      <c r="J10" s="0" t="n">
        <f aca="false">-J6*J9/100</f>
        <v>-842.650596702493</v>
      </c>
      <c r="K10" s="0" t="n">
        <f aca="false">-K6*K9/100</f>
        <v>-859.503608636543</v>
      </c>
      <c r="L10" s="0" t="n">
        <f aca="false">-L6*L9/100</f>
        <v>-876.693680809274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6092.825</v>
      </c>
      <c r="D11" s="0" t="n">
        <f aca="false">D8+D10+D24</f>
        <v>10466.832</v>
      </c>
      <c r="E11" s="0" t="n">
        <f aca="false">E8+E10+E24</f>
        <v>14149.84851</v>
      </c>
      <c r="F11" s="0" t="n">
        <f aca="false">F8+F10+F24</f>
        <v>14574.3439653</v>
      </c>
      <c r="G11" s="0" t="n">
        <f aca="false">G8+G10+G24</f>
        <v>15011.574284259</v>
      </c>
      <c r="H11" s="0" t="n">
        <f aca="false">H8+H10+H24</f>
        <v>15386.8636413655</v>
      </c>
      <c r="I11" s="0" t="n">
        <f aca="false">I8+I10+I24</f>
        <v>15771.5352323996</v>
      </c>
      <c r="J11" s="0" t="n">
        <f aca="false">J8+J10+J24</f>
        <v>16086.9659370476</v>
      </c>
      <c r="K11" s="0" t="n">
        <f aca="false">K8+K10+K24</f>
        <v>16408.7052557886</v>
      </c>
      <c r="L11" s="0" t="n">
        <f aca="false">L8+L10+L24</f>
        <v>16736.8793609043</v>
      </c>
    </row>
    <row r="12" customFormat="false" ht="15" hidden="false" customHeight="false" outlineLevel="0" collapsed="false">
      <c r="A12" s="0" t="s">
        <v>126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6092.825</v>
      </c>
      <c r="D13" s="0" t="n">
        <f aca="false">D11+D12</f>
        <v>10466.832</v>
      </c>
      <c r="E13" s="0" t="n">
        <f aca="false">E11+E12</f>
        <v>14149.84851</v>
      </c>
      <c r="F13" s="0" t="n">
        <f aca="false">F11+F12</f>
        <v>14574.3439653</v>
      </c>
      <c r="G13" s="0" t="n">
        <f aca="false">G11+G12</f>
        <v>15011.574284259</v>
      </c>
      <c r="H13" s="0" t="n">
        <f aca="false">H11+H12</f>
        <v>15386.8636413655</v>
      </c>
      <c r="I13" s="0" t="n">
        <f aca="false">I11+I12</f>
        <v>15771.5352323996</v>
      </c>
      <c r="J13" s="0" t="n">
        <f aca="false">J11+J12</f>
        <v>16086.9659370476</v>
      </c>
      <c r="K13" s="0" t="n">
        <f aca="false">K11+K12</f>
        <v>16408.7052557886</v>
      </c>
      <c r="L13" s="0" t="n">
        <f aca="false">L11+L12</f>
        <v>16736.8793609043</v>
      </c>
    </row>
    <row r="14" customFormat="false" ht="15" hidden="false" customHeight="false" outlineLevel="0" collapsed="false">
      <c r="A14" s="0" t="s">
        <v>113</v>
      </c>
      <c r="C14" s="4" t="n">
        <f aca="false">Assumptions!C19</f>
        <v>20</v>
      </c>
      <c r="D14" s="4" t="n">
        <f aca="false">Assumptions!D19</f>
        <v>20</v>
      </c>
      <c r="E14" s="4" t="n">
        <f aca="false">Assumptions!E19</f>
        <v>20</v>
      </c>
      <c r="F14" s="4" t="n">
        <f aca="false">Assumptions!F19</f>
        <v>20</v>
      </c>
      <c r="G14" s="4" t="n">
        <f aca="false">Assumptions!G19</f>
        <v>20</v>
      </c>
      <c r="H14" s="4" t="n">
        <f aca="false">Assumptions!H19</f>
        <v>20</v>
      </c>
      <c r="I14" s="4" t="n">
        <f aca="false">Assumptions!I19</f>
        <v>20</v>
      </c>
      <c r="J14" s="4" t="n">
        <f aca="false">Assumptions!J19</f>
        <v>20</v>
      </c>
      <c r="K14" s="4" t="n">
        <f aca="false">Assumptions!K19</f>
        <v>20</v>
      </c>
      <c r="L14" s="4" t="n">
        <f aca="false">Assumptions!L19</f>
        <v>20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4874.26</v>
      </c>
      <c r="D15" s="0" t="n">
        <f aca="false">D13-MAX(0,D13)*D14/100</f>
        <v>8373.4656</v>
      </c>
      <c r="E15" s="0" t="n">
        <f aca="false">E13-MAX(0,E13)*E14/100</f>
        <v>11319.878808</v>
      </c>
      <c r="F15" s="0" t="n">
        <f aca="false">F13-MAX(0,F13)*F14/100</f>
        <v>11659.47517224</v>
      </c>
      <c r="G15" s="0" t="n">
        <f aca="false">G13-MAX(0,G13)*G14/100</f>
        <v>12009.2594274072</v>
      </c>
      <c r="H15" s="0" t="n">
        <f aca="false">H13-MAX(0,H13)*H14/100</f>
        <v>12309.4909130924</v>
      </c>
      <c r="I15" s="0" t="n">
        <f aca="false">I13-MAX(0,I13)*I14/100</f>
        <v>12617.2281859197</v>
      </c>
      <c r="J15" s="0" t="n">
        <f aca="false">J13-MAX(0,J13)*J14/100</f>
        <v>12869.5727496381</v>
      </c>
      <c r="K15" s="0" t="n">
        <f aca="false">K13-MAX(0,K13)*K14/100</f>
        <v>13126.9642046308</v>
      </c>
      <c r="L15" s="0" t="n">
        <f aca="false">L13-MAX(0,L13)*L14/100</f>
        <v>13389.5034887235</v>
      </c>
    </row>
    <row r="16" customFormat="false" ht="15" hidden="false" customHeight="false" outlineLevel="0" collapsed="false">
      <c r="A16" s="0" t="s">
        <v>129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130</v>
      </c>
      <c r="C17" s="4" t="n">
        <f aca="false">-C6*Assumptions!C18/100</f>
        <v>-577.215</v>
      </c>
      <c r="D17" s="4" t="n">
        <f aca="false">-D6*Assumptions!D18/100</f>
        <v>-1112.1009</v>
      </c>
      <c r="E17" s="4" t="n">
        <f aca="false">-E6*Assumptions!E18/100</f>
        <v>-1751.886006</v>
      </c>
      <c r="F17" s="4" t="n">
        <f aca="false">-F6*Assumptions!F18/100</f>
        <v>-1804.44258618</v>
      </c>
      <c r="G17" s="4" t="n">
        <f aca="false">-G6*Assumptions!G18/100</f>
        <v>-1858.5758637654</v>
      </c>
      <c r="H17" s="4" t="n">
        <f aca="false">-H6*Assumptions!H18/100</f>
        <v>-1538.68636413655</v>
      </c>
      <c r="I17" s="4" t="n">
        <f aca="false">-I6*Assumptions!I18/100</f>
        <v>-1577.15352323996</v>
      </c>
      <c r="J17" s="4" t="n">
        <f aca="false">-J6*Assumptions!J18/100</f>
        <v>-1302.27819490385</v>
      </c>
      <c r="K17" s="4" t="n">
        <f aca="false">-K6*Assumptions!K18/100</f>
        <v>-1328.32375880193</v>
      </c>
      <c r="L17" s="4" t="n">
        <f aca="false">-L6*Assumptions!L18/100</f>
        <v>-1354.89023397797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4297.045</v>
      </c>
      <c r="D19" s="0" t="n">
        <f aca="false">D15+D16+D17+D18</f>
        <v>7261.3647</v>
      </c>
      <c r="E19" s="0" t="n">
        <f aca="false">E15+E16+E17+E18</f>
        <v>9567.992802</v>
      </c>
      <c r="F19" s="0" t="n">
        <f aca="false">F15+F16+F17+F18</f>
        <v>9855.03258606</v>
      </c>
      <c r="G19" s="0" t="n">
        <f aca="false">G15+G16+G17+G18</f>
        <v>10150.6835636418</v>
      </c>
      <c r="H19" s="0" t="n">
        <f aca="false">H15+H16+H17+H18</f>
        <v>10770.8045489558</v>
      </c>
      <c r="I19" s="0" t="n">
        <f aca="false">I15+I16+I17+I18</f>
        <v>11040.0746626797</v>
      </c>
      <c r="J19" s="0" t="n">
        <f aca="false">J15+J16+J17+J18</f>
        <v>11567.2945547342</v>
      </c>
      <c r="K19" s="0" t="n">
        <f aca="false">K15+K16+K17+K18</f>
        <v>11798.6404458289</v>
      </c>
      <c r="L19" s="0" t="n">
        <f aca="false">L15+L16+L17+L18</f>
        <v>12034.6132547455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3888.72850678733</v>
      </c>
      <c r="D21" s="0" t="n">
        <f aca="false">D19*D20</f>
        <v>5946.94187260703</v>
      </c>
      <c r="E21" s="0" t="n">
        <f aca="false">E19*E20</f>
        <v>7091.43302994174</v>
      </c>
      <c r="F21" s="0" t="n">
        <f aca="false">F19*F20</f>
        <v>6610.11404600904</v>
      </c>
      <c r="G21" s="0" t="n">
        <f aca="false">G19*G20</f>
        <v>6161.46377139305</v>
      </c>
      <c r="H21" s="0" t="n">
        <f aca="false">H19*H20</f>
        <v>5916.63089512872</v>
      </c>
      <c r="I21" s="0" t="n">
        <f aca="false">I19*I20</f>
        <v>5488.2775271556</v>
      </c>
      <c r="J21" s="0" t="n">
        <f aca="false">J19*J20</f>
        <v>5203.95545745994</v>
      </c>
      <c r="K21" s="0" t="n">
        <f aca="false">K19*K20</f>
        <v>4803.65119150148</v>
      </c>
      <c r="L21" s="0" t="n">
        <f aca="false">L19*L20</f>
        <v>4434.13956138599</v>
      </c>
    </row>
    <row r="23" customFormat="false" ht="15" hidden="false" customHeight="false" outlineLevel="0" collapsed="false">
      <c r="A23" s="0" t="s">
        <v>110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Assumptions!$B$20</f>
        <v>10.5</v>
      </c>
    </row>
    <row r="28" customFormat="false" ht="15" hidden="false" customHeight="false" outlineLevel="0" collapsed="false">
      <c r="A28" s="0" t="s">
        <v>115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116</v>
      </c>
      <c r="B29" s="4" t="n">
        <f aca="false">Assumptions!$B$22</f>
        <v>12.5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55545.3358593699</v>
      </c>
    </row>
    <row r="31" customFormat="false" ht="15" hidden="false" customHeight="false" outlineLevel="0" collapsed="false">
      <c r="A31" s="0" t="s">
        <v>138</v>
      </c>
      <c r="B31" s="0" t="n">
        <f aca="false">L19</f>
        <v>12034.6132547455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144415.359056946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150432.665684319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144415.359056946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53209.6747366318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108755.010596002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109348.010596002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177.369035841041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-0.114040780014781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4671.94474322277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3876.20147088046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191.234642027745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94425.4270756954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112.003404498629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Assumptions!C27</f>
        <v>5</v>
      </c>
      <c r="D5" s="4" t="n">
        <f aca="false">Assumptions!D27</f>
        <v>4.5</v>
      </c>
      <c r="E5" s="4" t="n">
        <f aca="false">Assumptions!E27</f>
        <v>4.5</v>
      </c>
      <c r="F5" s="4" t="n">
        <f aca="false">Assumptions!F27</f>
        <v>4</v>
      </c>
      <c r="G5" s="4" t="n">
        <f aca="false">Assumptions!G27</f>
        <v>4</v>
      </c>
      <c r="H5" s="4" t="n">
        <f aca="false">Assumptions!H27</f>
        <v>3.5</v>
      </c>
      <c r="I5" s="4" t="n">
        <f aca="false">Assumptions!I27</f>
        <v>3.5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63500</v>
      </c>
      <c r="C6" s="0" t="n">
        <f aca="false">B6*(1+C5/100)</f>
        <v>66675</v>
      </c>
      <c r="D6" s="0" t="n">
        <f aca="false">C6*(1+D5/100)</f>
        <v>69675.375</v>
      </c>
      <c r="E6" s="0" t="n">
        <f aca="false">D6*(1+E5/100)</f>
        <v>72810.766875</v>
      </c>
      <c r="F6" s="0" t="n">
        <f aca="false">E6*(1+F5/100)</f>
        <v>75723.19755</v>
      </c>
      <c r="G6" s="0" t="n">
        <f aca="false">F6*(1+G5/100)</f>
        <v>78752.125452</v>
      </c>
      <c r="H6" s="0" t="n">
        <f aca="false">G6*(1+H5/100)</f>
        <v>81508.44984282</v>
      </c>
      <c r="I6" s="0" t="n">
        <f aca="false">H6*(1+I5/100)</f>
        <v>84361.2455873187</v>
      </c>
      <c r="J6" s="0" t="n">
        <f aca="false">I6*(1+J5/100)</f>
        <v>86892.0829549383</v>
      </c>
      <c r="K6" s="0" t="n">
        <f aca="false">J6*(1+K5/100)</f>
        <v>89498.8454435864</v>
      </c>
      <c r="L6" s="0" t="n">
        <f aca="false">K6*(1+L5/100)</f>
        <v>92183.810806894</v>
      </c>
    </row>
    <row r="7" customFormat="false" ht="15" hidden="false" customHeight="false" outlineLevel="0" collapsed="false">
      <c r="A7" s="0" t="s">
        <v>108</v>
      </c>
      <c r="C7" s="4" t="n">
        <f aca="false">Assumptions!C28</f>
        <v>24.4</v>
      </c>
      <c r="D7" s="4" t="n">
        <f aca="false">Assumptions!D28</f>
        <v>25</v>
      </c>
      <c r="E7" s="4" t="n">
        <f aca="false">Assumptions!E28</f>
        <v>25</v>
      </c>
      <c r="F7" s="4" t="n">
        <f aca="false">Assumptions!F28</f>
        <v>25</v>
      </c>
      <c r="G7" s="4" t="n">
        <f aca="false">Assumptions!G28</f>
        <v>25</v>
      </c>
      <c r="H7" s="4" t="n">
        <f aca="false">Assumptions!H28</f>
        <v>25</v>
      </c>
      <c r="I7" s="4" t="n">
        <f aca="false">Assumptions!I28</f>
        <v>25</v>
      </c>
      <c r="J7" s="4" t="n">
        <f aca="false">Assumptions!J28</f>
        <v>25</v>
      </c>
      <c r="K7" s="4" t="n">
        <f aca="false">Assumptions!K28</f>
        <v>25</v>
      </c>
      <c r="L7" s="4" t="n">
        <f aca="false">Assumptions!L28</f>
        <v>25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16268.7</v>
      </c>
      <c r="D8" s="0" t="n">
        <f aca="false">D6*D7/100</f>
        <v>17418.84375</v>
      </c>
      <c r="E8" s="0" t="n">
        <f aca="false">E6*E7/100</f>
        <v>18202.69171875</v>
      </c>
      <c r="F8" s="0" t="n">
        <f aca="false">F6*F7/100</f>
        <v>18930.7993875</v>
      </c>
      <c r="G8" s="0" t="n">
        <f aca="false">G6*G7/100</f>
        <v>19688.031363</v>
      </c>
      <c r="H8" s="0" t="n">
        <f aca="false">H6*H7/100</f>
        <v>20377.112460705</v>
      </c>
      <c r="I8" s="0" t="n">
        <f aca="false">I6*I7/100</f>
        <v>21090.3113968297</v>
      </c>
      <c r="J8" s="0" t="n">
        <f aca="false">J6*J7/100</f>
        <v>21723.0207387346</v>
      </c>
      <c r="K8" s="0" t="n">
        <f aca="false">K6*K7/100</f>
        <v>22374.7113608966</v>
      </c>
      <c r="L8" s="0" t="n">
        <f aca="false">L6*L7/100</f>
        <v>23045.9527017235</v>
      </c>
    </row>
    <row r="9" customFormat="false" ht="15" hidden="false" customHeight="false" outlineLevel="0" collapsed="false">
      <c r="A9" s="0" t="s">
        <v>109</v>
      </c>
      <c r="C9" s="4" t="n">
        <f aca="false">Assumptions!C29</f>
        <v>1.1</v>
      </c>
      <c r="D9" s="4" t="n">
        <f aca="false">Assumptions!D29</f>
        <v>1.1</v>
      </c>
      <c r="E9" s="4" t="n">
        <f aca="false">Assumptions!E29</f>
        <v>1.1</v>
      </c>
      <c r="F9" s="4" t="n">
        <f aca="false">Assumptions!F29</f>
        <v>1.1</v>
      </c>
      <c r="G9" s="4" t="n">
        <f aca="false">Assumptions!G29</f>
        <v>1.1</v>
      </c>
      <c r="H9" s="4" t="n">
        <f aca="false">Assumptions!H29</f>
        <v>1.1</v>
      </c>
      <c r="I9" s="4" t="n">
        <f aca="false">Assumptions!I29</f>
        <v>1.1</v>
      </c>
      <c r="J9" s="4" t="n">
        <f aca="false">Assumptions!J29</f>
        <v>1.1</v>
      </c>
      <c r="K9" s="4" t="n">
        <f aca="false">Assumptions!K29</f>
        <v>1.1</v>
      </c>
      <c r="L9" s="4" t="n">
        <f aca="false">Assumptions!L29</f>
        <v>1.1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-733.425</v>
      </c>
      <c r="D10" s="0" t="n">
        <f aca="false">-D6*D9/100</f>
        <v>-766.429125</v>
      </c>
      <c r="E10" s="0" t="n">
        <f aca="false">-E6*E9/100</f>
        <v>-800.918435625</v>
      </c>
      <c r="F10" s="0" t="n">
        <f aca="false">-F6*F9/100</f>
        <v>-832.95517305</v>
      </c>
      <c r="G10" s="0" t="n">
        <f aca="false">-G6*G9/100</f>
        <v>-866.273379972</v>
      </c>
      <c r="H10" s="0" t="n">
        <f aca="false">-H6*H9/100</f>
        <v>-896.59294827102</v>
      </c>
      <c r="I10" s="0" t="n">
        <f aca="false">-I6*I9/100</f>
        <v>-927.973701460506</v>
      </c>
      <c r="J10" s="0" t="n">
        <f aca="false">-J6*J9/100</f>
        <v>-955.812912504321</v>
      </c>
      <c r="K10" s="0" t="n">
        <f aca="false">-K6*K9/100</f>
        <v>-984.487299879451</v>
      </c>
      <c r="L10" s="0" t="n">
        <f aca="false">-L6*L9/100</f>
        <v>-1014.02191887583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15535.275</v>
      </c>
      <c r="D11" s="0" t="n">
        <f aca="false">D8+D10+D24</f>
        <v>16652.414625</v>
      </c>
      <c r="E11" s="0" t="n">
        <f aca="false">E8+E10+E24</f>
        <v>17401.773283125</v>
      </c>
      <c r="F11" s="0" t="n">
        <f aca="false">F8+F10+F24</f>
        <v>18097.84421445</v>
      </c>
      <c r="G11" s="0" t="n">
        <f aca="false">G8+G10+G24</f>
        <v>18821.757983028</v>
      </c>
      <c r="H11" s="0" t="n">
        <f aca="false">H8+H10+H24</f>
        <v>19480.519512434</v>
      </c>
      <c r="I11" s="0" t="n">
        <f aca="false">I8+I10+I24</f>
        <v>20162.3376953692</v>
      </c>
      <c r="J11" s="0" t="n">
        <f aca="false">J8+J10+J24</f>
        <v>20767.2078262302</v>
      </c>
      <c r="K11" s="0" t="n">
        <f aca="false">K8+K10+K24</f>
        <v>21390.2240610172</v>
      </c>
      <c r="L11" s="0" t="n">
        <f aca="false">L8+L10+L24</f>
        <v>22031.9307828477</v>
      </c>
    </row>
    <row r="12" customFormat="false" ht="15" hidden="false" customHeight="false" outlineLevel="0" collapsed="false">
      <c r="A12" s="0" t="s">
        <v>126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15535.275</v>
      </c>
      <c r="D13" s="0" t="n">
        <f aca="false">D11+D12</f>
        <v>16652.414625</v>
      </c>
      <c r="E13" s="0" t="n">
        <f aca="false">E11+E12</f>
        <v>17401.773283125</v>
      </c>
      <c r="F13" s="0" t="n">
        <f aca="false">F11+F12</f>
        <v>18097.84421445</v>
      </c>
      <c r="G13" s="0" t="n">
        <f aca="false">G11+G12</f>
        <v>18821.757983028</v>
      </c>
      <c r="H13" s="0" t="n">
        <f aca="false">H11+H12</f>
        <v>19480.519512434</v>
      </c>
      <c r="I13" s="0" t="n">
        <f aca="false">I11+I12</f>
        <v>20162.3376953692</v>
      </c>
      <c r="J13" s="0" t="n">
        <f aca="false">J11+J12</f>
        <v>20767.2078262302</v>
      </c>
      <c r="K13" s="0" t="n">
        <f aca="false">K11+K12</f>
        <v>21390.2240610172</v>
      </c>
      <c r="L13" s="0" t="n">
        <f aca="false">L11+L12</f>
        <v>22031.9307828477</v>
      </c>
    </row>
    <row r="14" customFormat="false" ht="15" hidden="false" customHeight="false" outlineLevel="0" collapsed="false">
      <c r="A14" s="0" t="s">
        <v>113</v>
      </c>
      <c r="C14" s="4" t="n">
        <f aca="false">Assumptions!C33</f>
        <v>21</v>
      </c>
      <c r="D14" s="4" t="n">
        <f aca="false">Assumptions!D33</f>
        <v>21</v>
      </c>
      <c r="E14" s="4" t="n">
        <f aca="false">Assumptions!E33</f>
        <v>21</v>
      </c>
      <c r="F14" s="4" t="n">
        <f aca="false">Assumptions!F33</f>
        <v>21</v>
      </c>
      <c r="G14" s="4" t="n">
        <f aca="false">Assumptions!G33</f>
        <v>21</v>
      </c>
      <c r="H14" s="4" t="n">
        <f aca="false">Assumptions!H33</f>
        <v>21</v>
      </c>
      <c r="I14" s="4" t="n">
        <f aca="false">Assumptions!I33</f>
        <v>21</v>
      </c>
      <c r="J14" s="4" t="n">
        <f aca="false">Assumptions!J33</f>
        <v>21</v>
      </c>
      <c r="K14" s="4" t="n">
        <f aca="false">Assumptions!K33</f>
        <v>21</v>
      </c>
      <c r="L14" s="4" t="n">
        <f aca="false">Assumptions!L33</f>
        <v>21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12272.86725</v>
      </c>
      <c r="D15" s="0" t="n">
        <f aca="false">D13-MAX(0,D13)*D14/100</f>
        <v>13155.40755375</v>
      </c>
      <c r="E15" s="0" t="n">
        <f aca="false">E13-MAX(0,E13)*E14/100</f>
        <v>13747.4008936688</v>
      </c>
      <c r="F15" s="0" t="n">
        <f aca="false">F13-MAX(0,F13)*F14/100</f>
        <v>14297.2969294155</v>
      </c>
      <c r="G15" s="0" t="n">
        <f aca="false">G13-MAX(0,G13)*G14/100</f>
        <v>14869.1888065921</v>
      </c>
      <c r="H15" s="0" t="n">
        <f aca="false">H13-MAX(0,H13)*H14/100</f>
        <v>15389.6104148228</v>
      </c>
      <c r="I15" s="0" t="n">
        <f aca="false">I13-MAX(0,I13)*I14/100</f>
        <v>15928.2467793416</v>
      </c>
      <c r="J15" s="0" t="n">
        <f aca="false">J13-MAX(0,J13)*J14/100</f>
        <v>16406.0941827219</v>
      </c>
      <c r="K15" s="0" t="n">
        <f aca="false">K13-MAX(0,K13)*K14/100</f>
        <v>16898.2770082036</v>
      </c>
      <c r="L15" s="0" t="n">
        <f aca="false">L13-MAX(0,L13)*L14/100</f>
        <v>17405.2253184497</v>
      </c>
    </row>
    <row r="16" customFormat="false" ht="15" hidden="false" customHeight="false" outlineLevel="0" collapsed="false">
      <c r="A16" s="0" t="s">
        <v>129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130</v>
      </c>
      <c r="C17" s="4" t="n">
        <f aca="false">-C6*Assumptions!C32/100</f>
        <v>-2867.025</v>
      </c>
      <c r="D17" s="4" t="n">
        <f aca="false">-D6*Assumptions!D32/100</f>
        <v>-2647.66425</v>
      </c>
      <c r="E17" s="4" t="n">
        <f aca="false">-E6*Assumptions!E32/100</f>
        <v>-2766.80914125</v>
      </c>
      <c r="F17" s="4" t="n">
        <f aca="false">-F6*Assumptions!F32/100</f>
        <v>-2574.5887167</v>
      </c>
      <c r="G17" s="4" t="n">
        <f aca="false">-G6*Assumptions!G32/100</f>
        <v>-2677.572265368</v>
      </c>
      <c r="H17" s="4" t="n">
        <f aca="false">-H6*Assumptions!H32/100</f>
        <v>-2445.2534952846</v>
      </c>
      <c r="I17" s="4" t="n">
        <f aca="false">-I6*Assumptions!I32/100</f>
        <v>-2530.83736761956</v>
      </c>
      <c r="J17" s="4" t="n">
        <f aca="false">-J6*Assumptions!J32/100</f>
        <v>-2259.19415682839</v>
      </c>
      <c r="K17" s="4" t="n">
        <f aca="false">-K6*Assumptions!K32/100</f>
        <v>-2326.96998153325</v>
      </c>
      <c r="L17" s="4" t="n">
        <f aca="false">-L6*Assumptions!L32/100</f>
        <v>-2396.77908097924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9405.84225</v>
      </c>
      <c r="D19" s="0" t="n">
        <f aca="false">D15+D16+D17+D18</f>
        <v>10507.74330375</v>
      </c>
      <c r="E19" s="0" t="n">
        <f aca="false">E15+E16+E17+E18</f>
        <v>10980.5917524188</v>
      </c>
      <c r="F19" s="0" t="n">
        <f aca="false">F15+F16+F17+F18</f>
        <v>11722.7082127155</v>
      </c>
      <c r="G19" s="0" t="n">
        <f aca="false">G15+G16+G17+G18</f>
        <v>12191.6165412241</v>
      </c>
      <c r="H19" s="0" t="n">
        <f aca="false">H15+H16+H17+H18</f>
        <v>12944.3569195382</v>
      </c>
      <c r="I19" s="0" t="n">
        <f aca="false">I15+I16+I17+I18</f>
        <v>13397.4094117221</v>
      </c>
      <c r="J19" s="0" t="n">
        <f aca="false">J15+J16+J17+J18</f>
        <v>14146.9000258935</v>
      </c>
      <c r="K19" s="0" t="n">
        <f aca="false">K15+K16+K17+K18</f>
        <v>14571.3070266703</v>
      </c>
      <c r="L19" s="0" t="n">
        <f aca="false">L15+L16+L17+L18</f>
        <v>15008.4462374704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8512.07443438914</v>
      </c>
      <c r="D21" s="0" t="n">
        <f aca="false">D19*D20</f>
        <v>8605.67417026679</v>
      </c>
      <c r="E21" s="0" t="n">
        <f aca="false">E19*E20</f>
        <v>8138.39774473194</v>
      </c>
      <c r="F21" s="0" t="n">
        <f aca="false">F19*F20</f>
        <v>7862.82922328884</v>
      </c>
      <c r="G21" s="0" t="n">
        <f aca="false">G19*G20</f>
        <v>7400.30985721302</v>
      </c>
      <c r="H21" s="0" t="n">
        <f aca="false">H19*H20</f>
        <v>7110.60921397352</v>
      </c>
      <c r="I21" s="0" t="n">
        <f aca="false">I19*I20</f>
        <v>6660.16338141411</v>
      </c>
      <c r="J21" s="0" t="n">
        <f aca="false">J19*J20</f>
        <v>6364.48196659414</v>
      </c>
      <c r="K21" s="0" t="n">
        <f aca="false">K19*K20</f>
        <v>5932.50355257192</v>
      </c>
      <c r="L21" s="0" t="n">
        <f aca="false">L19*L20</f>
        <v>5529.8449404064</v>
      </c>
    </row>
    <row r="23" customFormat="false" ht="15" hidden="false" customHeight="false" outlineLevel="0" collapsed="false">
      <c r="A23" s="0" t="s">
        <v>110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Assumptions!$B$34</f>
        <v>10.5</v>
      </c>
    </row>
    <row r="28" customFormat="false" ht="15" hidden="false" customHeight="false" outlineLevel="0" collapsed="false">
      <c r="A28" s="0" t="s">
        <v>115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116</v>
      </c>
      <c r="B29" s="4" t="n">
        <f aca="false">Assumptions!$B$36</f>
        <v>14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72116.8884848498</v>
      </c>
    </row>
    <row r="31" customFormat="false" ht="15" hidden="false" customHeight="false" outlineLevel="0" collapsed="false">
      <c r="A31" s="0" t="s">
        <v>138</v>
      </c>
      <c r="B31" s="0" t="n">
        <f aca="false">L19</f>
        <v>15008.4462374704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206115.994994594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210118.247324586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206115.994994594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75943.2038482479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148060.092333098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148653.092333098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241.124237361067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0.204416770035299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5127.83287709084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5130.98238640579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257.764651413778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128822.496871621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148.667436913681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Assumptions!C41</f>
        <v>6.5</v>
      </c>
      <c r="D5" s="4" t="n">
        <f aca="false">Assumptions!D41</f>
        <v>6</v>
      </c>
      <c r="E5" s="4" t="n">
        <f aca="false">Assumptions!E41</f>
        <v>5.5</v>
      </c>
      <c r="F5" s="4" t="n">
        <f aca="false">Assumptions!F41</f>
        <v>5</v>
      </c>
      <c r="G5" s="4" t="n">
        <f aca="false">Assumptions!G41</f>
        <v>4.5</v>
      </c>
      <c r="H5" s="4" t="n">
        <f aca="false">Assumptions!H41</f>
        <v>4</v>
      </c>
      <c r="I5" s="4" t="n">
        <f aca="false">Assumptions!I41</f>
        <v>4</v>
      </c>
      <c r="J5" s="4" t="n">
        <f aca="false">Assumptions!J41</f>
        <v>3.5</v>
      </c>
      <c r="K5" s="4" t="n">
        <f aca="false">Assumptions!K41</f>
        <v>3.5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37</v>
      </c>
      <c r="B6" s="3" t="n">
        <v>63500</v>
      </c>
      <c r="C6" s="0" t="n">
        <f aca="false">B6*(1+C5/100)</f>
        <v>67627.5</v>
      </c>
      <c r="D6" s="0" t="n">
        <f aca="false">C6*(1+D5/100)</f>
        <v>71685.15</v>
      </c>
      <c r="E6" s="0" t="n">
        <f aca="false">D6*(1+E5/100)</f>
        <v>75627.83325</v>
      </c>
      <c r="F6" s="0" t="n">
        <f aca="false">E6*(1+F5/100)</f>
        <v>79409.2249125</v>
      </c>
      <c r="G6" s="0" t="n">
        <f aca="false">F6*(1+G5/100)</f>
        <v>82982.6400335625</v>
      </c>
      <c r="H6" s="0" t="n">
        <f aca="false">G6*(1+H5/100)</f>
        <v>86301.945634905</v>
      </c>
      <c r="I6" s="0" t="n">
        <f aca="false">H6*(1+I5/100)</f>
        <v>89754.0234603012</v>
      </c>
      <c r="J6" s="0" t="n">
        <f aca="false">I6*(1+J5/100)</f>
        <v>92895.4142814118</v>
      </c>
      <c r="K6" s="0" t="n">
        <f aca="false">J6*(1+K5/100)</f>
        <v>96146.7537812612</v>
      </c>
      <c r="L6" s="0" t="n">
        <f aca="false">K6*(1+L5/100)</f>
        <v>99511.8901636053</v>
      </c>
    </row>
    <row r="7" customFormat="false" ht="15" hidden="false" customHeight="false" outlineLevel="0" collapsed="false">
      <c r="A7" s="0" t="s">
        <v>108</v>
      </c>
      <c r="C7" s="4" t="n">
        <f aca="false">Assumptions!C42</f>
        <v>25.6</v>
      </c>
      <c r="D7" s="4" t="n">
        <f aca="false">Assumptions!D42</f>
        <v>26.8</v>
      </c>
      <c r="E7" s="4" t="n">
        <f aca="false">Assumptions!E42</f>
        <v>27.3</v>
      </c>
      <c r="F7" s="4" t="n">
        <f aca="false">Assumptions!F42</f>
        <v>27.3</v>
      </c>
      <c r="G7" s="4" t="n">
        <f aca="false">Assumptions!G42</f>
        <v>27.3</v>
      </c>
      <c r="H7" s="4" t="n">
        <f aca="false">Assumptions!H42</f>
        <v>27.3</v>
      </c>
      <c r="I7" s="4" t="n">
        <f aca="false">Assumptions!I42</f>
        <v>27.3</v>
      </c>
      <c r="J7" s="4" t="n">
        <f aca="false">Assumptions!J42</f>
        <v>27.3</v>
      </c>
      <c r="K7" s="4" t="n">
        <f aca="false">Assumptions!K42</f>
        <v>27.3</v>
      </c>
      <c r="L7" s="4" t="n">
        <f aca="false">Assumptions!L42</f>
        <v>27.3</v>
      </c>
    </row>
    <row r="8" customFormat="false" ht="15" hidden="false" customHeight="false" outlineLevel="0" collapsed="false">
      <c r="A8" s="0" t="s">
        <v>43</v>
      </c>
      <c r="C8" s="0" t="n">
        <f aca="false">C6*C7/100</f>
        <v>17312.64</v>
      </c>
      <c r="D8" s="0" t="n">
        <f aca="false">D6*D7/100</f>
        <v>19211.6202</v>
      </c>
      <c r="E8" s="0" t="n">
        <f aca="false">E6*E7/100</f>
        <v>20646.39847725</v>
      </c>
      <c r="F8" s="0" t="n">
        <f aca="false">F6*F7/100</f>
        <v>21678.7184011125</v>
      </c>
      <c r="G8" s="0" t="n">
        <f aca="false">G6*G7/100</f>
        <v>22654.2607291626</v>
      </c>
      <c r="H8" s="0" t="n">
        <f aca="false">H6*H7/100</f>
        <v>23560.4311583291</v>
      </c>
      <c r="I8" s="0" t="n">
        <f aca="false">I6*I7/100</f>
        <v>24502.8484046622</v>
      </c>
      <c r="J8" s="0" t="n">
        <f aca="false">J6*J7/100</f>
        <v>25360.4480988254</v>
      </c>
      <c r="K8" s="0" t="n">
        <f aca="false">K6*K7/100</f>
        <v>26248.0637822843</v>
      </c>
      <c r="L8" s="0" t="n">
        <f aca="false">L6*L7/100</f>
        <v>27166.7460146642</v>
      </c>
    </row>
    <row r="9" customFormat="false" ht="15" hidden="false" customHeight="false" outlineLevel="0" collapsed="false">
      <c r="A9" s="0" t="s">
        <v>109</v>
      </c>
      <c r="C9" s="4" t="n">
        <f aca="false">Assumptions!C43</f>
        <v>1.1</v>
      </c>
      <c r="D9" s="4" t="n">
        <f aca="false">Assumptions!D43</f>
        <v>1.1</v>
      </c>
      <c r="E9" s="4" t="n">
        <f aca="false">Assumptions!E43</f>
        <v>1.1</v>
      </c>
      <c r="F9" s="4" t="n">
        <f aca="false">Assumptions!F43</f>
        <v>1.1</v>
      </c>
      <c r="G9" s="4" t="n">
        <f aca="false">Assumptions!G43</f>
        <v>1.1</v>
      </c>
      <c r="H9" s="4" t="n">
        <f aca="false">Assumptions!H43</f>
        <v>1.1</v>
      </c>
      <c r="I9" s="4" t="n">
        <f aca="false">Assumptions!I43</f>
        <v>1.1</v>
      </c>
      <c r="J9" s="4" t="n">
        <f aca="false">Assumptions!J43</f>
        <v>1.1</v>
      </c>
      <c r="K9" s="4" t="n">
        <f aca="false">Assumptions!K43</f>
        <v>1.1</v>
      </c>
      <c r="L9" s="4" t="n">
        <f aca="false">Assumptions!L43</f>
        <v>1.1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-743.9025</v>
      </c>
      <c r="D10" s="0" t="n">
        <f aca="false">-D6*D9/100</f>
        <v>-788.53665</v>
      </c>
      <c r="E10" s="0" t="n">
        <f aca="false">-E6*E9/100</f>
        <v>-831.90616575</v>
      </c>
      <c r="F10" s="0" t="n">
        <f aca="false">-F6*F9/100</f>
        <v>-873.5014740375</v>
      </c>
      <c r="G10" s="0" t="n">
        <f aca="false">-G6*G9/100</f>
        <v>-912.809040369188</v>
      </c>
      <c r="H10" s="0" t="n">
        <f aca="false">-H6*H9/100</f>
        <v>-949.321401983955</v>
      </c>
      <c r="I10" s="0" t="n">
        <f aca="false">-I6*I9/100</f>
        <v>-987.294258063314</v>
      </c>
      <c r="J10" s="0" t="n">
        <f aca="false">-J6*J9/100</f>
        <v>-1021.84955709553</v>
      </c>
      <c r="K10" s="0" t="n">
        <f aca="false">-K6*K9/100</f>
        <v>-1057.61429159387</v>
      </c>
      <c r="L10" s="0" t="n">
        <f aca="false">-L6*L9/100</f>
        <v>-1094.63079179966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16568.7375</v>
      </c>
      <c r="D11" s="0" t="n">
        <f aca="false">D8+D10+D24</f>
        <v>18423.08355</v>
      </c>
      <c r="E11" s="0" t="n">
        <f aca="false">E8+E10+E24</f>
        <v>19814.4923115</v>
      </c>
      <c r="F11" s="0" t="n">
        <f aca="false">F8+F10+F24</f>
        <v>20805.216927075</v>
      </c>
      <c r="G11" s="0" t="n">
        <f aca="false">G8+G10+G24</f>
        <v>21741.4516887934</v>
      </c>
      <c r="H11" s="0" t="n">
        <f aca="false">H8+H10+H24</f>
        <v>22611.1097563451</v>
      </c>
      <c r="I11" s="0" t="n">
        <f aca="false">I8+I10+I24</f>
        <v>23515.5541465989</v>
      </c>
      <c r="J11" s="0" t="n">
        <f aca="false">J8+J10+J24</f>
        <v>24338.5985417299</v>
      </c>
      <c r="K11" s="0" t="n">
        <f aca="false">K8+K10+K24</f>
        <v>25190.4494906904</v>
      </c>
      <c r="L11" s="0" t="n">
        <f aca="false">L8+L10+L24</f>
        <v>26072.1152228646</v>
      </c>
    </row>
    <row r="12" customFormat="false" ht="15" hidden="false" customHeight="false" outlineLevel="0" collapsed="false">
      <c r="A12" s="0" t="s">
        <v>126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16568.7375</v>
      </c>
      <c r="D13" s="0" t="n">
        <f aca="false">D11+D12</f>
        <v>18423.08355</v>
      </c>
      <c r="E13" s="0" t="n">
        <f aca="false">E11+E12</f>
        <v>19814.4923115</v>
      </c>
      <c r="F13" s="0" t="n">
        <f aca="false">F11+F12</f>
        <v>20805.216927075</v>
      </c>
      <c r="G13" s="0" t="n">
        <f aca="false">G11+G12</f>
        <v>21741.4516887934</v>
      </c>
      <c r="H13" s="0" t="n">
        <f aca="false">H11+H12</f>
        <v>22611.1097563451</v>
      </c>
      <c r="I13" s="0" t="n">
        <f aca="false">I11+I12</f>
        <v>23515.5541465989</v>
      </c>
      <c r="J13" s="0" t="n">
        <f aca="false">J11+J12</f>
        <v>24338.5985417299</v>
      </c>
      <c r="K13" s="0" t="n">
        <f aca="false">K11+K12</f>
        <v>25190.4494906904</v>
      </c>
      <c r="L13" s="0" t="n">
        <f aca="false">L11+L12</f>
        <v>26072.1152228646</v>
      </c>
    </row>
    <row r="14" customFormat="false" ht="15" hidden="false" customHeight="false" outlineLevel="0" collapsed="false">
      <c r="A14" s="0" t="s">
        <v>113</v>
      </c>
      <c r="C14" s="4" t="n">
        <f aca="false">Assumptions!C47</f>
        <v>21</v>
      </c>
      <c r="D14" s="4" t="n">
        <f aca="false">Assumptions!D47</f>
        <v>21</v>
      </c>
      <c r="E14" s="4" t="n">
        <f aca="false">Assumptions!E47</f>
        <v>21</v>
      </c>
      <c r="F14" s="4" t="n">
        <f aca="false">Assumptions!F47</f>
        <v>21</v>
      </c>
      <c r="G14" s="4" t="n">
        <f aca="false">Assumptions!G47</f>
        <v>21</v>
      </c>
      <c r="H14" s="4" t="n">
        <f aca="false">Assumptions!H47</f>
        <v>21</v>
      </c>
      <c r="I14" s="4" t="n">
        <f aca="false">Assumptions!I47</f>
        <v>21</v>
      </c>
      <c r="J14" s="4" t="n">
        <f aca="false">Assumptions!J47</f>
        <v>21</v>
      </c>
      <c r="K14" s="4" t="n">
        <f aca="false">Assumptions!K47</f>
        <v>21</v>
      </c>
      <c r="L14" s="4" t="n">
        <f aca="false">Assumptions!L47</f>
        <v>21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13089.302625</v>
      </c>
      <c r="D15" s="0" t="n">
        <f aca="false">D13-MAX(0,D13)*D14/100</f>
        <v>14554.2360045</v>
      </c>
      <c r="E15" s="0" t="n">
        <f aca="false">E13-MAX(0,E13)*E14/100</f>
        <v>15653.448926085</v>
      </c>
      <c r="F15" s="0" t="n">
        <f aca="false">F13-MAX(0,F13)*F14/100</f>
        <v>16436.1213723893</v>
      </c>
      <c r="G15" s="0" t="n">
        <f aca="false">G13-MAX(0,G13)*G14/100</f>
        <v>17175.7468341468</v>
      </c>
      <c r="H15" s="0" t="n">
        <f aca="false">H13-MAX(0,H13)*H14/100</f>
        <v>17862.7767075126</v>
      </c>
      <c r="I15" s="0" t="n">
        <f aca="false">I13-MAX(0,I13)*I14/100</f>
        <v>18577.2877758131</v>
      </c>
      <c r="J15" s="0" t="n">
        <f aca="false">J13-MAX(0,J13)*J14/100</f>
        <v>19227.4928479666</v>
      </c>
      <c r="K15" s="0" t="n">
        <f aca="false">K13-MAX(0,K13)*K14/100</f>
        <v>19900.4550976454</v>
      </c>
      <c r="L15" s="0" t="n">
        <f aca="false">L13-MAX(0,L13)*L14/100</f>
        <v>20596.971026063</v>
      </c>
    </row>
    <row r="16" customFormat="false" ht="15" hidden="false" customHeight="false" outlineLevel="0" collapsed="false">
      <c r="A16" s="0" t="s">
        <v>129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130</v>
      </c>
      <c r="C17" s="4" t="n">
        <f aca="false">-C6*Assumptions!C46/100</f>
        <v>-3787.14</v>
      </c>
      <c r="D17" s="4" t="n">
        <f aca="false">-D6*Assumptions!D46/100</f>
        <v>-3655.94265</v>
      </c>
      <c r="E17" s="4" t="n">
        <f aca="false">-E6*Assumptions!E46/100</f>
        <v>-3554.50816275</v>
      </c>
      <c r="F17" s="4" t="n">
        <f aca="false">-F6*Assumptions!F46/100</f>
        <v>-3414.5966712375</v>
      </c>
      <c r="G17" s="4" t="n">
        <f aca="false">-G6*Assumptions!G46/100</f>
        <v>-3153.34032127538</v>
      </c>
      <c r="H17" s="4" t="n">
        <f aca="false">-H6*Assumptions!H46/100</f>
        <v>-2934.26615158677</v>
      </c>
      <c r="I17" s="4" t="n">
        <f aca="false">-I6*Assumptions!I46/100</f>
        <v>-3051.63679765024</v>
      </c>
      <c r="J17" s="4" t="n">
        <f aca="false">-J6*Assumptions!J46/100</f>
        <v>-2786.86242844235</v>
      </c>
      <c r="K17" s="4" t="n">
        <f aca="false">-K6*Assumptions!K46/100</f>
        <v>-2884.40261343783</v>
      </c>
      <c r="L17" s="4" t="n">
        <f aca="false">-L6*Assumptions!L46/100</f>
        <v>-2985.35670490816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9302.162625</v>
      </c>
      <c r="D19" s="0" t="n">
        <f aca="false">D15+D16+D17+D18</f>
        <v>10898.2933545</v>
      </c>
      <c r="E19" s="0" t="n">
        <f aca="false">E15+E16+E17+E18</f>
        <v>12098.940763335</v>
      </c>
      <c r="F19" s="0" t="n">
        <f aca="false">F15+F16+F17+F18</f>
        <v>13021.5247011518</v>
      </c>
      <c r="G19" s="0" t="n">
        <f aca="false">G15+G16+G17+G18</f>
        <v>14022.4065128714</v>
      </c>
      <c r="H19" s="0" t="n">
        <f aca="false">H15+H16+H17+H18</f>
        <v>14928.5105559259</v>
      </c>
      <c r="I19" s="0" t="n">
        <f aca="false">I15+I16+I17+I18</f>
        <v>15525.6509781629</v>
      </c>
      <c r="J19" s="0" t="n">
        <f aca="false">J15+J16+J17+J18</f>
        <v>16440.6304195243</v>
      </c>
      <c r="K19" s="0" t="n">
        <f aca="false">K15+K16+K17+K18</f>
        <v>17016.0524842076</v>
      </c>
      <c r="L19" s="0" t="n">
        <f aca="false">L15+L16+L17+L18</f>
        <v>17611.6143211549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8418.24671945701</v>
      </c>
      <c r="D21" s="0" t="n">
        <f aca="false">D19*D20</f>
        <v>8925.52843266927</v>
      </c>
      <c r="E21" s="0" t="n">
        <f aca="false">E19*E20</f>
        <v>8967.27557513294</v>
      </c>
      <c r="F21" s="0" t="n">
        <f aca="false">F19*F20</f>
        <v>8733.99073781743</v>
      </c>
      <c r="G21" s="0" t="n">
        <f aca="false">G19*G20</f>
        <v>8511.5991622741</v>
      </c>
      <c r="H21" s="0" t="n">
        <f aca="false">H19*H20</f>
        <v>8200.54679963615</v>
      </c>
      <c r="I21" s="0" t="n">
        <f aca="false">I19*I20</f>
        <v>7718.1616937752</v>
      </c>
      <c r="J21" s="0" t="n">
        <f aca="false">J19*J20</f>
        <v>7396.39748870654</v>
      </c>
      <c r="K21" s="0" t="n">
        <f aca="false">K19*K20</f>
        <v>6927.84742154866</v>
      </c>
      <c r="L21" s="0" t="n">
        <f aca="false">L19*L20</f>
        <v>6488.97925909762</v>
      </c>
    </row>
    <row r="23" customFormat="false" ht="15" hidden="false" customHeight="false" outlineLevel="0" collapsed="false">
      <c r="A23" s="0" t="s">
        <v>110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Assumptions!$B$48</f>
        <v>10.5</v>
      </c>
    </row>
    <row r="28" customFormat="false" ht="15" hidden="false" customHeight="false" outlineLevel="0" collapsed="false">
      <c r="A28" s="0" t="s">
        <v>115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116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80288.5732901149</v>
      </c>
    </row>
    <row r="31" customFormat="false" ht="15" hidden="false" customHeight="false" outlineLevel="0" collapsed="false">
      <c r="A31" s="0" t="s">
        <v>138</v>
      </c>
      <c r="B31" s="0" t="n">
        <f aca="false">L19</f>
        <v>17611.6143211549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260400.29746279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264174.214817323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260400.29746279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95944.1933309433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176232.766621058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176825.766621058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286.822005873574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0.432677352015853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5381.4666494958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5963.30730387827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305.223910096403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158504.528890394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170.851358705515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154</v>
      </c>
    </row>
    <row r="3" customFormat="false" ht="15" hidden="false" customHeight="false" outlineLevel="0" collapsed="false">
      <c r="A3" s="2" t="s">
        <v>155</v>
      </c>
      <c r="B3" s="2" t="s">
        <v>156</v>
      </c>
      <c r="C3" s="2" t="s">
        <v>146</v>
      </c>
      <c r="D3" s="2" t="s">
        <v>157</v>
      </c>
      <c r="E3" s="2" t="s">
        <v>149</v>
      </c>
      <c r="F3" s="2" t="s">
        <v>158</v>
      </c>
    </row>
    <row r="4" customFormat="false" ht="15" hidden="false" customHeight="false" outlineLevel="0" collapsed="false">
      <c r="A4" s="0" t="s">
        <v>159</v>
      </c>
      <c r="B4" s="4" t="n">
        <f aca="false">DCF_Bear!$B$38</f>
        <v>177.369035841041</v>
      </c>
      <c r="C4" s="0" t="n">
        <f aca="false">B4/Assumptions!$B$2-1</f>
        <v>-0.114040780014781</v>
      </c>
      <c r="D4" s="4" t="n">
        <f aca="false">Assumptions!$B$24</f>
        <v>0.25</v>
      </c>
      <c r="E4" s="4" t="n">
        <f aca="false">DCF_Bear!$B$43</f>
        <v>191.234642027745</v>
      </c>
      <c r="F4" s="4" t="n">
        <f aca="false">DCF_Bear!$B$47</f>
        <v>112.003404498629</v>
      </c>
    </row>
    <row r="5" customFormat="false" ht="15" hidden="false" customHeight="false" outlineLevel="0" collapsed="false">
      <c r="A5" s="0" t="s">
        <v>160</v>
      </c>
      <c r="B5" s="4" t="n">
        <f aca="false">DCF_Base!$B$38</f>
        <v>241.124237361067</v>
      </c>
      <c r="C5" s="0" t="n">
        <f aca="false">B5/Assumptions!$B$2-1</f>
        <v>0.204416770035299</v>
      </c>
      <c r="D5" s="4" t="n">
        <f aca="false">Assumptions!$B$38</f>
        <v>0.5</v>
      </c>
      <c r="E5" s="4" t="n">
        <f aca="false">DCF_Base!$B$43</f>
        <v>257.764651413778</v>
      </c>
      <c r="F5" s="4" t="n">
        <f aca="false">DCF_Base!$B$47</f>
        <v>148.667436913681</v>
      </c>
    </row>
    <row r="6" customFormat="false" ht="15" hidden="false" customHeight="false" outlineLevel="0" collapsed="false">
      <c r="A6" s="0" t="s">
        <v>161</v>
      </c>
      <c r="B6" s="4" t="n">
        <f aca="false">DCF_Bull!$B$38</f>
        <v>286.822005873574</v>
      </c>
      <c r="C6" s="0" t="n">
        <f aca="false">B6/Assumptions!$B$2-1</f>
        <v>0.432677352015853</v>
      </c>
      <c r="D6" s="4" t="n">
        <f aca="false">Assumptions!$B$52</f>
        <v>0.25</v>
      </c>
      <c r="E6" s="4" t="n">
        <f aca="false">DCF_Bull!$B$43</f>
        <v>305.223910096403</v>
      </c>
      <c r="F6" s="4" t="n">
        <f aca="false">DCF_Bull!$B$47</f>
        <v>170.851358705515</v>
      </c>
    </row>
    <row r="8" customFormat="false" ht="15" hidden="false" customHeight="false" outlineLevel="0" collapsed="false">
      <c r="A8" s="0" t="s">
        <v>162</v>
      </c>
      <c r="B8" s="0" t="n">
        <f aca="false">SUMPRODUCT(B4:B6,D4:D6)</f>
        <v>236.609879109187</v>
      </c>
    </row>
    <row r="9" customFormat="false" ht="15" hidden="false" customHeight="false" outlineLevel="0" collapsed="false">
      <c r="A9" s="0" t="s">
        <v>163</v>
      </c>
      <c r="B9" s="0" t="n">
        <f aca="false">SUMPRODUCT(E4:E6,D4:D6)</f>
        <v>252.996963737926</v>
      </c>
    </row>
    <row r="10" customFormat="false" ht="15" hidden="false" customHeight="false" outlineLevel="0" collapsed="false">
      <c r="A10" s="0" t="s">
        <v>164</v>
      </c>
      <c r="B10" s="0" t="n">
        <f aca="false">1-Assumptions!$B$2/B8</f>
        <v>0.153881483082054</v>
      </c>
    </row>
    <row r="11" customFormat="false" ht="15" hidden="false" customHeight="false" outlineLevel="0" collapsed="false">
      <c r="A11" s="0" t="s">
        <v>165</v>
      </c>
      <c r="B11" s="0" t="n">
        <f aca="false">IF(ABS(B9-B8)&gt;0.01*ABS(B8),(Assumptions!$B$2-B8)/(B9-B8)*100,"n/a")</f>
        <v>-222.186434830103</v>
      </c>
    </row>
    <row r="12" customFormat="false" ht="15" hidden="false" customHeight="false" outlineLevel="0" collapsed="false">
      <c r="A12" s="0" t="s">
        <v>166</v>
      </c>
      <c r="B12" s="0" t="n">
        <f aca="false">SUMPRODUCT(F4:F6,D4:D6)</f>
        <v>145.047409257876</v>
      </c>
    </row>
    <row r="14" customFormat="false" ht="15" hidden="false" customHeight="false" outlineLevel="0" collapsed="false">
      <c r="A14" s="2" t="s">
        <v>167</v>
      </c>
      <c r="C14" s="0" t="s">
        <v>168</v>
      </c>
    </row>
    <row r="15" customFormat="false" ht="15" hidden="false" customHeight="false" outlineLevel="0" collapsed="false">
      <c r="A15" s="0" t="s">
        <v>169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270.439175933308</v>
      </c>
      <c r="C15" s="3" t="n">
        <v>9</v>
      </c>
    </row>
    <row r="16" customFormat="false" ht="15" hidden="false" customHeight="false" outlineLevel="0" collapsed="false">
      <c r="A16" s="0" t="s">
        <v>170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252.08702604058</v>
      </c>
      <c r="C16" s="3" t="n">
        <v>10</v>
      </c>
    </row>
    <row r="17" customFormat="false" ht="15" hidden="false" customHeight="false" outlineLevel="0" collapsed="false">
      <c r="A17" s="0" t="s">
        <v>171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241.124237361067</v>
      </c>
      <c r="C17" s="3" t="n">
        <v>10.5</v>
      </c>
    </row>
    <row r="18" customFormat="false" ht="15" hidden="false" customHeight="false" outlineLevel="0" collapsed="false">
      <c r="A18" s="0" t="s">
        <v>172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225.676288850181</v>
      </c>
      <c r="C18" s="3" t="n">
        <v>11</v>
      </c>
    </row>
    <row r="19" customFormat="false" ht="15" hidden="false" customHeight="false" outlineLevel="0" collapsed="false">
      <c r="A19" s="0" t="s">
        <v>173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199.956989106953</v>
      </c>
      <c r="C19" s="3" t="n">
        <v>12</v>
      </c>
    </row>
    <row r="20" customFormat="false" ht="15" hidden="false" customHeight="false" outlineLevel="0" collapsed="false">
      <c r="A20" s="0" t="s">
        <v>174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148.667436913681</v>
      </c>
      <c r="C20" s="3" t="n">
        <v>15</v>
      </c>
    </row>
    <row r="22" customFormat="false" ht="15" hidden="false" customHeight="false" outlineLevel="0" collapsed="false">
      <c r="A22" s="2" t="s">
        <v>175</v>
      </c>
    </row>
    <row r="23" customFormat="false" ht="15" hidden="false" customHeight="false" outlineLevel="0" collapsed="false">
      <c r="B23" s="3" t="n">
        <v>2</v>
      </c>
      <c r="C23" s="3" t="n">
        <v>2.5</v>
      </c>
      <c r="D23" s="3" t="n">
        <v>3</v>
      </c>
      <c r="E23" s="3" t="n">
        <v>3.5</v>
      </c>
      <c r="F23" s="3" t="n">
        <v>4</v>
      </c>
    </row>
    <row r="24" customFormat="false" ht="15" hidden="false" customHeight="false" outlineLevel="0" collapsed="false">
      <c r="A24" s="3" t="n">
        <v>8.5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280.263958400058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280.263958400058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280.263958400058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280.263958400058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280.263958400058</v>
      </c>
    </row>
    <row r="25" customFormat="false" ht="15" hidden="false" customHeight="false" outlineLevel="0" collapsed="false">
      <c r="A25" s="3" t="n">
        <v>9.5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257.124965307776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261.054321984328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261.054321984328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261.054321984328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261.054321984328</v>
      </c>
    </row>
    <row r="26" customFormat="false" ht="15" hidden="false" customHeight="false" outlineLevel="0" collapsed="false">
      <c r="A26" s="3" t="n">
        <v>10.5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225.57668737993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232.864601433588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241.124237361067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243.516168127396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243.516168127396</v>
      </c>
    </row>
    <row r="27" customFormat="false" ht="15" hidden="false" customHeight="false" outlineLevel="0" collapsed="false">
      <c r="A27" s="3" t="n">
        <v>11.5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200.737043539138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206.081859259041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212.055476828345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218.775796593812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226.392158994674</v>
      </c>
    </row>
    <row r="28" customFormat="false" ht="15" hidden="false" customHeight="false" outlineLevel="0" collapsed="false">
      <c r="A28" s="3" t="n">
        <v>12.5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180.685127981737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184.701284743253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189.140194848086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194.07231718679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199.584689212401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2026-09-26T00:59:11Z</dcterms:created>
  <dc:creator>openpyxl</dc:creator>
  <dc:description/>
  <dc:language>en-NZ</dc:language>
  <cp:lastModifiedBy/>
  <dcterms:modified xsi:type="dcterms:W3CDTF">2026-09-26T00:59:11Z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