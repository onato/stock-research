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<sst xmlns="http://schemas.openxmlformats.org/spreadsheetml/2006/main" count="366" uniqueCount="172">
  <si>
    <t xml:space="preserve">Ticker</t>
  </si>
  <si>
    <t xml:space="preserve">BA.L</t>
  </si>
  <si>
    <t xml:space="preserve">Company</t>
  </si>
  <si>
    <t xml:space="preserve">BAE Systems plc</t>
  </si>
  <si>
    <t xml:space="preserve">Valuation date</t>
  </si>
  <si>
    <t xml:space="preserve">2026-10-05</t>
  </si>
  <si>
    <t xml:space="preserve">Current price</t>
  </si>
  <si>
    <t xml:space="preserve">Price as of</t>
  </si>
  <si>
    <t xml:space="preserve">2026-10-02T15:41:38Z regular close (LSE Friday close; Yahoo had not posted a 2026-10-05 bar at build 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</si>
  <si>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</si>
  <si>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</si>
  <si>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</si>
  <si>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</si>
  <si>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</si>
  <si>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</si>
  <si>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</si>
  <si>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</si>
  <si>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</si>
  <si>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</si>
  <si>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</si>
  <si>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</si>
  <si>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</si>
  <si>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2026-10-04T12:58:53Z</t>
  </si>
  <si>
    <t xml:space="preserve">Drivers file</t>
  </si>
  <si>
    <t xml:space="preserve">BA.L_Drivers.json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</si>
  <si>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</si>
  <si>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</si>
  <si>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</si>
  <si>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BAE is valued as a long-duration, government-funded annuity with a visible decade of backlog conversion: a 10-year owner-FCF build at an 8% GBP WACC, SBC expensed and the share count held flat, leases charged as an operating cost, the NCI deducted at value, cash tax ramped to the guided 22%, and the pension surplus and customer-funded capex deliberately left uncredited. The result is deliberately a 'what the cash flows are worth' number, not a re-rating thesis: the stock's move from sub-13x to 20x+ earnings since 2022 is the market pre-paying for the budget upcycle, and the gap between the house value and the price is the price of that thesis, stated explicitly.
key_risks_to_valuation: Budget cycle reversal: de-escalation in Ukraine or the Middle East removes the growth premium; the bear case (1-2% growth from FY2028) is the valuation's biggest swing factor; Customer concentration: four governments = 73% of revenue; a single US continuing resolution, UK spending review or Saudi programme pause is material; Fixed-price execution on early-stage Maritime (6.7% RoS), GCAP and new munitions capacity; a 1pp margin miss is worth ~GBP 300m of EBITDA; FX: a 5c move in GBP/USD is ~GBP 500m of sales and ~GBP 70m of EBIT; guidance is at $1.32; Cash tax normalisation: the model ramps from ~7% paid to 22%; if the R&amp;D/US-expensing shelter persists the house value is conservative, if the ramp is faster it is generous by ~1 year of tax; Terminal assumptions: ~60% of value sits in the terminal; the 18x cap binds in base and bull, so a lower exit multiple (the bear's 15x) is the second-largest sensitivity after growth; Regulatory/ESG: the Aug-2026 $36m ITAR settlement and ongoing scrutiny of Saudi sales are headline rather than cash risks, but a sanctions event on a major customer would not be</t>
  </si>
  <si>
    <t xml:space="preserve">Data sources</t>
  </si>
  <si>
    <t xml:space="preserve">price: Yahoo Finance chart API (query1.finance.yahoo.com v8 chart, BA.L) at inputs.price_as_of; 52-week range 1529.0-2360.0 GBp
financials: research/BA.L/Reports/BA.L_Metrics.csv (FY2016-FY2025, H1 2025, H1 2026) derived from core_metrics; FY2025 Annual Report (BA.L_Annual_FY2025.txt: income statement l.10196-10223, cash flow l.10375-10419, underlying EBIT reconciliation l.1983-1990, note 6 lease interest l.11019, ROU depreciation l.11582); H1 2026 half-yearly report (BA.L_HalfYear_H1-2026.txt: balance sheet l.1240-1297, EPS/share note l.1599-1618, FCF APM reconciliation l.1988-2007, upgraded guidance l.128-147)
qualitative: research/BA.L/Reports/BA.L_Analysis.json (2026-10-05): business model, growth drivers, bull/bear cases, H1 2026 guidance</t>
  </si>
  <si>
    <t xml:space="preserve">Scenario narrative: bear</t>
  </si>
  <si>
    <t xml:space="preserve">Geopolitical de-escalation (a Ukraine settlement, a quieter Middle East) removes the urgency from budget growth after FY2026; UK fiscal consolidation and US continuing resolutions delay awards, and order intake drops below 1x book-to-bill. Growth fades to 1-2% from FY2028. Fixed-price overruns on early-stage Maritime and GCAP work and under-absorbed new munitions capacity compress the pre-SBC EBITDA margin to 13.6%; advances unwind (-5% capture) so FCF trails earnings; capex stays at 3.5% to finish committed facilities; cash tax normalises faster (23%) as US credits lapse. The terminal multiple is capped at 15x -- the market's pre-2022 view of the stock (sub-13x P/E), when defence was a low-growth annuity rather than a growth sector. No going-concern element: the balance sheet is investment-grade and the GBP 84bn backlog funds the decade either way.</t>
  </si>
  <si>
    <t xml:space="preserve">Scenario narrative: base</t>
  </si>
  <si>
    <t xml:space="preserve">The GBP 84bn backlog converts on schedule: FY2026 lands at the midpoint of the upgraded guidance (+9% sales, +11% EBIT, &gt;GBP 2.0bn FCF), then growth decelerates through 7%/6%/5% as order intake flattens off a record base while Dreadnought, SSN-AUKUS, GCAP, Type 26 exports and US munitions/space capacity sustain mid-single-digit growth into the 2030s. Return on sales widens ~10-20bp/yr as Maritime matures from 6.7% and US capacity fills, reaching a 15.6% pre-SBC EBITDA margin. Cash tax normalises to the 22% guided rate by 2030 as R&amp;D-credit and US expensing timing benefits unwind. Capex steps down from 3.9% to 3.4% of revenue once the munitions and shipyard builds complete. Customer advances net to zero over the horizon.</t>
  </si>
  <si>
    <t xml:space="preserve">Scenario narrative: bull</t>
  </si>
  <si>
    <t xml:space="preserve">Allied budgets track the NATO 3.5%-of-GDP pledge, the UK Strategic Defence Review funds the shipyard/reactor expansion and GCAP in full, Turkiye/Saudi/Canada/Norway exports land on time and the US segments (Electronic Systems ~15% RoS, Space &amp; Mission Systems) grow faster than the group. Sales compound 10%/9%/8% through FY2028 and the mix shift toward US electronics and sustainment lifts the pre-SBC EBITDA margin to 16.8%. Cash tax stays below the headline rate for longer (21% terminal) as US R&amp;D expensing persists, capex normalises to 3.3%, and advances remain a modest tailwind (+3% capture). Terminal growth 2.75% reflects a structurally larger defence share of GDP.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</si>
  <si>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</si>
  <si>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</si>
  <si>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</si>
  <si>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</si>
  <si>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</si>
  <si>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</si>
  <si>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</si>
  <si>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</si>
  <si>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</si>
  <si>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</si>
  <si>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</si>
  <si>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</si>
  <si>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</si>
  <si>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</si>
  <si>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</si>
  <si>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</si>
  <si>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</si>
  <si>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</si>
  <si>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</si>
  <si>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</si>
  <si>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</si>
  <si>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</si>
  <si>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</si>
  <si>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</si>
  <si>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</si>
  <si>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</si>
  <si>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</si>
  <si>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CapexIntangibles</t>
  </si>
  <si>
    <t xml:space="preserve">CapexPPE</t>
  </si>
  <si>
    <t xml:space="preserve">OrderBook</t>
  </si>
  <si>
    <t xml:space="preserve">TotalEquityInclNCI</t>
  </si>
  <si>
    <t xml:space="preserve">UnderlyingEBIT</t>
  </si>
  <si>
    <t xml:space="preserve">UnderlyingEPS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</si>
  <si>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</si>
  <si>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</si>
  <si>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</si>
  <si>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</si>
  <si>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</si>
  <si>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</si>
  <si>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</si>
  <si>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</si>
  <si>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</si>
  <si>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</si>
  <si>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</si>
  <si>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</si>
  <si>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</si>
  <si>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</si>
  <si>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</si>
  <si>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</si>
  <si>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</si>
  <si>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</si>
  <si>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</si>
  <si>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</si>
  <si>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</si>
  <si>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</si>
  <si>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</si>
  <si>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</si>
  <si>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</si>
  <si>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</si>
  <si>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</si>
  <si>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</si>
  <si>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</si>
  <si>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</si>
  <si>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</si>
  <si>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</si>
  <si>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</si>
  <si>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</si>
  <si>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</si>
  <si>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</si>
  <si>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</si>
  <si>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</si>
  <si>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</si>
  <si>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</si>
  <si>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</si>
  <si>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</si>
  <si>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</si>
  <si>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</si>
  <si>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</si>
  <si>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</si>
  <si>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</si>
  <si>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BA.L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</si>
  <si>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</si>
  <si>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</si>
  <si>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</si>
  <si>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</si>
  <si>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</si>
  <si>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</si>
  <si>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</si>
  <si>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</si>
  <si>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</si>
  <si>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</si>
  <si>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</si>
  <si>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</si>
  <si>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</si>
  <si>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</si>
  <si>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</si>
  <si>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</si>
  <si>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</si>
  <si>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</si>
  <si>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</si>
  <si>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</si>
  <si>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</si>
  <si>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</si>
  <si>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</si>
  <si>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</si>
  <si>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</si>
  <si>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</si>
  <si>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</si>
  <si>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</si>
  <si>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</si>
  <si>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</si>
  <si>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BA.L owner-FCF component DCF: base case (millions, GBP)</t>
  </si>
  <si>
    <t xml:space="preserve">BA.L owner-FCF component DCF: bull case (millions, GBP)</t>
  </si>
  <si>
    <t xml:space="preserve">BA.L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</si>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</sst>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1921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</row>
    <row r="2" customFormat="false" ht="15" hidden="false" customHeight="false" outlineLevel="0" collapsed="false">
      <c r="A2" s="0" t="s">
        <v>70</v>
      </c>
      <c r="B2" s="0" t="n">
        <v>17790</v>
      </c>
      <c r="F2" s="0" t="n">
        <v>1742</v>
      </c>
      <c r="G2" s="0" t="n">
        <v>9.8</v>
      </c>
      <c r="H2" s="0" t="n">
        <v>2087</v>
      </c>
      <c r="I2" s="0" t="n">
        <v>913</v>
      </c>
      <c r="J2" s="0" t="n">
        <v>5.1</v>
      </c>
      <c r="K2" s="0" t="n">
        <v>0.287</v>
      </c>
      <c r="L2" s="0" t="n">
        <v>1229</v>
      </c>
      <c r="M2" s="0" t="n">
        <v>490</v>
      </c>
      <c r="N2" s="0" t="n">
        <v>739</v>
      </c>
      <c r="O2" s="0" t="n">
        <v>3438</v>
      </c>
      <c r="P2" s="0" t="n">
        <v>22976</v>
      </c>
      <c r="Q2" s="0" t="n">
        <v>19512</v>
      </c>
      <c r="R2" s="0" t="n">
        <v>4425</v>
      </c>
      <c r="S2" s="0" t="n">
        <v>2769</v>
      </c>
      <c r="T2" s="0" t="n">
        <v>3185</v>
      </c>
      <c r="U2" s="0" t="n">
        <v>55</v>
      </c>
      <c r="AA2" s="0" t="s">
        <v>18</v>
      </c>
      <c r="AB2" s="0" t="s">
        <v>14</v>
      </c>
      <c r="AC2" s="0" t="n">
        <v>82</v>
      </c>
      <c r="AD2" s="0" t="n">
        <v>408</v>
      </c>
      <c r="AF2" s="0" t="n">
        <v>3464</v>
      </c>
    </row>
    <row r="3" customFormat="false" ht="15" hidden="false" customHeight="false" outlineLevel="0" collapsed="false">
      <c r="A3" s="0" t="s">
        <v>71</v>
      </c>
      <c r="B3" s="0" t="n">
        <v>18322</v>
      </c>
      <c r="F3" s="0" t="n">
        <v>1480</v>
      </c>
      <c r="G3" s="0" t="n">
        <v>8.1</v>
      </c>
      <c r="H3" s="0" t="n">
        <v>2208</v>
      </c>
      <c r="I3" s="0" t="n">
        <v>854</v>
      </c>
      <c r="J3" s="0" t="n">
        <v>4.7</v>
      </c>
      <c r="K3" s="0" t="n">
        <v>0.267</v>
      </c>
      <c r="L3" s="0" t="n">
        <v>1897</v>
      </c>
      <c r="M3" s="0" t="n">
        <v>476</v>
      </c>
      <c r="N3" s="0" t="n">
        <v>1421</v>
      </c>
      <c r="O3" s="0" t="n">
        <v>4741</v>
      </c>
      <c r="P3" s="0" t="n">
        <v>22453</v>
      </c>
      <c r="Q3" s="0" t="n">
        <v>17669</v>
      </c>
      <c r="R3" s="0" t="n">
        <v>4083</v>
      </c>
      <c r="S3" s="0" t="n">
        <v>3271</v>
      </c>
      <c r="T3" s="0" t="n">
        <v>3197</v>
      </c>
      <c r="U3" s="0" t="n">
        <v>61</v>
      </c>
      <c r="AA3" s="0" t="s">
        <v>18</v>
      </c>
      <c r="AB3" s="0" t="s">
        <v>14</v>
      </c>
      <c r="AC3" s="0" t="n">
        <v>87</v>
      </c>
      <c r="AD3" s="0" t="n">
        <v>389</v>
      </c>
      <c r="AF3" s="0" t="n">
        <v>4784</v>
      </c>
    </row>
    <row r="4" customFormat="false" ht="15" hidden="false" customHeight="false" outlineLevel="0" collapsed="false">
      <c r="A4" s="0" t="s">
        <v>72</v>
      </c>
      <c r="B4" s="0" t="n">
        <v>16821</v>
      </c>
      <c r="F4" s="0" t="n">
        <v>1605</v>
      </c>
      <c r="G4" s="0" t="n">
        <v>9.5</v>
      </c>
      <c r="H4" s="0" t="n">
        <v>2016</v>
      </c>
      <c r="I4" s="0" t="n">
        <v>1000</v>
      </c>
      <c r="J4" s="0" t="n">
        <v>5.9</v>
      </c>
      <c r="K4" s="0" t="n">
        <v>0.312</v>
      </c>
      <c r="L4" s="0" t="n">
        <v>1200</v>
      </c>
      <c r="M4" s="0" t="n">
        <v>497</v>
      </c>
      <c r="N4" s="0" t="n">
        <v>703</v>
      </c>
      <c r="O4" s="0" t="n">
        <v>5546</v>
      </c>
      <c r="P4" s="0" t="n">
        <v>24746</v>
      </c>
      <c r="Q4" s="0" t="n">
        <v>19128</v>
      </c>
      <c r="R4" s="0" t="n">
        <v>4299</v>
      </c>
      <c r="S4" s="0" t="n">
        <v>3232</v>
      </c>
      <c r="T4" s="0" t="n">
        <v>3201</v>
      </c>
      <c r="U4" s="0" t="n">
        <v>64</v>
      </c>
      <c r="AA4" s="0" t="s">
        <v>18</v>
      </c>
      <c r="AB4" s="0" t="s">
        <v>14</v>
      </c>
      <c r="AC4" s="0" t="n">
        <v>139</v>
      </c>
      <c r="AD4" s="0" t="n">
        <v>358</v>
      </c>
      <c r="AF4" s="0" t="n">
        <v>5618</v>
      </c>
    </row>
    <row r="5" customFormat="false" ht="15" hidden="false" customHeight="false" outlineLevel="0" collapsed="false">
      <c r="A5" s="0" t="s">
        <v>73</v>
      </c>
      <c r="B5" s="0" t="n">
        <v>18305</v>
      </c>
      <c r="F5" s="0" t="n">
        <v>1899</v>
      </c>
      <c r="G5" s="0" t="n">
        <v>10.4</v>
      </c>
      <c r="H5" s="0" t="n">
        <v>2559</v>
      </c>
      <c r="I5" s="0" t="n">
        <v>1476</v>
      </c>
      <c r="J5" s="0" t="n">
        <v>8.1</v>
      </c>
      <c r="K5" s="0" t="n">
        <v>0.461</v>
      </c>
      <c r="L5" s="0" t="n">
        <v>1597</v>
      </c>
      <c r="M5" s="0" t="n">
        <v>470</v>
      </c>
      <c r="N5" s="0" t="n">
        <v>1127</v>
      </c>
      <c r="O5" s="0" t="n">
        <v>5407</v>
      </c>
      <c r="P5" s="0" t="n">
        <v>25630</v>
      </c>
      <c r="Q5" s="0" t="n">
        <v>20119</v>
      </c>
      <c r="R5" s="0" t="n">
        <v>3397</v>
      </c>
      <c r="S5" s="0" t="n">
        <v>2587</v>
      </c>
      <c r="T5" s="0" t="n">
        <v>3201</v>
      </c>
      <c r="U5" s="0" t="n">
        <v>74</v>
      </c>
      <c r="AA5" s="0" t="s">
        <v>18</v>
      </c>
      <c r="AB5" s="0" t="s">
        <v>14</v>
      </c>
      <c r="AC5" s="0" t="n">
        <v>110</v>
      </c>
      <c r="AD5" s="0" t="n">
        <v>360</v>
      </c>
      <c r="AF5" s="0" t="n">
        <v>5511</v>
      </c>
    </row>
    <row r="6" customFormat="false" ht="15" hidden="false" customHeight="false" outlineLevel="0" collapsed="false">
      <c r="A6" s="0" t="s">
        <v>74</v>
      </c>
      <c r="B6" s="0" t="n">
        <v>19277</v>
      </c>
      <c r="F6" s="0" t="n">
        <v>1930</v>
      </c>
      <c r="G6" s="0" t="n">
        <v>10</v>
      </c>
      <c r="H6" s="0" t="n">
        <v>2605</v>
      </c>
      <c r="I6" s="0" t="n">
        <v>1299</v>
      </c>
      <c r="J6" s="0" t="n">
        <v>6.7</v>
      </c>
      <c r="K6" s="0" t="n">
        <v>0.405</v>
      </c>
      <c r="L6" s="0" t="n">
        <v>1166</v>
      </c>
      <c r="M6" s="0" t="n">
        <v>477</v>
      </c>
      <c r="N6" s="0" t="n">
        <v>689</v>
      </c>
      <c r="O6" s="0" t="n">
        <v>4643</v>
      </c>
      <c r="P6" s="0" t="n">
        <v>27530</v>
      </c>
      <c r="Q6" s="0" t="n">
        <v>22609</v>
      </c>
      <c r="R6" s="0" t="n">
        <v>5424</v>
      </c>
      <c r="S6" s="0" t="n">
        <v>2768</v>
      </c>
      <c r="T6" s="0" t="n">
        <v>3210</v>
      </c>
      <c r="U6" s="0" t="n">
        <v>74</v>
      </c>
      <c r="AA6" s="0" t="s">
        <v>18</v>
      </c>
      <c r="AB6" s="0" t="s">
        <v>14</v>
      </c>
      <c r="AC6" s="0" t="n">
        <v>92</v>
      </c>
      <c r="AD6" s="0" t="n">
        <v>385</v>
      </c>
      <c r="AF6" s="0" t="n">
        <v>4921</v>
      </c>
    </row>
    <row r="7" customFormat="false" ht="15" hidden="false" customHeight="false" outlineLevel="0" collapsed="false">
      <c r="A7" s="0" t="s">
        <v>75</v>
      </c>
      <c r="B7" s="0" t="n">
        <v>19521</v>
      </c>
      <c r="F7" s="0" t="n">
        <v>2389</v>
      </c>
      <c r="G7" s="0" t="n">
        <v>12.2</v>
      </c>
      <c r="H7" s="0" t="n">
        <v>3109</v>
      </c>
      <c r="I7" s="0" t="n">
        <v>1758</v>
      </c>
      <c r="J7" s="0" t="n">
        <v>9</v>
      </c>
      <c r="K7" s="0" t="n">
        <v>0.547</v>
      </c>
      <c r="L7" s="0" t="n">
        <v>2447</v>
      </c>
      <c r="M7" s="0" t="n">
        <v>462</v>
      </c>
      <c r="N7" s="0" t="n">
        <v>1985</v>
      </c>
      <c r="O7" s="0" t="n">
        <v>7436</v>
      </c>
      <c r="P7" s="0" t="n">
        <v>27135</v>
      </c>
      <c r="Q7" s="0" t="n">
        <v>19467</v>
      </c>
      <c r="R7" s="0" t="n">
        <v>5061</v>
      </c>
      <c r="S7" s="0" t="n">
        <v>2917</v>
      </c>
      <c r="T7" s="0" t="n">
        <v>3211</v>
      </c>
      <c r="U7" s="0" t="n">
        <v>92</v>
      </c>
      <c r="AA7" s="0" t="s">
        <v>18</v>
      </c>
      <c r="AB7" s="0" t="s">
        <v>14</v>
      </c>
      <c r="AC7" s="0" t="n">
        <v>96</v>
      </c>
      <c r="AD7" s="0" t="n">
        <v>366</v>
      </c>
      <c r="AF7" s="0" t="n">
        <v>7668</v>
      </c>
    </row>
    <row r="8" customFormat="false" ht="15" hidden="false" customHeight="false" outlineLevel="0" collapsed="false">
      <c r="A8" s="0" t="s">
        <v>76</v>
      </c>
      <c r="B8" s="0" t="n">
        <v>21258</v>
      </c>
      <c r="F8" s="0" t="n">
        <v>2384</v>
      </c>
      <c r="G8" s="0" t="n">
        <v>11.2</v>
      </c>
      <c r="H8" s="0" t="n">
        <v>3151</v>
      </c>
      <c r="I8" s="0" t="n">
        <v>1591</v>
      </c>
      <c r="J8" s="0" t="n">
        <v>7.5</v>
      </c>
      <c r="K8" s="0" t="n">
        <v>0.505</v>
      </c>
      <c r="L8" s="0" t="n">
        <v>2839</v>
      </c>
      <c r="M8" s="0" t="n">
        <v>693</v>
      </c>
      <c r="N8" s="0" t="n">
        <v>2146</v>
      </c>
      <c r="O8" s="0" t="n">
        <v>11215</v>
      </c>
      <c r="P8" s="0" t="n">
        <v>31462</v>
      </c>
      <c r="Q8" s="0" t="n">
        <v>20062</v>
      </c>
      <c r="R8" s="0" t="n">
        <v>5242</v>
      </c>
      <c r="S8" s="0" t="n">
        <v>3107</v>
      </c>
      <c r="T8" s="0" t="n">
        <v>3153</v>
      </c>
      <c r="U8" s="0" t="n">
        <v>101</v>
      </c>
      <c r="AA8" s="0" t="s">
        <v>18</v>
      </c>
      <c r="AB8" s="0" t="s">
        <v>14</v>
      </c>
      <c r="AC8" s="0" t="n">
        <v>94</v>
      </c>
      <c r="AD8" s="0" t="n">
        <v>599</v>
      </c>
      <c r="AF8" s="0" t="n">
        <v>11400</v>
      </c>
    </row>
    <row r="9" customFormat="false" ht="15" hidden="false" customHeight="false" outlineLevel="0" collapsed="false">
      <c r="A9" s="0" t="s">
        <v>77</v>
      </c>
      <c r="B9" s="0" t="n">
        <v>23078</v>
      </c>
      <c r="F9" s="0" t="n">
        <v>2573</v>
      </c>
      <c r="G9" s="0" t="n">
        <v>11.1</v>
      </c>
      <c r="H9" s="0" t="n">
        <v>3360</v>
      </c>
      <c r="I9" s="0" t="n">
        <v>1857</v>
      </c>
      <c r="J9" s="0" t="n">
        <v>8</v>
      </c>
      <c r="K9" s="0" t="n">
        <v>0.604</v>
      </c>
      <c r="L9" s="0" t="n">
        <v>3760</v>
      </c>
      <c r="M9" s="0" t="n">
        <v>957</v>
      </c>
      <c r="N9" s="0" t="n">
        <v>2803</v>
      </c>
      <c r="O9" s="0" t="n">
        <v>10559</v>
      </c>
      <c r="P9" s="0" t="n">
        <v>32064</v>
      </c>
      <c r="Q9" s="0" t="n">
        <v>21341</v>
      </c>
      <c r="R9" s="0" t="n">
        <v>5111</v>
      </c>
      <c r="S9" s="0" t="n">
        <v>4067</v>
      </c>
      <c r="T9" s="0" t="n">
        <v>3072</v>
      </c>
      <c r="U9" s="0" t="n">
        <v>110</v>
      </c>
      <c r="AA9" s="0" t="s">
        <v>18</v>
      </c>
      <c r="AB9" s="0" t="s">
        <v>14</v>
      </c>
      <c r="AC9" s="0" t="n">
        <v>131</v>
      </c>
      <c r="AD9" s="0" t="n">
        <v>826</v>
      </c>
      <c r="AF9" s="0" t="n">
        <v>10723</v>
      </c>
    </row>
    <row r="10" customFormat="false" ht="15" hidden="false" customHeight="false" outlineLevel="0" collapsed="false">
      <c r="A10" s="0" t="s">
        <v>78</v>
      </c>
      <c r="B10" s="0" t="n">
        <v>26312</v>
      </c>
      <c r="F10" s="0" t="n">
        <v>2685</v>
      </c>
      <c r="G10" s="0" t="n">
        <v>10.2</v>
      </c>
      <c r="H10" s="0" t="n">
        <v>3782</v>
      </c>
      <c r="I10" s="0" t="n">
        <v>1956</v>
      </c>
      <c r="J10" s="0" t="n">
        <v>7.4</v>
      </c>
      <c r="K10" s="0" t="n">
        <v>0.641</v>
      </c>
      <c r="L10" s="0" t="n">
        <v>3925</v>
      </c>
      <c r="M10" s="0" t="n">
        <v>1163</v>
      </c>
      <c r="N10" s="0" t="n">
        <v>2762</v>
      </c>
      <c r="O10" s="0" t="n">
        <v>11616</v>
      </c>
      <c r="P10" s="0" t="n">
        <v>38142</v>
      </c>
      <c r="Q10" s="0" t="n">
        <v>26365</v>
      </c>
      <c r="R10" s="0" t="n">
        <v>8412</v>
      </c>
      <c r="S10" s="0" t="n">
        <v>3378</v>
      </c>
      <c r="T10" s="0" t="n">
        <v>3053</v>
      </c>
      <c r="U10" s="0" t="n">
        <v>144</v>
      </c>
      <c r="AA10" s="0" t="s">
        <v>18</v>
      </c>
      <c r="AB10" s="0" t="s">
        <v>14</v>
      </c>
      <c r="AC10" s="0" t="n">
        <v>173</v>
      </c>
      <c r="AD10" s="0" t="n">
        <v>990</v>
      </c>
      <c r="AF10" s="0" t="n">
        <v>11777</v>
      </c>
    </row>
    <row r="11" customFormat="false" ht="15" hidden="false" customHeight="false" outlineLevel="0" collapsed="false">
      <c r="A11" s="0" t="s">
        <v>79</v>
      </c>
      <c r="B11" s="0" t="n">
        <v>28336</v>
      </c>
      <c r="F11" s="0" t="n">
        <v>2925</v>
      </c>
      <c r="G11" s="0" t="n">
        <v>10.3</v>
      </c>
      <c r="H11" s="0" t="n">
        <v>4098</v>
      </c>
      <c r="I11" s="0" t="n">
        <v>2062</v>
      </c>
      <c r="J11" s="0" t="n">
        <v>7.3</v>
      </c>
      <c r="K11" s="0" t="n">
        <v>0.68</v>
      </c>
      <c r="L11" s="0" t="n">
        <v>3432</v>
      </c>
      <c r="M11" s="0" t="n">
        <v>1103</v>
      </c>
      <c r="N11" s="0" t="n">
        <v>2329</v>
      </c>
      <c r="O11" s="0" t="n">
        <v>11784</v>
      </c>
      <c r="P11" s="0" t="n">
        <v>37679</v>
      </c>
      <c r="Q11" s="0" t="n">
        <v>25742</v>
      </c>
      <c r="R11" s="0" t="n">
        <v>7285</v>
      </c>
      <c r="S11" s="0" t="n">
        <v>3438</v>
      </c>
      <c r="T11" s="0" t="n">
        <v>3031</v>
      </c>
      <c r="U11" s="0" t="n">
        <v>174</v>
      </c>
      <c r="AA11" s="0" t="s">
        <v>18</v>
      </c>
      <c r="AB11" s="0" t="s">
        <v>14</v>
      </c>
      <c r="AC11" s="0" t="n">
        <v>183</v>
      </c>
      <c r="AD11" s="0" t="n">
        <v>920</v>
      </c>
      <c r="AE11" s="0" t="n">
        <v>83600</v>
      </c>
      <c r="AF11" s="0" t="n">
        <v>11937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1921</v>
      </c>
    </row>
    <row r="3" customFormat="false" ht="15" hidden="false" customHeight="false" outlineLevel="0" collapsed="false">
      <c r="A3" s="0" t="s">
        <v>83</v>
      </c>
      <c r="B3" s="3" t="n">
        <v>3018</v>
      </c>
    </row>
    <row r="4" customFormat="false" ht="15" hidden="false" customHeight="false" outlineLevel="0" collapsed="false">
      <c r="A4" s="0" t="s">
        <v>84</v>
      </c>
      <c r="B4" s="3" t="n">
        <v>3187</v>
      </c>
    </row>
    <row r="5" customFormat="false" ht="15" hidden="false" customHeight="false" outlineLevel="0" collapsed="false">
      <c r="A5" s="0" t="s">
        <v>85</v>
      </c>
      <c r="B5" s="3" t="n">
        <v>-1200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28336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100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7</v>
      </c>
      <c r="D13" s="3" t="n">
        <v>4</v>
      </c>
      <c r="E13" s="3" t="n">
        <v>2</v>
      </c>
      <c r="F13" s="3" t="n">
        <v>1</v>
      </c>
      <c r="G13" s="3" t="n">
        <v>1</v>
      </c>
      <c r="H13" s="3" t="n">
        <v>1.5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15</v>
      </c>
      <c r="D14" s="3" t="n">
        <v>14.6</v>
      </c>
      <c r="E14" s="3" t="n">
        <v>14.2</v>
      </c>
      <c r="F14" s="3" t="n">
        <v>13.9</v>
      </c>
      <c r="G14" s="3" t="n">
        <v>13.7</v>
      </c>
      <c r="H14" s="3" t="n">
        <v>13.6</v>
      </c>
      <c r="I14" s="3" t="n">
        <v>13.6</v>
      </c>
      <c r="J14" s="3" t="n">
        <v>13.6</v>
      </c>
      <c r="K14" s="3" t="n">
        <v>13.6</v>
      </c>
      <c r="L14" s="3" t="n">
        <v>13.6</v>
      </c>
    </row>
    <row r="15" customFormat="false" ht="15" hidden="false" customHeight="false" outlineLevel="0" collapsed="false">
      <c r="A15" s="0" t="s">
        <v>105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106</v>
      </c>
      <c r="C16" s="3" t="n">
        <v>0.94</v>
      </c>
      <c r="D16" s="3" t="n">
        <v>0.94</v>
      </c>
      <c r="E16" s="3" t="n">
        <v>0.94</v>
      </c>
      <c r="F16" s="3" t="n">
        <v>0.94</v>
      </c>
      <c r="G16" s="3" t="n">
        <v>0.94</v>
      </c>
      <c r="H16" s="3" t="n">
        <v>0.94</v>
      </c>
      <c r="I16" s="3" t="n">
        <v>0.94</v>
      </c>
      <c r="J16" s="3" t="n">
        <v>0.94</v>
      </c>
      <c r="K16" s="3" t="n">
        <v>0.94</v>
      </c>
      <c r="L16" s="3" t="n">
        <v>0.94</v>
      </c>
    </row>
    <row r="17" customFormat="false" ht="15" hidden="false" customHeight="false" outlineLevel="0" collapsed="false">
      <c r="A17" s="0" t="s">
        <v>107</v>
      </c>
      <c r="C17" s="3" t="n">
        <v>3.33</v>
      </c>
      <c r="D17" s="3" t="n">
        <v>3.35</v>
      </c>
      <c r="E17" s="3" t="n">
        <v>3.4</v>
      </c>
      <c r="F17" s="3" t="n">
        <v>3.4</v>
      </c>
      <c r="G17" s="3" t="n">
        <v>3.4</v>
      </c>
      <c r="H17" s="3" t="n">
        <v>3.4</v>
      </c>
      <c r="I17" s="3" t="n">
        <v>3.4</v>
      </c>
      <c r="J17" s="3" t="n">
        <v>3.4</v>
      </c>
      <c r="K17" s="3" t="n">
        <v>3.4</v>
      </c>
      <c r="L17" s="3" t="n">
        <v>3.4</v>
      </c>
    </row>
    <row r="18" customFormat="false" ht="15" hidden="false" customHeight="false" outlineLevel="0" collapsed="false">
      <c r="A18" s="0" t="s">
        <v>108</v>
      </c>
      <c r="C18" s="3" t="n">
        <v>3.9</v>
      </c>
      <c r="D18" s="3" t="n">
        <v>3.9</v>
      </c>
      <c r="E18" s="3" t="n">
        <v>3.8</v>
      </c>
      <c r="F18" s="3" t="n">
        <v>3.6</v>
      </c>
      <c r="G18" s="3" t="n">
        <v>3.5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109</v>
      </c>
      <c r="C19" s="3" t="n">
        <v>14</v>
      </c>
      <c r="D19" s="3" t="n">
        <v>18</v>
      </c>
      <c r="E19" s="3" t="n">
        <v>22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110</v>
      </c>
      <c r="B20" s="3" t="n">
        <v>8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15</v>
      </c>
    </row>
    <row r="23" customFormat="false" ht="15" hidden="false" customHeight="false" outlineLevel="0" collapsed="false">
      <c r="A23" s="0" t="s">
        <v>113</v>
      </c>
      <c r="B23" s="3" t="n">
        <v>-5</v>
      </c>
    </row>
    <row r="24" customFormat="false" ht="15" hidden="false" customHeight="false" outlineLevel="0" collapsed="false">
      <c r="A24" s="0" t="s">
        <v>114</v>
      </c>
      <c r="B24" s="3" t="n">
        <v>0.2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9</v>
      </c>
      <c r="D27" s="3" t="n">
        <v>7</v>
      </c>
      <c r="E27" s="3" t="n">
        <v>6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104</v>
      </c>
      <c r="C28" s="3" t="n">
        <v>15.2</v>
      </c>
      <c r="D28" s="3" t="n">
        <v>15.3</v>
      </c>
      <c r="E28" s="3" t="n">
        <v>15.4</v>
      </c>
      <c r="F28" s="3" t="n">
        <v>15.5</v>
      </c>
      <c r="G28" s="3" t="n">
        <v>15.6</v>
      </c>
      <c r="H28" s="3" t="n">
        <v>15.6</v>
      </c>
      <c r="I28" s="3" t="n">
        <v>15.6</v>
      </c>
      <c r="J28" s="3" t="n">
        <v>15.6</v>
      </c>
      <c r="K28" s="3" t="n">
        <v>15.6</v>
      </c>
      <c r="L28" s="3" t="n">
        <v>15.6</v>
      </c>
    </row>
    <row r="29" customFormat="false" ht="15" hidden="false" customHeight="false" outlineLevel="0" collapsed="false">
      <c r="A29" s="0" t="s">
        <v>105</v>
      </c>
      <c r="C29" s="3" t="n">
        <v>0.6</v>
      </c>
      <c r="D29" s="3" t="n">
        <v>0.6</v>
      </c>
      <c r="E29" s="3" t="n">
        <v>0.58</v>
      </c>
      <c r="F29" s="3" t="n">
        <v>0.58</v>
      </c>
      <c r="G29" s="3" t="n">
        <v>0.56</v>
      </c>
      <c r="H29" s="3" t="n">
        <v>0.56</v>
      </c>
      <c r="I29" s="3" t="n">
        <v>0.55</v>
      </c>
      <c r="J29" s="3" t="n">
        <v>0.55</v>
      </c>
      <c r="K29" s="3" t="n">
        <v>0.55</v>
      </c>
      <c r="L29" s="3" t="n">
        <v>0.55</v>
      </c>
    </row>
    <row r="30" customFormat="false" ht="15" hidden="false" customHeight="false" outlineLevel="0" collapsed="false">
      <c r="A30" s="0" t="s">
        <v>106</v>
      </c>
      <c r="C30" s="3" t="n">
        <v>0.94</v>
      </c>
      <c r="D30" s="3" t="n">
        <v>0.93</v>
      </c>
      <c r="E30" s="3" t="n">
        <v>0.92</v>
      </c>
      <c r="F30" s="3" t="n">
        <v>0.91</v>
      </c>
      <c r="G30" s="3" t="n">
        <v>0.9</v>
      </c>
      <c r="H30" s="3" t="n">
        <v>0.9</v>
      </c>
      <c r="I30" s="3" t="n">
        <v>0.9</v>
      </c>
      <c r="J30" s="3" t="n">
        <v>0.9</v>
      </c>
      <c r="K30" s="3" t="n">
        <v>0.9</v>
      </c>
      <c r="L30" s="3" t="n">
        <v>0.9</v>
      </c>
    </row>
    <row r="31" customFormat="false" ht="15" hidden="false" customHeight="false" outlineLevel="0" collapsed="false">
      <c r="A31" s="0" t="s">
        <v>107</v>
      </c>
      <c r="C31" s="3" t="n">
        <v>3.33</v>
      </c>
      <c r="D31" s="3" t="n">
        <v>3.3</v>
      </c>
      <c r="E31" s="3" t="n">
        <v>3.3</v>
      </c>
      <c r="F31" s="3" t="n">
        <v>3.3</v>
      </c>
      <c r="G31" s="3" t="n">
        <v>3.3</v>
      </c>
      <c r="H31" s="3" t="n">
        <v>3.3</v>
      </c>
      <c r="I31" s="3" t="n">
        <v>3.3</v>
      </c>
      <c r="J31" s="3" t="n">
        <v>3.3</v>
      </c>
      <c r="K31" s="3" t="n">
        <v>3.3</v>
      </c>
      <c r="L31" s="3" t="n">
        <v>3.3</v>
      </c>
    </row>
    <row r="32" customFormat="false" ht="15" hidden="false" customHeight="false" outlineLevel="0" collapsed="false">
      <c r="A32" s="0" t="s">
        <v>108</v>
      </c>
      <c r="C32" s="3" t="n">
        <v>3.9</v>
      </c>
      <c r="D32" s="3" t="n">
        <v>3.8</v>
      </c>
      <c r="E32" s="3" t="n">
        <v>3.7</v>
      </c>
      <c r="F32" s="3" t="n">
        <v>3.6</v>
      </c>
      <c r="G32" s="3" t="n">
        <v>3.5</v>
      </c>
      <c r="H32" s="3" t="n">
        <v>3.4</v>
      </c>
      <c r="I32" s="3" t="n">
        <v>3.4</v>
      </c>
      <c r="J32" s="3" t="n">
        <v>3.4</v>
      </c>
      <c r="K32" s="3" t="n">
        <v>3.4</v>
      </c>
      <c r="L32" s="3" t="n">
        <v>3.4</v>
      </c>
    </row>
    <row r="33" customFormat="false" ht="15" hidden="false" customHeight="false" outlineLevel="0" collapsed="false">
      <c r="A33" s="0" t="s">
        <v>109</v>
      </c>
      <c r="C33" s="3" t="n">
        <v>12</v>
      </c>
      <c r="D33" s="3" t="n">
        <v>15</v>
      </c>
      <c r="E33" s="3" t="n">
        <v>18</v>
      </c>
      <c r="F33" s="3" t="n">
        <v>20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110</v>
      </c>
      <c r="B34" s="3" t="n">
        <v>8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18</v>
      </c>
    </row>
    <row r="37" customFormat="false" ht="15" hidden="false" customHeight="false" outlineLevel="0" collapsed="false">
      <c r="A37" s="0" t="s">
        <v>113</v>
      </c>
      <c r="B37" s="3" t="n">
        <v>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10</v>
      </c>
      <c r="D41" s="3" t="n">
        <v>9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104</v>
      </c>
      <c r="C42" s="3" t="n">
        <v>15.3</v>
      </c>
      <c r="D42" s="3" t="n">
        <v>15.6</v>
      </c>
      <c r="E42" s="3" t="n">
        <v>15.9</v>
      </c>
      <c r="F42" s="3" t="n">
        <v>16.2</v>
      </c>
      <c r="G42" s="3" t="n">
        <v>16.5</v>
      </c>
      <c r="H42" s="3" t="n">
        <v>16.7</v>
      </c>
      <c r="I42" s="3" t="n">
        <v>16.8</v>
      </c>
      <c r="J42" s="3" t="n">
        <v>16.8</v>
      </c>
      <c r="K42" s="3" t="n">
        <v>16.8</v>
      </c>
      <c r="L42" s="3" t="n">
        <v>16.8</v>
      </c>
    </row>
    <row r="43" customFormat="false" ht="15" hidden="false" customHeight="false" outlineLevel="0" collapsed="false">
      <c r="A43" s="0" t="s">
        <v>105</v>
      </c>
      <c r="C43" s="3" t="n">
        <v>0.6</v>
      </c>
      <c r="D43" s="3" t="n">
        <v>0.6</v>
      </c>
      <c r="E43" s="3" t="n">
        <v>0.58</v>
      </c>
      <c r="F43" s="3" t="n">
        <v>0.58</v>
      </c>
      <c r="G43" s="3" t="n">
        <v>0.56</v>
      </c>
      <c r="H43" s="3" t="n">
        <v>0.56</v>
      </c>
      <c r="I43" s="3" t="n">
        <v>0.55</v>
      </c>
      <c r="J43" s="3" t="n">
        <v>0.55</v>
      </c>
      <c r="K43" s="3" t="n">
        <v>0.55</v>
      </c>
      <c r="L43" s="3" t="n">
        <v>0.55</v>
      </c>
    </row>
    <row r="44" customFormat="false" ht="15" hidden="false" customHeight="false" outlineLevel="0" collapsed="false">
      <c r="A44" s="0" t="s">
        <v>106</v>
      </c>
      <c r="C44" s="3" t="n">
        <v>0.94</v>
      </c>
      <c r="D44" s="3" t="n">
        <v>0.93</v>
      </c>
      <c r="E44" s="3" t="n">
        <v>0.92</v>
      </c>
      <c r="F44" s="3" t="n">
        <v>0.91</v>
      </c>
      <c r="G44" s="3" t="n">
        <v>0.9</v>
      </c>
      <c r="H44" s="3" t="n">
        <v>0.9</v>
      </c>
      <c r="I44" s="3" t="n">
        <v>0.9</v>
      </c>
      <c r="J44" s="3" t="n">
        <v>0.9</v>
      </c>
      <c r="K44" s="3" t="n">
        <v>0.9</v>
      </c>
      <c r="L44" s="3" t="n">
        <v>0.9</v>
      </c>
    </row>
    <row r="45" customFormat="false" ht="15" hidden="false" customHeight="false" outlineLevel="0" collapsed="false">
      <c r="A45" s="0" t="s">
        <v>107</v>
      </c>
      <c r="C45" s="3" t="n">
        <v>3.33</v>
      </c>
      <c r="D45" s="3" t="n">
        <v>3.3</v>
      </c>
      <c r="E45" s="3" t="n">
        <v>3.3</v>
      </c>
      <c r="F45" s="3" t="n">
        <v>3.3</v>
      </c>
      <c r="G45" s="3" t="n">
        <v>3.3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108</v>
      </c>
      <c r="C46" s="3" t="n">
        <v>3.9</v>
      </c>
      <c r="D46" s="3" t="n">
        <v>3.8</v>
      </c>
      <c r="E46" s="3" t="n">
        <v>3.7</v>
      </c>
      <c r="F46" s="3" t="n">
        <v>3.5</v>
      </c>
      <c r="G46" s="3" t="n">
        <v>3.4</v>
      </c>
      <c r="H46" s="3" t="n">
        <v>3.3</v>
      </c>
      <c r="I46" s="3" t="n">
        <v>3.3</v>
      </c>
      <c r="J46" s="3" t="n">
        <v>3.3</v>
      </c>
      <c r="K46" s="3" t="n">
        <v>3.3</v>
      </c>
      <c r="L46" s="3" t="n">
        <v>3.3</v>
      </c>
    </row>
    <row r="47" customFormat="false" ht="15" hidden="false" customHeight="false" outlineLevel="0" collapsed="false">
      <c r="A47" s="0" t="s">
        <v>109</v>
      </c>
      <c r="C47" s="3" t="n">
        <v>10</v>
      </c>
      <c r="D47" s="3" t="n">
        <v>13</v>
      </c>
      <c r="E47" s="3" t="n">
        <v>16</v>
      </c>
      <c r="F47" s="3" t="n">
        <v>18</v>
      </c>
      <c r="G47" s="3" t="n">
        <v>20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110</v>
      </c>
      <c r="B48" s="3" t="n">
        <v>8</v>
      </c>
    </row>
    <row r="49" customFormat="false" ht="15" hidden="false" customHeight="false" outlineLevel="0" collapsed="false">
      <c r="A49" s="0" t="s">
        <v>111</v>
      </c>
      <c r="B49" s="3" t="n">
        <v>2.75</v>
      </c>
    </row>
    <row r="50" customFormat="false" ht="15" hidden="false" customHeight="false" outlineLevel="0" collapsed="false">
      <c r="A50" s="0" t="s">
        <v>112</v>
      </c>
      <c r="B50" s="3" t="n">
        <v>18</v>
      </c>
    </row>
    <row r="51" customFormat="false" ht="15" hidden="false" customHeight="false" outlineLevel="0" collapsed="false">
      <c r="A51" s="0" t="s">
        <v>113</v>
      </c>
      <c r="B51" s="3" t="n">
        <v>3</v>
      </c>
    </row>
    <row r="52" customFormat="false" ht="15" hidden="false" customHeight="false" outlineLevel="0" collapsed="false">
      <c r="A52" s="0" t="s">
        <v>114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7</v>
      </c>
      <c r="D5" s="4" t="n">
        <f aca="false">Assumptions!D13</f>
        <v>4</v>
      </c>
      <c r="E5" s="4" t="n">
        <f aca="false">Assumptions!E13</f>
        <v>2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28336</v>
      </c>
      <c r="C6" s="0" t="n">
        <f aca="false">B6*(1+C5/100)</f>
        <v>30319.52</v>
      </c>
      <c r="D6" s="0" t="n">
        <f aca="false">C6*(1+D5/100)</f>
        <v>31532.3008</v>
      </c>
      <c r="E6" s="0" t="n">
        <f aca="false">D6*(1+E5/100)</f>
        <v>32162.946816</v>
      </c>
      <c r="F6" s="0" t="n">
        <f aca="false">E6*(1+F5/100)</f>
        <v>32484.57628416</v>
      </c>
      <c r="G6" s="0" t="n">
        <f aca="false">F6*(1+G5/100)</f>
        <v>32809.4220470016</v>
      </c>
      <c r="H6" s="0" t="n">
        <f aca="false">G6*(1+H5/100)</f>
        <v>33301.5633777066</v>
      </c>
      <c r="I6" s="0" t="n">
        <f aca="false">H6*(1+I5/100)</f>
        <v>33967.5946452608</v>
      </c>
      <c r="J6" s="0" t="n">
        <f aca="false">I6*(1+J5/100)</f>
        <v>34646.946538166</v>
      </c>
      <c r="K6" s="0" t="n">
        <f aca="false">J6*(1+K5/100)</f>
        <v>35339.8854689293</v>
      </c>
      <c r="L6" s="0" t="n">
        <f aca="false">K6*(1+L5/100)</f>
        <v>36046.6831783079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15</v>
      </c>
      <c r="D7" s="4" t="n">
        <f aca="false">Assumptions!D14</f>
        <v>14.6</v>
      </c>
      <c r="E7" s="4" t="n">
        <f aca="false">Assumptions!E14</f>
        <v>14.2</v>
      </c>
      <c r="F7" s="4" t="n">
        <f aca="false">Assumptions!F14</f>
        <v>13.9</v>
      </c>
      <c r="G7" s="4" t="n">
        <f aca="false">Assumptions!G14</f>
        <v>13.7</v>
      </c>
      <c r="H7" s="4" t="n">
        <f aca="false">Assumptions!H14</f>
        <v>13.6</v>
      </c>
      <c r="I7" s="4" t="n">
        <f aca="false">Assumptions!I14</f>
        <v>13.6</v>
      </c>
      <c r="J7" s="4" t="n">
        <f aca="false">Assumptions!J14</f>
        <v>13.6</v>
      </c>
      <c r="K7" s="4" t="n">
        <f aca="false">Assumptions!K14</f>
        <v>13.6</v>
      </c>
      <c r="L7" s="4" t="n">
        <f aca="false">Assumptions!L14</f>
        <v>13.6</v>
      </c>
    </row>
    <row r="8" customFormat="false" ht="15" hidden="false" customHeight="false" outlineLevel="0" collapsed="false">
      <c r="A8" s="0" t="s">
        <v>44</v>
      </c>
      <c r="C8" s="0" t="n">
        <f aca="false">C6*C7/100</f>
        <v>4547.928</v>
      </c>
      <c r="D8" s="0" t="n">
        <f aca="false">D6*D7/100</f>
        <v>4603.7159168</v>
      </c>
      <c r="E8" s="0" t="n">
        <f aca="false">E6*E7/100</f>
        <v>4567.138447872</v>
      </c>
      <c r="F8" s="0" t="n">
        <f aca="false">F6*F7/100</f>
        <v>4515.35610349824</v>
      </c>
      <c r="G8" s="0" t="n">
        <f aca="false">G6*G7/100</f>
        <v>4494.89082043922</v>
      </c>
      <c r="H8" s="0" t="n">
        <f aca="false">H6*H7/100</f>
        <v>4529.0126193681</v>
      </c>
      <c r="I8" s="0" t="n">
        <f aca="false">I6*I7/100</f>
        <v>4619.59287175546</v>
      </c>
      <c r="J8" s="0" t="n">
        <f aca="false">J6*J7/100</f>
        <v>4711.98472919057</v>
      </c>
      <c r="K8" s="0" t="n">
        <f aca="false">K6*K7/100</f>
        <v>4806.22442377438</v>
      </c>
      <c r="L8" s="0" t="n">
        <f aca="false">L6*L7/100</f>
        <v>4902.34891224987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-181.91712</v>
      </c>
      <c r="D10" s="0" t="n">
        <f aca="false">-D6*D9/100</f>
        <v>-189.1938048</v>
      </c>
      <c r="E10" s="0" t="n">
        <f aca="false">-E6*E9/100</f>
        <v>-192.977680896</v>
      </c>
      <c r="F10" s="0" t="n">
        <f aca="false">-F6*F9/100</f>
        <v>-194.90745770496</v>
      </c>
      <c r="G10" s="0" t="n">
        <f aca="false">-G6*G9/100</f>
        <v>-196.85653228201</v>
      </c>
      <c r="H10" s="0" t="n">
        <f aca="false">-H6*H9/100</f>
        <v>-199.80938026624</v>
      </c>
      <c r="I10" s="0" t="n">
        <f aca="false">-I6*I9/100</f>
        <v>-203.805567871565</v>
      </c>
      <c r="J10" s="0" t="n">
        <f aca="false">-J6*J9/100</f>
        <v>-207.881679228996</v>
      </c>
      <c r="K10" s="0" t="n">
        <f aca="false">-K6*K9/100</f>
        <v>-212.039312813576</v>
      </c>
      <c r="L10" s="0" t="n">
        <f aca="false">-L6*L9/100</f>
        <v>-216.280099069847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4081.007392</v>
      </c>
      <c r="D11" s="0" t="n">
        <f aca="false">D8+D10+D24</f>
        <v>4118.11848448</v>
      </c>
      <c r="E11" s="0" t="n">
        <f aca="false">E8+E10+E24</f>
        <v>4071.8290669056</v>
      </c>
      <c r="F11" s="0" t="n">
        <f aca="false">F8+F10+F24</f>
        <v>4015.09362872218</v>
      </c>
      <c r="G11" s="0" t="n">
        <f aca="false">G8+G10+G24</f>
        <v>3989.62572091539</v>
      </c>
      <c r="H11" s="0" t="n">
        <f aca="false">H8+H10+H24</f>
        <v>4016.16854335142</v>
      </c>
      <c r="I11" s="0" t="n">
        <f aca="false">I8+I10+I24</f>
        <v>4096.49191421845</v>
      </c>
      <c r="J11" s="0" t="n">
        <f aca="false">J8+J10+J24</f>
        <v>4178.42175250282</v>
      </c>
      <c r="K11" s="0" t="n">
        <f aca="false">K8+K10+K24</f>
        <v>4261.99018755287</v>
      </c>
      <c r="L11" s="0" t="n">
        <f aca="false">L8+L10+L24</f>
        <v>4347.22999130393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-1009.640016</v>
      </c>
      <c r="D12" s="4" t="n">
        <f aca="false">-D6*Assumptions!D17/100</f>
        <v>-1056.3320768</v>
      </c>
      <c r="E12" s="4" t="n">
        <f aca="false">-E6*Assumptions!E17/100</f>
        <v>-1093.540191744</v>
      </c>
      <c r="F12" s="4" t="n">
        <f aca="false">-F6*Assumptions!F17/100</f>
        <v>-1104.47559366144</v>
      </c>
      <c r="G12" s="4" t="n">
        <f aca="false">-G6*Assumptions!G17/100</f>
        <v>-1115.52034959805</v>
      </c>
      <c r="H12" s="4" t="n">
        <f aca="false">-H6*Assumptions!H17/100</f>
        <v>-1132.25315484203</v>
      </c>
      <c r="I12" s="4" t="n">
        <f aca="false">-I6*Assumptions!I17/100</f>
        <v>-1154.89821793887</v>
      </c>
      <c r="J12" s="4" t="n">
        <f aca="false">-J6*Assumptions!J17/100</f>
        <v>-1177.99618229764</v>
      </c>
      <c r="K12" s="4" t="n">
        <f aca="false">-K6*Assumptions!K17/100</f>
        <v>-1201.5561059436</v>
      </c>
      <c r="L12" s="4" t="n">
        <f aca="false">-L6*Assumptions!L17/100</f>
        <v>-1225.58722806247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3071.367376</v>
      </c>
      <c r="D13" s="0" t="n">
        <f aca="false">D11+D12</f>
        <v>3061.78640768</v>
      </c>
      <c r="E13" s="0" t="n">
        <f aca="false">E11+E12</f>
        <v>2978.2888751616</v>
      </c>
      <c r="F13" s="0" t="n">
        <f aca="false">F11+F12</f>
        <v>2910.61803506074</v>
      </c>
      <c r="G13" s="0" t="n">
        <f aca="false">G11+G12</f>
        <v>2874.10537131734</v>
      </c>
      <c r="H13" s="0" t="n">
        <f aca="false">H11+H12</f>
        <v>2883.91538850939</v>
      </c>
      <c r="I13" s="0" t="n">
        <f aca="false">I11+I12</f>
        <v>2941.59369627958</v>
      </c>
      <c r="J13" s="0" t="n">
        <f aca="false">J11+J12</f>
        <v>3000.42557020517</v>
      </c>
      <c r="K13" s="0" t="n">
        <f aca="false">K11+K12</f>
        <v>3060.43408160928</v>
      </c>
      <c r="L13" s="0" t="n">
        <f aca="false">L11+L12</f>
        <v>3121.64276324146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14</v>
      </c>
      <c r="D14" s="4" t="n">
        <f aca="false">Assumptions!D19</f>
        <v>18</v>
      </c>
      <c r="E14" s="4" t="n">
        <f aca="false">Assumptions!E19</f>
        <v>22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2641.37594336</v>
      </c>
      <c r="D15" s="0" t="n">
        <f aca="false">D13-MAX(0,D13)*D14/100</f>
        <v>2510.6648542976</v>
      </c>
      <c r="E15" s="0" t="n">
        <f aca="false">E13-MAX(0,E13)*E14/100</f>
        <v>2323.06532262605</v>
      </c>
      <c r="F15" s="0" t="n">
        <f aca="false">F13-MAX(0,F13)*F14/100</f>
        <v>2241.17588699677</v>
      </c>
      <c r="G15" s="0" t="n">
        <f aca="false">G13-MAX(0,G13)*G14/100</f>
        <v>2213.06113591435</v>
      </c>
      <c r="H15" s="0" t="n">
        <f aca="false">H13-MAX(0,H13)*H14/100</f>
        <v>2220.61484915223</v>
      </c>
      <c r="I15" s="0" t="n">
        <f aca="false">I13-MAX(0,I13)*I14/100</f>
        <v>2265.02714613528</v>
      </c>
      <c r="J15" s="0" t="n">
        <f aca="false">J13-MAX(0,J13)*J14/100</f>
        <v>2310.32768905798</v>
      </c>
      <c r="K15" s="0" t="n">
        <f aca="false">K13-MAX(0,K13)*K14/100</f>
        <v>2356.53424283914</v>
      </c>
      <c r="L15" s="0" t="n">
        <f aca="false">L13-MAX(0,L13)*L14/100</f>
        <v>2403.66492769593</v>
      </c>
    </row>
    <row r="16" customFormat="false" ht="15" hidden="false" customHeight="false" outlineLevel="0" collapsed="false">
      <c r="A16" s="0" t="s">
        <v>125</v>
      </c>
      <c r="C16" s="0" t="n">
        <f aca="false">-C12</f>
        <v>1009.640016</v>
      </c>
      <c r="D16" s="0" t="n">
        <f aca="false">-D12</f>
        <v>1056.3320768</v>
      </c>
      <c r="E16" s="0" t="n">
        <f aca="false">-E12</f>
        <v>1093.540191744</v>
      </c>
      <c r="F16" s="0" t="n">
        <f aca="false">-F12</f>
        <v>1104.47559366144</v>
      </c>
      <c r="G16" s="0" t="n">
        <f aca="false">-G12</f>
        <v>1115.52034959805</v>
      </c>
      <c r="H16" s="0" t="n">
        <f aca="false">-H12</f>
        <v>1132.25315484203</v>
      </c>
      <c r="I16" s="0" t="n">
        <f aca="false">-I12</f>
        <v>1154.89821793887</v>
      </c>
      <c r="J16" s="0" t="n">
        <f aca="false">-J12</f>
        <v>1177.99618229764</v>
      </c>
      <c r="K16" s="0" t="n">
        <f aca="false">-K12</f>
        <v>1201.5561059436</v>
      </c>
      <c r="L16" s="0" t="n">
        <f aca="false">-L12</f>
        <v>1225.58722806247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-1182.46128</v>
      </c>
      <c r="D17" s="4" t="n">
        <f aca="false">-D6*Assumptions!D18/100</f>
        <v>-1229.7597312</v>
      </c>
      <c r="E17" s="4" t="n">
        <f aca="false">-E6*Assumptions!E18/100</f>
        <v>-1222.191979008</v>
      </c>
      <c r="F17" s="4" t="n">
        <f aca="false">-F6*Assumptions!F18/100</f>
        <v>-1169.44474622976</v>
      </c>
      <c r="G17" s="4" t="n">
        <f aca="false">-G6*Assumptions!G18/100</f>
        <v>-1148.32977164506</v>
      </c>
      <c r="H17" s="4" t="n">
        <f aca="false">-H6*Assumptions!H18/100</f>
        <v>-1165.55471821973</v>
      </c>
      <c r="I17" s="4" t="n">
        <f aca="false">-I6*Assumptions!I18/100</f>
        <v>-1188.86581258413</v>
      </c>
      <c r="J17" s="4" t="n">
        <f aca="false">-J6*Assumptions!J18/100</f>
        <v>-1212.64312883581</v>
      </c>
      <c r="K17" s="4" t="n">
        <f aca="false">-K6*Assumptions!K18/100</f>
        <v>-1236.89599141253</v>
      </c>
      <c r="L17" s="4" t="n">
        <f aca="false">-L6*Assumptions!L18/100</f>
        <v>-1261.63391124078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-99.176</v>
      </c>
      <c r="D18" s="4" t="n">
        <f aca="false">(D6-C6)*Assumptions!$B$23/100</f>
        <v>-60.63904</v>
      </c>
      <c r="E18" s="4" t="n">
        <f aca="false">(E6-D6)*Assumptions!$B$23/100</f>
        <v>-31.5323007999999</v>
      </c>
      <c r="F18" s="4" t="n">
        <f aca="false">(F6-E6)*Assumptions!$B$23/100</f>
        <v>-16.0814734080001</v>
      </c>
      <c r="G18" s="4" t="n">
        <f aca="false">(G6-F6)*Assumptions!$B$23/100</f>
        <v>-16.24228814208</v>
      </c>
      <c r="H18" s="4" t="n">
        <f aca="false">(H6-G6)*Assumptions!$B$23/100</f>
        <v>-24.6070665352512</v>
      </c>
      <c r="I18" s="4" t="n">
        <f aca="false">(I6-H6)*Assumptions!$B$23/100</f>
        <v>-33.3015633777068</v>
      </c>
      <c r="J18" s="4" t="n">
        <f aca="false">(J6-I6)*Assumptions!$B$23/100</f>
        <v>-33.9675946452608</v>
      </c>
      <c r="K18" s="4" t="n">
        <f aca="false">(K6-J6)*Assumptions!$B$23/100</f>
        <v>-34.6469465381659</v>
      </c>
      <c r="L18" s="4" t="n">
        <f aca="false">(L6-K6)*Assumptions!$B$23/100</f>
        <v>-35.3398854689294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2369.37867936</v>
      </c>
      <c r="D19" s="0" t="n">
        <f aca="false">D15+D16+D17+D18</f>
        <v>2276.5981598976</v>
      </c>
      <c r="E19" s="0" t="n">
        <f aca="false">E15+E16+E17+E18</f>
        <v>2162.88123456205</v>
      </c>
      <c r="F19" s="0" t="n">
        <f aca="false">F15+F16+F17+F18</f>
        <v>2160.12526102045</v>
      </c>
      <c r="G19" s="0" t="n">
        <f aca="false">G15+G16+G17+G18</f>
        <v>2164.00942572527</v>
      </c>
      <c r="H19" s="0" t="n">
        <f aca="false">H15+H16+H17+H18</f>
        <v>2162.70621923928</v>
      </c>
      <c r="I19" s="0" t="n">
        <f aca="false">I15+I16+I17+I18</f>
        <v>2197.75798811231</v>
      </c>
      <c r="J19" s="0" t="n">
        <f aca="false">J15+J16+J17+J18</f>
        <v>2241.71314787456</v>
      </c>
      <c r="K19" s="0" t="n">
        <f aca="false">K15+K16+K17+K18</f>
        <v>2286.54741083205</v>
      </c>
      <c r="L19" s="0" t="n">
        <f aca="false">L15+L16+L17+L18</f>
        <v>2332.27835904869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2193.86914755556</v>
      </c>
      <c r="D21" s="0" t="n">
        <f aca="false">D19*D20</f>
        <v>1951.81598070782</v>
      </c>
      <c r="E21" s="0" t="n">
        <f aca="false">E19*E20</f>
        <v>1716.96485749286</v>
      </c>
      <c r="F21" s="0" t="n">
        <f aca="false">F19*F20</f>
        <v>1587.75655262976</v>
      </c>
      <c r="G21" s="0" t="n">
        <f aca="false">G19*G20</f>
        <v>1472.78845337128</v>
      </c>
      <c r="H21" s="0" t="n">
        <f aca="false">H19*H20</f>
        <v>1362.87177123578</v>
      </c>
      <c r="I21" s="0" t="n">
        <f aca="false">I19*I20</f>
        <v>1282.37067717416</v>
      </c>
      <c r="J21" s="0" t="n">
        <f aca="false">J19*J20</f>
        <v>1211.1278617756</v>
      </c>
      <c r="K21" s="0" t="n">
        <f aca="false">K19*K20</f>
        <v>1143.84298056584</v>
      </c>
      <c r="L21" s="0" t="n">
        <f aca="false">L19*L20</f>
        <v>1080.29614831219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0.94</v>
      </c>
      <c r="D23" s="4" t="n">
        <f aca="false">Assumptions!D16</f>
        <v>0.94</v>
      </c>
      <c r="E23" s="4" t="n">
        <f aca="false">Assumptions!E16</f>
        <v>0.94</v>
      </c>
      <c r="F23" s="4" t="n">
        <f aca="false">Assumptions!F16</f>
        <v>0.94</v>
      </c>
      <c r="G23" s="4" t="n">
        <f aca="false">Assumptions!G16</f>
        <v>0.94</v>
      </c>
      <c r="H23" s="4" t="n">
        <f aca="false">Assumptions!H16</f>
        <v>0.94</v>
      </c>
      <c r="I23" s="4" t="n">
        <f aca="false">Assumptions!I16</f>
        <v>0.94</v>
      </c>
      <c r="J23" s="4" t="n">
        <f aca="false">Assumptions!J16</f>
        <v>0.94</v>
      </c>
      <c r="K23" s="4" t="n">
        <f aca="false">Assumptions!K16</f>
        <v>0.94</v>
      </c>
      <c r="L23" s="4" t="n">
        <f aca="false">Assumptions!L16</f>
        <v>0.94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-285.003488</v>
      </c>
      <c r="D24" s="0" t="n">
        <f aca="false">-D6*D23/100</f>
        <v>-296.40362752</v>
      </c>
      <c r="E24" s="0" t="n">
        <f aca="false">-E6*E23/100</f>
        <v>-302.3317000704</v>
      </c>
      <c r="F24" s="0" t="n">
        <f aca="false">-F6*F23/100</f>
        <v>-305.355017071104</v>
      </c>
      <c r="G24" s="0" t="n">
        <f aca="false">-G6*G23/100</f>
        <v>-308.408567241815</v>
      </c>
      <c r="H24" s="0" t="n">
        <f aca="false">-H6*H23/100</f>
        <v>-313.034695750442</v>
      </c>
      <c r="I24" s="0" t="n">
        <f aca="false">-I6*I23/100</f>
        <v>-319.295389665451</v>
      </c>
      <c r="J24" s="0" t="n">
        <f aca="false">-J6*J23/100</f>
        <v>-325.68129745876</v>
      </c>
      <c r="K24" s="0" t="n">
        <f aca="false">-K6*K23/100</f>
        <v>-332.194923407935</v>
      </c>
      <c r="L24" s="0" t="n">
        <f aca="false">-L6*L23/100</f>
        <v>-338.838821876094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15003.7044308209</v>
      </c>
    </row>
    <row r="31" customFormat="false" ht="15" hidden="false" customHeight="false" outlineLevel="0" collapsed="false">
      <c r="A31" s="0" t="s">
        <v>134</v>
      </c>
      <c r="B31" s="0" t="n">
        <f aca="false">L19</f>
        <v>2332.27835904869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39648.7321038277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34984.1753857303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34984.1753857303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16204.4422246828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31208.1466555036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26821.1466555036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888.705985934514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-0.537373250424511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1324.47330175653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1703.05206935488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989.021604592944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18299.4148171513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376.79597657681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9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28336</v>
      </c>
      <c r="C6" s="0" t="n">
        <f aca="false">B6*(1+C5/100)</f>
        <v>30886.24</v>
      </c>
      <c r="D6" s="0" t="n">
        <f aca="false">C6*(1+D5/100)</f>
        <v>33048.2768</v>
      </c>
      <c r="E6" s="0" t="n">
        <f aca="false">D6*(1+E5/100)</f>
        <v>35031.173408</v>
      </c>
      <c r="F6" s="0" t="n">
        <f aca="false">E6*(1+F5/100)</f>
        <v>36782.7320784</v>
      </c>
      <c r="G6" s="0" t="n">
        <f aca="false">F6*(1+G5/100)</f>
        <v>38437.955021928</v>
      </c>
      <c r="H6" s="0" t="n">
        <f aca="false">G6*(1+H5/100)</f>
        <v>39975.4732228051</v>
      </c>
      <c r="I6" s="0" t="n">
        <f aca="false">H6*(1+I5/100)</f>
        <v>41374.6147856033</v>
      </c>
      <c r="J6" s="0" t="n">
        <f aca="false">I6*(1+J5/100)</f>
        <v>42615.8532291714</v>
      </c>
      <c r="K6" s="0" t="n">
        <f aca="false">J6*(1+K5/100)</f>
        <v>43894.3288260466</v>
      </c>
      <c r="L6" s="0" t="n">
        <f aca="false">K6*(1+L5/100)</f>
        <v>44991.6870466977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15.2</v>
      </c>
      <c r="D7" s="4" t="n">
        <f aca="false">Assumptions!D28</f>
        <v>15.3</v>
      </c>
      <c r="E7" s="4" t="n">
        <f aca="false">Assumptions!E28</f>
        <v>15.4</v>
      </c>
      <c r="F7" s="4" t="n">
        <f aca="false">Assumptions!F28</f>
        <v>15.5</v>
      </c>
      <c r="G7" s="4" t="n">
        <f aca="false">Assumptions!G28</f>
        <v>15.6</v>
      </c>
      <c r="H7" s="4" t="n">
        <f aca="false">Assumptions!H28</f>
        <v>15.6</v>
      </c>
      <c r="I7" s="4" t="n">
        <f aca="false">Assumptions!I28</f>
        <v>15.6</v>
      </c>
      <c r="J7" s="4" t="n">
        <f aca="false">Assumptions!J28</f>
        <v>15.6</v>
      </c>
      <c r="K7" s="4" t="n">
        <f aca="false">Assumptions!K28</f>
        <v>15.6</v>
      </c>
      <c r="L7" s="4" t="n">
        <f aca="false">Assumptions!L28</f>
        <v>15.6</v>
      </c>
    </row>
    <row r="8" customFormat="false" ht="15" hidden="false" customHeight="false" outlineLevel="0" collapsed="false">
      <c r="A8" s="0" t="s">
        <v>44</v>
      </c>
      <c r="C8" s="0" t="n">
        <f aca="false">C6*C7/100</f>
        <v>4694.70848</v>
      </c>
      <c r="D8" s="0" t="n">
        <f aca="false">D6*D7/100</f>
        <v>5056.3863504</v>
      </c>
      <c r="E8" s="0" t="n">
        <f aca="false">E6*E7/100</f>
        <v>5394.800704832</v>
      </c>
      <c r="F8" s="0" t="n">
        <f aca="false">F6*F7/100</f>
        <v>5701.323472152</v>
      </c>
      <c r="G8" s="0" t="n">
        <f aca="false">G6*G7/100</f>
        <v>5996.32098342077</v>
      </c>
      <c r="H8" s="0" t="n">
        <f aca="false">H6*H7/100</f>
        <v>6236.1738227576</v>
      </c>
      <c r="I8" s="0" t="n">
        <f aca="false">I6*I7/100</f>
        <v>6454.43990655412</v>
      </c>
      <c r="J8" s="0" t="n">
        <f aca="false">J6*J7/100</f>
        <v>6648.07310375074</v>
      </c>
      <c r="K8" s="0" t="n">
        <f aca="false">K6*K7/100</f>
        <v>6847.51529686326</v>
      </c>
      <c r="L8" s="0" t="n">
        <f aca="false">L6*L7/100</f>
        <v>7018.70317928484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0.58</v>
      </c>
      <c r="F9" s="4" t="n">
        <f aca="false">Assumptions!F29</f>
        <v>0.58</v>
      </c>
      <c r="G9" s="4" t="n">
        <f aca="false">Assumptions!G29</f>
        <v>0.56</v>
      </c>
      <c r="H9" s="4" t="n">
        <f aca="false">Assumptions!H29</f>
        <v>0.56</v>
      </c>
      <c r="I9" s="4" t="n">
        <f aca="false">Assumptions!I29</f>
        <v>0.55</v>
      </c>
      <c r="J9" s="4" t="n">
        <f aca="false">Assumptions!J29</f>
        <v>0.55</v>
      </c>
      <c r="K9" s="4" t="n">
        <f aca="false">Assumptions!K29</f>
        <v>0.55</v>
      </c>
      <c r="L9" s="4" t="n">
        <f aca="false">Assumptions!L29</f>
        <v>0.55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-185.31744</v>
      </c>
      <c r="D10" s="0" t="n">
        <f aca="false">-D6*D9/100</f>
        <v>-198.2896608</v>
      </c>
      <c r="E10" s="0" t="n">
        <f aca="false">-E6*E9/100</f>
        <v>-203.1808057664</v>
      </c>
      <c r="F10" s="0" t="n">
        <f aca="false">-F6*F9/100</f>
        <v>-213.33984605472</v>
      </c>
      <c r="G10" s="0" t="n">
        <f aca="false">-G6*G9/100</f>
        <v>-215.252548122797</v>
      </c>
      <c r="H10" s="0" t="n">
        <f aca="false">-H6*H9/100</f>
        <v>-223.862650047709</v>
      </c>
      <c r="I10" s="0" t="n">
        <f aca="false">-I6*I9/100</f>
        <v>-227.560381320818</v>
      </c>
      <c r="J10" s="0" t="n">
        <f aca="false">-J6*J9/100</f>
        <v>-234.387192760443</v>
      </c>
      <c r="K10" s="0" t="n">
        <f aca="false">-K6*K9/100</f>
        <v>-241.418808543256</v>
      </c>
      <c r="L10" s="0" t="n">
        <f aca="false">-L6*L9/100</f>
        <v>-247.454278756837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4219.060384</v>
      </c>
      <c r="D11" s="0" t="n">
        <f aca="false">D8+D10+D24</f>
        <v>4550.74771536</v>
      </c>
      <c r="E11" s="0" t="n">
        <f aca="false">E8+E10+E24</f>
        <v>4869.333103712</v>
      </c>
      <c r="F11" s="0" t="n">
        <f aca="false">F8+F10+F24</f>
        <v>5153.26076418384</v>
      </c>
      <c r="G11" s="0" t="n">
        <f aca="false">G8+G10+G24</f>
        <v>5435.12684010062</v>
      </c>
      <c r="H11" s="0" t="n">
        <f aca="false">H8+H10+H24</f>
        <v>5652.53191370465</v>
      </c>
      <c r="I11" s="0" t="n">
        <f aca="false">I8+I10+I24</f>
        <v>5854.50799216287</v>
      </c>
      <c r="J11" s="0" t="n">
        <f aca="false">J8+J10+J24</f>
        <v>6030.14323192775</v>
      </c>
      <c r="K11" s="0" t="n">
        <f aca="false">K8+K10+K24</f>
        <v>6211.04752888559</v>
      </c>
      <c r="L11" s="0" t="n">
        <f aca="false">L8+L10+L24</f>
        <v>6366.32371710773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-1028.511792</v>
      </c>
      <c r="D12" s="4" t="n">
        <f aca="false">-D6*Assumptions!D31/100</f>
        <v>-1090.5931344</v>
      </c>
      <c r="E12" s="4" t="n">
        <f aca="false">-E6*Assumptions!E31/100</f>
        <v>-1156.028722464</v>
      </c>
      <c r="F12" s="4" t="n">
        <f aca="false">-F6*Assumptions!F31/100</f>
        <v>-1213.8301585872</v>
      </c>
      <c r="G12" s="4" t="n">
        <f aca="false">-G6*Assumptions!G31/100</f>
        <v>-1268.45251572362</v>
      </c>
      <c r="H12" s="4" t="n">
        <f aca="false">-H6*Assumptions!H31/100</f>
        <v>-1319.19061635257</v>
      </c>
      <c r="I12" s="4" t="n">
        <f aca="false">-I6*Assumptions!I31/100</f>
        <v>-1365.36228792491</v>
      </c>
      <c r="J12" s="4" t="n">
        <f aca="false">-J6*Assumptions!J31/100</f>
        <v>-1406.32315656266</v>
      </c>
      <c r="K12" s="4" t="n">
        <f aca="false">-K6*Assumptions!K31/100</f>
        <v>-1448.51285125954</v>
      </c>
      <c r="L12" s="4" t="n">
        <f aca="false">-L6*Assumptions!L31/100</f>
        <v>-1484.72567254102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3190.548592</v>
      </c>
      <c r="D13" s="0" t="n">
        <f aca="false">D11+D12</f>
        <v>3460.15458096</v>
      </c>
      <c r="E13" s="0" t="n">
        <f aca="false">E11+E12</f>
        <v>3713.304381248</v>
      </c>
      <c r="F13" s="0" t="n">
        <f aca="false">F11+F12</f>
        <v>3939.43060559664</v>
      </c>
      <c r="G13" s="0" t="n">
        <f aca="false">G11+G12</f>
        <v>4166.674324377</v>
      </c>
      <c r="H13" s="0" t="n">
        <f aca="false">H11+H12</f>
        <v>4333.34129735208</v>
      </c>
      <c r="I13" s="0" t="n">
        <f aca="false">I11+I12</f>
        <v>4489.14570423796</v>
      </c>
      <c r="J13" s="0" t="n">
        <f aca="false">J11+J12</f>
        <v>4623.8200753651</v>
      </c>
      <c r="K13" s="0" t="n">
        <f aca="false">K11+K12</f>
        <v>4762.53467762605</v>
      </c>
      <c r="L13" s="0" t="n">
        <f aca="false">L11+L12</f>
        <v>4881.5980445667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12</v>
      </c>
      <c r="D14" s="4" t="n">
        <f aca="false">Assumptions!D33</f>
        <v>15</v>
      </c>
      <c r="E14" s="4" t="n">
        <f aca="false">Assumptions!E33</f>
        <v>18</v>
      </c>
      <c r="F14" s="4" t="n">
        <f aca="false">Assumptions!F33</f>
        <v>20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2807.68276096</v>
      </c>
      <c r="D15" s="0" t="n">
        <f aca="false">D13-MAX(0,D13)*D14/100</f>
        <v>2941.131393816</v>
      </c>
      <c r="E15" s="0" t="n">
        <f aca="false">E13-MAX(0,E13)*E14/100</f>
        <v>3044.90959262336</v>
      </c>
      <c r="F15" s="0" t="n">
        <f aca="false">F13-MAX(0,F13)*F14/100</f>
        <v>3151.54448447731</v>
      </c>
      <c r="G15" s="0" t="n">
        <f aca="false">G13-MAX(0,G13)*G14/100</f>
        <v>3250.00597301406</v>
      </c>
      <c r="H15" s="0" t="n">
        <f aca="false">H13-MAX(0,H13)*H14/100</f>
        <v>3380.00621193462</v>
      </c>
      <c r="I15" s="0" t="n">
        <f aca="false">I13-MAX(0,I13)*I14/100</f>
        <v>3501.53364930561</v>
      </c>
      <c r="J15" s="0" t="n">
        <f aca="false">J13-MAX(0,J13)*J14/100</f>
        <v>3606.57965878478</v>
      </c>
      <c r="K15" s="0" t="n">
        <f aca="false">K13-MAX(0,K13)*K14/100</f>
        <v>3714.77704854832</v>
      </c>
      <c r="L15" s="0" t="n">
        <f aca="false">L13-MAX(0,L13)*L14/100</f>
        <v>3807.64647476203</v>
      </c>
    </row>
    <row r="16" customFormat="false" ht="15" hidden="false" customHeight="false" outlineLevel="0" collapsed="false">
      <c r="A16" s="0" t="s">
        <v>125</v>
      </c>
      <c r="C16" s="0" t="n">
        <f aca="false">-C12</f>
        <v>1028.511792</v>
      </c>
      <c r="D16" s="0" t="n">
        <f aca="false">-D12</f>
        <v>1090.5931344</v>
      </c>
      <c r="E16" s="0" t="n">
        <f aca="false">-E12</f>
        <v>1156.028722464</v>
      </c>
      <c r="F16" s="0" t="n">
        <f aca="false">-F12</f>
        <v>1213.8301585872</v>
      </c>
      <c r="G16" s="0" t="n">
        <f aca="false">-G12</f>
        <v>1268.45251572362</v>
      </c>
      <c r="H16" s="0" t="n">
        <f aca="false">-H12</f>
        <v>1319.19061635257</v>
      </c>
      <c r="I16" s="0" t="n">
        <f aca="false">-I12</f>
        <v>1365.36228792491</v>
      </c>
      <c r="J16" s="0" t="n">
        <f aca="false">-J12</f>
        <v>1406.32315656266</v>
      </c>
      <c r="K16" s="0" t="n">
        <f aca="false">-K12</f>
        <v>1448.51285125954</v>
      </c>
      <c r="L16" s="0" t="n">
        <f aca="false">-L12</f>
        <v>1484.72567254102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-1204.56336</v>
      </c>
      <c r="D17" s="4" t="n">
        <f aca="false">-D6*Assumptions!D32/100</f>
        <v>-1255.8345184</v>
      </c>
      <c r="E17" s="4" t="n">
        <f aca="false">-E6*Assumptions!E32/100</f>
        <v>-1296.153416096</v>
      </c>
      <c r="F17" s="4" t="n">
        <f aca="false">-F6*Assumptions!F32/100</f>
        <v>-1324.1783548224</v>
      </c>
      <c r="G17" s="4" t="n">
        <f aca="false">-G6*Assumptions!G32/100</f>
        <v>-1345.32842576748</v>
      </c>
      <c r="H17" s="4" t="n">
        <f aca="false">-H6*Assumptions!H32/100</f>
        <v>-1359.16608957537</v>
      </c>
      <c r="I17" s="4" t="n">
        <f aca="false">-I6*Assumptions!I32/100</f>
        <v>-1406.73690271051</v>
      </c>
      <c r="J17" s="4" t="n">
        <f aca="false">-J6*Assumptions!J32/100</f>
        <v>-1448.93900979183</v>
      </c>
      <c r="K17" s="4" t="n">
        <f aca="false">-K6*Assumptions!K32/100</f>
        <v>-1492.40718008558</v>
      </c>
      <c r="L17" s="4" t="n">
        <f aca="false">-L6*Assumptions!L32/100</f>
        <v>-1529.71735958772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2631.63119296</v>
      </c>
      <c r="D19" s="0" t="n">
        <f aca="false">D15+D16+D17+D18</f>
        <v>2775.890009816</v>
      </c>
      <c r="E19" s="0" t="n">
        <f aca="false">E15+E16+E17+E18</f>
        <v>2904.78489899136</v>
      </c>
      <c r="F19" s="0" t="n">
        <f aca="false">F15+F16+F17+F18</f>
        <v>3041.19628824211</v>
      </c>
      <c r="G19" s="0" t="n">
        <f aca="false">G15+G16+G17+G18</f>
        <v>3173.1300629702</v>
      </c>
      <c r="H19" s="0" t="n">
        <f aca="false">H15+H16+H17+H18</f>
        <v>3340.03073871181</v>
      </c>
      <c r="I19" s="0" t="n">
        <f aca="false">I15+I16+I17+I18</f>
        <v>3460.15903452</v>
      </c>
      <c r="J19" s="0" t="n">
        <f aca="false">J15+J16+J17+J18</f>
        <v>3563.9638055556</v>
      </c>
      <c r="K19" s="0" t="n">
        <f aca="false">K15+K16+K17+K18</f>
        <v>3670.88271972227</v>
      </c>
      <c r="L19" s="0" t="n">
        <f aca="false">L15+L16+L17+L18</f>
        <v>3762.65478771533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2436.69554903704</v>
      </c>
      <c r="D21" s="0" t="n">
        <f aca="false">D19*D20</f>
        <v>2379.87826630316</v>
      </c>
      <c r="E21" s="0" t="n">
        <f aca="false">E19*E20</f>
        <v>2305.91190604786</v>
      </c>
      <c r="F21" s="0" t="n">
        <f aca="false">F19*F20</f>
        <v>2235.37006007172</v>
      </c>
      <c r="G21" s="0" t="n">
        <f aca="false">G19*G20</f>
        <v>2159.57900286017</v>
      </c>
      <c r="H21" s="0" t="n">
        <f aca="false">H19*H20</f>
        <v>2104.78592439212</v>
      </c>
      <c r="I21" s="0" t="n">
        <f aca="false">I19*I20</f>
        <v>2018.96956272192</v>
      </c>
      <c r="J21" s="0" t="n">
        <f aca="false">J19*J20</f>
        <v>1925.49874963294</v>
      </c>
      <c r="K21" s="0" t="n">
        <f aca="false">K19*K20</f>
        <v>1836.35528900179</v>
      </c>
      <c r="L21" s="0" t="n">
        <f aca="false">L19*L20</f>
        <v>1742.8371955804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0.94</v>
      </c>
      <c r="D23" s="4" t="n">
        <f aca="false">Assumptions!D30</f>
        <v>0.93</v>
      </c>
      <c r="E23" s="4" t="n">
        <f aca="false">Assumptions!E30</f>
        <v>0.92</v>
      </c>
      <c r="F23" s="4" t="n">
        <f aca="false">Assumptions!F30</f>
        <v>0.91</v>
      </c>
      <c r="G23" s="4" t="n">
        <f aca="false">Assumptions!G30</f>
        <v>0.9</v>
      </c>
      <c r="H23" s="4" t="n">
        <f aca="false">Assumptions!H30</f>
        <v>0.9</v>
      </c>
      <c r="I23" s="4" t="n">
        <f aca="false">Assumptions!I30</f>
        <v>0.9</v>
      </c>
      <c r="J23" s="4" t="n">
        <f aca="false">Assumptions!J30</f>
        <v>0.9</v>
      </c>
      <c r="K23" s="4" t="n">
        <f aca="false">Assumptions!K30</f>
        <v>0.9</v>
      </c>
      <c r="L23" s="4" t="n">
        <f aca="false">Assumptions!L30</f>
        <v>0.9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-290.330656</v>
      </c>
      <c r="D24" s="0" t="n">
        <f aca="false">-D6*D23/100</f>
        <v>-307.34897424</v>
      </c>
      <c r="E24" s="0" t="n">
        <f aca="false">-E6*E23/100</f>
        <v>-322.2867953536</v>
      </c>
      <c r="F24" s="0" t="n">
        <f aca="false">-F6*F23/100</f>
        <v>-334.72286191344</v>
      </c>
      <c r="G24" s="0" t="n">
        <f aca="false">-G6*G23/100</f>
        <v>-345.941595197352</v>
      </c>
      <c r="H24" s="0" t="n">
        <f aca="false">-H6*H23/100</f>
        <v>-359.779259005246</v>
      </c>
      <c r="I24" s="0" t="n">
        <f aca="false">-I6*I23/100</f>
        <v>-372.37153307043</v>
      </c>
      <c r="J24" s="0" t="n">
        <f aca="false">-J6*J23/100</f>
        <v>-383.542679062543</v>
      </c>
      <c r="K24" s="0" t="n">
        <f aca="false">-K6*K23/100</f>
        <v>-395.048959434419</v>
      </c>
      <c r="L24" s="0" t="n">
        <f aca="false">-L6*L23/100</f>
        <v>-404.925183420279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21145.8815056491</v>
      </c>
    </row>
    <row r="31" customFormat="false" ht="15" hidden="false" customHeight="false" outlineLevel="0" collapsed="false">
      <c r="A31" s="0" t="s">
        <v>134</v>
      </c>
      <c r="B31" s="0" t="n">
        <f aca="false">L19</f>
        <v>3762.65478771533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70122.2028619675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67727.7861788759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67727.7861788759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31371.0695204472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52516.9510260963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48129.9510260963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1594.76312213705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-0.169826589205073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1442.06311028613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2136.08528694238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1713.32337386762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30853.7692592657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620.832014406332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10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28336</v>
      </c>
      <c r="C6" s="0" t="n">
        <f aca="false">B6*(1+C5/100)</f>
        <v>31169.6</v>
      </c>
      <c r="D6" s="0" t="n">
        <f aca="false">C6*(1+D5/100)</f>
        <v>33974.864</v>
      </c>
      <c r="E6" s="0" t="n">
        <f aca="false">D6*(1+E5/100)</f>
        <v>36692.85312</v>
      </c>
      <c r="F6" s="0" t="n">
        <f aca="false">E6*(1+F5/100)</f>
        <v>39261.3528384</v>
      </c>
      <c r="G6" s="0" t="n">
        <f aca="false">F6*(1+G5/100)</f>
        <v>41617.034008704</v>
      </c>
      <c r="H6" s="0" t="n">
        <f aca="false">G6*(1+H5/100)</f>
        <v>43697.8857091392</v>
      </c>
      <c r="I6" s="0" t="n">
        <f aca="false">H6*(1+I5/100)</f>
        <v>45664.2905660505</v>
      </c>
      <c r="J6" s="0" t="n">
        <f aca="false">I6*(1+J5/100)</f>
        <v>47490.8621886925</v>
      </c>
      <c r="K6" s="0" t="n">
        <f aca="false">J6*(1+K5/100)</f>
        <v>49153.0423652967</v>
      </c>
      <c r="L6" s="0" t="n">
        <f aca="false">K6*(1+L5/100)</f>
        <v>50627.6336362556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15.3</v>
      </c>
      <c r="D7" s="4" t="n">
        <f aca="false">Assumptions!D42</f>
        <v>15.6</v>
      </c>
      <c r="E7" s="4" t="n">
        <f aca="false">Assumptions!E42</f>
        <v>15.9</v>
      </c>
      <c r="F7" s="4" t="n">
        <f aca="false">Assumptions!F42</f>
        <v>16.2</v>
      </c>
      <c r="G7" s="4" t="n">
        <f aca="false">Assumptions!G42</f>
        <v>16.5</v>
      </c>
      <c r="H7" s="4" t="n">
        <f aca="false">Assumptions!H42</f>
        <v>16.7</v>
      </c>
      <c r="I7" s="4" t="n">
        <f aca="false">Assumptions!I42</f>
        <v>16.8</v>
      </c>
      <c r="J7" s="4" t="n">
        <f aca="false">Assumptions!J42</f>
        <v>16.8</v>
      </c>
      <c r="K7" s="4" t="n">
        <f aca="false">Assumptions!K42</f>
        <v>16.8</v>
      </c>
      <c r="L7" s="4" t="n">
        <f aca="false">Assumptions!L42</f>
        <v>16.8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4768.9488</v>
      </c>
      <c r="D8" s="0" t="n">
        <f aca="false">D6*D7/100</f>
        <v>5300.078784</v>
      </c>
      <c r="E8" s="0" t="n">
        <f aca="false">E6*E7/100</f>
        <v>5834.16364608</v>
      </c>
      <c r="F8" s="0" t="n">
        <f aca="false">F6*F7/100</f>
        <v>6360.3391598208</v>
      </c>
      <c r="G8" s="0" t="n">
        <f aca="false">G6*G7/100</f>
        <v>6866.81061143616</v>
      </c>
      <c r="H8" s="0" t="n">
        <f aca="false">H6*H7/100</f>
        <v>7297.54691342625</v>
      </c>
      <c r="I8" s="0" t="n">
        <f aca="false">I6*I7/100</f>
        <v>7671.60081509648</v>
      </c>
      <c r="J8" s="0" t="n">
        <f aca="false">J6*J7/100</f>
        <v>7978.46484770034</v>
      </c>
      <c r="K8" s="0" t="n">
        <f aca="false">K6*K7/100</f>
        <v>8257.71111736985</v>
      </c>
      <c r="L8" s="0" t="n">
        <f aca="false">L6*L7/100</f>
        <v>8505.44245089095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0.58</v>
      </c>
      <c r="F9" s="4" t="n">
        <f aca="false">Assumptions!F43</f>
        <v>0.58</v>
      </c>
      <c r="G9" s="4" t="n">
        <f aca="false">Assumptions!G43</f>
        <v>0.56</v>
      </c>
      <c r="H9" s="4" t="n">
        <f aca="false">Assumptions!H43</f>
        <v>0.56</v>
      </c>
      <c r="I9" s="4" t="n">
        <f aca="false">Assumptions!I43</f>
        <v>0.55</v>
      </c>
      <c r="J9" s="4" t="n">
        <f aca="false">Assumptions!J43</f>
        <v>0.55</v>
      </c>
      <c r="K9" s="4" t="n">
        <f aca="false">Assumptions!K43</f>
        <v>0.55</v>
      </c>
      <c r="L9" s="4" t="n">
        <f aca="false">Assumptions!L43</f>
        <v>0.55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-187.0176</v>
      </c>
      <c r="D10" s="0" t="n">
        <f aca="false">-D6*D9/100</f>
        <v>-203.849184</v>
      </c>
      <c r="E10" s="0" t="n">
        <f aca="false">-E6*E9/100</f>
        <v>-212.818548096</v>
      </c>
      <c r="F10" s="0" t="n">
        <f aca="false">-F6*F9/100</f>
        <v>-227.71584646272</v>
      </c>
      <c r="G10" s="0" t="n">
        <f aca="false">-G6*G9/100</f>
        <v>-233.055390448743</v>
      </c>
      <c r="H10" s="0" t="n">
        <f aca="false">-H6*H9/100</f>
        <v>-244.70815997118</v>
      </c>
      <c r="I10" s="0" t="n">
        <f aca="false">-I6*I9/100</f>
        <v>-251.153598113278</v>
      </c>
      <c r="J10" s="0" t="n">
        <f aca="false">-J6*J9/100</f>
        <v>-261.199742037809</v>
      </c>
      <c r="K10" s="0" t="n">
        <f aca="false">-K6*K9/100</f>
        <v>-270.341733009132</v>
      </c>
      <c r="L10" s="0" t="n">
        <f aca="false">-L6*L9/100</f>
        <v>-278.451984999406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4288.93696</v>
      </c>
      <c r="D11" s="0" t="n">
        <f aca="false">D8+D10+D24</f>
        <v>4780.2633648</v>
      </c>
      <c r="E11" s="0" t="n">
        <f aca="false">E8+E10+E24</f>
        <v>5283.77084928</v>
      </c>
      <c r="F11" s="0" t="n">
        <f aca="false">F8+F10+F24</f>
        <v>5775.34500252864</v>
      </c>
      <c r="G11" s="0" t="n">
        <f aca="false">G8+G10+G24</f>
        <v>6259.20191490908</v>
      </c>
      <c r="H11" s="0" t="n">
        <f aca="false">H8+H10+H24</f>
        <v>6659.55778207282</v>
      </c>
      <c r="I11" s="0" t="n">
        <f aca="false">I8+I10+I24</f>
        <v>7009.46860188875</v>
      </c>
      <c r="J11" s="0" t="n">
        <f aca="false">J8+J10+J24</f>
        <v>7289.8473459643</v>
      </c>
      <c r="K11" s="0" t="n">
        <f aca="false">K8+K10+K24</f>
        <v>7544.99200307305</v>
      </c>
      <c r="L11" s="0" t="n">
        <f aca="false">L8+L10+L24</f>
        <v>7771.34176316524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-1037.94768</v>
      </c>
      <c r="D12" s="4" t="n">
        <f aca="false">-D6*Assumptions!D45/100</f>
        <v>-1121.170512</v>
      </c>
      <c r="E12" s="4" t="n">
        <f aca="false">-E6*Assumptions!E45/100</f>
        <v>-1210.86415296</v>
      </c>
      <c r="F12" s="4" t="n">
        <f aca="false">-F6*Assumptions!F45/100</f>
        <v>-1295.6246436672</v>
      </c>
      <c r="G12" s="4" t="n">
        <f aca="false">-G6*Assumptions!G45/100</f>
        <v>-1373.36212228723</v>
      </c>
      <c r="H12" s="4" t="n">
        <f aca="false">-H6*Assumptions!H45/100</f>
        <v>-1442.03022840159</v>
      </c>
      <c r="I12" s="4" t="n">
        <f aca="false">-I6*Assumptions!I45/100</f>
        <v>-1506.92158867967</v>
      </c>
      <c r="J12" s="4" t="n">
        <f aca="false">-J6*Assumptions!J45/100</f>
        <v>-1567.19845222685</v>
      </c>
      <c r="K12" s="4" t="n">
        <f aca="false">-K6*Assumptions!K45/100</f>
        <v>-1622.05039805479</v>
      </c>
      <c r="L12" s="4" t="n">
        <f aca="false">-L6*Assumptions!L45/100</f>
        <v>-1670.71190999644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3250.98928</v>
      </c>
      <c r="D13" s="0" t="n">
        <f aca="false">D11+D12</f>
        <v>3659.0928528</v>
      </c>
      <c r="E13" s="0" t="n">
        <f aca="false">E11+E12</f>
        <v>4072.90669632</v>
      </c>
      <c r="F13" s="0" t="n">
        <f aca="false">F11+F12</f>
        <v>4479.72035886144</v>
      </c>
      <c r="G13" s="0" t="n">
        <f aca="false">G11+G12</f>
        <v>4885.83979262185</v>
      </c>
      <c r="H13" s="0" t="n">
        <f aca="false">H11+H12</f>
        <v>5217.52755367122</v>
      </c>
      <c r="I13" s="0" t="n">
        <f aca="false">I11+I12</f>
        <v>5502.54701320908</v>
      </c>
      <c r="J13" s="0" t="n">
        <f aca="false">J11+J12</f>
        <v>5722.64889373745</v>
      </c>
      <c r="K13" s="0" t="n">
        <f aca="false">K11+K12</f>
        <v>5922.94160501826</v>
      </c>
      <c r="L13" s="0" t="n">
        <f aca="false">L11+L12</f>
        <v>6100.6298531688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10</v>
      </c>
      <c r="D14" s="4" t="n">
        <f aca="false">Assumptions!D47</f>
        <v>13</v>
      </c>
      <c r="E14" s="4" t="n">
        <f aca="false">Assumptions!E47</f>
        <v>16</v>
      </c>
      <c r="F14" s="4" t="n">
        <f aca="false">Assumptions!F47</f>
        <v>18</v>
      </c>
      <c r="G14" s="4" t="n">
        <f aca="false">Assumptions!G47</f>
        <v>20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2925.890352</v>
      </c>
      <c r="D15" s="0" t="n">
        <f aca="false">D13-MAX(0,D13)*D14/100</f>
        <v>3183.410781936</v>
      </c>
      <c r="E15" s="0" t="n">
        <f aca="false">E13-MAX(0,E13)*E14/100</f>
        <v>3421.2416249088</v>
      </c>
      <c r="F15" s="0" t="n">
        <f aca="false">F13-MAX(0,F13)*F14/100</f>
        <v>3673.37069426638</v>
      </c>
      <c r="G15" s="0" t="n">
        <f aca="false">G13-MAX(0,G13)*G14/100</f>
        <v>3908.67183409748</v>
      </c>
      <c r="H15" s="0" t="n">
        <f aca="false">H13-MAX(0,H13)*H14/100</f>
        <v>4121.84676740027</v>
      </c>
      <c r="I15" s="0" t="n">
        <f aca="false">I13-MAX(0,I13)*I14/100</f>
        <v>4347.01214043518</v>
      </c>
      <c r="J15" s="0" t="n">
        <f aca="false">J13-MAX(0,J13)*J14/100</f>
        <v>4520.89262605258</v>
      </c>
      <c r="K15" s="0" t="n">
        <f aca="false">K13-MAX(0,K13)*K14/100</f>
        <v>4679.12386796442</v>
      </c>
      <c r="L15" s="0" t="n">
        <f aca="false">L13-MAX(0,L13)*L14/100</f>
        <v>4819.49758400336</v>
      </c>
    </row>
    <row r="16" customFormat="false" ht="15" hidden="false" customHeight="false" outlineLevel="0" collapsed="false">
      <c r="A16" s="0" t="s">
        <v>125</v>
      </c>
      <c r="C16" s="0" t="n">
        <f aca="false">-C12</f>
        <v>1037.94768</v>
      </c>
      <c r="D16" s="0" t="n">
        <f aca="false">-D12</f>
        <v>1121.170512</v>
      </c>
      <c r="E16" s="0" t="n">
        <f aca="false">-E12</f>
        <v>1210.86415296</v>
      </c>
      <c r="F16" s="0" t="n">
        <f aca="false">-F12</f>
        <v>1295.6246436672</v>
      </c>
      <c r="G16" s="0" t="n">
        <f aca="false">-G12</f>
        <v>1373.36212228723</v>
      </c>
      <c r="H16" s="0" t="n">
        <f aca="false">-H12</f>
        <v>1442.03022840159</v>
      </c>
      <c r="I16" s="0" t="n">
        <f aca="false">-I12</f>
        <v>1506.92158867967</v>
      </c>
      <c r="J16" s="0" t="n">
        <f aca="false">-J12</f>
        <v>1567.19845222685</v>
      </c>
      <c r="K16" s="0" t="n">
        <f aca="false">-K12</f>
        <v>1622.05039805479</v>
      </c>
      <c r="L16" s="0" t="n">
        <f aca="false">-L12</f>
        <v>1670.71190999644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-1215.6144</v>
      </c>
      <c r="D17" s="4" t="n">
        <f aca="false">-D6*Assumptions!D46/100</f>
        <v>-1291.044832</v>
      </c>
      <c r="E17" s="4" t="n">
        <f aca="false">-E6*Assumptions!E46/100</f>
        <v>-1357.63556544</v>
      </c>
      <c r="F17" s="4" t="n">
        <f aca="false">-F6*Assumptions!F46/100</f>
        <v>-1374.147349344</v>
      </c>
      <c r="G17" s="4" t="n">
        <f aca="false">-G6*Assumptions!G46/100</f>
        <v>-1414.97915629594</v>
      </c>
      <c r="H17" s="4" t="n">
        <f aca="false">-H6*Assumptions!H46/100</f>
        <v>-1442.03022840159</v>
      </c>
      <c r="I17" s="4" t="n">
        <f aca="false">-I6*Assumptions!I46/100</f>
        <v>-1506.92158867967</v>
      </c>
      <c r="J17" s="4" t="n">
        <f aca="false">-J6*Assumptions!J46/100</f>
        <v>-1567.19845222685</v>
      </c>
      <c r="K17" s="4" t="n">
        <f aca="false">-K6*Assumptions!K46/100</f>
        <v>-1622.05039805479</v>
      </c>
      <c r="L17" s="4" t="n">
        <f aca="false">-L6*Assumptions!L46/100</f>
        <v>-1670.71190999644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85.0080000000001</v>
      </c>
      <c r="D18" s="4" t="n">
        <f aca="false">(D6-C6)*Assumptions!$B$51/100</f>
        <v>84.15792</v>
      </c>
      <c r="E18" s="4" t="n">
        <f aca="false">(E6-D6)*Assumptions!$B$51/100</f>
        <v>81.5396736000002</v>
      </c>
      <c r="F18" s="4" t="n">
        <f aca="false">(F6-E6)*Assumptions!$B$51/100</f>
        <v>77.0549915520001</v>
      </c>
      <c r="G18" s="4" t="n">
        <f aca="false">(G6-F6)*Assumptions!$B$51/100</f>
        <v>70.67043510912</v>
      </c>
      <c r="H18" s="4" t="n">
        <f aca="false">(H6-G6)*Assumptions!$B$51/100</f>
        <v>62.4255510130561</v>
      </c>
      <c r="I18" s="4" t="n">
        <f aca="false">(I6-H6)*Assumptions!$B$51/100</f>
        <v>58.9921457073379</v>
      </c>
      <c r="J18" s="4" t="n">
        <f aca="false">(J6-I6)*Assumptions!$B$51/100</f>
        <v>54.7971486792606</v>
      </c>
      <c r="K18" s="4" t="n">
        <f aca="false">(K6-J6)*Assumptions!$B$51/100</f>
        <v>49.865405298127</v>
      </c>
      <c r="L18" s="4" t="n">
        <f aca="false">(L6-K6)*Assumptions!$B$51/100</f>
        <v>44.2377381287671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2833.231632</v>
      </c>
      <c r="D19" s="0" t="n">
        <f aca="false">D15+D16+D17+D18</f>
        <v>3097.694381936</v>
      </c>
      <c r="E19" s="0" t="n">
        <f aca="false">E15+E16+E17+E18</f>
        <v>3356.0098860288</v>
      </c>
      <c r="F19" s="0" t="n">
        <f aca="false">F15+F16+F17+F18</f>
        <v>3671.90298014158</v>
      </c>
      <c r="G19" s="0" t="n">
        <f aca="false">G15+G16+G17+G18</f>
        <v>3937.7252351979</v>
      </c>
      <c r="H19" s="0" t="n">
        <f aca="false">H15+H16+H17+H18</f>
        <v>4184.27231841332</v>
      </c>
      <c r="I19" s="0" t="n">
        <f aca="false">I15+I16+I17+I18</f>
        <v>4406.00428614251</v>
      </c>
      <c r="J19" s="0" t="n">
        <f aca="false">J15+J16+J17+J18</f>
        <v>4575.68977473184</v>
      </c>
      <c r="K19" s="0" t="n">
        <f aca="false">K15+K16+K17+K18</f>
        <v>4728.98927326255</v>
      </c>
      <c r="L19" s="0" t="n">
        <f aca="false">L15+L16+L17+L18</f>
        <v>4863.73532213212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2623.36262222222</v>
      </c>
      <c r="D21" s="0" t="n">
        <f aca="false">D19*D20</f>
        <v>2655.77364706447</v>
      </c>
      <c r="E21" s="0" t="n">
        <f aca="false">E19*E20</f>
        <v>2664.10884871209</v>
      </c>
      <c r="F21" s="0" t="n">
        <f aca="false">F19*F20</f>
        <v>2698.95830697633</v>
      </c>
      <c r="G21" s="0" t="n">
        <f aca="false">G19*G20</f>
        <v>2679.94962961147</v>
      </c>
      <c r="H21" s="0" t="n">
        <f aca="false">H19*H20</f>
        <v>2636.80132567182</v>
      </c>
      <c r="I21" s="0" t="n">
        <f aca="false">I19*I20</f>
        <v>2570.86118244795</v>
      </c>
      <c r="J21" s="0" t="n">
        <f aca="false">J19*J20</f>
        <v>2472.10281042147</v>
      </c>
      <c r="K21" s="0" t="n">
        <f aca="false">K19*K20</f>
        <v>2365.67199952534</v>
      </c>
      <c r="L21" s="0" t="n">
        <f aca="false">L19*L20</f>
        <v>2252.85052897906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0.94</v>
      </c>
      <c r="D23" s="4" t="n">
        <f aca="false">Assumptions!D44</f>
        <v>0.93</v>
      </c>
      <c r="E23" s="4" t="n">
        <f aca="false">Assumptions!E44</f>
        <v>0.92</v>
      </c>
      <c r="F23" s="4" t="n">
        <f aca="false">Assumptions!F44</f>
        <v>0.91</v>
      </c>
      <c r="G23" s="4" t="n">
        <f aca="false">Assumptions!G44</f>
        <v>0.9</v>
      </c>
      <c r="H23" s="4" t="n">
        <f aca="false">Assumptions!H44</f>
        <v>0.9</v>
      </c>
      <c r="I23" s="4" t="n">
        <f aca="false">Assumptions!I44</f>
        <v>0.9</v>
      </c>
      <c r="J23" s="4" t="n">
        <f aca="false">Assumptions!J44</f>
        <v>0.9</v>
      </c>
      <c r="K23" s="4" t="n">
        <f aca="false">Assumptions!K44</f>
        <v>0.9</v>
      </c>
      <c r="L23" s="4" t="n">
        <f aca="false">Assumptions!L44</f>
        <v>0.9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-292.99424</v>
      </c>
      <c r="D24" s="0" t="n">
        <f aca="false">-D6*D23/100</f>
        <v>-315.9662352</v>
      </c>
      <c r="E24" s="0" t="n">
        <f aca="false">-E6*E23/100</f>
        <v>-337.574248704</v>
      </c>
      <c r="F24" s="0" t="n">
        <f aca="false">-F6*F23/100</f>
        <v>-357.27831082944</v>
      </c>
      <c r="G24" s="0" t="n">
        <f aca="false">-G6*G23/100</f>
        <v>-374.553306078336</v>
      </c>
      <c r="H24" s="0" t="n">
        <f aca="false">-H6*H23/100</f>
        <v>-393.280971382253</v>
      </c>
      <c r="I24" s="0" t="n">
        <f aca="false">-I6*I23/100</f>
        <v>-410.978615094454</v>
      </c>
      <c r="J24" s="0" t="n">
        <f aca="false">-J6*J23/100</f>
        <v>-427.417759698233</v>
      </c>
      <c r="K24" s="0" t="n">
        <f aca="false">-K6*K23/100</f>
        <v>-442.377381287671</v>
      </c>
      <c r="L24" s="0" t="n">
        <f aca="false">-L6*L23/100</f>
        <v>-455.648702726301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2.75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25620.4409016322</v>
      </c>
    </row>
    <row r="31" customFormat="false" ht="15" hidden="false" customHeight="false" outlineLevel="0" collapsed="false">
      <c r="A31" s="0" t="s">
        <v>134</v>
      </c>
      <c r="B31" s="0" t="n">
        <f aca="false">L19</f>
        <v>4863.73532213212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95190.248447443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87547.2357983782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87547.2357983782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40551.3095216231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66171.7504232554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61784.7504232554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2047.20843019401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0.0656993389869933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1548.95279043087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2524.2670041213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2182.17263809833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40795.8207631898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804.325912023463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888.705985934514</v>
      </c>
      <c r="C4" s="0" t="n">
        <f aca="false">B4/Assumptions!$B$2-1</f>
        <v>-0.537373250424511</v>
      </c>
      <c r="D4" s="4" t="n">
        <f aca="false">Assumptions!$B$24</f>
        <v>0.2</v>
      </c>
      <c r="E4" s="4" t="n">
        <f aca="false">DCF_Bear!$B$43</f>
        <v>989.021604592944</v>
      </c>
      <c r="F4" s="4" t="n">
        <f aca="false">DCF_Bear!$B$47</f>
        <v>376.79597657681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1594.76312213705</v>
      </c>
      <c r="C5" s="0" t="n">
        <f aca="false">B5/Assumptions!$B$2-1</f>
        <v>-0.169826589205073</v>
      </c>
      <c r="D5" s="4" t="n">
        <f aca="false">Assumptions!$B$38</f>
        <v>0.5</v>
      </c>
      <c r="E5" s="4" t="n">
        <f aca="false">DCF_Base!$B$43</f>
        <v>1713.32337386762</v>
      </c>
      <c r="F5" s="4" t="n">
        <f aca="false">DCF_Base!$B$47</f>
        <v>620.832014406332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2047.20843019401</v>
      </c>
      <c r="C6" s="0" t="n">
        <f aca="false">B6/Assumptions!$B$2-1</f>
        <v>0.0656993389869933</v>
      </c>
      <c r="D6" s="4" t="n">
        <f aca="false">Assumptions!$B$52</f>
        <v>0.3</v>
      </c>
      <c r="E6" s="4" t="n">
        <f aca="false">DCF_Bull!$B$43</f>
        <v>2182.17263809833</v>
      </c>
      <c r="F6" s="4" t="n">
        <f aca="false">DCF_Bull!$B$47</f>
        <v>804.325912023463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1589.28528731363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1709.1177992819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-0.208719425854034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276.815287635978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627.072976125567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1594.76312213705</v>
      </c>
      <c r="C15" s="3" t="n">
        <v>8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1353.1982496158</v>
      </c>
      <c r="C16" s="3" t="n">
        <v>9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1149.31087128297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993.570126020506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870.762250883574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620.832014406332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1881.03787851102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1881.03787851102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1881.03787851102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1881.03787851102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1881.03787851102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1731.08774132691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1731.08774132691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1731.08774132691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1731.08774132691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1731.08774132691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1457.05615098195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1537.01503745911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1594.76312213705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1594.76312213705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1594.76312213705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1235.44794535628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1290.11772947677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1353.1982496158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1426.79218977799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1470.67848437013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1066.37149139353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1105.2493257167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1149.31087128297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1199.6669233587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1257.77006036916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2026-10-04T12:58:53Z</dcterms:created>
  <dc:creator>openpyxl</dc:creator>
  <dc:description/>
  <dc:language>en-NZ</dc:language>
  <cp:lastModifiedBy/>
  <dcterms:modified xsi:type="dcterms:W3CDTF">2026-10-04T12:58:53Z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