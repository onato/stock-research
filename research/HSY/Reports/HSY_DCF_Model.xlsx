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<sst xmlns="http://schemas.openxmlformats.org/spreadsheetml/2006/main" count="390" uniqueCount="175">
  <si>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</si>
  <si>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HSY</t>
  </si>
  <si>
    <t xml:space="preserve">Company</t>
  </si>
  <si>
    <t xml:space="preserve">The Hershey Company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</si>
  <si>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</si>
  <si>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</si>
  <si>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</si>
  <si>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</si>
  <si>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2026-09-28T20:00:03Z regular close</t>
  </si>
  <si>
    <t xml:space="preserve">Balance sheet date</t>
  </si>
  <si>
    <t xml:space="preserve">2026-06-28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</si>
  <si>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</si>
  <si>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</si>
  <si>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</si>
  <si>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</si>
  <si>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</si>
  <si>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</si>
  <si>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</si>
  <si>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</si>
  <si>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</si>
  <si>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</si>
  <si>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2026-09-28T21:31:27Z</t>
  </si>
  <si>
    <t xml:space="preserve">Drivers file</t>
  </si>
  <si>
    <t xml:space="preserve">HSY_Drivers.json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</si>
  <si>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</si>
  <si>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</si>
  <si>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</si>
  <si>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Hershey is a mature, high-return branded consumer staple whose FY2025 earnings trough was a commodity-cost event, not a franchise event. The valuation is built on a normalised 27% EBITDA margin (FY2022-23 adjusted level, below the FY2024 derivative-boosted peak), mid-single-digit sales growth fading to 2.5%, an owner-FCF basis with SBC and equity-award taxes fully expensed, a flat fully diluted share count of 201.5M, and $4.9B of net debt deducted. Terminal value is capped at 18x terminal FCF in the base case so the model assumes no multiple expansion. The house intrinsic value is the headline; the street value (SBC as non-cash) differs by only a few dollars because SBC is ~0.6% of sales.
key_risks_to_valuation: Cocoa: a return to $10k+/tonne cocoa or cocoa-origin tariffs would push the margin path back toward the FY2025 trough (16.6% EBITDA) rather than the 27% assumed.; Volume: US confectionery category volume has been negative; if GLP-1 and sugar-avoidance trends accelerate, pricing cannot offset it and the bear growth path applies.; Unexplained de-rating: the stock is at its 52-week low after a 30% fall while H1-2026 earnings recovered; if that reflects an FY2026 guidance cut or a new-CEO reset not visible in the Q2-2026 10-Q, the FY2026 drivers are too high.; Tax: the ~11-13% FY2025 effective rate rests on renewable-energy credit investments; a faster run-off than the 17%-&gt;20% ramp reduces value ~5%.; Leverage: $5.7B gross debt and a $1.1B dividend leave limited room for a second bad cocoa year; the model deducts net debt but does not model refinancing stress.; Terminal dependence: ~60% of enterprise value is terminal; the 18x cap versus 20x moves the base value by roughly $15/share.</t>
  </si>
  <si>
    <t xml:space="preserve">Data sources</t>
  </si>
  <si>
    <t xml:space="preserve">price: Yahoo Finance chart API at inputs.price_as_of; 52-week range 161.43-239.48.
financials: HSY_Metrics.csv (SEC XBRL companyfacts, FY2007-Q2 2026); Q2-2026 10-Q (hsy-20260628.htm, filed 2026-07-30) for the cover-page share count, diluted EPS denominator, cash, debt components and operating lease liabilities; FY2025 10-K for SBC, equity-award taxes, cash taxes paid, D&amp;A.
qualitative: HSY_Analysis.json was not yet present at build time; narratives draw on the segment description in research/HSY/info.json and the filings' own numbers (cocoa-driven FY2025 margin trough, H1-2026 recovery, LesserEvil, salty snacks).</t>
  </si>
  <si>
    <t xml:space="preserve">Scenario narrative: bear</t>
  </si>
  <si>
    <t xml:space="preserve">Structural US confectionery volume decline (GLP-1 adoption, health-driven sugar avoidance, private-label and dollar-store trade-down) meets a second cocoa cost cycle or cocoa-origin tariffs, so pricing can no longer be pushed through without volume loss. Sales growth stalls at 1-1.5%, EBITDA margin settles at 23%, capex has to stay at 4% to fund reformulation and salty-snacks capacity, and the market caps a slow-growth staple at 15x FCF. The bear path still produces positive FCF every year; it does not hit the zero floor. This scenario is what the current price, at the bottom of the 52-week range after a 30% drawdown despite recovering earnings, appears to be discounting.</t>
  </si>
  <si>
    <t xml:space="preserve">Scenario narrative: base</t>
  </si>
  <si>
    <t xml:space="preserve">Cocoa has retreated from the 2024-25 spike and the hedge book rolls onto cheaper cover through FY2026, restoring the EBITDA margin to the 25-27% range Hershey earned in FY2022-23 rather than the derivative-flattered 30% of FY2024. Net sales grow at the middle of the 2-4% long-term algorithm: US confectionery volumes are roughly flat with price/mix doing the work, salty snacks (SkinnyPop, Dot's, LesserEvil) and International add a point. Capex normalises to ~3.5% of sales after the ERP and capacity build, the tax rate drifts up as renewable-energy credits run off, and buybacks resume at the H1-2026 pace to hold the count flat. Terminal value is the 18x cap rather than Gordon, i.e. no exit-multiple expansion is assumed.</t>
  </si>
  <si>
    <t xml:space="preserve">Scenario narrative: bull</t>
  </si>
  <si>
    <t xml:space="preserve">Cocoa settles back toward pre-2024 levels and Hershey keeps most of the 2024-25 pricing, lifting the EBITDA margin to 29%, the FY2024 level, on a sustainable rather than mark-to-market basis. Salty snacks scale past $1.5B with LesserEvil and Dot's compounding at double digits, Reese's and Kit Kat innovation holds US confectionery volume positive, and International grows mid-single digits, taking sales growth to 4-5% for several years. Twenty times terminal FCF is what the market has historically paid for Hershey's brand portfolio.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</si>
  <si>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</si>
  <si>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</si>
  <si>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</si>
  <si>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</si>
  <si>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</si>
  <si>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</si>
  <si>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</si>
  <si>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</si>
  <si>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</si>
  <si>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</si>
  <si>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</si>
  <si>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</si>
  <si>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</si>
  <si>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</si>
  <si>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</si>
  <si>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</si>
  <si>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</si>
  <si>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</si>
  <si>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</si>
  <si>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</si>
  <si>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</si>
  <si>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</si>
  <si>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</si>
  <si>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</si>
  <si>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</si>
  <si>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</si>
  <si>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</si>
  <si>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</si>
  <si>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</si>
  <si>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</si>
  <si>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</si>
  <si>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</si>
  <si>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</si>
  <si>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</si>
  <si>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</si>
  <si>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</si>
  <si>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</si>
  <si>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</si>
  <si>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</si>
  <si>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</si>
  <si>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</si>
  <si>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</si>
  <si>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</si>
  <si>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</si>
  <si>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</si>
  <si>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</si>
  <si>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</si>
  <si>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</si>
  <si>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</si>
  <si>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</si>
  <si>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</si>
  <si>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</si>
  <si>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</si>
  <si>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</si>
  <si>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</si>
  <si>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</si>
  <si>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</si>
  <si>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</si>
  <si>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</si>
  <si>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</si>
  <si>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</si>
  <si>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</si>
  <si>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</si>
  <si>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</si>
  <si>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</si>
  <si>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</si>
  <si>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</si>
  <si>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</si>
  <si>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</si>
  <si>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</si>
  <si>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</si>
  <si>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</si>
  <si>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</si>
  <si>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</si>
  <si>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</si>
  <si>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</si>
  <si>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</si>
  <si>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</si>
  <si>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</si>
  <si>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</si>
  <si>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</si>
  <si>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</si>
  <si>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</si>
  <si>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</si>
  <si>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HSY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</si>
  <si>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</si>
  <si>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</si>
  <si>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</si>
  <si>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</si>
  <si>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</si>
  <si>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</si>
  <si>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</si>
  <si>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</si>
  <si>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</si>
  <si>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</si>
  <si>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</si>
  <si>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</si>
  <si>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</si>
  <si>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</si>
  <si>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</si>
  <si>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</si>
  <si>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</si>
  <si>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</si>
  <si>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</si>
  <si>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</si>
  <si>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</si>
  <si>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</si>
  <si>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</si>
  <si>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</si>
  <si>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</si>
  <si>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</si>
  <si>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</si>
  <si>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</si>
  <si>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</si>
  <si>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</si>
  <si>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HSY owner-FCF component DCF: base case (millions, USD)</t>
  </si>
  <si>
    <t xml:space="preserve">HSY owner-FCF component DCF: bull case (millions, USD)</t>
  </si>
  <si>
    <t xml:space="preserve">HSY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</si>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</sst>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164.41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683.423</v>
      </c>
      <c r="S2" s="0" t="n">
        <v>97.141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4946.716</v>
      </c>
      <c r="I3" s="0" t="n">
        <v>214.154</v>
      </c>
      <c r="J3" s="0" t="n">
        <v>4.32921558464242</v>
      </c>
      <c r="L3" s="0" t="n">
        <v>778.836</v>
      </c>
      <c r="M3" s="0" t="n">
        <v>189.698</v>
      </c>
      <c r="N3" s="0" t="n">
        <v>589.138</v>
      </c>
      <c r="O3" s="0" t="n">
        <v>623.52</v>
      </c>
      <c r="S3" s="0" t="n">
        <v>129.198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5132.768</v>
      </c>
      <c r="I4" s="0" t="n">
        <v>311.405</v>
      </c>
      <c r="J4" s="0" t="n">
        <v>6.06699932667909</v>
      </c>
      <c r="L4" s="0" t="n">
        <v>519.561</v>
      </c>
      <c r="M4" s="0" t="n">
        <v>262.643</v>
      </c>
      <c r="N4" s="0" t="n">
        <v>256.918</v>
      </c>
      <c r="O4" s="0" t="n">
        <v>349.944</v>
      </c>
      <c r="P4" s="0" t="n">
        <v>3634.719</v>
      </c>
      <c r="Q4" s="0" t="n">
        <v>3284.775</v>
      </c>
      <c r="R4" s="0" t="n">
        <v>1524.338</v>
      </c>
      <c r="S4" s="0" t="n">
        <v>37.103</v>
      </c>
      <c r="T4" s="0" t="n">
        <v>227.035071</v>
      </c>
      <c r="U4" s="0" t="n">
        <v>36.3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5298.668</v>
      </c>
      <c r="I5" s="0" t="n">
        <v>435.994</v>
      </c>
      <c r="J5" s="0" t="n">
        <v>8.22836984691247</v>
      </c>
      <c r="L5" s="0" t="n">
        <v>1065.749</v>
      </c>
      <c r="M5" s="0" t="n">
        <v>126.324</v>
      </c>
      <c r="N5" s="0" t="n">
        <v>939.425</v>
      </c>
      <c r="O5" s="0" t="n">
        <v>760.339</v>
      </c>
      <c r="P5" s="0" t="n">
        <v>3675.031</v>
      </c>
      <c r="Q5" s="0" t="n">
        <v>2914.692</v>
      </c>
      <c r="R5" s="0" t="n">
        <v>1533.224</v>
      </c>
      <c r="S5" s="0" t="n">
        <v>253.605</v>
      </c>
      <c r="T5" s="0" t="n">
        <v>227.998276</v>
      </c>
      <c r="U5" s="0" t="n">
        <v>53.8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5671.009</v>
      </c>
      <c r="I6" s="0" t="n">
        <v>509.799</v>
      </c>
      <c r="J6" s="0" t="n">
        <v>8.98956429094011</v>
      </c>
      <c r="L6" s="0" t="n">
        <v>901.423</v>
      </c>
      <c r="M6" s="0" t="n">
        <v>179.538</v>
      </c>
      <c r="N6" s="0" t="n">
        <v>721.885</v>
      </c>
      <c r="O6" s="0" t="n">
        <v>937.601</v>
      </c>
      <c r="P6" s="0" t="n">
        <v>4272.732</v>
      </c>
      <c r="Q6" s="0" t="n">
        <v>3335.131</v>
      </c>
      <c r="R6" s="0" t="n">
        <v>2064.609</v>
      </c>
      <c r="S6" s="0" t="n">
        <v>884.642</v>
      </c>
      <c r="T6" s="0" t="n">
        <v>230.313</v>
      </c>
      <c r="U6" s="0" t="n">
        <v>49.5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6080.788</v>
      </c>
      <c r="I7" s="0" t="n">
        <v>628.962</v>
      </c>
      <c r="J7" s="0" t="n">
        <v>10.3434291739821</v>
      </c>
      <c r="L7" s="0" t="n">
        <v>587.867</v>
      </c>
      <c r="M7" s="0" t="n">
        <v>323.961</v>
      </c>
      <c r="N7" s="0" t="n">
        <v>263.906</v>
      </c>
      <c r="O7" s="0" t="n">
        <v>880.943</v>
      </c>
      <c r="P7" s="0" t="n">
        <v>4407.094</v>
      </c>
      <c r="Q7" s="0" t="n">
        <v>3526.151</v>
      </c>
      <c r="R7" s="0" t="n">
        <v>1943.686</v>
      </c>
      <c r="S7" s="0" t="n">
        <v>693.686</v>
      </c>
      <c r="T7" s="0" t="n">
        <v>229.919</v>
      </c>
      <c r="U7" s="0" t="n">
        <v>43.5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6644.252</v>
      </c>
      <c r="F8" s="0" t="n">
        <v>1707.506</v>
      </c>
      <c r="G8" s="0" t="n">
        <v>25.6989951615321</v>
      </c>
      <c r="H8" s="0" t="n">
        <v>1917.543</v>
      </c>
      <c r="I8" s="0" t="n">
        <v>660.931</v>
      </c>
      <c r="J8" s="0" t="n">
        <v>9.94741018251565</v>
      </c>
      <c r="L8" s="0" t="n">
        <v>1094.827</v>
      </c>
      <c r="M8" s="0" t="n">
        <v>258.727</v>
      </c>
      <c r="N8" s="0" t="n">
        <v>836.1</v>
      </c>
      <c r="O8" s="0" t="n">
        <v>1048.373</v>
      </c>
      <c r="P8" s="0" t="n">
        <v>4754.839</v>
      </c>
      <c r="Q8" s="0" t="n">
        <v>3706.466</v>
      </c>
      <c r="R8" s="0" t="n">
        <v>2046.435</v>
      </c>
      <c r="S8" s="0" t="n">
        <v>728.272</v>
      </c>
      <c r="T8" s="0" t="n">
        <v>228.337</v>
      </c>
      <c r="U8" s="0" t="n">
        <v>50.5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7146.079</v>
      </c>
      <c r="F9" s="0" t="n">
        <v>1338.051</v>
      </c>
      <c r="G9" s="0" t="n">
        <v>18.7242682315715</v>
      </c>
      <c r="H9" s="0" t="n">
        <v>1539.084</v>
      </c>
      <c r="I9" s="0" t="n">
        <v>820.47</v>
      </c>
      <c r="J9" s="0" t="n">
        <v>11.4814011991751</v>
      </c>
      <c r="L9" s="0" t="n">
        <v>1191.399</v>
      </c>
      <c r="M9" s="0" t="n">
        <v>323.551</v>
      </c>
      <c r="N9" s="0" t="n">
        <v>867.848</v>
      </c>
      <c r="O9" s="0" t="n">
        <v>1616.052</v>
      </c>
      <c r="P9" s="0" t="n">
        <v>5357.488</v>
      </c>
      <c r="Q9" s="0" t="n">
        <v>3741.436</v>
      </c>
      <c r="R9" s="0" t="n">
        <v>1796.97</v>
      </c>
      <c r="S9" s="0" t="n">
        <v>1118.508</v>
      </c>
      <c r="T9" s="0" t="n">
        <v>223.894721</v>
      </c>
      <c r="U9" s="0" t="n">
        <v>53.984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7421.768</v>
      </c>
      <c r="D10" s="0" t="n">
        <v>3336.166</v>
      </c>
      <c r="E10" s="0" t="n">
        <v>44.9510952107369</v>
      </c>
      <c r="F10" s="0" t="n">
        <v>1392.261</v>
      </c>
      <c r="G10" s="0" t="n">
        <v>18.7591555004145</v>
      </c>
      <c r="H10" s="0" t="n">
        <v>1603.793</v>
      </c>
      <c r="I10" s="0" t="n">
        <v>846.912</v>
      </c>
      <c r="J10" s="0" t="n">
        <v>11.4111893554204</v>
      </c>
      <c r="L10" s="0" t="n">
        <v>844.377</v>
      </c>
      <c r="M10" s="0" t="n">
        <v>370.789</v>
      </c>
      <c r="N10" s="0" t="n">
        <v>473.588</v>
      </c>
      <c r="O10" s="0" t="n">
        <v>1519.53</v>
      </c>
      <c r="P10" s="0" t="n">
        <v>5622.87</v>
      </c>
      <c r="Q10" s="0" t="n">
        <v>4103.34</v>
      </c>
      <c r="R10" s="0" t="n">
        <v>2043.927</v>
      </c>
      <c r="S10" s="0" t="n">
        <v>374.854</v>
      </c>
      <c r="T10" s="0" t="n">
        <v>221.044958</v>
      </c>
      <c r="U10" s="0" t="n">
        <v>54.068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7386.626</v>
      </c>
      <c r="D11" s="0" t="n">
        <v>3382.675</v>
      </c>
      <c r="E11" s="0" t="n">
        <v>45.7945887608226</v>
      </c>
      <c r="F11" s="0" t="n">
        <v>1037.759</v>
      </c>
      <c r="G11" s="0" t="n">
        <v>14.0491612814836</v>
      </c>
      <c r="H11" s="0" t="n">
        <v>1282.687</v>
      </c>
      <c r="I11" s="0" t="n">
        <v>512.951</v>
      </c>
      <c r="J11" s="0" t="n">
        <v>6.94432072234333</v>
      </c>
      <c r="L11" s="0" t="n">
        <v>1256.311</v>
      </c>
      <c r="M11" s="0" t="n">
        <v>356.81</v>
      </c>
      <c r="N11" s="0" t="n">
        <v>899.501</v>
      </c>
      <c r="O11" s="0" t="n">
        <v>1047.462</v>
      </c>
      <c r="P11" s="0" t="n">
        <v>5344.371</v>
      </c>
      <c r="Q11" s="0" t="n">
        <v>4296.909</v>
      </c>
      <c r="R11" s="0" t="n">
        <v>2556.937</v>
      </c>
      <c r="S11" s="0" t="n">
        <v>346.529</v>
      </c>
      <c r="T11" s="0" t="n">
        <v>216.77736</v>
      </c>
      <c r="U11" s="0" t="n">
        <v>51.533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7440.181</v>
      </c>
      <c r="C12" s="0" t="n">
        <v>4270.642</v>
      </c>
      <c r="D12" s="0" t="n">
        <v>3169.539</v>
      </c>
      <c r="E12" s="0" t="n">
        <v>42.6002942670346</v>
      </c>
      <c r="F12" s="0" t="n">
        <v>1255.173</v>
      </c>
      <c r="G12" s="0" t="n">
        <v>16.8701944213454</v>
      </c>
      <c r="H12" s="0" t="n">
        <v>1557.01</v>
      </c>
      <c r="I12" s="0" t="n">
        <v>720.044</v>
      </c>
      <c r="J12" s="0" t="n">
        <v>9.67777531218663</v>
      </c>
      <c r="L12" s="0" t="n">
        <v>1013.428</v>
      </c>
      <c r="M12" s="0" t="n">
        <v>269.476</v>
      </c>
      <c r="N12" s="0" t="n">
        <v>743.952</v>
      </c>
      <c r="O12" s="0" t="n">
        <v>827.687</v>
      </c>
      <c r="P12" s="0" t="n">
        <v>5524.333</v>
      </c>
      <c r="Q12" s="0" t="n">
        <v>4696.646</v>
      </c>
      <c r="R12" s="0" t="n">
        <v>2347.941</v>
      </c>
      <c r="S12" s="0" t="n">
        <v>296.967</v>
      </c>
      <c r="T12" s="0" t="n">
        <v>212.259735</v>
      </c>
      <c r="U12" s="0" t="n">
        <v>54.785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7515.426</v>
      </c>
      <c r="C13" s="0" t="n">
        <v>4060.05</v>
      </c>
      <c r="D13" s="0" t="n">
        <v>3455.376</v>
      </c>
      <c r="E13" s="0" t="n">
        <v>45.9771142713667</v>
      </c>
      <c r="F13" s="0" t="n">
        <v>1313.409</v>
      </c>
      <c r="G13" s="0" t="n">
        <v>17.4761750032533</v>
      </c>
      <c r="H13" s="0" t="n">
        <v>1575.262</v>
      </c>
      <c r="I13" s="0" t="n">
        <v>782.981</v>
      </c>
      <c r="J13" s="0" t="n">
        <v>10.4183182696497</v>
      </c>
      <c r="L13" s="0" t="n">
        <v>1249.515</v>
      </c>
      <c r="M13" s="0" t="n">
        <v>257.675</v>
      </c>
      <c r="N13" s="0" t="n">
        <v>991.84</v>
      </c>
      <c r="O13" s="0" t="n">
        <v>931.565</v>
      </c>
      <c r="P13" s="0" t="n">
        <v>5553.726</v>
      </c>
      <c r="Q13" s="0" t="n">
        <v>4622.161</v>
      </c>
      <c r="R13" s="0" t="n">
        <v>2661.219</v>
      </c>
      <c r="S13" s="0" t="n">
        <v>380.179</v>
      </c>
      <c r="T13" s="0" t="n">
        <v>210.860817</v>
      </c>
      <c r="U13" s="0" t="n">
        <v>51.061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7791.069</v>
      </c>
      <c r="C14" s="0" t="n">
        <v>4215.744</v>
      </c>
      <c r="D14" s="0" t="n">
        <v>3575.325</v>
      </c>
      <c r="E14" s="0" t="n">
        <v>45.8900441004951</v>
      </c>
      <c r="F14" s="0" t="n">
        <v>1623.664</v>
      </c>
      <c r="G14" s="0" t="n">
        <v>20.8400670049258</v>
      </c>
      <c r="H14" s="0" t="n">
        <v>1918.808</v>
      </c>
      <c r="I14" s="0" t="n">
        <v>1177.562</v>
      </c>
      <c r="J14" s="0" t="n">
        <v>15.1142545393963</v>
      </c>
      <c r="L14" s="0" t="n">
        <v>1599.993</v>
      </c>
      <c r="M14" s="0" t="n">
        <v>328.601</v>
      </c>
      <c r="N14" s="0" t="n">
        <v>1271.392</v>
      </c>
      <c r="O14" s="0" t="n">
        <v>1407.266</v>
      </c>
      <c r="P14" s="0" t="n">
        <v>7703.02</v>
      </c>
      <c r="Q14" s="0" t="n">
        <v>6295.754</v>
      </c>
      <c r="R14" s="0" t="n">
        <v>3265.054</v>
      </c>
      <c r="S14" s="0" t="n">
        <v>587.998</v>
      </c>
      <c r="T14" s="0" t="n">
        <v>209.728904</v>
      </c>
      <c r="U14" s="0" t="n">
        <v>49.286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7986.252</v>
      </c>
      <c r="C15" s="0" t="n">
        <v>4363.774</v>
      </c>
      <c r="D15" s="0" t="n">
        <v>3622.478</v>
      </c>
      <c r="E15" s="0" t="n">
        <v>45.3589243114292</v>
      </c>
      <c r="F15" s="0" t="n">
        <v>1595.952</v>
      </c>
      <c r="G15" s="0" t="n">
        <v>19.9837420607314</v>
      </c>
      <c r="H15" s="0" t="n">
        <v>1887.496</v>
      </c>
      <c r="I15" s="0" t="n">
        <v>1149.692</v>
      </c>
      <c r="J15" s="0" t="n">
        <v>14.3958893358236</v>
      </c>
      <c r="L15" s="0" t="n">
        <v>1763.873</v>
      </c>
      <c r="M15" s="0" t="n">
        <v>318.192</v>
      </c>
      <c r="N15" s="0" t="n">
        <v>1445.681</v>
      </c>
      <c r="O15" s="0" t="n">
        <v>1744.994</v>
      </c>
      <c r="P15" s="0" t="n">
        <v>8140.395</v>
      </c>
      <c r="Q15" s="0" t="n">
        <v>6395.401</v>
      </c>
      <c r="R15" s="0" t="n">
        <v>4937.593</v>
      </c>
      <c r="T15" s="0" t="n">
        <v>208.829433</v>
      </c>
      <c r="U15" s="0" t="n">
        <v>51.899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8149.719</v>
      </c>
      <c r="C16" s="0" t="n">
        <v>4448.45</v>
      </c>
      <c r="D16" s="0" t="n">
        <v>3701.269</v>
      </c>
      <c r="E16" s="0" t="n">
        <v>45.4159094319694</v>
      </c>
      <c r="F16" s="0" t="n">
        <v>1782.698</v>
      </c>
      <c r="G16" s="0" t="n">
        <v>21.8743492873803</v>
      </c>
      <c r="H16" s="0" t="n">
        <v>2077.605</v>
      </c>
      <c r="I16" s="0" t="n">
        <v>1278.708</v>
      </c>
      <c r="J16" s="0" t="n">
        <v>15.6902096869843</v>
      </c>
      <c r="L16" s="0" t="n">
        <v>1699.657</v>
      </c>
      <c r="M16" s="0" t="n">
        <v>441.626</v>
      </c>
      <c r="N16" s="0" t="n">
        <v>1258.031</v>
      </c>
      <c r="O16" s="0" t="n">
        <v>2237.883</v>
      </c>
      <c r="P16" s="0" t="n">
        <v>9131.845</v>
      </c>
      <c r="Q16" s="0" t="n">
        <v>6893.962</v>
      </c>
      <c r="R16" s="0" t="n">
        <v>4528.584</v>
      </c>
      <c r="T16" s="0" t="n">
        <v>208.227127</v>
      </c>
      <c r="U16" s="0" t="n">
        <v>57.584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8971.337</v>
      </c>
      <c r="C17" s="0" t="n">
        <v>4922.739</v>
      </c>
      <c r="D17" s="0" t="n">
        <v>4048.598</v>
      </c>
      <c r="E17" s="0" t="n">
        <v>45.1281453366427</v>
      </c>
      <c r="F17" s="0" t="n">
        <v>2043.722</v>
      </c>
      <c r="G17" s="0" t="n">
        <v>22.7805732857878</v>
      </c>
      <c r="H17" s="0" t="n">
        <v>2358.724</v>
      </c>
      <c r="I17" s="0" t="n">
        <v>1482.819</v>
      </c>
      <c r="J17" s="0" t="n">
        <v>16.5284059666915</v>
      </c>
      <c r="L17" s="0" t="n">
        <v>2082.884</v>
      </c>
      <c r="M17" s="0" t="n">
        <v>495.877</v>
      </c>
      <c r="N17" s="0" t="n">
        <v>1587.007</v>
      </c>
      <c r="O17" s="0" t="n">
        <v>2757.229</v>
      </c>
      <c r="P17" s="0" t="n">
        <v>10412.231</v>
      </c>
      <c r="Q17" s="0" t="n">
        <v>7655.002</v>
      </c>
      <c r="R17" s="0" t="n">
        <v>4089.471</v>
      </c>
      <c r="T17" s="0" t="n">
        <v>206.109014</v>
      </c>
      <c r="U17" s="0" t="n">
        <v>66.711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10419.294</v>
      </c>
      <c r="C18" s="0" t="n">
        <v>5920.509</v>
      </c>
      <c r="D18" s="0" t="n">
        <v>4498.785</v>
      </c>
      <c r="E18" s="0" t="n">
        <v>43.177445611958</v>
      </c>
      <c r="F18" s="0" t="n">
        <v>2260.787</v>
      </c>
      <c r="G18" s="0" t="n">
        <v>21.698082422859</v>
      </c>
      <c r="H18" s="0" t="n">
        <v>2639.746</v>
      </c>
      <c r="I18" s="0" t="n">
        <v>1644.817</v>
      </c>
      <c r="J18" s="0" t="n">
        <v>15.7862615259729</v>
      </c>
      <c r="L18" s="0" t="n">
        <v>2327.837</v>
      </c>
      <c r="M18" s="0" t="n">
        <v>519.481</v>
      </c>
      <c r="N18" s="0" t="n">
        <v>1808.356</v>
      </c>
      <c r="O18" s="0" t="n">
        <v>3299.544</v>
      </c>
      <c r="P18" s="0" t="n">
        <v>10948.82</v>
      </c>
      <c r="Q18" s="0" t="n">
        <v>7649.276</v>
      </c>
      <c r="R18" s="0" t="n">
        <v>4097.555</v>
      </c>
      <c r="T18" s="0" t="n">
        <v>204.964717</v>
      </c>
      <c r="U18" s="0" t="n">
        <v>65.991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11164.992</v>
      </c>
      <c r="C19" s="0" t="n">
        <v>6167.176</v>
      </c>
      <c r="D19" s="0" t="n">
        <v>4997.816</v>
      </c>
      <c r="E19" s="0" t="n">
        <v>44.7632743489651</v>
      </c>
      <c r="F19" s="0" t="n">
        <v>2560.867</v>
      </c>
      <c r="G19" s="0" t="n">
        <v>22.9365771153262</v>
      </c>
      <c r="H19" s="0" t="n">
        <v>2980.682</v>
      </c>
      <c r="I19" s="0" t="n">
        <v>1861.787</v>
      </c>
      <c r="J19" s="0" t="n">
        <v>16.6752201882456</v>
      </c>
      <c r="L19" s="0" t="n">
        <v>2323.19</v>
      </c>
      <c r="M19" s="0" t="n">
        <v>771.109</v>
      </c>
      <c r="N19" s="0" t="n">
        <v>1552.081</v>
      </c>
      <c r="O19" s="0" t="n">
        <v>4099.086</v>
      </c>
      <c r="P19" s="0" t="n">
        <v>11902.941</v>
      </c>
      <c r="Q19" s="0" t="n">
        <v>7803.855</v>
      </c>
      <c r="R19" s="0" t="n">
        <v>4094.19</v>
      </c>
      <c r="T19" s="0" t="n">
        <v>204.392926</v>
      </c>
      <c r="U19" s="0" t="n">
        <v>81.021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11202.263</v>
      </c>
      <c r="C20" s="0" t="n">
        <v>5901.375</v>
      </c>
      <c r="D20" s="0" t="n">
        <v>5300.888</v>
      </c>
      <c r="E20" s="0" t="n">
        <v>47.3197960090742</v>
      </c>
      <c r="F20" s="0" t="n">
        <v>2898.232</v>
      </c>
      <c r="G20" s="0" t="n">
        <v>25.8718439301059</v>
      </c>
      <c r="H20" s="0" t="n">
        <v>3353.487</v>
      </c>
      <c r="I20" s="0" t="n">
        <v>2221.239</v>
      </c>
      <c r="J20" s="0" t="n">
        <v>19.828484655288</v>
      </c>
      <c r="L20" s="0" t="n">
        <v>2531.596</v>
      </c>
      <c r="M20" s="0" t="n">
        <v>605.942</v>
      </c>
      <c r="N20" s="0" t="n">
        <v>1925.654</v>
      </c>
      <c r="O20" s="0" t="n">
        <v>4714.654</v>
      </c>
      <c r="P20" s="0" t="n">
        <v>12946.861</v>
      </c>
      <c r="Q20" s="0" t="n">
        <v>8232.207</v>
      </c>
      <c r="R20" s="0" t="n">
        <v>3795.175</v>
      </c>
      <c r="T20" s="0" t="n">
        <v>202.383069</v>
      </c>
      <c r="U20" s="0" t="n">
        <v>44.414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11692.576</v>
      </c>
      <c r="C21" s="0" t="n">
        <v>7769.885</v>
      </c>
      <c r="D21" s="0" t="n">
        <v>3922.691</v>
      </c>
      <c r="E21" s="0" t="n">
        <v>33.5485610698618</v>
      </c>
      <c r="F21" s="0" t="n">
        <v>1441.528</v>
      </c>
      <c r="G21" s="0" t="n">
        <v>12.3285749863845</v>
      </c>
      <c r="H21" s="0" t="n">
        <v>1945.229</v>
      </c>
      <c r="I21" s="0" t="n">
        <v>883.259</v>
      </c>
      <c r="J21" s="0" t="n">
        <v>7.5540154710134</v>
      </c>
      <c r="L21" s="0" t="n">
        <v>2277.367</v>
      </c>
      <c r="M21" s="0" t="n">
        <v>454.622</v>
      </c>
      <c r="N21" s="0" t="n">
        <v>1822.745</v>
      </c>
      <c r="O21" s="0" t="n">
        <v>4636.75</v>
      </c>
      <c r="P21" s="0" t="n">
        <v>13741.297</v>
      </c>
      <c r="Q21" s="0" t="n">
        <v>9104.547</v>
      </c>
      <c r="R21" s="0" t="n">
        <v>5184.521</v>
      </c>
      <c r="T21" s="0" t="n">
        <v>202.839656</v>
      </c>
      <c r="U21" s="0" t="n">
        <v>65.46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164.41</v>
      </c>
    </row>
    <row r="3" customFormat="false" ht="15" hidden="false" customHeight="false" outlineLevel="0" collapsed="false">
      <c r="A3" s="0" t="s">
        <v>86</v>
      </c>
      <c r="B3" s="3" t="n">
        <v>201.5</v>
      </c>
    </row>
    <row r="4" customFormat="false" ht="15" hidden="false" customHeight="false" outlineLevel="0" collapsed="false">
      <c r="A4" s="0" t="s">
        <v>87</v>
      </c>
      <c r="B4" s="3" t="n">
        <v>4902.1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11692.576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4</v>
      </c>
      <c r="D13" s="3" t="n">
        <v>1</v>
      </c>
      <c r="E13" s="3" t="n">
        <v>1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107</v>
      </c>
      <c r="C14" s="3" t="n">
        <v>24</v>
      </c>
      <c r="D14" s="3" t="n">
        <v>23.5</v>
      </c>
      <c r="E14" s="3" t="n">
        <v>23</v>
      </c>
      <c r="F14" s="3" t="n">
        <v>23</v>
      </c>
      <c r="G14" s="3" t="n">
        <v>23</v>
      </c>
      <c r="H14" s="3" t="n">
        <v>23</v>
      </c>
      <c r="I14" s="3" t="n">
        <v>23</v>
      </c>
      <c r="J14" s="3" t="n">
        <v>23</v>
      </c>
      <c r="K14" s="3" t="n">
        <v>23</v>
      </c>
      <c r="L14" s="3" t="n">
        <v>23</v>
      </c>
    </row>
    <row r="15" customFormat="false" ht="15" hidden="false" customHeight="false" outlineLevel="0" collapsed="false">
      <c r="A15" s="0" t="s">
        <v>108</v>
      </c>
      <c r="C15" s="3" t="n">
        <v>0.56</v>
      </c>
      <c r="D15" s="3" t="n">
        <v>0.55</v>
      </c>
      <c r="E15" s="3" t="n">
        <v>0.55</v>
      </c>
      <c r="F15" s="3" t="n">
        <v>0.55</v>
      </c>
      <c r="G15" s="3" t="n">
        <v>0.55</v>
      </c>
      <c r="H15" s="3" t="n">
        <v>0.55</v>
      </c>
      <c r="I15" s="3" t="n">
        <v>0.55</v>
      </c>
      <c r="J15" s="3" t="n">
        <v>0.55</v>
      </c>
      <c r="K15" s="3" t="n">
        <v>0.55</v>
      </c>
      <c r="L15" s="3" t="n">
        <v>0.55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4.3</v>
      </c>
      <c r="D17" s="3" t="n">
        <v>4.3</v>
      </c>
      <c r="E17" s="3" t="n">
        <v>4.3</v>
      </c>
      <c r="F17" s="3" t="n">
        <v>4.3</v>
      </c>
      <c r="G17" s="3" t="n">
        <v>4.3</v>
      </c>
      <c r="H17" s="3" t="n">
        <v>4.3</v>
      </c>
      <c r="I17" s="3" t="n">
        <v>4.3</v>
      </c>
      <c r="J17" s="3" t="n">
        <v>4.3</v>
      </c>
      <c r="K17" s="3" t="n">
        <v>4.3</v>
      </c>
      <c r="L17" s="3" t="n">
        <v>4.3</v>
      </c>
    </row>
    <row r="18" customFormat="false" ht="15" hidden="false" customHeight="false" outlineLevel="0" collapsed="false">
      <c r="A18" s="0" t="s">
        <v>111</v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 customFormat="false" ht="15" hidden="false" customHeight="false" outlineLevel="0" collapsed="false">
      <c r="A19" s="0" t="s">
        <v>112</v>
      </c>
      <c r="C19" s="3" t="n">
        <v>17</v>
      </c>
      <c r="D19" s="3" t="n">
        <v>18</v>
      </c>
      <c r="E19" s="3" t="n">
        <v>19</v>
      </c>
      <c r="F19" s="3" t="n">
        <v>19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113</v>
      </c>
      <c r="B20" s="3" t="n">
        <v>7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-5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6</v>
      </c>
      <c r="D27" s="3" t="n">
        <v>3.5</v>
      </c>
      <c r="E27" s="3" t="n">
        <v>3.5</v>
      </c>
      <c r="F27" s="3" t="n">
        <v>3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25.5</v>
      </c>
      <c r="D28" s="3" t="n">
        <v>26.5</v>
      </c>
      <c r="E28" s="3" t="n">
        <v>27</v>
      </c>
      <c r="F28" s="3" t="n">
        <v>27</v>
      </c>
      <c r="G28" s="3" t="n">
        <v>27</v>
      </c>
      <c r="H28" s="3" t="n">
        <v>27</v>
      </c>
      <c r="I28" s="3" t="n">
        <v>27</v>
      </c>
      <c r="J28" s="3" t="n">
        <v>27</v>
      </c>
      <c r="K28" s="3" t="n">
        <v>27</v>
      </c>
      <c r="L28" s="3" t="n">
        <v>27</v>
      </c>
    </row>
    <row r="29" customFormat="false" ht="15" hidden="false" customHeight="false" outlineLevel="0" collapsed="false">
      <c r="A29" s="0" t="s">
        <v>108</v>
      </c>
      <c r="C29" s="3" t="n">
        <v>0.56</v>
      </c>
      <c r="D29" s="3" t="n">
        <v>0.55</v>
      </c>
      <c r="E29" s="3" t="n">
        <v>0.55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4.3</v>
      </c>
      <c r="D31" s="3" t="n">
        <v>4.2</v>
      </c>
      <c r="E31" s="3" t="n">
        <v>4.1</v>
      </c>
      <c r="F31" s="3" t="n">
        <v>4</v>
      </c>
      <c r="G31" s="3" t="n">
        <v>4</v>
      </c>
      <c r="H31" s="3" t="n">
        <v>4</v>
      </c>
      <c r="I31" s="3" t="n">
        <v>4</v>
      </c>
      <c r="J31" s="3" t="n">
        <v>4</v>
      </c>
      <c r="K31" s="3" t="n">
        <v>4</v>
      </c>
      <c r="L31" s="3" t="n">
        <v>4</v>
      </c>
    </row>
    <row r="32" customFormat="false" ht="15" hidden="false" customHeight="false" outlineLevel="0" collapsed="false">
      <c r="A32" s="0" t="s">
        <v>111</v>
      </c>
      <c r="C32" s="3" t="n">
        <v>3.8</v>
      </c>
      <c r="D32" s="3" t="n">
        <v>3.7</v>
      </c>
      <c r="E32" s="3" t="n">
        <v>3.6</v>
      </c>
      <c r="F32" s="3" t="n">
        <v>3.5</v>
      </c>
      <c r="G32" s="3" t="n">
        <v>3.5</v>
      </c>
      <c r="H32" s="3" t="n">
        <v>3.5</v>
      </c>
      <c r="I32" s="3" t="n">
        <v>3.5</v>
      </c>
      <c r="J32" s="3" t="n">
        <v>3.5</v>
      </c>
      <c r="K32" s="3" t="n">
        <v>3.5</v>
      </c>
      <c r="L32" s="3" t="n">
        <v>3.5</v>
      </c>
    </row>
    <row r="33" customFormat="false" ht="15" hidden="false" customHeight="false" outlineLevel="0" collapsed="false">
      <c r="A33" s="0" t="s">
        <v>112</v>
      </c>
      <c r="C33" s="3" t="n">
        <v>17</v>
      </c>
      <c r="D33" s="3" t="n">
        <v>18</v>
      </c>
      <c r="E33" s="3" t="n">
        <v>19</v>
      </c>
      <c r="F33" s="3" t="n">
        <v>19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113</v>
      </c>
      <c r="B34" s="3" t="n">
        <v>7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18</v>
      </c>
    </row>
    <row r="37" customFormat="false" ht="15" hidden="false" customHeight="false" outlineLevel="0" collapsed="false">
      <c r="A37" s="0" t="s">
        <v>116</v>
      </c>
      <c r="B37" s="3" t="n">
        <v>-5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7</v>
      </c>
      <c r="D41" s="3" t="n">
        <v>5</v>
      </c>
      <c r="E41" s="3" t="n">
        <v>4.5</v>
      </c>
      <c r="F41" s="3" t="n">
        <v>4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26.5</v>
      </c>
      <c r="D42" s="3" t="n">
        <v>28</v>
      </c>
      <c r="E42" s="3" t="n">
        <v>29</v>
      </c>
      <c r="F42" s="3" t="n">
        <v>29</v>
      </c>
      <c r="G42" s="3" t="n">
        <v>29</v>
      </c>
      <c r="H42" s="3" t="n">
        <v>29</v>
      </c>
      <c r="I42" s="3" t="n">
        <v>29</v>
      </c>
      <c r="J42" s="3" t="n">
        <v>29</v>
      </c>
      <c r="K42" s="3" t="n">
        <v>29</v>
      </c>
      <c r="L42" s="3" t="n">
        <v>29</v>
      </c>
    </row>
    <row r="43" customFormat="false" ht="15" hidden="false" customHeight="false" outlineLevel="0" collapsed="false">
      <c r="A43" s="0" t="s">
        <v>108</v>
      </c>
      <c r="C43" s="3" t="n">
        <v>0.56</v>
      </c>
      <c r="D43" s="3" t="n">
        <v>0.55</v>
      </c>
      <c r="E43" s="3" t="n">
        <v>0.55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4.3</v>
      </c>
      <c r="D45" s="3" t="n">
        <v>4.2</v>
      </c>
      <c r="E45" s="3" t="n">
        <v>4.1</v>
      </c>
      <c r="F45" s="3" t="n">
        <v>4</v>
      </c>
      <c r="G45" s="3" t="n">
        <v>4</v>
      </c>
      <c r="H45" s="3" t="n">
        <v>4</v>
      </c>
      <c r="I45" s="3" t="n">
        <v>4</v>
      </c>
      <c r="J45" s="3" t="n">
        <v>4</v>
      </c>
      <c r="K45" s="3" t="n">
        <v>4</v>
      </c>
      <c r="L45" s="3" t="n">
        <v>4</v>
      </c>
    </row>
    <row r="46" customFormat="false" ht="15" hidden="false" customHeight="false" outlineLevel="0" collapsed="false">
      <c r="A46" s="0" t="s">
        <v>111</v>
      </c>
      <c r="C46" s="3" t="n">
        <v>3.8</v>
      </c>
      <c r="D46" s="3" t="n">
        <v>3.7</v>
      </c>
      <c r="E46" s="3" t="n">
        <v>3.6</v>
      </c>
      <c r="F46" s="3" t="n">
        <v>3.5</v>
      </c>
      <c r="G46" s="3" t="n">
        <v>3.5</v>
      </c>
      <c r="H46" s="3" t="n">
        <v>3.5</v>
      </c>
      <c r="I46" s="3" t="n">
        <v>3.5</v>
      </c>
      <c r="J46" s="3" t="n">
        <v>3.5</v>
      </c>
      <c r="K46" s="3" t="n">
        <v>3.5</v>
      </c>
      <c r="L46" s="3" t="n">
        <v>3.5</v>
      </c>
    </row>
    <row r="47" customFormat="false" ht="15" hidden="false" customHeight="false" outlineLevel="0" collapsed="false">
      <c r="A47" s="0" t="s">
        <v>112</v>
      </c>
      <c r="C47" s="3" t="n">
        <v>17</v>
      </c>
      <c r="D47" s="3" t="n">
        <v>18</v>
      </c>
      <c r="E47" s="3" t="n">
        <v>19</v>
      </c>
      <c r="F47" s="3" t="n">
        <v>19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113</v>
      </c>
      <c r="B48" s="3" t="n">
        <v>7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-5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4</v>
      </c>
      <c r="D5" s="4" t="n">
        <f aca="false">Assumptions!D13</f>
        <v>1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11692.576</v>
      </c>
      <c r="C6" s="0" t="n">
        <f aca="false">B6*(1+C5/100)</f>
        <v>12160.27904</v>
      </c>
      <c r="D6" s="0" t="n">
        <f aca="false">C6*(1+D5/100)</f>
        <v>12281.8818304</v>
      </c>
      <c r="E6" s="0" t="n">
        <f aca="false">D6*(1+E5/100)</f>
        <v>12404.700648704</v>
      </c>
      <c r="F6" s="0" t="n">
        <f aca="false">E6*(1+F5/100)</f>
        <v>12590.7711584346</v>
      </c>
      <c r="G6" s="0" t="n">
        <f aca="false">F6*(1+G5/100)</f>
        <v>12779.6327258111</v>
      </c>
      <c r="H6" s="0" t="n">
        <f aca="false">G6*(1+H5/100)</f>
        <v>12971.3272166982</v>
      </c>
      <c r="I6" s="0" t="n">
        <f aca="false">H6*(1+I5/100)</f>
        <v>13165.8971249487</v>
      </c>
      <c r="J6" s="0" t="n">
        <f aca="false">I6*(1+J5/100)</f>
        <v>13363.3855818229</v>
      </c>
      <c r="K6" s="0" t="n">
        <f aca="false">J6*(1+K5/100)</f>
        <v>13563.8363655503</v>
      </c>
      <c r="L6" s="0" t="n">
        <f aca="false">K6*(1+L5/100)</f>
        <v>13767.2939110335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24</v>
      </c>
      <c r="D7" s="4" t="n">
        <f aca="false">Assumptions!D14</f>
        <v>23.5</v>
      </c>
      <c r="E7" s="4" t="n">
        <f aca="false">Assumptions!E14</f>
        <v>23</v>
      </c>
      <c r="F7" s="4" t="n">
        <f aca="false">Assumptions!F14</f>
        <v>23</v>
      </c>
      <c r="G7" s="4" t="n">
        <f aca="false">Assumptions!G14</f>
        <v>23</v>
      </c>
      <c r="H7" s="4" t="n">
        <f aca="false">Assumptions!H14</f>
        <v>23</v>
      </c>
      <c r="I7" s="4" t="n">
        <f aca="false">Assumptions!I14</f>
        <v>23</v>
      </c>
      <c r="J7" s="4" t="n">
        <f aca="false">Assumptions!J14</f>
        <v>23</v>
      </c>
      <c r="K7" s="4" t="n">
        <f aca="false">Assumptions!K14</f>
        <v>23</v>
      </c>
      <c r="L7" s="4" t="n">
        <f aca="false">Assumptions!L14</f>
        <v>23</v>
      </c>
    </row>
    <row r="8" customFormat="false" ht="15" hidden="false" customHeight="false" outlineLevel="0" collapsed="false">
      <c r="A8" s="0" t="s">
        <v>43</v>
      </c>
      <c r="C8" s="0" t="n">
        <f aca="false">C6*C7/100</f>
        <v>2918.4669696</v>
      </c>
      <c r="D8" s="0" t="n">
        <f aca="false">D6*D7/100</f>
        <v>2886.242230144</v>
      </c>
      <c r="E8" s="0" t="n">
        <f aca="false">E6*E7/100</f>
        <v>2853.08114920192</v>
      </c>
      <c r="F8" s="0" t="n">
        <f aca="false">F6*F7/100</f>
        <v>2895.87736643995</v>
      </c>
      <c r="G8" s="0" t="n">
        <f aca="false">G6*G7/100</f>
        <v>2939.31552693655</v>
      </c>
      <c r="H8" s="0" t="n">
        <f aca="false">H6*H7/100</f>
        <v>2983.4052598406</v>
      </c>
      <c r="I8" s="0" t="n">
        <f aca="false">I6*I7/100</f>
        <v>3028.1563387382</v>
      </c>
      <c r="J8" s="0" t="n">
        <f aca="false">J6*J7/100</f>
        <v>3073.57868381928</v>
      </c>
      <c r="K8" s="0" t="n">
        <f aca="false">K6*K7/100</f>
        <v>3119.68236407657</v>
      </c>
      <c r="L8" s="0" t="n">
        <f aca="false">L6*L7/100</f>
        <v>3166.47759953771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0.56</v>
      </c>
      <c r="D9" s="4" t="n">
        <f aca="false">Assumptions!D15</f>
        <v>0.55</v>
      </c>
      <c r="E9" s="4" t="n">
        <f aca="false">Assumptions!E15</f>
        <v>0.55</v>
      </c>
      <c r="F9" s="4" t="n">
        <f aca="false">Assumptions!F15</f>
        <v>0.55</v>
      </c>
      <c r="G9" s="4" t="n">
        <f aca="false">Assumptions!G15</f>
        <v>0.55</v>
      </c>
      <c r="H9" s="4" t="n">
        <f aca="false">Assumptions!H15</f>
        <v>0.55</v>
      </c>
      <c r="I9" s="4" t="n">
        <f aca="false">Assumptions!I15</f>
        <v>0.55</v>
      </c>
      <c r="J9" s="4" t="n">
        <f aca="false">Assumptions!J15</f>
        <v>0.55</v>
      </c>
      <c r="K9" s="4" t="n">
        <f aca="false">Assumptions!K15</f>
        <v>0.55</v>
      </c>
      <c r="L9" s="4" t="n">
        <f aca="false">Assumptions!L15</f>
        <v>0.55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-68.097562624</v>
      </c>
      <c r="D10" s="0" t="n">
        <f aca="false">-D6*D9/100</f>
        <v>-67.5503500672</v>
      </c>
      <c r="E10" s="0" t="n">
        <f aca="false">-E6*E9/100</f>
        <v>-68.225853567872</v>
      </c>
      <c r="F10" s="0" t="n">
        <f aca="false">-F6*F9/100</f>
        <v>-69.2492413713901</v>
      </c>
      <c r="G10" s="0" t="n">
        <f aca="false">-G6*G9/100</f>
        <v>-70.2879799919609</v>
      </c>
      <c r="H10" s="0" t="n">
        <f aca="false">-H6*H9/100</f>
        <v>-71.3422996918403</v>
      </c>
      <c r="I10" s="0" t="n">
        <f aca="false">-I6*I9/100</f>
        <v>-72.4124341872179</v>
      </c>
      <c r="J10" s="0" t="n">
        <f aca="false">-J6*J9/100</f>
        <v>-73.4986207000262</v>
      </c>
      <c r="K10" s="0" t="n">
        <f aca="false">-K6*K9/100</f>
        <v>-74.6011000105266</v>
      </c>
      <c r="L10" s="0" t="n">
        <f aca="false">-L6*L9/100</f>
        <v>-75.7201165106845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2850.369406976</v>
      </c>
      <c r="D11" s="0" t="n">
        <f aca="false">D8+D10+D24</f>
        <v>2818.6918800768</v>
      </c>
      <c r="E11" s="0" t="n">
        <f aca="false">E8+E10+E24</f>
        <v>2784.85529563405</v>
      </c>
      <c r="F11" s="0" t="n">
        <f aca="false">F8+F10+F24</f>
        <v>2826.62812506856</v>
      </c>
      <c r="G11" s="0" t="n">
        <f aca="false">G8+G10+G24</f>
        <v>2869.02754694459</v>
      </c>
      <c r="H11" s="0" t="n">
        <f aca="false">H8+H10+H24</f>
        <v>2912.06296014876</v>
      </c>
      <c r="I11" s="0" t="n">
        <f aca="false">I8+I10+I24</f>
        <v>2955.74390455099</v>
      </c>
      <c r="J11" s="0" t="n">
        <f aca="false">J8+J10+J24</f>
        <v>3000.08006311925</v>
      </c>
      <c r="K11" s="0" t="n">
        <f aca="false">K8+K10+K24</f>
        <v>3045.08126406604</v>
      </c>
      <c r="L11" s="0" t="n">
        <f aca="false">L8+L10+L24</f>
        <v>3090.75748302703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-522.89199872</v>
      </c>
      <c r="D12" s="4" t="n">
        <f aca="false">-D6*Assumptions!D17/100</f>
        <v>-528.1209187072</v>
      </c>
      <c r="E12" s="4" t="n">
        <f aca="false">-E6*Assumptions!E17/100</f>
        <v>-533.402127894272</v>
      </c>
      <c r="F12" s="4" t="n">
        <f aca="false">-F6*Assumptions!F17/100</f>
        <v>-541.403159812686</v>
      </c>
      <c r="G12" s="4" t="n">
        <f aca="false">-G6*Assumptions!G17/100</f>
        <v>-549.524207209876</v>
      </c>
      <c r="H12" s="4" t="n">
        <f aca="false">-H6*Assumptions!H17/100</f>
        <v>-557.767070318024</v>
      </c>
      <c r="I12" s="4" t="n">
        <f aca="false">-I6*Assumptions!I17/100</f>
        <v>-566.133576372795</v>
      </c>
      <c r="J12" s="4" t="n">
        <f aca="false">-J6*Assumptions!J17/100</f>
        <v>-574.625580018387</v>
      </c>
      <c r="K12" s="4" t="n">
        <f aca="false">-K6*Assumptions!K17/100</f>
        <v>-583.244963718662</v>
      </c>
      <c r="L12" s="4" t="n">
        <f aca="false">-L6*Assumptions!L17/100</f>
        <v>-591.993638174442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2327.477408256</v>
      </c>
      <c r="D13" s="0" t="n">
        <f aca="false">D11+D12</f>
        <v>2290.5709613696</v>
      </c>
      <c r="E13" s="0" t="n">
        <f aca="false">E11+E12</f>
        <v>2251.45316773978</v>
      </c>
      <c r="F13" s="0" t="n">
        <f aca="false">F11+F12</f>
        <v>2285.22496525587</v>
      </c>
      <c r="G13" s="0" t="n">
        <f aca="false">G11+G12</f>
        <v>2319.50333973471</v>
      </c>
      <c r="H13" s="0" t="n">
        <f aca="false">H11+H12</f>
        <v>2354.29588983073</v>
      </c>
      <c r="I13" s="0" t="n">
        <f aca="false">I11+I12</f>
        <v>2389.61032817819</v>
      </c>
      <c r="J13" s="0" t="n">
        <f aca="false">J11+J12</f>
        <v>2425.45448310086</v>
      </c>
      <c r="K13" s="0" t="n">
        <f aca="false">K11+K12</f>
        <v>2461.83630034738</v>
      </c>
      <c r="L13" s="0" t="n">
        <f aca="false">L11+L12</f>
        <v>2498.76384485259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17</v>
      </c>
      <c r="D14" s="4" t="n">
        <f aca="false">Assumptions!D19</f>
        <v>18</v>
      </c>
      <c r="E14" s="4" t="n">
        <f aca="false">Assumptions!E19</f>
        <v>19</v>
      </c>
      <c r="F14" s="4" t="n">
        <f aca="false">Assumptions!F19</f>
        <v>19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1931.80624885248</v>
      </c>
      <c r="D15" s="0" t="n">
        <f aca="false">D13-MAX(0,D13)*D14/100</f>
        <v>1878.26818832307</v>
      </c>
      <c r="E15" s="0" t="n">
        <f aca="false">E13-MAX(0,E13)*E14/100</f>
        <v>1823.67706586922</v>
      </c>
      <c r="F15" s="0" t="n">
        <f aca="false">F13-MAX(0,F13)*F14/100</f>
        <v>1851.03222185726</v>
      </c>
      <c r="G15" s="0" t="n">
        <f aca="false">G13-MAX(0,G13)*G14/100</f>
        <v>1855.60267178777</v>
      </c>
      <c r="H15" s="0" t="n">
        <f aca="false">H13-MAX(0,H13)*H14/100</f>
        <v>1883.43671186458</v>
      </c>
      <c r="I15" s="0" t="n">
        <f aca="false">I13-MAX(0,I13)*I14/100</f>
        <v>1911.68826254255</v>
      </c>
      <c r="J15" s="0" t="n">
        <f aca="false">J13-MAX(0,J13)*J14/100</f>
        <v>1940.36358648069</v>
      </c>
      <c r="K15" s="0" t="n">
        <f aca="false">K13-MAX(0,K13)*K14/100</f>
        <v>1969.4690402779</v>
      </c>
      <c r="L15" s="0" t="n">
        <f aca="false">L13-MAX(0,L13)*L14/100</f>
        <v>1999.01107588207</v>
      </c>
    </row>
    <row r="16" customFormat="false" ht="15" hidden="false" customHeight="false" outlineLevel="0" collapsed="false">
      <c r="A16" s="0" t="s">
        <v>128</v>
      </c>
      <c r="C16" s="0" t="n">
        <f aca="false">-C12</f>
        <v>522.89199872</v>
      </c>
      <c r="D16" s="0" t="n">
        <f aca="false">-D12</f>
        <v>528.1209187072</v>
      </c>
      <c r="E16" s="0" t="n">
        <f aca="false">-E12</f>
        <v>533.402127894272</v>
      </c>
      <c r="F16" s="0" t="n">
        <f aca="false">-F12</f>
        <v>541.403159812686</v>
      </c>
      <c r="G16" s="0" t="n">
        <f aca="false">-G12</f>
        <v>549.524207209876</v>
      </c>
      <c r="H16" s="0" t="n">
        <f aca="false">-H12</f>
        <v>557.767070318024</v>
      </c>
      <c r="I16" s="0" t="n">
        <f aca="false">-I12</f>
        <v>566.133576372795</v>
      </c>
      <c r="J16" s="0" t="n">
        <f aca="false">-J12</f>
        <v>574.625580018387</v>
      </c>
      <c r="K16" s="0" t="n">
        <f aca="false">-K12</f>
        <v>583.244963718662</v>
      </c>
      <c r="L16" s="0" t="n">
        <f aca="false">-L12</f>
        <v>591.993638174442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-486.4111616</v>
      </c>
      <c r="D17" s="4" t="n">
        <f aca="false">-D6*Assumptions!D18/100</f>
        <v>-491.275273216</v>
      </c>
      <c r="E17" s="4" t="n">
        <f aca="false">-E6*Assumptions!E18/100</f>
        <v>-496.18802594816</v>
      </c>
      <c r="F17" s="4" t="n">
        <f aca="false">-F6*Assumptions!F18/100</f>
        <v>-503.630846337382</v>
      </c>
      <c r="G17" s="4" t="n">
        <f aca="false">-G6*Assumptions!G18/100</f>
        <v>-511.185309032443</v>
      </c>
      <c r="H17" s="4" t="n">
        <f aca="false">-H6*Assumptions!H18/100</f>
        <v>-518.85308866793</v>
      </c>
      <c r="I17" s="4" t="n">
        <f aca="false">-I6*Assumptions!I18/100</f>
        <v>-526.635884997949</v>
      </c>
      <c r="J17" s="4" t="n">
        <f aca="false">-J6*Assumptions!J18/100</f>
        <v>-534.535423272918</v>
      </c>
      <c r="K17" s="4" t="n">
        <f aca="false">-K6*Assumptions!K18/100</f>
        <v>-542.553454622011</v>
      </c>
      <c r="L17" s="4" t="n">
        <f aca="false">-L6*Assumptions!L18/100</f>
        <v>-550.691756441342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-23.385152</v>
      </c>
      <c r="D18" s="4" t="n">
        <f aca="false">(D6-C6)*Assumptions!$B$23/100</f>
        <v>-6.08013952000001</v>
      </c>
      <c r="E18" s="4" t="n">
        <f aca="false">(E6-D6)*Assumptions!$B$23/100</f>
        <v>-6.14094091520001</v>
      </c>
      <c r="F18" s="4" t="n">
        <f aca="false">(F6-E6)*Assumptions!$B$23/100</f>
        <v>-9.30352548652791</v>
      </c>
      <c r="G18" s="4" t="n">
        <f aca="false">(G6-F6)*Assumptions!$B$23/100</f>
        <v>-9.4430783688259</v>
      </c>
      <c r="H18" s="4" t="n">
        <f aca="false">(H6-G6)*Assumptions!$B$23/100</f>
        <v>-9.58472454435823</v>
      </c>
      <c r="I18" s="4" t="n">
        <f aca="false">(I6-H6)*Assumptions!$B$23/100</f>
        <v>-9.72849541252363</v>
      </c>
      <c r="J18" s="4" t="n">
        <f aca="false">(J6-I6)*Assumptions!$B$23/100</f>
        <v>-9.87442284371145</v>
      </c>
      <c r="K18" s="4" t="n">
        <f aca="false">(K6-J6)*Assumptions!$B$23/100</f>
        <v>-10.0225391863672</v>
      </c>
      <c r="L18" s="4" t="n">
        <f aca="false">(L6-K6)*Assumptions!$B$23/100</f>
        <v>-10.1728772741627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1944.90193397248</v>
      </c>
      <c r="D19" s="0" t="n">
        <f aca="false">D15+D16+D17+D18</f>
        <v>1909.03369429427</v>
      </c>
      <c r="E19" s="0" t="n">
        <f aca="false">E15+E16+E17+E18</f>
        <v>1854.75022690013</v>
      </c>
      <c r="F19" s="0" t="n">
        <f aca="false">F15+F16+F17+F18</f>
        <v>1879.50100984603</v>
      </c>
      <c r="G19" s="0" t="n">
        <f aca="false">G15+G16+G17+G18</f>
        <v>1884.49849159638</v>
      </c>
      <c r="H19" s="0" t="n">
        <f aca="false">H15+H16+H17+H18</f>
        <v>1912.76596897032</v>
      </c>
      <c r="I19" s="0" t="n">
        <f aca="false">I15+I16+I17+I18</f>
        <v>1941.45745850488</v>
      </c>
      <c r="J19" s="0" t="n">
        <f aca="false">J15+J16+J17+J18</f>
        <v>1970.57932038245</v>
      </c>
      <c r="K19" s="0" t="n">
        <f aca="false">K15+K16+K17+K18</f>
        <v>2000.13801018818</v>
      </c>
      <c r="L19" s="0" t="n">
        <f aca="false">L15+L16+L17+L18</f>
        <v>2030.14008034101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1817.66535885279</v>
      </c>
      <c r="D21" s="0" t="n">
        <f aca="false">D19*D20</f>
        <v>1667.4239621751</v>
      </c>
      <c r="E21" s="0" t="n">
        <f aca="false">E19*E20</f>
        <v>1514.0286723814</v>
      </c>
      <c r="F21" s="0" t="n">
        <f aca="false">F19*F20</f>
        <v>1433.86232145003</v>
      </c>
      <c r="G21" s="0" t="n">
        <f aca="false">G19*G20</f>
        <v>1343.62137976604</v>
      </c>
      <c r="H21" s="0" t="n">
        <f aca="false">H19*H20</f>
        <v>1274.55672940423</v>
      </c>
      <c r="I21" s="0" t="n">
        <f aca="false">I19*I20</f>
        <v>1209.04213116383</v>
      </c>
      <c r="J21" s="0" t="n">
        <f aca="false">J19*J20</f>
        <v>1146.89510573017</v>
      </c>
      <c r="K21" s="0" t="n">
        <f aca="false">K19*K20</f>
        <v>1087.94255356647</v>
      </c>
      <c r="L21" s="0" t="n">
        <f aca="false">L19*L20</f>
        <v>1032.02027277567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13527.0584872657</v>
      </c>
    </row>
    <row r="31" customFormat="false" ht="15" hidden="false" customHeight="false" outlineLevel="0" collapsed="false">
      <c r="A31" s="0" t="s">
        <v>137</v>
      </c>
      <c r="B31" s="0" t="n">
        <f aca="false">L19</f>
        <v>2030.14008034101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41414.8576389566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30452.1012051151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30452.1012051151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15480.3040916351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29007.3625789008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24105.2625789008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119.629094684371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-0.272373367286838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495.760967070206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785.242259622722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125.986430796991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15928.7913995987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43.0393112494451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6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11692.576</v>
      </c>
      <c r="C6" s="0" t="n">
        <f aca="false">B6*(1+C5/100)</f>
        <v>12394.13056</v>
      </c>
      <c r="D6" s="0" t="n">
        <f aca="false">C6*(1+D5/100)</f>
        <v>12827.9251296</v>
      </c>
      <c r="E6" s="0" t="n">
        <f aca="false">D6*(1+E5/100)</f>
        <v>13276.902509136</v>
      </c>
      <c r="F6" s="0" t="n">
        <f aca="false">E6*(1+F5/100)</f>
        <v>13675.2095844101</v>
      </c>
      <c r="G6" s="0" t="n">
        <f aca="false">F6*(1+G5/100)</f>
        <v>14085.4658719424</v>
      </c>
      <c r="H6" s="0" t="n">
        <f aca="false">G6*(1+H5/100)</f>
        <v>14508.0298481007</v>
      </c>
      <c r="I6" s="0" t="n">
        <f aca="false">H6*(1+I5/100)</f>
        <v>14870.7305943032</v>
      </c>
      <c r="J6" s="0" t="n">
        <f aca="false">I6*(1+J5/100)</f>
        <v>15242.4988591607</v>
      </c>
      <c r="K6" s="0" t="n">
        <f aca="false">J6*(1+K5/100)</f>
        <v>15623.5613306398</v>
      </c>
      <c r="L6" s="0" t="n">
        <f aca="false">K6*(1+L5/100)</f>
        <v>16014.1503639058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25.5</v>
      </c>
      <c r="D7" s="4" t="n">
        <f aca="false">Assumptions!D28</f>
        <v>26.5</v>
      </c>
      <c r="E7" s="4" t="n">
        <f aca="false">Assumptions!E28</f>
        <v>27</v>
      </c>
      <c r="F7" s="4" t="n">
        <f aca="false">Assumptions!F28</f>
        <v>27</v>
      </c>
      <c r="G7" s="4" t="n">
        <f aca="false">Assumptions!G28</f>
        <v>27</v>
      </c>
      <c r="H7" s="4" t="n">
        <f aca="false">Assumptions!H28</f>
        <v>27</v>
      </c>
      <c r="I7" s="4" t="n">
        <f aca="false">Assumptions!I28</f>
        <v>27</v>
      </c>
      <c r="J7" s="4" t="n">
        <f aca="false">Assumptions!J28</f>
        <v>27</v>
      </c>
      <c r="K7" s="4" t="n">
        <f aca="false">Assumptions!K28</f>
        <v>27</v>
      </c>
      <c r="L7" s="4" t="n">
        <f aca="false">Assumptions!L28</f>
        <v>27</v>
      </c>
    </row>
    <row r="8" customFormat="false" ht="15" hidden="false" customHeight="false" outlineLevel="0" collapsed="false">
      <c r="A8" s="0" t="s">
        <v>43</v>
      </c>
      <c r="C8" s="0" t="n">
        <f aca="false">C6*C7/100</f>
        <v>3160.5032928</v>
      </c>
      <c r="D8" s="0" t="n">
        <f aca="false">D6*D7/100</f>
        <v>3399.400159344</v>
      </c>
      <c r="E8" s="0" t="n">
        <f aca="false">E6*E7/100</f>
        <v>3584.76367746672</v>
      </c>
      <c r="F8" s="0" t="n">
        <f aca="false">F6*F7/100</f>
        <v>3692.30658779072</v>
      </c>
      <c r="G8" s="0" t="n">
        <f aca="false">G6*G7/100</f>
        <v>3803.07578542444</v>
      </c>
      <c r="H8" s="0" t="n">
        <f aca="false">H6*H7/100</f>
        <v>3917.16805898718</v>
      </c>
      <c r="I8" s="0" t="n">
        <f aca="false">I6*I7/100</f>
        <v>4015.09726046186</v>
      </c>
      <c r="J8" s="0" t="n">
        <f aca="false">J6*J7/100</f>
        <v>4115.4746919734</v>
      </c>
      <c r="K8" s="0" t="n">
        <f aca="false">K6*K7/100</f>
        <v>4218.36155927274</v>
      </c>
      <c r="L8" s="0" t="n">
        <f aca="false">L6*L7/100</f>
        <v>4323.82059825455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0.56</v>
      </c>
      <c r="D9" s="4" t="n">
        <f aca="false">Assumptions!D29</f>
        <v>0.55</v>
      </c>
      <c r="E9" s="4" t="n">
        <f aca="false">Assumptions!E29</f>
        <v>0.55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-69.407131136</v>
      </c>
      <c r="D10" s="0" t="n">
        <f aca="false">-D6*D9/100</f>
        <v>-70.5535882128</v>
      </c>
      <c r="E10" s="0" t="n">
        <f aca="false">-E6*E9/100</f>
        <v>-73.022963800248</v>
      </c>
      <c r="F10" s="0" t="n">
        <f aca="false">-F6*F9/100</f>
        <v>-68.3760479220504</v>
      </c>
      <c r="G10" s="0" t="n">
        <f aca="false">-G6*G9/100</f>
        <v>-70.4273293597119</v>
      </c>
      <c r="H10" s="0" t="n">
        <f aca="false">-H6*H9/100</f>
        <v>-72.5401492405033</v>
      </c>
      <c r="I10" s="0" t="n">
        <f aca="false">-I6*I9/100</f>
        <v>-74.3536529715158</v>
      </c>
      <c r="J10" s="0" t="n">
        <f aca="false">-J6*J9/100</f>
        <v>-76.2124942958037</v>
      </c>
      <c r="K10" s="0" t="n">
        <f aca="false">-K6*K9/100</f>
        <v>-78.1178066531988</v>
      </c>
      <c r="L10" s="0" t="n">
        <f aca="false">-L6*L9/100</f>
        <v>-80.0707518195288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3091.096161664</v>
      </c>
      <c r="D11" s="0" t="n">
        <f aca="false">D8+D10+D24</f>
        <v>3328.8465711312</v>
      </c>
      <c r="E11" s="0" t="n">
        <f aca="false">E8+E10+E24</f>
        <v>3511.74071366647</v>
      </c>
      <c r="F11" s="0" t="n">
        <f aca="false">F8+F10+F24</f>
        <v>3623.93053986867</v>
      </c>
      <c r="G11" s="0" t="n">
        <f aca="false">G8+G10+G24</f>
        <v>3732.64845606473</v>
      </c>
      <c r="H11" s="0" t="n">
        <f aca="false">H8+H10+H24</f>
        <v>3844.62790974667</v>
      </c>
      <c r="I11" s="0" t="n">
        <f aca="false">I8+I10+I24</f>
        <v>3940.74360749034</v>
      </c>
      <c r="J11" s="0" t="n">
        <f aca="false">J8+J10+J24</f>
        <v>4039.2621976776</v>
      </c>
      <c r="K11" s="0" t="n">
        <f aca="false">K8+K10+K24</f>
        <v>4140.24375261954</v>
      </c>
      <c r="L11" s="0" t="n">
        <f aca="false">L8+L10+L24</f>
        <v>4243.74984643503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-532.94761408</v>
      </c>
      <c r="D12" s="4" t="n">
        <f aca="false">-D6*Assumptions!D31/100</f>
        <v>-538.7728554432</v>
      </c>
      <c r="E12" s="4" t="n">
        <f aca="false">-E6*Assumptions!E31/100</f>
        <v>-544.353002874576</v>
      </c>
      <c r="F12" s="4" t="n">
        <f aca="false">-F6*Assumptions!F31/100</f>
        <v>-547.008383376403</v>
      </c>
      <c r="G12" s="4" t="n">
        <f aca="false">-G6*Assumptions!G31/100</f>
        <v>-563.418634877695</v>
      </c>
      <c r="H12" s="4" t="n">
        <f aca="false">-H6*Assumptions!H31/100</f>
        <v>-580.321193924026</v>
      </c>
      <c r="I12" s="4" t="n">
        <f aca="false">-I6*Assumptions!I31/100</f>
        <v>-594.829223772127</v>
      </c>
      <c r="J12" s="4" t="n">
        <f aca="false">-J6*Assumptions!J31/100</f>
        <v>-609.69995436643</v>
      </c>
      <c r="K12" s="4" t="n">
        <f aca="false">-K6*Assumptions!K31/100</f>
        <v>-624.942453225591</v>
      </c>
      <c r="L12" s="4" t="n">
        <f aca="false">-L6*Assumptions!L31/100</f>
        <v>-640.56601455623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2558.148547584</v>
      </c>
      <c r="D13" s="0" t="n">
        <f aca="false">D11+D12</f>
        <v>2790.073715688</v>
      </c>
      <c r="E13" s="0" t="n">
        <f aca="false">E11+E12</f>
        <v>2967.3877107919</v>
      </c>
      <c r="F13" s="0" t="n">
        <f aca="false">F11+F12</f>
        <v>3076.92215649227</v>
      </c>
      <c r="G13" s="0" t="n">
        <f aca="false">G11+G12</f>
        <v>3169.22982118704</v>
      </c>
      <c r="H13" s="0" t="n">
        <f aca="false">H11+H12</f>
        <v>3264.30671582265</v>
      </c>
      <c r="I13" s="0" t="n">
        <f aca="false">I11+I12</f>
        <v>3345.91438371821</v>
      </c>
      <c r="J13" s="0" t="n">
        <f aca="false">J11+J12</f>
        <v>3429.56224331117</v>
      </c>
      <c r="K13" s="0" t="n">
        <f aca="false">K11+K12</f>
        <v>3515.30129939395</v>
      </c>
      <c r="L13" s="0" t="n">
        <f aca="false">L11+L12</f>
        <v>3603.1838318788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17</v>
      </c>
      <c r="D14" s="4" t="n">
        <f aca="false">Assumptions!D33</f>
        <v>18</v>
      </c>
      <c r="E14" s="4" t="n">
        <f aca="false">Assumptions!E33</f>
        <v>19</v>
      </c>
      <c r="F14" s="4" t="n">
        <f aca="false">Assumptions!F33</f>
        <v>19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2123.26329449472</v>
      </c>
      <c r="D15" s="0" t="n">
        <f aca="false">D13-MAX(0,D13)*D14/100</f>
        <v>2287.86044686416</v>
      </c>
      <c r="E15" s="0" t="n">
        <f aca="false">E13-MAX(0,E13)*E14/100</f>
        <v>2403.58404574144</v>
      </c>
      <c r="F15" s="0" t="n">
        <f aca="false">F13-MAX(0,F13)*F14/100</f>
        <v>2492.30694675874</v>
      </c>
      <c r="G15" s="0" t="n">
        <f aca="false">G13-MAX(0,G13)*G14/100</f>
        <v>2535.38385694963</v>
      </c>
      <c r="H15" s="0" t="n">
        <f aca="false">H13-MAX(0,H13)*H14/100</f>
        <v>2611.44537265812</v>
      </c>
      <c r="I15" s="0" t="n">
        <f aca="false">I13-MAX(0,I13)*I14/100</f>
        <v>2676.73150697457</v>
      </c>
      <c r="J15" s="0" t="n">
        <f aca="false">J13-MAX(0,J13)*J14/100</f>
        <v>2743.64979464893</v>
      </c>
      <c r="K15" s="0" t="n">
        <f aca="false">K13-MAX(0,K13)*K14/100</f>
        <v>2812.24103951516</v>
      </c>
      <c r="L15" s="0" t="n">
        <f aca="false">L13-MAX(0,L13)*L14/100</f>
        <v>2882.54706550304</v>
      </c>
    </row>
    <row r="16" customFormat="false" ht="15" hidden="false" customHeight="false" outlineLevel="0" collapsed="false">
      <c r="A16" s="0" t="s">
        <v>128</v>
      </c>
      <c r="C16" s="0" t="n">
        <f aca="false">-C12</f>
        <v>532.94761408</v>
      </c>
      <c r="D16" s="0" t="n">
        <f aca="false">-D12</f>
        <v>538.7728554432</v>
      </c>
      <c r="E16" s="0" t="n">
        <f aca="false">-E12</f>
        <v>544.353002874576</v>
      </c>
      <c r="F16" s="0" t="n">
        <f aca="false">-F12</f>
        <v>547.008383376403</v>
      </c>
      <c r="G16" s="0" t="n">
        <f aca="false">-G12</f>
        <v>563.418634877695</v>
      </c>
      <c r="H16" s="0" t="n">
        <f aca="false">-H12</f>
        <v>580.321193924026</v>
      </c>
      <c r="I16" s="0" t="n">
        <f aca="false">-I12</f>
        <v>594.829223772127</v>
      </c>
      <c r="J16" s="0" t="n">
        <f aca="false">-J12</f>
        <v>609.69995436643</v>
      </c>
      <c r="K16" s="0" t="n">
        <f aca="false">-K12</f>
        <v>624.942453225591</v>
      </c>
      <c r="L16" s="0" t="n">
        <f aca="false">-L12</f>
        <v>640.56601455623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-470.97696128</v>
      </c>
      <c r="D17" s="4" t="n">
        <f aca="false">-D6*Assumptions!D32/100</f>
        <v>-474.6332297952</v>
      </c>
      <c r="E17" s="4" t="n">
        <f aca="false">-E6*Assumptions!E32/100</f>
        <v>-477.968490328896</v>
      </c>
      <c r="F17" s="4" t="n">
        <f aca="false">-F6*Assumptions!F32/100</f>
        <v>-478.632335454353</v>
      </c>
      <c r="G17" s="4" t="n">
        <f aca="false">-G6*Assumptions!G32/100</f>
        <v>-492.991305517983</v>
      </c>
      <c r="H17" s="4" t="n">
        <f aca="false">-H6*Assumptions!H32/100</f>
        <v>-507.781044683523</v>
      </c>
      <c r="I17" s="4" t="n">
        <f aca="false">-I6*Assumptions!I32/100</f>
        <v>-520.475570800611</v>
      </c>
      <c r="J17" s="4" t="n">
        <f aca="false">-J6*Assumptions!J32/100</f>
        <v>-533.487460070626</v>
      </c>
      <c r="K17" s="4" t="n">
        <f aca="false">-K6*Assumptions!K32/100</f>
        <v>-546.824646572392</v>
      </c>
      <c r="L17" s="4" t="n">
        <f aca="false">-L6*Assumptions!L32/100</f>
        <v>-560.495262736701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-35.077728</v>
      </c>
      <c r="D18" s="4" t="n">
        <f aca="false">(D6-C6)*Assumptions!$B$37/100</f>
        <v>-21.6897284799999</v>
      </c>
      <c r="E18" s="4" t="n">
        <f aca="false">(E6-D6)*Assumptions!$B$37/100</f>
        <v>-22.4488689768</v>
      </c>
      <c r="F18" s="4" t="n">
        <f aca="false">(F6-E6)*Assumptions!$B$37/100</f>
        <v>-19.915353763704</v>
      </c>
      <c r="G18" s="4" t="n">
        <f aca="false">(G6-F6)*Assumptions!$B$37/100</f>
        <v>-20.5128143766151</v>
      </c>
      <c r="H18" s="4" t="n">
        <f aca="false">(H6-G6)*Assumptions!$B$37/100</f>
        <v>-21.1281988079136</v>
      </c>
      <c r="I18" s="4" t="n">
        <f aca="false">(I6-H6)*Assumptions!$B$37/100</f>
        <v>-18.1350373101258</v>
      </c>
      <c r="J18" s="4" t="n">
        <f aca="false">(J6-I6)*Assumptions!$B$37/100</f>
        <v>-18.5884132428789</v>
      </c>
      <c r="K18" s="4" t="n">
        <f aca="false">(K6-J6)*Assumptions!$B$37/100</f>
        <v>-19.0531235739509</v>
      </c>
      <c r="L18" s="4" t="n">
        <f aca="false">(L6-K6)*Assumptions!$B$37/100</f>
        <v>-19.5294516632996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2150.15621929472</v>
      </c>
      <c r="D19" s="0" t="n">
        <f aca="false">D15+D16+D17+D18</f>
        <v>2330.31034403216</v>
      </c>
      <c r="E19" s="0" t="n">
        <f aca="false">E15+E16+E17+E18</f>
        <v>2447.51968931032</v>
      </c>
      <c r="F19" s="0" t="n">
        <f aca="false">F15+F16+F17+F18</f>
        <v>2540.76764091708</v>
      </c>
      <c r="G19" s="0" t="n">
        <f aca="false">G15+G16+G17+G18</f>
        <v>2585.29837193273</v>
      </c>
      <c r="H19" s="0" t="n">
        <f aca="false">H15+H16+H17+H18</f>
        <v>2662.85732309071</v>
      </c>
      <c r="I19" s="0" t="n">
        <f aca="false">I15+I16+I17+I18</f>
        <v>2732.95012263596</v>
      </c>
      <c r="J19" s="0" t="n">
        <f aca="false">J15+J16+J17+J18</f>
        <v>2801.27387570186</v>
      </c>
      <c r="K19" s="0" t="n">
        <f aca="false">K15+K16+K17+K18</f>
        <v>2871.30572259441</v>
      </c>
      <c r="L19" s="0" t="n">
        <f aca="false">L15+L16+L17+L18</f>
        <v>2943.08836565927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2009.49179373338</v>
      </c>
      <c r="D21" s="0" t="n">
        <f aca="false">D19*D20</f>
        <v>2035.38330337336</v>
      </c>
      <c r="E21" s="0" t="n">
        <f aca="false">E19*E20</f>
        <v>1997.90512603257</v>
      </c>
      <c r="F21" s="0" t="n">
        <f aca="false">F19*F20</f>
        <v>1938.33946818093</v>
      </c>
      <c r="G21" s="0" t="n">
        <f aca="false">G19*G20</f>
        <v>1843.28200902966</v>
      </c>
      <c r="H21" s="0" t="n">
        <f aca="false">H19*H20</f>
        <v>1774.37427037435</v>
      </c>
      <c r="I21" s="0" t="n">
        <f aca="false">I19*I20</f>
        <v>1701.94398345501</v>
      </c>
      <c r="J21" s="0" t="n">
        <f aca="false">J19*J20</f>
        <v>1630.36690003867</v>
      </c>
      <c r="K21" s="0" t="n">
        <f aca="false">K19*K20</f>
        <v>1561.80006779406</v>
      </c>
      <c r="L21" s="0" t="n">
        <f aca="false">L19*L20</f>
        <v>1496.11688737281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17989.0038093848</v>
      </c>
    </row>
    <row r="31" customFormat="false" ht="15" hidden="false" customHeight="false" outlineLevel="0" collapsed="false">
      <c r="A31" s="0" t="s">
        <v>137</v>
      </c>
      <c r="B31" s="0" t="n">
        <f aca="false">L19</f>
        <v>2943.08836565927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67037.0127733499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52975.5905818668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52975.5905818668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26930.1039727106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44919.1077820954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40017.0077820954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198.59557211958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0.207928788513959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510.668145507546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927.144616852354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205.731119327321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24133.324598406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67.8930099198158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7</v>
      </c>
      <c r="D5" s="4" t="n">
        <f aca="false">Assumptions!D41</f>
        <v>5</v>
      </c>
      <c r="E5" s="4" t="n">
        <f aca="false">Assumptions!E41</f>
        <v>4.5</v>
      </c>
      <c r="F5" s="4" t="n">
        <f aca="false">Assumptions!F41</f>
        <v>4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11692.576</v>
      </c>
      <c r="C6" s="0" t="n">
        <f aca="false">B6*(1+C5/100)</f>
        <v>12511.05632</v>
      </c>
      <c r="D6" s="0" t="n">
        <f aca="false">C6*(1+D5/100)</f>
        <v>13136.609136</v>
      </c>
      <c r="E6" s="0" t="n">
        <f aca="false">D6*(1+E5/100)</f>
        <v>13727.75654712</v>
      </c>
      <c r="F6" s="0" t="n">
        <f aca="false">E6*(1+F5/100)</f>
        <v>14276.8668090048</v>
      </c>
      <c r="G6" s="0" t="n">
        <f aca="false">F6*(1+G5/100)</f>
        <v>14847.941481365</v>
      </c>
      <c r="H6" s="0" t="n">
        <f aca="false">G6*(1+H5/100)</f>
        <v>15367.6194332128</v>
      </c>
      <c r="I6" s="0" t="n">
        <f aca="false">H6*(1+I5/100)</f>
        <v>15828.6480162092</v>
      </c>
      <c r="J6" s="0" t="n">
        <f aca="false">I6*(1+J5/100)</f>
        <v>16303.5074566954</v>
      </c>
      <c r="K6" s="0" t="n">
        <f aca="false">J6*(1+K5/100)</f>
        <v>16792.6126803963</v>
      </c>
      <c r="L6" s="0" t="n">
        <f aca="false">K6*(1+L5/100)</f>
        <v>17296.3910608082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26.5</v>
      </c>
      <c r="D7" s="4" t="n">
        <f aca="false">Assumptions!D42</f>
        <v>28</v>
      </c>
      <c r="E7" s="4" t="n">
        <f aca="false">Assumptions!E42</f>
        <v>29</v>
      </c>
      <c r="F7" s="4" t="n">
        <f aca="false">Assumptions!F42</f>
        <v>29</v>
      </c>
      <c r="G7" s="4" t="n">
        <f aca="false">Assumptions!G42</f>
        <v>29</v>
      </c>
      <c r="H7" s="4" t="n">
        <f aca="false">Assumptions!H42</f>
        <v>29</v>
      </c>
      <c r="I7" s="4" t="n">
        <f aca="false">Assumptions!I42</f>
        <v>29</v>
      </c>
      <c r="J7" s="4" t="n">
        <f aca="false">Assumptions!J42</f>
        <v>29</v>
      </c>
      <c r="K7" s="4" t="n">
        <f aca="false">Assumptions!K42</f>
        <v>29</v>
      </c>
      <c r="L7" s="4" t="n">
        <f aca="false">Assumptions!L42</f>
        <v>29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3315.4299248</v>
      </c>
      <c r="D8" s="0" t="n">
        <f aca="false">D6*D7/100</f>
        <v>3678.25055808</v>
      </c>
      <c r="E8" s="0" t="n">
        <f aca="false">E6*E7/100</f>
        <v>3981.0493986648</v>
      </c>
      <c r="F8" s="0" t="n">
        <f aca="false">F6*F7/100</f>
        <v>4140.29137461139</v>
      </c>
      <c r="G8" s="0" t="n">
        <f aca="false">G6*G7/100</f>
        <v>4305.90302959585</v>
      </c>
      <c r="H8" s="0" t="n">
        <f aca="false">H6*H7/100</f>
        <v>4456.6096356317</v>
      </c>
      <c r="I8" s="0" t="n">
        <f aca="false">I6*I7/100</f>
        <v>4590.30792470065</v>
      </c>
      <c r="J8" s="0" t="n">
        <f aca="false">J6*J7/100</f>
        <v>4728.01716244167</v>
      </c>
      <c r="K8" s="0" t="n">
        <f aca="false">K6*K7/100</f>
        <v>4869.85767731492</v>
      </c>
      <c r="L8" s="0" t="n">
        <f aca="false">L6*L7/100</f>
        <v>5015.95340763437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0.56</v>
      </c>
      <c r="D9" s="4" t="n">
        <f aca="false">Assumptions!D43</f>
        <v>0.55</v>
      </c>
      <c r="E9" s="4" t="n">
        <f aca="false">Assumptions!E43</f>
        <v>0.55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-70.061915392</v>
      </c>
      <c r="D10" s="0" t="n">
        <f aca="false">-D6*D9/100</f>
        <v>-72.251350248</v>
      </c>
      <c r="E10" s="0" t="n">
        <f aca="false">-E6*E9/100</f>
        <v>-75.50266100916</v>
      </c>
      <c r="F10" s="0" t="n">
        <f aca="false">-F6*F9/100</f>
        <v>-71.384334045024</v>
      </c>
      <c r="G10" s="0" t="n">
        <f aca="false">-G6*G9/100</f>
        <v>-74.239707406825</v>
      </c>
      <c r="H10" s="0" t="n">
        <f aca="false">-H6*H9/100</f>
        <v>-76.8380971660638</v>
      </c>
      <c r="I10" s="0" t="n">
        <f aca="false">-I6*I9/100</f>
        <v>-79.1432400810458</v>
      </c>
      <c r="J10" s="0" t="n">
        <f aca="false">-J6*J9/100</f>
        <v>-81.5175372834771</v>
      </c>
      <c r="K10" s="0" t="n">
        <f aca="false">-K6*K9/100</f>
        <v>-83.9630634019814</v>
      </c>
      <c r="L10" s="0" t="n">
        <f aca="false">-L6*L9/100</f>
        <v>-86.4819553040409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3245.368009408</v>
      </c>
      <c r="D11" s="0" t="n">
        <f aca="false">D8+D10+D24</f>
        <v>3605.999207832</v>
      </c>
      <c r="E11" s="0" t="n">
        <f aca="false">E8+E10+E24</f>
        <v>3905.54673765564</v>
      </c>
      <c r="F11" s="0" t="n">
        <f aca="false">F8+F10+F24</f>
        <v>4068.90704056637</v>
      </c>
      <c r="G11" s="0" t="n">
        <f aca="false">G8+G10+G24</f>
        <v>4231.66332218902</v>
      </c>
      <c r="H11" s="0" t="n">
        <f aca="false">H8+H10+H24</f>
        <v>4379.77153846564</v>
      </c>
      <c r="I11" s="0" t="n">
        <f aca="false">I8+I10+I24</f>
        <v>4511.16468461961</v>
      </c>
      <c r="J11" s="0" t="n">
        <f aca="false">J8+J10+J24</f>
        <v>4646.4996251582</v>
      </c>
      <c r="K11" s="0" t="n">
        <f aca="false">K8+K10+K24</f>
        <v>4785.89461391294</v>
      </c>
      <c r="L11" s="0" t="n">
        <f aca="false">L8+L10+L24</f>
        <v>4929.47145233033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-537.97542176</v>
      </c>
      <c r="D12" s="4" t="n">
        <f aca="false">-D6*Assumptions!D45/100</f>
        <v>-551.737583712</v>
      </c>
      <c r="E12" s="4" t="n">
        <f aca="false">-E6*Assumptions!E45/100</f>
        <v>-562.83801843192</v>
      </c>
      <c r="F12" s="4" t="n">
        <f aca="false">-F6*Assumptions!F45/100</f>
        <v>-571.074672360192</v>
      </c>
      <c r="G12" s="4" t="n">
        <f aca="false">-G6*Assumptions!G45/100</f>
        <v>-593.9176592546</v>
      </c>
      <c r="H12" s="4" t="n">
        <f aca="false">-H6*Assumptions!H45/100</f>
        <v>-614.704777328511</v>
      </c>
      <c r="I12" s="4" t="n">
        <f aca="false">-I6*Assumptions!I45/100</f>
        <v>-633.145920648366</v>
      </c>
      <c r="J12" s="4" t="n">
        <f aca="false">-J6*Assumptions!J45/100</f>
        <v>-652.140298267817</v>
      </c>
      <c r="K12" s="4" t="n">
        <f aca="false">-K6*Assumptions!K45/100</f>
        <v>-671.704507215851</v>
      </c>
      <c r="L12" s="4" t="n">
        <f aca="false">-L6*Assumptions!L45/100</f>
        <v>-691.855642432327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2707.392587648</v>
      </c>
      <c r="D13" s="0" t="n">
        <f aca="false">D11+D12</f>
        <v>3054.26162412</v>
      </c>
      <c r="E13" s="0" t="n">
        <f aca="false">E11+E12</f>
        <v>3342.70871922372</v>
      </c>
      <c r="F13" s="0" t="n">
        <f aca="false">F11+F12</f>
        <v>3497.83236820618</v>
      </c>
      <c r="G13" s="0" t="n">
        <f aca="false">G11+G12</f>
        <v>3637.74566293442</v>
      </c>
      <c r="H13" s="0" t="n">
        <f aca="false">H11+H12</f>
        <v>3765.06676113713</v>
      </c>
      <c r="I13" s="0" t="n">
        <f aca="false">I11+I12</f>
        <v>3878.01876397124</v>
      </c>
      <c r="J13" s="0" t="n">
        <f aca="false">J11+J12</f>
        <v>3994.35932689038</v>
      </c>
      <c r="K13" s="0" t="n">
        <f aca="false">K11+K12</f>
        <v>4114.19010669709</v>
      </c>
      <c r="L13" s="0" t="n">
        <f aca="false">L11+L12</f>
        <v>4237.615809898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17</v>
      </c>
      <c r="D14" s="4" t="n">
        <f aca="false">Assumptions!D47</f>
        <v>18</v>
      </c>
      <c r="E14" s="4" t="n">
        <f aca="false">Assumptions!E47</f>
        <v>19</v>
      </c>
      <c r="F14" s="4" t="n">
        <f aca="false">Assumptions!F47</f>
        <v>19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2247.13584774784</v>
      </c>
      <c r="D15" s="0" t="n">
        <f aca="false">D13-MAX(0,D13)*D14/100</f>
        <v>2504.4945317784</v>
      </c>
      <c r="E15" s="0" t="n">
        <f aca="false">E13-MAX(0,E13)*E14/100</f>
        <v>2707.59406257121</v>
      </c>
      <c r="F15" s="0" t="n">
        <f aca="false">F13-MAX(0,F13)*F14/100</f>
        <v>2833.244218247</v>
      </c>
      <c r="G15" s="0" t="n">
        <f aca="false">G13-MAX(0,G13)*G14/100</f>
        <v>2910.19653034754</v>
      </c>
      <c r="H15" s="0" t="n">
        <f aca="false">H13-MAX(0,H13)*H14/100</f>
        <v>3012.0534089097</v>
      </c>
      <c r="I15" s="0" t="n">
        <f aca="false">I13-MAX(0,I13)*I14/100</f>
        <v>3102.41501117699</v>
      </c>
      <c r="J15" s="0" t="n">
        <f aca="false">J13-MAX(0,J13)*J14/100</f>
        <v>3195.4874615123</v>
      </c>
      <c r="K15" s="0" t="n">
        <f aca="false">K13-MAX(0,K13)*K14/100</f>
        <v>3291.35208535767</v>
      </c>
      <c r="L15" s="0" t="n">
        <f aca="false">L13-MAX(0,L13)*L14/100</f>
        <v>3390.0926479184</v>
      </c>
    </row>
    <row r="16" customFormat="false" ht="15" hidden="false" customHeight="false" outlineLevel="0" collapsed="false">
      <c r="A16" s="0" t="s">
        <v>128</v>
      </c>
      <c r="C16" s="0" t="n">
        <f aca="false">-C12</f>
        <v>537.97542176</v>
      </c>
      <c r="D16" s="0" t="n">
        <f aca="false">-D12</f>
        <v>551.737583712</v>
      </c>
      <c r="E16" s="0" t="n">
        <f aca="false">-E12</f>
        <v>562.83801843192</v>
      </c>
      <c r="F16" s="0" t="n">
        <f aca="false">-F12</f>
        <v>571.074672360192</v>
      </c>
      <c r="G16" s="0" t="n">
        <f aca="false">-G12</f>
        <v>593.9176592546</v>
      </c>
      <c r="H16" s="0" t="n">
        <f aca="false">-H12</f>
        <v>614.704777328511</v>
      </c>
      <c r="I16" s="0" t="n">
        <f aca="false">-I12</f>
        <v>633.145920648366</v>
      </c>
      <c r="J16" s="0" t="n">
        <f aca="false">-J12</f>
        <v>652.140298267817</v>
      </c>
      <c r="K16" s="0" t="n">
        <f aca="false">-K12</f>
        <v>671.704507215851</v>
      </c>
      <c r="L16" s="0" t="n">
        <f aca="false">-L12</f>
        <v>691.855642432327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-475.42014016</v>
      </c>
      <c r="D17" s="4" t="n">
        <f aca="false">-D6*Assumptions!D46/100</f>
        <v>-486.054538032</v>
      </c>
      <c r="E17" s="4" t="n">
        <f aca="false">-E6*Assumptions!E46/100</f>
        <v>-494.19923569632</v>
      </c>
      <c r="F17" s="4" t="n">
        <f aca="false">-F6*Assumptions!F46/100</f>
        <v>-499.690338315168</v>
      </c>
      <c r="G17" s="4" t="n">
        <f aca="false">-G6*Assumptions!G46/100</f>
        <v>-519.677951847775</v>
      </c>
      <c r="H17" s="4" t="n">
        <f aca="false">-H6*Assumptions!H46/100</f>
        <v>-537.866680162447</v>
      </c>
      <c r="I17" s="4" t="n">
        <f aca="false">-I6*Assumptions!I46/100</f>
        <v>-554.00268056732</v>
      </c>
      <c r="J17" s="4" t="n">
        <f aca="false">-J6*Assumptions!J46/100</f>
        <v>-570.62276098434</v>
      </c>
      <c r="K17" s="4" t="n">
        <f aca="false">-K6*Assumptions!K46/100</f>
        <v>-587.74144381387</v>
      </c>
      <c r="L17" s="4" t="n">
        <f aca="false">-L6*Assumptions!L46/100</f>
        <v>-605.373687128286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-40.924016</v>
      </c>
      <c r="D18" s="4" t="n">
        <f aca="false">(D6-C6)*Assumptions!$B$51/100</f>
        <v>-31.2776408000001</v>
      </c>
      <c r="E18" s="4" t="n">
        <f aca="false">(E6-D6)*Assumptions!$B$51/100</f>
        <v>-29.5573705559999</v>
      </c>
      <c r="F18" s="4" t="n">
        <f aca="false">(F6-E6)*Assumptions!$B$51/100</f>
        <v>-27.45551309424</v>
      </c>
      <c r="G18" s="4" t="n">
        <f aca="false">(G6-F6)*Assumptions!$B$51/100</f>
        <v>-28.5537336180097</v>
      </c>
      <c r="H18" s="4" t="n">
        <f aca="false">(H6-G6)*Assumptions!$B$51/100</f>
        <v>-25.9838975923887</v>
      </c>
      <c r="I18" s="4" t="n">
        <f aca="false">(I6-H6)*Assumptions!$B$51/100</f>
        <v>-23.0514291498192</v>
      </c>
      <c r="J18" s="4" t="n">
        <f aca="false">(J6-I6)*Assumptions!$B$51/100</f>
        <v>-23.7429720243137</v>
      </c>
      <c r="K18" s="4" t="n">
        <f aca="false">(K6-J6)*Assumptions!$B$51/100</f>
        <v>-24.4552611850431</v>
      </c>
      <c r="L18" s="4" t="n">
        <f aca="false">(L6-K6)*Assumptions!$B$51/100</f>
        <v>-25.1889190205944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2268.76711334784</v>
      </c>
      <c r="D19" s="0" t="n">
        <f aca="false">D15+D16+D17+D18</f>
        <v>2538.8999366584</v>
      </c>
      <c r="E19" s="0" t="n">
        <f aca="false">E15+E16+E17+E18</f>
        <v>2746.67547475081</v>
      </c>
      <c r="F19" s="0" t="n">
        <f aca="false">F15+F16+F17+F18</f>
        <v>2877.17303919779</v>
      </c>
      <c r="G19" s="0" t="n">
        <f aca="false">G15+G16+G17+G18</f>
        <v>2955.88250413635</v>
      </c>
      <c r="H19" s="0" t="n">
        <f aca="false">H15+H16+H17+H18</f>
        <v>3062.90760848338</v>
      </c>
      <c r="I19" s="0" t="n">
        <f aca="false">I15+I16+I17+I18</f>
        <v>3158.50682210822</v>
      </c>
      <c r="J19" s="0" t="n">
        <f aca="false">J15+J16+J17+J18</f>
        <v>3253.26202677147</v>
      </c>
      <c r="K19" s="0" t="n">
        <f aca="false">K15+K16+K17+K18</f>
        <v>3350.85988757461</v>
      </c>
      <c r="L19" s="0" t="n">
        <f aca="false">L15+L16+L17+L18</f>
        <v>3451.38568420185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2120.34309658677</v>
      </c>
      <c r="D21" s="0" t="n">
        <f aca="false">D19*D20</f>
        <v>2217.57353188785</v>
      </c>
      <c r="E21" s="0" t="n">
        <f aca="false">E19*E20</f>
        <v>2242.10535854726</v>
      </c>
      <c r="F21" s="0" t="n">
        <f aca="false">F19*F20</f>
        <v>2194.98153583622</v>
      </c>
      <c r="G21" s="0" t="n">
        <f aca="false">G19*G20</f>
        <v>2107.5033736268</v>
      </c>
      <c r="H21" s="0" t="n">
        <f aca="false">H19*H20</f>
        <v>2040.94466718133</v>
      </c>
      <c r="I21" s="0" t="n">
        <f aca="false">I19*I20</f>
        <v>1966.95930820861</v>
      </c>
      <c r="J21" s="0" t="n">
        <f aca="false">J19*J20</f>
        <v>1893.4281191167</v>
      </c>
      <c r="K21" s="0" t="n">
        <f aca="false">K19*K20</f>
        <v>1822.64575952355</v>
      </c>
      <c r="L21" s="0" t="n">
        <f aca="false">L19*L20</f>
        <v>1754.50946944791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20360.994219963</v>
      </c>
    </row>
    <row r="31" customFormat="false" ht="15" hidden="false" customHeight="false" outlineLevel="0" collapsed="false">
      <c r="A31" s="0" t="s">
        <v>137</v>
      </c>
      <c r="B31" s="0" t="n">
        <f aca="false">L19</f>
        <v>3451.38568420185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88873.1813681976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69027.713684037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69027.713684037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35090.1893889582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55451.1836089212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50549.0836089212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250.863938505812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0.525843552738959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535.173100795005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1132.04829960181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259.137990120685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29624.3937893992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82.4543597126937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119.629094684371</v>
      </c>
      <c r="C4" s="0" t="n">
        <f aca="false">B4/Assumptions!$B$2-1</f>
        <v>-0.272373367286838</v>
      </c>
      <c r="D4" s="4" t="n">
        <f aca="false">Assumptions!$B$24</f>
        <v>0.25</v>
      </c>
      <c r="E4" s="4" t="n">
        <f aca="false">DCF_Bear!$B$43</f>
        <v>125.986430796991</v>
      </c>
      <c r="F4" s="4" t="n">
        <f aca="false">DCF_Bear!$B$47</f>
        <v>43.0393112494451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198.59557211958</v>
      </c>
      <c r="C5" s="0" t="n">
        <f aca="false">B5/Assumptions!$B$2-1</f>
        <v>0.207928788513959</v>
      </c>
      <c r="D5" s="4" t="n">
        <f aca="false">Assumptions!$B$38</f>
        <v>0.5</v>
      </c>
      <c r="E5" s="4" t="n">
        <f aca="false">DCF_Base!$B$43</f>
        <v>205.731119327321</v>
      </c>
      <c r="F5" s="4" t="n">
        <f aca="false">DCF_Base!$B$47</f>
        <v>67.8930099198158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250.863938505812</v>
      </c>
      <c r="C6" s="0" t="n">
        <f aca="false">B6/Assumptions!$B$2-1</f>
        <v>0.525843552738959</v>
      </c>
      <c r="D6" s="4" t="n">
        <f aca="false">Assumptions!$B$52</f>
        <v>0.25</v>
      </c>
      <c r="E6" s="4" t="n">
        <f aca="false">DCF_Bull!$B$43</f>
        <v>259.137990120685</v>
      </c>
      <c r="F6" s="4" t="n">
        <f aca="false">DCF_Bull!$B$47</f>
        <v>82.4543597126937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191.921044357336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199.14666489308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0.143345637001189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-380.742999459267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65.3199227004426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198.59557211958</v>
      </c>
      <c r="C15" s="3" t="n">
        <v>7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154.144445125622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130.174367669438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111.848536576456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97.3844017537938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67.8930099198158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235.70696706885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235.70696706885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235.70696706885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235.70696706885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235.70696706885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216.259374844614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216.259374844614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216.259374844614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216.259374844614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216.259374844614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198.59557211958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198.59557211958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198.59557211958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198.59557211958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198.59557211958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166.399734547328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175.767151453211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182.53250810746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182.53250810746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182.53250810746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140.349653334611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146.754378094723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154.144445125622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162.766189995004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167.907597485919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2026-09-28T21:31:27Z</dcterms:created>
  <dc:creator>openpyxl</dc:creator>
  <dc:description/>
  <dc:language>en-NZ</dc:language>
  <cp:lastModifiedBy/>
  <dcterms:modified xsi:type="dcterms:W3CDTF">2026-09-28T21:31:27Z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