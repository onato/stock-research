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<sst xmlns="http://schemas.openxmlformats.org/spreadsheetml/2006/main" count="373" uniqueCount="182">
  <si>
    <t xml:space="preserve">Ticker</t>
  </si>
  <si>
    <t xml:space="preserve">1963.HK</t>
  </si>
  <si>
    <t xml:space="preserve">Company</t>
  </si>
  <si>
    <t xml:space="preserve">Bank of Chongqing Co., Ltd.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</si>
  <si>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</si>
  <si>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</si>
  <si>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</si>
  <si>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</si>
  <si>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 (Yahoo regularMarketTime)</t>
  </si>
  <si>
    <t xml:space="preserve">Balance sheet date</t>
  </si>
  <si>
    <t xml:space="preserve">2026-06-30</t>
  </si>
  <si>
    <t xml:space="preserve">Model</t>
  </si>
  <si>
    <t xml:space="preserve">Bank FCFE at cost of equity (capital-retention residual income, 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</si>
  <si>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</si>
  <si>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</si>
  <si>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</si>
  <si>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</si>
  <si>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</si>
  <si>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</si>
  <si>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</si>
  <si>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</si>
  <si>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</si>
  <si>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2026-10-17T00:08:25Z</t>
  </si>
  <si>
    <t xml:space="preserve">Drivers file</t>
  </si>
  <si>
    <t xml:space="preserve">1963.HK_Drivers.json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</si>
  <si>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</si>
  <si>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</si>
  <si>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</si>
  <si>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Chinese city commercial bank is worth the capital it can release to ordinary shareholders, discounted at a cost of equity. Earnings are real (ROE ~12% headline) but growth is policy-directed and capital-hungry, so most profit is retained; the 35% convertible dilution is charged up front because the A share trades 20% above the conversion price.
key_risks_to_valuation: Convertible does not convert (A share falls below RMB9.22 into the March 2028 maturity): no dilution but CET1 stays ~8.4% and a rights issue becomes likely; RWA growth stays near 15-20%: retention exceeds earnings and FCFE stays negative; LGFV / Chongqing property credit losses in a single-province book; NIM compression from LPR cuts resuming; Minority H-share holders rank behind state shareholders' policy objectives</t>
  </si>
  <si>
    <t xml:space="preserve">Data sources</t>
  </si>
  <si>
    <t xml:space="preserve">price: Yahoo Finance chart API at inputs.price_as_of; 52-week range 7.07-8.81 HKD. A share 601963.SS and FX from the same source, same day.
financials: 1963.HK_Metrics.csv (core_metrics, RMB millions) and kpis; H1 2026 interim report (key indicators p.9, EPS note 13, convertible bond 7.2, perpetual bonds note 31, capital adequacy).
qualitative: Interim and annual report management discussion; no Analysis JSON present at build time.</t>
  </si>
  <si>
    <t xml:space="preserve">Scenario narrative: bear</t>
  </si>
  <si>
    <t xml:space="preserve">Single-province credit cycle (LGFVs, property) with continued policy lending: earnings fall, capital is consumed for five years, and a dilutive raise or dividend cut follows.</t>
  </si>
  <si>
    <t xml:space="preserve">Scenario narrative: base</t>
  </si>
  <si>
    <t xml:space="preserve">Growth slows from ~11% to 3% over a decade, pre-tax margin holds 44.5%, CET1 held at 9.5% after the convertible converts. FCFE is ~nil near-term and builds as RWA growth slows; terminal ROE on CET1 ~9% against an 11.5% cost of equity, so fair value is below diluted book.</t>
  </si>
  <si>
    <t xml:space="preserve">Scenario narrative: bull</t>
  </si>
  <si>
    <t xml:space="preserve">NIM recovery and benign credit lift margin to 47% and revenue outgrows RWA; ROE on CET1 rises to ~11%.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</si>
  <si>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</si>
  <si>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</si>
  <si>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</si>
  <si>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</si>
  <si>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</si>
  <si>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</si>
  <si>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</si>
  <si>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</si>
  <si>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</si>
  <si>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</si>
  <si>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</si>
  <si>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</si>
  <si>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</si>
  <si>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</si>
  <si>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</si>
  <si>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</si>
  <si>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</si>
  <si>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</si>
  <si>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</si>
  <si>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</si>
  <si>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</si>
  <si>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</si>
  <si>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</si>
  <si>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</si>
  <si>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</si>
  <si>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</si>
  <si>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</si>
  <si>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AllowanceCoverageRatio</t>
  </si>
  <si>
    <t xml:space="preserve">CET1Ratio</t>
  </si>
  <si>
    <t xml:space="preserve">CostToIncomeRatio</t>
  </si>
  <si>
    <t xml:space="preserve">CreditImpairmentCharge</t>
  </si>
  <si>
    <t xml:space="preserve">CustomerDeposits</t>
  </si>
  <si>
    <t xml:space="preserve">DilutedEPS</t>
  </si>
  <si>
    <t xml:space="preserve">GrossInterestIncome</t>
  </si>
  <si>
    <t xml:space="preserve">NIM</t>
  </si>
  <si>
    <t xml:space="preserve">NPLRatio</t>
  </si>
  <si>
    <t xml:space="preserve">NetFeeAndCommissionIncome</t>
  </si>
  <si>
    <t xml:space="preserve">NetIncomeInclNCI</t>
  </si>
  <si>
    <t xml:space="preserve">NetInterestIncome</t>
  </si>
  <si>
    <t xml:space="preserve">NetLoansAndAdvances</t>
  </si>
  <si>
    <t xml:space="preserve">OperatingExpenses</t>
  </si>
  <si>
    <t xml:space="preserve">TotalCapitalRatio</t>
  </si>
  <si>
    <t xml:space="preserve">TotalEquityInclNCI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</si>
  <si>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</si>
  <si>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</si>
  <si>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</si>
  <si>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</si>
  <si>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</si>
  <si>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</si>
  <si>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</si>
  <si>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</si>
  <si>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</si>
  <si>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</si>
  <si>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</si>
  <si>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</si>
  <si>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</si>
  <si>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</si>
  <si>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</si>
  <si>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</si>
  <si>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</si>
  <si>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</si>
  <si>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(year ending 2026-12-31, unreported: H1 2026 actual + H2 estimate)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</si>
  <si>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</si>
  <si>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</si>
  <si>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</si>
  <si>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</si>
  <si>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</si>
  <si>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</si>
  <si>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</si>
  <si>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</si>
  <si>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</si>
  <si>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</si>
  <si>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</si>
  <si>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</si>
  <si>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</si>
  <si>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</si>
  <si>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</si>
  <si>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</si>
  <si>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</si>
  <si>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</si>
  <si>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</si>
  <si>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</si>
  <si>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</si>
  <si>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</si>
  <si>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</si>
  <si>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</si>
  <si>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</si>
  <si>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</si>
  <si>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</si>
  <si>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</si>
  <si>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1963.HK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</si>
  <si>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</si>
  <si>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</si>
  <si>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</si>
  <si>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</si>
  <si>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</si>
  <si>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</si>
  <si>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</si>
  <si>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</si>
  <si>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</si>
  <si>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</si>
  <si>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</si>
  <si>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</si>
  <si>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</si>
  <si>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</si>
  <si>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</si>
  <si>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</si>
  <si>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</si>
  <si>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</si>
  <si>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</si>
  <si>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</si>
  <si>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</si>
  <si>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</si>
  <si>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</si>
  <si>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</si>
  <si>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</si>
  <si>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</si>
  <si>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</si>
  <si>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</si>
  <si>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</si>
  <si>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</si>
  <si>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1963.HK owner-FCF component DCF: base case (millions, CNY)</t>
  </si>
  <si>
    <t xml:space="preserve">1963.HK owner-FCF component DCF: bull case (millions, CNY)</t>
  </si>
  <si>
    <t xml:space="preserve">1963.HK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</si>
  <si>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</si>
  <si>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</si>
  <si>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</si>
  <si>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</si>
  <si>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</si>
  <si>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</si>
  <si>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</si>
  <si>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</si>
  <si>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</si>
  <si>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</si>
  <si>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</si>
  <si>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</si>
  <si>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</si>
  <si>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</si>
  <si>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</si>
  <si>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</si>
  <si>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</si>
  <si>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11.5%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</si>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</sst>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8.17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  <c r="AM1" s="2" t="s">
        <v>74</v>
      </c>
      <c r="AN1" s="2" t="s">
        <v>75</v>
      </c>
      <c r="AO1" s="2" t="s">
        <v>76</v>
      </c>
      <c r="AP1" s="2" t="s">
        <v>77</v>
      </c>
      <c r="AQ1" s="2" t="s">
        <v>78</v>
      </c>
      <c r="AR1" s="2" t="s">
        <v>79</v>
      </c>
    </row>
    <row r="2" customFormat="false" ht="15" hidden="false" customHeight="false" outlineLevel="0" collapsed="false">
      <c r="A2" s="0" t="s">
        <v>80</v>
      </c>
      <c r="B2" s="0" t="n">
        <v>10014.806</v>
      </c>
      <c r="F2" s="0" t="n">
        <v>4716.777</v>
      </c>
      <c r="G2" s="0" t="n">
        <v>47.1</v>
      </c>
      <c r="I2" s="0" t="n">
        <v>3725.881</v>
      </c>
      <c r="J2" s="0" t="n">
        <v>37.2</v>
      </c>
      <c r="K2" s="0" t="n">
        <v>1.19</v>
      </c>
      <c r="L2" s="0" t="n">
        <v>-6934.186</v>
      </c>
      <c r="M2" s="0" t="n">
        <v>378.525</v>
      </c>
      <c r="O2" s="0" t="n">
        <v>30951.596</v>
      </c>
      <c r="P2" s="0" t="n">
        <v>422763.025</v>
      </c>
      <c r="Q2" s="0" t="n">
        <v>390303.113</v>
      </c>
      <c r="R2" s="0" t="n">
        <v>88727.33</v>
      </c>
      <c r="S2" s="0" t="n">
        <v>20424.977</v>
      </c>
      <c r="T2" s="0" t="n">
        <v>3127.055</v>
      </c>
      <c r="AA2" s="0" t="s">
        <v>18</v>
      </c>
      <c r="AB2" s="0" t="s">
        <v>14</v>
      </c>
      <c r="AC2" s="0" t="n">
        <v>210.16</v>
      </c>
      <c r="AE2" s="0" t="n">
        <v>22</v>
      </c>
      <c r="AF2" s="0" t="n">
        <v>2999.164</v>
      </c>
      <c r="AG2" s="0" t="n">
        <v>238704.678</v>
      </c>
      <c r="AH2" s="0" t="n">
        <v>1.19</v>
      </c>
      <c r="AJ2" s="0" t="n">
        <v>2.11</v>
      </c>
      <c r="AK2" s="0" t="n">
        <v>1.35</v>
      </c>
      <c r="AL2" s="0" t="n">
        <v>1680.056</v>
      </c>
      <c r="AM2" s="0" t="n">
        <v>3764.197</v>
      </c>
      <c r="AN2" s="0" t="n">
        <v>8115.095</v>
      </c>
      <c r="AO2" s="0" t="n">
        <v>172162.09</v>
      </c>
      <c r="AP2" s="0" t="n">
        <v>2298.865</v>
      </c>
      <c r="AR2" s="0" t="n">
        <v>32459.912</v>
      </c>
    </row>
    <row r="3" customFormat="false" ht="15" hidden="false" customHeight="false" outlineLevel="0" collapsed="false">
      <c r="A3" s="0" t="s">
        <v>81</v>
      </c>
      <c r="B3" s="0" t="n">
        <v>10630.084</v>
      </c>
      <c r="F3" s="0" t="n">
        <v>4622.195</v>
      </c>
      <c r="G3" s="0" t="n">
        <v>43.5</v>
      </c>
      <c r="I3" s="0" t="n">
        <v>3769.847</v>
      </c>
      <c r="J3" s="0" t="n">
        <v>35.5</v>
      </c>
      <c r="K3" s="0" t="n">
        <v>1.11</v>
      </c>
      <c r="L3" s="0" t="n">
        <v>-34163.311</v>
      </c>
      <c r="M3" s="0" t="n">
        <v>411.145</v>
      </c>
      <c r="O3" s="0" t="n">
        <v>33051.012</v>
      </c>
      <c r="P3" s="0" t="n">
        <v>450368.973</v>
      </c>
      <c r="Q3" s="0" t="n">
        <v>415757.4</v>
      </c>
      <c r="R3" s="0" t="n">
        <v>96982.613</v>
      </c>
      <c r="S3" s="0" t="n">
        <v>14267.072</v>
      </c>
      <c r="T3" s="0" t="n">
        <v>3127.055</v>
      </c>
      <c r="AA3" s="0" t="s">
        <v>18</v>
      </c>
      <c r="AB3" s="0" t="s">
        <v>14</v>
      </c>
      <c r="AC3" s="0" t="n">
        <v>225.87</v>
      </c>
      <c r="AE3" s="0" t="n">
        <v>22.93</v>
      </c>
      <c r="AF3" s="0" t="n">
        <v>3436.768</v>
      </c>
      <c r="AG3" s="0" t="n">
        <v>256394.193</v>
      </c>
      <c r="AH3" s="0" t="n">
        <v>1.11</v>
      </c>
      <c r="AJ3" s="0" t="n">
        <v>2.07</v>
      </c>
      <c r="AK3" s="0" t="n">
        <v>1.36</v>
      </c>
      <c r="AL3" s="0" t="n">
        <v>1341.922</v>
      </c>
      <c r="AM3" s="0" t="n">
        <v>3822.095</v>
      </c>
      <c r="AN3" s="0" t="n">
        <v>6875.646</v>
      </c>
      <c r="AO3" s="0" t="n">
        <v>205923.212</v>
      </c>
      <c r="AP3" s="0" t="n">
        <v>2571.121</v>
      </c>
      <c r="AR3" s="0" t="n">
        <v>34611.573</v>
      </c>
    </row>
    <row r="4" customFormat="false" ht="15" hidden="false" customHeight="false" outlineLevel="0" collapsed="false">
      <c r="A4" s="0" t="s">
        <v>82</v>
      </c>
      <c r="B4" s="0" t="n">
        <v>11791.037</v>
      </c>
      <c r="F4" s="0" t="n">
        <v>5409.037</v>
      </c>
      <c r="G4" s="0" t="n">
        <v>45.9</v>
      </c>
      <c r="I4" s="0" t="n">
        <v>4207.488</v>
      </c>
      <c r="J4" s="0" t="n">
        <v>35.7</v>
      </c>
      <c r="K4" s="0" t="n">
        <v>1.25</v>
      </c>
      <c r="L4" s="0" t="n">
        <v>-2711.725</v>
      </c>
      <c r="M4" s="0" t="n">
        <v>371.392</v>
      </c>
      <c r="O4" s="0" t="n">
        <v>36949.429</v>
      </c>
      <c r="P4" s="0" t="n">
        <v>501231.864</v>
      </c>
      <c r="Q4" s="0" t="n">
        <v>462618.195</v>
      </c>
      <c r="R4" s="0" t="n">
        <v>105386.006</v>
      </c>
      <c r="S4" s="0" t="n">
        <v>9958.679</v>
      </c>
      <c r="T4" s="0" t="n">
        <v>3127.055</v>
      </c>
      <c r="AA4" s="0" t="s">
        <v>18</v>
      </c>
      <c r="AB4" s="0" t="s">
        <v>14</v>
      </c>
      <c r="AC4" s="0" t="n">
        <v>279.83</v>
      </c>
      <c r="AE4" s="0" t="n">
        <v>22.27</v>
      </c>
      <c r="AF4" s="0" t="n">
        <v>3613.581</v>
      </c>
      <c r="AG4" s="0" t="n">
        <v>281048.911</v>
      </c>
      <c r="AH4" s="0" t="n">
        <v>1.25</v>
      </c>
      <c r="AK4" s="0" t="n">
        <v>1.27</v>
      </c>
      <c r="AL4" s="0" t="n">
        <v>1257.593</v>
      </c>
      <c r="AM4" s="0" t="n">
        <v>4321.457</v>
      </c>
      <c r="AN4" s="0" t="n">
        <v>8839.129</v>
      </c>
      <c r="AO4" s="0" t="n">
        <v>238626.834</v>
      </c>
      <c r="AP4" s="0" t="n">
        <v>2768.419</v>
      </c>
      <c r="AR4" s="0" t="n">
        <v>38613.669</v>
      </c>
    </row>
    <row r="5" customFormat="false" ht="15" hidden="false" customHeight="false" outlineLevel="0" collapsed="false">
      <c r="A5" s="0" t="s">
        <v>83</v>
      </c>
      <c r="B5" s="0" t="n">
        <v>12892.103</v>
      </c>
      <c r="F5" s="0" t="n">
        <v>5570.879</v>
      </c>
      <c r="G5" s="0" t="n">
        <v>43.2</v>
      </c>
      <c r="I5" s="0" t="n">
        <v>4423.633</v>
      </c>
      <c r="J5" s="0" t="n">
        <v>34.3</v>
      </c>
      <c r="K5" s="0" t="n">
        <v>1.32</v>
      </c>
      <c r="L5" s="0" t="n">
        <v>32211.063</v>
      </c>
      <c r="M5" s="0" t="n">
        <v>444.857</v>
      </c>
      <c r="O5" s="0" t="n">
        <v>40174.997</v>
      </c>
      <c r="P5" s="0" t="n">
        <v>561641.397</v>
      </c>
      <c r="Q5" s="0" t="n">
        <v>519647.183</v>
      </c>
      <c r="R5" s="0" t="n">
        <v>101040.342</v>
      </c>
      <c r="S5" s="0" t="n">
        <v>11524.221</v>
      </c>
      <c r="T5" s="0" t="n">
        <v>3127.055</v>
      </c>
      <c r="AA5" s="0" t="s">
        <v>18</v>
      </c>
      <c r="AB5" s="0" t="s">
        <v>14</v>
      </c>
      <c r="AF5" s="0" t="n">
        <v>4436.024</v>
      </c>
      <c r="AG5" s="0" t="n">
        <v>314500.257</v>
      </c>
      <c r="AH5" s="0" t="n">
        <v>1.32</v>
      </c>
      <c r="AL5" s="0" t="n">
        <v>1037.047</v>
      </c>
      <c r="AM5" s="0" t="n">
        <v>4565.695</v>
      </c>
      <c r="AN5" s="0" t="n">
        <v>11060.738</v>
      </c>
      <c r="AO5" s="0" t="n">
        <v>272259.348</v>
      </c>
      <c r="AP5" s="0" t="n">
        <v>2885.2</v>
      </c>
      <c r="AR5" s="0" t="n">
        <v>41994.214</v>
      </c>
    </row>
    <row r="6" customFormat="false" ht="15" hidden="false" customHeight="false" outlineLevel="0" collapsed="false">
      <c r="A6" s="0" t="s">
        <v>84</v>
      </c>
      <c r="B6" s="0" t="n">
        <v>14228.863</v>
      </c>
      <c r="F6" s="0" t="n">
        <v>5796.335</v>
      </c>
      <c r="G6" s="0" t="n">
        <v>40.7</v>
      </c>
      <c r="I6" s="0" t="n">
        <v>4663.743</v>
      </c>
      <c r="J6" s="0" t="n">
        <v>32.8</v>
      </c>
      <c r="K6" s="0" t="n">
        <v>1.28</v>
      </c>
      <c r="L6" s="0" t="n">
        <v>5085.209</v>
      </c>
      <c r="M6" s="0" t="n">
        <v>349.659</v>
      </c>
      <c r="O6" s="0" t="n">
        <v>47273.188</v>
      </c>
      <c r="P6" s="0" t="n">
        <v>618953.62</v>
      </c>
      <c r="Q6" s="0" t="n">
        <v>569706.925</v>
      </c>
      <c r="R6" s="0" t="n">
        <v>118852.07</v>
      </c>
      <c r="S6" s="0" t="n">
        <v>17028.563</v>
      </c>
      <c r="T6" s="0" t="n">
        <v>3474.505</v>
      </c>
      <c r="AA6" s="0" t="s">
        <v>18</v>
      </c>
      <c r="AB6" s="0" t="s">
        <v>14</v>
      </c>
      <c r="AF6" s="0" t="n">
        <v>5100.66</v>
      </c>
      <c r="AG6" s="0" t="n">
        <v>338695.343</v>
      </c>
      <c r="AH6" s="0" t="n">
        <v>1.28</v>
      </c>
      <c r="AL6" s="0" t="n">
        <v>768.822</v>
      </c>
      <c r="AM6" s="0" t="n">
        <v>4859.025</v>
      </c>
      <c r="AN6" s="0" t="n">
        <v>11596.773</v>
      </c>
      <c r="AO6" s="0" t="n">
        <v>306883.598</v>
      </c>
      <c r="AP6" s="0" t="n">
        <v>3322.383</v>
      </c>
      <c r="AR6" s="0" t="n">
        <v>49246.695</v>
      </c>
    </row>
    <row r="7" customFormat="false" ht="15" hidden="false" customHeight="false" outlineLevel="0" collapsed="false">
      <c r="A7" s="0" t="s">
        <v>85</v>
      </c>
      <c r="B7" s="0" t="n">
        <v>13143.636</v>
      </c>
      <c r="F7" s="0" t="n">
        <v>5958.71</v>
      </c>
      <c r="G7" s="0" t="n">
        <v>45.3</v>
      </c>
      <c r="I7" s="0" t="n">
        <v>4867.857</v>
      </c>
      <c r="J7" s="0" t="n">
        <v>37</v>
      </c>
      <c r="K7" s="0" t="n">
        <v>1.31</v>
      </c>
      <c r="L7" s="0" t="n">
        <v>5311.657</v>
      </c>
      <c r="M7" s="0" t="n">
        <v>338.021</v>
      </c>
      <c r="O7" s="0" t="n">
        <v>49336.512</v>
      </c>
      <c r="P7" s="0" t="n">
        <v>684712.563</v>
      </c>
      <c r="Q7" s="0" t="n">
        <v>633217.086</v>
      </c>
      <c r="R7" s="0" t="n">
        <v>133877.105</v>
      </c>
      <c r="S7" s="0" t="n">
        <v>19486.479</v>
      </c>
      <c r="T7" s="0" t="n">
        <v>3474.54</v>
      </c>
      <c r="AA7" s="0" t="s">
        <v>18</v>
      </c>
      <c r="AB7" s="0" t="s">
        <v>14</v>
      </c>
      <c r="AD7" s="0" t="n">
        <v>9.52</v>
      </c>
      <c r="AF7" s="0" t="n">
        <v>3559.161</v>
      </c>
      <c r="AG7" s="0" t="n">
        <v>382594.48</v>
      </c>
      <c r="AH7" s="0" t="n">
        <v>1.11</v>
      </c>
      <c r="AK7" s="0" t="n">
        <v>1.38</v>
      </c>
      <c r="AL7" s="0" t="n">
        <v>761.341</v>
      </c>
      <c r="AM7" s="0" t="n">
        <v>5116.525</v>
      </c>
      <c r="AN7" s="0" t="n">
        <v>10808.258</v>
      </c>
      <c r="AO7" s="0" t="n">
        <v>342446.291</v>
      </c>
      <c r="AP7" s="0" t="n">
        <v>3627.332</v>
      </c>
      <c r="AQ7" s="0" t="n">
        <v>12.72</v>
      </c>
      <c r="AR7" s="0" t="n">
        <v>51495.477</v>
      </c>
    </row>
    <row r="8" customFormat="false" ht="15" hidden="false" customHeight="false" outlineLevel="0" collapsed="false">
      <c r="A8" s="0" t="s">
        <v>86</v>
      </c>
      <c r="B8" s="0" t="n">
        <v>12845.515</v>
      </c>
      <c r="F8" s="0" t="n">
        <v>5715.29</v>
      </c>
      <c r="G8" s="0" t="n">
        <v>44.5</v>
      </c>
      <c r="I8" s="0" t="n">
        <v>4929.787</v>
      </c>
      <c r="J8" s="0" t="n">
        <v>38.4</v>
      </c>
      <c r="K8" s="0" t="n">
        <v>1.36</v>
      </c>
      <c r="L8" s="0" t="n">
        <v>4449.352</v>
      </c>
      <c r="M8" s="0" t="n">
        <v>415.467</v>
      </c>
      <c r="O8" s="0" t="n">
        <v>56917.734</v>
      </c>
      <c r="P8" s="0" t="n">
        <v>759883.87</v>
      </c>
      <c r="Q8" s="0" t="n">
        <v>700584.443</v>
      </c>
      <c r="R8" s="0" t="n">
        <v>153373.831</v>
      </c>
      <c r="S8" s="0" t="n">
        <v>19302.429</v>
      </c>
      <c r="T8" s="0" t="n">
        <v>3474.562</v>
      </c>
      <c r="AA8" s="0" t="s">
        <v>18</v>
      </c>
      <c r="AB8" s="0" t="s">
        <v>14</v>
      </c>
      <c r="AD8" s="0" t="n">
        <v>9.78</v>
      </c>
      <c r="AF8" s="0" t="n">
        <v>3242.972</v>
      </c>
      <c r="AG8" s="0" t="n">
        <v>414812.696</v>
      </c>
      <c r="AH8" s="0" t="n">
        <v>1.09</v>
      </c>
      <c r="AK8" s="0" t="n">
        <v>1.34</v>
      </c>
      <c r="AL8" s="0" t="n">
        <v>411.438</v>
      </c>
      <c r="AM8" s="0" t="n">
        <v>5228.955</v>
      </c>
      <c r="AN8" s="0" t="n">
        <v>10447.003</v>
      </c>
      <c r="AO8" s="0" t="n">
        <v>380795.54</v>
      </c>
      <c r="AP8" s="0" t="n">
        <v>3889.859</v>
      </c>
      <c r="AQ8" s="0" t="n">
        <v>13.37</v>
      </c>
      <c r="AR8" s="0" t="n">
        <v>59299.427</v>
      </c>
    </row>
    <row r="9" customFormat="false" ht="15" hidden="false" customHeight="false" outlineLevel="0" collapsed="false">
      <c r="A9" s="0" t="s">
        <v>87</v>
      </c>
      <c r="B9" s="0" t="n">
        <v>13263.167</v>
      </c>
      <c r="F9" s="0" t="n">
        <v>5973.996</v>
      </c>
      <c r="G9" s="0" t="n">
        <v>45</v>
      </c>
      <c r="I9" s="0" t="n">
        <v>5117.29</v>
      </c>
      <c r="J9" s="0" t="n">
        <v>38.6</v>
      </c>
      <c r="K9" s="0" t="n">
        <v>1.38</v>
      </c>
      <c r="L9" s="0" t="n">
        <v>-20746.886</v>
      </c>
      <c r="M9" s="0" t="n">
        <v>670.484</v>
      </c>
      <c r="O9" s="0" t="n">
        <v>61070.973</v>
      </c>
      <c r="P9" s="0" t="n">
        <v>856641.84</v>
      </c>
      <c r="Q9" s="0" t="n">
        <v>792877.922</v>
      </c>
      <c r="R9" s="0" t="n">
        <v>191559.6</v>
      </c>
      <c r="S9" s="0" t="n">
        <v>16269.842</v>
      </c>
      <c r="T9" s="0" t="n">
        <v>3474.569</v>
      </c>
      <c r="AA9" s="0" t="s">
        <v>18</v>
      </c>
      <c r="AB9" s="0" t="s">
        <v>14</v>
      </c>
      <c r="AC9" s="0" t="n">
        <v>245.08</v>
      </c>
      <c r="AD9" s="0" t="n">
        <v>9.88</v>
      </c>
      <c r="AF9" s="0" t="n">
        <v>3188.648</v>
      </c>
      <c r="AG9" s="0" t="n">
        <v>474116.904</v>
      </c>
      <c r="AH9" s="0" t="n">
        <v>1.1</v>
      </c>
      <c r="AI9" s="0" t="n">
        <v>28690.811</v>
      </c>
      <c r="AK9" s="0" t="n">
        <v>1.25</v>
      </c>
      <c r="AL9" s="0" t="n">
        <v>887.599</v>
      </c>
      <c r="AM9" s="0" t="n">
        <v>5521.031</v>
      </c>
      <c r="AN9" s="0" t="n">
        <v>10176.129</v>
      </c>
      <c r="AO9" s="0" t="n">
        <v>427263.845</v>
      </c>
      <c r="AP9" s="0" t="n">
        <v>4097.551</v>
      </c>
      <c r="AQ9" s="0" t="n">
        <v>14.46</v>
      </c>
      <c r="AR9" s="0" t="n">
        <v>63763.918</v>
      </c>
    </row>
    <row r="10" customFormat="false" ht="15" hidden="false" customHeight="false" outlineLevel="0" collapsed="false">
      <c r="A10" s="0" t="s">
        <v>88</v>
      </c>
      <c r="B10" s="0" t="n">
        <v>14745.906</v>
      </c>
      <c r="F10" s="0" t="n">
        <v>6382.384</v>
      </c>
      <c r="G10" s="0" t="n">
        <v>43.3</v>
      </c>
      <c r="I10" s="0" t="n">
        <v>5654.218</v>
      </c>
      <c r="J10" s="0" t="n">
        <v>38.3</v>
      </c>
      <c r="K10" s="0" t="n">
        <v>1.53</v>
      </c>
      <c r="L10" s="0" t="n">
        <v>49435.593</v>
      </c>
      <c r="M10" s="0" t="n">
        <v>1320.119</v>
      </c>
      <c r="O10" s="0" t="n">
        <v>62972.107</v>
      </c>
      <c r="P10" s="0" t="n">
        <v>1033725.681</v>
      </c>
      <c r="Q10" s="0" t="n">
        <v>967726.839</v>
      </c>
      <c r="R10" s="0" t="n">
        <v>204206.537</v>
      </c>
      <c r="S10" s="0" t="n">
        <v>19880.695</v>
      </c>
      <c r="T10" s="0" t="n">
        <v>3474.588</v>
      </c>
      <c r="AA10" s="0" t="s">
        <v>18</v>
      </c>
      <c r="AB10" s="0" t="s">
        <v>14</v>
      </c>
      <c r="AC10" s="0" t="n">
        <v>245.58</v>
      </c>
      <c r="AD10" s="0" t="n">
        <v>8.53</v>
      </c>
      <c r="AF10" s="0" t="n">
        <v>3858.058</v>
      </c>
      <c r="AG10" s="0" t="n">
        <v>565704.384</v>
      </c>
      <c r="AH10" s="0" t="n">
        <v>1.2</v>
      </c>
      <c r="AI10" s="0" t="n">
        <v>31588.541</v>
      </c>
      <c r="AK10" s="0" t="n">
        <v>1.14</v>
      </c>
      <c r="AL10" s="0" t="n">
        <v>597.731</v>
      </c>
      <c r="AM10" s="0" t="n">
        <v>6105.064</v>
      </c>
      <c r="AN10" s="0" t="n">
        <v>12459.414</v>
      </c>
      <c r="AO10" s="0" t="n">
        <v>516486.516</v>
      </c>
      <c r="AP10" s="0" t="n">
        <v>4505.464</v>
      </c>
      <c r="AQ10" s="0" t="n">
        <v>12.55</v>
      </c>
      <c r="AR10" s="0" t="n">
        <v>65998.842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89</v>
      </c>
      <c r="B1" s="2" t="s">
        <v>90</v>
      </c>
    </row>
    <row r="2" customFormat="false" ht="15" hidden="false" customHeight="false" outlineLevel="0" collapsed="false">
      <c r="A2" s="0" t="s">
        <v>91</v>
      </c>
      <c r="B2" s="3" t="n">
        <v>8.17</v>
      </c>
    </row>
    <row r="3" customFormat="false" ht="15" hidden="false" customHeight="false" outlineLevel="0" collapsed="false">
      <c r="A3" s="0" t="s">
        <v>92</v>
      </c>
      <c r="B3" s="3" t="n">
        <v>4879.9</v>
      </c>
    </row>
    <row r="4" customFormat="false" ht="15" hidden="false" customHeight="false" outlineLevel="0" collapsed="false">
      <c r="A4" s="0" t="s">
        <v>93</v>
      </c>
      <c r="B4" s="3" t="n">
        <v>0</v>
      </c>
    </row>
    <row r="5" customFormat="false" ht="15" hidden="false" customHeight="false" outlineLevel="0" collapsed="false">
      <c r="A5" s="0" t="s">
        <v>94</v>
      </c>
      <c r="B5" s="3" t="n">
        <v>3000</v>
      </c>
    </row>
    <row r="6" customFormat="false" ht="15" hidden="false" customHeight="false" outlineLevel="0" collapsed="false">
      <c r="A6" s="0" t="s">
        <v>95</v>
      </c>
      <c r="B6" s="3" t="n">
        <v>15</v>
      </c>
    </row>
    <row r="7" customFormat="false" ht="15" hidden="false" customHeight="false" outlineLevel="0" collapsed="false">
      <c r="A7" s="0" t="s">
        <v>96</v>
      </c>
      <c r="B7" s="3" t="n">
        <v>16376</v>
      </c>
    </row>
    <row r="8" customFormat="false" ht="15" hidden="false" customHeight="false" outlineLevel="0" collapsed="false">
      <c r="A8" s="0" t="s">
        <v>97</v>
      </c>
      <c r="B8" s="3" t="s">
        <v>98</v>
      </c>
    </row>
    <row r="9" customFormat="false" ht="15" hidden="false" customHeight="false" outlineLevel="0" collapsed="false">
      <c r="A9" s="0" t="s">
        <v>99</v>
      </c>
      <c r="B9" s="3" t="s">
        <v>100</v>
      </c>
    </row>
    <row r="10" customFormat="false" ht="15" hidden="false" customHeight="false" outlineLevel="0" collapsed="false">
      <c r="A10" s="0" t="s">
        <v>101</v>
      </c>
      <c r="B10" s="3" t="n">
        <v>1.1724</v>
      </c>
    </row>
    <row r="12" customFormat="false" ht="15" hidden="false" customHeight="false" outlineLevel="0" collapsed="false">
      <c r="A12" s="2" t="s">
        <v>102</v>
      </c>
      <c r="C12" s="2" t="s">
        <v>103</v>
      </c>
      <c r="D12" s="2" t="s">
        <v>104</v>
      </c>
      <c r="E12" s="2" t="s">
        <v>105</v>
      </c>
      <c r="F12" s="2" t="s">
        <v>106</v>
      </c>
      <c r="G12" s="2" t="s">
        <v>107</v>
      </c>
      <c r="H12" s="2" t="s">
        <v>108</v>
      </c>
      <c r="I12" s="2" t="s">
        <v>109</v>
      </c>
      <c r="J12" s="2" t="s">
        <v>110</v>
      </c>
      <c r="K12" s="2" t="s">
        <v>111</v>
      </c>
      <c r="L12" s="2" t="s">
        <v>112</v>
      </c>
    </row>
    <row r="13" customFormat="false" ht="15" hidden="false" customHeight="false" outlineLevel="0" collapsed="false">
      <c r="A13" s="0" t="s">
        <v>113</v>
      </c>
      <c r="C13" s="3" t="n">
        <v>5</v>
      </c>
      <c r="D13" s="3" t="n">
        <v>3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114</v>
      </c>
      <c r="C14" s="3" t="n">
        <v>41</v>
      </c>
      <c r="D14" s="3" t="n">
        <v>38</v>
      </c>
      <c r="E14" s="3" t="n">
        <v>38</v>
      </c>
      <c r="F14" s="3" t="n">
        <v>39</v>
      </c>
      <c r="G14" s="3" t="n">
        <v>40</v>
      </c>
      <c r="H14" s="3" t="n">
        <v>41</v>
      </c>
      <c r="I14" s="3" t="n">
        <v>41</v>
      </c>
      <c r="J14" s="3" t="n">
        <v>41</v>
      </c>
      <c r="K14" s="3" t="n">
        <v>41</v>
      </c>
      <c r="L14" s="3" t="n">
        <v>41</v>
      </c>
    </row>
    <row r="15" customFormat="false" ht="15" hidden="false" customHeight="false" outlineLevel="0" collapsed="false">
      <c r="A15" s="0" t="s">
        <v>115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117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118</v>
      </c>
      <c r="C18" s="3" t="n">
        <v>49.99</v>
      </c>
      <c r="D18" s="3" t="n">
        <v>45.3</v>
      </c>
      <c r="E18" s="3" t="n">
        <v>43.54</v>
      </c>
      <c r="F18" s="3" t="n">
        <v>40.96</v>
      </c>
      <c r="G18" s="3" t="n">
        <v>37.58</v>
      </c>
      <c r="H18" s="3" t="n">
        <v>33.46</v>
      </c>
      <c r="I18" s="3" t="n">
        <v>28.69</v>
      </c>
      <c r="J18" s="3" t="n">
        <v>23.52</v>
      </c>
      <c r="K18" s="3" t="n">
        <v>17.98</v>
      </c>
      <c r="L18" s="3" t="n">
        <v>12.11</v>
      </c>
    </row>
    <row r="19" customFormat="false" ht="15" hidden="false" customHeight="false" outlineLevel="0" collapsed="false">
      <c r="A19" s="0" t="s">
        <v>119</v>
      </c>
      <c r="C19" s="3" t="n">
        <v>14.5</v>
      </c>
      <c r="D19" s="3" t="n">
        <v>15</v>
      </c>
      <c r="E19" s="3" t="n">
        <v>15</v>
      </c>
      <c r="F19" s="3" t="n">
        <v>15</v>
      </c>
      <c r="G19" s="3" t="n">
        <v>15</v>
      </c>
      <c r="H19" s="3" t="n">
        <v>15</v>
      </c>
      <c r="I19" s="3" t="n">
        <v>15</v>
      </c>
      <c r="J19" s="3" t="n">
        <v>15</v>
      </c>
      <c r="K19" s="3" t="n">
        <v>15</v>
      </c>
      <c r="L19" s="3" t="n">
        <v>15</v>
      </c>
    </row>
    <row r="20" customFormat="false" ht="15" hidden="false" customHeight="false" outlineLevel="0" collapsed="false">
      <c r="A20" s="0" t="s">
        <v>120</v>
      </c>
      <c r="B20" s="3" t="n">
        <v>12.5</v>
      </c>
    </row>
    <row r="21" customFormat="false" ht="15" hidden="false" customHeight="false" outlineLevel="0" collapsed="false">
      <c r="A21" s="0" t="s">
        <v>121</v>
      </c>
      <c r="B21" s="3" t="n">
        <v>2</v>
      </c>
    </row>
    <row r="22" customFormat="false" ht="15" hidden="false" customHeight="false" outlineLevel="0" collapsed="false">
      <c r="A22" s="0" t="s">
        <v>122</v>
      </c>
      <c r="B22" s="3" t="n">
        <v>10</v>
      </c>
    </row>
    <row r="23" customFormat="false" ht="15" hidden="false" customHeight="false" outlineLevel="0" collapsed="false">
      <c r="A23" s="0" t="s">
        <v>123</v>
      </c>
      <c r="B23" s="3" t="n">
        <v>0</v>
      </c>
    </row>
    <row r="24" customFormat="false" ht="15" hidden="false" customHeight="false" outlineLevel="0" collapsed="false">
      <c r="A24" s="0" t="s">
        <v>124</v>
      </c>
      <c r="B24" s="3" t="n">
        <v>0.35</v>
      </c>
    </row>
    <row r="26" customFormat="false" ht="15" hidden="false" customHeight="false" outlineLevel="0" collapsed="false">
      <c r="A26" s="2" t="s">
        <v>125</v>
      </c>
      <c r="C26" s="2" t="s">
        <v>103</v>
      </c>
      <c r="D26" s="2" t="s">
        <v>104</v>
      </c>
      <c r="E26" s="2" t="s">
        <v>105</v>
      </c>
      <c r="F26" s="2" t="s">
        <v>106</v>
      </c>
      <c r="G26" s="2" t="s">
        <v>107</v>
      </c>
      <c r="H26" s="2" t="s">
        <v>108</v>
      </c>
      <c r="I26" s="2" t="s">
        <v>109</v>
      </c>
      <c r="J26" s="2" t="s">
        <v>110</v>
      </c>
      <c r="K26" s="2" t="s">
        <v>111</v>
      </c>
      <c r="L26" s="2" t="s">
        <v>112</v>
      </c>
    </row>
    <row r="27" customFormat="false" ht="15" hidden="false" customHeight="false" outlineLevel="0" collapsed="false">
      <c r="A27" s="0" t="s">
        <v>113</v>
      </c>
      <c r="C27" s="3" t="n">
        <v>9</v>
      </c>
      <c r="D27" s="3" t="n">
        <v>8</v>
      </c>
      <c r="E27" s="3" t="n">
        <v>7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114</v>
      </c>
      <c r="C28" s="3" t="n">
        <v>44.5</v>
      </c>
      <c r="D28" s="3" t="n">
        <v>44.5</v>
      </c>
      <c r="E28" s="3" t="n">
        <v>44.5</v>
      </c>
      <c r="F28" s="3" t="n">
        <v>44.5</v>
      </c>
      <c r="G28" s="3" t="n">
        <v>44.5</v>
      </c>
      <c r="H28" s="3" t="n">
        <v>44.5</v>
      </c>
      <c r="I28" s="3" t="n">
        <v>44.5</v>
      </c>
      <c r="J28" s="3" t="n">
        <v>44.5</v>
      </c>
      <c r="K28" s="3" t="n">
        <v>44.5</v>
      </c>
      <c r="L28" s="3" t="n">
        <v>44.5</v>
      </c>
    </row>
    <row r="29" customFormat="false" ht="15" hidden="false" customHeight="false" outlineLevel="0" collapsed="false">
      <c r="A29" s="0" t="s">
        <v>115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117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118</v>
      </c>
      <c r="C32" s="3" t="n">
        <v>44.14</v>
      </c>
      <c r="D32" s="3" t="n">
        <v>37.12</v>
      </c>
      <c r="E32" s="3" t="n">
        <v>33.61</v>
      </c>
      <c r="F32" s="3" t="n">
        <v>29.97</v>
      </c>
      <c r="G32" s="3" t="n">
        <v>26.05</v>
      </c>
      <c r="H32" s="3" t="n">
        <v>21.91</v>
      </c>
      <c r="I32" s="3" t="n">
        <v>19.82</v>
      </c>
      <c r="J32" s="3" t="n">
        <v>17.7</v>
      </c>
      <c r="K32" s="3" t="n">
        <v>15.56</v>
      </c>
      <c r="L32" s="3" t="n">
        <v>13.4</v>
      </c>
    </row>
    <row r="33" customFormat="false" ht="15" hidden="false" customHeight="false" outlineLevel="0" collapsed="false">
      <c r="A33" s="0" t="s">
        <v>119</v>
      </c>
      <c r="C33" s="3" t="n">
        <v>13.5</v>
      </c>
      <c r="D33" s="3" t="n">
        <v>13.5</v>
      </c>
      <c r="E33" s="3" t="n">
        <v>14</v>
      </c>
      <c r="F33" s="3" t="n">
        <v>14</v>
      </c>
      <c r="G33" s="3" t="n">
        <v>14.5</v>
      </c>
      <c r="H33" s="3" t="n">
        <v>14.5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120</v>
      </c>
      <c r="B34" s="3" t="n">
        <v>11.5</v>
      </c>
    </row>
    <row r="35" customFormat="false" ht="15" hidden="false" customHeight="false" outlineLevel="0" collapsed="false">
      <c r="A35" s="0" t="s">
        <v>121</v>
      </c>
      <c r="B35" s="3" t="n">
        <v>3</v>
      </c>
    </row>
    <row r="36" customFormat="false" ht="15" hidden="false" customHeight="false" outlineLevel="0" collapsed="false">
      <c r="A36" s="0" t="s">
        <v>122</v>
      </c>
      <c r="B36" s="3" t="n">
        <v>12</v>
      </c>
    </row>
    <row r="37" customFormat="false" ht="15" hidden="false" customHeight="false" outlineLevel="0" collapsed="false">
      <c r="A37" s="0" t="s">
        <v>123</v>
      </c>
      <c r="B37" s="3" t="n">
        <v>0</v>
      </c>
    </row>
    <row r="38" customFormat="false" ht="15" hidden="false" customHeight="false" outlineLevel="0" collapsed="false">
      <c r="A38" s="0" t="s">
        <v>124</v>
      </c>
      <c r="B38" s="3" t="n">
        <v>0.45</v>
      </c>
    </row>
    <row r="40" customFormat="false" ht="15" hidden="false" customHeight="false" outlineLevel="0" collapsed="false">
      <c r="A40" s="2" t="s">
        <v>126</v>
      </c>
      <c r="C40" s="2" t="s">
        <v>103</v>
      </c>
      <c r="D40" s="2" t="s">
        <v>104</v>
      </c>
      <c r="E40" s="2" t="s">
        <v>105</v>
      </c>
      <c r="F40" s="2" t="s">
        <v>106</v>
      </c>
      <c r="G40" s="2" t="s">
        <v>107</v>
      </c>
      <c r="H40" s="2" t="s">
        <v>108</v>
      </c>
      <c r="I40" s="2" t="s">
        <v>109</v>
      </c>
      <c r="J40" s="2" t="s">
        <v>110</v>
      </c>
      <c r="K40" s="2" t="s">
        <v>111</v>
      </c>
      <c r="L40" s="2" t="s">
        <v>112</v>
      </c>
    </row>
    <row r="41" customFormat="false" ht="15" hidden="false" customHeight="false" outlineLevel="0" collapsed="false">
      <c r="A41" s="0" t="s">
        <v>113</v>
      </c>
      <c r="C41" s="3" t="n">
        <v>11</v>
      </c>
      <c r="D41" s="3" t="n">
        <v>9</v>
      </c>
      <c r="E41" s="3" t="n">
        <v>8</v>
      </c>
      <c r="F41" s="3" t="n">
        <v>7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114</v>
      </c>
      <c r="C42" s="3" t="n">
        <v>46</v>
      </c>
      <c r="D42" s="3" t="n">
        <v>46.5</v>
      </c>
      <c r="E42" s="3" t="n">
        <v>47</v>
      </c>
      <c r="F42" s="3" t="n">
        <v>47</v>
      </c>
      <c r="G42" s="3" t="n">
        <v>47</v>
      </c>
      <c r="H42" s="3" t="n">
        <v>47</v>
      </c>
      <c r="I42" s="3" t="n">
        <v>47</v>
      </c>
      <c r="J42" s="3" t="n">
        <v>47</v>
      </c>
      <c r="K42" s="3" t="n">
        <v>47</v>
      </c>
      <c r="L42" s="3" t="n">
        <v>47</v>
      </c>
    </row>
    <row r="43" customFormat="false" ht="15" hidden="false" customHeight="false" outlineLevel="0" collapsed="false">
      <c r="A43" s="0" t="s">
        <v>115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117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118</v>
      </c>
      <c r="C46" s="3" t="n">
        <v>39.41</v>
      </c>
      <c r="D46" s="3" t="n">
        <v>31.81</v>
      </c>
      <c r="E46" s="3" t="n">
        <v>27.84</v>
      </c>
      <c r="F46" s="3" t="n">
        <v>23.86</v>
      </c>
      <c r="G46" s="3" t="n">
        <v>21.87</v>
      </c>
      <c r="H46" s="3" t="n">
        <v>19.88</v>
      </c>
      <c r="I46" s="3" t="n">
        <v>17.9</v>
      </c>
      <c r="J46" s="3" t="n">
        <v>15.91</v>
      </c>
      <c r="K46" s="3" t="n">
        <v>13.92</v>
      </c>
      <c r="L46" s="3" t="n">
        <v>13.92</v>
      </c>
    </row>
    <row r="47" customFormat="false" ht="15" hidden="false" customHeight="false" outlineLevel="0" collapsed="false">
      <c r="A47" s="0" t="s">
        <v>119</v>
      </c>
      <c r="C47" s="3" t="n">
        <v>13.5</v>
      </c>
      <c r="D47" s="3" t="n">
        <v>13.5</v>
      </c>
      <c r="E47" s="3" t="n">
        <v>14</v>
      </c>
      <c r="F47" s="3" t="n">
        <v>14</v>
      </c>
      <c r="G47" s="3" t="n">
        <v>14.5</v>
      </c>
      <c r="H47" s="3" t="n">
        <v>14.5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120</v>
      </c>
      <c r="B48" s="3" t="n">
        <v>11</v>
      </c>
    </row>
    <row r="49" customFormat="false" ht="15" hidden="false" customHeight="false" outlineLevel="0" collapsed="false">
      <c r="A49" s="0" t="s">
        <v>121</v>
      </c>
      <c r="B49" s="3" t="n">
        <v>3.5</v>
      </c>
    </row>
    <row r="50" customFormat="false" ht="15" hidden="false" customHeight="false" outlineLevel="0" collapsed="false">
      <c r="A50" s="0" t="s">
        <v>122</v>
      </c>
      <c r="B50" s="3" t="n">
        <v>13</v>
      </c>
    </row>
    <row r="51" customFormat="false" ht="15" hidden="false" customHeight="false" outlineLevel="0" collapsed="false">
      <c r="A51" s="0" t="s">
        <v>123</v>
      </c>
      <c r="B51" s="3" t="n">
        <v>0</v>
      </c>
    </row>
    <row r="52" customFormat="false" ht="15" hidden="false" customHeight="false" outlineLevel="0" collapsed="false">
      <c r="A52" s="0" t="s">
        <v>124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127</v>
      </c>
    </row>
    <row r="3" customFormat="false" ht="15" hidden="false" customHeight="false" outlineLevel="0" collapsed="false">
      <c r="A3" s="0" t="s">
        <v>128</v>
      </c>
      <c r="B3" s="0" t="s">
        <v>98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</row>
    <row r="4" customFormat="false" ht="15" hidden="false" customHeight="false" outlineLevel="0" collapsed="false">
      <c r="A4" s="0" t="s">
        <v>129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113</v>
      </c>
      <c r="C5" s="4" t="n">
        <f aca="false">Assumptions!C13</f>
        <v>5</v>
      </c>
      <c r="D5" s="4" t="n">
        <f aca="false">Assumptions!D13</f>
        <v>3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16376</v>
      </c>
      <c r="C6" s="0" t="n">
        <f aca="false">B6*(1+C5/100)</f>
        <v>17194.8</v>
      </c>
      <c r="D6" s="0" t="n">
        <f aca="false">C6*(1+D5/100)</f>
        <v>17710.644</v>
      </c>
      <c r="E6" s="0" t="n">
        <f aca="false">D6*(1+E5/100)</f>
        <v>18241.96332</v>
      </c>
      <c r="F6" s="0" t="n">
        <f aca="false">E6*(1+F5/100)</f>
        <v>18789.2222196</v>
      </c>
      <c r="G6" s="0" t="n">
        <f aca="false">F6*(1+G5/100)</f>
        <v>19352.898886188</v>
      </c>
      <c r="H6" s="0" t="n">
        <f aca="false">G6*(1+H5/100)</f>
        <v>19933.4858527736</v>
      </c>
      <c r="I6" s="0" t="n">
        <f aca="false">H6*(1+I5/100)</f>
        <v>20531.4904283569</v>
      </c>
      <c r="J6" s="0" t="n">
        <f aca="false">I6*(1+J5/100)</f>
        <v>21044.7776890658</v>
      </c>
      <c r="K6" s="0" t="n">
        <f aca="false">J6*(1+K5/100)</f>
        <v>21465.6732428471</v>
      </c>
      <c r="L6" s="0" t="n">
        <f aca="false">K6*(1+L5/100)</f>
        <v>21894.986707704</v>
      </c>
    </row>
    <row r="7" customFormat="false" ht="15" hidden="false" customHeight="false" outlineLevel="0" collapsed="false">
      <c r="A7" s="0" t="s">
        <v>114</v>
      </c>
      <c r="C7" s="4" t="n">
        <f aca="false">Assumptions!C14</f>
        <v>41</v>
      </c>
      <c r="D7" s="4" t="n">
        <f aca="false">Assumptions!D14</f>
        <v>38</v>
      </c>
      <c r="E7" s="4" t="n">
        <f aca="false">Assumptions!E14</f>
        <v>38</v>
      </c>
      <c r="F7" s="4" t="n">
        <f aca="false">Assumptions!F14</f>
        <v>39</v>
      </c>
      <c r="G7" s="4" t="n">
        <f aca="false">Assumptions!G14</f>
        <v>40</v>
      </c>
      <c r="H7" s="4" t="n">
        <f aca="false">Assumptions!H14</f>
        <v>41</v>
      </c>
      <c r="I7" s="4" t="n">
        <f aca="false">Assumptions!I14</f>
        <v>41</v>
      </c>
      <c r="J7" s="4" t="n">
        <f aca="false">Assumptions!J14</f>
        <v>41</v>
      </c>
      <c r="K7" s="4" t="n">
        <f aca="false">Assumptions!K14</f>
        <v>41</v>
      </c>
      <c r="L7" s="4" t="n">
        <f aca="false">Assumptions!L14</f>
        <v>41</v>
      </c>
    </row>
    <row r="8" customFormat="false" ht="15" hidden="false" customHeight="false" outlineLevel="0" collapsed="false">
      <c r="A8" s="0" t="s">
        <v>44</v>
      </c>
      <c r="C8" s="0" t="n">
        <f aca="false">C6*C7/100</f>
        <v>7049.868</v>
      </c>
      <c r="D8" s="0" t="n">
        <f aca="false">D6*D7/100</f>
        <v>6730.04472</v>
      </c>
      <c r="E8" s="0" t="n">
        <f aca="false">E6*E7/100</f>
        <v>6931.9460616</v>
      </c>
      <c r="F8" s="0" t="n">
        <f aca="false">F6*F7/100</f>
        <v>7327.796665644</v>
      </c>
      <c r="G8" s="0" t="n">
        <f aca="false">G6*G7/100</f>
        <v>7741.1595544752</v>
      </c>
      <c r="H8" s="0" t="n">
        <f aca="false">H6*H7/100</f>
        <v>8172.72919963719</v>
      </c>
      <c r="I8" s="0" t="n">
        <f aca="false">I6*I7/100</f>
        <v>8417.91107562631</v>
      </c>
      <c r="J8" s="0" t="n">
        <f aca="false">J6*J7/100</f>
        <v>8628.35885251697</v>
      </c>
      <c r="K8" s="0" t="n">
        <f aca="false">K6*K7/100</f>
        <v>8800.92602956731</v>
      </c>
      <c r="L8" s="0" t="n">
        <f aca="false">L6*L7/100</f>
        <v>8976.94455015865</v>
      </c>
    </row>
    <row r="9" customFormat="false" ht="15" hidden="false" customHeight="false" outlineLevel="0" collapsed="false">
      <c r="A9" s="0" t="s">
        <v>115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130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131</v>
      </c>
      <c r="C11" s="0" t="n">
        <f aca="false">C8+C10+C24</f>
        <v>7049.868</v>
      </c>
      <c r="D11" s="0" t="n">
        <f aca="false">D8+D10+D24</f>
        <v>6730.04472</v>
      </c>
      <c r="E11" s="0" t="n">
        <f aca="false">E8+E10+E24</f>
        <v>6931.9460616</v>
      </c>
      <c r="F11" s="0" t="n">
        <f aca="false">F8+F10+F24</f>
        <v>7327.796665644</v>
      </c>
      <c r="G11" s="0" t="n">
        <f aca="false">G8+G10+G24</f>
        <v>7741.1595544752</v>
      </c>
      <c r="H11" s="0" t="n">
        <f aca="false">H8+H10+H24</f>
        <v>8172.72919963719</v>
      </c>
      <c r="I11" s="0" t="n">
        <f aca="false">I8+I10+I24</f>
        <v>8417.91107562631</v>
      </c>
      <c r="J11" s="0" t="n">
        <f aca="false">J8+J10+J24</f>
        <v>8628.35885251697</v>
      </c>
      <c r="K11" s="0" t="n">
        <f aca="false">K8+K10+K24</f>
        <v>8800.92602956731</v>
      </c>
      <c r="L11" s="0" t="n">
        <f aca="false">L8+L10+L24</f>
        <v>8976.94455015865</v>
      </c>
    </row>
    <row r="12" customFormat="false" ht="15" hidden="false" customHeight="false" outlineLevel="0" collapsed="false">
      <c r="A12" s="0" t="s">
        <v>132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133</v>
      </c>
      <c r="C13" s="0" t="n">
        <f aca="false">C11+C12</f>
        <v>7049.868</v>
      </c>
      <c r="D13" s="0" t="n">
        <f aca="false">D11+D12</f>
        <v>6730.04472</v>
      </c>
      <c r="E13" s="0" t="n">
        <f aca="false">E11+E12</f>
        <v>6931.9460616</v>
      </c>
      <c r="F13" s="0" t="n">
        <f aca="false">F11+F12</f>
        <v>7327.796665644</v>
      </c>
      <c r="G13" s="0" t="n">
        <f aca="false">G11+G12</f>
        <v>7741.1595544752</v>
      </c>
      <c r="H13" s="0" t="n">
        <f aca="false">H11+H12</f>
        <v>8172.72919963719</v>
      </c>
      <c r="I13" s="0" t="n">
        <f aca="false">I11+I12</f>
        <v>8417.91107562631</v>
      </c>
      <c r="J13" s="0" t="n">
        <f aca="false">J11+J12</f>
        <v>8628.35885251697</v>
      </c>
      <c r="K13" s="0" t="n">
        <f aca="false">K11+K12</f>
        <v>8800.92602956731</v>
      </c>
      <c r="L13" s="0" t="n">
        <f aca="false">L11+L12</f>
        <v>8976.94455015865</v>
      </c>
    </row>
    <row r="14" customFormat="false" ht="15" hidden="false" customHeight="false" outlineLevel="0" collapsed="false">
      <c r="A14" s="0" t="s">
        <v>119</v>
      </c>
      <c r="C14" s="4" t="n">
        <f aca="false">Assumptions!C19</f>
        <v>14.5</v>
      </c>
      <c r="D14" s="4" t="n">
        <f aca="false">Assumptions!D19</f>
        <v>15</v>
      </c>
      <c r="E14" s="4" t="n">
        <f aca="false">Assumptions!E19</f>
        <v>15</v>
      </c>
      <c r="F14" s="4" t="n">
        <f aca="false">Assumptions!F19</f>
        <v>15</v>
      </c>
      <c r="G14" s="4" t="n">
        <f aca="false">Assumptions!G19</f>
        <v>15</v>
      </c>
      <c r="H14" s="4" t="n">
        <f aca="false">Assumptions!H19</f>
        <v>15</v>
      </c>
      <c r="I14" s="4" t="n">
        <f aca="false">Assumptions!I19</f>
        <v>15</v>
      </c>
      <c r="J14" s="4" t="n">
        <f aca="false">Assumptions!J19</f>
        <v>15</v>
      </c>
      <c r="K14" s="4" t="n">
        <f aca="false">Assumptions!K19</f>
        <v>15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134</v>
      </c>
      <c r="C15" s="0" t="n">
        <f aca="false">C13-MAX(0,C13)*C14/100</f>
        <v>6027.63714</v>
      </c>
      <c r="D15" s="0" t="n">
        <f aca="false">D13-MAX(0,D13)*D14/100</f>
        <v>5720.538012</v>
      </c>
      <c r="E15" s="0" t="n">
        <f aca="false">E13-MAX(0,E13)*E14/100</f>
        <v>5892.15415236</v>
      </c>
      <c r="F15" s="0" t="n">
        <f aca="false">F13-MAX(0,F13)*F14/100</f>
        <v>6228.6271657974</v>
      </c>
      <c r="G15" s="0" t="n">
        <f aca="false">G13-MAX(0,G13)*G14/100</f>
        <v>6579.98562130392</v>
      </c>
      <c r="H15" s="0" t="n">
        <f aca="false">H13-MAX(0,H13)*H14/100</f>
        <v>6946.81981969162</v>
      </c>
      <c r="I15" s="0" t="n">
        <f aca="false">I13-MAX(0,I13)*I14/100</f>
        <v>7155.22441428236</v>
      </c>
      <c r="J15" s="0" t="n">
        <f aca="false">J13-MAX(0,J13)*J14/100</f>
        <v>7334.10502463942</v>
      </c>
      <c r="K15" s="0" t="n">
        <f aca="false">K13-MAX(0,K13)*K14/100</f>
        <v>7480.78712513221</v>
      </c>
      <c r="L15" s="0" t="n">
        <f aca="false">L13-MAX(0,L13)*L14/100</f>
        <v>7630.40286763486</v>
      </c>
    </row>
    <row r="16" customFormat="false" ht="15" hidden="false" customHeight="false" outlineLevel="0" collapsed="false">
      <c r="A16" s="0" t="s">
        <v>135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136</v>
      </c>
      <c r="C17" s="4" t="n">
        <f aca="false">-C6*Assumptions!C18/100</f>
        <v>-8595.68052</v>
      </c>
      <c r="D17" s="4" t="n">
        <f aca="false">-D6*Assumptions!D18/100</f>
        <v>-8022.921732</v>
      </c>
      <c r="E17" s="4" t="n">
        <f aca="false">-E6*Assumptions!E18/100</f>
        <v>-7942.550829528</v>
      </c>
      <c r="F17" s="4" t="n">
        <f aca="false">-F6*Assumptions!F18/100</f>
        <v>-7696.06542114816</v>
      </c>
      <c r="G17" s="4" t="n">
        <f aca="false">-G6*Assumptions!G18/100</f>
        <v>-7272.81940142945</v>
      </c>
      <c r="H17" s="4" t="n">
        <f aca="false">-H6*Assumptions!H18/100</f>
        <v>-6669.74436633806</v>
      </c>
      <c r="I17" s="4" t="n">
        <f aca="false">-I6*Assumptions!I18/100</f>
        <v>-5890.48460389558</v>
      </c>
      <c r="J17" s="4" t="n">
        <f aca="false">-J6*Assumptions!J18/100</f>
        <v>-4949.73171246827</v>
      </c>
      <c r="K17" s="4" t="n">
        <f aca="false">-K6*Assumptions!K18/100</f>
        <v>-3859.52804906391</v>
      </c>
      <c r="L17" s="4" t="n">
        <f aca="false">-L6*Assumptions!L18/100</f>
        <v>-2651.48289030296</v>
      </c>
    </row>
    <row r="18" customFormat="false" ht="15" hidden="false" customHeight="false" outlineLevel="0" collapsed="false">
      <c r="A18" s="0" t="s">
        <v>137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138</v>
      </c>
      <c r="C19" s="0" t="n">
        <f aca="false">C15+C16+C17+C18</f>
        <v>-2568.04338</v>
      </c>
      <c r="D19" s="0" t="n">
        <f aca="false">D15+D16+D17+D18</f>
        <v>-2302.38372</v>
      </c>
      <c r="E19" s="0" t="n">
        <f aca="false">E15+E16+E17+E18</f>
        <v>-2050.396677168</v>
      </c>
      <c r="F19" s="0" t="n">
        <f aca="false">F15+F16+F17+F18</f>
        <v>-1467.43825535076</v>
      </c>
      <c r="G19" s="0" t="n">
        <f aca="false">G15+G16+G17+G18</f>
        <v>-692.833780125529</v>
      </c>
      <c r="H19" s="0" t="n">
        <f aca="false">H15+H16+H17+H18</f>
        <v>277.075453353554</v>
      </c>
      <c r="I19" s="0" t="n">
        <f aca="false">I15+I16+I17+I18</f>
        <v>1264.73981038678</v>
      </c>
      <c r="J19" s="0" t="n">
        <f aca="false">J15+J16+J17+J18</f>
        <v>2384.37331217115</v>
      </c>
      <c r="K19" s="0" t="n">
        <f aca="false">K15+K16+K17+K18</f>
        <v>3621.2590760683</v>
      </c>
      <c r="L19" s="0" t="n">
        <f aca="false">L15+L16+L17+L18</f>
        <v>4978.9199773319</v>
      </c>
    </row>
    <row r="20" customFormat="false" ht="15" hidden="false" customHeight="false" outlineLevel="0" collapsed="false">
      <c r="A20" s="0" t="s">
        <v>139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140</v>
      </c>
      <c r="C21" s="0" t="n">
        <f aca="false">C19*C20</f>
        <v>-2282.70522666667</v>
      </c>
      <c r="D21" s="0" t="n">
        <f aca="false">D19*D20</f>
        <v>-1819.1673837037</v>
      </c>
      <c r="E21" s="0" t="n">
        <f aca="false">E19*E20</f>
        <v>-1440.05912031552</v>
      </c>
      <c r="F21" s="0" t="n">
        <f aca="false">F19*F20</f>
        <v>-916.114478572888</v>
      </c>
      <c r="G21" s="0" t="n">
        <f aca="false">G19*G20</f>
        <v>-384.47352719188</v>
      </c>
      <c r="H21" s="0" t="n">
        <f aca="false">H19*H20</f>
        <v>136.673059933114</v>
      </c>
      <c r="I21" s="0" t="n">
        <f aca="false">I19*I20</f>
        <v>554.540834956752</v>
      </c>
      <c r="J21" s="0" t="n">
        <f aca="false">J19*J20</f>
        <v>929.296010326335</v>
      </c>
      <c r="K21" s="0" t="n">
        <f aca="false">K19*K20</f>
        <v>1254.54687991287</v>
      </c>
      <c r="L21" s="0" t="n">
        <f aca="false">L19*L20</f>
        <v>1533.23922651402</v>
      </c>
    </row>
    <row r="23" customFormat="false" ht="15" hidden="false" customHeight="false" outlineLevel="0" collapsed="false">
      <c r="A23" s="0" t="s">
        <v>116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141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142</v>
      </c>
    </row>
    <row r="27" customFormat="false" ht="15" hidden="false" customHeight="false" outlineLevel="0" collapsed="false">
      <c r="A27" s="0" t="s">
        <v>120</v>
      </c>
      <c r="B27" s="4" t="n">
        <f aca="false">Assumptions!$B$20</f>
        <v>12.5</v>
      </c>
    </row>
    <row r="28" customFormat="false" ht="15" hidden="false" customHeight="false" outlineLevel="0" collapsed="false">
      <c r="A28" s="0" t="s">
        <v>121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122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143</v>
      </c>
      <c r="B30" s="0" t="n">
        <f aca="false">SUM(C21:L21)</f>
        <v>-2434.22372480757</v>
      </c>
    </row>
    <row r="31" customFormat="false" ht="15" hidden="false" customHeight="false" outlineLevel="0" collapsed="false">
      <c r="A31" s="0" t="s">
        <v>144</v>
      </c>
      <c r="B31" s="0" t="n">
        <f aca="false">L19</f>
        <v>4978.9199773319</v>
      </c>
    </row>
    <row r="32" customFormat="false" ht="15" hidden="false" customHeight="false" outlineLevel="0" collapsed="false">
      <c r="A32" s="0" t="s">
        <v>145</v>
      </c>
      <c r="B32" s="0" t="n">
        <f aca="false">IF(B27&gt;B28,B31*(1+B28/100)/((B27-B28)/100),B31*B29)</f>
        <v>48366.651208367</v>
      </c>
    </row>
    <row r="33" customFormat="false" ht="15" hidden="false" customHeight="false" outlineLevel="0" collapsed="false">
      <c r="A33" s="0" t="s">
        <v>146</v>
      </c>
      <c r="B33" s="0" t="n">
        <f aca="false">B31*B29</f>
        <v>49789.199773319</v>
      </c>
    </row>
    <row r="34" customFormat="false" ht="15" hidden="false" customHeight="false" outlineLevel="0" collapsed="false">
      <c r="A34" s="0" t="s">
        <v>147</v>
      </c>
      <c r="B34" s="0" t="n">
        <f aca="false">MAX(0,MIN(B32,B33))</f>
        <v>48366.651208367</v>
      </c>
    </row>
    <row r="35" customFormat="false" ht="15" hidden="false" customHeight="false" outlineLevel="0" collapsed="false">
      <c r="A35" s="0" t="s">
        <v>148</v>
      </c>
      <c r="B35" s="0" t="n">
        <f aca="false">B34/(1+B27/100)^L4</f>
        <v>14894.3239147076</v>
      </c>
    </row>
    <row r="36" customFormat="false" ht="15" hidden="false" customHeight="false" outlineLevel="0" collapsed="false">
      <c r="A36" s="0" t="s">
        <v>149</v>
      </c>
      <c r="B36" s="0" t="n">
        <f aca="false">B30+B35</f>
        <v>12460.1001899001</v>
      </c>
    </row>
    <row r="37" customFormat="false" ht="15" hidden="false" customHeight="false" outlineLevel="0" collapsed="false">
      <c r="A37" s="0" t="s">
        <v>150</v>
      </c>
      <c r="B37" s="0" t="n">
        <f aca="false">B36+Assumptions!$B$5-Assumptions!$B$4</f>
        <v>15460.1001899001</v>
      </c>
    </row>
    <row r="38" customFormat="false" ht="15" hidden="false" customHeight="false" outlineLevel="0" collapsed="false">
      <c r="A38" s="0" t="s">
        <v>151</v>
      </c>
      <c r="B38" s="0" t="n">
        <f aca="false">B37/Assumptions!$B$3*Assumptions!$B$10</f>
        <v>3.7143018222994</v>
      </c>
    </row>
    <row r="39" customFormat="false" ht="15" hidden="false" customHeight="false" outlineLevel="0" collapsed="false">
      <c r="A39" s="0" t="s">
        <v>152</v>
      </c>
      <c r="B39" s="4" t="n">
        <f aca="false">B38/Assumptions!$B$2-1</f>
        <v>-0.545373093965802</v>
      </c>
    </row>
    <row r="41" customFormat="false" ht="15" hidden="false" customHeight="false" outlineLevel="0" collapsed="false">
      <c r="A41" s="0" t="s">
        <v>153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155</v>
      </c>
      <c r="B43" s="0" t="n">
        <f aca="false">(B37+B41+B42)/Assumptions!$B$3*Assumptions!$B$10</f>
        <v>3.7143018222994</v>
      </c>
    </row>
    <row r="45" customFormat="false" ht="15" hidden="false" customHeight="false" outlineLevel="0" collapsed="false">
      <c r="A45" s="0" t="s">
        <v>95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156</v>
      </c>
      <c r="B46" s="0" t="n">
        <f aca="false">MAX(0,MIN(IF(B45&gt;B28,B31*(1+B28/100)/((B45-B28)/100),B31*B29),B31*B29))</f>
        <v>39065.3721298349</v>
      </c>
    </row>
    <row r="47" customFormat="false" ht="15" hidden="false" customHeight="false" outlineLevel="0" collapsed="false">
      <c r="A47" s="0" t="s">
        <v>157</v>
      </c>
      <c r="B47" s="0" t="n">
        <f aca="false">(SUMPRODUCT(C19:L19/(1+B45/100)^C4:L4)+B46/(1+B45/100)^L4+Assumptions!$B$5-Assumptions!$B$4)/Assumptions!$B$3*Assumptions!$B$10</f>
        <v>2.3509774303739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158</v>
      </c>
    </row>
    <row r="3" customFormat="false" ht="15" hidden="false" customHeight="false" outlineLevel="0" collapsed="false">
      <c r="A3" s="0" t="s">
        <v>128</v>
      </c>
      <c r="B3" s="0" t="s">
        <v>98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</row>
    <row r="4" customFormat="false" ht="15" hidden="false" customHeight="false" outlineLevel="0" collapsed="false">
      <c r="A4" s="0" t="s">
        <v>129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113</v>
      </c>
      <c r="C5" s="4" t="n">
        <f aca="false">Assumptions!C27</f>
        <v>9</v>
      </c>
      <c r="D5" s="4" t="n">
        <f aca="false">Assumptions!D27</f>
        <v>8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16376</v>
      </c>
      <c r="C6" s="0" t="n">
        <f aca="false">B6*(1+C5/100)</f>
        <v>17849.84</v>
      </c>
      <c r="D6" s="0" t="n">
        <f aca="false">C6*(1+D5/100)</f>
        <v>19277.8272</v>
      </c>
      <c r="E6" s="0" t="n">
        <f aca="false">D6*(1+E5/100)</f>
        <v>20627.275104</v>
      </c>
      <c r="F6" s="0" t="n">
        <f aca="false">E6*(1+F5/100)</f>
        <v>21864.91161024</v>
      </c>
      <c r="G6" s="0" t="n">
        <f aca="false">F6*(1+G5/100)</f>
        <v>23067.4817488032</v>
      </c>
      <c r="H6" s="0" t="n">
        <f aca="false">G6*(1+H5/100)</f>
        <v>24220.8558362434</v>
      </c>
      <c r="I6" s="0" t="n">
        <f aca="false">H6*(1+I5/100)</f>
        <v>25310.7943488743</v>
      </c>
      <c r="J6" s="0" t="n">
        <f aca="false">I6*(1+J5/100)</f>
        <v>26323.2261228293</v>
      </c>
      <c r="K6" s="0" t="n">
        <f aca="false">J6*(1+K5/100)</f>
        <v>27244.5390371283</v>
      </c>
      <c r="L6" s="0" t="n">
        <f aca="false">K6*(1+L5/100)</f>
        <v>28061.8752082422</v>
      </c>
    </row>
    <row r="7" customFormat="false" ht="15" hidden="false" customHeight="false" outlineLevel="0" collapsed="false">
      <c r="A7" s="0" t="s">
        <v>114</v>
      </c>
      <c r="C7" s="4" t="n">
        <f aca="false">Assumptions!C28</f>
        <v>44.5</v>
      </c>
      <c r="D7" s="4" t="n">
        <f aca="false">Assumptions!D28</f>
        <v>44.5</v>
      </c>
      <c r="E7" s="4" t="n">
        <f aca="false">Assumptions!E28</f>
        <v>44.5</v>
      </c>
      <c r="F7" s="4" t="n">
        <f aca="false">Assumptions!F28</f>
        <v>44.5</v>
      </c>
      <c r="G7" s="4" t="n">
        <f aca="false">Assumptions!G28</f>
        <v>44.5</v>
      </c>
      <c r="H7" s="4" t="n">
        <f aca="false">Assumptions!H28</f>
        <v>44.5</v>
      </c>
      <c r="I7" s="4" t="n">
        <f aca="false">Assumptions!I28</f>
        <v>44.5</v>
      </c>
      <c r="J7" s="4" t="n">
        <f aca="false">Assumptions!J28</f>
        <v>44.5</v>
      </c>
      <c r="K7" s="4" t="n">
        <f aca="false">Assumptions!K28</f>
        <v>44.5</v>
      </c>
      <c r="L7" s="4" t="n">
        <f aca="false">Assumptions!L28</f>
        <v>44.5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7943.1788</v>
      </c>
      <c r="D8" s="0" t="n">
        <f aca="false">D6*D7/100</f>
        <v>8578.633104</v>
      </c>
      <c r="E8" s="0" t="n">
        <f aca="false">E6*E7/100</f>
        <v>9179.13742128</v>
      </c>
      <c r="F8" s="0" t="n">
        <f aca="false">F6*F7/100</f>
        <v>9729.8856665568</v>
      </c>
      <c r="G8" s="0" t="n">
        <f aca="false">G6*G7/100</f>
        <v>10265.0293782174</v>
      </c>
      <c r="H8" s="0" t="n">
        <f aca="false">H6*H7/100</f>
        <v>10778.2808471283</v>
      </c>
      <c r="I8" s="0" t="n">
        <f aca="false">I6*I7/100</f>
        <v>11263.3034852491</v>
      </c>
      <c r="J8" s="0" t="n">
        <f aca="false">J6*J7/100</f>
        <v>11713.835624659</v>
      </c>
      <c r="K8" s="0" t="n">
        <f aca="false">K6*K7/100</f>
        <v>12123.8198715221</v>
      </c>
      <c r="L8" s="0" t="n">
        <f aca="false">L6*L7/100</f>
        <v>12487.5344676678</v>
      </c>
    </row>
    <row r="9" customFormat="false" ht="15" hidden="false" customHeight="false" outlineLevel="0" collapsed="false">
      <c r="A9" s="0" t="s">
        <v>115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130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131</v>
      </c>
      <c r="C11" s="0" t="n">
        <f aca="false">C8+C10+C24</f>
        <v>7943.1788</v>
      </c>
      <c r="D11" s="0" t="n">
        <f aca="false">D8+D10+D24</f>
        <v>8578.633104</v>
      </c>
      <c r="E11" s="0" t="n">
        <f aca="false">E8+E10+E24</f>
        <v>9179.13742128</v>
      </c>
      <c r="F11" s="0" t="n">
        <f aca="false">F8+F10+F24</f>
        <v>9729.8856665568</v>
      </c>
      <c r="G11" s="0" t="n">
        <f aca="false">G8+G10+G24</f>
        <v>10265.0293782174</v>
      </c>
      <c r="H11" s="0" t="n">
        <f aca="false">H8+H10+H24</f>
        <v>10778.2808471283</v>
      </c>
      <c r="I11" s="0" t="n">
        <f aca="false">I8+I10+I24</f>
        <v>11263.3034852491</v>
      </c>
      <c r="J11" s="0" t="n">
        <f aca="false">J8+J10+J24</f>
        <v>11713.835624659</v>
      </c>
      <c r="K11" s="0" t="n">
        <f aca="false">K8+K10+K24</f>
        <v>12123.8198715221</v>
      </c>
      <c r="L11" s="0" t="n">
        <f aca="false">L8+L10+L24</f>
        <v>12487.5344676678</v>
      </c>
    </row>
    <row r="12" customFormat="false" ht="15" hidden="false" customHeight="false" outlineLevel="0" collapsed="false">
      <c r="A12" s="0" t="s">
        <v>132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133</v>
      </c>
      <c r="C13" s="0" t="n">
        <f aca="false">C11+C12</f>
        <v>7943.1788</v>
      </c>
      <c r="D13" s="0" t="n">
        <f aca="false">D11+D12</f>
        <v>8578.633104</v>
      </c>
      <c r="E13" s="0" t="n">
        <f aca="false">E11+E12</f>
        <v>9179.13742128</v>
      </c>
      <c r="F13" s="0" t="n">
        <f aca="false">F11+F12</f>
        <v>9729.8856665568</v>
      </c>
      <c r="G13" s="0" t="n">
        <f aca="false">G11+G12</f>
        <v>10265.0293782174</v>
      </c>
      <c r="H13" s="0" t="n">
        <f aca="false">H11+H12</f>
        <v>10778.2808471283</v>
      </c>
      <c r="I13" s="0" t="n">
        <f aca="false">I11+I12</f>
        <v>11263.3034852491</v>
      </c>
      <c r="J13" s="0" t="n">
        <f aca="false">J11+J12</f>
        <v>11713.835624659</v>
      </c>
      <c r="K13" s="0" t="n">
        <f aca="false">K11+K12</f>
        <v>12123.8198715221</v>
      </c>
      <c r="L13" s="0" t="n">
        <f aca="false">L11+L12</f>
        <v>12487.5344676678</v>
      </c>
    </row>
    <row r="14" customFormat="false" ht="15" hidden="false" customHeight="false" outlineLevel="0" collapsed="false">
      <c r="A14" s="0" t="s">
        <v>119</v>
      </c>
      <c r="C14" s="4" t="n">
        <f aca="false">Assumptions!C33</f>
        <v>13.5</v>
      </c>
      <c r="D14" s="4" t="n">
        <f aca="false">Assumptions!D33</f>
        <v>13.5</v>
      </c>
      <c r="E14" s="4" t="n">
        <f aca="false">Assumptions!E33</f>
        <v>14</v>
      </c>
      <c r="F14" s="4" t="n">
        <f aca="false">Assumptions!F33</f>
        <v>14</v>
      </c>
      <c r="G14" s="4" t="n">
        <f aca="false">Assumptions!G33</f>
        <v>14.5</v>
      </c>
      <c r="H14" s="4" t="n">
        <f aca="false">Assumptions!H33</f>
        <v>14.5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134</v>
      </c>
      <c r="C15" s="0" t="n">
        <f aca="false">C13-MAX(0,C13)*C14/100</f>
        <v>6870.849662</v>
      </c>
      <c r="D15" s="0" t="n">
        <f aca="false">D13-MAX(0,D13)*D14/100</f>
        <v>7420.51763496</v>
      </c>
      <c r="E15" s="0" t="n">
        <f aca="false">E13-MAX(0,E13)*E14/100</f>
        <v>7894.0581823008</v>
      </c>
      <c r="F15" s="0" t="n">
        <f aca="false">F13-MAX(0,F13)*F14/100</f>
        <v>8367.70167323885</v>
      </c>
      <c r="G15" s="0" t="n">
        <f aca="false">G13-MAX(0,G13)*G14/100</f>
        <v>8776.6001183759</v>
      </c>
      <c r="H15" s="0" t="n">
        <f aca="false">H13-MAX(0,H13)*H14/100</f>
        <v>9215.43012429469</v>
      </c>
      <c r="I15" s="0" t="n">
        <f aca="false">I13-MAX(0,I13)*I14/100</f>
        <v>9573.80796246171</v>
      </c>
      <c r="J15" s="0" t="n">
        <f aca="false">J13-MAX(0,J13)*J14/100</f>
        <v>9956.76028096018</v>
      </c>
      <c r="K15" s="0" t="n">
        <f aca="false">K13-MAX(0,K13)*K14/100</f>
        <v>10305.2468907938</v>
      </c>
      <c r="L15" s="0" t="n">
        <f aca="false">L13-MAX(0,L13)*L14/100</f>
        <v>10614.4042975176</v>
      </c>
    </row>
    <row r="16" customFormat="false" ht="15" hidden="false" customHeight="false" outlineLevel="0" collapsed="false">
      <c r="A16" s="0" t="s">
        <v>135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136</v>
      </c>
      <c r="C17" s="4" t="n">
        <f aca="false">-C6*Assumptions!C32/100</f>
        <v>-7878.919376</v>
      </c>
      <c r="D17" s="4" t="n">
        <f aca="false">-D6*Assumptions!D32/100</f>
        <v>-7155.92945664</v>
      </c>
      <c r="E17" s="4" t="n">
        <f aca="false">-E6*Assumptions!E32/100</f>
        <v>-6932.8271624544</v>
      </c>
      <c r="F17" s="4" t="n">
        <f aca="false">-F6*Assumptions!F32/100</f>
        <v>-6552.91400958893</v>
      </c>
      <c r="G17" s="4" t="n">
        <f aca="false">-G6*Assumptions!G32/100</f>
        <v>-6009.07899556323</v>
      </c>
      <c r="H17" s="4" t="n">
        <f aca="false">-H6*Assumptions!H32/100</f>
        <v>-5306.78951372092</v>
      </c>
      <c r="I17" s="4" t="n">
        <f aca="false">-I6*Assumptions!I32/100</f>
        <v>-5016.59943994689</v>
      </c>
      <c r="J17" s="4" t="n">
        <f aca="false">-J6*Assumptions!J32/100</f>
        <v>-4659.21102374078</v>
      </c>
      <c r="K17" s="4" t="n">
        <f aca="false">-K6*Assumptions!K32/100</f>
        <v>-4239.25027417716</v>
      </c>
      <c r="L17" s="4" t="n">
        <f aca="false">-L6*Assumptions!L32/100</f>
        <v>-3760.29127790445</v>
      </c>
    </row>
    <row r="18" customFormat="false" ht="15" hidden="false" customHeight="false" outlineLevel="0" collapsed="false">
      <c r="A18" s="0" t="s">
        <v>137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138</v>
      </c>
      <c r="C19" s="0" t="n">
        <f aca="false">C15+C16+C17+C18</f>
        <v>-1008.069714</v>
      </c>
      <c r="D19" s="0" t="n">
        <f aca="false">D15+D16+D17+D18</f>
        <v>264.588178320002</v>
      </c>
      <c r="E19" s="0" t="n">
        <f aca="false">E15+E16+E17+E18</f>
        <v>961.2310198464</v>
      </c>
      <c r="F19" s="0" t="n">
        <f aca="false">F15+F16+F17+F18</f>
        <v>1814.78766364992</v>
      </c>
      <c r="G19" s="0" t="n">
        <f aca="false">G15+G16+G17+G18</f>
        <v>2767.52112281266</v>
      </c>
      <c r="H19" s="0" t="n">
        <f aca="false">H15+H16+H17+H18</f>
        <v>3908.64061057377</v>
      </c>
      <c r="I19" s="0" t="n">
        <f aca="false">I15+I16+I17+I18</f>
        <v>4557.20852251482</v>
      </c>
      <c r="J19" s="0" t="n">
        <f aca="false">J15+J16+J17+J18</f>
        <v>5297.5492572194</v>
      </c>
      <c r="K19" s="0" t="n">
        <f aca="false">K15+K16+K17+K18</f>
        <v>6065.99661661662</v>
      </c>
      <c r="L19" s="0" t="n">
        <f aca="false">L15+L16+L17+L18</f>
        <v>6854.11301961315</v>
      </c>
    </row>
    <row r="20" customFormat="false" ht="15" hidden="false" customHeight="false" outlineLevel="0" collapsed="false">
      <c r="A20" s="0" t="s">
        <v>139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140</v>
      </c>
      <c r="C21" s="0" t="n">
        <f aca="false">C19*C20</f>
        <v>-904.098398206279</v>
      </c>
      <c r="D21" s="0" t="n">
        <f aca="false">D19*D20</f>
        <v>212.82404900159</v>
      </c>
      <c r="E21" s="0" t="n">
        <f aca="false">E19*E20</f>
        <v>693.430875954959</v>
      </c>
      <c r="F21" s="0" t="n">
        <f aca="false">F19*F20</f>
        <v>1174.1574792917</v>
      </c>
      <c r="G21" s="0" t="n">
        <f aca="false">G19*G20</f>
        <v>1605.89300853436</v>
      </c>
      <c r="H21" s="0" t="n">
        <f aca="false">H19*H20</f>
        <v>2034.11983972628</v>
      </c>
      <c r="I21" s="0" t="n">
        <f aca="false">I19*I20</f>
        <v>2127.03594523876</v>
      </c>
      <c r="J21" s="0" t="n">
        <f aca="false">J19*J20</f>
        <v>2217.56349862195</v>
      </c>
      <c r="K21" s="0" t="n">
        <f aca="false">K19*K20</f>
        <v>2277.34253258864</v>
      </c>
      <c r="L21" s="0" t="n">
        <f aca="false">L19*L20</f>
        <v>2307.82347968093</v>
      </c>
    </row>
    <row r="23" customFormat="false" ht="15" hidden="false" customHeight="false" outlineLevel="0" collapsed="false">
      <c r="A23" s="0" t="s">
        <v>116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141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142</v>
      </c>
    </row>
    <row r="27" customFormat="false" ht="15" hidden="false" customHeight="false" outlineLevel="0" collapsed="false">
      <c r="A27" s="0" t="s">
        <v>120</v>
      </c>
      <c r="B27" s="4" t="n">
        <f aca="false">Assumptions!$B$34</f>
        <v>11.5</v>
      </c>
    </row>
    <row r="28" customFormat="false" ht="15" hidden="false" customHeight="false" outlineLevel="0" collapsed="false">
      <c r="A28" s="0" t="s">
        <v>121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122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143</v>
      </c>
      <c r="B30" s="0" t="n">
        <f aca="false">SUM(C21:L21)</f>
        <v>13746.0923104329</v>
      </c>
    </row>
    <row r="31" customFormat="false" ht="15" hidden="false" customHeight="false" outlineLevel="0" collapsed="false">
      <c r="A31" s="0" t="s">
        <v>144</v>
      </c>
      <c r="B31" s="0" t="n">
        <f aca="false">L19</f>
        <v>6854.11301961315</v>
      </c>
    </row>
    <row r="32" customFormat="false" ht="15" hidden="false" customHeight="false" outlineLevel="0" collapsed="false">
      <c r="A32" s="0" t="s">
        <v>145</v>
      </c>
      <c r="B32" s="0" t="n">
        <f aca="false">IF(B27&gt;B28,B31*(1+B28/100)/((B27-B28)/100),B31*B29)</f>
        <v>83055.7224729593</v>
      </c>
    </row>
    <row r="33" customFormat="false" ht="15" hidden="false" customHeight="false" outlineLevel="0" collapsed="false">
      <c r="A33" s="0" t="s">
        <v>146</v>
      </c>
      <c r="B33" s="0" t="n">
        <f aca="false">B31*B29</f>
        <v>82249.3562353577</v>
      </c>
    </row>
    <row r="34" customFormat="false" ht="15" hidden="false" customHeight="false" outlineLevel="0" collapsed="false">
      <c r="A34" s="0" t="s">
        <v>147</v>
      </c>
      <c r="B34" s="0" t="n">
        <f aca="false">MAX(0,MIN(B32,B33))</f>
        <v>82249.3562353577</v>
      </c>
    </row>
    <row r="35" customFormat="false" ht="15" hidden="false" customHeight="false" outlineLevel="0" collapsed="false">
      <c r="A35" s="0" t="s">
        <v>148</v>
      </c>
      <c r="B35" s="0" t="n">
        <f aca="false">B34/(1+B27/100)^L4</f>
        <v>27693.8817561711</v>
      </c>
    </row>
    <row r="36" customFormat="false" ht="15" hidden="false" customHeight="false" outlineLevel="0" collapsed="false">
      <c r="A36" s="0" t="s">
        <v>149</v>
      </c>
      <c r="B36" s="0" t="n">
        <f aca="false">B30+B35</f>
        <v>41439.974066604</v>
      </c>
    </row>
    <row r="37" customFormat="false" ht="15" hidden="false" customHeight="false" outlineLevel="0" collapsed="false">
      <c r="A37" s="0" t="s">
        <v>150</v>
      </c>
      <c r="B37" s="0" t="n">
        <f aca="false">B36+Assumptions!$B$5-Assumptions!$B$4</f>
        <v>44439.974066604</v>
      </c>
    </row>
    <row r="38" customFormat="false" ht="15" hidden="false" customHeight="false" outlineLevel="0" collapsed="false">
      <c r="A38" s="0" t="s">
        <v>151</v>
      </c>
      <c r="B38" s="0" t="n">
        <f aca="false">B37/Assumptions!$B$3*Assumptions!$B$10</f>
        <v>10.6767404241248</v>
      </c>
    </row>
    <row r="39" customFormat="false" ht="15" hidden="false" customHeight="false" outlineLevel="0" collapsed="false">
      <c r="A39" s="0" t="s">
        <v>152</v>
      </c>
      <c r="B39" s="4" t="n">
        <f aca="false">B38/Assumptions!$B$2-1</f>
        <v>0.306822573332288</v>
      </c>
    </row>
    <row r="41" customFormat="false" ht="15" hidden="false" customHeight="false" outlineLevel="0" collapsed="false">
      <c r="A41" s="0" t="s">
        <v>153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155</v>
      </c>
      <c r="B43" s="0" t="n">
        <f aca="false">(B37+B41+B42)/Assumptions!$B$3*Assumptions!$B$10</f>
        <v>10.6767404241248</v>
      </c>
    </row>
    <row r="45" customFormat="false" ht="15" hidden="false" customHeight="false" outlineLevel="0" collapsed="false">
      <c r="A45" s="0" t="s">
        <v>95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156</v>
      </c>
      <c r="B46" s="0" t="n">
        <f aca="false">MAX(0,MIN(IF(B45&gt;B28,B31*(1+B28/100)/((B45-B28)/100),B31*B29),B31*B29))</f>
        <v>58831.1367516795</v>
      </c>
    </row>
    <row r="47" customFormat="false" ht="15" hidden="false" customHeight="false" outlineLevel="0" collapsed="false">
      <c r="A47" s="0" t="s">
        <v>157</v>
      </c>
      <c r="B47" s="0" t="n">
        <f aca="false">(SUMPRODUCT(C19:L19/(1+B45/100)^C4:L4)+B46/(1+B45/100)^L4+Assumptions!$B$5-Assumptions!$B$4)/Assumptions!$B$3*Assumptions!$B$10</f>
        <v>6.83864509070392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159</v>
      </c>
    </row>
    <row r="3" customFormat="false" ht="15" hidden="false" customHeight="false" outlineLevel="0" collapsed="false">
      <c r="A3" s="0" t="s">
        <v>128</v>
      </c>
      <c r="B3" s="0" t="s">
        <v>98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</row>
    <row r="4" customFormat="false" ht="15" hidden="false" customHeight="false" outlineLevel="0" collapsed="false">
      <c r="A4" s="0" t="s">
        <v>129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113</v>
      </c>
      <c r="C5" s="4" t="n">
        <f aca="false">Assumptions!C41</f>
        <v>11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16376</v>
      </c>
      <c r="C6" s="0" t="n">
        <f aca="false">B6*(1+C5/100)</f>
        <v>18177.36</v>
      </c>
      <c r="D6" s="0" t="n">
        <f aca="false">C6*(1+D5/100)</f>
        <v>19813.3224</v>
      </c>
      <c r="E6" s="0" t="n">
        <f aca="false">D6*(1+E5/100)</f>
        <v>21398.388192</v>
      </c>
      <c r="F6" s="0" t="n">
        <f aca="false">E6*(1+F5/100)</f>
        <v>22896.27536544</v>
      </c>
      <c r="G6" s="0" t="n">
        <f aca="false">F6*(1+G5/100)</f>
        <v>24270.0518873664</v>
      </c>
      <c r="H6" s="0" t="n">
        <f aca="false">G6*(1+H5/100)</f>
        <v>25604.9047411716</v>
      </c>
      <c r="I6" s="0" t="n">
        <f aca="false">H6*(1+I5/100)</f>
        <v>26885.1499782301</v>
      </c>
      <c r="J6" s="0" t="n">
        <f aca="false">I6*(1+J5/100)</f>
        <v>28094.9817272505</v>
      </c>
      <c r="K6" s="0" t="n">
        <f aca="false">J6*(1+K5/100)</f>
        <v>29218.7809963405</v>
      </c>
      <c r="L6" s="0" t="n">
        <f aca="false">K6*(1+L5/100)</f>
        <v>30241.4383312124</v>
      </c>
    </row>
    <row r="7" customFormat="false" ht="15" hidden="false" customHeight="false" outlineLevel="0" collapsed="false">
      <c r="A7" s="0" t="s">
        <v>114</v>
      </c>
      <c r="C7" s="4" t="n">
        <f aca="false">Assumptions!C42</f>
        <v>46</v>
      </c>
      <c r="D7" s="4" t="n">
        <f aca="false">Assumptions!D42</f>
        <v>46.5</v>
      </c>
      <c r="E7" s="4" t="n">
        <f aca="false">Assumptions!E42</f>
        <v>47</v>
      </c>
      <c r="F7" s="4" t="n">
        <f aca="false">Assumptions!F42</f>
        <v>47</v>
      </c>
      <c r="G7" s="4" t="n">
        <f aca="false">Assumptions!G42</f>
        <v>47</v>
      </c>
      <c r="H7" s="4" t="n">
        <f aca="false">Assumptions!H42</f>
        <v>47</v>
      </c>
      <c r="I7" s="4" t="n">
        <f aca="false">Assumptions!I42</f>
        <v>47</v>
      </c>
      <c r="J7" s="4" t="n">
        <f aca="false">Assumptions!J42</f>
        <v>47</v>
      </c>
      <c r="K7" s="4" t="n">
        <f aca="false">Assumptions!K42</f>
        <v>47</v>
      </c>
      <c r="L7" s="4" t="n">
        <f aca="false">Assumptions!L42</f>
        <v>47</v>
      </c>
    </row>
    <row r="8" customFormat="false" ht="15" hidden="false" customHeight="false" outlineLevel="0" collapsed="false">
      <c r="A8" s="0" t="s">
        <v>44</v>
      </c>
      <c r="C8" s="0" t="n">
        <f aca="false">C6*C7/100</f>
        <v>8361.5856</v>
      </c>
      <c r="D8" s="0" t="n">
        <f aca="false">D6*D7/100</f>
        <v>9213.194916</v>
      </c>
      <c r="E8" s="0" t="n">
        <f aca="false">E6*E7/100</f>
        <v>10057.24245024</v>
      </c>
      <c r="F8" s="0" t="n">
        <f aca="false">F6*F7/100</f>
        <v>10761.2494217568</v>
      </c>
      <c r="G8" s="0" t="n">
        <f aca="false">G6*G7/100</f>
        <v>11406.9243870622</v>
      </c>
      <c r="H8" s="0" t="n">
        <f aca="false">H6*H7/100</f>
        <v>12034.3052283506</v>
      </c>
      <c r="I8" s="0" t="n">
        <f aca="false">I6*I7/100</f>
        <v>12636.0204897682</v>
      </c>
      <c r="J8" s="0" t="n">
        <f aca="false">J6*J7/100</f>
        <v>13204.6414118077</v>
      </c>
      <c r="K8" s="0" t="n">
        <f aca="false">K6*K7/100</f>
        <v>13732.82706828</v>
      </c>
      <c r="L8" s="0" t="n">
        <f aca="false">L6*L7/100</f>
        <v>14213.4760156698</v>
      </c>
    </row>
    <row r="9" customFormat="false" ht="15" hidden="false" customHeight="false" outlineLevel="0" collapsed="false">
      <c r="A9" s="0" t="s">
        <v>115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130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131</v>
      </c>
      <c r="C11" s="0" t="n">
        <f aca="false">C8+C10+C24</f>
        <v>8361.5856</v>
      </c>
      <c r="D11" s="0" t="n">
        <f aca="false">D8+D10+D24</f>
        <v>9213.194916</v>
      </c>
      <c r="E11" s="0" t="n">
        <f aca="false">E8+E10+E24</f>
        <v>10057.24245024</v>
      </c>
      <c r="F11" s="0" t="n">
        <f aca="false">F8+F10+F24</f>
        <v>10761.2494217568</v>
      </c>
      <c r="G11" s="0" t="n">
        <f aca="false">G8+G10+G24</f>
        <v>11406.9243870622</v>
      </c>
      <c r="H11" s="0" t="n">
        <f aca="false">H8+H10+H24</f>
        <v>12034.3052283506</v>
      </c>
      <c r="I11" s="0" t="n">
        <f aca="false">I8+I10+I24</f>
        <v>12636.0204897682</v>
      </c>
      <c r="J11" s="0" t="n">
        <f aca="false">J8+J10+J24</f>
        <v>13204.6414118077</v>
      </c>
      <c r="K11" s="0" t="n">
        <f aca="false">K8+K10+K24</f>
        <v>13732.82706828</v>
      </c>
      <c r="L11" s="0" t="n">
        <f aca="false">L8+L10+L24</f>
        <v>14213.4760156698</v>
      </c>
    </row>
    <row r="12" customFormat="false" ht="15" hidden="false" customHeight="false" outlineLevel="0" collapsed="false">
      <c r="A12" s="0" t="s">
        <v>132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133</v>
      </c>
      <c r="C13" s="0" t="n">
        <f aca="false">C11+C12</f>
        <v>8361.5856</v>
      </c>
      <c r="D13" s="0" t="n">
        <f aca="false">D11+D12</f>
        <v>9213.194916</v>
      </c>
      <c r="E13" s="0" t="n">
        <f aca="false">E11+E12</f>
        <v>10057.24245024</v>
      </c>
      <c r="F13" s="0" t="n">
        <f aca="false">F11+F12</f>
        <v>10761.2494217568</v>
      </c>
      <c r="G13" s="0" t="n">
        <f aca="false">G11+G12</f>
        <v>11406.9243870622</v>
      </c>
      <c r="H13" s="0" t="n">
        <f aca="false">H11+H12</f>
        <v>12034.3052283506</v>
      </c>
      <c r="I13" s="0" t="n">
        <f aca="false">I11+I12</f>
        <v>12636.0204897682</v>
      </c>
      <c r="J13" s="0" t="n">
        <f aca="false">J11+J12</f>
        <v>13204.6414118077</v>
      </c>
      <c r="K13" s="0" t="n">
        <f aca="false">K11+K12</f>
        <v>13732.82706828</v>
      </c>
      <c r="L13" s="0" t="n">
        <f aca="false">L11+L12</f>
        <v>14213.4760156698</v>
      </c>
    </row>
    <row r="14" customFormat="false" ht="15" hidden="false" customHeight="false" outlineLevel="0" collapsed="false">
      <c r="A14" s="0" t="s">
        <v>119</v>
      </c>
      <c r="C14" s="4" t="n">
        <f aca="false">Assumptions!C47</f>
        <v>13.5</v>
      </c>
      <c r="D14" s="4" t="n">
        <f aca="false">Assumptions!D47</f>
        <v>13.5</v>
      </c>
      <c r="E14" s="4" t="n">
        <f aca="false">Assumptions!E47</f>
        <v>14</v>
      </c>
      <c r="F14" s="4" t="n">
        <f aca="false">Assumptions!F47</f>
        <v>14</v>
      </c>
      <c r="G14" s="4" t="n">
        <f aca="false">Assumptions!G47</f>
        <v>14.5</v>
      </c>
      <c r="H14" s="4" t="n">
        <f aca="false">Assumptions!H47</f>
        <v>14.5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134</v>
      </c>
      <c r="C15" s="0" t="n">
        <f aca="false">C13-MAX(0,C13)*C14/100</f>
        <v>7232.771544</v>
      </c>
      <c r="D15" s="0" t="n">
        <f aca="false">D13-MAX(0,D13)*D14/100</f>
        <v>7969.41360234</v>
      </c>
      <c r="E15" s="0" t="n">
        <f aca="false">E13-MAX(0,E13)*E14/100</f>
        <v>8649.2285072064</v>
      </c>
      <c r="F15" s="0" t="n">
        <f aca="false">F13-MAX(0,F13)*F14/100</f>
        <v>9254.67450271085</v>
      </c>
      <c r="G15" s="0" t="n">
        <f aca="false">G13-MAX(0,G13)*G14/100</f>
        <v>9752.92035093819</v>
      </c>
      <c r="H15" s="0" t="n">
        <f aca="false">H13-MAX(0,H13)*H14/100</f>
        <v>10289.3309702398</v>
      </c>
      <c r="I15" s="0" t="n">
        <f aca="false">I13-MAX(0,I13)*I14/100</f>
        <v>10740.6174163029</v>
      </c>
      <c r="J15" s="0" t="n">
        <f aca="false">J13-MAX(0,J13)*J14/100</f>
        <v>11223.9452000366</v>
      </c>
      <c r="K15" s="0" t="n">
        <f aca="false">K13-MAX(0,K13)*K14/100</f>
        <v>11672.903008038</v>
      </c>
      <c r="L15" s="0" t="n">
        <f aca="false">L13-MAX(0,L13)*L14/100</f>
        <v>12081.4546133194</v>
      </c>
    </row>
    <row r="16" customFormat="false" ht="15" hidden="false" customHeight="false" outlineLevel="0" collapsed="false">
      <c r="A16" s="0" t="s">
        <v>135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136</v>
      </c>
      <c r="C17" s="4" t="n">
        <f aca="false">-C6*Assumptions!C46/100</f>
        <v>-7163.697576</v>
      </c>
      <c r="D17" s="4" t="n">
        <f aca="false">-D6*Assumptions!D46/100</f>
        <v>-6302.61785544</v>
      </c>
      <c r="E17" s="4" t="n">
        <f aca="false">-E6*Assumptions!E46/100</f>
        <v>-5957.3112726528</v>
      </c>
      <c r="F17" s="4" t="n">
        <f aca="false">-F6*Assumptions!F46/100</f>
        <v>-5463.05130219399</v>
      </c>
      <c r="G17" s="4" t="n">
        <f aca="false">-G6*Assumptions!G46/100</f>
        <v>-5307.86034776703</v>
      </c>
      <c r="H17" s="4" t="n">
        <f aca="false">-H6*Assumptions!H46/100</f>
        <v>-5090.25506254491</v>
      </c>
      <c r="I17" s="4" t="n">
        <f aca="false">-I6*Assumptions!I46/100</f>
        <v>-4812.44184610319</v>
      </c>
      <c r="J17" s="4" t="n">
        <f aca="false">-J6*Assumptions!J46/100</f>
        <v>-4469.91159280555</v>
      </c>
      <c r="K17" s="4" t="n">
        <f aca="false">-K6*Assumptions!K46/100</f>
        <v>-4067.2543146906</v>
      </c>
      <c r="L17" s="4" t="n">
        <f aca="false">-L6*Assumptions!L46/100</f>
        <v>-4209.60821570477</v>
      </c>
    </row>
    <row r="18" customFormat="false" ht="15" hidden="false" customHeight="false" outlineLevel="0" collapsed="false">
      <c r="A18" s="0" t="s">
        <v>137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138</v>
      </c>
      <c r="C19" s="0" t="n">
        <f aca="false">C15+C16+C17+C18</f>
        <v>69.0739679999997</v>
      </c>
      <c r="D19" s="0" t="n">
        <f aca="false">D15+D16+D17+D18</f>
        <v>1666.7957469</v>
      </c>
      <c r="E19" s="0" t="n">
        <f aca="false">E15+E16+E17+E18</f>
        <v>2691.9172345536</v>
      </c>
      <c r="F19" s="0" t="n">
        <f aca="false">F15+F16+F17+F18</f>
        <v>3791.62320051686</v>
      </c>
      <c r="G19" s="0" t="n">
        <f aca="false">G15+G16+G17+G18</f>
        <v>4445.06000317116</v>
      </c>
      <c r="H19" s="0" t="n">
        <f aca="false">H15+H16+H17+H18</f>
        <v>5199.07590769488</v>
      </c>
      <c r="I19" s="0" t="n">
        <f aca="false">I15+I16+I17+I18</f>
        <v>5928.17557019974</v>
      </c>
      <c r="J19" s="0" t="n">
        <f aca="false">J15+J16+J17+J18</f>
        <v>6754.03360723102</v>
      </c>
      <c r="K19" s="0" t="n">
        <f aca="false">K15+K16+K17+K18</f>
        <v>7605.64869334743</v>
      </c>
      <c r="L19" s="0" t="n">
        <f aca="false">L15+L16+L17+L18</f>
        <v>7871.84639761459</v>
      </c>
    </row>
    <row r="20" customFormat="false" ht="15" hidden="false" customHeight="false" outlineLevel="0" collapsed="false">
      <c r="A20" s="0" t="s">
        <v>139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140</v>
      </c>
      <c r="C21" s="0" t="n">
        <f aca="false">C19*C20</f>
        <v>62.2287999999997</v>
      </c>
      <c r="D21" s="0" t="n">
        <f aca="false">D19*D20</f>
        <v>1352.80881981982</v>
      </c>
      <c r="E21" s="0" t="n">
        <f aca="false">E19*E20</f>
        <v>1968.30668108108</v>
      </c>
      <c r="F21" s="0" t="n">
        <f aca="false">F19*F20</f>
        <v>2497.65964446726</v>
      </c>
      <c r="G21" s="0" t="n">
        <f aca="false">G19*G20</f>
        <v>2637.9267621819</v>
      </c>
      <c r="H21" s="0" t="n">
        <f aca="false">H19*H20</f>
        <v>2779.63829017909</v>
      </c>
      <c r="I21" s="0" t="n">
        <f aca="false">I19*I20</f>
        <v>2855.35562462409</v>
      </c>
      <c r="J21" s="0" t="n">
        <f aca="false">J19*J20</f>
        <v>2930.75413906484</v>
      </c>
      <c r="K21" s="0" t="n">
        <f aca="false">K19*K20</f>
        <v>2973.23647709718</v>
      </c>
      <c r="L21" s="0" t="n">
        <f aca="false">L19*L20</f>
        <v>2772.34212053656</v>
      </c>
    </row>
    <row r="23" customFormat="false" ht="15" hidden="false" customHeight="false" outlineLevel="0" collapsed="false">
      <c r="A23" s="0" t="s">
        <v>116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141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142</v>
      </c>
    </row>
    <row r="27" customFormat="false" ht="15" hidden="false" customHeight="false" outlineLevel="0" collapsed="false">
      <c r="A27" s="0" t="s">
        <v>120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121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122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143</v>
      </c>
      <c r="B30" s="0" t="n">
        <f aca="false">SUM(C21:L21)</f>
        <v>22830.2573590518</v>
      </c>
    </row>
    <row r="31" customFormat="false" ht="15" hidden="false" customHeight="false" outlineLevel="0" collapsed="false">
      <c r="A31" s="0" t="s">
        <v>144</v>
      </c>
      <c r="B31" s="0" t="n">
        <f aca="false">L19</f>
        <v>7871.84639761459</v>
      </c>
    </row>
    <row r="32" customFormat="false" ht="15" hidden="false" customHeight="false" outlineLevel="0" collapsed="false">
      <c r="A32" s="0" t="s">
        <v>145</v>
      </c>
      <c r="B32" s="0" t="n">
        <f aca="false">IF(B27&gt;B28,B31*(1+B28/100)/((B27-B28)/100),B31*B29)</f>
        <v>108631.480287081</v>
      </c>
    </row>
    <row r="33" customFormat="false" ht="15" hidden="false" customHeight="false" outlineLevel="0" collapsed="false">
      <c r="A33" s="0" t="s">
        <v>146</v>
      </c>
      <c r="B33" s="0" t="n">
        <f aca="false">B31*B29</f>
        <v>102334.00316899</v>
      </c>
    </row>
    <row r="34" customFormat="false" ht="15" hidden="false" customHeight="false" outlineLevel="0" collapsed="false">
      <c r="A34" s="0" t="s">
        <v>147</v>
      </c>
      <c r="B34" s="0" t="n">
        <f aca="false">MAX(0,MIN(B32,B33))</f>
        <v>102334.00316899</v>
      </c>
    </row>
    <row r="35" customFormat="false" ht="15" hidden="false" customHeight="false" outlineLevel="0" collapsed="false">
      <c r="A35" s="0" t="s">
        <v>148</v>
      </c>
      <c r="B35" s="0" t="n">
        <f aca="false">B34/(1+B27/100)^L4</f>
        <v>36040.4475669753</v>
      </c>
    </row>
    <row r="36" customFormat="false" ht="15" hidden="false" customHeight="false" outlineLevel="0" collapsed="false">
      <c r="A36" s="0" t="s">
        <v>149</v>
      </c>
      <c r="B36" s="0" t="n">
        <f aca="false">B30+B35</f>
        <v>58870.7049260271</v>
      </c>
    </row>
    <row r="37" customFormat="false" ht="15" hidden="false" customHeight="false" outlineLevel="0" collapsed="false">
      <c r="A37" s="0" t="s">
        <v>150</v>
      </c>
      <c r="B37" s="0" t="n">
        <f aca="false">B36+Assumptions!$B$5-Assumptions!$B$4</f>
        <v>61870.7049260271</v>
      </c>
    </row>
    <row r="38" customFormat="false" ht="15" hidden="false" customHeight="false" outlineLevel="0" collapsed="false">
      <c r="A38" s="0" t="s">
        <v>151</v>
      </c>
      <c r="B38" s="0" t="n">
        <f aca="false">B37/Assumptions!$B$3*Assumptions!$B$10</f>
        <v>14.8644878901769</v>
      </c>
    </row>
    <row r="39" customFormat="false" ht="15" hidden="false" customHeight="false" outlineLevel="0" collapsed="false">
      <c r="A39" s="0" t="s">
        <v>152</v>
      </c>
      <c r="B39" s="4" t="n">
        <f aca="false">B38/Assumptions!$B$2-1</f>
        <v>0.819398762567551</v>
      </c>
    </row>
    <row r="41" customFormat="false" ht="15" hidden="false" customHeight="false" outlineLevel="0" collapsed="false">
      <c r="A41" s="0" t="s">
        <v>153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155</v>
      </c>
      <c r="B43" s="0" t="n">
        <f aca="false">(B37+B41+B42)/Assumptions!$B$3*Assumptions!$B$10</f>
        <v>14.8644878901769</v>
      </c>
    </row>
    <row r="45" customFormat="false" ht="15" hidden="false" customHeight="false" outlineLevel="0" collapsed="false">
      <c r="A45" s="0" t="s">
        <v>95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156</v>
      </c>
      <c r="B46" s="0" t="n">
        <f aca="false">MAX(0,MIN(IF(B45&gt;B28,B31*(1+B28/100)/((B45-B28)/100),B31*B29),B31*B29))</f>
        <v>70846.6175785313</v>
      </c>
    </row>
    <row r="47" customFormat="false" ht="15" hidden="false" customHeight="false" outlineLevel="0" collapsed="false">
      <c r="A47" s="0" t="s">
        <v>157</v>
      </c>
      <c r="B47" s="0" t="n">
        <f aca="false">(SUMPRODUCT(C19:L19/(1+B45/100)^C4:L4)+B46/(1+B45/100)^L4+Assumptions!$B$5-Assumptions!$B$4)/Assumptions!$B$3*Assumptions!$B$10</f>
        <v>9.31511662327755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160</v>
      </c>
    </row>
    <row r="3" customFormat="false" ht="15" hidden="false" customHeight="false" outlineLevel="0" collapsed="false">
      <c r="A3" s="2" t="s">
        <v>161</v>
      </c>
      <c r="B3" s="2" t="s">
        <v>162</v>
      </c>
      <c r="C3" s="2" t="s">
        <v>152</v>
      </c>
      <c r="D3" s="2" t="s">
        <v>163</v>
      </c>
      <c r="E3" s="2" t="s">
        <v>155</v>
      </c>
      <c r="F3" s="2" t="s">
        <v>164</v>
      </c>
    </row>
    <row r="4" customFormat="false" ht="15" hidden="false" customHeight="false" outlineLevel="0" collapsed="false">
      <c r="A4" s="0" t="s">
        <v>165</v>
      </c>
      <c r="B4" s="4" t="n">
        <f aca="false">DCF_Bear!$B$38</f>
        <v>3.7143018222994</v>
      </c>
      <c r="C4" s="0" t="n">
        <f aca="false">B4/Assumptions!$B$2-1</f>
        <v>-0.545373093965802</v>
      </c>
      <c r="D4" s="4" t="n">
        <f aca="false">Assumptions!$B$24</f>
        <v>0.35</v>
      </c>
      <c r="E4" s="4" t="n">
        <f aca="false">DCF_Bear!$B$43</f>
        <v>3.7143018222994</v>
      </c>
      <c r="F4" s="4" t="n">
        <f aca="false">DCF_Bear!$B$47</f>
        <v>2.3509774303739</v>
      </c>
    </row>
    <row r="5" customFormat="false" ht="15" hidden="false" customHeight="false" outlineLevel="0" collapsed="false">
      <c r="A5" s="0" t="s">
        <v>166</v>
      </c>
      <c r="B5" s="4" t="n">
        <f aca="false">DCF_Base!$B$38</f>
        <v>10.6767404241248</v>
      </c>
      <c r="C5" s="0" t="n">
        <f aca="false">B5/Assumptions!$B$2-1</f>
        <v>0.306822573332288</v>
      </c>
      <c r="D5" s="4" t="n">
        <f aca="false">Assumptions!$B$38</f>
        <v>0.45</v>
      </c>
      <c r="E5" s="4" t="n">
        <f aca="false">DCF_Base!$B$43</f>
        <v>10.6767404241248</v>
      </c>
      <c r="F5" s="4" t="n">
        <f aca="false">DCF_Base!$B$47</f>
        <v>6.83864509070392</v>
      </c>
    </row>
    <row r="6" customFormat="false" ht="15" hidden="false" customHeight="false" outlineLevel="0" collapsed="false">
      <c r="A6" s="0" t="s">
        <v>167</v>
      </c>
      <c r="B6" s="4" t="n">
        <f aca="false">DCF_Bull!$B$38</f>
        <v>14.8644878901769</v>
      </c>
      <c r="C6" s="0" t="n">
        <f aca="false">B6/Assumptions!$B$2-1</f>
        <v>0.819398762567551</v>
      </c>
      <c r="D6" s="4" t="n">
        <f aca="false">Assumptions!$B$52</f>
        <v>0.2</v>
      </c>
      <c r="E6" s="4" t="n">
        <f aca="false">DCF_Bull!$B$43</f>
        <v>14.8644878901769</v>
      </c>
      <c r="F6" s="4" t="n">
        <f aca="false">DCF_Bull!$B$47</f>
        <v>9.31511662327755</v>
      </c>
    </row>
    <row r="8" customFormat="false" ht="15" hidden="false" customHeight="false" outlineLevel="0" collapsed="false">
      <c r="A8" s="0" t="s">
        <v>168</v>
      </c>
      <c r="B8" s="0" t="n">
        <f aca="false">SUMPRODUCT(B4:B6,D4:D6)</f>
        <v>9.07743640669632</v>
      </c>
    </row>
    <row r="9" customFormat="false" ht="15" hidden="false" customHeight="false" outlineLevel="0" collapsed="false">
      <c r="A9" s="0" t="s">
        <v>169</v>
      </c>
      <c r="B9" s="0" t="n">
        <f aca="false">SUMPRODUCT(E4:E6,D4:D6)</f>
        <v>9.07743640669632</v>
      </c>
    </row>
    <row r="10" customFormat="false" ht="15" hidden="false" customHeight="false" outlineLevel="0" collapsed="false">
      <c r="A10" s="0" t="s">
        <v>170</v>
      </c>
      <c r="B10" s="0" t="n">
        <f aca="false">1-Assumptions!$B$2/B8</f>
        <v>0.0999661541034775</v>
      </c>
    </row>
    <row r="11" customFormat="false" ht="15" hidden="false" customHeight="false" outlineLevel="0" collapsed="false">
      <c r="A11" s="0" t="s">
        <v>171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172</v>
      </c>
      <c r="B12" s="0" t="n">
        <f aca="false">SUMPRODUCT(F4:F6,D4:D6)</f>
        <v>5.76325571610314</v>
      </c>
    </row>
    <row r="14" customFormat="false" ht="15" hidden="false" customHeight="false" outlineLevel="0" collapsed="false">
      <c r="A14" s="2" t="s">
        <v>173</v>
      </c>
      <c r="C14" s="0" t="s">
        <v>174</v>
      </c>
    </row>
    <row r="15" customFormat="false" ht="15" hidden="false" customHeight="false" outlineLevel="0" collapsed="false">
      <c r="A15" s="0" t="s">
        <v>175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12.9826446909558</v>
      </c>
      <c r="C15" s="3" t="n">
        <v>9</v>
      </c>
    </row>
    <row r="16" customFormat="false" ht="15" hidden="false" customHeight="false" outlineLevel="0" collapsed="false">
      <c r="A16" s="0" t="s">
        <v>176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11.9943842176888</v>
      </c>
      <c r="C16" s="3" t="n">
        <v>10</v>
      </c>
    </row>
    <row r="17" customFormat="false" ht="15" hidden="false" customHeight="false" outlineLevel="0" collapsed="false">
      <c r="A17" s="0" t="s">
        <v>177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11.0954931416916</v>
      </c>
      <c r="C17" s="3" t="n">
        <v>11</v>
      </c>
    </row>
    <row r="18" customFormat="false" ht="15" hidden="false" customHeight="false" outlineLevel="0" collapsed="false">
      <c r="A18" s="0" t="s">
        <v>178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10.6767404241248</v>
      </c>
      <c r="C18" s="3" t="n">
        <v>11.5</v>
      </c>
    </row>
    <row r="19" customFormat="false" ht="15" hidden="false" customHeight="false" outlineLevel="0" collapsed="false">
      <c r="A19" s="0" t="s">
        <v>179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9.98251692422056</v>
      </c>
      <c r="C19" s="3" t="n">
        <v>12</v>
      </c>
    </row>
    <row r="20" customFormat="false" ht="15" hidden="false" customHeight="false" outlineLevel="0" collapsed="false">
      <c r="A20" s="0" t="s">
        <v>180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6.83864509070392</v>
      </c>
      <c r="C20" s="3" t="n">
        <v>15</v>
      </c>
    </row>
    <row r="22" customFormat="false" ht="15" hidden="false" customHeight="false" outlineLevel="0" collapsed="false">
      <c r="A22" s="2" t="s">
        <v>181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9.5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12.4767459761073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12.4767459761073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12.4767459761073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12.4767459761073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12.4767459761073</v>
      </c>
    </row>
    <row r="25" customFormat="false" ht="15" hidden="false" customHeight="false" outlineLevel="0" collapsed="false">
      <c r="A25" s="3" t="n">
        <v>10.5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11.5343478157552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11.5343478157552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11.5343478157552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11.5343478157552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11.5343478157552</v>
      </c>
    </row>
    <row r="26" customFormat="false" ht="15" hidden="false" customHeight="false" outlineLevel="0" collapsed="false">
      <c r="A26" s="3" t="n">
        <v>11.5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9.97637432579156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10.3379058996997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10.6767404241248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10.6767404241248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10.6767404241248</v>
      </c>
    </row>
    <row r="27" customFormat="false" ht="15" hidden="false" customHeight="false" outlineLevel="0" collapsed="false">
      <c r="A27" s="3" t="n">
        <v>12.5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8.73643967832106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9.00809871226039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9.30835343398281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9.64196979145216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9.89551822312886</v>
      </c>
    </row>
    <row r="28" customFormat="false" ht="15" hidden="false" customHeight="false" outlineLevel="0" collapsed="false">
      <c r="A28" s="3" t="n">
        <v>13.5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7.73019150124969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7.93841650269162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8.16647245665184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8.41733400600808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8.69460203424393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2026-10-17T00:08:25Z</dcterms:created>
  <dc:creator>openpyxl</dc:creator>
  <dc:description/>
  <dc:language>en-NZ</dc:language>
  <cp:lastModifiedBy/>
  <dcterms:modified xsi:type="dcterms:W3CDTF">2026-10-17T00:08:25Z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