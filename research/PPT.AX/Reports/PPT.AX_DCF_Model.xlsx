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<sst xmlns="http://schemas.openxmlformats.org/spreadsheetml/2006/main" count="364" uniqueCount="167">
  <si>
    <t xml:space="preserve">Ticker</t>
  </si>
  <si>
    <t xml:space="preserve">PPT.AX</t>
  </si>
  <si>
    <t xml:space="preserve">Company</t>
  </si>
  <si>
    <t xml:space="preserve">Perpetual Limited</t>
  </si>
  <si>
    <t xml:space="preserve">Valuation date</t>
  </si>
  <si>
    <t xml:space="preserve">2026-09-25</t>
  </si>
  <si>
    <t xml:space="preserve">Current price</t>
  </si>
  <si>
    <t xml:space="preserve">Price as of</t>
  </si>
  <si>
    <t xml:space="preserve">2026-09-25T04:15:22Z (intraday ASX session; 52-week range 15.10-21.41; price is four days after the 21-Sep-2026 EQT engagement conclusion that took the stock down ~14%)</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</si>
  <si>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</si>
  <si>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</si>
  <si>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</si>
  <si>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</si>
  <si>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</si>
  <si>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</si>
  <si>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</si>
  <si>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</si>
  <si>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</si>
  <si>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</si>
  <si>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</si>
  <si>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</si>
  <si>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2026-09-25T04:41:24Z</t>
  </si>
  <si>
    <t xml:space="preserve">Drivers file</t>
  </si>
  <si>
    <t xml:space="preserve">PPT.AX_Drivers.json</t>
  </si>
  <si>
    <t xml:space="preserve">Convention</t>
  </si>
  <si>
    <t xml:space="preserve">Percents stored as percents; formulas divide by 100. Blue = input, green = link, black = formula.</t>
  </si>
  <si>
    <t xml:space="preserve">Methodology</t>
  </si>
  <si>
    <t xml:space="preserve">summary: Value the continuing Asset Management + Corporate Trust business on unlevered owner FCF (SBC and lease cash expensed, interest income stripped, cash tax normalised), add the net cash from selling Wealth Management, deduct net debt, the Interfi minority and the dividend already paid out of 30 June cash, and cap the terminal at 12x because a manager with structural outflows should not be valued as a compounder. EQT's rejected A$22.50 is treated as evidence of what a financial buyer would pay, not as a floor: the engagement is over.
key_risks_to_valuation: AM net outflows: every -10bn of AUM is roughly -40m of revenue at the 44bps margin; the base assumes the bleed slows from FY28, which is a judgment not yet evidenced by flows; WM sale completion: the bridge carries ~455m of net proceeds; a deal break removes ~A$1.30/share and leaves gross debt at 627.5m; Cash tax: the 15% -&gt; 28% ramp is a judgment on how long US intangible amortisation and capital losses shelter cash tax; a slower ramp adds value, faster removes it; Regulatory capital inside the 330.2 of cash is not freely distributable; no haircut applied; Market beta: ad valorem fees on ~224bn AUM make every scenario a function of equity markets management does not control; Terminal multiple: 12x owner FCF binds in base and bull; Gordon at 9.5%/2% would be ~13.6x</t>
  </si>
  <si>
    <t xml:space="preserve">Data sources</t>
  </si>
  <si>
    <t xml:space="preserve">price: Yahoo Finance chart API at inputs.price_as_of (regularMarketPrice, intraday); 52-week range 15.10-21.41
financials: PPT.AX_Annual_FY2026.txt (Annual Report and OFR for the year ended 30 June 2026, released 27 Aug 2026): continuing-operations reconciliation lines 6954-6980, segment revenue lines 6787, 6156, 6377, 6553, 6744; cash-flow statement lines 7610-7655; discontinued operation section 1.8 lines 8775-8838; tax note lines 8218-8290; EPS/dilution lines 8513-8518; borrowings lines 9514-9522. History from PPT.AX_Metrics.csv and the kpis table via make dcf-context.
qualitative: PPT.AX_Analysis.json (2026-09-25): business model, segment mix, Bain sale terms, EQT proposals, Simplification Program guidance, bull/bear cases.</t>
  </si>
  <si>
    <t xml:space="preserve">Scenario narrative: bear</t>
  </si>
  <si>
    <t xml:space="preserve">The bear axes are (1) the structural active-to-passive shift: outflows continue at FY26's pace for two more years, and a market drawdown hits ad valorem fees and flows at once, so AM revenue falls 15-20% cumulatively; (2) further impairments and a fourth consecutive year of statutory losses undermine dividend capacity; (3) the Bain transaction fails or slips, as the KKR deal did in 2024 when an adverse ATO ruling roughly tripled the expected tax cost, leaving Perpetual with 627.5m of gross debt against ~330m of continuing EBITDA and no franking recovery. With EQT gone and a persistent 'Hold' consensus, there is no bid support for the price.</t>
  </si>
  <si>
    <t xml:space="preserve">Scenario narrative: base</t>
  </si>
  <si>
    <t xml:space="preserve">Perpetual after the Bain sale is an Asset Management franchise in managed decline (net outflows of -25.1bn in FY26 on 224bn AUM, an annualised net revenue outcome of -84.2m against a -23.9m target) bolted to a genuinely good Corporate Trust business (revenue +8%, UPBT +9%, FUA 1.35tn, 10-year Trustee of the Year). The base case has continuing revenue falling 2% in FY27 as the outflow run-rate lands, flat in FY28, then 2-2.5%/yr as market beta and Corporate Trust outgrow a slower AM bleed. Margins hold near 29-29.5% (the 72.6m of Simplification savings is largely in the FY26 base already), cash tax normalises to 28%, and net proceeds of ~455m from WM retire most of the 627.5m facility. Terminal value is capped at 12x owner FCF, which is what the market has paid for mid-tier active managers with flat-to-declining AUM.</t>
  </si>
  <si>
    <t xml:space="preserve">Scenario narrative: bull</t>
  </si>
  <si>
    <t xml:space="preserve">The bull axes are (1) AM flows: the new J O Hambro CEO's simplification restores performance, Barrow Hanley benefits from a value cycle, and Active ETFs (DIFF raised 295m in its first year) and fixed income diversify distribution so net flows turn neutral by FY28; (2) Corporate Trust keeps compounding at high single digits with Interfi and the IAM term-deposit business expanding Digital and Markets AUA (+14% in FY26); (3) the WM separation strands little cost and Simplification lands at the top of the 70-80m range, lifting the group margin to 32.5%. The 50m incremental upfront and 50m earn-out from Bain (excluded from the bridge) and renewed M&amp;A interest, with EQT having shown A$22.50 of willingness, are upside on top of the modelled flows.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</si>
  <si>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</si>
  <si>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</si>
  <si>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</si>
  <si>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</si>
  <si>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</si>
  <si>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</si>
  <si>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</si>
  <si>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</si>
  <si>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</si>
  <si>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</si>
  <si>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</si>
  <si>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</si>
  <si>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</si>
  <si>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</si>
  <si>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</si>
  <si>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</si>
  <si>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</si>
  <si>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</si>
  <si>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</si>
  <si>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</si>
  <si>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</si>
  <si>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</si>
  <si>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</si>
  <si>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</si>
  <si>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</si>
  <si>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</si>
  <si>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</si>
  <si>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NetIncomeContinuing</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</si>
  <si>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</si>
  <si>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</si>
  <si>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</si>
  <si>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</si>
  <si>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</si>
  <si>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</si>
  <si>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</si>
  <si>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</si>
  <si>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</si>
  <si>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</si>
  <si>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</si>
  <si>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</si>
  <si>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</si>
  <si>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</si>
  <si>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</si>
  <si>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</si>
  <si>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</si>
  <si>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</si>
  <si>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</si>
  <si>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</si>
  <si>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</si>
  <si>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</si>
  <si>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</si>
  <si>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</si>
  <si>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</si>
  <si>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</si>
  <si>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</si>
  <si>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</si>
  <si>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</si>
  <si>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</si>
  <si>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</si>
  <si>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</si>
  <si>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</si>
  <si>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</si>
  <si>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</si>
  <si>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</si>
  <si>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</si>
  <si>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</si>
  <si>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</si>
  <si>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</si>
  <si>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</si>
  <si>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</si>
  <si>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</si>
  <si>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</si>
  <si>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</si>
  <si>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</si>
  <si>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</si>
  <si>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</si>
  <si>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PPT.AX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</si>
  <si>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</si>
  <si>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</si>
  <si>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</si>
  <si>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</si>
  <si>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</si>
  <si>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</si>
  <si>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</si>
  <si>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</si>
  <si>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</si>
  <si>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</si>
  <si>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</si>
  <si>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</si>
  <si>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</si>
  <si>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</si>
  <si>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</si>
  <si>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</si>
  <si>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</si>
  <si>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</si>
  <si>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</si>
  <si>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</si>
  <si>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</si>
  <si>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</si>
  <si>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</si>
  <si>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</si>
  <si>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</si>
  <si>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</si>
  <si>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</si>
  <si>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</si>
  <si>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</si>
  <si>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</si>
  <si>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PPT.AX owner-FCF component DCF: base case (millions, AUD)</t>
  </si>
  <si>
    <t xml:space="preserve">PPT.AX owner-FCF component DCF: bull case (millions, AUD)</t>
  </si>
  <si>
    <t xml:space="preserve">PPT.AX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</si>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</sst>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16.78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row>
    <row r="2" customFormat="false" ht="15" hidden="false" customHeight="false" outlineLevel="0" collapsed="false">
      <c r="A2" s="0" t="s">
        <v>64</v>
      </c>
      <c r="B2" s="0" t="n">
        <v>507.729</v>
      </c>
      <c r="F2" s="0" t="n">
        <v>186.121</v>
      </c>
      <c r="G2" s="0" t="n">
        <v>36.7</v>
      </c>
      <c r="I2" s="0" t="n">
        <v>132.005</v>
      </c>
      <c r="J2" s="0" t="n">
        <v>26</v>
      </c>
      <c r="K2" s="0" t="n">
        <v>2.843</v>
      </c>
      <c r="L2" s="0" t="n">
        <v>149.785</v>
      </c>
      <c r="M2" s="0" t="n">
        <v>17.272</v>
      </c>
      <c r="N2" s="0" t="n">
        <v>132.513</v>
      </c>
      <c r="O2" s="0" t="n">
        <v>605.519</v>
      </c>
      <c r="P2" s="0" t="n">
        <v>1153.309</v>
      </c>
      <c r="Q2" s="0" t="n">
        <v>547.79</v>
      </c>
      <c r="R2" s="0" t="n">
        <v>87</v>
      </c>
      <c r="S2" s="0" t="n">
        <v>278.23</v>
      </c>
      <c r="T2" s="0" t="n">
        <v>46.432</v>
      </c>
      <c r="U2" s="0" t="n">
        <v>11.345</v>
      </c>
      <c r="AA2" s="0" t="s">
        <v>17</v>
      </c>
      <c r="AB2" s="0" t="s">
        <v>14</v>
      </c>
    </row>
    <row r="3" customFormat="false" ht="15" hidden="false" customHeight="false" outlineLevel="0" collapsed="false">
      <c r="A3" s="0" t="s">
        <v>65</v>
      </c>
      <c r="B3" s="0" t="n">
        <v>520.881</v>
      </c>
      <c r="F3" s="0" t="n">
        <v>192.176</v>
      </c>
      <c r="G3" s="0" t="n">
        <v>36.9</v>
      </c>
      <c r="I3" s="0" t="n">
        <v>137.293</v>
      </c>
      <c r="J3" s="0" t="n">
        <v>26.4</v>
      </c>
      <c r="K3" s="0" t="n">
        <v>2.939</v>
      </c>
      <c r="L3" s="0" t="n">
        <v>158.382</v>
      </c>
      <c r="M3" s="0" t="n">
        <v>12.467</v>
      </c>
      <c r="N3" s="0" t="n">
        <v>145.915</v>
      </c>
      <c r="O3" s="0" t="n">
        <v>634.381</v>
      </c>
      <c r="P3" s="0" t="n">
        <v>1171.545</v>
      </c>
      <c r="Q3" s="0" t="n">
        <v>537.164</v>
      </c>
      <c r="R3" s="0" t="n">
        <v>87</v>
      </c>
      <c r="S3" s="0" t="n">
        <v>323.487</v>
      </c>
      <c r="T3" s="0" t="n">
        <v>46.714</v>
      </c>
      <c r="U3" s="0" t="n">
        <v>12.718</v>
      </c>
      <c r="AA3" s="0" t="s">
        <v>17</v>
      </c>
      <c r="AB3" s="0" t="s">
        <v>14</v>
      </c>
    </row>
    <row r="4" customFormat="false" ht="15" hidden="false" customHeight="false" outlineLevel="0" collapsed="false">
      <c r="A4" s="0" t="s">
        <v>66</v>
      </c>
      <c r="B4" s="0" t="n">
        <v>538.845</v>
      </c>
      <c r="F4" s="0" t="n">
        <v>193.93</v>
      </c>
      <c r="G4" s="0" t="n">
        <v>36</v>
      </c>
      <c r="I4" s="0" t="n">
        <v>140.227</v>
      </c>
      <c r="J4" s="0" t="n">
        <v>26</v>
      </c>
      <c r="K4" s="0" t="n">
        <v>2.995</v>
      </c>
      <c r="L4" s="0" t="n">
        <v>144.273</v>
      </c>
      <c r="M4" s="0" t="n">
        <v>15.907</v>
      </c>
      <c r="N4" s="0" t="n">
        <v>128.366</v>
      </c>
      <c r="O4" s="0" t="n">
        <v>661.134</v>
      </c>
      <c r="P4" s="0" t="n">
        <v>1245.479</v>
      </c>
      <c r="Q4" s="0" t="n">
        <v>584.345</v>
      </c>
      <c r="R4" s="0" t="n">
        <v>87</v>
      </c>
      <c r="S4" s="0" t="n">
        <v>320.237</v>
      </c>
      <c r="T4" s="0" t="n">
        <v>46.82</v>
      </c>
      <c r="U4" s="0" t="n">
        <v>10.435</v>
      </c>
      <c r="AA4" s="0" t="s">
        <v>17</v>
      </c>
      <c r="AB4" s="0" t="s">
        <v>14</v>
      </c>
    </row>
    <row r="5" customFormat="false" ht="15" hidden="false" customHeight="false" outlineLevel="0" collapsed="false">
      <c r="A5" s="0" t="s">
        <v>67</v>
      </c>
      <c r="B5" s="0" t="n">
        <v>519.405</v>
      </c>
      <c r="F5" s="0" t="n">
        <v>164.949</v>
      </c>
      <c r="G5" s="0" t="n">
        <v>31.8</v>
      </c>
      <c r="I5" s="0" t="n">
        <v>115.929</v>
      </c>
      <c r="J5" s="0" t="n">
        <v>22.3</v>
      </c>
      <c r="K5" s="0" t="n">
        <v>2.463</v>
      </c>
      <c r="L5" s="0" t="n">
        <v>132.68</v>
      </c>
      <c r="M5" s="0" t="n">
        <v>20.002</v>
      </c>
      <c r="N5" s="0" t="n">
        <v>112.678</v>
      </c>
      <c r="O5" s="0" t="n">
        <v>662.239</v>
      </c>
      <c r="P5" s="0" t="n">
        <v>1152.268</v>
      </c>
      <c r="Q5" s="0" t="n">
        <v>490.029</v>
      </c>
      <c r="R5" s="0" t="n">
        <v>87</v>
      </c>
      <c r="S5" s="0" t="n">
        <v>299.587</v>
      </c>
      <c r="T5" s="0" t="n">
        <v>47.068</v>
      </c>
      <c r="U5" s="0" t="n">
        <v>14.368</v>
      </c>
      <c r="AA5" s="0" t="s">
        <v>17</v>
      </c>
      <c r="AB5" s="0" t="s">
        <v>14</v>
      </c>
    </row>
    <row r="6" customFormat="false" ht="15" hidden="false" customHeight="false" outlineLevel="0" collapsed="false">
      <c r="A6" s="0" t="s">
        <v>68</v>
      </c>
      <c r="B6" s="0" t="n">
        <v>491.297</v>
      </c>
      <c r="F6" s="0" t="n">
        <v>120.633</v>
      </c>
      <c r="G6" s="0" t="n">
        <v>24.6</v>
      </c>
      <c r="I6" s="0" t="n">
        <v>81.999</v>
      </c>
      <c r="J6" s="0" t="n">
        <v>16.7</v>
      </c>
      <c r="K6" s="0" t="n">
        <v>1.728</v>
      </c>
      <c r="L6" s="0" t="n">
        <v>149.831</v>
      </c>
      <c r="M6" s="0" t="n">
        <v>13.616</v>
      </c>
      <c r="N6" s="0" t="n">
        <v>136.215</v>
      </c>
      <c r="O6" s="0" t="n">
        <v>654.336</v>
      </c>
      <c r="P6" s="0" t="n">
        <v>1169.15</v>
      </c>
      <c r="Q6" s="0" t="n">
        <v>514.814</v>
      </c>
      <c r="R6" s="0" t="n">
        <v>0</v>
      </c>
      <c r="S6" s="0" t="n">
        <v>164.143</v>
      </c>
      <c r="T6" s="0" t="n">
        <v>47.453</v>
      </c>
      <c r="U6" s="0" t="n">
        <v>12.782</v>
      </c>
      <c r="AA6" s="0" t="s">
        <v>17</v>
      </c>
      <c r="AB6" s="0" t="s">
        <v>14</v>
      </c>
    </row>
    <row r="7" customFormat="false" ht="15" hidden="false" customHeight="false" outlineLevel="0" collapsed="false">
      <c r="A7" s="0" t="s">
        <v>69</v>
      </c>
      <c r="B7" s="0" t="n">
        <v>652.075</v>
      </c>
      <c r="F7" s="0" t="n">
        <v>116.781</v>
      </c>
      <c r="G7" s="0" t="n">
        <v>17.9</v>
      </c>
      <c r="I7" s="0" t="n">
        <v>74.869</v>
      </c>
      <c r="J7" s="0" t="n">
        <v>11.5</v>
      </c>
      <c r="K7" s="0" t="n">
        <v>1.332</v>
      </c>
      <c r="L7" s="0" t="n">
        <v>128.744</v>
      </c>
      <c r="M7" s="0" t="n">
        <v>21.964</v>
      </c>
      <c r="N7" s="0" t="n">
        <v>106.78</v>
      </c>
      <c r="O7" s="0" t="n">
        <v>912.468</v>
      </c>
      <c r="P7" s="0" t="n">
        <v>1624.55</v>
      </c>
      <c r="Q7" s="0" t="n">
        <v>712.082</v>
      </c>
      <c r="R7" s="0" t="n">
        <v>166.025</v>
      </c>
      <c r="S7" s="0" t="n">
        <v>147.066</v>
      </c>
      <c r="T7" s="0" t="n">
        <v>56.208</v>
      </c>
      <c r="U7" s="0" t="n">
        <v>12.325</v>
      </c>
      <c r="AA7" s="0" t="s">
        <v>17</v>
      </c>
      <c r="AB7" s="0" t="s">
        <v>14</v>
      </c>
    </row>
    <row r="8" customFormat="false" ht="15" hidden="false" customHeight="false" outlineLevel="0" collapsed="false">
      <c r="A8" s="0" t="s">
        <v>70</v>
      </c>
      <c r="B8" s="0" t="n">
        <v>749.6</v>
      </c>
      <c r="F8" s="0" t="n">
        <v>146.5</v>
      </c>
      <c r="G8" s="0" t="n">
        <v>19.5</v>
      </c>
      <c r="I8" s="0" t="n">
        <v>101.2</v>
      </c>
      <c r="J8" s="0" t="n">
        <v>13.5</v>
      </c>
      <c r="K8" s="0" t="n">
        <v>1.765</v>
      </c>
      <c r="L8" s="0" t="n">
        <v>170.8</v>
      </c>
      <c r="M8" s="0" t="n">
        <v>15</v>
      </c>
      <c r="N8" s="0" t="n">
        <v>155.8</v>
      </c>
      <c r="O8" s="0" t="n">
        <v>925.8</v>
      </c>
      <c r="P8" s="0" t="n">
        <v>1746.5</v>
      </c>
      <c r="Q8" s="0" t="n">
        <v>820.7</v>
      </c>
      <c r="R8" s="0" t="n">
        <v>258.4</v>
      </c>
      <c r="S8" s="0" t="n">
        <v>175.4</v>
      </c>
      <c r="T8" s="0" t="n">
        <v>57.34</v>
      </c>
      <c r="U8" s="0" t="n">
        <v>13.4</v>
      </c>
      <c r="AA8" s="0" t="s">
        <v>17</v>
      </c>
      <c r="AB8" s="0" t="s">
        <v>14</v>
      </c>
    </row>
    <row r="9" customFormat="false" ht="15" hidden="false" customHeight="false" outlineLevel="0" collapsed="false">
      <c r="A9" s="0" t="s">
        <v>71</v>
      </c>
      <c r="B9" s="0" t="n">
        <v>1034.1</v>
      </c>
      <c r="F9" s="0" t="n">
        <v>133.9</v>
      </c>
      <c r="G9" s="0" t="n">
        <v>12.9</v>
      </c>
      <c r="I9" s="0" t="n">
        <v>59</v>
      </c>
      <c r="J9" s="0" t="n">
        <v>5.7</v>
      </c>
      <c r="K9" s="0" t="n">
        <v>0.711</v>
      </c>
      <c r="L9" s="0" t="n">
        <v>134.8</v>
      </c>
      <c r="M9" s="0" t="n">
        <v>25.4</v>
      </c>
      <c r="N9" s="0" t="n">
        <v>109.4</v>
      </c>
      <c r="O9" s="0" t="n">
        <v>2372</v>
      </c>
      <c r="P9" s="0" t="n">
        <v>3942</v>
      </c>
      <c r="Q9" s="0" t="n">
        <v>1570</v>
      </c>
      <c r="R9" s="0" t="n">
        <v>734.4</v>
      </c>
      <c r="S9" s="0" t="n">
        <v>263.2</v>
      </c>
      <c r="T9" s="0" t="n">
        <v>82.98</v>
      </c>
      <c r="U9" s="0" t="n">
        <v>39.2</v>
      </c>
      <c r="AA9" s="0" t="s">
        <v>17</v>
      </c>
      <c r="AB9" s="0" t="s">
        <v>14</v>
      </c>
    </row>
    <row r="10" customFormat="false" ht="15" hidden="false" customHeight="false" outlineLevel="0" collapsed="false">
      <c r="A10" s="0" t="s">
        <v>72</v>
      </c>
      <c r="B10" s="0" t="n">
        <v>1357.5</v>
      </c>
      <c r="F10" s="0" t="n">
        <v>-388.6</v>
      </c>
      <c r="G10" s="0" t="n">
        <v>-28.6</v>
      </c>
      <c r="I10" s="0" t="n">
        <v>-472.2</v>
      </c>
      <c r="J10" s="0" t="n">
        <v>-34.8</v>
      </c>
      <c r="K10" s="0" t="n">
        <v>-4.09</v>
      </c>
      <c r="L10" s="0" t="n">
        <v>296.4</v>
      </c>
      <c r="M10" s="0" t="n">
        <v>31.8</v>
      </c>
      <c r="N10" s="0" t="n">
        <v>264.6</v>
      </c>
      <c r="O10" s="0" t="n">
        <v>1741.1</v>
      </c>
      <c r="P10" s="0" t="n">
        <v>3399.2</v>
      </c>
      <c r="Q10" s="0" t="n">
        <v>1658.1</v>
      </c>
      <c r="R10" s="0" t="n">
        <v>679</v>
      </c>
      <c r="S10" s="0" t="n">
        <v>221.3</v>
      </c>
      <c r="T10" s="0" t="n">
        <v>112.22</v>
      </c>
      <c r="U10" s="0" t="n">
        <v>44.6</v>
      </c>
      <c r="AA10" s="0" t="s">
        <v>17</v>
      </c>
      <c r="AB10" s="0" t="s">
        <v>14</v>
      </c>
    </row>
    <row r="11" customFormat="false" ht="15" hidden="false" customHeight="false" outlineLevel="0" collapsed="false">
      <c r="A11" s="0" t="s">
        <v>73</v>
      </c>
      <c r="B11" s="0" t="n">
        <v>1390.5</v>
      </c>
      <c r="F11" s="0" t="n">
        <v>19.2</v>
      </c>
      <c r="G11" s="0" t="n">
        <v>1.4</v>
      </c>
      <c r="I11" s="0" t="n">
        <v>-58.2</v>
      </c>
      <c r="J11" s="0" t="n">
        <v>-4.2</v>
      </c>
      <c r="K11" s="0" t="n">
        <v>-0.521</v>
      </c>
      <c r="L11" s="0" t="n">
        <v>217.1</v>
      </c>
      <c r="M11" s="0" t="n">
        <v>20.7</v>
      </c>
      <c r="N11" s="0" t="n">
        <v>196.4</v>
      </c>
      <c r="O11" s="0" t="n">
        <v>1646.6</v>
      </c>
      <c r="P11" s="0" t="n">
        <v>3417.8</v>
      </c>
      <c r="Q11" s="0" t="n">
        <v>1771.2</v>
      </c>
      <c r="R11" s="0" t="n">
        <v>735.8</v>
      </c>
      <c r="S11" s="0" t="n">
        <v>343.2</v>
      </c>
      <c r="T11" s="0" t="n">
        <v>111.625</v>
      </c>
      <c r="U11" s="0" t="n">
        <v>26.1</v>
      </c>
      <c r="X11" s="0" t="n">
        <v>1154.9</v>
      </c>
      <c r="AA11" s="0" t="s">
        <v>17</v>
      </c>
      <c r="AB11" s="0" t="s">
        <v>14</v>
      </c>
    </row>
    <row r="12" customFormat="false" ht="15" hidden="false" customHeight="false" outlineLevel="0" collapsed="false">
      <c r="A12" s="0" t="s">
        <v>74</v>
      </c>
      <c r="B12" s="0" t="n">
        <v>1156.3</v>
      </c>
      <c r="F12" s="0" t="n">
        <v>94.8</v>
      </c>
      <c r="G12" s="0" t="n">
        <v>8.2</v>
      </c>
      <c r="I12" s="0" t="n">
        <v>88.9</v>
      </c>
      <c r="J12" s="0" t="n">
        <v>7.7</v>
      </c>
      <c r="K12" s="0" t="n">
        <v>0.762</v>
      </c>
      <c r="L12" s="0" t="n">
        <v>272.3</v>
      </c>
      <c r="M12" s="0" t="n">
        <v>15.8</v>
      </c>
      <c r="N12" s="0" t="n">
        <v>256.5</v>
      </c>
      <c r="O12" s="0" t="n">
        <v>1542</v>
      </c>
      <c r="P12" s="0" t="n">
        <v>3277.5</v>
      </c>
      <c r="Q12" s="0" t="n">
        <v>1721.3</v>
      </c>
      <c r="R12" s="0" t="n">
        <v>627.5</v>
      </c>
      <c r="S12" s="0" t="n">
        <v>330.2</v>
      </c>
      <c r="T12" s="0" t="n">
        <v>116.675</v>
      </c>
      <c r="U12" s="0" t="n">
        <v>20.4</v>
      </c>
      <c r="X12" s="0" t="n">
        <v>1156.3</v>
      </c>
      <c r="AA12" s="0" t="s">
        <v>17</v>
      </c>
      <c r="AB12" s="0" t="s">
        <v>14</v>
      </c>
      <c r="AC12" s="0" t="n">
        <v>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16.78</v>
      </c>
    </row>
    <row r="3" customFormat="false" ht="15" hidden="false" customHeight="false" outlineLevel="0" collapsed="false">
      <c r="A3" s="0" t="s">
        <v>78</v>
      </c>
      <c r="B3" s="3" t="n">
        <v>119.1</v>
      </c>
    </row>
    <row r="4" customFormat="false" ht="15" hidden="false" customHeight="false" outlineLevel="0" collapsed="false">
      <c r="A4" s="0" t="s">
        <v>79</v>
      </c>
      <c r="B4" s="3" t="n">
        <v>297.3</v>
      </c>
    </row>
    <row r="5" customFormat="false" ht="15" hidden="false" customHeight="false" outlineLevel="0" collapsed="false">
      <c r="A5" s="0" t="s">
        <v>80</v>
      </c>
      <c r="B5" s="3" t="n">
        <v>367.9</v>
      </c>
    </row>
    <row r="6" customFormat="false" ht="15" hidden="false" customHeight="false" outlineLevel="0" collapsed="false">
      <c r="A6" s="0" t="s">
        <v>81</v>
      </c>
      <c r="B6" s="3" t="n">
        <v>15</v>
      </c>
    </row>
    <row r="7" customFormat="false" ht="15" hidden="false" customHeight="false" outlineLevel="0" collapsed="false">
      <c r="A7" s="0" t="s">
        <v>82</v>
      </c>
      <c r="B7" s="3" t="n">
        <v>1140.7</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-6</v>
      </c>
      <c r="D13" s="3" t="n">
        <v>-5</v>
      </c>
      <c r="E13" s="3" t="n">
        <v>-3</v>
      </c>
      <c r="F13" s="3" t="n">
        <v>-2</v>
      </c>
      <c r="G13" s="3" t="n">
        <v>-1</v>
      </c>
      <c r="H13" s="3" t="n">
        <v>0</v>
      </c>
      <c r="I13" s="3" t="n">
        <v>0.5</v>
      </c>
      <c r="J13" s="3" t="n">
        <v>1</v>
      </c>
      <c r="K13" s="3" t="n">
        <v>1</v>
      </c>
      <c r="L13" s="3" t="n">
        <v>1</v>
      </c>
    </row>
    <row r="14" customFormat="false" ht="15" hidden="false" customHeight="false" outlineLevel="0" collapsed="false">
      <c r="A14" s="0" t="s">
        <v>99</v>
      </c>
      <c r="C14" s="3" t="n">
        <v>27</v>
      </c>
      <c r="D14" s="3" t="n">
        <v>26</v>
      </c>
      <c r="E14" s="3" t="n">
        <v>25.5</v>
      </c>
      <c r="F14" s="3" t="n">
        <v>25</v>
      </c>
      <c r="G14" s="3" t="n">
        <v>25</v>
      </c>
      <c r="H14" s="3" t="n">
        <v>25</v>
      </c>
      <c r="I14" s="3" t="n">
        <v>25</v>
      </c>
      <c r="J14" s="3" t="n">
        <v>25</v>
      </c>
      <c r="K14" s="3" t="n">
        <v>25</v>
      </c>
      <c r="L14" s="3" t="n">
        <v>25</v>
      </c>
    </row>
    <row r="15" customFormat="false" ht="15" hidden="false" customHeight="false" outlineLevel="0" collapsed="false">
      <c r="A15" s="0" t="s">
        <v>100</v>
      </c>
      <c r="C15" s="3" t="n">
        <v>1.5</v>
      </c>
      <c r="D15" s="3" t="n">
        <v>1.5</v>
      </c>
      <c r="E15" s="3" t="n">
        <v>1.4</v>
      </c>
      <c r="F15" s="3" t="n">
        <v>1.4</v>
      </c>
      <c r="G15" s="3" t="n">
        <v>1.3</v>
      </c>
      <c r="H15" s="3" t="n">
        <v>1.3</v>
      </c>
      <c r="I15" s="3" t="n">
        <v>1.3</v>
      </c>
      <c r="J15" s="3" t="n">
        <v>1.3</v>
      </c>
      <c r="K15" s="3" t="n">
        <v>1.3</v>
      </c>
      <c r="L15" s="3" t="n">
        <v>1.3</v>
      </c>
    </row>
    <row r="16" customFormat="false" ht="15" hidden="false" customHeight="false" outlineLevel="0" collapsed="false">
      <c r="A16" s="0" t="s">
        <v>101</v>
      </c>
      <c r="C16" s="3" t="n">
        <v>1.7</v>
      </c>
      <c r="D16" s="3" t="n">
        <v>1.7</v>
      </c>
      <c r="E16" s="3" t="n">
        <v>1.7</v>
      </c>
      <c r="F16" s="3" t="n">
        <v>1.7</v>
      </c>
      <c r="G16" s="3" t="n">
        <v>1.7</v>
      </c>
      <c r="H16" s="3" t="n">
        <v>1.7</v>
      </c>
      <c r="I16" s="3" t="n">
        <v>1.7</v>
      </c>
      <c r="J16" s="3" t="n">
        <v>1.7</v>
      </c>
      <c r="K16" s="3" t="n">
        <v>1.7</v>
      </c>
      <c r="L16" s="3" t="n">
        <v>1.7</v>
      </c>
    </row>
    <row r="17" customFormat="false" ht="15" hidden="false" customHeight="false" outlineLevel="0" collapsed="false">
      <c r="A17" s="0" t="s">
        <v>102</v>
      </c>
      <c r="C17" s="3" t="n">
        <v>1.6</v>
      </c>
      <c r="D17" s="3" t="n">
        <v>1.6</v>
      </c>
      <c r="E17" s="3" t="n">
        <v>1.6</v>
      </c>
      <c r="F17" s="3" t="n">
        <v>1.6</v>
      </c>
      <c r="G17" s="3" t="n">
        <v>1.6</v>
      </c>
      <c r="H17" s="3" t="n">
        <v>1.6</v>
      </c>
      <c r="I17" s="3" t="n">
        <v>1.6</v>
      </c>
      <c r="J17" s="3" t="n">
        <v>1.6</v>
      </c>
      <c r="K17" s="3" t="n">
        <v>1.6</v>
      </c>
      <c r="L17" s="3" t="n">
        <v>1.6</v>
      </c>
    </row>
    <row r="18" customFormat="false" ht="15" hidden="false" customHeight="false" outlineLevel="0" collapsed="false">
      <c r="A18" s="0" t="s">
        <v>103</v>
      </c>
      <c r="C18" s="3" t="n">
        <v>1.5</v>
      </c>
      <c r="D18" s="3" t="n">
        <v>1.5</v>
      </c>
      <c r="E18" s="3" t="n">
        <v>1.5</v>
      </c>
      <c r="F18" s="3" t="n">
        <v>1.5</v>
      </c>
      <c r="G18" s="3" t="n">
        <v>1.5</v>
      </c>
      <c r="H18" s="3" t="n">
        <v>1.5</v>
      </c>
      <c r="I18" s="3" t="n">
        <v>1.5</v>
      </c>
      <c r="J18" s="3" t="n">
        <v>1.5</v>
      </c>
      <c r="K18" s="3" t="n">
        <v>1.5</v>
      </c>
      <c r="L18" s="3" t="n">
        <v>1.5</v>
      </c>
    </row>
    <row r="19" customFormat="false" ht="15" hidden="false" customHeight="false" outlineLevel="0" collapsed="false">
      <c r="A19" s="0" t="s">
        <v>104</v>
      </c>
      <c r="C19" s="3" t="n">
        <v>15</v>
      </c>
      <c r="D19" s="3" t="n">
        <v>20</v>
      </c>
      <c r="E19" s="3" t="n">
        <v>24</v>
      </c>
      <c r="F19" s="3" t="n">
        <v>27</v>
      </c>
      <c r="G19" s="3" t="n">
        <v>28</v>
      </c>
      <c r="H19" s="3" t="n">
        <v>28</v>
      </c>
      <c r="I19" s="3" t="n">
        <v>28</v>
      </c>
      <c r="J19" s="3" t="n">
        <v>28</v>
      </c>
      <c r="K19" s="3" t="n">
        <v>28</v>
      </c>
      <c r="L19" s="3" t="n">
        <v>28</v>
      </c>
    </row>
    <row r="20" customFormat="false" ht="15" hidden="false" customHeight="false" outlineLevel="0" collapsed="false">
      <c r="A20" s="0" t="s">
        <v>105</v>
      </c>
      <c r="B20" s="3" t="n">
        <v>9.5</v>
      </c>
    </row>
    <row r="21" customFormat="false" ht="15" hidden="false" customHeight="false" outlineLevel="0" collapsed="false">
      <c r="A21" s="0" t="s">
        <v>106</v>
      </c>
      <c r="B21" s="3" t="n">
        <v>1</v>
      </c>
    </row>
    <row r="22" customFormat="false" ht="15" hidden="false" customHeight="false" outlineLevel="0" collapsed="false">
      <c r="A22" s="0" t="s">
        <v>107</v>
      </c>
      <c r="B22" s="3" t="n">
        <v>10</v>
      </c>
    </row>
    <row r="23" customFormat="false" ht="15" hidden="false" customHeight="false" outlineLevel="0" collapsed="false">
      <c r="A23" s="0" t="s">
        <v>108</v>
      </c>
      <c r="B23" s="3" t="n">
        <v>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-2</v>
      </c>
      <c r="D27" s="3" t="n">
        <v>0</v>
      </c>
      <c r="E27" s="3" t="n">
        <v>1.5</v>
      </c>
      <c r="F27" s="3" t="n">
        <v>2</v>
      </c>
      <c r="G27" s="3" t="n">
        <v>2.5</v>
      </c>
      <c r="H27" s="3" t="n">
        <v>2.5</v>
      </c>
      <c r="I27" s="3" t="n">
        <v>2.5</v>
      </c>
      <c r="J27" s="3" t="n">
        <v>2.5</v>
      </c>
      <c r="K27" s="3" t="n">
        <v>2</v>
      </c>
      <c r="L27" s="3" t="n">
        <v>2</v>
      </c>
    </row>
    <row r="28" customFormat="false" ht="15" hidden="false" customHeight="false" outlineLevel="0" collapsed="false">
      <c r="A28" s="0" t="s">
        <v>99</v>
      </c>
      <c r="C28" s="3" t="n">
        <v>28.8</v>
      </c>
      <c r="D28" s="3" t="n">
        <v>29</v>
      </c>
      <c r="E28" s="3" t="n">
        <v>29.3</v>
      </c>
      <c r="F28" s="3" t="n">
        <v>29.5</v>
      </c>
      <c r="G28" s="3" t="n">
        <v>29.5</v>
      </c>
      <c r="H28" s="3" t="n">
        <v>29.5</v>
      </c>
      <c r="I28" s="3" t="n">
        <v>29.5</v>
      </c>
      <c r="J28" s="3" t="n">
        <v>29.5</v>
      </c>
      <c r="K28" s="3" t="n">
        <v>29.5</v>
      </c>
      <c r="L28" s="3" t="n">
        <v>29.5</v>
      </c>
    </row>
    <row r="29" customFormat="false" ht="15" hidden="false" customHeight="false" outlineLevel="0" collapsed="false">
      <c r="A29" s="0" t="s">
        <v>100</v>
      </c>
      <c r="C29" s="3" t="n">
        <v>1.5</v>
      </c>
      <c r="D29" s="3" t="n">
        <v>1.5</v>
      </c>
      <c r="E29" s="3" t="n">
        <v>1.4</v>
      </c>
      <c r="F29" s="3" t="n">
        <v>1.4</v>
      </c>
      <c r="G29" s="3" t="n">
        <v>1.3</v>
      </c>
      <c r="H29" s="3" t="n">
        <v>1.3</v>
      </c>
      <c r="I29" s="3" t="n">
        <v>1.3</v>
      </c>
      <c r="J29" s="3" t="n">
        <v>1.3</v>
      </c>
      <c r="K29" s="3" t="n">
        <v>1.3</v>
      </c>
      <c r="L29" s="3" t="n">
        <v>1.3</v>
      </c>
    </row>
    <row r="30" customFormat="false" ht="15" hidden="false" customHeight="false" outlineLevel="0" collapsed="false">
      <c r="A30" s="0" t="s">
        <v>101</v>
      </c>
      <c r="C30" s="3" t="n">
        <v>1.7</v>
      </c>
      <c r="D30" s="3" t="n">
        <v>1.7</v>
      </c>
      <c r="E30" s="3" t="n">
        <v>1.7</v>
      </c>
      <c r="F30" s="3" t="n">
        <v>1.7</v>
      </c>
      <c r="G30" s="3" t="n">
        <v>1.7</v>
      </c>
      <c r="H30" s="3" t="n">
        <v>1.7</v>
      </c>
      <c r="I30" s="3" t="n">
        <v>1.7</v>
      </c>
      <c r="J30" s="3" t="n">
        <v>1.7</v>
      </c>
      <c r="K30" s="3" t="n">
        <v>1.7</v>
      </c>
      <c r="L30" s="3" t="n">
        <v>1.7</v>
      </c>
    </row>
    <row r="31" customFormat="false" ht="15" hidden="false" customHeight="false" outlineLevel="0" collapsed="false">
      <c r="A31" s="0" t="s">
        <v>102</v>
      </c>
      <c r="C31" s="3" t="n">
        <v>1.6</v>
      </c>
      <c r="D31" s="3" t="n">
        <v>1.6</v>
      </c>
      <c r="E31" s="3" t="n">
        <v>1.6</v>
      </c>
      <c r="F31" s="3" t="n">
        <v>1.6</v>
      </c>
      <c r="G31" s="3" t="n">
        <v>1.6</v>
      </c>
      <c r="H31" s="3" t="n">
        <v>1.6</v>
      </c>
      <c r="I31" s="3" t="n">
        <v>1.6</v>
      </c>
      <c r="J31" s="3" t="n">
        <v>1.6</v>
      </c>
      <c r="K31" s="3" t="n">
        <v>1.6</v>
      </c>
      <c r="L31" s="3" t="n">
        <v>1.6</v>
      </c>
    </row>
    <row r="32" customFormat="false" ht="15" hidden="false" customHeight="false" outlineLevel="0" collapsed="false">
      <c r="A32" s="0" t="s">
        <v>103</v>
      </c>
      <c r="C32" s="3" t="n">
        <v>1.5</v>
      </c>
      <c r="D32" s="3" t="n">
        <v>1.5</v>
      </c>
      <c r="E32" s="3" t="n">
        <v>1.5</v>
      </c>
      <c r="F32" s="3" t="n">
        <v>1.5</v>
      </c>
      <c r="G32" s="3" t="n">
        <v>1.5</v>
      </c>
      <c r="H32" s="3" t="n">
        <v>1.5</v>
      </c>
      <c r="I32" s="3" t="n">
        <v>1.5</v>
      </c>
      <c r="J32" s="3" t="n">
        <v>1.5</v>
      </c>
      <c r="K32" s="3" t="n">
        <v>1.5</v>
      </c>
      <c r="L32" s="3" t="n">
        <v>1.5</v>
      </c>
    </row>
    <row r="33" customFormat="false" ht="15" hidden="false" customHeight="false" outlineLevel="0" collapsed="false">
      <c r="A33" s="0" t="s">
        <v>104</v>
      </c>
      <c r="C33" s="3" t="n">
        <v>15</v>
      </c>
      <c r="D33" s="3" t="n">
        <v>20</v>
      </c>
      <c r="E33" s="3" t="n">
        <v>24</v>
      </c>
      <c r="F33" s="3" t="n">
        <v>27</v>
      </c>
      <c r="G33" s="3" t="n">
        <v>28</v>
      </c>
      <c r="H33" s="3" t="n">
        <v>28</v>
      </c>
      <c r="I33" s="3" t="n">
        <v>28</v>
      </c>
      <c r="J33" s="3" t="n">
        <v>28</v>
      </c>
      <c r="K33" s="3" t="n">
        <v>28</v>
      </c>
      <c r="L33" s="3" t="n">
        <v>28</v>
      </c>
    </row>
    <row r="34" customFormat="false" ht="15" hidden="false" customHeight="false" outlineLevel="0" collapsed="false">
      <c r="A34" s="0" t="s">
        <v>105</v>
      </c>
      <c r="B34" s="3" t="n">
        <v>9.5</v>
      </c>
    </row>
    <row r="35" customFormat="false" ht="15" hidden="false" customHeight="false" outlineLevel="0" collapsed="false">
      <c r="A35" s="0" t="s">
        <v>106</v>
      </c>
      <c r="B35" s="3" t="n">
        <v>2</v>
      </c>
    </row>
    <row r="36" customFormat="false" ht="15" hidden="false" customHeight="false" outlineLevel="0" collapsed="false">
      <c r="A36" s="0" t="s">
        <v>107</v>
      </c>
      <c r="B36" s="3" t="n">
        <v>12</v>
      </c>
    </row>
    <row r="37" customFormat="false" ht="15" hidden="false" customHeight="false" outlineLevel="0" collapsed="false">
      <c r="A37" s="0" t="s">
        <v>108</v>
      </c>
      <c r="B37" s="3" t="n">
        <v>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1</v>
      </c>
      <c r="D41" s="3" t="n">
        <v>3</v>
      </c>
      <c r="E41" s="3" t="n">
        <v>4</v>
      </c>
      <c r="F41" s="3" t="n">
        <v>4</v>
      </c>
      <c r="G41" s="3" t="n">
        <v>3.5</v>
      </c>
      <c r="H41" s="3" t="n">
        <v>3.5</v>
      </c>
      <c r="I41" s="3" t="n">
        <v>3</v>
      </c>
      <c r="J41" s="3" t="n">
        <v>3</v>
      </c>
      <c r="K41" s="3" t="n">
        <v>3</v>
      </c>
      <c r="L41" s="3" t="n">
        <v>2.5</v>
      </c>
    </row>
    <row r="42" customFormat="false" ht="15" hidden="false" customHeight="false" outlineLevel="0" collapsed="false">
      <c r="A42" s="0" t="s">
        <v>99</v>
      </c>
      <c r="C42" s="3" t="n">
        <v>29.5</v>
      </c>
      <c r="D42" s="3" t="n">
        <v>30.5</v>
      </c>
      <c r="E42" s="3" t="n">
        <v>31.5</v>
      </c>
      <c r="F42" s="3" t="n">
        <v>32</v>
      </c>
      <c r="G42" s="3" t="n">
        <v>32.5</v>
      </c>
      <c r="H42" s="3" t="n">
        <v>32.5</v>
      </c>
      <c r="I42" s="3" t="n">
        <v>32.5</v>
      </c>
      <c r="J42" s="3" t="n">
        <v>32.5</v>
      </c>
      <c r="K42" s="3" t="n">
        <v>32.5</v>
      </c>
      <c r="L42" s="3" t="n">
        <v>32.5</v>
      </c>
    </row>
    <row r="43" customFormat="false" ht="15" hidden="false" customHeight="false" outlineLevel="0" collapsed="false">
      <c r="A43" s="0" t="s">
        <v>100</v>
      </c>
      <c r="C43" s="3" t="n">
        <v>1.5</v>
      </c>
      <c r="D43" s="3" t="n">
        <v>1.5</v>
      </c>
      <c r="E43" s="3" t="n">
        <v>1.4</v>
      </c>
      <c r="F43" s="3" t="n">
        <v>1.4</v>
      </c>
      <c r="G43" s="3" t="n">
        <v>1.3</v>
      </c>
      <c r="H43" s="3" t="n">
        <v>1.3</v>
      </c>
      <c r="I43" s="3" t="n">
        <v>1.3</v>
      </c>
      <c r="J43" s="3" t="n">
        <v>1.3</v>
      </c>
      <c r="K43" s="3" t="n">
        <v>1.3</v>
      </c>
      <c r="L43" s="3" t="n">
        <v>1.3</v>
      </c>
    </row>
    <row r="44" customFormat="false" ht="15" hidden="false" customHeight="false" outlineLevel="0" collapsed="false">
      <c r="A44" s="0" t="s">
        <v>101</v>
      </c>
      <c r="C44" s="3" t="n">
        <v>1.7</v>
      </c>
      <c r="D44" s="3" t="n">
        <v>1.7</v>
      </c>
      <c r="E44" s="3" t="n">
        <v>1.7</v>
      </c>
      <c r="F44" s="3" t="n">
        <v>1.7</v>
      </c>
      <c r="G44" s="3" t="n">
        <v>1.7</v>
      </c>
      <c r="H44" s="3" t="n">
        <v>1.7</v>
      </c>
      <c r="I44" s="3" t="n">
        <v>1.7</v>
      </c>
      <c r="J44" s="3" t="n">
        <v>1.7</v>
      </c>
      <c r="K44" s="3" t="n">
        <v>1.7</v>
      </c>
      <c r="L44" s="3" t="n">
        <v>1.7</v>
      </c>
    </row>
    <row r="45" customFormat="false" ht="15" hidden="false" customHeight="false" outlineLevel="0" collapsed="false">
      <c r="A45" s="0" t="s">
        <v>102</v>
      </c>
      <c r="C45" s="3" t="n">
        <v>1.6</v>
      </c>
      <c r="D45" s="3" t="n">
        <v>1.6</v>
      </c>
      <c r="E45" s="3" t="n">
        <v>1.6</v>
      </c>
      <c r="F45" s="3" t="n">
        <v>1.6</v>
      </c>
      <c r="G45" s="3" t="n">
        <v>1.6</v>
      </c>
      <c r="H45" s="3" t="n">
        <v>1.6</v>
      </c>
      <c r="I45" s="3" t="n">
        <v>1.6</v>
      </c>
      <c r="J45" s="3" t="n">
        <v>1.6</v>
      </c>
      <c r="K45" s="3" t="n">
        <v>1.6</v>
      </c>
      <c r="L45" s="3" t="n">
        <v>1.6</v>
      </c>
    </row>
    <row r="46" customFormat="false" ht="15" hidden="false" customHeight="false" outlineLevel="0" collapsed="false">
      <c r="A46" s="0" t="s">
        <v>103</v>
      </c>
      <c r="C46" s="3" t="n">
        <v>1.5</v>
      </c>
      <c r="D46" s="3" t="n">
        <v>1.5</v>
      </c>
      <c r="E46" s="3" t="n">
        <v>1.5</v>
      </c>
      <c r="F46" s="3" t="n">
        <v>1.5</v>
      </c>
      <c r="G46" s="3" t="n">
        <v>1.5</v>
      </c>
      <c r="H46" s="3" t="n">
        <v>1.5</v>
      </c>
      <c r="I46" s="3" t="n">
        <v>1.5</v>
      </c>
      <c r="J46" s="3" t="n">
        <v>1.5</v>
      </c>
      <c r="K46" s="3" t="n">
        <v>1.5</v>
      </c>
      <c r="L46" s="3" t="n">
        <v>1.5</v>
      </c>
    </row>
    <row r="47" customFormat="false" ht="15" hidden="false" customHeight="false" outlineLevel="0" collapsed="false">
      <c r="A47" s="0" t="s">
        <v>104</v>
      </c>
      <c r="C47" s="3" t="n">
        <v>15</v>
      </c>
      <c r="D47" s="3" t="n">
        <v>20</v>
      </c>
      <c r="E47" s="3" t="n">
        <v>24</v>
      </c>
      <c r="F47" s="3" t="n">
        <v>27</v>
      </c>
      <c r="G47" s="3" t="n">
        <v>28</v>
      </c>
      <c r="H47" s="3" t="n">
        <v>28</v>
      </c>
      <c r="I47" s="3" t="n">
        <v>28</v>
      </c>
      <c r="J47" s="3" t="n">
        <v>28</v>
      </c>
      <c r="K47" s="3" t="n">
        <v>28</v>
      </c>
      <c r="L47" s="3" t="n">
        <v>28</v>
      </c>
    </row>
    <row r="48" customFormat="false" ht="15" hidden="false" customHeight="false" outlineLevel="0" collapsed="false">
      <c r="A48" s="0" t="s">
        <v>105</v>
      </c>
      <c r="B48" s="3" t="n">
        <v>9.5</v>
      </c>
    </row>
    <row r="49" customFormat="false" ht="15" hidden="false" customHeight="false" outlineLevel="0" collapsed="false">
      <c r="A49" s="0" t="s">
        <v>106</v>
      </c>
      <c r="B49" s="3" t="n">
        <v>2.5</v>
      </c>
    </row>
    <row r="50" customFormat="false" ht="15" hidden="false" customHeight="false" outlineLevel="0" collapsed="false">
      <c r="A50" s="0" t="s">
        <v>107</v>
      </c>
      <c r="B50" s="3" t="n">
        <v>12</v>
      </c>
    </row>
    <row r="51" customFormat="false" ht="15" hidden="false" customHeight="false" outlineLevel="0" collapsed="false">
      <c r="A51" s="0" t="s">
        <v>108</v>
      </c>
      <c r="B51" s="3" t="n">
        <v>0</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-6</v>
      </c>
      <c r="D5" s="4" t="n">
        <f aca="false">Assumptions!D13</f>
        <v>-5</v>
      </c>
      <c r="E5" s="4" t="n">
        <f aca="false">Assumptions!E13</f>
        <v>-3</v>
      </c>
      <c r="F5" s="4" t="n">
        <f aca="false">Assumptions!F13</f>
        <v>-2</v>
      </c>
      <c r="G5" s="4" t="n">
        <f aca="false">Assumptions!G13</f>
        <v>-1</v>
      </c>
      <c r="H5" s="4" t="n">
        <f aca="false">Assumptions!H13</f>
        <v>0</v>
      </c>
      <c r="I5" s="4" t="n">
        <f aca="false">Assumptions!I13</f>
        <v>0.5</v>
      </c>
      <c r="J5" s="4" t="n">
        <f aca="false">Assumptions!J13</f>
        <v>1</v>
      </c>
      <c r="K5" s="4" t="n">
        <f aca="false">Assumptions!K13</f>
        <v>1</v>
      </c>
      <c r="L5" s="4" t="n">
        <f aca="false">Assumptions!L13</f>
        <v>1</v>
      </c>
    </row>
    <row r="6" customFormat="false" ht="15" hidden="false" customHeight="false" outlineLevel="0" collapsed="false">
      <c r="A6" s="0" t="s">
        <v>37</v>
      </c>
      <c r="B6" s="3" t="n">
        <v>1140.7</v>
      </c>
      <c r="C6" s="0" t="n">
        <f aca="false">B6*(1+C5/100)</f>
        <v>1072.258</v>
      </c>
      <c r="D6" s="0" t="n">
        <f aca="false">C6*(1+D5/100)</f>
        <v>1018.6451</v>
      </c>
      <c r="E6" s="0" t="n">
        <f aca="false">D6*(1+E5/100)</f>
        <v>988.085747</v>
      </c>
      <c r="F6" s="0" t="n">
        <f aca="false">E6*(1+F5/100)</f>
        <v>968.32403206</v>
      </c>
      <c r="G6" s="0" t="n">
        <f aca="false">F6*(1+G5/100)</f>
        <v>958.6407917394</v>
      </c>
      <c r="H6" s="0" t="n">
        <f aca="false">G6*(1+H5/100)</f>
        <v>958.6407917394</v>
      </c>
      <c r="I6" s="0" t="n">
        <f aca="false">H6*(1+I5/100)</f>
        <v>963.433995698097</v>
      </c>
      <c r="J6" s="0" t="n">
        <f aca="false">I6*(1+J5/100)</f>
        <v>973.068335655078</v>
      </c>
      <c r="K6" s="0" t="n">
        <f aca="false">J6*(1+K5/100)</f>
        <v>982.799019011629</v>
      </c>
      <c r="L6" s="0" t="n">
        <f aca="false">K6*(1+L5/100)</f>
        <v>992.627009201745</v>
      </c>
    </row>
    <row r="7" customFormat="false" ht="15" hidden="false" customHeight="false" outlineLevel="0" collapsed="false">
      <c r="A7" s="0" t="s">
        <v>99</v>
      </c>
      <c r="C7" s="4" t="n">
        <f aca="false">Assumptions!C14</f>
        <v>27</v>
      </c>
      <c r="D7" s="4" t="n">
        <f aca="false">Assumptions!D14</f>
        <v>26</v>
      </c>
      <c r="E7" s="4" t="n">
        <f aca="false">Assumptions!E14</f>
        <v>25.5</v>
      </c>
      <c r="F7" s="4" t="n">
        <f aca="false">Assumptions!F14</f>
        <v>25</v>
      </c>
      <c r="G7" s="4" t="n">
        <f aca="false">Assumptions!G14</f>
        <v>25</v>
      </c>
      <c r="H7" s="4" t="n">
        <f aca="false">Assumptions!H14</f>
        <v>25</v>
      </c>
      <c r="I7" s="4" t="n">
        <f aca="false">Assumptions!I14</f>
        <v>25</v>
      </c>
      <c r="J7" s="4" t="n">
        <f aca="false">Assumptions!J14</f>
        <v>25</v>
      </c>
      <c r="K7" s="4" t="n">
        <f aca="false">Assumptions!K14</f>
        <v>25</v>
      </c>
      <c r="L7" s="4" t="n">
        <f aca="false">Assumptions!L14</f>
        <v>25</v>
      </c>
    </row>
    <row r="8" customFormat="false" ht="15" hidden="false" customHeight="false" outlineLevel="0" collapsed="false">
      <c r="A8" s="0" t="s">
        <v>43</v>
      </c>
      <c r="C8" s="0" t="n">
        <f aca="false">C6*C7/100</f>
        <v>289.50966</v>
      </c>
      <c r="D8" s="0" t="n">
        <f aca="false">D6*D7/100</f>
        <v>264.847726</v>
      </c>
      <c r="E8" s="0" t="n">
        <f aca="false">E6*E7/100</f>
        <v>251.961865485</v>
      </c>
      <c r="F8" s="0" t="n">
        <f aca="false">F6*F7/100</f>
        <v>242.081008015</v>
      </c>
      <c r="G8" s="0" t="n">
        <f aca="false">G6*G7/100</f>
        <v>239.66019793485</v>
      </c>
      <c r="H8" s="0" t="n">
        <f aca="false">H6*H7/100</f>
        <v>239.66019793485</v>
      </c>
      <c r="I8" s="0" t="n">
        <f aca="false">I6*I7/100</f>
        <v>240.858498924524</v>
      </c>
      <c r="J8" s="0" t="n">
        <f aca="false">J6*J7/100</f>
        <v>243.267083913769</v>
      </c>
      <c r="K8" s="0" t="n">
        <f aca="false">K6*K7/100</f>
        <v>245.699754752907</v>
      </c>
      <c r="L8" s="0" t="n">
        <f aca="false">L6*L7/100</f>
        <v>248.156752300436</v>
      </c>
    </row>
    <row r="9" customFormat="false" ht="15" hidden="false" customHeight="false" outlineLevel="0" collapsed="false">
      <c r="A9" s="0" t="s">
        <v>100</v>
      </c>
      <c r="C9" s="4" t="n">
        <f aca="false">Assumptions!C15</f>
        <v>1.5</v>
      </c>
      <c r="D9" s="4" t="n">
        <f aca="false">Assumptions!D15</f>
        <v>1.5</v>
      </c>
      <c r="E9" s="4" t="n">
        <f aca="false">Assumptions!E15</f>
        <v>1.4</v>
      </c>
      <c r="F9" s="4" t="n">
        <f aca="false">Assumptions!F15</f>
        <v>1.4</v>
      </c>
      <c r="G9" s="4" t="n">
        <f aca="false">Assumptions!G15</f>
        <v>1.3</v>
      </c>
      <c r="H9" s="4" t="n">
        <f aca="false">Assumptions!H15</f>
        <v>1.3</v>
      </c>
      <c r="I9" s="4" t="n">
        <f aca="false">Assumptions!I15</f>
        <v>1.3</v>
      </c>
      <c r="J9" s="4" t="n">
        <f aca="false">Assumptions!J15</f>
        <v>1.3</v>
      </c>
      <c r="K9" s="4" t="n">
        <f aca="false">Assumptions!K15</f>
        <v>1.3</v>
      </c>
      <c r="L9" s="4" t="n">
        <f aca="false">Assumptions!L15</f>
        <v>1.3</v>
      </c>
    </row>
    <row r="10" customFormat="false" ht="15" hidden="false" customHeight="false" outlineLevel="0" collapsed="false">
      <c r="A10" s="0" t="s">
        <v>115</v>
      </c>
      <c r="C10" s="0" t="n">
        <f aca="false">-C6*C9/100</f>
        <v>-16.08387</v>
      </c>
      <c r="D10" s="0" t="n">
        <f aca="false">-D6*D9/100</f>
        <v>-15.2796765</v>
      </c>
      <c r="E10" s="0" t="n">
        <f aca="false">-E6*E9/100</f>
        <v>-13.833200458</v>
      </c>
      <c r="F10" s="0" t="n">
        <f aca="false">-F6*F9/100</f>
        <v>-13.55653644884</v>
      </c>
      <c r="G10" s="0" t="n">
        <f aca="false">-G6*G9/100</f>
        <v>-12.4623302926122</v>
      </c>
      <c r="H10" s="0" t="n">
        <f aca="false">-H6*H9/100</f>
        <v>-12.4623302926122</v>
      </c>
      <c r="I10" s="0" t="n">
        <f aca="false">-I6*I9/100</f>
        <v>-12.5246419440753</v>
      </c>
      <c r="J10" s="0" t="n">
        <f aca="false">-J6*J9/100</f>
        <v>-12.649888363516</v>
      </c>
      <c r="K10" s="0" t="n">
        <f aca="false">-K6*K9/100</f>
        <v>-12.7763872471512</v>
      </c>
      <c r="L10" s="0" t="n">
        <f aca="false">-L6*L9/100</f>
        <v>-12.9041511196227</v>
      </c>
    </row>
    <row r="11" customFormat="false" ht="15" hidden="false" customHeight="false" outlineLevel="0" collapsed="false">
      <c r="A11" s="0" t="s">
        <v>116</v>
      </c>
      <c r="C11" s="0" t="n">
        <f aca="false">C8+C10+C24</f>
        <v>255.197404</v>
      </c>
      <c r="D11" s="0" t="n">
        <f aca="false">D8+D10+D24</f>
        <v>232.2510828</v>
      </c>
      <c r="E11" s="0" t="n">
        <f aca="false">E8+E10+E24</f>
        <v>221.331207328</v>
      </c>
      <c r="F11" s="0" t="n">
        <f aca="false">F8+F10+F24</f>
        <v>212.06296302114</v>
      </c>
      <c r="G11" s="0" t="n">
        <f aca="false">G8+G10+G24</f>
        <v>210.900974182668</v>
      </c>
      <c r="H11" s="0" t="n">
        <f aca="false">H8+H10+H24</f>
        <v>210.900974182668</v>
      </c>
      <c r="I11" s="0" t="n">
        <f aca="false">I8+I10+I24</f>
        <v>211.955479053581</v>
      </c>
      <c r="J11" s="0" t="n">
        <f aca="false">J8+J10+J24</f>
        <v>214.075033844117</v>
      </c>
      <c r="K11" s="0" t="n">
        <f aca="false">K8+K10+K24</f>
        <v>216.215784182558</v>
      </c>
      <c r="L11" s="0" t="n">
        <f aca="false">L8+L10+L24</f>
        <v>218.377942024384</v>
      </c>
    </row>
    <row r="12" customFormat="false" ht="15" hidden="false" customHeight="false" outlineLevel="0" collapsed="false">
      <c r="A12" s="0" t="s">
        <v>117</v>
      </c>
      <c r="C12" s="4" t="n">
        <f aca="false">-C6*Assumptions!C17/100</f>
        <v>-17.156128</v>
      </c>
      <c r="D12" s="4" t="n">
        <f aca="false">-D6*Assumptions!D17/100</f>
        <v>-16.2983216</v>
      </c>
      <c r="E12" s="4" t="n">
        <f aca="false">-E6*Assumptions!E17/100</f>
        <v>-15.809371952</v>
      </c>
      <c r="F12" s="4" t="n">
        <f aca="false">-F6*Assumptions!F17/100</f>
        <v>-15.49318451296</v>
      </c>
      <c r="G12" s="4" t="n">
        <f aca="false">-G6*Assumptions!G17/100</f>
        <v>-15.3382526678304</v>
      </c>
      <c r="H12" s="4" t="n">
        <f aca="false">-H6*Assumptions!H17/100</f>
        <v>-15.3382526678304</v>
      </c>
      <c r="I12" s="4" t="n">
        <f aca="false">-I6*Assumptions!I17/100</f>
        <v>-15.4149439311696</v>
      </c>
      <c r="J12" s="4" t="n">
        <f aca="false">-J6*Assumptions!J17/100</f>
        <v>-15.5690933704812</v>
      </c>
      <c r="K12" s="4" t="n">
        <f aca="false">-K6*Assumptions!K17/100</f>
        <v>-15.7247843041861</v>
      </c>
      <c r="L12" s="4" t="n">
        <f aca="false">-L6*Assumptions!L17/100</f>
        <v>-15.8820321472279</v>
      </c>
    </row>
    <row r="13" customFormat="false" ht="15" hidden="false" customHeight="false" outlineLevel="0" collapsed="false">
      <c r="A13" s="0" t="s">
        <v>118</v>
      </c>
      <c r="C13" s="0" t="n">
        <f aca="false">C11+C12</f>
        <v>238.041276</v>
      </c>
      <c r="D13" s="0" t="n">
        <f aca="false">D11+D12</f>
        <v>215.9527612</v>
      </c>
      <c r="E13" s="0" t="n">
        <f aca="false">E11+E12</f>
        <v>205.521835376</v>
      </c>
      <c r="F13" s="0" t="n">
        <f aca="false">F11+F12</f>
        <v>196.56977850818</v>
      </c>
      <c r="G13" s="0" t="n">
        <f aca="false">G11+G12</f>
        <v>195.562721514838</v>
      </c>
      <c r="H13" s="0" t="n">
        <f aca="false">H11+H12</f>
        <v>195.562721514838</v>
      </c>
      <c r="I13" s="0" t="n">
        <f aca="false">I11+I12</f>
        <v>196.540535122412</v>
      </c>
      <c r="J13" s="0" t="n">
        <f aca="false">J11+J12</f>
        <v>198.505940473636</v>
      </c>
      <c r="K13" s="0" t="n">
        <f aca="false">K11+K12</f>
        <v>200.490999878372</v>
      </c>
      <c r="L13" s="0" t="n">
        <f aca="false">L11+L12</f>
        <v>202.495909877156</v>
      </c>
    </row>
    <row r="14" customFormat="false" ht="15" hidden="false" customHeight="false" outlineLevel="0" collapsed="false">
      <c r="A14" s="0" t="s">
        <v>104</v>
      </c>
      <c r="C14" s="4" t="n">
        <f aca="false">Assumptions!C19</f>
        <v>15</v>
      </c>
      <c r="D14" s="4" t="n">
        <f aca="false">Assumptions!D19</f>
        <v>20</v>
      </c>
      <c r="E14" s="4" t="n">
        <f aca="false">Assumptions!E19</f>
        <v>24</v>
      </c>
      <c r="F14" s="4" t="n">
        <f aca="false">Assumptions!F19</f>
        <v>27</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119</v>
      </c>
      <c r="C15" s="0" t="n">
        <f aca="false">C13-MAX(0,C13)*C14/100</f>
        <v>202.3350846</v>
      </c>
      <c r="D15" s="0" t="n">
        <f aca="false">D13-MAX(0,D13)*D14/100</f>
        <v>172.76220896</v>
      </c>
      <c r="E15" s="0" t="n">
        <f aca="false">E13-MAX(0,E13)*E14/100</f>
        <v>156.19659488576</v>
      </c>
      <c r="F15" s="0" t="n">
        <f aca="false">F13-MAX(0,F13)*F14/100</f>
        <v>143.495938310971</v>
      </c>
      <c r="G15" s="0" t="n">
        <f aca="false">G13-MAX(0,G13)*G14/100</f>
        <v>140.805159490683</v>
      </c>
      <c r="H15" s="0" t="n">
        <f aca="false">H13-MAX(0,H13)*H14/100</f>
        <v>140.805159490683</v>
      </c>
      <c r="I15" s="0" t="n">
        <f aca="false">I13-MAX(0,I13)*I14/100</f>
        <v>141.509185288136</v>
      </c>
      <c r="J15" s="0" t="n">
        <f aca="false">J13-MAX(0,J13)*J14/100</f>
        <v>142.924277141018</v>
      </c>
      <c r="K15" s="0" t="n">
        <f aca="false">K13-MAX(0,K13)*K14/100</f>
        <v>144.353519912428</v>
      </c>
      <c r="L15" s="0" t="n">
        <f aca="false">L13-MAX(0,L13)*L14/100</f>
        <v>145.797055111552</v>
      </c>
    </row>
    <row r="16" customFormat="false" ht="15" hidden="false" customHeight="false" outlineLevel="0" collapsed="false">
      <c r="A16" s="0" t="s">
        <v>120</v>
      </c>
      <c r="C16" s="0" t="n">
        <f aca="false">-C12</f>
        <v>17.156128</v>
      </c>
      <c r="D16" s="0" t="n">
        <f aca="false">-D12</f>
        <v>16.2983216</v>
      </c>
      <c r="E16" s="0" t="n">
        <f aca="false">-E12</f>
        <v>15.809371952</v>
      </c>
      <c r="F16" s="0" t="n">
        <f aca="false">-F12</f>
        <v>15.49318451296</v>
      </c>
      <c r="G16" s="0" t="n">
        <f aca="false">-G12</f>
        <v>15.3382526678304</v>
      </c>
      <c r="H16" s="0" t="n">
        <f aca="false">-H12</f>
        <v>15.3382526678304</v>
      </c>
      <c r="I16" s="0" t="n">
        <f aca="false">-I12</f>
        <v>15.4149439311696</v>
      </c>
      <c r="J16" s="0" t="n">
        <f aca="false">-J12</f>
        <v>15.5690933704812</v>
      </c>
      <c r="K16" s="0" t="n">
        <f aca="false">-K12</f>
        <v>15.7247843041861</v>
      </c>
      <c r="L16" s="0" t="n">
        <f aca="false">-L12</f>
        <v>15.8820321472279</v>
      </c>
    </row>
    <row r="17" customFormat="false" ht="15" hidden="false" customHeight="false" outlineLevel="0" collapsed="false">
      <c r="A17" s="0" t="s">
        <v>121</v>
      </c>
      <c r="C17" s="4" t="n">
        <f aca="false">-C6*Assumptions!C18/100</f>
        <v>-16.08387</v>
      </c>
      <c r="D17" s="4" t="n">
        <f aca="false">-D6*Assumptions!D18/100</f>
        <v>-15.2796765</v>
      </c>
      <c r="E17" s="4" t="n">
        <f aca="false">-E6*Assumptions!E18/100</f>
        <v>-14.821286205</v>
      </c>
      <c r="F17" s="4" t="n">
        <f aca="false">-F6*Assumptions!F18/100</f>
        <v>-14.5248604809</v>
      </c>
      <c r="G17" s="4" t="n">
        <f aca="false">-G6*Assumptions!G18/100</f>
        <v>-14.379611876091</v>
      </c>
      <c r="H17" s="4" t="n">
        <f aca="false">-H6*Assumptions!H18/100</f>
        <v>-14.379611876091</v>
      </c>
      <c r="I17" s="4" t="n">
        <f aca="false">-I6*Assumptions!I18/100</f>
        <v>-14.4515099354715</v>
      </c>
      <c r="J17" s="4" t="n">
        <f aca="false">-J6*Assumptions!J18/100</f>
        <v>-14.5960250348262</v>
      </c>
      <c r="K17" s="4" t="n">
        <f aca="false">-K6*Assumptions!K18/100</f>
        <v>-14.7419852851744</v>
      </c>
      <c r="L17" s="4" t="n">
        <f aca="false">-L6*Assumptions!L18/100</f>
        <v>-14.8894051380262</v>
      </c>
    </row>
    <row r="18" customFormat="false" ht="15" hidden="false" customHeight="false" outlineLevel="0" collapsed="false">
      <c r="A18" s="0" t="s">
        <v>122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203.4073426</v>
      </c>
      <c r="D19" s="0" t="n">
        <f aca="false">D15+D16+D17+D18</f>
        <v>173.78085406</v>
      </c>
      <c r="E19" s="0" t="n">
        <f aca="false">E15+E16+E17+E18</f>
        <v>157.18468063276</v>
      </c>
      <c r="F19" s="0" t="n">
        <f aca="false">F15+F16+F17+F18</f>
        <v>144.464262343031</v>
      </c>
      <c r="G19" s="0" t="n">
        <f aca="false">G15+G16+G17+G18</f>
        <v>141.763800282423</v>
      </c>
      <c r="H19" s="0" t="n">
        <f aca="false">H15+H16+H17+H18</f>
        <v>141.763800282423</v>
      </c>
      <c r="I19" s="0" t="n">
        <f aca="false">I15+I16+I17+I18</f>
        <v>142.472619283835</v>
      </c>
      <c r="J19" s="0" t="n">
        <f aca="false">J15+J16+J17+J18</f>
        <v>143.897345476673</v>
      </c>
      <c r="K19" s="0" t="n">
        <f aca="false">K15+K16+K17+K18</f>
        <v>145.33631893144</v>
      </c>
      <c r="L19" s="0" t="n">
        <f aca="false">L15+L16+L17+L18</f>
        <v>146.789682120754</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185.760130228311</v>
      </c>
      <c r="D21" s="0" t="n">
        <f aca="false">D19*D20</f>
        <v>144.935138183107</v>
      </c>
      <c r="E21" s="0" t="n">
        <f aca="false">E19*E20</f>
        <v>119.720317379454</v>
      </c>
      <c r="F21" s="0" t="n">
        <f aca="false">F19*F20</f>
        <v>100.485627212889</v>
      </c>
      <c r="G21" s="0" t="n">
        <f aca="false">G19*G20</f>
        <v>90.0522878748873</v>
      </c>
      <c r="H21" s="0" t="n">
        <f aca="false">H19*H20</f>
        <v>82.2395323058332</v>
      </c>
      <c r="I21" s="0" t="n">
        <f aca="false">I19*I20</f>
        <v>75.4801186916551</v>
      </c>
      <c r="J21" s="0" t="n">
        <f aca="false">J19*J20</f>
        <v>69.6209313959559</v>
      </c>
      <c r="K21" s="0" t="n">
        <f aca="false">K19*K20</f>
        <v>64.2165668583702</v>
      </c>
      <c r="L21" s="0" t="n">
        <f aca="false">L19*L20</f>
        <v>59.2317192026977</v>
      </c>
    </row>
    <row r="23" customFormat="false" ht="15" hidden="false" customHeight="false" outlineLevel="0" collapsed="false">
      <c r="A23" s="0" t="s">
        <v>101</v>
      </c>
      <c r="C23" s="4" t="n">
        <f aca="false">Assumptions!C16</f>
        <v>1.7</v>
      </c>
      <c r="D23" s="4" t="n">
        <f aca="false">Assumptions!D16</f>
        <v>1.7</v>
      </c>
      <c r="E23" s="4" t="n">
        <f aca="false">Assumptions!E16</f>
        <v>1.7</v>
      </c>
      <c r="F23" s="4" t="n">
        <f aca="false">Assumptions!F16</f>
        <v>1.7</v>
      </c>
      <c r="G23" s="4" t="n">
        <f aca="false">Assumptions!G16</f>
        <v>1.7</v>
      </c>
      <c r="H23" s="4" t="n">
        <f aca="false">Assumptions!H16</f>
        <v>1.7</v>
      </c>
      <c r="I23" s="4" t="n">
        <f aca="false">Assumptions!I16</f>
        <v>1.7</v>
      </c>
      <c r="J23" s="4" t="n">
        <f aca="false">Assumptions!J16</f>
        <v>1.7</v>
      </c>
      <c r="K23" s="4" t="n">
        <f aca="false">Assumptions!K16</f>
        <v>1.7</v>
      </c>
      <c r="L23" s="4" t="n">
        <f aca="false">Assumptions!L16</f>
        <v>1.7</v>
      </c>
    </row>
    <row r="24" customFormat="false" ht="15" hidden="false" customHeight="false" outlineLevel="0" collapsed="false">
      <c r="A24" s="0" t="s">
        <v>126</v>
      </c>
      <c r="C24" s="0" t="n">
        <f aca="false">-C6*C23/100</f>
        <v>-18.228386</v>
      </c>
      <c r="D24" s="0" t="n">
        <f aca="false">-D6*D23/100</f>
        <v>-17.3169667</v>
      </c>
      <c r="E24" s="0" t="n">
        <f aca="false">-E6*E23/100</f>
        <v>-16.797457699</v>
      </c>
      <c r="F24" s="0" t="n">
        <f aca="false">-F6*F23/100</f>
        <v>-16.46150854502</v>
      </c>
      <c r="G24" s="0" t="n">
        <f aca="false">-G6*G23/100</f>
        <v>-16.2968934595698</v>
      </c>
      <c r="H24" s="0" t="n">
        <f aca="false">-H6*H23/100</f>
        <v>-16.2968934595698</v>
      </c>
      <c r="I24" s="0" t="n">
        <f aca="false">-I6*I23/100</f>
        <v>-16.3783779268676</v>
      </c>
      <c r="J24" s="0" t="n">
        <f aca="false">-J6*J23/100</f>
        <v>-16.5421617061363</v>
      </c>
      <c r="K24" s="0" t="n">
        <f aca="false">-K6*K23/100</f>
        <v>-16.7075833231977</v>
      </c>
      <c r="L24" s="0" t="n">
        <f aca="false">-L6*L23/100</f>
        <v>-16.8746591564297</v>
      </c>
    </row>
    <row r="26" customFormat="false" ht="15" hidden="false" customHeight="false" outlineLevel="0" collapsed="false">
      <c r="A26" s="2" t="s">
        <v>127</v>
      </c>
    </row>
    <row r="27" customFormat="false" ht="15" hidden="false" customHeight="false" outlineLevel="0" collapsed="false">
      <c r="A27" s="0" t="s">
        <v>105</v>
      </c>
      <c r="B27" s="4" t="n">
        <f aca="false">Assumptions!$B$20</f>
        <v>9.5</v>
      </c>
    </row>
    <row r="28" customFormat="false" ht="15" hidden="false" customHeight="false" outlineLevel="0" collapsed="false">
      <c r="A28" s="0" t="s">
        <v>106</v>
      </c>
      <c r="B28" s="4" t="n">
        <f aca="false">Assumptions!$B$21</f>
        <v>1</v>
      </c>
    </row>
    <row r="29" customFormat="false" ht="15" hidden="false" customHeight="false" outlineLevel="0" collapsed="false">
      <c r="A29" s="0" t="s">
        <v>107</v>
      </c>
      <c r="B29" s="4" t="n">
        <f aca="false">Assumptions!$B$22</f>
        <v>10</v>
      </c>
    </row>
    <row r="30" customFormat="false" ht="15" hidden="false" customHeight="false" outlineLevel="0" collapsed="false">
      <c r="A30" s="0" t="s">
        <v>128</v>
      </c>
      <c r="B30" s="0" t="n">
        <f aca="false">SUM(C21:L21)</f>
        <v>991.74236933316</v>
      </c>
    </row>
    <row r="31" customFormat="false" ht="15" hidden="false" customHeight="false" outlineLevel="0" collapsed="false">
      <c r="A31" s="0" t="s">
        <v>129</v>
      </c>
      <c r="B31" s="0" t="n">
        <f aca="false">L19</f>
        <v>146.789682120754</v>
      </c>
    </row>
    <row r="32" customFormat="false" ht="15" hidden="false" customHeight="false" outlineLevel="0" collapsed="false">
      <c r="A32" s="0" t="s">
        <v>130</v>
      </c>
      <c r="B32" s="0" t="n">
        <f aca="false">IF(B27&gt;B28,B31*(1+B28/100)/((B27-B28)/100),B31*B29)</f>
        <v>1744.2068110819</v>
      </c>
    </row>
    <row r="33" customFormat="false" ht="15" hidden="false" customHeight="false" outlineLevel="0" collapsed="false">
      <c r="A33" s="0" t="s">
        <v>131</v>
      </c>
      <c r="B33" s="0" t="n">
        <f aca="false">B31*B29</f>
        <v>1467.89682120754</v>
      </c>
    </row>
    <row r="34" customFormat="false" ht="15" hidden="false" customHeight="false" outlineLevel="0" collapsed="false">
      <c r="A34" s="0" t="s">
        <v>132</v>
      </c>
      <c r="B34" s="0" t="n">
        <f aca="false">MAX(0,MIN(B32,B33))</f>
        <v>1467.89682120754</v>
      </c>
    </row>
    <row r="35" customFormat="false" ht="15" hidden="false" customHeight="false" outlineLevel="0" collapsed="false">
      <c r="A35" s="0" t="s">
        <v>133</v>
      </c>
      <c r="B35" s="0" t="n">
        <f aca="false">B34/(1+B27/100)^L4</f>
        <v>592.317192026977</v>
      </c>
    </row>
    <row r="36" customFormat="false" ht="15" hidden="false" customHeight="false" outlineLevel="0" collapsed="false">
      <c r="A36" s="0" t="s">
        <v>134</v>
      </c>
      <c r="B36" s="0" t="n">
        <f aca="false">B30+B35</f>
        <v>1584.05956136014</v>
      </c>
    </row>
    <row r="37" customFormat="false" ht="15" hidden="false" customHeight="false" outlineLevel="0" collapsed="false">
      <c r="A37" s="0" t="s">
        <v>135</v>
      </c>
      <c r="B37" s="0" t="n">
        <f aca="false">B36+Assumptions!$B$5-Assumptions!$B$4</f>
        <v>1654.65956136014</v>
      </c>
    </row>
    <row r="38" customFormat="false" ht="15" hidden="false" customHeight="false" outlineLevel="0" collapsed="false">
      <c r="A38" s="0" t="s">
        <v>136</v>
      </c>
      <c r="B38" s="0" t="n">
        <f aca="false">B37/Assumptions!$B$3*Assumptions!$B$10</f>
        <v>13.8930273833765</v>
      </c>
    </row>
    <row r="39" customFormat="false" ht="15" hidden="false" customHeight="false" outlineLevel="0" collapsed="false">
      <c r="A39" s="0" t="s">
        <v>137</v>
      </c>
      <c r="B39" s="4" t="n">
        <f aca="false">B38/Assumptions!$B$2-1</f>
        <v>-0.172048427689126</v>
      </c>
    </row>
    <row r="41" customFormat="false" ht="15" hidden="false" customHeight="false" outlineLevel="0" collapsed="false">
      <c r="A41" s="0" t="s">
        <v>138</v>
      </c>
      <c r="B41" s="0" t="n">
        <f aca="false">SUMPRODUCT(-C10:L10/(1+$B$27/100)^C4:L4)</f>
        <v>86.1515283268869</v>
      </c>
    </row>
    <row r="42" customFormat="false" ht="15" hidden="false" customHeight="false" outlineLevel="0" collapsed="false">
      <c r="A42" s="0" t="s">
        <v>139</v>
      </c>
      <c r="B42" s="0" t="n">
        <f aca="false">IF(B27&gt;B28,-L10*(1+B28/100)/((B27-B28)/100),-L10*20)/(1+B27/100)^L4</f>
        <v>61.8715073534519</v>
      </c>
    </row>
    <row r="43" customFormat="false" ht="15" hidden="false" customHeight="false" outlineLevel="0" collapsed="false">
      <c r="A43" s="0" t="s">
        <v>140</v>
      </c>
      <c r="B43" s="0" t="n">
        <f aca="false">(B37+B41+B42)/Assumptions!$B$3*Assumptions!$B$10</f>
        <v>15.1358740305665</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1058.9827067283</v>
      </c>
    </row>
    <row r="47" customFormat="false" ht="15" hidden="false" customHeight="false" outlineLevel="0" collapsed="false">
      <c r="A47" s="0" t="s">
        <v>142</v>
      </c>
      <c r="B47" s="0" t="n">
        <f aca="false">(SUMPRODUCT(C19:L19/(1+B45/100)^C4:L4)+B46/(1+B45/100)^L4+Assumptions!$B$5-Assumptions!$B$4)/Assumptions!$B$3*Assumptions!$B$10</f>
        <v>9.54292088195949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-2</v>
      </c>
      <c r="D5" s="4" t="n">
        <f aca="false">Assumptions!D27</f>
        <v>0</v>
      </c>
      <c r="E5" s="4" t="n">
        <f aca="false">Assumptions!E27</f>
        <v>1.5</v>
      </c>
      <c r="F5" s="4" t="n">
        <f aca="false">Assumptions!F27</f>
        <v>2</v>
      </c>
      <c r="G5" s="4" t="n">
        <f aca="false">Assumptions!G27</f>
        <v>2.5</v>
      </c>
      <c r="H5" s="4" t="n">
        <f aca="false">Assumptions!H27</f>
        <v>2.5</v>
      </c>
      <c r="I5" s="4" t="n">
        <f aca="false">Assumptions!I27</f>
        <v>2.5</v>
      </c>
      <c r="J5" s="4" t="n">
        <f aca="false">Assumptions!J27</f>
        <v>2.5</v>
      </c>
      <c r="K5" s="4" t="n">
        <f aca="false">Assumptions!K27</f>
        <v>2</v>
      </c>
      <c r="L5" s="4" t="n">
        <f aca="false">Assumptions!L27</f>
        <v>2</v>
      </c>
    </row>
    <row r="6" customFormat="false" ht="15" hidden="false" customHeight="false" outlineLevel="0" collapsed="false">
      <c r="A6" s="0" t="s">
        <v>37</v>
      </c>
      <c r="B6" s="3" t="n">
        <v>1140.7</v>
      </c>
      <c r="C6" s="0" t="n">
        <f aca="false">B6*(1+C5/100)</f>
        <v>1117.886</v>
      </c>
      <c r="D6" s="0" t="n">
        <f aca="false">C6*(1+D5/100)</f>
        <v>1117.886</v>
      </c>
      <c r="E6" s="0" t="n">
        <f aca="false">D6*(1+E5/100)</f>
        <v>1134.65429</v>
      </c>
      <c r="F6" s="0" t="n">
        <f aca="false">E6*(1+F5/100)</f>
        <v>1157.3473758</v>
      </c>
      <c r="G6" s="0" t="n">
        <f aca="false">F6*(1+G5/100)</f>
        <v>1186.281060195</v>
      </c>
      <c r="H6" s="0" t="n">
        <f aca="false">G6*(1+H5/100)</f>
        <v>1215.93808669988</v>
      </c>
      <c r="I6" s="0" t="n">
        <f aca="false">H6*(1+I5/100)</f>
        <v>1246.33653886737</v>
      </c>
      <c r="J6" s="0" t="n">
        <f aca="false">I6*(1+J5/100)</f>
        <v>1277.49495233906</v>
      </c>
      <c r="K6" s="0" t="n">
        <f aca="false">J6*(1+K5/100)</f>
        <v>1303.04485138584</v>
      </c>
      <c r="L6" s="0" t="n">
        <f aca="false">K6*(1+L5/100)</f>
        <v>1329.10574841355</v>
      </c>
    </row>
    <row r="7" customFormat="false" ht="15" hidden="false" customHeight="false" outlineLevel="0" collapsed="false">
      <c r="A7" s="0" t="s">
        <v>99</v>
      </c>
      <c r="C7" s="4" t="n">
        <f aca="false">Assumptions!C28</f>
        <v>28.8</v>
      </c>
      <c r="D7" s="4" t="n">
        <f aca="false">Assumptions!D28</f>
        <v>29</v>
      </c>
      <c r="E7" s="4" t="n">
        <f aca="false">Assumptions!E28</f>
        <v>29.3</v>
      </c>
      <c r="F7" s="4" t="n">
        <f aca="false">Assumptions!F28</f>
        <v>29.5</v>
      </c>
      <c r="G7" s="4" t="n">
        <f aca="false">Assumptions!G28</f>
        <v>29.5</v>
      </c>
      <c r="H7" s="4" t="n">
        <f aca="false">Assumptions!H28</f>
        <v>29.5</v>
      </c>
      <c r="I7" s="4" t="n">
        <f aca="false">Assumptions!I28</f>
        <v>29.5</v>
      </c>
      <c r="J7" s="4" t="n">
        <f aca="false">Assumptions!J28</f>
        <v>29.5</v>
      </c>
      <c r="K7" s="4" t="n">
        <f aca="false">Assumptions!K28</f>
        <v>29.5</v>
      </c>
      <c r="L7" s="4" t="n">
        <f aca="false">Assumptions!L28</f>
        <v>29.5</v>
      </c>
    </row>
    <row r="8" customFormat="false" ht="15" hidden="false" customHeight="false" outlineLevel="0" collapsed="false">
      <c r="A8" s="0" t="s">
        <v>43</v>
      </c>
      <c r="C8" s="0" t="n">
        <f aca="false">C6*C7/100</f>
        <v>321.951168</v>
      </c>
      <c r="D8" s="0" t="n">
        <f aca="false">D6*D7/100</f>
        <v>324.18694</v>
      </c>
      <c r="E8" s="0" t="n">
        <f aca="false">E6*E7/100</f>
        <v>332.45370697</v>
      </c>
      <c r="F8" s="0" t="n">
        <f aca="false">F6*F7/100</f>
        <v>341.417475861</v>
      </c>
      <c r="G8" s="0" t="n">
        <f aca="false">G6*G7/100</f>
        <v>349.952912757525</v>
      </c>
      <c r="H8" s="0" t="n">
        <f aca="false">H6*H7/100</f>
        <v>358.701735576463</v>
      </c>
      <c r="I8" s="0" t="n">
        <f aca="false">I6*I7/100</f>
        <v>367.669278965875</v>
      </c>
      <c r="J8" s="0" t="n">
        <f aca="false">J6*J7/100</f>
        <v>376.861010940021</v>
      </c>
      <c r="K8" s="0" t="n">
        <f aca="false">K6*K7/100</f>
        <v>384.398231158822</v>
      </c>
      <c r="L8" s="0" t="n">
        <f aca="false">L6*L7/100</f>
        <v>392.086195781998</v>
      </c>
    </row>
    <row r="9" customFormat="false" ht="15" hidden="false" customHeight="false" outlineLevel="0" collapsed="false">
      <c r="A9" s="0" t="s">
        <v>100</v>
      </c>
      <c r="C9" s="4" t="n">
        <f aca="false">Assumptions!C29</f>
        <v>1.5</v>
      </c>
      <c r="D9" s="4" t="n">
        <f aca="false">Assumptions!D29</f>
        <v>1.5</v>
      </c>
      <c r="E9" s="4" t="n">
        <f aca="false">Assumptions!E29</f>
        <v>1.4</v>
      </c>
      <c r="F9" s="4" t="n">
        <f aca="false">Assumptions!F29</f>
        <v>1.4</v>
      </c>
      <c r="G9" s="4" t="n">
        <f aca="false">Assumptions!G29</f>
        <v>1.3</v>
      </c>
      <c r="H9" s="4" t="n">
        <f aca="false">Assumptions!H29</f>
        <v>1.3</v>
      </c>
      <c r="I9" s="4" t="n">
        <f aca="false">Assumptions!I29</f>
        <v>1.3</v>
      </c>
      <c r="J9" s="4" t="n">
        <f aca="false">Assumptions!J29</f>
        <v>1.3</v>
      </c>
      <c r="K9" s="4" t="n">
        <f aca="false">Assumptions!K29</f>
        <v>1.3</v>
      </c>
      <c r="L9" s="4" t="n">
        <f aca="false">Assumptions!L29</f>
        <v>1.3</v>
      </c>
    </row>
    <row r="10" customFormat="false" ht="15" hidden="false" customHeight="false" outlineLevel="0" collapsed="false">
      <c r="A10" s="0" t="s">
        <v>115</v>
      </c>
      <c r="C10" s="0" t="n">
        <f aca="false">-C6*C9/100</f>
        <v>-16.76829</v>
      </c>
      <c r="D10" s="0" t="n">
        <f aca="false">-D6*D9/100</f>
        <v>-16.76829</v>
      </c>
      <c r="E10" s="0" t="n">
        <f aca="false">-E6*E9/100</f>
        <v>-15.88516006</v>
      </c>
      <c r="F10" s="0" t="n">
        <f aca="false">-F6*F9/100</f>
        <v>-16.2028632612</v>
      </c>
      <c r="G10" s="0" t="n">
        <f aca="false">-G6*G9/100</f>
        <v>-15.421653782535</v>
      </c>
      <c r="H10" s="0" t="n">
        <f aca="false">-H6*H9/100</f>
        <v>-15.8071951270984</v>
      </c>
      <c r="I10" s="0" t="n">
        <f aca="false">-I6*I9/100</f>
        <v>-16.2023750052758</v>
      </c>
      <c r="J10" s="0" t="n">
        <f aca="false">-J6*J9/100</f>
        <v>-16.6074343804077</v>
      </c>
      <c r="K10" s="0" t="n">
        <f aca="false">-K6*K9/100</f>
        <v>-16.9395830680159</v>
      </c>
      <c r="L10" s="0" t="n">
        <f aca="false">-L6*L9/100</f>
        <v>-17.2783747293762</v>
      </c>
    </row>
    <row r="11" customFormat="false" ht="15" hidden="false" customHeight="false" outlineLevel="0" collapsed="false">
      <c r="A11" s="0" t="s">
        <v>116</v>
      </c>
      <c r="C11" s="0" t="n">
        <f aca="false">C8+C10+C24</f>
        <v>286.178816</v>
      </c>
      <c r="D11" s="0" t="n">
        <f aca="false">D8+D10+D24</f>
        <v>288.414588</v>
      </c>
      <c r="E11" s="0" t="n">
        <f aca="false">E8+E10+E24</f>
        <v>297.27942398</v>
      </c>
      <c r="F11" s="0" t="n">
        <f aca="false">F8+F10+F24</f>
        <v>305.5397072112</v>
      </c>
      <c r="G11" s="0" t="n">
        <f aca="false">G8+G10+G24</f>
        <v>314.364480951675</v>
      </c>
      <c r="H11" s="0" t="n">
        <f aca="false">H8+H10+H24</f>
        <v>322.223592975467</v>
      </c>
      <c r="I11" s="0" t="n">
        <f aca="false">I8+I10+I24</f>
        <v>330.279182799854</v>
      </c>
      <c r="J11" s="0" t="n">
        <f aca="false">J8+J10+J24</f>
        <v>338.53616236985</v>
      </c>
      <c r="K11" s="0" t="n">
        <f aca="false">K8+K10+K24</f>
        <v>345.306885617247</v>
      </c>
      <c r="L11" s="0" t="n">
        <f aca="false">L8+L10+L24</f>
        <v>352.213023329592</v>
      </c>
    </row>
    <row r="12" customFormat="false" ht="15" hidden="false" customHeight="false" outlineLevel="0" collapsed="false">
      <c r="A12" s="0" t="s">
        <v>117</v>
      </c>
      <c r="C12" s="4" t="n">
        <f aca="false">-C6*Assumptions!C31/100</f>
        <v>-17.886176</v>
      </c>
      <c r="D12" s="4" t="n">
        <f aca="false">-D6*Assumptions!D31/100</f>
        <v>-17.886176</v>
      </c>
      <c r="E12" s="4" t="n">
        <f aca="false">-E6*Assumptions!E31/100</f>
        <v>-18.15446864</v>
      </c>
      <c r="F12" s="4" t="n">
        <f aca="false">-F6*Assumptions!F31/100</f>
        <v>-18.5175580128</v>
      </c>
      <c r="G12" s="4" t="n">
        <f aca="false">-G6*Assumptions!G31/100</f>
        <v>-18.98049696312</v>
      </c>
      <c r="H12" s="4" t="n">
        <f aca="false">-H6*Assumptions!H31/100</f>
        <v>-19.455009387198</v>
      </c>
      <c r="I12" s="4" t="n">
        <f aca="false">-I6*Assumptions!I31/100</f>
        <v>-19.9413846218779</v>
      </c>
      <c r="J12" s="4" t="n">
        <f aca="false">-J6*Assumptions!J31/100</f>
        <v>-20.4399192374249</v>
      </c>
      <c r="K12" s="4" t="n">
        <f aca="false">-K6*Assumptions!K31/100</f>
        <v>-20.8487176221734</v>
      </c>
      <c r="L12" s="4" t="n">
        <f aca="false">-L6*Assumptions!L31/100</f>
        <v>-21.2656919746169</v>
      </c>
    </row>
    <row r="13" customFormat="false" ht="15" hidden="false" customHeight="false" outlineLevel="0" collapsed="false">
      <c r="A13" s="0" t="s">
        <v>118</v>
      </c>
      <c r="C13" s="0" t="n">
        <f aca="false">C11+C12</f>
        <v>268.29264</v>
      </c>
      <c r="D13" s="0" t="n">
        <f aca="false">D11+D12</f>
        <v>270.528412</v>
      </c>
      <c r="E13" s="0" t="n">
        <f aca="false">E11+E12</f>
        <v>279.12495534</v>
      </c>
      <c r="F13" s="0" t="n">
        <f aca="false">F11+F12</f>
        <v>287.0221491984</v>
      </c>
      <c r="G13" s="0" t="n">
        <f aca="false">G11+G12</f>
        <v>295.383983988555</v>
      </c>
      <c r="H13" s="0" t="n">
        <f aca="false">H11+H12</f>
        <v>302.768583588269</v>
      </c>
      <c r="I13" s="0" t="n">
        <f aca="false">I11+I12</f>
        <v>310.337798177976</v>
      </c>
      <c r="J13" s="0" t="n">
        <f aca="false">J11+J12</f>
        <v>318.096243132425</v>
      </c>
      <c r="K13" s="0" t="n">
        <f aca="false">K11+K12</f>
        <v>324.458167995073</v>
      </c>
      <c r="L13" s="0" t="n">
        <f aca="false">L11+L12</f>
        <v>330.947331354975</v>
      </c>
    </row>
    <row r="14" customFormat="false" ht="15" hidden="false" customHeight="false" outlineLevel="0" collapsed="false">
      <c r="A14" s="0" t="s">
        <v>104</v>
      </c>
      <c r="C14" s="4" t="n">
        <f aca="false">Assumptions!C33</f>
        <v>15</v>
      </c>
      <c r="D14" s="4" t="n">
        <f aca="false">Assumptions!D33</f>
        <v>20</v>
      </c>
      <c r="E14" s="4" t="n">
        <f aca="false">Assumptions!E33</f>
        <v>24</v>
      </c>
      <c r="F14" s="4" t="n">
        <f aca="false">Assumptions!F33</f>
        <v>27</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119</v>
      </c>
      <c r="C15" s="0" t="n">
        <f aca="false">C13-MAX(0,C13)*C14/100</f>
        <v>228.048744</v>
      </c>
      <c r="D15" s="0" t="n">
        <f aca="false">D13-MAX(0,D13)*D14/100</f>
        <v>216.4227296</v>
      </c>
      <c r="E15" s="0" t="n">
        <f aca="false">E13-MAX(0,E13)*E14/100</f>
        <v>212.1349660584</v>
      </c>
      <c r="F15" s="0" t="n">
        <f aca="false">F13-MAX(0,F13)*F14/100</f>
        <v>209.526168914832</v>
      </c>
      <c r="G15" s="0" t="n">
        <f aca="false">G13-MAX(0,G13)*G14/100</f>
        <v>212.67646847176</v>
      </c>
      <c r="H15" s="0" t="n">
        <f aca="false">H13-MAX(0,H13)*H14/100</f>
        <v>217.993380183554</v>
      </c>
      <c r="I15" s="0" t="n">
        <f aca="false">I13-MAX(0,I13)*I14/100</f>
        <v>223.443214688142</v>
      </c>
      <c r="J15" s="0" t="n">
        <f aca="false">J13-MAX(0,J13)*J14/100</f>
        <v>229.029295055346</v>
      </c>
      <c r="K15" s="0" t="n">
        <f aca="false">K13-MAX(0,K13)*K14/100</f>
        <v>233.609880956453</v>
      </c>
      <c r="L15" s="0" t="n">
        <f aca="false">L13-MAX(0,L13)*L14/100</f>
        <v>238.282078575582</v>
      </c>
    </row>
    <row r="16" customFormat="false" ht="15" hidden="false" customHeight="false" outlineLevel="0" collapsed="false">
      <c r="A16" s="0" t="s">
        <v>120</v>
      </c>
      <c r="C16" s="0" t="n">
        <f aca="false">-C12</f>
        <v>17.886176</v>
      </c>
      <c r="D16" s="0" t="n">
        <f aca="false">-D12</f>
        <v>17.886176</v>
      </c>
      <c r="E16" s="0" t="n">
        <f aca="false">-E12</f>
        <v>18.15446864</v>
      </c>
      <c r="F16" s="0" t="n">
        <f aca="false">-F12</f>
        <v>18.5175580128</v>
      </c>
      <c r="G16" s="0" t="n">
        <f aca="false">-G12</f>
        <v>18.98049696312</v>
      </c>
      <c r="H16" s="0" t="n">
        <f aca="false">-H12</f>
        <v>19.455009387198</v>
      </c>
      <c r="I16" s="0" t="n">
        <f aca="false">-I12</f>
        <v>19.9413846218779</v>
      </c>
      <c r="J16" s="0" t="n">
        <f aca="false">-J12</f>
        <v>20.4399192374249</v>
      </c>
      <c r="K16" s="0" t="n">
        <f aca="false">-K12</f>
        <v>20.8487176221734</v>
      </c>
      <c r="L16" s="0" t="n">
        <f aca="false">-L12</f>
        <v>21.2656919746169</v>
      </c>
    </row>
    <row r="17" customFormat="false" ht="15" hidden="false" customHeight="false" outlineLevel="0" collapsed="false">
      <c r="A17" s="0" t="s">
        <v>121</v>
      </c>
      <c r="C17" s="4" t="n">
        <f aca="false">-C6*Assumptions!C32/100</f>
        <v>-16.76829</v>
      </c>
      <c r="D17" s="4" t="n">
        <f aca="false">-D6*Assumptions!D32/100</f>
        <v>-16.76829</v>
      </c>
      <c r="E17" s="4" t="n">
        <f aca="false">-E6*Assumptions!E32/100</f>
        <v>-17.01981435</v>
      </c>
      <c r="F17" s="4" t="n">
        <f aca="false">-F6*Assumptions!F32/100</f>
        <v>-17.360210637</v>
      </c>
      <c r="G17" s="4" t="n">
        <f aca="false">-G6*Assumptions!G32/100</f>
        <v>-17.794215902925</v>
      </c>
      <c r="H17" s="4" t="n">
        <f aca="false">-H6*Assumptions!H32/100</f>
        <v>-18.2390713004981</v>
      </c>
      <c r="I17" s="4" t="n">
        <f aca="false">-I6*Assumptions!I32/100</f>
        <v>-18.6950480830106</v>
      </c>
      <c r="J17" s="4" t="n">
        <f aca="false">-J6*Assumptions!J32/100</f>
        <v>-19.1624242850858</v>
      </c>
      <c r="K17" s="4" t="n">
        <f aca="false">-K6*Assumptions!K32/100</f>
        <v>-19.5456727707876</v>
      </c>
      <c r="L17" s="4" t="n">
        <f aca="false">-L6*Assumptions!L32/100</f>
        <v>-19.9365862262033</v>
      </c>
    </row>
    <row r="18" customFormat="false" ht="15" hidden="false" customHeight="false" outlineLevel="0" collapsed="false">
      <c r="A18" s="0" t="s">
        <v>122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123</v>
      </c>
      <c r="C19" s="0" t="n">
        <f aca="false">C15+C16+C17+C18</f>
        <v>229.16663</v>
      </c>
      <c r="D19" s="0" t="n">
        <f aca="false">D15+D16+D17+D18</f>
        <v>217.5406156</v>
      </c>
      <c r="E19" s="0" t="n">
        <f aca="false">E15+E16+E17+E18</f>
        <v>213.2696203484</v>
      </c>
      <c r="F19" s="0" t="n">
        <f aca="false">F15+F16+F17+F18</f>
        <v>210.683516290632</v>
      </c>
      <c r="G19" s="0" t="n">
        <f aca="false">G15+G16+G17+G18</f>
        <v>213.862749531955</v>
      </c>
      <c r="H19" s="0" t="n">
        <f aca="false">H15+H16+H17+H18</f>
        <v>219.209318270253</v>
      </c>
      <c r="I19" s="0" t="n">
        <f aca="false">I15+I16+I17+I18</f>
        <v>224.68955122701</v>
      </c>
      <c r="J19" s="0" t="n">
        <f aca="false">J15+J16+J17+J18</f>
        <v>230.306790007685</v>
      </c>
      <c r="K19" s="0" t="n">
        <f aca="false">K15+K16+K17+K18</f>
        <v>234.912925807839</v>
      </c>
      <c r="L19" s="0" t="n">
        <f aca="false">L15+L16+L17+L18</f>
        <v>239.611184323995</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209.284593607306</v>
      </c>
      <c r="D21" s="0" t="n">
        <f aca="false">D19*D20</f>
        <v>181.431259231459</v>
      </c>
      <c r="E21" s="0" t="n">
        <f aca="false">E19*E20</f>
        <v>162.437627717422</v>
      </c>
      <c r="F21" s="0" t="n">
        <f aca="false">F19*F20</f>
        <v>146.546037992505</v>
      </c>
      <c r="G21" s="0" t="n">
        <f aca="false">G19*G20</f>
        <v>135.851535075943</v>
      </c>
      <c r="H21" s="0" t="n">
        <f aca="false">H19*H20</f>
        <v>127.16696205739</v>
      </c>
      <c r="I21" s="0" t="n">
        <f aca="false">I19*I20</f>
        <v>119.037567222671</v>
      </c>
      <c r="J21" s="0" t="n">
        <f aca="false">J19*J20</f>
        <v>111.427859728984</v>
      </c>
      <c r="K21" s="0" t="n">
        <f aca="false">K19*K20</f>
        <v>103.795814542067</v>
      </c>
      <c r="L21" s="0" t="n">
        <f aca="false">L19*L20</f>
        <v>96.6865121761722</v>
      </c>
    </row>
    <row r="23" customFormat="false" ht="15" hidden="false" customHeight="false" outlineLevel="0" collapsed="false">
      <c r="A23" s="0" t="s">
        <v>101</v>
      </c>
      <c r="C23" s="4" t="n">
        <f aca="false">Assumptions!C30</f>
        <v>1.7</v>
      </c>
      <c r="D23" s="4" t="n">
        <f aca="false">Assumptions!D30</f>
        <v>1.7</v>
      </c>
      <c r="E23" s="4" t="n">
        <f aca="false">Assumptions!E30</f>
        <v>1.7</v>
      </c>
      <c r="F23" s="4" t="n">
        <f aca="false">Assumptions!F30</f>
        <v>1.7</v>
      </c>
      <c r="G23" s="4" t="n">
        <f aca="false">Assumptions!G30</f>
        <v>1.7</v>
      </c>
      <c r="H23" s="4" t="n">
        <f aca="false">Assumptions!H30</f>
        <v>1.7</v>
      </c>
      <c r="I23" s="4" t="n">
        <f aca="false">Assumptions!I30</f>
        <v>1.7</v>
      </c>
      <c r="J23" s="4" t="n">
        <f aca="false">Assumptions!J30</f>
        <v>1.7</v>
      </c>
      <c r="K23" s="4" t="n">
        <f aca="false">Assumptions!K30</f>
        <v>1.7</v>
      </c>
      <c r="L23" s="4" t="n">
        <f aca="false">Assumptions!L30</f>
        <v>1.7</v>
      </c>
    </row>
    <row r="24" customFormat="false" ht="15" hidden="false" customHeight="false" outlineLevel="0" collapsed="false">
      <c r="A24" s="0" t="s">
        <v>126</v>
      </c>
      <c r="C24" s="0" t="n">
        <f aca="false">-C6*C23/100</f>
        <v>-19.004062</v>
      </c>
      <c r="D24" s="0" t="n">
        <f aca="false">-D6*D23/100</f>
        <v>-19.004062</v>
      </c>
      <c r="E24" s="0" t="n">
        <f aca="false">-E6*E23/100</f>
        <v>-19.28912293</v>
      </c>
      <c r="F24" s="0" t="n">
        <f aca="false">-F6*F23/100</f>
        <v>-19.6749053886</v>
      </c>
      <c r="G24" s="0" t="n">
        <f aca="false">-G6*G23/100</f>
        <v>-20.166778023315</v>
      </c>
      <c r="H24" s="0" t="n">
        <f aca="false">-H6*H23/100</f>
        <v>-20.6709474738979</v>
      </c>
      <c r="I24" s="0" t="n">
        <f aca="false">-I6*I23/100</f>
        <v>-21.1877211607453</v>
      </c>
      <c r="J24" s="0" t="n">
        <f aca="false">-J6*J23/100</f>
        <v>-21.717414189764</v>
      </c>
      <c r="K24" s="0" t="n">
        <f aca="false">-K6*K23/100</f>
        <v>-22.1517624735592</v>
      </c>
      <c r="L24" s="0" t="n">
        <f aca="false">-L6*L23/100</f>
        <v>-22.5947977230304</v>
      </c>
    </row>
    <row r="26" customFormat="false" ht="15" hidden="false" customHeight="false" outlineLevel="0" collapsed="false">
      <c r="A26" s="2" t="s">
        <v>127</v>
      </c>
    </row>
    <row r="27" customFormat="false" ht="15" hidden="false" customHeight="false" outlineLevel="0" collapsed="false">
      <c r="A27" s="0" t="s">
        <v>105</v>
      </c>
      <c r="B27" s="4" t="n">
        <f aca="false">Assumptions!$B$34</f>
        <v>9.5</v>
      </c>
    </row>
    <row r="28" customFormat="false" ht="15" hidden="false" customHeight="false" outlineLevel="0" collapsed="false">
      <c r="A28" s="0" t="s">
        <v>106</v>
      </c>
      <c r="B28" s="4" t="n">
        <f aca="false">Assumptions!$B$35</f>
        <v>2</v>
      </c>
    </row>
    <row r="29" customFormat="false" ht="15" hidden="false" customHeight="false" outlineLevel="0" collapsed="false">
      <c r="A29" s="0" t="s">
        <v>107</v>
      </c>
      <c r="B29" s="4" t="n">
        <f aca="false">Assumptions!$B$36</f>
        <v>12</v>
      </c>
    </row>
    <row r="30" customFormat="false" ht="15" hidden="false" customHeight="false" outlineLevel="0" collapsed="false">
      <c r="A30" s="0" t="s">
        <v>128</v>
      </c>
      <c r="B30" s="0" t="n">
        <f aca="false">SUM(C21:L21)</f>
        <v>1393.66576935192</v>
      </c>
    </row>
    <row r="31" customFormat="false" ht="15" hidden="false" customHeight="false" outlineLevel="0" collapsed="false">
      <c r="A31" s="0" t="s">
        <v>129</v>
      </c>
      <c r="B31" s="0" t="n">
        <f aca="false">L19</f>
        <v>239.611184323995</v>
      </c>
    </row>
    <row r="32" customFormat="false" ht="15" hidden="false" customHeight="false" outlineLevel="0" collapsed="false">
      <c r="A32" s="0" t="s">
        <v>130</v>
      </c>
      <c r="B32" s="0" t="n">
        <f aca="false">IF(B27&gt;B28,B31*(1+B28/100)/((B27-B28)/100),B31*B29)</f>
        <v>3258.71210680634</v>
      </c>
    </row>
    <row r="33" customFormat="false" ht="15" hidden="false" customHeight="false" outlineLevel="0" collapsed="false">
      <c r="A33" s="0" t="s">
        <v>131</v>
      </c>
      <c r="B33" s="0" t="n">
        <f aca="false">B31*B29</f>
        <v>2875.33421188795</v>
      </c>
    </row>
    <row r="34" customFormat="false" ht="15" hidden="false" customHeight="false" outlineLevel="0" collapsed="false">
      <c r="A34" s="0" t="s">
        <v>132</v>
      </c>
      <c r="B34" s="0" t="n">
        <f aca="false">MAX(0,MIN(B32,B33))</f>
        <v>2875.33421188795</v>
      </c>
    </row>
    <row r="35" customFormat="false" ht="15" hidden="false" customHeight="false" outlineLevel="0" collapsed="false">
      <c r="A35" s="0" t="s">
        <v>133</v>
      </c>
      <c r="B35" s="0" t="n">
        <f aca="false">B34/(1+B27/100)^L4</f>
        <v>1160.23814611407</v>
      </c>
    </row>
    <row r="36" customFormat="false" ht="15" hidden="false" customHeight="false" outlineLevel="0" collapsed="false">
      <c r="A36" s="0" t="s">
        <v>134</v>
      </c>
      <c r="B36" s="0" t="n">
        <f aca="false">B30+B35</f>
        <v>2553.90391546598</v>
      </c>
    </row>
    <row r="37" customFormat="false" ht="15" hidden="false" customHeight="false" outlineLevel="0" collapsed="false">
      <c r="A37" s="0" t="s">
        <v>135</v>
      </c>
      <c r="B37" s="0" t="n">
        <f aca="false">B36+Assumptions!$B$5-Assumptions!$B$4</f>
        <v>2624.50391546598</v>
      </c>
    </row>
    <row r="38" customFormat="false" ht="15" hidden="false" customHeight="false" outlineLevel="0" collapsed="false">
      <c r="A38" s="0" t="s">
        <v>136</v>
      </c>
      <c r="B38" s="0" t="n">
        <f aca="false">B37/Assumptions!$B$3*Assumptions!$B$10</f>
        <v>22.0361369896388</v>
      </c>
    </row>
    <row r="39" customFormat="false" ht="15" hidden="false" customHeight="false" outlineLevel="0" collapsed="false">
      <c r="A39" s="0" t="s">
        <v>137</v>
      </c>
      <c r="B39" s="4" t="n">
        <f aca="false">B38/Assumptions!$B$2-1</f>
        <v>0.313238199620907</v>
      </c>
    </row>
    <row r="41" customFormat="false" ht="15" hidden="false" customHeight="false" outlineLevel="0" collapsed="false">
      <c r="A41" s="0" t="s">
        <v>138</v>
      </c>
      <c r="B41" s="0" t="n">
        <f aca="false">SUMPRODUCT(-C10:L10/(1+$B$27/100)^C4:L4)</f>
        <v>102.709674875528</v>
      </c>
    </row>
    <row r="42" customFormat="false" ht="15" hidden="false" customHeight="false" outlineLevel="0" collapsed="false">
      <c r="A42" s="0" t="s">
        <v>139</v>
      </c>
      <c r="B42" s="0" t="n">
        <f aca="false">IF(B27&gt;B28,-L10*(1+B28/100)/((B27-B28)/100),-L10*20)/(1+B27/100)^L4</f>
        <v>94.8201428486091</v>
      </c>
    </row>
    <row r="43" customFormat="false" ht="15" hidden="false" customHeight="false" outlineLevel="0" collapsed="false">
      <c r="A43" s="0" t="s">
        <v>140</v>
      </c>
      <c r="B43" s="0" t="n">
        <f aca="false">(B37+B41+B42)/Assumptions!$B$3*Assumptions!$B$10</f>
        <v>23.6946577094049</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1880.02621546519</v>
      </c>
    </row>
    <row r="47" customFormat="false" ht="15" hidden="false" customHeight="false" outlineLevel="0" collapsed="false">
      <c r="A47" s="0" t="s">
        <v>142</v>
      </c>
      <c r="B47" s="0" t="n">
        <f aca="false">(SUMPRODUCT(C19:L19/(1+B45/100)^C4:L4)+B46/(1+B45/100)^L4+Assumptions!$B$5-Assumptions!$B$4)/Assumptions!$B$3*Assumptions!$B$10</f>
        <v>13.8255920874339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1</v>
      </c>
      <c r="D5" s="4" t="n">
        <f aca="false">Assumptions!D41</f>
        <v>3</v>
      </c>
      <c r="E5" s="4" t="n">
        <f aca="false">Assumptions!E41</f>
        <v>4</v>
      </c>
      <c r="F5" s="4" t="n">
        <f aca="false">Assumptions!F41</f>
        <v>4</v>
      </c>
      <c r="G5" s="4" t="n">
        <f aca="false">Assumptions!G41</f>
        <v>3.5</v>
      </c>
      <c r="H5" s="4" t="n">
        <f aca="false">Assumptions!H41</f>
        <v>3.5</v>
      </c>
      <c r="I5" s="4" t="n">
        <f aca="false">Assumptions!I41</f>
        <v>3</v>
      </c>
      <c r="J5" s="4" t="n">
        <f aca="false">Assumptions!J41</f>
        <v>3</v>
      </c>
      <c r="K5" s="4" t="n">
        <f aca="false">Assumptions!K41</f>
        <v>3</v>
      </c>
      <c r="L5" s="4" t="n">
        <f aca="false">Assumptions!L41</f>
        <v>2.5</v>
      </c>
    </row>
    <row r="6" customFormat="false" ht="15" hidden="false" customHeight="false" outlineLevel="0" collapsed="false">
      <c r="A6" s="0" t="s">
        <v>37</v>
      </c>
      <c r="B6" s="3" t="n">
        <v>1140.7</v>
      </c>
      <c r="C6" s="0" t="n">
        <f aca="false">B6*(1+C5/100)</f>
        <v>1152.107</v>
      </c>
      <c r="D6" s="0" t="n">
        <f aca="false">C6*(1+D5/100)</f>
        <v>1186.67021</v>
      </c>
      <c r="E6" s="0" t="n">
        <f aca="false">D6*(1+E5/100)</f>
        <v>1234.1370184</v>
      </c>
      <c r="F6" s="0" t="n">
        <f aca="false">E6*(1+F5/100)</f>
        <v>1283.502499136</v>
      </c>
      <c r="G6" s="0" t="n">
        <f aca="false">F6*(1+G5/100)</f>
        <v>1328.42508660576</v>
      </c>
      <c r="H6" s="0" t="n">
        <f aca="false">G6*(1+H5/100)</f>
        <v>1374.91996463696</v>
      </c>
      <c r="I6" s="0" t="n">
        <f aca="false">H6*(1+I5/100)</f>
        <v>1416.16756357607</v>
      </c>
      <c r="J6" s="0" t="n">
        <f aca="false">I6*(1+J5/100)</f>
        <v>1458.65259048335</v>
      </c>
      <c r="K6" s="0" t="n">
        <f aca="false">J6*(1+K5/100)</f>
        <v>1502.41216819785</v>
      </c>
      <c r="L6" s="0" t="n">
        <f aca="false">K6*(1+L5/100)</f>
        <v>1539.9724724028</v>
      </c>
    </row>
    <row r="7" customFormat="false" ht="15" hidden="false" customHeight="false" outlineLevel="0" collapsed="false">
      <c r="A7" s="0" t="s">
        <v>99</v>
      </c>
      <c r="C7" s="4" t="n">
        <f aca="false">Assumptions!C42</f>
        <v>29.5</v>
      </c>
      <c r="D7" s="4" t="n">
        <f aca="false">Assumptions!D42</f>
        <v>30.5</v>
      </c>
      <c r="E7" s="4" t="n">
        <f aca="false">Assumptions!E42</f>
        <v>31.5</v>
      </c>
      <c r="F7" s="4" t="n">
        <f aca="false">Assumptions!F42</f>
        <v>32</v>
      </c>
      <c r="G7" s="4" t="n">
        <f aca="false">Assumptions!G42</f>
        <v>32.5</v>
      </c>
      <c r="H7" s="4" t="n">
        <f aca="false">Assumptions!H42</f>
        <v>32.5</v>
      </c>
      <c r="I7" s="4" t="n">
        <f aca="false">Assumptions!I42</f>
        <v>32.5</v>
      </c>
      <c r="J7" s="4" t="n">
        <f aca="false">Assumptions!J42</f>
        <v>32.5</v>
      </c>
      <c r="K7" s="4" t="n">
        <f aca="false">Assumptions!K42</f>
        <v>32.5</v>
      </c>
      <c r="L7" s="4" t="n">
        <f aca="false">Assumptions!L42</f>
        <v>32.5</v>
      </c>
    </row>
    <row r="8" customFormat="false" ht="15" hidden="false" customHeight="false" outlineLevel="0" collapsed="false">
      <c r="A8" s="0" t="s">
        <v>43</v>
      </c>
      <c r="C8" s="0" t="n">
        <f aca="false">C6*C7/100</f>
        <v>339.871565</v>
      </c>
      <c r="D8" s="0" t="n">
        <f aca="false">D6*D7/100</f>
        <v>361.93441405</v>
      </c>
      <c r="E8" s="0" t="n">
        <f aca="false">E6*E7/100</f>
        <v>388.753160796</v>
      </c>
      <c r="F8" s="0" t="n">
        <f aca="false">F6*F7/100</f>
        <v>410.72079972352</v>
      </c>
      <c r="G8" s="0" t="n">
        <f aca="false">G6*G7/100</f>
        <v>431.738153146872</v>
      </c>
      <c r="H8" s="0" t="n">
        <f aca="false">H6*H7/100</f>
        <v>446.848988507013</v>
      </c>
      <c r="I8" s="0" t="n">
        <f aca="false">I6*I7/100</f>
        <v>460.254458162223</v>
      </c>
      <c r="J8" s="0" t="n">
        <f aca="false">J6*J7/100</f>
        <v>474.06209190709</v>
      </c>
      <c r="K8" s="0" t="n">
        <f aca="false">K6*K7/100</f>
        <v>488.283954664302</v>
      </c>
      <c r="L8" s="0" t="n">
        <f aca="false">L6*L7/100</f>
        <v>500.49105353091</v>
      </c>
    </row>
    <row r="9" customFormat="false" ht="15" hidden="false" customHeight="false" outlineLevel="0" collapsed="false">
      <c r="A9" s="0" t="s">
        <v>100</v>
      </c>
      <c r="C9" s="4" t="n">
        <f aca="false">Assumptions!C43</f>
        <v>1.5</v>
      </c>
      <c r="D9" s="4" t="n">
        <f aca="false">Assumptions!D43</f>
        <v>1.5</v>
      </c>
      <c r="E9" s="4" t="n">
        <f aca="false">Assumptions!E43</f>
        <v>1.4</v>
      </c>
      <c r="F9" s="4" t="n">
        <f aca="false">Assumptions!F43</f>
        <v>1.4</v>
      </c>
      <c r="G9" s="4" t="n">
        <f aca="false">Assumptions!G43</f>
        <v>1.3</v>
      </c>
      <c r="H9" s="4" t="n">
        <f aca="false">Assumptions!H43</f>
        <v>1.3</v>
      </c>
      <c r="I9" s="4" t="n">
        <f aca="false">Assumptions!I43</f>
        <v>1.3</v>
      </c>
      <c r="J9" s="4" t="n">
        <f aca="false">Assumptions!J43</f>
        <v>1.3</v>
      </c>
      <c r="K9" s="4" t="n">
        <f aca="false">Assumptions!K43</f>
        <v>1.3</v>
      </c>
      <c r="L9" s="4" t="n">
        <f aca="false">Assumptions!L43</f>
        <v>1.3</v>
      </c>
    </row>
    <row r="10" customFormat="false" ht="15" hidden="false" customHeight="false" outlineLevel="0" collapsed="false">
      <c r="A10" s="0" t="s">
        <v>115</v>
      </c>
      <c r="C10" s="0" t="n">
        <f aca="false">-C6*C9/100</f>
        <v>-17.281605</v>
      </c>
      <c r="D10" s="0" t="n">
        <f aca="false">-D6*D9/100</f>
        <v>-17.80005315</v>
      </c>
      <c r="E10" s="0" t="n">
        <f aca="false">-E6*E9/100</f>
        <v>-17.2779182576</v>
      </c>
      <c r="F10" s="0" t="n">
        <f aca="false">-F6*F9/100</f>
        <v>-17.969034987904</v>
      </c>
      <c r="G10" s="0" t="n">
        <f aca="false">-G6*G9/100</f>
        <v>-17.2695261258749</v>
      </c>
      <c r="H10" s="0" t="n">
        <f aca="false">-H6*H9/100</f>
        <v>-17.8739595402805</v>
      </c>
      <c r="I10" s="0" t="n">
        <f aca="false">-I6*I9/100</f>
        <v>-18.4101783264889</v>
      </c>
      <c r="J10" s="0" t="n">
        <f aca="false">-J6*J9/100</f>
        <v>-18.9624836762836</v>
      </c>
      <c r="K10" s="0" t="n">
        <f aca="false">-K6*K9/100</f>
        <v>-19.5313581865721</v>
      </c>
      <c r="L10" s="0" t="n">
        <f aca="false">-L6*L9/100</f>
        <v>-20.0196421412364</v>
      </c>
    </row>
    <row r="11" customFormat="false" ht="15" hidden="false" customHeight="false" outlineLevel="0" collapsed="false">
      <c r="A11" s="0" t="s">
        <v>116</v>
      </c>
      <c r="C11" s="0" t="n">
        <f aca="false">C8+C10+C24</f>
        <v>303.004141</v>
      </c>
      <c r="D11" s="0" t="n">
        <f aca="false">D8+D10+D24</f>
        <v>323.96096733</v>
      </c>
      <c r="E11" s="0" t="n">
        <f aca="false">E8+E10+E24</f>
        <v>350.4949132256</v>
      </c>
      <c r="F11" s="0" t="n">
        <f aca="false">F8+F10+F24</f>
        <v>370.932222250304</v>
      </c>
      <c r="G11" s="0" t="n">
        <f aca="false">G8+G10+G24</f>
        <v>391.885400548699</v>
      </c>
      <c r="H11" s="0" t="n">
        <f aca="false">H8+H10+H24</f>
        <v>405.601389567904</v>
      </c>
      <c r="I11" s="0" t="n">
        <f aca="false">I8+I10+I24</f>
        <v>417.769431254941</v>
      </c>
      <c r="J11" s="0" t="n">
        <f aca="false">J8+J10+J24</f>
        <v>430.302514192589</v>
      </c>
      <c r="K11" s="0" t="n">
        <f aca="false">K8+K10+K24</f>
        <v>443.211589618367</v>
      </c>
      <c r="L11" s="0" t="n">
        <f aca="false">L8+L10+L24</f>
        <v>454.291879358826</v>
      </c>
    </row>
    <row r="12" customFormat="false" ht="15" hidden="false" customHeight="false" outlineLevel="0" collapsed="false">
      <c r="A12" s="0" t="s">
        <v>117</v>
      </c>
      <c r="C12" s="4" t="n">
        <f aca="false">-C6*Assumptions!C45/100</f>
        <v>-18.433712</v>
      </c>
      <c r="D12" s="4" t="n">
        <f aca="false">-D6*Assumptions!D45/100</f>
        <v>-18.98672336</v>
      </c>
      <c r="E12" s="4" t="n">
        <f aca="false">-E6*Assumptions!E45/100</f>
        <v>-19.7461922944</v>
      </c>
      <c r="F12" s="4" t="n">
        <f aca="false">-F6*Assumptions!F45/100</f>
        <v>-20.536039986176</v>
      </c>
      <c r="G12" s="4" t="n">
        <f aca="false">-G6*Assumptions!G45/100</f>
        <v>-21.2548013856922</v>
      </c>
      <c r="H12" s="4" t="n">
        <f aca="false">-H6*Assumptions!H45/100</f>
        <v>-21.9987194341914</v>
      </c>
      <c r="I12" s="4" t="n">
        <f aca="false">-I6*Assumptions!I45/100</f>
        <v>-22.6586810172171</v>
      </c>
      <c r="J12" s="4" t="n">
        <f aca="false">-J6*Assumptions!J45/100</f>
        <v>-23.3384414477336</v>
      </c>
      <c r="K12" s="4" t="n">
        <f aca="false">-K6*Assumptions!K45/100</f>
        <v>-24.0385946911657</v>
      </c>
      <c r="L12" s="4" t="n">
        <f aca="false">-L6*Assumptions!L45/100</f>
        <v>-24.6395595584448</v>
      </c>
    </row>
    <row r="13" customFormat="false" ht="15" hidden="false" customHeight="false" outlineLevel="0" collapsed="false">
      <c r="A13" s="0" t="s">
        <v>118</v>
      </c>
      <c r="C13" s="0" t="n">
        <f aca="false">C11+C12</f>
        <v>284.570429</v>
      </c>
      <c r="D13" s="0" t="n">
        <f aca="false">D11+D12</f>
        <v>304.97424397</v>
      </c>
      <c r="E13" s="0" t="n">
        <f aca="false">E11+E12</f>
        <v>330.7487209312</v>
      </c>
      <c r="F13" s="0" t="n">
        <f aca="false">F11+F12</f>
        <v>350.396182264128</v>
      </c>
      <c r="G13" s="0" t="n">
        <f aca="false">G11+G12</f>
        <v>370.630599163007</v>
      </c>
      <c r="H13" s="0" t="n">
        <f aca="false">H11+H12</f>
        <v>383.602670133712</v>
      </c>
      <c r="I13" s="0" t="n">
        <f aca="false">I11+I12</f>
        <v>395.110750237724</v>
      </c>
      <c r="J13" s="0" t="n">
        <f aca="false">J11+J12</f>
        <v>406.964072744855</v>
      </c>
      <c r="K13" s="0" t="n">
        <f aca="false">K11+K12</f>
        <v>419.172994927201</v>
      </c>
      <c r="L13" s="0" t="n">
        <f aca="false">L11+L12</f>
        <v>429.652319800381</v>
      </c>
    </row>
    <row r="14" customFormat="false" ht="15" hidden="false" customHeight="false" outlineLevel="0" collapsed="false">
      <c r="A14" s="0" t="s">
        <v>104</v>
      </c>
      <c r="C14" s="4" t="n">
        <f aca="false">Assumptions!C47</f>
        <v>15</v>
      </c>
      <c r="D14" s="4" t="n">
        <f aca="false">Assumptions!D47</f>
        <v>20</v>
      </c>
      <c r="E14" s="4" t="n">
        <f aca="false">Assumptions!E47</f>
        <v>24</v>
      </c>
      <c r="F14" s="4" t="n">
        <f aca="false">Assumptions!F47</f>
        <v>27</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119</v>
      </c>
      <c r="C15" s="0" t="n">
        <f aca="false">C13-MAX(0,C13)*C14/100</f>
        <v>241.88486465</v>
      </c>
      <c r="D15" s="0" t="n">
        <f aca="false">D13-MAX(0,D13)*D14/100</f>
        <v>243.979395176</v>
      </c>
      <c r="E15" s="0" t="n">
        <f aca="false">E13-MAX(0,E13)*E14/100</f>
        <v>251.369027907712</v>
      </c>
      <c r="F15" s="0" t="n">
        <f aca="false">F13-MAX(0,F13)*F14/100</f>
        <v>255.789213052813</v>
      </c>
      <c r="G15" s="0" t="n">
        <f aca="false">G13-MAX(0,G13)*G14/100</f>
        <v>266.854031397365</v>
      </c>
      <c r="H15" s="0" t="n">
        <f aca="false">H13-MAX(0,H13)*H14/100</f>
        <v>276.193922496273</v>
      </c>
      <c r="I15" s="0" t="n">
        <f aca="false">I13-MAX(0,I13)*I14/100</f>
        <v>284.479740171161</v>
      </c>
      <c r="J15" s="0" t="n">
        <f aca="false">J13-MAX(0,J13)*J14/100</f>
        <v>293.014132376296</v>
      </c>
      <c r="K15" s="0" t="n">
        <f aca="false">K13-MAX(0,K13)*K14/100</f>
        <v>301.804556347585</v>
      </c>
      <c r="L15" s="0" t="n">
        <f aca="false">L13-MAX(0,L13)*L14/100</f>
        <v>309.349670256274</v>
      </c>
    </row>
    <row r="16" customFormat="false" ht="15" hidden="false" customHeight="false" outlineLevel="0" collapsed="false">
      <c r="A16" s="0" t="s">
        <v>120</v>
      </c>
      <c r="C16" s="0" t="n">
        <f aca="false">-C12</f>
        <v>18.433712</v>
      </c>
      <c r="D16" s="0" t="n">
        <f aca="false">-D12</f>
        <v>18.98672336</v>
      </c>
      <c r="E16" s="0" t="n">
        <f aca="false">-E12</f>
        <v>19.7461922944</v>
      </c>
      <c r="F16" s="0" t="n">
        <f aca="false">-F12</f>
        <v>20.536039986176</v>
      </c>
      <c r="G16" s="0" t="n">
        <f aca="false">-G12</f>
        <v>21.2548013856922</v>
      </c>
      <c r="H16" s="0" t="n">
        <f aca="false">-H12</f>
        <v>21.9987194341914</v>
      </c>
      <c r="I16" s="0" t="n">
        <f aca="false">-I12</f>
        <v>22.6586810172171</v>
      </c>
      <c r="J16" s="0" t="n">
        <f aca="false">-J12</f>
        <v>23.3384414477336</v>
      </c>
      <c r="K16" s="0" t="n">
        <f aca="false">-K12</f>
        <v>24.0385946911657</v>
      </c>
      <c r="L16" s="0" t="n">
        <f aca="false">-L12</f>
        <v>24.6395595584448</v>
      </c>
    </row>
    <row r="17" customFormat="false" ht="15" hidden="false" customHeight="false" outlineLevel="0" collapsed="false">
      <c r="A17" s="0" t="s">
        <v>121</v>
      </c>
      <c r="C17" s="4" t="n">
        <f aca="false">-C6*Assumptions!C46/100</f>
        <v>-17.281605</v>
      </c>
      <c r="D17" s="4" t="n">
        <f aca="false">-D6*Assumptions!D46/100</f>
        <v>-17.80005315</v>
      </c>
      <c r="E17" s="4" t="n">
        <f aca="false">-E6*Assumptions!E46/100</f>
        <v>-18.512055276</v>
      </c>
      <c r="F17" s="4" t="n">
        <f aca="false">-F6*Assumptions!F46/100</f>
        <v>-19.25253748704</v>
      </c>
      <c r="G17" s="4" t="n">
        <f aca="false">-G6*Assumptions!G46/100</f>
        <v>-19.9263762990864</v>
      </c>
      <c r="H17" s="4" t="n">
        <f aca="false">-H6*Assumptions!H46/100</f>
        <v>-20.6237994695544</v>
      </c>
      <c r="I17" s="4" t="n">
        <f aca="false">-I6*Assumptions!I46/100</f>
        <v>-21.2425134536411</v>
      </c>
      <c r="J17" s="4" t="n">
        <f aca="false">-J6*Assumptions!J46/100</f>
        <v>-21.8797888572503</v>
      </c>
      <c r="K17" s="4" t="n">
        <f aca="false">-K6*Assumptions!K46/100</f>
        <v>-22.5361825229678</v>
      </c>
      <c r="L17" s="4" t="n">
        <f aca="false">-L6*Assumptions!L46/100</f>
        <v>-23.099587086042</v>
      </c>
    </row>
    <row r="18" customFormat="false" ht="15" hidden="false" customHeight="false" outlineLevel="0" collapsed="false">
      <c r="A18" s="0" t="s">
        <v>122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123</v>
      </c>
      <c r="C19" s="0" t="n">
        <f aca="false">C15+C16+C17+C18</f>
        <v>243.03697165</v>
      </c>
      <c r="D19" s="0" t="n">
        <f aca="false">D15+D16+D17+D18</f>
        <v>245.166065386</v>
      </c>
      <c r="E19" s="0" t="n">
        <f aca="false">E15+E16+E17+E18</f>
        <v>252.603164926112</v>
      </c>
      <c r="F19" s="0" t="n">
        <f aca="false">F15+F16+F17+F18</f>
        <v>257.072715551949</v>
      </c>
      <c r="G19" s="0" t="n">
        <f aca="false">G15+G16+G17+G18</f>
        <v>268.182456483971</v>
      </c>
      <c r="H19" s="0" t="n">
        <f aca="false">H15+H16+H17+H18</f>
        <v>277.56884246091</v>
      </c>
      <c r="I19" s="0" t="n">
        <f aca="false">I15+I16+I17+I18</f>
        <v>285.895907734737</v>
      </c>
      <c r="J19" s="0" t="n">
        <f aca="false">J15+J16+J17+J18</f>
        <v>294.472784966779</v>
      </c>
      <c r="K19" s="0" t="n">
        <f aca="false">K15+K16+K17+K18</f>
        <v>303.306968515783</v>
      </c>
      <c r="L19" s="0" t="n">
        <f aca="false">L15+L16+L17+L18</f>
        <v>310.889642728677</v>
      </c>
    </row>
    <row r="20" customFormat="false" ht="15" hidden="false" customHeight="false" outlineLevel="0" collapsed="false">
      <c r="A20" s="0" t="s">
        <v>124</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125</v>
      </c>
      <c r="C21" s="0" t="n">
        <f aca="false">C19*C20</f>
        <v>221.951572283105</v>
      </c>
      <c r="D21" s="0" t="n">
        <f aca="false">D19*D20</f>
        <v>204.471187328037</v>
      </c>
      <c r="E21" s="0" t="n">
        <f aca="false">E19*E20</f>
        <v>192.396173432856</v>
      </c>
      <c r="F21" s="0" t="n">
        <f aca="false">F19*F20</f>
        <v>178.813172493968</v>
      </c>
      <c r="G21" s="0" t="n">
        <f aca="false">G19*G20</f>
        <v>170.356915701867</v>
      </c>
      <c r="H21" s="0" t="n">
        <f aca="false">H19*H20</f>
        <v>161.022290183957</v>
      </c>
      <c r="I21" s="0" t="n">
        <f aca="false">I19*I20</f>
        <v>151.463889396781</v>
      </c>
      <c r="J21" s="0" t="n">
        <f aca="false">J19*J20</f>
        <v>142.472882263639</v>
      </c>
      <c r="K21" s="0" t="n">
        <f aca="false">K19*K20</f>
        <v>134.015587882692</v>
      </c>
      <c r="L21" s="0" t="n">
        <f aca="false">L19*L20</f>
        <v>125.448381351379</v>
      </c>
    </row>
    <row r="23" customFormat="false" ht="15" hidden="false" customHeight="false" outlineLevel="0" collapsed="false">
      <c r="A23" s="0" t="s">
        <v>101</v>
      </c>
      <c r="C23" s="4" t="n">
        <f aca="false">Assumptions!C44</f>
        <v>1.7</v>
      </c>
      <c r="D23" s="4" t="n">
        <f aca="false">Assumptions!D44</f>
        <v>1.7</v>
      </c>
      <c r="E23" s="4" t="n">
        <f aca="false">Assumptions!E44</f>
        <v>1.7</v>
      </c>
      <c r="F23" s="4" t="n">
        <f aca="false">Assumptions!F44</f>
        <v>1.7</v>
      </c>
      <c r="G23" s="4" t="n">
        <f aca="false">Assumptions!G44</f>
        <v>1.7</v>
      </c>
      <c r="H23" s="4" t="n">
        <f aca="false">Assumptions!H44</f>
        <v>1.7</v>
      </c>
      <c r="I23" s="4" t="n">
        <f aca="false">Assumptions!I44</f>
        <v>1.7</v>
      </c>
      <c r="J23" s="4" t="n">
        <f aca="false">Assumptions!J44</f>
        <v>1.7</v>
      </c>
      <c r="K23" s="4" t="n">
        <f aca="false">Assumptions!K44</f>
        <v>1.7</v>
      </c>
      <c r="L23" s="4" t="n">
        <f aca="false">Assumptions!L44</f>
        <v>1.7</v>
      </c>
    </row>
    <row r="24" customFormat="false" ht="15" hidden="false" customHeight="false" outlineLevel="0" collapsed="false">
      <c r="A24" s="0" t="s">
        <v>126</v>
      </c>
      <c r="C24" s="0" t="n">
        <f aca="false">-C6*C23/100</f>
        <v>-19.585819</v>
      </c>
      <c r="D24" s="0" t="n">
        <f aca="false">-D6*D23/100</f>
        <v>-20.17339357</v>
      </c>
      <c r="E24" s="0" t="n">
        <f aca="false">-E6*E23/100</f>
        <v>-20.9803293128</v>
      </c>
      <c r="F24" s="0" t="n">
        <f aca="false">-F6*F23/100</f>
        <v>-21.819542485312</v>
      </c>
      <c r="G24" s="0" t="n">
        <f aca="false">-G6*G23/100</f>
        <v>-22.5832264722979</v>
      </c>
      <c r="H24" s="0" t="n">
        <f aca="false">-H6*H23/100</f>
        <v>-23.3736393988283</v>
      </c>
      <c r="I24" s="0" t="n">
        <f aca="false">-I6*I23/100</f>
        <v>-24.0748485807932</v>
      </c>
      <c r="J24" s="0" t="n">
        <f aca="false">-J6*J23/100</f>
        <v>-24.797094038217</v>
      </c>
      <c r="K24" s="0" t="n">
        <f aca="false">-K6*K23/100</f>
        <v>-25.5410068593635</v>
      </c>
      <c r="L24" s="0" t="n">
        <f aca="false">-L6*L23/100</f>
        <v>-26.1795320308476</v>
      </c>
    </row>
    <row r="26" customFormat="false" ht="15" hidden="false" customHeight="false" outlineLevel="0" collapsed="false">
      <c r="A26" s="2" t="s">
        <v>127</v>
      </c>
    </row>
    <row r="27" customFormat="false" ht="15" hidden="false" customHeight="false" outlineLevel="0" collapsed="false">
      <c r="A27" s="0" t="s">
        <v>105</v>
      </c>
      <c r="B27" s="4" t="n">
        <f aca="false">Assumptions!$B$48</f>
        <v>9.5</v>
      </c>
    </row>
    <row r="28" customFormat="false" ht="15" hidden="false" customHeight="false" outlineLevel="0" collapsed="false">
      <c r="A28" s="0" t="s">
        <v>106</v>
      </c>
      <c r="B28" s="4" t="n">
        <f aca="false">Assumptions!$B$49</f>
        <v>2.5</v>
      </c>
    </row>
    <row r="29" customFormat="false" ht="15" hidden="false" customHeight="false" outlineLevel="0" collapsed="false">
      <c r="A29" s="0" t="s">
        <v>107</v>
      </c>
      <c r="B29" s="4" t="n">
        <f aca="false">Assumptions!$B$50</f>
        <v>12</v>
      </c>
    </row>
    <row r="30" customFormat="false" ht="15" hidden="false" customHeight="false" outlineLevel="0" collapsed="false">
      <c r="A30" s="0" t="s">
        <v>128</v>
      </c>
      <c r="B30" s="0" t="n">
        <f aca="false">SUM(C21:L21)</f>
        <v>1682.41205231828</v>
      </c>
    </row>
    <row r="31" customFormat="false" ht="15" hidden="false" customHeight="false" outlineLevel="0" collapsed="false">
      <c r="A31" s="0" t="s">
        <v>129</v>
      </c>
      <c r="B31" s="0" t="n">
        <f aca="false">L19</f>
        <v>310.889642728677</v>
      </c>
    </row>
    <row r="32" customFormat="false" ht="15" hidden="false" customHeight="false" outlineLevel="0" collapsed="false">
      <c r="A32" s="0" t="s">
        <v>130</v>
      </c>
      <c r="B32" s="0" t="n">
        <f aca="false">IF(B27&gt;B28,B31*(1+B28/100)/((B27-B28)/100),B31*B29)</f>
        <v>4552.31262566992</v>
      </c>
    </row>
    <row r="33" customFormat="false" ht="15" hidden="false" customHeight="false" outlineLevel="0" collapsed="false">
      <c r="A33" s="0" t="s">
        <v>131</v>
      </c>
      <c r="B33" s="0" t="n">
        <f aca="false">B31*B29</f>
        <v>3730.67571274413</v>
      </c>
    </row>
    <row r="34" customFormat="false" ht="15" hidden="false" customHeight="false" outlineLevel="0" collapsed="false">
      <c r="A34" s="0" t="s">
        <v>132</v>
      </c>
      <c r="B34" s="0" t="n">
        <f aca="false">MAX(0,MIN(B32,B33))</f>
        <v>3730.67571274413</v>
      </c>
    </row>
    <row r="35" customFormat="false" ht="15" hidden="false" customHeight="false" outlineLevel="0" collapsed="false">
      <c r="A35" s="0" t="s">
        <v>133</v>
      </c>
      <c r="B35" s="0" t="n">
        <f aca="false">B34/(1+B27/100)^L4</f>
        <v>1505.38057621654</v>
      </c>
    </row>
    <row r="36" customFormat="false" ht="15" hidden="false" customHeight="false" outlineLevel="0" collapsed="false">
      <c r="A36" s="0" t="s">
        <v>134</v>
      </c>
      <c r="B36" s="0" t="n">
        <f aca="false">B30+B35</f>
        <v>3187.79262853483</v>
      </c>
    </row>
    <row r="37" customFormat="false" ht="15" hidden="false" customHeight="false" outlineLevel="0" collapsed="false">
      <c r="A37" s="0" t="s">
        <v>135</v>
      </c>
      <c r="B37" s="0" t="n">
        <f aca="false">B36+Assumptions!$B$5-Assumptions!$B$4</f>
        <v>3258.39262853483</v>
      </c>
    </row>
    <row r="38" customFormat="false" ht="15" hidden="false" customHeight="false" outlineLevel="0" collapsed="false">
      <c r="A38" s="0" t="s">
        <v>136</v>
      </c>
      <c r="B38" s="0" t="n">
        <f aca="false">B37/Assumptions!$B$3*Assumptions!$B$10</f>
        <v>27.3584603571354</v>
      </c>
    </row>
    <row r="39" customFormat="false" ht="15" hidden="false" customHeight="false" outlineLevel="0" collapsed="false">
      <c r="A39" s="0" t="s">
        <v>137</v>
      </c>
      <c r="B39" s="4" t="n">
        <f aca="false">B38/Assumptions!$B$2-1</f>
        <v>0.630420760258367</v>
      </c>
    </row>
    <row r="41" customFormat="false" ht="15" hidden="false" customHeight="false" outlineLevel="0" collapsed="false">
      <c r="A41" s="0" t="s">
        <v>138</v>
      </c>
      <c r="B41" s="0" t="n">
        <f aca="false">SUMPRODUCT(-C10:L10/(1+$B$27/100)^C4:L4)</f>
        <v>113.261449332373</v>
      </c>
    </row>
    <row r="42" customFormat="false" ht="15" hidden="false" customHeight="false" outlineLevel="0" collapsed="false">
      <c r="A42" s="0" t="s">
        <v>139</v>
      </c>
      <c r="B42" s="0" t="n">
        <f aca="false">IF(B27&gt;B28,-L10*(1+B28/100)/((B27-B28)/100),-L10*20)/(1+B27/100)^L4</f>
        <v>118.288069398166</v>
      </c>
    </row>
    <row r="43" customFormat="false" ht="15" hidden="false" customHeight="false" outlineLevel="0" collapsed="false">
      <c r="A43" s="0" t="s">
        <v>140</v>
      </c>
      <c r="B43" s="0" t="n">
        <f aca="false">(B37+B41+B42)/Assumptions!$B$3*Assumptions!$B$10</f>
        <v>29.3026208838402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2549.29507037515</v>
      </c>
    </row>
    <row r="47" customFormat="false" ht="15" hidden="false" customHeight="false" outlineLevel="0" collapsed="false">
      <c r="A47" s="0" t="s">
        <v>142</v>
      </c>
      <c r="B47" s="0" t="n">
        <f aca="false">(SUMPRODUCT(C19:L19/(1+B45/100)^C4:L4)+B46/(1+B45/100)^L4+Assumptions!$B$5-Assumptions!$B$4)/Assumptions!$B$3*Assumptions!$B$10</f>
        <v>17.0502105745949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13.8930273833765</v>
      </c>
      <c r="C4" s="0" t="n">
        <f aca="false">B4/Assumptions!$B$2-1</f>
        <v>-0.172048427689126</v>
      </c>
      <c r="D4" s="4" t="n">
        <f aca="false">Assumptions!$B$24</f>
        <v>0.3</v>
      </c>
      <c r="E4" s="4" t="n">
        <f aca="false">DCF_Bear!$B$43</f>
        <v>15.1358740305665</v>
      </c>
      <c r="F4" s="4" t="n">
        <f aca="false">DCF_Bear!$B$47</f>
        <v>9.54292088195949</v>
      </c>
    </row>
    <row r="5" customFormat="false" ht="15" hidden="false" customHeight="false" outlineLevel="0" collapsed="false">
      <c r="A5" s="0" t="s">
        <v>151</v>
      </c>
      <c r="B5" s="4" t="n">
        <f aca="false">DCF_Base!$B$38</f>
        <v>22.0361369896388</v>
      </c>
      <c r="C5" s="0" t="n">
        <f aca="false">B5/Assumptions!$B$2-1</f>
        <v>0.313238199620907</v>
      </c>
      <c r="D5" s="4" t="n">
        <f aca="false">Assumptions!$B$38</f>
        <v>0.5</v>
      </c>
      <c r="E5" s="4" t="n">
        <f aca="false">DCF_Base!$B$43</f>
        <v>23.6946577094049</v>
      </c>
      <c r="F5" s="4" t="n">
        <f aca="false">DCF_Base!$B$47</f>
        <v>13.8255920874339</v>
      </c>
    </row>
    <row r="6" customFormat="false" ht="15" hidden="false" customHeight="false" outlineLevel="0" collapsed="false">
      <c r="A6" s="0" t="s">
        <v>152</v>
      </c>
      <c r="B6" s="4" t="n">
        <f aca="false">DCF_Bull!$B$38</f>
        <v>27.3584603571354</v>
      </c>
      <c r="C6" s="0" t="n">
        <f aca="false">B6/Assumptions!$B$2-1</f>
        <v>0.630420760258367</v>
      </c>
      <c r="D6" s="4" t="n">
        <f aca="false">Assumptions!$B$52</f>
        <v>0.2</v>
      </c>
      <c r="E6" s="4" t="n">
        <f aca="false">DCF_Bull!$B$43</f>
        <v>29.3026208838402</v>
      </c>
      <c r="F6" s="4" t="n">
        <f aca="false">DCF_Bull!$B$47</f>
        <v>17.0502105745949</v>
      </c>
    </row>
    <row r="8" customFormat="false" ht="15" hidden="false" customHeight="false" outlineLevel="0" collapsed="false">
      <c r="A8" s="0" t="s">
        <v>153</v>
      </c>
      <c r="B8" s="0" t="n">
        <f aca="false">SUMPRODUCT(B4:B6,D4:D6)</f>
        <v>20.6576687812594</v>
      </c>
    </row>
    <row r="9" customFormat="false" ht="15" hidden="false" customHeight="false" outlineLevel="0" collapsed="false">
      <c r="A9" s="0" t="s">
        <v>154</v>
      </c>
      <c r="B9" s="0" t="n">
        <f aca="false">SUMPRODUCT(E4:E6,D4:D6)</f>
        <v>22.2486152406404</v>
      </c>
    </row>
    <row r="10" customFormat="false" ht="15" hidden="false" customHeight="false" outlineLevel="0" collapsed="false">
      <c r="A10" s="0" t="s">
        <v>155</v>
      </c>
      <c r="B10" s="0" t="n">
        <f aca="false">1-Assumptions!$B$2/B8</f>
        <v>0.1877108604228</v>
      </c>
    </row>
    <row r="11" customFormat="false" ht="15" hidden="false" customHeight="false" outlineLevel="0" collapsed="false">
      <c r="A11" s="0" t="s">
        <v>156</v>
      </c>
      <c r="B11" s="0" t="n">
        <f aca="false">IF(ABS(B9-B8)&gt;0.01*ABS(B8),(Assumptions!$B$2-B8)/(B9-B8)*100,"n/a")</f>
        <v>-243.733455541182</v>
      </c>
    </row>
    <row r="12" customFormat="false" ht="15" hidden="false" customHeight="false" outlineLevel="0" collapsed="false">
      <c r="A12" s="0" t="s">
        <v>157</v>
      </c>
      <c r="B12" s="0" t="n">
        <f aca="false">SUMPRODUCT(F4:F6,D4:D6)</f>
        <v>13.1857144232238</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22.7542198498468</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22.0361369896388</v>
      </c>
      <c r="C16" s="3" t="n">
        <v>9.5</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21.3492402154692</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19.5904922408021</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17.717617345857</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13.8255920874339</v>
      </c>
      <c r="C20" s="3" t="n">
        <v>15</v>
      </c>
    </row>
    <row r="22" customFormat="false" ht="15" hidden="false" customHeight="false" outlineLevel="0" collapsed="false">
      <c r="A22" s="2" t="s">
        <v>166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25.1125903691328</v>
      </c>
      <c r="C24" s="0" t="n">
        <f aca="false">(SUMPRODUCT(DCF_Base!$C$19:$L$19/(1+$A$24/100)^DCF_Base!$C$4:$L$4)+MAX(0,MIN(IF($A$24&gt;$C$23,DCF_Base!$L$19*(1+$C$23/100)/(($A$24-$C$23)/100),DCF_Base!$L$19*DCF_Base!$B$29),DCF_Base!$L$19*DCF_Base!$B$29))/(1+$A$24/100)^DCF_Base!$L$4+Assumptions!$B$5-Assumptions!$B$4)/Assumptions!$B$3*Assumptions!$B$10</f>
        <v>25.1125903691328</v>
      </c>
      <c r="D24" s="0" t="n">
        <f aca="false">(SUMPRODUCT(DCF_Base!$C$19:$L$19/(1+$A$24/100)^DCF_Base!$C$4:$L$4)+MAX(0,MIN(IF($A$24&gt;$D$23,DCF_Base!$L$19*(1+$D$23/100)/(($A$24-$D$23)/100),DCF_Base!$L$19*DCF_Base!$B$29),DCF_Base!$L$19*DCF_Base!$B$29))/(1+$A$24/100)^DCF_Base!$L$4+Assumptions!$B$5-Assumptions!$B$4)/Assumptions!$B$3*Assumptions!$B$10</f>
        <v>25.1125903691328</v>
      </c>
      <c r="E24" s="0" t="n">
        <f aca="false">(SUMPRODUCT(DCF_Base!$C$19:$L$19/(1+$A$24/100)^DCF_Base!$C$4:$L$4)+MAX(0,MIN(IF($A$24&gt;$E$23,DCF_Base!$L$19*(1+$E$23/100)/(($A$24-$E$23)/100),DCF_Base!$L$19*DCF_Base!$B$29),DCF_Base!$L$19*DCF_Base!$B$29))/(1+$A$24/100)^DCF_Base!$L$4+Assumptions!$B$5-Assumptions!$B$4)/Assumptions!$B$3*Assumptions!$B$10</f>
        <v>25.1125903691328</v>
      </c>
      <c r="F24" s="0" t="n">
        <f aca="false">(SUMPRODUCT(DCF_Base!$C$19:$L$19/(1+$A$24/100)^DCF_Base!$C$4:$L$4)+MAX(0,MIN(IF($A$24&gt;$F$23,DCF_Base!$L$19*(1+$F$23/100)/(($A$24-$F$23)/100),DCF_Base!$L$19*DCF_Base!$B$29),DCF_Base!$L$19*DCF_Base!$B$29))/(1+$A$24/100)^DCF_Base!$L$4+Assumptions!$B$5-Assumptions!$B$4)/Assumptions!$B$3*Assumptions!$B$10</f>
        <v>25.1125903691328</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23.505139897969</v>
      </c>
      <c r="C25" s="0" t="n">
        <f aca="false">(SUMPRODUCT(DCF_Base!$C$19:$L$19/(1+$A$25/100)^DCF_Base!$C$4:$L$4)+MAX(0,MIN(IF($A$25&gt;$C$23,DCF_Base!$L$19*(1+$C$23/100)/(($A$25-$C$23)/100),DCF_Base!$L$19*DCF_Base!$B$29),DCF_Base!$L$19*DCF_Base!$B$29))/(1+$A$25/100)^DCF_Base!$L$4+Assumptions!$B$5-Assumptions!$B$4)/Assumptions!$B$3*Assumptions!$B$10</f>
        <v>23.505139897969</v>
      </c>
      <c r="D25" s="0" t="n">
        <f aca="false">(SUMPRODUCT(DCF_Base!$C$19:$L$19/(1+$A$25/100)^DCF_Base!$C$4:$L$4)+MAX(0,MIN(IF($A$25&gt;$D$23,DCF_Base!$L$19*(1+$D$23/100)/(($A$25-$D$23)/100),DCF_Base!$L$19*DCF_Base!$B$29),DCF_Base!$L$19*DCF_Base!$B$29))/(1+$A$25/100)^DCF_Base!$L$4+Assumptions!$B$5-Assumptions!$B$4)/Assumptions!$B$3*Assumptions!$B$10</f>
        <v>23.505139897969</v>
      </c>
      <c r="E25" s="0" t="n">
        <f aca="false">(SUMPRODUCT(DCF_Base!$C$19:$L$19/(1+$A$25/100)^DCF_Base!$C$4:$L$4)+MAX(0,MIN(IF($A$25&gt;$E$23,DCF_Base!$L$19*(1+$E$23/100)/(($A$25-$E$23)/100),DCF_Base!$L$19*DCF_Base!$B$29),DCF_Base!$L$19*DCF_Base!$B$29))/(1+$A$25/100)^DCF_Base!$L$4+Assumptions!$B$5-Assumptions!$B$4)/Assumptions!$B$3*Assumptions!$B$10</f>
        <v>23.505139897969</v>
      </c>
      <c r="F25" s="0" t="n">
        <f aca="false">(SUMPRODUCT(DCF_Base!$C$19:$L$19/(1+$A$25/100)^DCF_Base!$C$4:$L$4)+MAX(0,MIN(IF($A$25&gt;$F$23,DCF_Base!$L$19*(1+$F$23/100)/(($A$25-$F$23)/100),DCF_Base!$L$19*DCF_Base!$B$29),DCF_Base!$L$19*DCF_Base!$B$29))/(1+$A$25/100)^DCF_Base!$L$4+Assumptions!$B$5-Assumptions!$B$4)/Assumptions!$B$3*Assumptions!$B$10</f>
        <v>23.505139897969</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21.9406299889215</v>
      </c>
      <c r="C26" s="0" t="n">
        <f aca="false">(SUMPRODUCT(DCF_Base!$C$19:$L$19/(1+$A$26/100)^DCF_Base!$C$4:$L$4)+MAX(0,MIN(IF($A$26&gt;$C$23,DCF_Base!$L$19*(1+$C$23/100)/(($A$26-$C$23)/100),DCF_Base!$L$19*DCF_Base!$B$29),DCF_Base!$L$19*DCF_Base!$B$29))/(1+$A$26/100)^DCF_Base!$L$4+Assumptions!$B$5-Assumptions!$B$4)/Assumptions!$B$3*Assumptions!$B$10</f>
        <v>22.0361369896388</v>
      </c>
      <c r="D26" s="0" t="n">
        <f aca="false">(SUMPRODUCT(DCF_Base!$C$19:$L$19/(1+$A$26/100)^DCF_Base!$C$4:$L$4)+MAX(0,MIN(IF($A$26&gt;$D$23,DCF_Base!$L$19*(1+$D$23/100)/(($A$26-$D$23)/100),DCF_Base!$L$19*DCF_Base!$B$29),DCF_Base!$L$19*DCF_Base!$B$29))/(1+$A$26/100)^DCF_Base!$L$4+Assumptions!$B$5-Assumptions!$B$4)/Assumptions!$B$3*Assumptions!$B$10</f>
        <v>22.0361369896388</v>
      </c>
      <c r="E26" s="0" t="n">
        <f aca="false">(SUMPRODUCT(DCF_Base!$C$19:$L$19/(1+$A$26/100)^DCF_Base!$C$4:$L$4)+MAX(0,MIN(IF($A$26&gt;$E$23,DCF_Base!$L$19*(1+$E$23/100)/(($A$26-$E$23)/100),DCF_Base!$L$19*DCF_Base!$B$29),DCF_Base!$L$19*DCF_Base!$B$29))/(1+$A$26/100)^DCF_Base!$L$4+Assumptions!$B$5-Assumptions!$B$4)/Assumptions!$B$3*Assumptions!$B$10</f>
        <v>22.0361369896388</v>
      </c>
      <c r="F26" s="0" t="n">
        <f aca="false">(SUMPRODUCT(DCF_Base!$C$19:$L$19/(1+$A$26/100)^DCF_Base!$C$4:$L$4)+MAX(0,MIN(IF($A$26&gt;$F$23,DCF_Base!$L$19*(1+$F$23/100)/(($A$26-$F$23)/100),DCF_Base!$L$19*DCF_Base!$B$29),DCF_Base!$L$19*DCF_Base!$B$29))/(1+$A$26/100)^DCF_Base!$L$4+Assumptions!$B$5-Assumptions!$B$4)/Assumptions!$B$3*Assumptions!$B$10</f>
        <v>22.0361369896388</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19.677609717522</v>
      </c>
      <c r="C27" s="0" t="n">
        <f aca="false">(SUMPRODUCT(DCF_Base!$C$19:$L$19/(1+$A$27/100)^DCF_Base!$C$4:$L$4)+MAX(0,MIN(IF($A$27&gt;$C$23,DCF_Base!$L$19*(1+$C$23/100)/(($A$27-$C$23)/100),DCF_Base!$L$19*DCF_Base!$B$29),DCF_Base!$L$19*DCF_Base!$B$29))/(1+$A$27/100)^DCF_Base!$L$4+Assumptions!$B$5-Assumptions!$B$4)/Assumptions!$B$3*Assumptions!$B$10</f>
        <v>20.1566132450195</v>
      </c>
      <c r="D27" s="0" t="n">
        <f aca="false">(SUMPRODUCT(DCF_Base!$C$19:$L$19/(1+$A$27/100)^DCF_Base!$C$4:$L$4)+MAX(0,MIN(IF($A$27&gt;$D$23,DCF_Base!$L$19*(1+$D$23/100)/(($A$27-$D$23)/100),DCF_Base!$L$19*DCF_Base!$B$29),DCF_Base!$L$19*DCF_Base!$B$29))/(1+$A$27/100)^DCF_Base!$L$4+Assumptions!$B$5-Assumptions!$B$4)/Assumptions!$B$3*Assumptions!$B$10</f>
        <v>20.6919701286932</v>
      </c>
      <c r="E27" s="0" t="n">
        <f aca="false">(SUMPRODUCT(DCF_Base!$C$19:$L$19/(1+$A$27/100)^DCF_Base!$C$4:$L$4)+MAX(0,MIN(IF($A$27&gt;$E$23,DCF_Base!$L$19*(1+$E$23/100)/(($A$27-$E$23)/100),DCF_Base!$L$19*DCF_Base!$B$29),DCF_Base!$L$19*DCF_Base!$B$29))/(1+$A$27/100)^DCF_Base!$L$4+Assumptions!$B$5-Assumptions!$B$4)/Assumptions!$B$3*Assumptions!$B$10</f>
        <v>20.6919701286933</v>
      </c>
      <c r="F27" s="0" t="n">
        <f aca="false">(SUMPRODUCT(DCF_Base!$C$19:$L$19/(1+$A$27/100)^DCF_Base!$C$4:$L$4)+MAX(0,MIN(IF($A$27&gt;$F$23,DCF_Base!$L$19*(1+$F$23/100)/(($A$27-$F$23)/100),DCF_Base!$L$19*DCF_Base!$B$29),DCF_Base!$L$19*DCF_Base!$B$29))/(1+$A$27/100)^DCF_Base!$L$4+Assumptions!$B$5-Assumptions!$B$4)/Assumptions!$B$3*Assumptions!$B$10</f>
        <v>20.6919701286933</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17.8476355726304</v>
      </c>
      <c r="C28" s="0" t="n">
        <f aca="false">(SUMPRODUCT(DCF_Base!$C$19:$L$19/(1+$A$28/100)^DCF_Base!$C$4:$L$4)+MAX(0,MIN(IF($A$28&gt;$C$23,DCF_Base!$L$19*(1+$C$23/100)/(($A$28-$C$23)/100),DCF_Base!$L$19*DCF_Base!$B$29),DCF_Base!$L$19*DCF_Base!$B$29))/(1+$A$28/100)^DCF_Base!$L$4+Assumptions!$B$5-Assumptions!$B$4)/Assumptions!$B$3*Assumptions!$B$10</f>
        <v>18.207303923042</v>
      </c>
      <c r="D28" s="0" t="n">
        <f aca="false">(SUMPRODUCT(DCF_Base!$C$19:$L$19/(1+$A$28/100)^DCF_Base!$C$4:$L$4)+MAX(0,MIN(IF($A$28&gt;$D$23,DCF_Base!$L$19*(1+$D$23/100)/(($A$28-$D$23)/100),DCF_Base!$L$19*DCF_Base!$B$29),DCF_Base!$L$19*DCF_Base!$B$29))/(1+$A$28/100)^DCF_Base!$L$4+Assumptions!$B$5-Assumptions!$B$4)/Assumptions!$B$3*Assumptions!$B$10</f>
        <v>18.6048320998128</v>
      </c>
      <c r="E28" s="0" t="n">
        <f aca="false">(SUMPRODUCT(DCF_Base!$C$19:$L$19/(1+$A$28/100)^DCF_Base!$C$4:$L$4)+MAX(0,MIN(IF($A$28&gt;$E$23,DCF_Base!$L$19*(1+$E$23/100)/(($A$28-$E$23)/100),DCF_Base!$L$19*DCF_Base!$B$29),DCF_Base!$L$19*DCF_Base!$B$29))/(1+$A$28/100)^DCF_Base!$L$4+Assumptions!$B$5-Assumptions!$B$4)/Assumptions!$B$3*Assumptions!$B$10</f>
        <v>19.0465300740026</v>
      </c>
      <c r="F28" s="0" t="n">
        <f aca="false">(SUMPRODUCT(DCF_Base!$C$19:$L$19/(1+$A$28/100)^DCF_Base!$C$4:$L$4)+MAX(0,MIN(IF($A$28&gt;$F$23,DCF_Base!$L$19*(1+$F$23/100)/(($A$28-$F$23)/100),DCF_Base!$L$19*DCF_Base!$B$29),DCF_Base!$L$19*DCF_Base!$B$29))/(1+$A$28/100)^DCF_Base!$L$4+Assumptions!$B$5-Assumptions!$B$4)/Assumptions!$B$3*Assumptions!$B$10</f>
        <v>19.4604981305303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2026-09-25T04:41:24Z</dcterms:created>
  <dc:creator>openpyxl</dc:creator>
  <dc:description/>
  <dc:language>en-NZ</dc:language>
  <cp:lastModifiedBy/>
  <dcterms:modified xsi:type="dcterms:W3CDTF">2026-09-25T04:41:24Z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