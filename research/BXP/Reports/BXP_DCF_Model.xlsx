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<sst xmlns="http://schemas.openxmlformats.org/spreadsheetml/2006/main" count="390" uniqueCount="175">
  <si>
    <t xml:space="preserve">Ticker</t>
  </si>
  <si>
    <t xml:space="preserve">BXP</t>
  </si>
  <si>
    <t xml:space="preserve">Company</t>
  </si>
  <si>
    <t xml:space="preserve">BXP, Inc. (Boston Properties)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</si>
  <si>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</si>
  <si>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</si>
  <si>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</si>
  <si>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</si>
  <si>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2026-09-25T20:00:02Z NYSE regular close (Yahoo v8 chart meta); 52-week range 49.72-76.37</t>
  </si>
  <si>
    <t xml:space="preserve">Balance sheet date</t>
  </si>
  <si>
    <t xml:space="preserve">2026-06-30</t>
  </si>
  <si>
    <t xml:space="preserve">Model</t>
  </si>
  <si>
    <t xml:space="preserve">REIT AFFO capitalisation at cost of equity (engine route)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</si>
  <si>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</si>
  <si>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</si>
  <si>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</si>
  <si>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</si>
  <si>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</si>
  <si>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</si>
  <si>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</si>
  <si>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</si>
  <si>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2026-09-26T00:20:40Z</t>
  </si>
  <si>
    <t xml:space="preserve">Drivers file</t>
  </si>
  <si>
    <t xml:space="preserve">BXP_Drivers.json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</si>
  <si>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</si>
  <si>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</si>
  <si>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</si>
  <si>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BXP is valued as a stream of FAD (Funds Available for Distribution -- FFO less 2nd-generation tenant-improvement/leasing-commission capex, maintenance capex and other recurring re-leasing costs) capitalised at an 11.5% USD cost of equity, with no net-debt deduction because FAD is already after the company's ~$700-900m/yr of net interest expense. Statutory net income (dominated by unconsolidated-JV impairments and gains on sale -- FY2024 NI of just $14.3m against $1.1bn of FFO) and reported free cash flow (which nets ALL capex, including growth development spend on the life-science/residential pipeline) are both set aside as unrepresentative of distributable earning power. The base case is essentially the reaffirmed FY2026 FFO guidance with the FFO-to-FAD bridge normalized to its FY2025 annual ratio (not the currently noisy, front-loaded trailing-twelve-month ratio), fading to a CPI-like 2.5% long-run growth rate. Historical-cost book value ($32.32/share) is recorded as a leverage cross-check only, not a valuation floor, since BXP does not carry investment property at fair value the way an IAS-40 REIT does. At the current price the market is capitalising TTM FAD/share at a 5.6% yield and FY2026E FFO/share at an 11.1% yield -- both suggesting the market is pricing continued FAD-cover deterioration and/or a second dividend cut, a materially more bearish view than this model's probability-weighted base case, which is itself already tilted toward bear (30% weight) given three consecutive years of FFO/share decline and one dividend cut already delivered.
key_risks_to_valuation: The FFO-to-FAD bridge (TI/leasing commissions + maintenance capex) is the single largest source of model uncertainty: the base case uses the FY2025 annual ratio (9.6% of revenue) rather than the currently elevated trailing-twelve-month ratio (~15%), and if the higher trailing intensity persists rather than normalizing, FAD and the resulting valuation fall materially -- this is exactly the bear case's axis.; Refinancing risk: pandemic-era low-coupon debt (e.g. $700m of 2.75% notes) continues rolling into materially higher rates (6.05% on the Aug-2026 replacement notes), and FFO margin has already compressed from 34.3% (FY2023) to 31.3% (FY2025) on this dynamic alone.; Dividend coverage: the September 2025 cut to $0.70/quarter (-29%) was itself evidence the prior payout was not comfortably covered; trailing FAD payout is already 87.6%, and a second cut is a live risk if TI/leasing intensity does not normalize.; Structural office demand: even BXP's trophy/flight-to-quality assets face negative releasing spreads in San Francisco, Seattle and DC; life-science, previously a growth driver, has softened industry-wide on reduced biotech funding.; Discount rate: every 50bp on the 11.5% cost of equity moves the base value materially given the long terminal-value tail typical of a capitalisation model; the current price already implies a far higher (~11%+ FFO yield) required return than the house rate.; Revenue is the driver line, not the valued flow: a shift in FFO margin (net interest expense trajectory, disposition-driven asset-base shrinkage) can move the outcome without any change in revenue growth.</t>
  </si>
  <si>
    <t xml:space="preserve">Data sources</t>
  </si>
  <si>
    <t xml:space="preserve">price: Yahoo Finance v8 chart API at inputs.price_as_of (NYSE regular close); 52-week range 49.72-76.37.
financials: BXP_Metrics.csv / core_metrics (revenue, net income, OCF, capex, total debt, cash, shares, SBC -- FY2006-FY2025, from 10-K/10-Q XBRL); FFO and FAD reconstructed from the quarterly earnings-release supplemental packages (8-K exhibits, SEC EDGAR CIK 1037540) for Q1 2025 through Q2 2026 (accession nos. 0001656423-25-000034/000037/000043, 0001656423-25-000006, 0001037540-26-000003/000031), plus FY2023/FY2024 full-year FFO from the Q4 2024 earnings-release 8-K (accession 0001656423-25-000006); balance sheet (debt, cash, equity, share count) from the Q2 2026 10-Q (accession 0001037540-26-000034, filed 2026-08-06).
qualitative: BXP_Analysis.json (2026-09-26): overview, growth drivers, risks, guidance, bull/bear case.</t>
  </si>
  <si>
    <t xml:space="preserve">Scenario narrative: bear</t>
  </si>
  <si>
    <t xml:space="preserve">The structural decline in aggregate US office demand from hybrid work reasserts itself even for BXP's trophy assets: negative releasing spreads deepen across San Francisco, Seattle and DC, the life-science pipeline's lease-up stalls on continued biotech funding softness, and portfolio occupancy slips back below 88%. Pandemic-era low-coupon debt keeps rolling into materially higher rates (mirroring the $700m 2.75%-to-6.05% refinancing already completed), compressing FFO margin toward 28% by the outer years. TI/leasing-commission intensity rises as tenants extract larger concessions in a weaker market, pushing FAD cover of even the already-reset $0.70/qtr distribution toward 1.0x and raising real risk of a second dividend cut. Exit at a 10x FAD multiple, consistent with 2023-2024 distressed office-REIT pricing.</t>
  </si>
  <si>
    <t xml:space="preserve">Scenario narrative: base</t>
  </si>
  <si>
    <t xml:space="preserve">BXP delivers the reaffirmed FY2026 FFO guidance ($6.99-$7.05/share) as flight-to-quality leasing (AI/tech now ~80% of new San Francisco demand, Q2 2026 leasing at 129% of the 10-year average) offsets continued negative releasing spreads in Seattle, DC and parts of San Francisco, and the life-science/residential pipeline gradually lifts occupancy from 88.4%. FFO margin recovers modestly from the FY2025 trough (31.3%) as disposition-funded debt paydown partly offsets higher-coupon refinancing. The FFO-to-FAD bridge -- currently elevated on a trailing basis by a lumpy, front-loaded TI/leasing quarter -- normalizes toward the FY2025 annual ratio (9.6% of revenue), leaving FAD cover of the reset $0.70/qtr distribution comfortably above 1.0x. No cap-rate compression or discount-rate relief is assumed: FAD is capitalised at an 11.5% USD cost of equity, well above the ~5.6% FAD yield / ~11.1% FFO yield the current price implies, i.e. the market is pricing continued FAD-cover deterioration that this base case does not assume.</t>
  </si>
  <si>
    <t xml:space="preserve">Scenario narrative: bull</t>
  </si>
  <si>
    <t xml:space="preserve">The Q2 2026 guidance-beat pattern continues, the AI/tech-driven San Francisco leasing wave broadens to Boston, New York and eventually DC/Seattle, the life-science pipeline leases up ahead of schedule, and Fed rate cuts through 2027 ease both net interest expense growth and the cost of refinancing maturing low-coupon debt. FFO margin recovers toward the FY2023 level (34.3%) as occupancy gains create operating leverage, TI/leasing-commission intensity normalizes as trophy-asset scarcity tightens, and disposition proceeds fund accretive CBD/life-science development rather than pure deleveraging. FFO grows 3-4.5% for several years before fading to a still-healthy 3.0% long-run rate.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</si>
  <si>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</si>
  <si>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</si>
  <si>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</si>
  <si>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</si>
  <si>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</si>
  <si>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</si>
  <si>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</si>
  <si>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</si>
  <si>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</si>
  <si>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</si>
  <si>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</si>
  <si>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</si>
  <si>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</si>
  <si>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</si>
  <si>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</si>
  <si>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</si>
  <si>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</si>
  <si>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</si>
  <si>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</si>
  <si>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</si>
  <si>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</si>
  <si>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</si>
  <si>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</si>
  <si>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</si>
  <si>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</si>
  <si>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</si>
  <si>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</si>
  <si>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</si>
  <si>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</si>
  <si>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</si>
  <si>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</si>
  <si>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</si>
  <si>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</si>
  <si>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</si>
  <si>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</si>
  <si>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</si>
  <si>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</si>
  <si>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</si>
  <si>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</si>
  <si>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</si>
  <si>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</si>
  <si>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</si>
  <si>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</si>
  <si>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</si>
  <si>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</si>
  <si>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</si>
  <si>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</si>
  <si>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</si>
  <si>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</si>
  <si>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</si>
  <si>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</si>
  <si>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</si>
  <si>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</si>
  <si>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</si>
  <si>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</si>
  <si>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</si>
  <si>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</si>
  <si>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</si>
  <si>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</si>
  <si>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</si>
  <si>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</si>
  <si>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</si>
  <si>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</si>
  <si>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</si>
  <si>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</si>
  <si>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</si>
  <si>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</si>
  <si>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</si>
  <si>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</si>
  <si>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</si>
  <si>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</si>
  <si>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</si>
  <si>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</si>
  <si>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</si>
  <si>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</si>
  <si>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</si>
  <si>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</si>
  <si>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</si>
  <si>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</si>
  <si>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</si>
  <si>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</si>
  <si>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</si>
  <si>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</si>
  <si>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</si>
  <si>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BXP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</si>
  <si>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</si>
  <si>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</si>
  <si>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</si>
  <si>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</si>
  <si>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</si>
  <si>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</si>
  <si>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</si>
  <si>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</si>
  <si>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</si>
  <si>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</si>
  <si>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</si>
  <si>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</si>
  <si>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</si>
  <si>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</si>
  <si>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</si>
  <si>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</si>
  <si>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</si>
  <si>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</si>
  <si>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</si>
  <si>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</si>
  <si>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</si>
  <si>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</si>
  <si>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</si>
  <si>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</si>
  <si>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</si>
  <si>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</si>
  <si>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</si>
  <si>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</si>
  <si>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</si>
  <si>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</si>
  <si>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BXP owner-FCF component DCF: base case (millions, USD)</t>
  </si>
  <si>
    <t xml:space="preserve">BXP owner-FCF component DCF: bull case (millions, USD)</t>
  </si>
  <si>
    <t xml:space="preserve">BXP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</si>
  <si>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</si>
  <si>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</si>
  <si>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</si>
  <si>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</si>
  <si>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</si>
  <si>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</si>
  <si>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</si>
  <si>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</si>
  <si>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</si>
  <si>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</si>
  <si>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</si>
  <si>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</si>
  <si>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</si>
  <si>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</si>
  <si>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</si>
  <si>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</si>
  <si>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</t>
  </si>
  <si>
    <t xml:space="preserve">Value per share at 11.5% (WACC)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</si>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</sst>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63.4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3813.343</v>
      </c>
      <c r="S2" s="0" t="n">
        <v>725.788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1482.289</v>
      </c>
      <c r="F3" s="0" t="n">
        <v>336.375</v>
      </c>
      <c r="G3" s="0" t="n">
        <v>22.6929431440158</v>
      </c>
      <c r="H3" s="0" t="n">
        <v>625.353</v>
      </c>
      <c r="I3" s="0" t="n">
        <v>1553.381</v>
      </c>
      <c r="J3" s="0" t="n">
        <v>104.796095768099</v>
      </c>
      <c r="K3" s="0" t="n">
        <v>10.98</v>
      </c>
      <c r="L3" s="0" t="n">
        <v>631.654</v>
      </c>
      <c r="O3" s="0" t="n">
        <v>4383.331</v>
      </c>
      <c r="S3" s="0" t="n">
        <v>1506.921</v>
      </c>
      <c r="T3" s="0" t="n">
        <v>120.78</v>
      </c>
      <c r="U3" s="0" t="n">
        <v>12.358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1469.442</v>
      </c>
      <c r="F4" s="0" t="n">
        <v>577.39</v>
      </c>
      <c r="G4" s="0" t="n">
        <v>39.2931466502251</v>
      </c>
      <c r="H4" s="0" t="n">
        <v>881.537</v>
      </c>
      <c r="I4" s="0" t="n">
        <v>130.723</v>
      </c>
      <c r="J4" s="0" t="n">
        <v>8.89609797460533</v>
      </c>
      <c r="K4" s="0" t="n">
        <v>0.88</v>
      </c>
      <c r="L4" s="0" t="n">
        <v>565.311</v>
      </c>
      <c r="O4" s="0" t="n">
        <v>4259.105</v>
      </c>
      <c r="P4" s="0" t="n">
        <v>10917.476</v>
      </c>
      <c r="Q4" s="0" t="n">
        <v>6602.719</v>
      </c>
      <c r="R4" s="0" t="n">
        <v>6092.884</v>
      </c>
      <c r="S4" s="0" t="n">
        <v>241.51</v>
      </c>
      <c r="T4" s="0" t="n">
        <v>121.299</v>
      </c>
      <c r="U4" s="0" t="n">
        <v>23.106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1518.19</v>
      </c>
      <c r="F5" s="0" t="n">
        <v>567.531</v>
      </c>
      <c r="G5" s="0" t="n">
        <v>37.3820799768145</v>
      </c>
      <c r="H5" s="0" t="n">
        <v>889.212</v>
      </c>
      <c r="I5" s="0" t="n">
        <v>274.499</v>
      </c>
      <c r="J5" s="0" t="n">
        <v>18.0806750143263</v>
      </c>
      <c r="K5" s="0" t="n">
        <v>1.76</v>
      </c>
      <c r="L5" s="0" t="n">
        <v>617.376</v>
      </c>
      <c r="O5" s="0" t="n">
        <v>5069.059</v>
      </c>
      <c r="P5" s="0" t="n">
        <v>12348.703</v>
      </c>
      <c r="Q5" s="0" t="n">
        <v>7223.992</v>
      </c>
      <c r="R5" s="0" t="n">
        <v>6719.771</v>
      </c>
      <c r="S5" s="0" t="n">
        <v>478.948</v>
      </c>
      <c r="T5" s="0" t="n">
        <v>138.88001</v>
      </c>
      <c r="U5" s="0" t="n">
        <v>26.636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1543.31</v>
      </c>
      <c r="F6" s="0" t="n">
        <v>609.072</v>
      </c>
      <c r="G6" s="0" t="n">
        <v>39.4653050910057</v>
      </c>
      <c r="H6" s="0" t="n">
        <v>947.443</v>
      </c>
      <c r="I6" s="0" t="n">
        <v>190.327</v>
      </c>
      <c r="J6" s="0" t="n">
        <v>12.3323894745709</v>
      </c>
      <c r="K6" s="0" t="n">
        <v>1.14</v>
      </c>
      <c r="L6" s="0" t="n">
        <v>375.893</v>
      </c>
      <c r="O6" s="0" t="n">
        <v>4964.193</v>
      </c>
      <c r="P6" s="0" t="n">
        <v>13348.263</v>
      </c>
      <c r="Q6" s="0" t="n">
        <v>8328.418</v>
      </c>
      <c r="S6" s="0" t="n">
        <v>478.948</v>
      </c>
      <c r="T6" s="0" t="n">
        <v>140.057</v>
      </c>
      <c r="U6" s="0" t="n">
        <v>32.852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1722.792</v>
      </c>
      <c r="F7" s="0" t="n">
        <v>605.166</v>
      </c>
      <c r="G7" s="0" t="n">
        <v>35.1270495799841</v>
      </c>
      <c r="H7" s="0" t="n">
        <v>1044.35</v>
      </c>
      <c r="I7" s="0" t="n">
        <v>313.826</v>
      </c>
      <c r="J7" s="0" t="n">
        <v>18.216128238348</v>
      </c>
      <c r="K7" s="0" t="n">
        <v>1.87</v>
      </c>
      <c r="L7" s="0" t="n">
        <v>606.328</v>
      </c>
      <c r="O7" s="0" t="n">
        <v>5413.516</v>
      </c>
      <c r="P7" s="0" t="n">
        <v>14782.966</v>
      </c>
      <c r="Q7" s="0" t="n">
        <v>9313.798</v>
      </c>
      <c r="R7" s="0" t="n">
        <v>8704.138</v>
      </c>
      <c r="S7" s="0" t="n">
        <v>1823.208</v>
      </c>
      <c r="T7" s="0" t="n">
        <v>148.107611</v>
      </c>
      <c r="U7" s="0" t="n">
        <v>29.672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1847.186</v>
      </c>
      <c r="F8" s="0" t="n">
        <v>640.321</v>
      </c>
      <c r="G8" s="0" t="n">
        <v>34.6646737253314</v>
      </c>
      <c r="H8" s="0" t="n">
        <v>1094.365</v>
      </c>
      <c r="I8" s="0" t="n">
        <v>332.139</v>
      </c>
      <c r="J8" s="0" t="n">
        <v>17.9808097289607</v>
      </c>
      <c r="K8" s="0" t="n">
        <v>1.93</v>
      </c>
      <c r="L8" s="0" t="n">
        <v>642.949</v>
      </c>
      <c r="O8" s="0" t="n">
        <v>5634.854</v>
      </c>
      <c r="P8" s="0" t="n">
        <v>15462.321</v>
      </c>
      <c r="Q8" s="0" t="n">
        <v>9619.033</v>
      </c>
      <c r="R8" s="0" t="n">
        <v>8912.369</v>
      </c>
      <c r="S8" s="0" t="n">
        <v>1041.978</v>
      </c>
      <c r="T8" s="0" t="n">
        <v>151.601209</v>
      </c>
      <c r="U8" s="0" t="n">
        <v>29.679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2135.539</v>
      </c>
      <c r="F9" s="0" t="n">
        <v>678.12</v>
      </c>
      <c r="G9" s="0" t="n">
        <v>31.7540442951405</v>
      </c>
      <c r="H9" s="0" t="n">
        <v>1243.517</v>
      </c>
      <c r="I9" s="0" t="n">
        <v>841.44</v>
      </c>
      <c r="J9" s="0" t="n">
        <v>39.4017622717263</v>
      </c>
      <c r="K9" s="0" t="n">
        <v>4.87</v>
      </c>
      <c r="L9" s="0" t="n">
        <v>777.926</v>
      </c>
      <c r="O9" s="0" t="n">
        <v>7043.618</v>
      </c>
      <c r="P9" s="0" t="n">
        <v>20176.264</v>
      </c>
      <c r="Q9" s="0" t="n">
        <v>12981.725</v>
      </c>
      <c r="R9" s="0" t="n">
        <v>11030.468</v>
      </c>
      <c r="S9" s="0" t="n">
        <v>2365.137</v>
      </c>
      <c r="T9" s="0" t="n">
        <v>152.983101</v>
      </c>
      <c r="U9" s="0" t="n">
        <v>45.155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2396.998</v>
      </c>
      <c r="F10" s="0" t="n">
        <v>801.822</v>
      </c>
      <c r="G10" s="0" t="n">
        <v>33.4510917405855</v>
      </c>
      <c r="H10" s="0" t="n">
        <v>1430.395</v>
      </c>
      <c r="I10" s="0" t="n">
        <v>526.057</v>
      </c>
      <c r="J10" s="0" t="n">
        <v>21.9464930717506</v>
      </c>
      <c r="K10" s="0" t="n">
        <v>2.83</v>
      </c>
      <c r="L10" s="0" t="n">
        <v>695.553</v>
      </c>
      <c r="M10" s="0" t="n">
        <v>594.424</v>
      </c>
      <c r="N10" s="0" t="n">
        <v>101.129</v>
      </c>
      <c r="O10" s="0" t="n">
        <v>7902.936</v>
      </c>
      <c r="P10" s="0" t="n">
        <v>19886.767</v>
      </c>
      <c r="Q10" s="0" t="n">
        <v>11878.506</v>
      </c>
      <c r="R10" s="0" t="n">
        <v>9597.188</v>
      </c>
      <c r="S10" s="0" t="n">
        <v>1763.079</v>
      </c>
      <c r="T10" s="0" t="n">
        <v>153.308</v>
      </c>
      <c r="U10" s="0" t="n">
        <v>28.099</v>
      </c>
      <c r="V10" s="0" t="n">
        <v>7.1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2490.821</v>
      </c>
      <c r="F11" s="0" t="n">
        <v>849.365</v>
      </c>
      <c r="G11" s="0" t="n">
        <v>34.0998008287227</v>
      </c>
      <c r="H11" s="0" t="n">
        <v>1488.907</v>
      </c>
      <c r="I11" s="0" t="n">
        <v>799.918</v>
      </c>
      <c r="J11" s="0" t="n">
        <v>32.1146320831565</v>
      </c>
      <c r="K11" s="0" t="n">
        <v>3.73</v>
      </c>
      <c r="L11" s="0" t="n">
        <v>799.411</v>
      </c>
      <c r="M11" s="0" t="n">
        <v>631.991</v>
      </c>
      <c r="N11" s="0" t="n">
        <v>167.42</v>
      </c>
      <c r="O11" s="0" t="n">
        <v>7886.927</v>
      </c>
      <c r="P11" s="0" t="n">
        <v>18351.486</v>
      </c>
      <c r="Q11" s="0" t="n">
        <v>10464.559</v>
      </c>
      <c r="R11" s="0" t="n">
        <v>8700.061</v>
      </c>
      <c r="S11" s="0" t="n">
        <v>723.718</v>
      </c>
      <c r="T11" s="0" t="n">
        <v>153.844</v>
      </c>
      <c r="U11" s="0" t="n">
        <v>29.183</v>
      </c>
      <c r="V11" s="0" t="n">
        <v>3.85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2550.82</v>
      </c>
      <c r="F12" s="0" t="n">
        <v>825.784</v>
      </c>
      <c r="G12" s="0" t="n">
        <v>32.3732760445661</v>
      </c>
      <c r="H12" s="0" t="n">
        <v>1520.187</v>
      </c>
      <c r="I12" s="0" t="n">
        <v>569.977</v>
      </c>
      <c r="J12" s="0" t="n">
        <v>22.3448538117155</v>
      </c>
      <c r="K12" s="0" t="n">
        <v>3.27</v>
      </c>
      <c r="L12" s="0" t="n">
        <v>1034.548</v>
      </c>
      <c r="M12" s="0" t="n">
        <v>881.288</v>
      </c>
      <c r="N12" s="0" t="n">
        <v>153.26</v>
      </c>
      <c r="O12" s="0" t="n">
        <v>7931.924</v>
      </c>
      <c r="P12" s="0" t="n">
        <v>18851.643</v>
      </c>
      <c r="Q12" s="0" t="n">
        <v>10919.719</v>
      </c>
      <c r="R12" s="0" t="n">
        <v>9309.04</v>
      </c>
      <c r="S12" s="0" t="n">
        <v>356.914</v>
      </c>
      <c r="T12" s="0" t="n">
        <v>153.977</v>
      </c>
      <c r="U12" s="0" t="n">
        <v>32.911</v>
      </c>
      <c r="V12" s="0" t="n">
        <v>2.7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2602.076</v>
      </c>
      <c r="D13" s="0" t="n">
        <v>1605.435</v>
      </c>
      <c r="E13" s="0" t="n">
        <v>61.6982363312986</v>
      </c>
      <c r="F13" s="0" t="n">
        <v>908.11</v>
      </c>
      <c r="G13" s="0" t="n">
        <v>34.8994418302924</v>
      </c>
      <c r="H13" s="0" t="n">
        <v>1525.657</v>
      </c>
      <c r="I13" s="0" t="n">
        <v>562.481</v>
      </c>
      <c r="J13" s="0" t="n">
        <v>21.6166245720725</v>
      </c>
      <c r="K13" s="0" t="n">
        <v>2.93</v>
      </c>
      <c r="L13" s="0" t="n">
        <v>911.979</v>
      </c>
      <c r="M13" s="0" t="n">
        <v>1036.217</v>
      </c>
      <c r="N13" s="0" t="n">
        <v>-124.238</v>
      </c>
      <c r="O13" s="0" t="n">
        <v>8102.456</v>
      </c>
      <c r="P13" s="0" t="n">
        <v>19372.233</v>
      </c>
      <c r="Q13" s="0" t="n">
        <v>11269.777</v>
      </c>
      <c r="R13" s="0" t="n">
        <v>10271.611</v>
      </c>
      <c r="S13" s="0" t="n">
        <v>434.767</v>
      </c>
      <c r="T13" s="0" t="n">
        <v>154.39</v>
      </c>
      <c r="U13" s="0" t="n">
        <v>35.361</v>
      </c>
      <c r="V13" s="0" t="n">
        <v>3.05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2717.076</v>
      </c>
      <c r="D14" s="0" t="n">
        <v>1649.314</v>
      </c>
      <c r="E14" s="0" t="n">
        <v>60.7017985510895</v>
      </c>
      <c r="I14" s="0" t="n">
        <v>712.563</v>
      </c>
      <c r="J14" s="0" t="n">
        <v>26.2253613811318</v>
      </c>
      <c r="K14" s="0" t="n">
        <v>3.71</v>
      </c>
      <c r="L14" s="0" t="n">
        <v>1150.245</v>
      </c>
      <c r="M14" s="0" t="n">
        <v>1094.596</v>
      </c>
      <c r="N14" s="0" t="n">
        <v>55.649</v>
      </c>
      <c r="O14" s="0" t="n">
        <v>8213.968</v>
      </c>
      <c r="P14" s="0" t="n">
        <v>20256.477</v>
      </c>
      <c r="Q14" s="0" t="n">
        <v>12042.509</v>
      </c>
      <c r="R14" s="0" t="n">
        <v>11007.757</v>
      </c>
      <c r="S14" s="0" t="n">
        <v>543.359</v>
      </c>
      <c r="T14" s="0" t="n">
        <v>154.682</v>
      </c>
      <c r="U14" s="0" t="n">
        <v>40.117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2960.562</v>
      </c>
      <c r="D15" s="0" t="n">
        <v>1826.123</v>
      </c>
      <c r="E15" s="0" t="n">
        <v>61.6816334196007</v>
      </c>
      <c r="I15" s="0" t="n">
        <v>651.999</v>
      </c>
      <c r="J15" s="0" t="n">
        <v>22.0228118850408</v>
      </c>
      <c r="K15" s="0" t="n">
        <v>3.31</v>
      </c>
      <c r="L15" s="0" t="n">
        <v>1181.165</v>
      </c>
      <c r="M15" s="0" t="n">
        <v>978.447</v>
      </c>
      <c r="N15" s="0" t="n">
        <v>202.718</v>
      </c>
      <c r="O15" s="0" t="n">
        <v>8014.236</v>
      </c>
      <c r="P15" s="0" t="n">
        <v>21284.905</v>
      </c>
      <c r="Q15" s="0" t="n">
        <v>13262.304</v>
      </c>
      <c r="R15" s="0" t="n">
        <v>11811.806</v>
      </c>
      <c r="S15" s="0" t="n">
        <v>644.95</v>
      </c>
      <c r="T15" s="0" t="n">
        <v>154.883</v>
      </c>
      <c r="U15" s="0" t="n">
        <v>40.958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2765.686</v>
      </c>
      <c r="D16" s="0" t="n">
        <v>1694.075</v>
      </c>
      <c r="E16" s="0" t="n">
        <v>61.2533382314551</v>
      </c>
      <c r="I16" s="0" t="n">
        <v>1018.691</v>
      </c>
      <c r="J16" s="0" t="n">
        <v>36.8332124471108</v>
      </c>
      <c r="K16" s="0" t="n">
        <v>5.55</v>
      </c>
      <c r="L16" s="0" t="n">
        <v>1156.84</v>
      </c>
      <c r="M16" s="0" t="n">
        <v>877.056</v>
      </c>
      <c r="N16" s="0" t="n">
        <v>279.784</v>
      </c>
      <c r="O16" s="0" t="n">
        <v>8339.612</v>
      </c>
      <c r="P16" s="0" t="n">
        <v>22858.19</v>
      </c>
      <c r="Q16" s="0" t="n">
        <v>14511.681</v>
      </c>
      <c r="R16" s="0" t="n">
        <v>13047.758</v>
      </c>
      <c r="S16" s="0" t="n">
        <v>1668.742</v>
      </c>
      <c r="T16" s="0" t="n">
        <v>155.718825</v>
      </c>
      <c r="U16" s="0" t="n">
        <v>44.142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2888.621</v>
      </c>
      <c r="D17" s="0" t="n">
        <v>1814.288</v>
      </c>
      <c r="E17" s="0" t="n">
        <v>62.808101166612</v>
      </c>
      <c r="I17" s="0" t="n">
        <v>631.932</v>
      </c>
      <c r="J17" s="0" t="n">
        <v>21.8765978645174</v>
      </c>
      <c r="K17" s="0" t="n">
        <v>3.18</v>
      </c>
      <c r="L17" s="0" t="n">
        <v>1133.227</v>
      </c>
      <c r="M17" s="0" t="n">
        <v>928.828</v>
      </c>
      <c r="N17" s="0" t="n">
        <v>204.399</v>
      </c>
      <c r="O17" s="0" t="n">
        <v>8033.228</v>
      </c>
      <c r="P17" s="0" t="n">
        <v>22365.258</v>
      </c>
      <c r="Q17" s="0" t="n">
        <v>14322.462</v>
      </c>
      <c r="R17" s="0" t="n">
        <v>12896.609</v>
      </c>
      <c r="S17" s="0" t="n">
        <v>452.692</v>
      </c>
      <c r="T17" s="0" t="n">
        <v>156.544849</v>
      </c>
      <c r="U17" s="0" t="n">
        <v>50.86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3108.581</v>
      </c>
      <c r="D18" s="0" t="n">
        <v>1929.527</v>
      </c>
      <c r="E18" s="0" t="n">
        <v>62.07098994686</v>
      </c>
      <c r="I18" s="0" t="n">
        <v>1020.584</v>
      </c>
      <c r="J18" s="0" t="n">
        <v>32.8311856760368</v>
      </c>
      <c r="K18" s="0" t="n">
        <v>5.42</v>
      </c>
      <c r="L18" s="0" t="n">
        <v>1282.399</v>
      </c>
      <c r="M18" s="0" t="n">
        <v>895.962</v>
      </c>
      <c r="N18" s="0" t="n">
        <v>386.437</v>
      </c>
      <c r="O18" s="0" t="n">
        <v>8363.819</v>
      </c>
      <c r="P18" s="0" t="n">
        <v>24207.669</v>
      </c>
      <c r="Q18" s="0" t="n">
        <v>15837.237</v>
      </c>
      <c r="R18" s="0" t="n">
        <v>14240.336</v>
      </c>
      <c r="S18" s="0" t="n">
        <v>690.333</v>
      </c>
      <c r="T18" s="0" t="n">
        <v>157.137</v>
      </c>
      <c r="U18" s="0" t="n">
        <v>52.026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3273.569</v>
      </c>
      <c r="D19" s="0" t="n">
        <v>1998.776</v>
      </c>
      <c r="E19" s="0" t="n">
        <v>61.0580073308368</v>
      </c>
      <c r="I19" s="0" t="n">
        <v>291.424</v>
      </c>
      <c r="J19" s="0" t="n">
        <v>8.90233259173703</v>
      </c>
      <c r="K19" s="0" t="n">
        <v>1.21</v>
      </c>
      <c r="L19" s="0" t="n">
        <v>1301.52</v>
      </c>
      <c r="M19" s="0" t="n">
        <v>1008.312</v>
      </c>
      <c r="N19" s="0" t="n">
        <v>293.208</v>
      </c>
      <c r="O19" s="0" t="n">
        <v>8183.981</v>
      </c>
      <c r="P19" s="0" t="n">
        <v>26026.149</v>
      </c>
      <c r="Q19" s="0" t="n">
        <v>17833.785</v>
      </c>
      <c r="R19" s="0" t="n">
        <v>15856.297</v>
      </c>
      <c r="S19" s="0" t="n">
        <v>1531.477</v>
      </c>
      <c r="T19" s="0" t="n">
        <v>157.201</v>
      </c>
      <c r="U19" s="0" t="n">
        <v>51.478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3407.719</v>
      </c>
      <c r="D20" s="0" t="n">
        <v>2041.045</v>
      </c>
      <c r="E20" s="0" t="n">
        <v>59.8947565805749</v>
      </c>
      <c r="I20" s="0" t="n">
        <v>84.188</v>
      </c>
      <c r="J20" s="0" t="n">
        <v>2.47050886531431</v>
      </c>
      <c r="K20" s="0" t="n">
        <v>0.09</v>
      </c>
      <c r="L20" s="0" t="n">
        <v>1234.501</v>
      </c>
      <c r="M20" s="0" t="n">
        <v>1099.325</v>
      </c>
      <c r="N20" s="0" t="n">
        <v>135.176</v>
      </c>
      <c r="O20" s="0" t="n">
        <v>7938.121</v>
      </c>
      <c r="P20" s="0" t="n">
        <v>26084.98</v>
      </c>
      <c r="Q20" s="0" t="n">
        <v>18137.324</v>
      </c>
      <c r="R20" s="0" t="n">
        <v>16220.499</v>
      </c>
      <c r="S20" s="0" t="n">
        <v>1254.882</v>
      </c>
      <c r="T20" s="0" t="n">
        <v>158.174995</v>
      </c>
      <c r="U20" s="0" t="n">
        <v>43.949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3482.279</v>
      </c>
      <c r="D21" s="0" t="n">
        <v>2058.649</v>
      </c>
      <c r="E21" s="0" t="n">
        <v>59.1178650533171</v>
      </c>
      <c r="I21" s="0" t="n">
        <v>383.995</v>
      </c>
      <c r="J21" s="0" t="n">
        <v>11.0271175859258</v>
      </c>
      <c r="K21" s="0" t="n">
        <v>1.75</v>
      </c>
      <c r="L21" s="0" t="n">
        <v>1245.157</v>
      </c>
      <c r="M21" s="0" t="n">
        <v>1239.245</v>
      </c>
      <c r="N21" s="0" t="n">
        <v>5.912</v>
      </c>
      <c r="O21" s="0" t="n">
        <v>7684.702</v>
      </c>
      <c r="P21" s="0" t="n">
        <v>26166.164</v>
      </c>
      <c r="Q21" s="0" t="n">
        <v>18473.924</v>
      </c>
      <c r="R21" s="0" t="n">
        <v>16609.483</v>
      </c>
      <c r="S21" s="0" t="n">
        <v>1478.206</v>
      </c>
      <c r="T21" s="0" t="n">
        <v>158.869</v>
      </c>
      <c r="U21" s="0" t="n">
        <v>44.334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63.4</v>
      </c>
    </row>
    <row r="3" customFormat="false" ht="15" hidden="false" customHeight="false" outlineLevel="0" collapsed="false">
      <c r="A3" s="0" t="s">
        <v>86</v>
      </c>
      <c r="B3" s="3" t="n">
        <v>159.629</v>
      </c>
    </row>
    <row r="4" customFormat="false" ht="15" hidden="false" customHeight="false" outlineLevel="0" collapsed="false">
      <c r="A4" s="0" t="s">
        <v>87</v>
      </c>
      <c r="B4" s="3" t="n">
        <v>0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3482.279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0.5</v>
      </c>
      <c r="D13" s="3" t="n">
        <v>-0.5</v>
      </c>
      <c r="E13" s="3" t="n">
        <v>0.5</v>
      </c>
      <c r="F13" s="3" t="n">
        <v>1</v>
      </c>
      <c r="G13" s="3" t="n">
        <v>1</v>
      </c>
      <c r="H13" s="3" t="n">
        <v>1.5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107</v>
      </c>
      <c r="C14" s="3" t="n">
        <v>31</v>
      </c>
      <c r="D14" s="3" t="n">
        <v>30</v>
      </c>
      <c r="E14" s="3" t="n">
        <v>29</v>
      </c>
      <c r="F14" s="3" t="n">
        <v>28.5</v>
      </c>
      <c r="G14" s="3" t="n">
        <v>28</v>
      </c>
      <c r="H14" s="3" t="n">
        <v>28</v>
      </c>
      <c r="I14" s="3" t="n">
        <v>28</v>
      </c>
      <c r="J14" s="3" t="n">
        <v>28</v>
      </c>
      <c r="K14" s="3" t="n">
        <v>28</v>
      </c>
      <c r="L14" s="3" t="n">
        <v>28</v>
      </c>
    </row>
    <row r="15" customFormat="false" ht="15" hidden="false" customHeight="false" outlineLevel="0" collapsed="false">
      <c r="A15" s="0" t="s">
        <v>108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111</v>
      </c>
      <c r="C18" s="3" t="n">
        <v>10.5</v>
      </c>
      <c r="D18" s="3" t="n">
        <v>11.5</v>
      </c>
      <c r="E18" s="3" t="n">
        <v>12.5</v>
      </c>
      <c r="F18" s="3" t="n">
        <v>13</v>
      </c>
      <c r="G18" s="3" t="n">
        <v>13</v>
      </c>
      <c r="H18" s="3" t="n">
        <v>13</v>
      </c>
      <c r="I18" s="3" t="n">
        <v>13</v>
      </c>
      <c r="J18" s="3" t="n">
        <v>13</v>
      </c>
      <c r="K18" s="3" t="n">
        <v>13</v>
      </c>
      <c r="L18" s="3" t="n">
        <v>13</v>
      </c>
    </row>
    <row r="19" customFormat="false" ht="15" hidden="false" customHeight="false" outlineLevel="0" collapsed="false">
      <c r="A19" s="0" t="s">
        <v>112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</row>
    <row r="20" customFormat="false" ht="15" hidden="false" customHeight="false" outlineLevel="0" collapsed="false">
      <c r="A20" s="0" t="s">
        <v>113</v>
      </c>
      <c r="B20" s="3" t="n">
        <v>11.5</v>
      </c>
    </row>
    <row r="21" customFormat="false" ht="15" hidden="false" customHeight="false" outlineLevel="0" collapsed="false">
      <c r="A21" s="0" t="s">
        <v>114</v>
      </c>
      <c r="B21" s="3" t="n">
        <v>1.5</v>
      </c>
    </row>
    <row r="22" customFormat="false" ht="15" hidden="false" customHeight="false" outlineLevel="0" collapsed="false">
      <c r="A22" s="0" t="s">
        <v>115</v>
      </c>
      <c r="B22" s="3" t="n">
        <v>12</v>
      </c>
    </row>
    <row r="23" customFormat="false" ht="15" hidden="false" customHeight="false" outlineLevel="0" collapsed="false">
      <c r="A23" s="0" t="s">
        <v>116</v>
      </c>
      <c r="B23" s="3" t="n">
        <v>0</v>
      </c>
    </row>
    <row r="24" customFormat="false" ht="15" hidden="false" customHeight="false" outlineLevel="0" collapsed="false">
      <c r="A24" s="0" t="s">
        <v>117</v>
      </c>
      <c r="B24" s="3" t="n">
        <v>0.3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2</v>
      </c>
      <c r="D27" s="3" t="n">
        <v>2.8</v>
      </c>
      <c r="E27" s="3" t="n">
        <v>3.3</v>
      </c>
      <c r="F27" s="3" t="n">
        <v>3.3</v>
      </c>
      <c r="G27" s="3" t="n">
        <v>3</v>
      </c>
      <c r="H27" s="3" t="n">
        <v>3</v>
      </c>
      <c r="I27" s="3" t="n">
        <v>2.5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107</v>
      </c>
      <c r="C28" s="3" t="n">
        <v>31.6</v>
      </c>
      <c r="D28" s="3" t="n">
        <v>32</v>
      </c>
      <c r="E28" s="3" t="n">
        <v>32.3</v>
      </c>
      <c r="F28" s="3" t="n">
        <v>32.5</v>
      </c>
      <c r="G28" s="3" t="n">
        <v>32.6</v>
      </c>
      <c r="H28" s="3" t="n">
        <v>32.7</v>
      </c>
      <c r="I28" s="3" t="n">
        <v>32.8</v>
      </c>
      <c r="J28" s="3" t="n">
        <v>32.8</v>
      </c>
      <c r="K28" s="3" t="n">
        <v>32.8</v>
      </c>
      <c r="L28" s="3" t="n">
        <v>32.8</v>
      </c>
    </row>
    <row r="29" customFormat="false" ht="15" hidden="false" customHeight="false" outlineLevel="0" collapsed="false">
      <c r="A29" s="0" t="s">
        <v>108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111</v>
      </c>
      <c r="C32" s="3" t="n">
        <v>9.6</v>
      </c>
      <c r="D32" s="3" t="n">
        <v>9.6</v>
      </c>
      <c r="E32" s="3" t="n">
        <v>9.5</v>
      </c>
      <c r="F32" s="3" t="n">
        <v>9.4</v>
      </c>
      <c r="G32" s="3" t="n">
        <v>9.3</v>
      </c>
      <c r="H32" s="3" t="n">
        <v>9.2</v>
      </c>
      <c r="I32" s="3" t="n">
        <v>9.2</v>
      </c>
      <c r="J32" s="3" t="n">
        <v>9.2</v>
      </c>
      <c r="K32" s="3" t="n">
        <v>9.2</v>
      </c>
      <c r="L32" s="3" t="n">
        <v>9.2</v>
      </c>
    </row>
    <row r="33" customFormat="false" ht="15" hidden="false" customHeight="false" outlineLevel="0" collapsed="false">
      <c r="A33" s="0" t="s">
        <v>112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</row>
    <row r="34" customFormat="false" ht="15" hidden="false" customHeight="false" outlineLevel="0" collapsed="false">
      <c r="A34" s="0" t="s">
        <v>113</v>
      </c>
      <c r="B34" s="3" t="n">
        <v>11.5</v>
      </c>
    </row>
    <row r="35" customFormat="false" ht="15" hidden="false" customHeight="false" outlineLevel="0" collapsed="false">
      <c r="A35" s="0" t="s">
        <v>114</v>
      </c>
      <c r="B35" s="3" t="n">
        <v>2.5</v>
      </c>
    </row>
    <row r="36" customFormat="false" ht="15" hidden="false" customHeight="false" outlineLevel="0" collapsed="false">
      <c r="A36" s="0" t="s">
        <v>115</v>
      </c>
      <c r="B36" s="3" t="n">
        <v>16</v>
      </c>
    </row>
    <row r="37" customFormat="false" ht="15" hidden="false" customHeight="false" outlineLevel="0" collapsed="false">
      <c r="A37" s="0" t="s">
        <v>116</v>
      </c>
      <c r="B37" s="3" t="n">
        <v>0</v>
      </c>
    </row>
    <row r="38" customFormat="false" ht="15" hidden="false" customHeight="false" outlineLevel="0" collapsed="false">
      <c r="A38" s="0" t="s">
        <v>117</v>
      </c>
      <c r="B38" s="3" t="n">
        <v>0.45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3</v>
      </c>
      <c r="D41" s="3" t="n">
        <v>4</v>
      </c>
      <c r="E41" s="3" t="n">
        <v>4.5</v>
      </c>
      <c r="F41" s="3" t="n">
        <v>4.5</v>
      </c>
      <c r="G41" s="3" t="n">
        <v>4</v>
      </c>
      <c r="H41" s="3" t="n">
        <v>3.5</v>
      </c>
      <c r="I41" s="3" t="n">
        <v>3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107</v>
      </c>
      <c r="C42" s="3" t="n">
        <v>32</v>
      </c>
      <c r="D42" s="3" t="n">
        <v>32.8</v>
      </c>
      <c r="E42" s="3" t="n">
        <v>33.5</v>
      </c>
      <c r="F42" s="3" t="n">
        <v>34</v>
      </c>
      <c r="G42" s="3" t="n">
        <v>34.3</v>
      </c>
      <c r="H42" s="3" t="n">
        <v>34.5</v>
      </c>
      <c r="I42" s="3" t="n">
        <v>34.5</v>
      </c>
      <c r="J42" s="3" t="n">
        <v>34.5</v>
      </c>
      <c r="K42" s="3" t="n">
        <v>34.5</v>
      </c>
      <c r="L42" s="3" t="n">
        <v>34.5</v>
      </c>
    </row>
    <row r="43" customFormat="false" ht="15" hidden="false" customHeight="false" outlineLevel="0" collapsed="false">
      <c r="A43" s="0" t="s">
        <v>108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111</v>
      </c>
      <c r="C46" s="3" t="n">
        <v>9.3</v>
      </c>
      <c r="D46" s="3" t="n">
        <v>9</v>
      </c>
      <c r="E46" s="3" t="n">
        <v>8.7</v>
      </c>
      <c r="F46" s="3" t="n">
        <v>8.5</v>
      </c>
      <c r="G46" s="3" t="n">
        <v>8.3</v>
      </c>
      <c r="H46" s="3" t="n">
        <v>8.2</v>
      </c>
      <c r="I46" s="3" t="n">
        <v>8.2</v>
      </c>
      <c r="J46" s="3" t="n">
        <v>8.2</v>
      </c>
      <c r="K46" s="3" t="n">
        <v>8.2</v>
      </c>
      <c r="L46" s="3" t="n">
        <v>8.2</v>
      </c>
    </row>
    <row r="47" customFormat="false" ht="15" hidden="false" customHeight="false" outlineLevel="0" collapsed="false">
      <c r="A47" s="0" t="s">
        <v>112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 customFormat="false" ht="15" hidden="false" customHeight="false" outlineLevel="0" collapsed="false">
      <c r="A48" s="0" t="s">
        <v>113</v>
      </c>
      <c r="B48" s="3" t="n">
        <v>11.5</v>
      </c>
    </row>
    <row r="49" customFormat="false" ht="15" hidden="false" customHeight="false" outlineLevel="0" collapsed="false">
      <c r="A49" s="0" t="s">
        <v>114</v>
      </c>
      <c r="B49" s="3" t="n">
        <v>3</v>
      </c>
    </row>
    <row r="50" customFormat="false" ht="15" hidden="false" customHeight="false" outlineLevel="0" collapsed="false">
      <c r="A50" s="0" t="s">
        <v>115</v>
      </c>
      <c r="B50" s="3" t="n">
        <v>16</v>
      </c>
    </row>
    <row r="51" customFormat="false" ht="15" hidden="false" customHeight="false" outlineLevel="0" collapsed="false">
      <c r="A51" s="0" t="s">
        <v>116</v>
      </c>
      <c r="B51" s="3" t="n">
        <v>0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0.5</v>
      </c>
      <c r="D5" s="4" t="n">
        <f aca="false">Assumptions!D13</f>
        <v>-0.5</v>
      </c>
      <c r="E5" s="4" t="n">
        <f aca="false">Assumptions!E13</f>
        <v>0.5</v>
      </c>
      <c r="F5" s="4" t="n">
        <f aca="false">Assumptions!F13</f>
        <v>1</v>
      </c>
      <c r="G5" s="4" t="n">
        <f aca="false">Assumptions!G13</f>
        <v>1</v>
      </c>
      <c r="H5" s="4" t="n">
        <f aca="false">Assumptions!H13</f>
        <v>1.5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37</v>
      </c>
      <c r="B6" s="3" t="n">
        <v>3482.279</v>
      </c>
      <c r="C6" s="0" t="n">
        <f aca="false">B6*(1+C5/100)</f>
        <v>3499.690395</v>
      </c>
      <c r="D6" s="0" t="n">
        <f aca="false">C6*(1+D5/100)</f>
        <v>3482.191943025</v>
      </c>
      <c r="E6" s="0" t="n">
        <f aca="false">D6*(1+E5/100)</f>
        <v>3499.60290274012</v>
      </c>
      <c r="F6" s="0" t="n">
        <f aca="false">E6*(1+F5/100)</f>
        <v>3534.59893176753</v>
      </c>
      <c r="G6" s="0" t="n">
        <f aca="false">F6*(1+G5/100)</f>
        <v>3569.9449210852</v>
      </c>
      <c r="H6" s="0" t="n">
        <f aca="false">G6*(1+H5/100)</f>
        <v>3623.49409490148</v>
      </c>
      <c r="I6" s="0" t="n">
        <f aca="false">H6*(1+I5/100)</f>
        <v>3677.846506325</v>
      </c>
      <c r="J6" s="0" t="n">
        <f aca="false">I6*(1+J5/100)</f>
        <v>3733.01420391988</v>
      </c>
      <c r="K6" s="0" t="n">
        <f aca="false">J6*(1+K5/100)</f>
        <v>3789.00941697867</v>
      </c>
      <c r="L6" s="0" t="n">
        <f aca="false">K6*(1+L5/100)</f>
        <v>3845.84455823335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31</v>
      </c>
      <c r="D7" s="4" t="n">
        <f aca="false">Assumptions!D14</f>
        <v>30</v>
      </c>
      <c r="E7" s="4" t="n">
        <f aca="false">Assumptions!E14</f>
        <v>29</v>
      </c>
      <c r="F7" s="4" t="n">
        <f aca="false">Assumptions!F14</f>
        <v>28.5</v>
      </c>
      <c r="G7" s="4" t="n">
        <f aca="false">Assumptions!G14</f>
        <v>28</v>
      </c>
      <c r="H7" s="4" t="n">
        <f aca="false">Assumptions!H14</f>
        <v>28</v>
      </c>
      <c r="I7" s="4" t="n">
        <f aca="false">Assumptions!I14</f>
        <v>28</v>
      </c>
      <c r="J7" s="4" t="n">
        <f aca="false">Assumptions!J14</f>
        <v>28</v>
      </c>
      <c r="K7" s="4" t="n">
        <f aca="false">Assumptions!K14</f>
        <v>28</v>
      </c>
      <c r="L7" s="4" t="n">
        <f aca="false">Assumptions!L14</f>
        <v>28</v>
      </c>
    </row>
    <row r="8" customFormat="false" ht="15" hidden="false" customHeight="false" outlineLevel="0" collapsed="false">
      <c r="A8" s="0" t="s">
        <v>43</v>
      </c>
      <c r="C8" s="0" t="n">
        <f aca="false">C6*C7/100</f>
        <v>1084.90402245</v>
      </c>
      <c r="D8" s="0" t="n">
        <f aca="false">D6*D7/100</f>
        <v>1044.6575829075</v>
      </c>
      <c r="E8" s="0" t="n">
        <f aca="false">E6*E7/100</f>
        <v>1014.88484179464</v>
      </c>
      <c r="F8" s="0" t="n">
        <f aca="false">F6*F7/100</f>
        <v>1007.36069555374</v>
      </c>
      <c r="G8" s="0" t="n">
        <f aca="false">G6*G7/100</f>
        <v>999.584577903856</v>
      </c>
      <c r="H8" s="0" t="n">
        <f aca="false">H6*H7/100</f>
        <v>1014.57834657241</v>
      </c>
      <c r="I8" s="0" t="n">
        <f aca="false">I6*I7/100</f>
        <v>1029.797021771</v>
      </c>
      <c r="J8" s="0" t="n">
        <f aca="false">J6*J7/100</f>
        <v>1045.24397709757</v>
      </c>
      <c r="K8" s="0" t="n">
        <f aca="false">K6*K7/100</f>
        <v>1060.92263675403</v>
      </c>
      <c r="L8" s="0" t="n">
        <f aca="false">L6*L7/100</f>
        <v>1076.83647630534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1084.90402245</v>
      </c>
      <c r="D11" s="0" t="n">
        <f aca="false">D8+D10+D24</f>
        <v>1044.6575829075</v>
      </c>
      <c r="E11" s="0" t="n">
        <f aca="false">E8+E10+E24</f>
        <v>1014.88484179464</v>
      </c>
      <c r="F11" s="0" t="n">
        <f aca="false">F8+F10+F24</f>
        <v>1007.36069555374</v>
      </c>
      <c r="G11" s="0" t="n">
        <f aca="false">G8+G10+G24</f>
        <v>999.584577903856</v>
      </c>
      <c r="H11" s="0" t="n">
        <f aca="false">H8+H10+H24</f>
        <v>1014.57834657241</v>
      </c>
      <c r="I11" s="0" t="n">
        <f aca="false">I8+I10+I24</f>
        <v>1029.797021771</v>
      </c>
      <c r="J11" s="0" t="n">
        <f aca="false">J8+J10+J24</f>
        <v>1045.24397709757</v>
      </c>
      <c r="K11" s="0" t="n">
        <f aca="false">K8+K10+K24</f>
        <v>1060.92263675403</v>
      </c>
      <c r="L11" s="0" t="n">
        <f aca="false">L8+L10+L24</f>
        <v>1076.83647630534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1084.90402245</v>
      </c>
      <c r="D13" s="0" t="n">
        <f aca="false">D11+D12</f>
        <v>1044.6575829075</v>
      </c>
      <c r="E13" s="0" t="n">
        <f aca="false">E11+E12</f>
        <v>1014.88484179464</v>
      </c>
      <c r="F13" s="0" t="n">
        <f aca="false">F11+F12</f>
        <v>1007.36069555374</v>
      </c>
      <c r="G13" s="0" t="n">
        <f aca="false">G11+G12</f>
        <v>999.584577903856</v>
      </c>
      <c r="H13" s="0" t="n">
        <f aca="false">H11+H12</f>
        <v>1014.57834657241</v>
      </c>
      <c r="I13" s="0" t="n">
        <f aca="false">I11+I12</f>
        <v>1029.797021771</v>
      </c>
      <c r="J13" s="0" t="n">
        <f aca="false">J11+J12</f>
        <v>1045.24397709757</v>
      </c>
      <c r="K13" s="0" t="n">
        <f aca="false">K11+K12</f>
        <v>1060.92263675403</v>
      </c>
      <c r="L13" s="0" t="n">
        <f aca="false">L11+L12</f>
        <v>1076.83647630534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0</v>
      </c>
      <c r="D14" s="4" t="n">
        <f aca="false">Assumptions!D19</f>
        <v>0</v>
      </c>
      <c r="E14" s="4" t="n">
        <f aca="false">Assumptions!E19</f>
        <v>0</v>
      </c>
      <c r="F14" s="4" t="n">
        <f aca="false">Assumptions!F19</f>
        <v>0</v>
      </c>
      <c r="G14" s="4" t="n">
        <f aca="false">Assumptions!G19</f>
        <v>0</v>
      </c>
      <c r="H14" s="4" t="n">
        <f aca="false">Assumptions!H19</f>
        <v>0</v>
      </c>
      <c r="I14" s="4" t="n">
        <f aca="false">Assumptions!I19</f>
        <v>0</v>
      </c>
      <c r="J14" s="4" t="n">
        <f aca="false">Assumptions!J19</f>
        <v>0</v>
      </c>
      <c r="K14" s="4" t="n">
        <f aca="false">Assumptions!K19</f>
        <v>0</v>
      </c>
      <c r="L14" s="4" t="n">
        <f aca="false">Assumptions!L19</f>
        <v>0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1084.90402245</v>
      </c>
      <c r="D15" s="0" t="n">
        <f aca="false">D13-MAX(0,D13)*D14/100</f>
        <v>1044.6575829075</v>
      </c>
      <c r="E15" s="0" t="n">
        <f aca="false">E13-MAX(0,E13)*E14/100</f>
        <v>1014.88484179464</v>
      </c>
      <c r="F15" s="0" t="n">
        <f aca="false">F13-MAX(0,F13)*F14/100</f>
        <v>1007.36069555374</v>
      </c>
      <c r="G15" s="0" t="n">
        <f aca="false">G13-MAX(0,G13)*G14/100</f>
        <v>999.584577903856</v>
      </c>
      <c r="H15" s="0" t="n">
        <f aca="false">H13-MAX(0,H13)*H14/100</f>
        <v>1014.57834657241</v>
      </c>
      <c r="I15" s="0" t="n">
        <f aca="false">I13-MAX(0,I13)*I14/100</f>
        <v>1029.797021771</v>
      </c>
      <c r="J15" s="0" t="n">
        <f aca="false">J13-MAX(0,J13)*J14/100</f>
        <v>1045.24397709757</v>
      </c>
      <c r="K15" s="0" t="n">
        <f aca="false">K13-MAX(0,K13)*K14/100</f>
        <v>1060.92263675403</v>
      </c>
      <c r="L15" s="0" t="n">
        <f aca="false">L13-MAX(0,L13)*L14/100</f>
        <v>1076.83647630534</v>
      </c>
    </row>
    <row r="16" customFormat="false" ht="15" hidden="false" customHeight="false" outlineLevel="0" collapsed="false">
      <c r="A16" s="0" t="s">
        <v>128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-367.467491475</v>
      </c>
      <c r="D17" s="4" t="n">
        <f aca="false">-D6*Assumptions!D18/100</f>
        <v>-400.452073447875</v>
      </c>
      <c r="E17" s="4" t="n">
        <f aca="false">-E6*Assumptions!E18/100</f>
        <v>-437.450362842516</v>
      </c>
      <c r="F17" s="4" t="n">
        <f aca="false">-F6*Assumptions!F18/100</f>
        <v>-459.497861129778</v>
      </c>
      <c r="G17" s="4" t="n">
        <f aca="false">-G6*Assumptions!G18/100</f>
        <v>-464.092839741076</v>
      </c>
      <c r="H17" s="4" t="n">
        <f aca="false">-H6*Assumptions!H18/100</f>
        <v>-471.054232337192</v>
      </c>
      <c r="I17" s="4" t="n">
        <f aca="false">-I6*Assumptions!I18/100</f>
        <v>-478.12004582225</v>
      </c>
      <c r="J17" s="4" t="n">
        <f aca="false">-J6*Assumptions!J18/100</f>
        <v>-485.291846509584</v>
      </c>
      <c r="K17" s="4" t="n">
        <f aca="false">-K6*Assumptions!K18/100</f>
        <v>-492.571224207227</v>
      </c>
      <c r="L17" s="4" t="n">
        <f aca="false">-L6*Assumptions!L18/100</f>
        <v>-499.959792570336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0</v>
      </c>
      <c r="D18" s="4" t="n">
        <f aca="false">(D6-C6)*Assumptions!$B$23/100</f>
        <v>-0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717.436530975</v>
      </c>
      <c r="D19" s="0" t="n">
        <f aca="false">D15+D16+D17+D18</f>
        <v>644.205509459625</v>
      </c>
      <c r="E19" s="0" t="n">
        <f aca="false">E15+E16+E17+E18</f>
        <v>577.434478952121</v>
      </c>
      <c r="F19" s="0" t="n">
        <f aca="false">F15+F16+F17+F18</f>
        <v>547.862834423966</v>
      </c>
      <c r="G19" s="0" t="n">
        <f aca="false">G15+G16+G17+G18</f>
        <v>535.49173816278</v>
      </c>
      <c r="H19" s="0" t="n">
        <f aca="false">H15+H16+H17+H18</f>
        <v>543.524114235222</v>
      </c>
      <c r="I19" s="0" t="n">
        <f aca="false">I15+I16+I17+I18</f>
        <v>551.67697594875</v>
      </c>
      <c r="J19" s="0" t="n">
        <f aca="false">J15+J16+J17+J18</f>
        <v>559.952130587981</v>
      </c>
      <c r="K19" s="0" t="n">
        <f aca="false">K15+K16+K17+K18</f>
        <v>568.351412546801</v>
      </c>
      <c r="L19" s="0" t="n">
        <f aca="false">L15+L16+L17+L18</f>
        <v>576.876683735003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0.896860986547085</v>
      </c>
      <c r="D20" s="0" t="n">
        <f aca="false">1/(1+$B$27/100)^D4</f>
        <v>0.804359629190211</v>
      </c>
      <c r="E20" s="0" t="n">
        <f aca="false">1/(1+$B$27/100)^E4</f>
        <v>0.72139877057418</v>
      </c>
      <c r="F20" s="0" t="n">
        <f aca="false">1/(1+$B$27/100)^F4</f>
        <v>0.646994413071014</v>
      </c>
      <c r="G20" s="0" t="n">
        <f aca="false">1/(1+$B$27/100)^G4</f>
        <v>0.580264047597322</v>
      </c>
      <c r="H20" s="0" t="n">
        <f aca="false">1/(1+$B$27/100)^H4</f>
        <v>0.520416186185939</v>
      </c>
      <c r="I20" s="0" t="n">
        <f aca="false">1/(1+$B$27/100)^I4</f>
        <v>0.466740974157793</v>
      </c>
      <c r="J20" s="0" t="n">
        <f aca="false">1/(1+$B$27/100)^J4</f>
        <v>0.418601770545106</v>
      </c>
      <c r="K20" s="0" t="n">
        <f aca="false">1/(1+$B$27/100)^K4</f>
        <v>0.37542759690144</v>
      </c>
      <c r="L20" s="0" t="n">
        <f aca="false">1/(1+$B$27/100)^L4</f>
        <v>0.336706364934027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643.440834955157</v>
      </c>
      <c r="D21" s="0" t="n">
        <f aca="false">D19*D20</f>
        <v>518.172904711235</v>
      </c>
      <c r="E21" s="0" t="n">
        <f aca="false">E19*E20</f>
        <v>416.560523203202</v>
      </c>
      <c r="F21" s="0" t="n">
        <f aca="false">F19*F20</f>
        <v>354.464193001556</v>
      </c>
      <c r="G21" s="0" t="n">
        <f aca="false">G19*G20</f>
        <v>310.72660344126</v>
      </c>
      <c r="H21" s="0" t="n">
        <f aca="false">H19*H20</f>
        <v>282.858746630385</v>
      </c>
      <c r="I21" s="0" t="n">
        <f aca="false">I19*I20</f>
        <v>257.490249174745</v>
      </c>
      <c r="J21" s="0" t="n">
        <f aca="false">J19*J20</f>
        <v>234.396953284633</v>
      </c>
      <c r="K21" s="0" t="n">
        <f aca="false">K19*K20</f>
        <v>213.374805007984</v>
      </c>
      <c r="L21" s="0" t="n">
        <f aca="false">L19*L20</f>
        <v>194.238051195609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11.5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3425.72386460577</v>
      </c>
    </row>
    <row r="31" customFormat="false" ht="15" hidden="false" customHeight="false" outlineLevel="0" collapsed="false">
      <c r="A31" s="0" t="s">
        <v>137</v>
      </c>
      <c r="B31" s="0" t="n">
        <f aca="false">L19</f>
        <v>576.876683735003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5855.29833991028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6922.52020482003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5855.29833991028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1971.51621963543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5397.2400842412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5397.2400842412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33.8111501308734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-0.466701102036696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33.8111501308734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4337.25802956317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25.5079228491008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2</v>
      </c>
      <c r="D5" s="4" t="n">
        <f aca="false">Assumptions!D27</f>
        <v>2.8</v>
      </c>
      <c r="E5" s="4" t="n">
        <f aca="false">Assumptions!E27</f>
        <v>3.3</v>
      </c>
      <c r="F5" s="4" t="n">
        <f aca="false">Assumptions!F27</f>
        <v>3.3</v>
      </c>
      <c r="G5" s="4" t="n">
        <f aca="false">Assumptions!G27</f>
        <v>3</v>
      </c>
      <c r="H5" s="4" t="n">
        <f aca="false">Assumptions!H27</f>
        <v>3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3482.279</v>
      </c>
      <c r="C6" s="0" t="n">
        <f aca="false">B6*(1+C5/100)</f>
        <v>3551.92458</v>
      </c>
      <c r="D6" s="0" t="n">
        <f aca="false">C6*(1+D5/100)</f>
        <v>3651.37846824</v>
      </c>
      <c r="E6" s="0" t="n">
        <f aca="false">D6*(1+E5/100)</f>
        <v>3771.87395769192</v>
      </c>
      <c r="F6" s="0" t="n">
        <f aca="false">E6*(1+F5/100)</f>
        <v>3896.34579829575</v>
      </c>
      <c r="G6" s="0" t="n">
        <f aca="false">F6*(1+G5/100)</f>
        <v>4013.23617224463</v>
      </c>
      <c r="H6" s="0" t="n">
        <f aca="false">G6*(1+H5/100)</f>
        <v>4133.63325741196</v>
      </c>
      <c r="I6" s="0" t="n">
        <f aca="false">H6*(1+I5/100)</f>
        <v>4236.97408884726</v>
      </c>
      <c r="J6" s="0" t="n">
        <f aca="false">I6*(1+J5/100)</f>
        <v>4342.89844106844</v>
      </c>
      <c r="K6" s="0" t="n">
        <f aca="false">J6*(1+K5/100)</f>
        <v>4451.47090209516</v>
      </c>
      <c r="L6" s="0" t="n">
        <f aca="false">K6*(1+L5/100)</f>
        <v>4562.75767464753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31.6</v>
      </c>
      <c r="D7" s="4" t="n">
        <f aca="false">Assumptions!D28</f>
        <v>32</v>
      </c>
      <c r="E7" s="4" t="n">
        <f aca="false">Assumptions!E28</f>
        <v>32.3</v>
      </c>
      <c r="F7" s="4" t="n">
        <f aca="false">Assumptions!F28</f>
        <v>32.5</v>
      </c>
      <c r="G7" s="4" t="n">
        <f aca="false">Assumptions!G28</f>
        <v>32.6</v>
      </c>
      <c r="H7" s="4" t="n">
        <f aca="false">Assumptions!H28</f>
        <v>32.7</v>
      </c>
      <c r="I7" s="4" t="n">
        <f aca="false">Assumptions!I28</f>
        <v>32.8</v>
      </c>
      <c r="J7" s="4" t="n">
        <f aca="false">Assumptions!J28</f>
        <v>32.8</v>
      </c>
      <c r="K7" s="4" t="n">
        <f aca="false">Assumptions!K28</f>
        <v>32.8</v>
      </c>
      <c r="L7" s="4" t="n">
        <f aca="false">Assumptions!L28</f>
        <v>32.8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1122.40816728</v>
      </c>
      <c r="D8" s="0" t="n">
        <f aca="false">D6*D7/100</f>
        <v>1168.4411098368</v>
      </c>
      <c r="E8" s="0" t="n">
        <f aca="false">E6*E7/100</f>
        <v>1218.31528833449</v>
      </c>
      <c r="F8" s="0" t="n">
        <f aca="false">F6*F7/100</f>
        <v>1266.31238444612</v>
      </c>
      <c r="G8" s="0" t="n">
        <f aca="false">G6*G7/100</f>
        <v>1308.31499215175</v>
      </c>
      <c r="H8" s="0" t="n">
        <f aca="false">H6*H7/100</f>
        <v>1351.69807517371</v>
      </c>
      <c r="I8" s="0" t="n">
        <f aca="false">I6*I7/100</f>
        <v>1389.7275011419</v>
      </c>
      <c r="J8" s="0" t="n">
        <f aca="false">J6*J7/100</f>
        <v>1424.47068867045</v>
      </c>
      <c r="K8" s="0" t="n">
        <f aca="false">K6*K7/100</f>
        <v>1460.08245588721</v>
      </c>
      <c r="L8" s="0" t="n">
        <f aca="false">L6*L7/100</f>
        <v>1496.58451728439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1122.40816728</v>
      </c>
      <c r="D11" s="0" t="n">
        <f aca="false">D8+D10+D24</f>
        <v>1168.4411098368</v>
      </c>
      <c r="E11" s="0" t="n">
        <f aca="false">E8+E10+E24</f>
        <v>1218.31528833449</v>
      </c>
      <c r="F11" s="0" t="n">
        <f aca="false">F8+F10+F24</f>
        <v>1266.31238444612</v>
      </c>
      <c r="G11" s="0" t="n">
        <f aca="false">G8+G10+G24</f>
        <v>1308.31499215175</v>
      </c>
      <c r="H11" s="0" t="n">
        <f aca="false">H8+H10+H24</f>
        <v>1351.69807517371</v>
      </c>
      <c r="I11" s="0" t="n">
        <f aca="false">I8+I10+I24</f>
        <v>1389.7275011419</v>
      </c>
      <c r="J11" s="0" t="n">
        <f aca="false">J8+J10+J24</f>
        <v>1424.47068867045</v>
      </c>
      <c r="K11" s="0" t="n">
        <f aca="false">K8+K10+K24</f>
        <v>1460.08245588721</v>
      </c>
      <c r="L11" s="0" t="n">
        <f aca="false">L8+L10+L24</f>
        <v>1496.58451728439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1122.40816728</v>
      </c>
      <c r="D13" s="0" t="n">
        <f aca="false">D11+D12</f>
        <v>1168.4411098368</v>
      </c>
      <c r="E13" s="0" t="n">
        <f aca="false">E11+E12</f>
        <v>1218.31528833449</v>
      </c>
      <c r="F13" s="0" t="n">
        <f aca="false">F11+F12</f>
        <v>1266.31238444612</v>
      </c>
      <c r="G13" s="0" t="n">
        <f aca="false">G11+G12</f>
        <v>1308.31499215175</v>
      </c>
      <c r="H13" s="0" t="n">
        <f aca="false">H11+H12</f>
        <v>1351.69807517371</v>
      </c>
      <c r="I13" s="0" t="n">
        <f aca="false">I11+I12</f>
        <v>1389.7275011419</v>
      </c>
      <c r="J13" s="0" t="n">
        <f aca="false">J11+J12</f>
        <v>1424.47068867045</v>
      </c>
      <c r="K13" s="0" t="n">
        <f aca="false">K11+K12</f>
        <v>1460.08245588721</v>
      </c>
      <c r="L13" s="0" t="n">
        <f aca="false">L11+L12</f>
        <v>1496.58451728439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0</v>
      </c>
      <c r="D14" s="4" t="n">
        <f aca="false">Assumptions!D33</f>
        <v>0</v>
      </c>
      <c r="E14" s="4" t="n">
        <f aca="false">Assumptions!E33</f>
        <v>0</v>
      </c>
      <c r="F14" s="4" t="n">
        <f aca="false">Assumptions!F33</f>
        <v>0</v>
      </c>
      <c r="G14" s="4" t="n">
        <f aca="false">Assumptions!G33</f>
        <v>0</v>
      </c>
      <c r="H14" s="4" t="n">
        <f aca="false">Assumptions!H33</f>
        <v>0</v>
      </c>
      <c r="I14" s="4" t="n">
        <f aca="false">Assumptions!I33</f>
        <v>0</v>
      </c>
      <c r="J14" s="4" t="n">
        <f aca="false">Assumptions!J33</f>
        <v>0</v>
      </c>
      <c r="K14" s="4" t="n">
        <f aca="false">Assumptions!K33</f>
        <v>0</v>
      </c>
      <c r="L14" s="4" t="n">
        <f aca="false">Assumptions!L33</f>
        <v>0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1122.40816728</v>
      </c>
      <c r="D15" s="0" t="n">
        <f aca="false">D13-MAX(0,D13)*D14/100</f>
        <v>1168.4411098368</v>
      </c>
      <c r="E15" s="0" t="n">
        <f aca="false">E13-MAX(0,E13)*E14/100</f>
        <v>1218.31528833449</v>
      </c>
      <c r="F15" s="0" t="n">
        <f aca="false">F13-MAX(0,F13)*F14/100</f>
        <v>1266.31238444612</v>
      </c>
      <c r="G15" s="0" t="n">
        <f aca="false">G13-MAX(0,G13)*G14/100</f>
        <v>1308.31499215175</v>
      </c>
      <c r="H15" s="0" t="n">
        <f aca="false">H13-MAX(0,H13)*H14/100</f>
        <v>1351.69807517371</v>
      </c>
      <c r="I15" s="0" t="n">
        <f aca="false">I13-MAX(0,I13)*I14/100</f>
        <v>1389.7275011419</v>
      </c>
      <c r="J15" s="0" t="n">
        <f aca="false">J13-MAX(0,J13)*J14/100</f>
        <v>1424.47068867045</v>
      </c>
      <c r="K15" s="0" t="n">
        <f aca="false">K13-MAX(0,K13)*K14/100</f>
        <v>1460.08245588721</v>
      </c>
      <c r="L15" s="0" t="n">
        <f aca="false">L13-MAX(0,L13)*L14/100</f>
        <v>1496.58451728439</v>
      </c>
    </row>
    <row r="16" customFormat="false" ht="15" hidden="false" customHeight="false" outlineLevel="0" collapsed="false">
      <c r="A16" s="0" t="s">
        <v>128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-340.98475968</v>
      </c>
      <c r="D17" s="4" t="n">
        <f aca="false">-D6*Assumptions!D32/100</f>
        <v>-350.53233295104</v>
      </c>
      <c r="E17" s="4" t="n">
        <f aca="false">-E6*Assumptions!E32/100</f>
        <v>-358.328025980732</v>
      </c>
      <c r="F17" s="4" t="n">
        <f aca="false">-F6*Assumptions!F32/100</f>
        <v>-366.256505039801</v>
      </c>
      <c r="G17" s="4" t="n">
        <f aca="false">-G6*Assumptions!G32/100</f>
        <v>-373.23096401875</v>
      </c>
      <c r="H17" s="4" t="n">
        <f aca="false">-H6*Assumptions!H32/100</f>
        <v>-380.294259681901</v>
      </c>
      <c r="I17" s="4" t="n">
        <f aca="false">-I6*Assumptions!I32/100</f>
        <v>-389.801616173948</v>
      </c>
      <c r="J17" s="4" t="n">
        <f aca="false">-J6*Assumptions!J32/100</f>
        <v>-399.546656578297</v>
      </c>
      <c r="K17" s="4" t="n">
        <f aca="false">-K6*Assumptions!K32/100</f>
        <v>-409.535322992754</v>
      </c>
      <c r="L17" s="4" t="n">
        <f aca="false">-L6*Assumptions!L32/100</f>
        <v>-419.773706067573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781.4234076</v>
      </c>
      <c r="D19" s="0" t="n">
        <f aca="false">D15+D16+D17+D18</f>
        <v>817.90877688576</v>
      </c>
      <c r="E19" s="0" t="n">
        <f aca="false">E15+E16+E17+E18</f>
        <v>859.987262353758</v>
      </c>
      <c r="F19" s="0" t="n">
        <f aca="false">F15+F16+F17+F18</f>
        <v>900.055879406319</v>
      </c>
      <c r="G19" s="0" t="n">
        <f aca="false">G15+G16+G17+G18</f>
        <v>935.084028132998</v>
      </c>
      <c r="H19" s="0" t="n">
        <f aca="false">H15+H16+H17+H18</f>
        <v>971.403815491812</v>
      </c>
      <c r="I19" s="0" t="n">
        <f aca="false">I15+I16+I17+I18</f>
        <v>999.925884967954</v>
      </c>
      <c r="J19" s="0" t="n">
        <f aca="false">J15+J16+J17+J18</f>
        <v>1024.92403209215</v>
      </c>
      <c r="K19" s="0" t="n">
        <f aca="false">K15+K16+K17+K18</f>
        <v>1050.54713289446</v>
      </c>
      <c r="L19" s="0" t="n">
        <f aca="false">L15+L16+L17+L18</f>
        <v>1076.81081121682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0.896860986547085</v>
      </c>
      <c r="D20" s="0" t="n">
        <f aca="false">1/(1+$B$27/100)^D4</f>
        <v>0.804359629190211</v>
      </c>
      <c r="E20" s="0" t="n">
        <f aca="false">1/(1+$B$27/100)^E4</f>
        <v>0.72139877057418</v>
      </c>
      <c r="F20" s="0" t="n">
        <f aca="false">1/(1+$B$27/100)^F4</f>
        <v>0.646994413071014</v>
      </c>
      <c r="G20" s="0" t="n">
        <f aca="false">1/(1+$B$27/100)^G4</f>
        <v>0.580264047597322</v>
      </c>
      <c r="H20" s="0" t="n">
        <f aca="false">1/(1+$B$27/100)^H4</f>
        <v>0.520416186185939</v>
      </c>
      <c r="I20" s="0" t="n">
        <f aca="false">1/(1+$B$27/100)^I4</f>
        <v>0.466740974157793</v>
      </c>
      <c r="J20" s="0" t="n">
        <f aca="false">1/(1+$B$27/100)^J4</f>
        <v>0.418601770545106</v>
      </c>
      <c r="K20" s="0" t="n">
        <f aca="false">1/(1+$B$27/100)^K4</f>
        <v>0.37542759690144</v>
      </c>
      <c r="L20" s="0" t="n">
        <f aca="false">1/(1+$B$27/100)^L4</f>
        <v>0.336706364934027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700.828168251121</v>
      </c>
      <c r="D21" s="0" t="n">
        <f aca="false">D19*D20</f>
        <v>657.892800487249</v>
      </c>
      <c r="E21" s="0" t="n">
        <f aca="false">E19*E20</f>
        <v>620.393753771456</v>
      </c>
      <c r="F21" s="0" t="n">
        <f aca="false">F19*F20</f>
        <v>582.331125427607</v>
      </c>
      <c r="G21" s="0" t="n">
        <f aca="false">G19*G20</f>
        <v>542.595643008061</v>
      </c>
      <c r="H21" s="0" t="n">
        <f aca="false">H19*H20</f>
        <v>505.534268904718</v>
      </c>
      <c r="I21" s="0" t="n">
        <f aca="false">I19*I20</f>
        <v>466.706381635536</v>
      </c>
      <c r="J21" s="0" t="n">
        <f aca="false">J19*J20</f>
        <v>429.035014508004</v>
      </c>
      <c r="K21" s="0" t="n">
        <f aca="false">K19*K20</f>
        <v>394.404385534263</v>
      </c>
      <c r="L21" s="0" t="n">
        <f aca="false">L19*L20</f>
        <v>362.569053966475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11.5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16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5262.29059549449</v>
      </c>
    </row>
    <row r="31" customFormat="false" ht="15" hidden="false" customHeight="false" outlineLevel="0" collapsed="false">
      <c r="A31" s="0" t="s">
        <v>137</v>
      </c>
      <c r="B31" s="0" t="n">
        <f aca="false">L19</f>
        <v>1076.81081121682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12263.6786833026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17228.9729794691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12263.6786833026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4129.25867017375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9391.54926566824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9391.54926566824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58.8336033281436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-0.0720251840986812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58.8336033281436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8829.84865197791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42.1054554270969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3</v>
      </c>
      <c r="D5" s="4" t="n">
        <f aca="false">Assumptions!D41</f>
        <v>4</v>
      </c>
      <c r="E5" s="4" t="n">
        <f aca="false">Assumptions!E41</f>
        <v>4.5</v>
      </c>
      <c r="F5" s="4" t="n">
        <f aca="false">Assumptions!F41</f>
        <v>4.5</v>
      </c>
      <c r="G5" s="4" t="n">
        <f aca="false">Assumptions!G41</f>
        <v>4</v>
      </c>
      <c r="H5" s="4" t="n">
        <f aca="false">Assumptions!H41</f>
        <v>3.5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3482.279</v>
      </c>
      <c r="C6" s="0" t="n">
        <f aca="false">B6*(1+C5/100)</f>
        <v>3586.74737</v>
      </c>
      <c r="D6" s="0" t="n">
        <f aca="false">C6*(1+D5/100)</f>
        <v>3730.2172648</v>
      </c>
      <c r="E6" s="0" t="n">
        <f aca="false">D6*(1+E5/100)</f>
        <v>3898.077041716</v>
      </c>
      <c r="F6" s="0" t="n">
        <f aca="false">E6*(1+F5/100)</f>
        <v>4073.49050859322</v>
      </c>
      <c r="G6" s="0" t="n">
        <f aca="false">F6*(1+G5/100)</f>
        <v>4236.43012893695</v>
      </c>
      <c r="H6" s="0" t="n">
        <f aca="false">G6*(1+H5/100)</f>
        <v>4384.70518344974</v>
      </c>
      <c r="I6" s="0" t="n">
        <f aca="false">H6*(1+I5/100)</f>
        <v>4516.24633895323</v>
      </c>
      <c r="J6" s="0" t="n">
        <f aca="false">I6*(1+J5/100)</f>
        <v>4651.73372912183</v>
      </c>
      <c r="K6" s="0" t="n">
        <f aca="false">J6*(1+K5/100)</f>
        <v>4791.28574099549</v>
      </c>
      <c r="L6" s="0" t="n">
        <f aca="false">K6*(1+L5/100)</f>
        <v>4935.02431322535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32</v>
      </c>
      <c r="D7" s="4" t="n">
        <f aca="false">Assumptions!D42</f>
        <v>32.8</v>
      </c>
      <c r="E7" s="4" t="n">
        <f aca="false">Assumptions!E42</f>
        <v>33.5</v>
      </c>
      <c r="F7" s="4" t="n">
        <f aca="false">Assumptions!F42</f>
        <v>34</v>
      </c>
      <c r="G7" s="4" t="n">
        <f aca="false">Assumptions!G42</f>
        <v>34.3</v>
      </c>
      <c r="H7" s="4" t="n">
        <f aca="false">Assumptions!H42</f>
        <v>34.5</v>
      </c>
      <c r="I7" s="4" t="n">
        <f aca="false">Assumptions!I42</f>
        <v>34.5</v>
      </c>
      <c r="J7" s="4" t="n">
        <f aca="false">Assumptions!J42</f>
        <v>34.5</v>
      </c>
      <c r="K7" s="4" t="n">
        <f aca="false">Assumptions!K42</f>
        <v>34.5</v>
      </c>
      <c r="L7" s="4" t="n">
        <f aca="false">Assumptions!L42</f>
        <v>34.5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1147.7591584</v>
      </c>
      <c r="D8" s="0" t="n">
        <f aca="false">D6*D7/100</f>
        <v>1223.5112628544</v>
      </c>
      <c r="E8" s="0" t="n">
        <f aca="false">E6*E7/100</f>
        <v>1305.85580897486</v>
      </c>
      <c r="F8" s="0" t="n">
        <f aca="false">F6*F7/100</f>
        <v>1384.98677292169</v>
      </c>
      <c r="G8" s="0" t="n">
        <f aca="false">G6*G7/100</f>
        <v>1453.09553422537</v>
      </c>
      <c r="H8" s="0" t="n">
        <f aca="false">H6*H7/100</f>
        <v>1512.72328829016</v>
      </c>
      <c r="I8" s="0" t="n">
        <f aca="false">I6*I7/100</f>
        <v>1558.10498693887</v>
      </c>
      <c r="J8" s="0" t="n">
        <f aca="false">J6*J7/100</f>
        <v>1604.84813654703</v>
      </c>
      <c r="K8" s="0" t="n">
        <f aca="false">K6*K7/100</f>
        <v>1652.99358064344</v>
      </c>
      <c r="L8" s="0" t="n">
        <f aca="false">L6*L7/100</f>
        <v>1702.58338806275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1147.7591584</v>
      </c>
      <c r="D11" s="0" t="n">
        <f aca="false">D8+D10+D24</f>
        <v>1223.5112628544</v>
      </c>
      <c r="E11" s="0" t="n">
        <f aca="false">E8+E10+E24</f>
        <v>1305.85580897486</v>
      </c>
      <c r="F11" s="0" t="n">
        <f aca="false">F8+F10+F24</f>
        <v>1384.98677292169</v>
      </c>
      <c r="G11" s="0" t="n">
        <f aca="false">G8+G10+G24</f>
        <v>1453.09553422537</v>
      </c>
      <c r="H11" s="0" t="n">
        <f aca="false">H8+H10+H24</f>
        <v>1512.72328829016</v>
      </c>
      <c r="I11" s="0" t="n">
        <f aca="false">I8+I10+I24</f>
        <v>1558.10498693887</v>
      </c>
      <c r="J11" s="0" t="n">
        <f aca="false">J8+J10+J24</f>
        <v>1604.84813654703</v>
      </c>
      <c r="K11" s="0" t="n">
        <f aca="false">K8+K10+K24</f>
        <v>1652.99358064344</v>
      </c>
      <c r="L11" s="0" t="n">
        <f aca="false">L8+L10+L24</f>
        <v>1702.58338806275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1147.7591584</v>
      </c>
      <c r="D13" s="0" t="n">
        <f aca="false">D11+D12</f>
        <v>1223.5112628544</v>
      </c>
      <c r="E13" s="0" t="n">
        <f aca="false">E11+E12</f>
        <v>1305.85580897486</v>
      </c>
      <c r="F13" s="0" t="n">
        <f aca="false">F11+F12</f>
        <v>1384.98677292169</v>
      </c>
      <c r="G13" s="0" t="n">
        <f aca="false">G11+G12</f>
        <v>1453.09553422537</v>
      </c>
      <c r="H13" s="0" t="n">
        <f aca="false">H11+H12</f>
        <v>1512.72328829016</v>
      </c>
      <c r="I13" s="0" t="n">
        <f aca="false">I11+I12</f>
        <v>1558.10498693887</v>
      </c>
      <c r="J13" s="0" t="n">
        <f aca="false">J11+J12</f>
        <v>1604.84813654703</v>
      </c>
      <c r="K13" s="0" t="n">
        <f aca="false">K11+K12</f>
        <v>1652.99358064344</v>
      </c>
      <c r="L13" s="0" t="n">
        <f aca="false">L11+L12</f>
        <v>1702.58338806275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0</v>
      </c>
      <c r="D14" s="4" t="n">
        <f aca="false">Assumptions!D47</f>
        <v>0</v>
      </c>
      <c r="E14" s="4" t="n">
        <f aca="false">Assumptions!E47</f>
        <v>0</v>
      </c>
      <c r="F14" s="4" t="n">
        <f aca="false">Assumptions!F47</f>
        <v>0</v>
      </c>
      <c r="G14" s="4" t="n">
        <f aca="false">Assumptions!G47</f>
        <v>0</v>
      </c>
      <c r="H14" s="4" t="n">
        <f aca="false">Assumptions!H47</f>
        <v>0</v>
      </c>
      <c r="I14" s="4" t="n">
        <f aca="false">Assumptions!I47</f>
        <v>0</v>
      </c>
      <c r="J14" s="4" t="n">
        <f aca="false">Assumptions!J47</f>
        <v>0</v>
      </c>
      <c r="K14" s="4" t="n">
        <f aca="false">Assumptions!K47</f>
        <v>0</v>
      </c>
      <c r="L14" s="4" t="n">
        <f aca="false">Assumptions!L47</f>
        <v>0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1147.7591584</v>
      </c>
      <c r="D15" s="0" t="n">
        <f aca="false">D13-MAX(0,D13)*D14/100</f>
        <v>1223.5112628544</v>
      </c>
      <c r="E15" s="0" t="n">
        <f aca="false">E13-MAX(0,E13)*E14/100</f>
        <v>1305.85580897486</v>
      </c>
      <c r="F15" s="0" t="n">
        <f aca="false">F13-MAX(0,F13)*F14/100</f>
        <v>1384.98677292169</v>
      </c>
      <c r="G15" s="0" t="n">
        <f aca="false">G13-MAX(0,G13)*G14/100</f>
        <v>1453.09553422537</v>
      </c>
      <c r="H15" s="0" t="n">
        <f aca="false">H13-MAX(0,H13)*H14/100</f>
        <v>1512.72328829016</v>
      </c>
      <c r="I15" s="0" t="n">
        <f aca="false">I13-MAX(0,I13)*I14/100</f>
        <v>1558.10498693887</v>
      </c>
      <c r="J15" s="0" t="n">
        <f aca="false">J13-MAX(0,J13)*J14/100</f>
        <v>1604.84813654703</v>
      </c>
      <c r="K15" s="0" t="n">
        <f aca="false">K13-MAX(0,K13)*K14/100</f>
        <v>1652.99358064344</v>
      </c>
      <c r="L15" s="0" t="n">
        <f aca="false">L13-MAX(0,L13)*L14/100</f>
        <v>1702.58338806275</v>
      </c>
    </row>
    <row r="16" customFormat="false" ht="15" hidden="false" customHeight="false" outlineLevel="0" collapsed="false">
      <c r="A16" s="0" t="s">
        <v>128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-333.56750541</v>
      </c>
      <c r="D17" s="4" t="n">
        <f aca="false">-D6*Assumptions!D46/100</f>
        <v>-335.719553832</v>
      </c>
      <c r="E17" s="4" t="n">
        <f aca="false">-E6*Assumptions!E46/100</f>
        <v>-339.132702629292</v>
      </c>
      <c r="F17" s="4" t="n">
        <f aca="false">-F6*Assumptions!F46/100</f>
        <v>-346.246693230424</v>
      </c>
      <c r="G17" s="4" t="n">
        <f aca="false">-G6*Assumptions!G46/100</f>
        <v>-351.623700701767</v>
      </c>
      <c r="H17" s="4" t="n">
        <f aca="false">-H6*Assumptions!H46/100</f>
        <v>-359.545825042879</v>
      </c>
      <c r="I17" s="4" t="n">
        <f aca="false">-I6*Assumptions!I46/100</f>
        <v>-370.332199794165</v>
      </c>
      <c r="J17" s="4" t="n">
        <f aca="false">-J6*Assumptions!J46/100</f>
        <v>-381.44216578799</v>
      </c>
      <c r="K17" s="4" t="n">
        <f aca="false">-K6*Assumptions!K46/100</f>
        <v>-392.88543076163</v>
      </c>
      <c r="L17" s="4" t="n">
        <f aca="false">-L6*Assumptions!L46/100</f>
        <v>-404.671993684479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814.19165299</v>
      </c>
      <c r="D19" s="0" t="n">
        <f aca="false">D15+D16+D17+D18</f>
        <v>887.7917090224</v>
      </c>
      <c r="E19" s="0" t="n">
        <f aca="false">E15+E16+E17+E18</f>
        <v>966.723106345568</v>
      </c>
      <c r="F19" s="0" t="n">
        <f aca="false">F15+F16+F17+F18</f>
        <v>1038.74007969127</v>
      </c>
      <c r="G19" s="0" t="n">
        <f aca="false">G15+G16+G17+G18</f>
        <v>1101.47183352361</v>
      </c>
      <c r="H19" s="0" t="n">
        <f aca="false">H15+H16+H17+H18</f>
        <v>1153.17746324728</v>
      </c>
      <c r="I19" s="0" t="n">
        <f aca="false">I15+I16+I17+I18</f>
        <v>1187.7727871447</v>
      </c>
      <c r="J19" s="0" t="n">
        <f aca="false">J15+J16+J17+J18</f>
        <v>1223.40597075904</v>
      </c>
      <c r="K19" s="0" t="n">
        <f aca="false">K15+K16+K17+K18</f>
        <v>1260.10814988181</v>
      </c>
      <c r="L19" s="0" t="n">
        <f aca="false">L15+L16+L17+L18</f>
        <v>1297.91139437827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0.896860986547085</v>
      </c>
      <c r="D20" s="0" t="n">
        <f aca="false">1/(1+$B$27/100)^D4</f>
        <v>0.804359629190211</v>
      </c>
      <c r="E20" s="0" t="n">
        <f aca="false">1/(1+$B$27/100)^E4</f>
        <v>0.72139877057418</v>
      </c>
      <c r="F20" s="0" t="n">
        <f aca="false">1/(1+$B$27/100)^F4</f>
        <v>0.646994413071014</v>
      </c>
      <c r="G20" s="0" t="n">
        <f aca="false">1/(1+$B$27/100)^G4</f>
        <v>0.580264047597322</v>
      </c>
      <c r="H20" s="0" t="n">
        <f aca="false">1/(1+$B$27/100)^H4</f>
        <v>0.520416186185939</v>
      </c>
      <c r="I20" s="0" t="n">
        <f aca="false">1/(1+$B$27/100)^I4</f>
        <v>0.466740974157793</v>
      </c>
      <c r="J20" s="0" t="n">
        <f aca="false">1/(1+$B$27/100)^J4</f>
        <v>0.418601770545106</v>
      </c>
      <c r="K20" s="0" t="n">
        <f aca="false">1/(1+$B$27/100)^K4</f>
        <v>0.37542759690144</v>
      </c>
      <c r="L20" s="0" t="n">
        <f aca="false">1/(1+$B$27/100)^L4</f>
        <v>0.336706364934027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730.216729139013</v>
      </c>
      <c r="D21" s="0" t="n">
        <f aca="false">D19*D20</f>
        <v>714.103809867401</v>
      </c>
      <c r="E21" s="0" t="n">
        <f aca="false">E19*E20</f>
        <v>697.392860403345</v>
      </c>
      <c r="F21" s="0" t="n">
        <f aca="false">F19*F20</f>
        <v>672.059028193192</v>
      </c>
      <c r="G21" s="0" t="n">
        <f aca="false">G19*G20</f>
        <v>639.144504434851</v>
      </c>
      <c r="H21" s="0" t="n">
        <f aca="false">H19*H20</f>
        <v>600.132217418726</v>
      </c>
      <c r="I21" s="0" t="n">
        <f aca="false">I19*I20</f>
        <v>554.382227750034</v>
      </c>
      <c r="J21" s="0" t="n">
        <f aca="false">J19*J20</f>
        <v>512.119905455189</v>
      </c>
      <c r="K21" s="0" t="n">
        <f aca="false">K19*K20</f>
        <v>473.079374546049</v>
      </c>
      <c r="L21" s="0" t="n">
        <f aca="false">L19*L20</f>
        <v>437.01502760756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11.5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6029.64568481536</v>
      </c>
    </row>
    <row r="31" customFormat="false" ht="15" hidden="false" customHeight="false" outlineLevel="0" collapsed="false">
      <c r="A31" s="0" t="s">
        <v>137</v>
      </c>
      <c r="B31" s="0" t="n">
        <f aca="false">L19</f>
        <v>1297.91139437827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15727.6321907014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20766.5823100523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15727.6321907014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5295.59386395044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11325.2395487658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11325.2395487658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70.9472561299375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0.119041894793967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70.9472561299375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11140.4061350801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49.7041965462917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33.8111501308734</v>
      </c>
      <c r="C4" s="0" t="n">
        <f aca="false">B4/Assumptions!$B$2-1</f>
        <v>-0.466701102036696</v>
      </c>
      <c r="D4" s="4" t="n">
        <f aca="false">Assumptions!$B$24</f>
        <v>0.3</v>
      </c>
      <c r="E4" s="4" t="n">
        <f aca="false">DCF_Bear!$B$43</f>
        <v>33.8111501308734</v>
      </c>
      <c r="F4" s="4" t="n">
        <f aca="false">DCF_Bear!$B$47</f>
        <v>25.5079228491008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58.8336033281436</v>
      </c>
      <c r="C5" s="0" t="n">
        <f aca="false">B5/Assumptions!$B$2-1</f>
        <v>-0.0720251840986812</v>
      </c>
      <c r="D5" s="4" t="n">
        <f aca="false">Assumptions!$B$38</f>
        <v>0.45</v>
      </c>
      <c r="E5" s="4" t="n">
        <f aca="false">DCF_Base!$B$43</f>
        <v>58.8336033281436</v>
      </c>
      <c r="F5" s="4" t="n">
        <f aca="false">DCF_Base!$B$47</f>
        <v>42.1054554270969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70.9472561299375</v>
      </c>
      <c r="C6" s="0" t="n">
        <f aca="false">B6/Assumptions!$B$2-1</f>
        <v>0.119041894793967</v>
      </c>
      <c r="D6" s="4" t="n">
        <f aca="false">Assumptions!$B$52</f>
        <v>0.25</v>
      </c>
      <c r="E6" s="4" t="n">
        <f aca="false">DCF_Bull!$B$43</f>
        <v>70.9472561299375</v>
      </c>
      <c r="F6" s="4" t="n">
        <f aca="false">DCF_Bull!$B$47</f>
        <v>49.7041965462917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54.355280569411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54.355280569411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-0.16640001368476</v>
      </c>
    </row>
    <row r="11" customFormat="false" ht="15" hidden="false" customHeight="false" outlineLevel="0" collapsed="false">
      <c r="A11" s="0" t="s">
        <v>164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39.0258809334968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81.8562436582126</v>
      </c>
      <c r="C15" s="3" t="n">
        <v>9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70.8011765605275</v>
      </c>
      <c r="C16" s="3" t="n">
        <v>10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62.3522865156237</v>
      </c>
      <c r="C17" s="3" t="n">
        <v>11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58.8336033281436</v>
      </c>
      <c r="C18" s="3" t="n">
        <v>11.5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55.686336329704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42.1054554270969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9.5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70.610647666918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73.094462953419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75.9331089951344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79.2084698124983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79.6272374055859</v>
      </c>
    </row>
    <row r="25" customFormat="false" ht="15" hidden="false" customHeight="false" outlineLevel="0" collapsed="false">
      <c r="A25" s="3" t="n">
        <v>10.5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62.4975858512516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64.2926322600192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66.3120594698826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68.6007436410613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71.2163826938368</v>
      </c>
    </row>
    <row r="26" customFormat="false" ht="15" hidden="false" customHeight="false" outlineLevel="0" collapsed="false">
      <c r="A26" s="3" t="n">
        <v>11.5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56.0196862302853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57.3525943292708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58.8336033281436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60.488848679825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62.3509997004665</v>
      </c>
    </row>
    <row r="27" customFormat="false" ht="15" hidden="false" customHeight="false" outlineLevel="0" collapsed="false">
      <c r="A27" s="3" t="n">
        <v>12.5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50.7302206393228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51.7419000985143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52.854747503625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54.0847367408526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55.4513914488832</v>
      </c>
    </row>
    <row r="28" customFormat="false" ht="15" hidden="false" customHeight="false" outlineLevel="0" collapsed="false">
      <c r="A28" s="3" t="n">
        <v>13.5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46.3314278949281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47.1133361142468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47.9663268989581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48.900554901261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49.9282057037942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2026-09-26T00:20:40Z</dcterms:created>
  <dc:creator>openpyxl</dc:creator>
  <dc:description/>
  <dc:language>en-NZ</dc:language>
  <cp:lastModifiedBy/>
  <dcterms:modified xsi:type="dcterms:W3CDTF">2026-09-26T00:20:40Z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