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<sst xmlns="http://schemas.openxmlformats.org/spreadsheetml/2006/main" count="389" uniqueCount="174">
  <si>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</si>
  <si>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EBAY</t>
  </si>
  <si>
    <t xml:space="preserve">Company</t>
  </si>
  <si>
    <t xml:space="preserve">eBay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</si>
  <si>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</si>
  <si>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</si>
  <si>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</si>
  <si>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</si>
  <si>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regular close (Friday); 52-week range 78.03-119.31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</si>
  <si>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</si>
  <si>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</si>
  <si>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</si>
  <si>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</si>
  <si>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</si>
  <si>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</si>
  <si>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</si>
  <si>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</si>
  <si>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</si>
  <si>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</si>
  <si>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</si>
  <si>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</si>
  <si>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2026-09-28T07:23:01Z</t>
  </si>
  <si>
    <t xml:space="preserve">Drivers file</t>
  </si>
  <si>
    <t xml:space="preserve">EBAY_Drivers.json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</si>
  <si>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</si>
  <si>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</si>
  <si>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</si>
  <si>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eBay is valued as a mature, cash-generative marketplace on a strict owner-FCF basis: SBC and the cash withheld on equity awards are expensed, interest on the $4.9B cash-and-securities pile is stripped and the pile credited once in net debt, the FY2025 FCF base is normalised for a ~$1.0B one-off tax payment on the Adevinta gain, and the Depop purchase price is charged in the bridge while its revenue sits inside the guidance-year growth. The company's own 'free cash flow' (~$2.4B) is roughly double what a flat-count owner actually keeps (~$1.3B), which is the core reason the house value sits well below the street's; the street basis is reported alongside so the reader can see how much of the price rests on treating comp as non-cash.
key_risks_to_valuation: SBC treatment: charging the $273M net-share-settlement withholding on top of the $607M expense is the house convention; on SBC-only the value is ~$8-10/share higher.; Cash tax rate: modelled at 18-20% of owner EBIT against a 13.5% FY2025 GAAP ETR and 16.5% non-GAAP guide; each 1pp is ~$1.2/share. If historic 25-30% cash-tax ratios reflect a structural rate rather than gain taxes, value is lower.; Growth durability: the model gives FY2026 12.5% but fades to 3%; if Focused Categories plus advertising can hold 6-7% for a decade (the bull path) value is ~$100+.; Terminal share: with 9% WACC and a 10-year horizon roughly 55-60% of EV is terminal value; a 1pp WACC change moves value ~15%.; Cross-border policy and agentic AI are binary-ish external risks handled through the 25% bear weight, not the discount rate.</t>
  </si>
  <si>
    <t xml:space="preserve">Data sources</t>
  </si>
  <si>
    <t xml:space="preserve">price: Yahoo Finance chart API regularMarketPrice at inputs.price_as_of (Friday regular close); 52-week range 78.03-119.31.
financials: SEC XBRL companyfacts (CIK 1065088): FY2025 10-K and Q2 2026 10-Q for revenue, operating income, D&amp;A, SBC, tax withholding, interest income, cash taxes, cash, AFS securities, equity securities, debt, lease liabilities and diluted shares; research/EBAY/Reports/EBAY_Metrics.csv for the 2006-2026 history and the owner-FCF CAGR series.
qualitative: research/EBAY/Reports/EBAY_Analysis.json (2026-09-28): Q2 2026 results and raised FY2026 guidance, Depop acquisition, Focused-Categories / advertising / eBay Live drivers, tariff and agentic-AI risks.</t>
  </si>
  <si>
    <t xml:space="preserve">Scenario narrative: bear</t>
  </si>
  <si>
    <t xml:space="preserve">The re-acceleration is cyclical and comp-driven, not structural: FY2027 growth collapses to 3% as Depop annualises and the FX tailwind reverses, then reverts to the ~1-2% of FY2022-24. Tariff and flat per-parcel duties dampen cross-border GMV, which peers with domestic-only volume do not feel. Agentic shopping assistants (ChatGPT, Perplexity, Google) intermediate discovery, eroding the search-driven promoted-listings ad revenue that carries eBay's margin expansion, while eBay's decision to block buy-for-me agents cedes that channel. Marketing spend to defend against Poshmark, Vinted and Mercari compresses adj EBITDA to 27.5%; SBC intensity does not fall; a terminal cap of 14x binds (Gordon at 2%/9% would be 14.6x). Not a solvency scenario - leverage stays ~1x EBITDA - but a slow ex-growth marketplace repriced as such.</t>
  </si>
  <si>
    <t xml:space="preserve">Scenario narrative: base</t>
  </si>
  <si>
    <t xml:space="preserve">FY2026 lands at the top of the raised 11-12% guide (Depop adds ~2pts, Focused Categories - collectibles, motors parts, fashion, refurbished - now over 40% of GMV and growing 20%+). Growth then fades toward 3% as Depop annualises, the FX tailwind lapses and the marketplace's flat active-buyer base reasserts itself; the FY2022-24 stagnation is the reminder that eBay's structural growth is low-single-digit once a mix-shift story matures. Margin creeps from 29.8% to 31.5% adj EBITDA on advertising take-rate (first-party ads +25% YoY, minimal incremental cost) and Depop scaling, but SBC plus withholding stays a 7-8% of revenue cost that a flat-count owner bears in full. Tariff / de minimis friction on cross-border GMV (~half of the total) and agentic-AI shopping are absorbed without breaking the trend. Terminal value is Gordon at 2.5% / 9% (15.8x, under the 18x cap).</t>
  </si>
  <si>
    <t xml:space="preserve">Scenario narrative: bull</t>
  </si>
  <si>
    <t xml:space="preserve">The Focused-Category and recommerce pivot proves durable rather than a two-year mix effect: Depop integrates without brand damage and grows 40%+ into a second network, eBay Live becomes a material collectibles channel, and advertising monetisation keeps climbing toward Amazon-like ad-to-GMV ratios, lifting adj EBITDA margin to 33.5%. Cross-border headwinds net out as Temu/Shein/AliExpress lose their de minimis edge relative to eBay's seller base. Revenue compounds ~7% over ten years, SBC intensity falls to 6% of revenue, and the buyback keeps taking ~3% of the count out each year at prices below intrinsic value. Terminal 3% growth at 9% (17.2x, under the 20x cap).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</si>
  <si>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</si>
  <si>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</si>
  <si>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</si>
  <si>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</si>
  <si>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</si>
  <si>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</si>
  <si>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</si>
  <si>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</si>
  <si>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</si>
  <si>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</si>
  <si>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</si>
  <si>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</si>
  <si>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</si>
  <si>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</si>
  <si>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</si>
  <si>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</si>
  <si>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</si>
  <si>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</si>
  <si>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</si>
  <si>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</si>
  <si>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</si>
  <si>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</si>
  <si>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</si>
  <si>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</si>
  <si>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</si>
  <si>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</si>
  <si>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</si>
  <si>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</si>
  <si>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</si>
  <si>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</si>
  <si>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</si>
  <si>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</si>
  <si>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</si>
  <si>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</si>
  <si>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</si>
  <si>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</si>
  <si>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</si>
  <si>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</si>
  <si>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</si>
  <si>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</si>
  <si>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</si>
  <si>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</si>
  <si>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</si>
  <si>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</si>
  <si>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</si>
  <si>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</si>
  <si>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</si>
  <si>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</si>
  <si>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</si>
  <si>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</si>
  <si>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</si>
  <si>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</si>
  <si>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</si>
  <si>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</si>
  <si>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</si>
  <si>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</si>
  <si>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</si>
  <si>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</si>
  <si>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</si>
  <si>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</si>
  <si>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</si>
  <si>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</si>
  <si>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</si>
  <si>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</si>
  <si>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</si>
  <si>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</si>
  <si>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</si>
  <si>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</si>
  <si>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</si>
  <si>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</si>
  <si>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</si>
  <si>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</si>
  <si>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</si>
  <si>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</si>
  <si>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</si>
  <si>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</si>
  <si>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</si>
  <si>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</si>
  <si>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</si>
  <si>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</si>
  <si>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</si>
  <si>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</si>
  <si>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</si>
  <si>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</si>
  <si>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EBAY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</si>
  <si>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</si>
  <si>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</si>
  <si>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</si>
  <si>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</si>
  <si>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</si>
  <si>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</si>
  <si>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</si>
  <si>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</si>
  <si>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</si>
  <si>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</si>
  <si>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</si>
  <si>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</si>
  <si>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</si>
  <si>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</si>
  <si>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</si>
  <si>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</si>
  <si>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</si>
  <si>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</si>
  <si>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</si>
  <si>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</si>
  <si>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</si>
  <si>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</si>
  <si>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</si>
  <si>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</si>
  <si>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</si>
  <si>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</si>
  <si>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</si>
  <si>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</si>
  <si>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</si>
  <si>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</si>
  <si>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EBAY owner-FCF component DCF: base case (millions, USD)</t>
  </si>
  <si>
    <t xml:space="preserve">EBAY owner-FCF component DCF: bull case (millions, USD)</t>
  </si>
  <si>
    <t xml:space="preserve">EBAY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</si>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</sst>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107.9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2662.792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C3" s="0" t="n">
        <v>1762.972</v>
      </c>
      <c r="D3" s="0" t="n">
        <v>5909.357</v>
      </c>
      <c r="F3" s="0" t="n">
        <v>613.18</v>
      </c>
      <c r="H3" s="0" t="n">
        <v>1214.801</v>
      </c>
      <c r="I3" s="0" t="n">
        <v>348.251</v>
      </c>
      <c r="K3" s="0" t="n">
        <v>0.26</v>
      </c>
      <c r="L3" s="0" t="n">
        <v>2641.329</v>
      </c>
      <c r="M3" s="0" t="n">
        <v>453.967</v>
      </c>
      <c r="N3" s="0" t="n">
        <v>2187.362</v>
      </c>
      <c r="O3" s="0" t="n">
        <v>11704.602</v>
      </c>
      <c r="S3" s="0" t="n">
        <v>4221.191</v>
      </c>
      <c r="T3" s="0" t="n">
        <v>1350.219</v>
      </c>
      <c r="U3" s="0" t="n">
        <v>301.813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8541.261</v>
      </c>
      <c r="C4" s="0" t="n">
        <v>2228.069</v>
      </c>
      <c r="D4" s="0" t="n">
        <v>6313.192</v>
      </c>
      <c r="E4" s="0" t="n">
        <v>73.9140508643864</v>
      </c>
      <c r="F4" s="0" t="n">
        <v>2075.682</v>
      </c>
      <c r="G4" s="0" t="n">
        <v>24.3018214757751</v>
      </c>
      <c r="H4" s="0" t="n">
        <v>2795.496</v>
      </c>
      <c r="I4" s="0" t="n">
        <v>1779.474</v>
      </c>
      <c r="J4" s="0" t="n">
        <v>20.8338557971709</v>
      </c>
      <c r="K4" s="0" t="n">
        <v>1.37</v>
      </c>
      <c r="L4" s="0" t="n">
        <v>2881.995</v>
      </c>
      <c r="M4" s="0" t="n">
        <v>565.89</v>
      </c>
      <c r="N4" s="0" t="n">
        <v>2316.105</v>
      </c>
      <c r="O4" s="0" t="n">
        <v>11083.858</v>
      </c>
      <c r="P4" s="0" t="n">
        <v>15592.439</v>
      </c>
      <c r="Q4" s="0" t="n">
        <v>4508.581</v>
      </c>
      <c r="S4" s="0" t="n">
        <v>3188.928</v>
      </c>
      <c r="T4" s="0" t="n">
        <v>1312.608</v>
      </c>
      <c r="U4" s="0" t="n">
        <v>353.323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8727.362</v>
      </c>
      <c r="C5" s="0" t="n">
        <v>2479.762</v>
      </c>
      <c r="D5" s="0" t="n">
        <v>6247.6</v>
      </c>
      <c r="E5" s="0" t="n">
        <v>71.5863510646173</v>
      </c>
      <c r="F5" s="0" t="n">
        <v>1456.766</v>
      </c>
      <c r="G5" s="0" t="n">
        <v>16.6919396720338</v>
      </c>
      <c r="H5" s="0" t="n">
        <v>2267.712</v>
      </c>
      <c r="I5" s="0" t="n">
        <v>2389.097</v>
      </c>
      <c r="J5" s="0" t="n">
        <v>27.3747897703796</v>
      </c>
      <c r="K5" s="0" t="n">
        <v>1.85</v>
      </c>
      <c r="L5" s="0" t="n">
        <v>2908.086</v>
      </c>
      <c r="M5" s="0" t="n">
        <v>567.094</v>
      </c>
      <c r="N5" s="0" t="n">
        <v>2340.992</v>
      </c>
      <c r="O5" s="0" t="n">
        <v>13787.648</v>
      </c>
      <c r="P5" s="0" t="n">
        <v>18408.32</v>
      </c>
      <c r="Q5" s="0" t="n">
        <v>4620.672</v>
      </c>
      <c r="R5" s="0" t="n">
        <v>0</v>
      </c>
      <c r="S5" s="0" t="n">
        <v>4000</v>
      </c>
      <c r="T5" s="0" t="n">
        <v>1304.981</v>
      </c>
      <c r="U5" s="0" t="n">
        <v>394.807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9156</v>
      </c>
      <c r="C6" s="0" t="n">
        <v>2564</v>
      </c>
      <c r="D6" s="0" t="n">
        <v>6592</v>
      </c>
      <c r="E6" s="0" t="n">
        <v>71.996505024028</v>
      </c>
      <c r="F6" s="0" t="n">
        <v>2054</v>
      </c>
      <c r="G6" s="0" t="n">
        <v>22.433377020533</v>
      </c>
      <c r="H6" s="0" t="n">
        <v>2816</v>
      </c>
      <c r="I6" s="0" t="n">
        <v>1801</v>
      </c>
      <c r="J6" s="0" t="n">
        <v>19.6701616426387</v>
      </c>
      <c r="K6" s="0" t="n">
        <v>1.38</v>
      </c>
      <c r="L6" s="0" t="n">
        <v>2746</v>
      </c>
      <c r="M6" s="0" t="n">
        <v>724</v>
      </c>
      <c r="N6" s="0" t="n">
        <v>2022</v>
      </c>
      <c r="O6" s="0" t="n">
        <v>15302</v>
      </c>
      <c r="P6" s="0" t="n">
        <v>22003.762</v>
      </c>
      <c r="Q6" s="0" t="n">
        <v>6701.583</v>
      </c>
      <c r="R6" s="0" t="n">
        <v>1494.227</v>
      </c>
      <c r="S6" s="0" t="n">
        <v>5577</v>
      </c>
      <c r="T6" s="0" t="n">
        <v>1327</v>
      </c>
      <c r="U6" s="0" t="n">
        <v>381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11652</v>
      </c>
      <c r="C7" s="0" t="n">
        <v>3461</v>
      </c>
      <c r="D7" s="0" t="n">
        <v>8191</v>
      </c>
      <c r="E7" s="0" t="n">
        <v>70.2969447305184</v>
      </c>
      <c r="F7" s="0" t="n">
        <v>2373</v>
      </c>
      <c r="G7" s="0" t="n">
        <v>20.3656024716787</v>
      </c>
      <c r="H7" s="0" t="n">
        <v>3313</v>
      </c>
      <c r="I7" s="0" t="n">
        <v>3229</v>
      </c>
      <c r="J7" s="0" t="n">
        <v>27.7119807758325</v>
      </c>
      <c r="K7" s="0" t="n">
        <v>2.5</v>
      </c>
      <c r="L7" s="0" t="n">
        <v>3274</v>
      </c>
      <c r="M7" s="0" t="n">
        <v>963</v>
      </c>
      <c r="N7" s="0" t="n">
        <v>2311</v>
      </c>
      <c r="O7" s="0" t="n">
        <v>17930</v>
      </c>
      <c r="P7" s="0" t="n">
        <v>27320</v>
      </c>
      <c r="Q7" s="0" t="n">
        <v>9390</v>
      </c>
      <c r="R7" s="0" t="n">
        <v>2090</v>
      </c>
      <c r="S7" s="0" t="n">
        <v>4691</v>
      </c>
      <c r="T7" s="0" t="n">
        <v>1313</v>
      </c>
      <c r="U7" s="0" t="n">
        <v>458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14072</v>
      </c>
      <c r="C8" s="0" t="n">
        <v>4216</v>
      </c>
      <c r="D8" s="0" t="n">
        <v>9856</v>
      </c>
      <c r="E8" s="0" t="n">
        <v>70.0397953382604</v>
      </c>
      <c r="F8" s="0" t="n">
        <v>2888</v>
      </c>
      <c r="G8" s="0" t="n">
        <v>20.5230244457078</v>
      </c>
      <c r="H8" s="0" t="n">
        <v>4088</v>
      </c>
      <c r="I8" s="0" t="n">
        <v>2609</v>
      </c>
      <c r="J8" s="0" t="n">
        <v>18.5403638430927</v>
      </c>
      <c r="K8" s="0" t="n">
        <v>2.02</v>
      </c>
      <c r="L8" s="0" t="n">
        <v>3838</v>
      </c>
      <c r="M8" s="0" t="n">
        <v>1257</v>
      </c>
      <c r="N8" s="0" t="n">
        <v>2581</v>
      </c>
      <c r="O8" s="0" t="n">
        <v>20865</v>
      </c>
      <c r="P8" s="0" t="n">
        <v>37074</v>
      </c>
      <c r="Q8" s="0" t="n">
        <v>16209</v>
      </c>
      <c r="R8" s="0" t="n">
        <v>4519</v>
      </c>
      <c r="S8" s="0" t="n">
        <v>6817</v>
      </c>
      <c r="T8" s="0" t="n">
        <v>1313</v>
      </c>
      <c r="U8" s="0" t="n">
        <v>488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8257</v>
      </c>
      <c r="C9" s="0" t="n">
        <v>1492</v>
      </c>
      <c r="D9" s="0" t="n">
        <v>6765</v>
      </c>
      <c r="E9" s="0" t="n">
        <v>81.9304832263534</v>
      </c>
      <c r="F9" s="0" t="n">
        <v>2454</v>
      </c>
      <c r="G9" s="0" t="n">
        <v>29.720237374349</v>
      </c>
      <c r="H9" s="0" t="n">
        <v>3114</v>
      </c>
      <c r="I9" s="0" t="n">
        <v>2856</v>
      </c>
      <c r="J9" s="0" t="n">
        <v>34.5888337168463</v>
      </c>
      <c r="K9" s="0" t="n">
        <v>2.2</v>
      </c>
      <c r="L9" s="0" t="n">
        <v>4995</v>
      </c>
      <c r="M9" s="0" t="n">
        <v>678</v>
      </c>
      <c r="N9" s="0" t="n">
        <v>4317</v>
      </c>
      <c r="O9" s="0" t="n">
        <v>23647</v>
      </c>
      <c r="P9" s="0" t="n">
        <v>41488</v>
      </c>
      <c r="Q9" s="0" t="n">
        <v>17841</v>
      </c>
      <c r="R9" s="0" t="n">
        <v>4123</v>
      </c>
      <c r="S9" s="0" t="n">
        <v>2848</v>
      </c>
      <c r="T9" s="0" t="n">
        <v>1313</v>
      </c>
      <c r="U9" s="0" t="n">
        <v>298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8790</v>
      </c>
      <c r="C10" s="0" t="n">
        <v>1663</v>
      </c>
      <c r="D10" s="0" t="n">
        <v>7127</v>
      </c>
      <c r="E10" s="0" t="n">
        <v>81.0807736063709</v>
      </c>
      <c r="F10" s="0" t="n">
        <v>2476</v>
      </c>
      <c r="G10" s="0" t="n">
        <v>28.1683731513083</v>
      </c>
      <c r="H10" s="0" t="n">
        <v>3158</v>
      </c>
      <c r="I10" s="0" t="n">
        <v>46</v>
      </c>
      <c r="J10" s="0" t="n">
        <v>0.523321956769056</v>
      </c>
      <c r="K10" s="0" t="n">
        <v>0.04</v>
      </c>
      <c r="L10" s="0" t="n">
        <v>5677</v>
      </c>
      <c r="M10" s="0" t="n">
        <v>622</v>
      </c>
      <c r="N10" s="0" t="n">
        <v>5055</v>
      </c>
      <c r="O10" s="0" t="n">
        <v>19906</v>
      </c>
      <c r="P10" s="0" t="n">
        <v>45132</v>
      </c>
      <c r="Q10" s="0" t="n">
        <v>25226</v>
      </c>
      <c r="R10" s="0" t="n">
        <v>7627</v>
      </c>
      <c r="S10" s="0" t="n">
        <v>4105</v>
      </c>
      <c r="T10" s="0" t="n">
        <v>1251</v>
      </c>
      <c r="U10" s="0" t="n">
        <v>344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8592</v>
      </c>
      <c r="C11" s="0" t="n">
        <v>1771</v>
      </c>
      <c r="D11" s="0" t="n">
        <v>6821</v>
      </c>
      <c r="E11" s="0" t="n">
        <v>79.3878026070764</v>
      </c>
      <c r="F11" s="0" t="n">
        <v>2197</v>
      </c>
      <c r="G11" s="0" t="n">
        <v>25.5702979515829</v>
      </c>
      <c r="H11" s="0" t="n">
        <v>2884</v>
      </c>
      <c r="I11" s="0" t="n">
        <v>1725</v>
      </c>
      <c r="J11" s="0" t="n">
        <v>20.0768156424581</v>
      </c>
      <c r="K11" s="0" t="n">
        <v>1.43</v>
      </c>
      <c r="L11" s="0" t="n">
        <v>4033</v>
      </c>
      <c r="M11" s="0" t="n">
        <v>668</v>
      </c>
      <c r="N11" s="0" t="n">
        <v>3365</v>
      </c>
      <c r="O11" s="0" t="n">
        <v>6576</v>
      </c>
      <c r="P11" s="0" t="n">
        <v>17755</v>
      </c>
      <c r="Q11" s="0" t="n">
        <v>11179</v>
      </c>
      <c r="R11" s="0" t="n">
        <v>6779</v>
      </c>
      <c r="S11" s="0" t="n">
        <v>1832</v>
      </c>
      <c r="T11" s="0" t="n">
        <v>1220</v>
      </c>
      <c r="U11" s="0" t="n">
        <v>379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9298</v>
      </c>
      <c r="C12" s="0" t="n">
        <v>2004</v>
      </c>
      <c r="D12" s="0" t="n">
        <v>7294</v>
      </c>
      <c r="E12" s="0" t="n">
        <v>78.4469778446978</v>
      </c>
      <c r="F12" s="0" t="n">
        <v>2325</v>
      </c>
      <c r="G12" s="0" t="n">
        <v>25.0053775005378</v>
      </c>
      <c r="H12" s="0" t="n">
        <v>3007</v>
      </c>
      <c r="I12" s="0" t="n">
        <v>7266</v>
      </c>
      <c r="J12" s="0" t="n">
        <v>78.1458378145838</v>
      </c>
      <c r="K12" s="0" t="n">
        <v>6.41</v>
      </c>
      <c r="L12" s="0" t="n">
        <v>2826</v>
      </c>
      <c r="M12" s="0" t="n">
        <v>626</v>
      </c>
      <c r="N12" s="0" t="n">
        <v>2200</v>
      </c>
      <c r="O12" s="0" t="n">
        <v>10526</v>
      </c>
      <c r="P12" s="0" t="n">
        <v>23847</v>
      </c>
      <c r="Q12" s="0" t="n">
        <v>13308</v>
      </c>
      <c r="R12" s="0" t="n">
        <v>8959</v>
      </c>
      <c r="S12" s="0" t="n">
        <v>1816</v>
      </c>
      <c r="T12" s="0" t="n">
        <v>1144</v>
      </c>
      <c r="U12" s="0" t="n">
        <v>416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9927</v>
      </c>
      <c r="C13" s="0" t="n">
        <v>2221</v>
      </c>
      <c r="D13" s="0" t="n">
        <v>7706</v>
      </c>
      <c r="E13" s="0" t="n">
        <v>77.6266747254961</v>
      </c>
      <c r="F13" s="0" t="n">
        <v>2264</v>
      </c>
      <c r="G13" s="0" t="n">
        <v>22.8064873577113</v>
      </c>
      <c r="H13" s="0" t="n">
        <v>2940</v>
      </c>
      <c r="I13" s="0" t="n">
        <v>-1017</v>
      </c>
      <c r="J13" s="0" t="n">
        <v>-10.2447869446963</v>
      </c>
      <c r="K13" s="0" t="n">
        <v>-0.95</v>
      </c>
      <c r="L13" s="0" t="n">
        <v>3146</v>
      </c>
      <c r="M13" s="0" t="n">
        <v>666</v>
      </c>
      <c r="N13" s="0" t="n">
        <v>2480</v>
      </c>
      <c r="O13" s="0" t="n">
        <v>8049</v>
      </c>
      <c r="P13" s="0" t="n">
        <v>25986</v>
      </c>
      <c r="Q13" s="0" t="n">
        <v>17937</v>
      </c>
      <c r="R13" s="0" t="n">
        <v>9984</v>
      </c>
      <c r="S13" s="0" t="n">
        <v>2120</v>
      </c>
      <c r="T13" s="0" t="n">
        <v>1064</v>
      </c>
      <c r="U13" s="0" t="n">
        <v>483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8650</v>
      </c>
      <c r="C14" s="0" t="n">
        <v>2023</v>
      </c>
      <c r="D14" s="0" t="n">
        <v>6627</v>
      </c>
      <c r="E14" s="0" t="n">
        <v>76.6127167630058</v>
      </c>
      <c r="F14" s="0" t="n">
        <v>1752</v>
      </c>
      <c r="G14" s="0" t="n">
        <v>20.2543352601156</v>
      </c>
      <c r="H14" s="0" t="n">
        <v>2387</v>
      </c>
      <c r="I14" s="0" t="n">
        <v>2530</v>
      </c>
      <c r="J14" s="0" t="n">
        <v>29.2485549132948</v>
      </c>
      <c r="K14" s="0" t="n">
        <v>2.58</v>
      </c>
      <c r="L14" s="0" t="n">
        <v>2658</v>
      </c>
      <c r="M14" s="0" t="n">
        <v>623</v>
      </c>
      <c r="N14" s="0" t="n">
        <v>2035</v>
      </c>
      <c r="O14" s="0" t="n">
        <v>6281</v>
      </c>
      <c r="P14" s="0" t="n">
        <v>22819</v>
      </c>
      <c r="Q14" s="0" t="n">
        <v>16538</v>
      </c>
      <c r="R14" s="0" t="n">
        <v>9235</v>
      </c>
      <c r="S14" s="0" t="n">
        <v>2202</v>
      </c>
      <c r="T14" s="0" t="n">
        <v>991</v>
      </c>
      <c r="U14" s="0" t="n">
        <v>465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7429</v>
      </c>
      <c r="C15" s="0" t="n">
        <v>1585</v>
      </c>
      <c r="D15" s="0" t="n">
        <v>5844</v>
      </c>
      <c r="E15" s="0" t="n">
        <v>78.6646924215911</v>
      </c>
      <c r="F15" s="0" t="n">
        <v>1770</v>
      </c>
      <c r="G15" s="0" t="n">
        <v>23.8255485260466</v>
      </c>
      <c r="H15" s="0" t="n">
        <v>2370</v>
      </c>
      <c r="I15" s="0" t="n">
        <v>1786</v>
      </c>
      <c r="J15" s="0" t="n">
        <v>24.0409207161125</v>
      </c>
      <c r="K15" s="0" t="n">
        <v>2.1</v>
      </c>
      <c r="L15" s="0" t="n">
        <v>3114</v>
      </c>
      <c r="M15" s="0" t="n">
        <v>508</v>
      </c>
      <c r="N15" s="0" t="n">
        <v>2606</v>
      </c>
      <c r="O15" s="0" t="n">
        <v>2870</v>
      </c>
      <c r="P15" s="0" t="n">
        <v>18174</v>
      </c>
      <c r="Q15" s="0" t="n">
        <v>15304</v>
      </c>
      <c r="R15" s="0" t="n">
        <v>7738</v>
      </c>
      <c r="S15" s="0" t="n">
        <v>901</v>
      </c>
      <c r="T15" s="0" t="n">
        <v>856</v>
      </c>
      <c r="U15" s="0" t="n">
        <v>415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8894</v>
      </c>
      <c r="C16" s="0" t="n">
        <v>1797</v>
      </c>
      <c r="D16" s="0" t="n">
        <v>7097</v>
      </c>
      <c r="E16" s="0" t="n">
        <v>79.7953676635934</v>
      </c>
      <c r="F16" s="0" t="n">
        <v>2636</v>
      </c>
      <c r="G16" s="0" t="n">
        <v>29.6379581740499</v>
      </c>
      <c r="H16" s="0" t="n">
        <v>3219</v>
      </c>
      <c r="I16" s="0" t="n">
        <v>5667</v>
      </c>
      <c r="J16" s="0" t="n">
        <v>63.7171126602204</v>
      </c>
      <c r="K16" s="0" t="n">
        <v>7.98</v>
      </c>
      <c r="L16" s="0" t="n">
        <v>2419</v>
      </c>
      <c r="M16" s="0" t="n">
        <v>463</v>
      </c>
      <c r="N16" s="0" t="n">
        <v>1956</v>
      </c>
      <c r="O16" s="0" t="n">
        <v>3561</v>
      </c>
      <c r="P16" s="0" t="n">
        <v>19310</v>
      </c>
      <c r="Q16" s="0" t="n">
        <v>15749</v>
      </c>
      <c r="R16" s="0" t="n">
        <v>7740</v>
      </c>
      <c r="S16" s="0" t="n">
        <v>1101</v>
      </c>
      <c r="T16" s="0" t="n">
        <v>718</v>
      </c>
      <c r="U16" s="0" t="n">
        <v>417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10420</v>
      </c>
      <c r="C17" s="0" t="n">
        <v>2650</v>
      </c>
      <c r="D17" s="0" t="n">
        <v>7770</v>
      </c>
      <c r="E17" s="0" t="n">
        <v>74.5681381957774</v>
      </c>
      <c r="F17" s="0" t="n">
        <v>2923</v>
      </c>
      <c r="G17" s="0" t="n">
        <v>28.0518234165067</v>
      </c>
      <c r="H17" s="0" t="n">
        <v>3425</v>
      </c>
      <c r="I17" s="0" t="n">
        <v>13608</v>
      </c>
      <c r="J17" s="0" t="n">
        <v>130.595009596929</v>
      </c>
      <c r="K17" s="0" t="n">
        <v>20.87</v>
      </c>
      <c r="L17" s="0" t="n">
        <v>2657</v>
      </c>
      <c r="M17" s="0" t="n">
        <v>444</v>
      </c>
      <c r="N17" s="0" t="n">
        <v>2213</v>
      </c>
      <c r="O17" s="0" t="n">
        <v>9778</v>
      </c>
      <c r="P17" s="0" t="n">
        <v>26626</v>
      </c>
      <c r="Q17" s="0" t="n">
        <v>16848</v>
      </c>
      <c r="R17" s="0" t="n">
        <v>9082</v>
      </c>
      <c r="S17" s="0" t="n">
        <v>1379</v>
      </c>
      <c r="T17" s="0" t="n">
        <v>663</v>
      </c>
      <c r="U17" s="0" t="n">
        <v>477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9795</v>
      </c>
      <c r="C18" s="0" t="n">
        <v>2680</v>
      </c>
      <c r="D18" s="0" t="n">
        <v>7115</v>
      </c>
      <c r="E18" s="0" t="n">
        <v>72.63910158244</v>
      </c>
      <c r="F18" s="0" t="n">
        <v>2350</v>
      </c>
      <c r="G18" s="0" t="n">
        <v>23.9918325676366</v>
      </c>
      <c r="H18" s="0" t="n">
        <v>2792</v>
      </c>
      <c r="I18" s="0" t="n">
        <v>-1269</v>
      </c>
      <c r="J18" s="0" t="n">
        <v>-12.9555895865237</v>
      </c>
      <c r="K18" s="0" t="n">
        <v>-2.27</v>
      </c>
      <c r="L18" s="0" t="n">
        <v>2254</v>
      </c>
      <c r="M18" s="0" t="n">
        <v>449</v>
      </c>
      <c r="N18" s="0" t="n">
        <v>1805</v>
      </c>
      <c r="O18" s="0" t="n">
        <v>5153</v>
      </c>
      <c r="P18" s="0" t="n">
        <v>20850</v>
      </c>
      <c r="Q18" s="0" t="n">
        <v>15697</v>
      </c>
      <c r="R18" s="0" t="n">
        <v>8871</v>
      </c>
      <c r="S18" s="0" t="n">
        <v>2154</v>
      </c>
      <c r="T18" s="0" t="n">
        <v>558</v>
      </c>
      <c r="U18" s="0" t="n">
        <v>494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10112</v>
      </c>
      <c r="C19" s="0" t="n">
        <v>2833</v>
      </c>
      <c r="D19" s="0" t="n">
        <v>7279</v>
      </c>
      <c r="E19" s="0" t="n">
        <v>71.9837816455696</v>
      </c>
      <c r="F19" s="0" t="n">
        <v>1941</v>
      </c>
      <c r="G19" s="0" t="n">
        <v>19.1950158227848</v>
      </c>
      <c r="H19" s="0" t="n">
        <v>2382</v>
      </c>
      <c r="I19" s="0" t="n">
        <v>2767</v>
      </c>
      <c r="J19" s="0" t="n">
        <v>27.3635284810127</v>
      </c>
      <c r="K19" s="0" t="n">
        <v>5.22</v>
      </c>
      <c r="L19" s="0" t="n">
        <v>2426</v>
      </c>
      <c r="M19" s="0" t="n">
        <v>456</v>
      </c>
      <c r="N19" s="0" t="n">
        <v>1970</v>
      </c>
      <c r="O19" s="0" t="n">
        <v>6396</v>
      </c>
      <c r="P19" s="0" t="n">
        <v>21620</v>
      </c>
      <c r="Q19" s="0" t="n">
        <v>15224</v>
      </c>
      <c r="R19" s="0" t="n">
        <v>7723</v>
      </c>
      <c r="S19" s="0" t="n">
        <v>1985</v>
      </c>
      <c r="T19" s="0" t="n">
        <v>533</v>
      </c>
      <c r="U19" s="0" t="n">
        <v>575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10283</v>
      </c>
      <c r="C20" s="0" t="n">
        <v>2880</v>
      </c>
      <c r="D20" s="0" t="n">
        <v>7403</v>
      </c>
      <c r="E20" s="0" t="n">
        <v>71.9926091607508</v>
      </c>
      <c r="F20" s="0" t="n">
        <v>2318</v>
      </c>
      <c r="G20" s="0" t="n">
        <v>22.5420597102013</v>
      </c>
      <c r="H20" s="0" t="n">
        <v>2688</v>
      </c>
      <c r="I20" s="0" t="n">
        <v>1975</v>
      </c>
      <c r="J20" s="0" t="n">
        <v>19.2064572595546</v>
      </c>
      <c r="K20" s="0" t="n">
        <v>3.99</v>
      </c>
      <c r="L20" s="0" t="n">
        <v>2414</v>
      </c>
      <c r="M20" s="0" t="n">
        <v>458</v>
      </c>
      <c r="N20" s="0" t="n">
        <v>1956</v>
      </c>
      <c r="O20" s="0" t="n">
        <v>5158</v>
      </c>
      <c r="P20" s="0" t="n">
        <v>19365</v>
      </c>
      <c r="Q20" s="0" t="n">
        <v>14207</v>
      </c>
      <c r="R20" s="0" t="n">
        <v>7425</v>
      </c>
      <c r="S20" s="0" t="n">
        <v>2433</v>
      </c>
      <c r="T20" s="0" t="n">
        <v>501</v>
      </c>
      <c r="U20" s="0" t="n">
        <v>588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11100</v>
      </c>
      <c r="C21" s="0" t="n">
        <v>3169</v>
      </c>
      <c r="D21" s="0" t="n">
        <v>7931</v>
      </c>
      <c r="E21" s="0" t="n">
        <v>71.4504504504505</v>
      </c>
      <c r="F21" s="0" t="n">
        <v>2277</v>
      </c>
      <c r="G21" s="0" t="n">
        <v>20.5135135135135</v>
      </c>
      <c r="H21" s="0" t="n">
        <v>2698</v>
      </c>
      <c r="I21" s="0" t="n">
        <v>2031</v>
      </c>
      <c r="J21" s="0" t="n">
        <v>18.2972972972973</v>
      </c>
      <c r="K21" s="0" t="n">
        <v>4.43</v>
      </c>
      <c r="L21" s="0" t="n">
        <v>1959</v>
      </c>
      <c r="M21" s="0" t="n">
        <v>525</v>
      </c>
      <c r="N21" s="0" t="n">
        <v>1434</v>
      </c>
      <c r="O21" s="0" t="n">
        <v>4615</v>
      </c>
      <c r="P21" s="0" t="n">
        <v>17610</v>
      </c>
      <c r="Q21" s="0" t="n">
        <v>12995</v>
      </c>
      <c r="R21" s="0" t="n">
        <v>6746</v>
      </c>
      <c r="S21" s="0" t="n">
        <v>1867</v>
      </c>
      <c r="T21" s="0" t="n">
        <v>468</v>
      </c>
      <c r="U21" s="0" t="n">
        <v>607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107.9</v>
      </c>
    </row>
    <row r="3" customFormat="false" ht="15" hidden="false" customHeight="false" outlineLevel="0" collapsed="false">
      <c r="A3" s="0" t="s">
        <v>86</v>
      </c>
      <c r="B3" s="3" t="n">
        <v>455</v>
      </c>
    </row>
    <row r="4" customFormat="false" ht="15" hidden="false" customHeight="false" outlineLevel="0" collapsed="false">
      <c r="A4" s="0" t="s">
        <v>87</v>
      </c>
      <c r="B4" s="3" t="n">
        <v>1884</v>
      </c>
    </row>
    <row r="5" customFormat="false" ht="15" hidden="false" customHeight="false" outlineLevel="0" collapsed="false">
      <c r="A5" s="0" t="s">
        <v>88</v>
      </c>
      <c r="B5" s="3" t="n">
        <v>-627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11100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11</v>
      </c>
      <c r="D13" s="3" t="n">
        <v>3</v>
      </c>
      <c r="E13" s="3" t="n">
        <v>1.5</v>
      </c>
      <c r="F13" s="3" t="n">
        <v>1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29.3</v>
      </c>
      <c r="D14" s="3" t="n">
        <v>28.8</v>
      </c>
      <c r="E14" s="3" t="n">
        <v>28.3</v>
      </c>
      <c r="F14" s="3" t="n">
        <v>27.8</v>
      </c>
      <c r="G14" s="3" t="n">
        <v>27.5</v>
      </c>
      <c r="H14" s="3" t="n">
        <v>27.5</v>
      </c>
      <c r="I14" s="3" t="n">
        <v>27.5</v>
      </c>
      <c r="J14" s="3" t="n">
        <v>27.5</v>
      </c>
      <c r="K14" s="3" t="n">
        <v>27.5</v>
      </c>
      <c r="L14" s="3" t="n">
        <v>27.5</v>
      </c>
    </row>
    <row r="15" customFormat="false" ht="15" hidden="false" customHeight="false" outlineLevel="0" collapsed="false">
      <c r="A15" s="0" t="s">
        <v>108</v>
      </c>
      <c r="C15" s="3" t="n">
        <v>8</v>
      </c>
      <c r="D15" s="3" t="n">
        <v>8</v>
      </c>
      <c r="E15" s="3" t="n">
        <v>7.9</v>
      </c>
      <c r="F15" s="3" t="n">
        <v>7.8</v>
      </c>
      <c r="G15" s="3" t="n">
        <v>7.7</v>
      </c>
      <c r="H15" s="3" t="n">
        <v>7.6</v>
      </c>
      <c r="I15" s="3" t="n">
        <v>7.5</v>
      </c>
      <c r="J15" s="3" t="n">
        <v>7.5</v>
      </c>
      <c r="K15" s="3" t="n">
        <v>7.5</v>
      </c>
      <c r="L15" s="3" t="n">
        <v>7.5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3.8</v>
      </c>
      <c r="D17" s="3" t="n">
        <v>3.8</v>
      </c>
      <c r="E17" s="3" t="n">
        <v>3.8</v>
      </c>
      <c r="F17" s="3" t="n">
        <v>3.8</v>
      </c>
      <c r="G17" s="3" t="n">
        <v>3.8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111</v>
      </c>
      <c r="C18" s="3" t="n">
        <v>4.8</v>
      </c>
      <c r="D18" s="3" t="n">
        <v>4.8</v>
      </c>
      <c r="E18" s="3" t="n">
        <v>4.8</v>
      </c>
      <c r="F18" s="3" t="n">
        <v>4.8</v>
      </c>
      <c r="G18" s="3" t="n">
        <v>4.8</v>
      </c>
      <c r="H18" s="3" t="n">
        <v>4.8</v>
      </c>
      <c r="I18" s="3" t="n">
        <v>4.8</v>
      </c>
      <c r="J18" s="3" t="n">
        <v>4.8</v>
      </c>
      <c r="K18" s="3" t="n">
        <v>4.8</v>
      </c>
      <c r="L18" s="3" t="n">
        <v>4.8</v>
      </c>
    </row>
    <row r="19" customFormat="false" ht="15" hidden="false" customHeight="false" outlineLevel="0" collapsed="false">
      <c r="A19" s="0" t="s">
        <v>112</v>
      </c>
      <c r="C19" s="3" t="n">
        <v>20</v>
      </c>
      <c r="D19" s="3" t="n">
        <v>20</v>
      </c>
      <c r="E19" s="3" t="n">
        <v>21</v>
      </c>
      <c r="F19" s="3" t="n">
        <v>21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12.5</v>
      </c>
      <c r="D27" s="3" t="n">
        <v>7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29.8</v>
      </c>
      <c r="D28" s="3" t="n">
        <v>30.1</v>
      </c>
      <c r="E28" s="3" t="n">
        <v>30.4</v>
      </c>
      <c r="F28" s="3" t="n">
        <v>30.7</v>
      </c>
      <c r="G28" s="3" t="n">
        <v>31</v>
      </c>
      <c r="H28" s="3" t="n">
        <v>31.2</v>
      </c>
      <c r="I28" s="3" t="n">
        <v>31.4</v>
      </c>
      <c r="J28" s="3" t="n">
        <v>31.5</v>
      </c>
      <c r="K28" s="3" t="n">
        <v>31.5</v>
      </c>
      <c r="L28" s="3" t="n">
        <v>31.5</v>
      </c>
    </row>
    <row r="29" customFormat="false" ht="15" hidden="false" customHeight="false" outlineLevel="0" collapsed="false">
      <c r="A29" s="0" t="s">
        <v>108</v>
      </c>
      <c r="C29" s="3" t="n">
        <v>7.9</v>
      </c>
      <c r="D29" s="3" t="n">
        <v>7.8</v>
      </c>
      <c r="E29" s="3" t="n">
        <v>7.6</v>
      </c>
      <c r="F29" s="3" t="n">
        <v>7.4</v>
      </c>
      <c r="G29" s="3" t="n">
        <v>7.2</v>
      </c>
      <c r="H29" s="3" t="n">
        <v>7</v>
      </c>
      <c r="I29" s="3" t="n">
        <v>6.9</v>
      </c>
      <c r="J29" s="3" t="n">
        <v>6.8</v>
      </c>
      <c r="K29" s="3" t="n">
        <v>6.7</v>
      </c>
      <c r="L29" s="3" t="n">
        <v>6.6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3.8</v>
      </c>
      <c r="D31" s="3" t="n">
        <v>3.8</v>
      </c>
      <c r="E31" s="3" t="n">
        <v>3.8</v>
      </c>
      <c r="F31" s="3" t="n">
        <v>3.8</v>
      </c>
      <c r="G31" s="3" t="n">
        <v>3.8</v>
      </c>
      <c r="H31" s="3" t="n">
        <v>3.8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111</v>
      </c>
      <c r="C32" s="3" t="n">
        <v>4.6</v>
      </c>
      <c r="D32" s="3" t="n">
        <v>4.6</v>
      </c>
      <c r="E32" s="3" t="n">
        <v>4.6</v>
      </c>
      <c r="F32" s="3" t="n">
        <v>4.6</v>
      </c>
      <c r="G32" s="3" t="n">
        <v>4.6</v>
      </c>
      <c r="H32" s="3" t="n">
        <v>4.6</v>
      </c>
      <c r="I32" s="3" t="n">
        <v>4.6</v>
      </c>
      <c r="J32" s="3" t="n">
        <v>4.6</v>
      </c>
      <c r="K32" s="3" t="n">
        <v>4.6</v>
      </c>
      <c r="L32" s="3" t="n">
        <v>4.6</v>
      </c>
    </row>
    <row r="33" customFormat="false" ht="15" hidden="false" customHeight="false" outlineLevel="0" collapsed="false">
      <c r="A33" s="0" t="s">
        <v>112</v>
      </c>
      <c r="C33" s="3" t="n">
        <v>18</v>
      </c>
      <c r="D33" s="3" t="n">
        <v>18</v>
      </c>
      <c r="E33" s="3" t="n">
        <v>19</v>
      </c>
      <c r="F33" s="3" t="n">
        <v>19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13.5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30.2</v>
      </c>
      <c r="D42" s="3" t="n">
        <v>30.8</v>
      </c>
      <c r="E42" s="3" t="n">
        <v>31.4</v>
      </c>
      <c r="F42" s="3" t="n">
        <v>32</v>
      </c>
      <c r="G42" s="3" t="n">
        <v>32.5</v>
      </c>
      <c r="H42" s="3" t="n">
        <v>33</v>
      </c>
      <c r="I42" s="3" t="n">
        <v>33.3</v>
      </c>
      <c r="J42" s="3" t="n">
        <v>33.5</v>
      </c>
      <c r="K42" s="3" t="n">
        <v>33.5</v>
      </c>
      <c r="L42" s="3" t="n">
        <v>33.5</v>
      </c>
    </row>
    <row r="43" customFormat="false" ht="15" hidden="false" customHeight="false" outlineLevel="0" collapsed="false">
      <c r="A43" s="0" t="s">
        <v>108</v>
      </c>
      <c r="C43" s="3" t="n">
        <v>7.8</v>
      </c>
      <c r="D43" s="3" t="n">
        <v>7.5</v>
      </c>
      <c r="E43" s="3" t="n">
        <v>7.2</v>
      </c>
      <c r="F43" s="3" t="n">
        <v>6.9</v>
      </c>
      <c r="G43" s="3" t="n">
        <v>6.6</v>
      </c>
      <c r="H43" s="3" t="n">
        <v>6.4</v>
      </c>
      <c r="I43" s="3" t="n">
        <v>6.2</v>
      </c>
      <c r="J43" s="3" t="n">
        <v>6</v>
      </c>
      <c r="K43" s="3" t="n">
        <v>6</v>
      </c>
      <c r="L43" s="3" t="n">
        <v>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3.8</v>
      </c>
      <c r="D45" s="3" t="n">
        <v>3.8</v>
      </c>
      <c r="E45" s="3" t="n">
        <v>3.8</v>
      </c>
      <c r="F45" s="3" t="n">
        <v>3.8</v>
      </c>
      <c r="G45" s="3" t="n">
        <v>3.8</v>
      </c>
      <c r="H45" s="3" t="n">
        <v>3.8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111</v>
      </c>
      <c r="C46" s="3" t="n">
        <v>4.4</v>
      </c>
      <c r="D46" s="3" t="n">
        <v>4.4</v>
      </c>
      <c r="E46" s="3" t="n">
        <v>4.4</v>
      </c>
      <c r="F46" s="3" t="n">
        <v>4.4</v>
      </c>
      <c r="G46" s="3" t="n">
        <v>4.4</v>
      </c>
      <c r="H46" s="3" t="n">
        <v>4.4</v>
      </c>
      <c r="I46" s="3" t="n">
        <v>4.4</v>
      </c>
      <c r="J46" s="3" t="n">
        <v>4.4</v>
      </c>
      <c r="K46" s="3" t="n">
        <v>4.4</v>
      </c>
      <c r="L46" s="3" t="n">
        <v>4.4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17</v>
      </c>
      <c r="E47" s="3" t="n">
        <v>18</v>
      </c>
      <c r="F47" s="3" t="n">
        <v>18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11</v>
      </c>
      <c r="D5" s="4" t="n">
        <f aca="false">Assumptions!D13</f>
        <v>3</v>
      </c>
      <c r="E5" s="4" t="n">
        <f aca="false">Assumptions!E13</f>
        <v>1.5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11100</v>
      </c>
      <c r="C6" s="0" t="n">
        <f aca="false">B6*(1+C5/100)</f>
        <v>12321</v>
      </c>
      <c r="D6" s="0" t="n">
        <f aca="false">C6*(1+D5/100)</f>
        <v>12690.63</v>
      </c>
      <c r="E6" s="0" t="n">
        <f aca="false">D6*(1+E5/100)</f>
        <v>12880.98945</v>
      </c>
      <c r="F6" s="0" t="n">
        <f aca="false">E6*(1+F5/100)</f>
        <v>13009.7993445</v>
      </c>
      <c r="G6" s="0" t="n">
        <f aca="false">F6*(1+G5/100)</f>
        <v>13139.897337945</v>
      </c>
      <c r="H6" s="0" t="n">
        <f aca="false">G6*(1+H5/100)</f>
        <v>13336.9957980142</v>
      </c>
      <c r="I6" s="0" t="n">
        <f aca="false">H6*(1+I5/100)</f>
        <v>13537.0507349844</v>
      </c>
      <c r="J6" s="0" t="n">
        <f aca="false">I6*(1+J5/100)</f>
        <v>13740.1064960092</v>
      </c>
      <c r="K6" s="0" t="n">
        <f aca="false">J6*(1+K5/100)</f>
        <v>13946.2080934493</v>
      </c>
      <c r="L6" s="0" t="n">
        <f aca="false">K6*(1+L5/100)</f>
        <v>14155.401214851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29.3</v>
      </c>
      <c r="D7" s="4" t="n">
        <f aca="false">Assumptions!D14</f>
        <v>28.8</v>
      </c>
      <c r="E7" s="4" t="n">
        <f aca="false">Assumptions!E14</f>
        <v>28.3</v>
      </c>
      <c r="F7" s="4" t="n">
        <f aca="false">Assumptions!F14</f>
        <v>27.8</v>
      </c>
      <c r="G7" s="4" t="n">
        <f aca="false">Assumptions!G14</f>
        <v>27.5</v>
      </c>
      <c r="H7" s="4" t="n">
        <f aca="false">Assumptions!H14</f>
        <v>27.5</v>
      </c>
      <c r="I7" s="4" t="n">
        <f aca="false">Assumptions!I14</f>
        <v>27.5</v>
      </c>
      <c r="J7" s="4" t="n">
        <f aca="false">Assumptions!J14</f>
        <v>27.5</v>
      </c>
      <c r="K7" s="4" t="n">
        <f aca="false">Assumptions!K14</f>
        <v>27.5</v>
      </c>
      <c r="L7" s="4" t="n">
        <f aca="false">Assumptions!L14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3610.053</v>
      </c>
      <c r="D8" s="0" t="n">
        <f aca="false">D6*D7/100</f>
        <v>3654.90144</v>
      </c>
      <c r="E8" s="0" t="n">
        <f aca="false">E6*E7/100</f>
        <v>3645.32001435</v>
      </c>
      <c r="F8" s="0" t="n">
        <f aca="false">F6*F7/100</f>
        <v>3616.724217771</v>
      </c>
      <c r="G8" s="0" t="n">
        <f aca="false">G6*G7/100</f>
        <v>3613.47176793488</v>
      </c>
      <c r="H8" s="0" t="n">
        <f aca="false">H6*H7/100</f>
        <v>3667.6738444539</v>
      </c>
      <c r="I8" s="0" t="n">
        <f aca="false">I6*I7/100</f>
        <v>3722.68895212071</v>
      </c>
      <c r="J8" s="0" t="n">
        <f aca="false">J6*J7/100</f>
        <v>3778.52928640252</v>
      </c>
      <c r="K8" s="0" t="n">
        <f aca="false">K6*K7/100</f>
        <v>3835.20722569855</v>
      </c>
      <c r="L8" s="0" t="n">
        <f aca="false">L6*L7/100</f>
        <v>3892.73533408403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8</v>
      </c>
      <c r="D9" s="4" t="n">
        <f aca="false">Assumptions!D15</f>
        <v>8</v>
      </c>
      <c r="E9" s="4" t="n">
        <f aca="false">Assumptions!E15</f>
        <v>7.9</v>
      </c>
      <c r="F9" s="4" t="n">
        <f aca="false">Assumptions!F15</f>
        <v>7.8</v>
      </c>
      <c r="G9" s="4" t="n">
        <f aca="false">Assumptions!G15</f>
        <v>7.7</v>
      </c>
      <c r="H9" s="4" t="n">
        <f aca="false">Assumptions!H15</f>
        <v>7.6</v>
      </c>
      <c r="I9" s="4" t="n">
        <f aca="false">Assumptions!I15</f>
        <v>7.5</v>
      </c>
      <c r="J9" s="4" t="n">
        <f aca="false">Assumptions!J15</f>
        <v>7.5</v>
      </c>
      <c r="K9" s="4" t="n">
        <f aca="false">Assumptions!K15</f>
        <v>7.5</v>
      </c>
      <c r="L9" s="4" t="n">
        <f aca="false">Assumptions!L15</f>
        <v>7.5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-985.68</v>
      </c>
      <c r="D10" s="0" t="n">
        <f aca="false">-D6*D9/100</f>
        <v>-1015.2504</v>
      </c>
      <c r="E10" s="0" t="n">
        <f aca="false">-E6*E9/100</f>
        <v>-1017.59816655</v>
      </c>
      <c r="F10" s="0" t="n">
        <f aca="false">-F6*F9/100</f>
        <v>-1014.764348871</v>
      </c>
      <c r="G10" s="0" t="n">
        <f aca="false">-G6*G9/100</f>
        <v>-1011.77209502177</v>
      </c>
      <c r="H10" s="0" t="n">
        <f aca="false">-H6*H9/100</f>
        <v>-1013.61168064908</v>
      </c>
      <c r="I10" s="0" t="n">
        <f aca="false">-I6*I9/100</f>
        <v>-1015.27880512383</v>
      </c>
      <c r="J10" s="0" t="n">
        <f aca="false">-J6*J9/100</f>
        <v>-1030.50798720069</v>
      </c>
      <c r="K10" s="0" t="n">
        <f aca="false">-K6*K9/100</f>
        <v>-1045.9656070087</v>
      </c>
      <c r="L10" s="0" t="n">
        <f aca="false">-L6*L9/100</f>
        <v>-1061.65509111383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2624.373</v>
      </c>
      <c r="D11" s="0" t="n">
        <f aca="false">D8+D10+D24</f>
        <v>2639.65104</v>
      </c>
      <c r="E11" s="0" t="n">
        <f aca="false">E8+E10+E24</f>
        <v>2627.7218478</v>
      </c>
      <c r="F11" s="0" t="n">
        <f aca="false">F8+F10+F24</f>
        <v>2601.9598689</v>
      </c>
      <c r="G11" s="0" t="n">
        <f aca="false">G8+G10+G24</f>
        <v>2601.69967291311</v>
      </c>
      <c r="H11" s="0" t="n">
        <f aca="false">H8+H10+H24</f>
        <v>2654.06216380482</v>
      </c>
      <c r="I11" s="0" t="n">
        <f aca="false">I8+I10+I24</f>
        <v>2707.41014699688</v>
      </c>
      <c r="J11" s="0" t="n">
        <f aca="false">J8+J10+J24</f>
        <v>2748.02129920183</v>
      </c>
      <c r="K11" s="0" t="n">
        <f aca="false">K8+K10+K24</f>
        <v>2789.24161868986</v>
      </c>
      <c r="L11" s="0" t="n">
        <f aca="false">L8+L10+L24</f>
        <v>2831.08024297021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-468.198</v>
      </c>
      <c r="D12" s="4" t="n">
        <f aca="false">-D6*Assumptions!D17/100</f>
        <v>-482.24394</v>
      </c>
      <c r="E12" s="4" t="n">
        <f aca="false">-E6*Assumptions!E17/100</f>
        <v>-489.4775991</v>
      </c>
      <c r="F12" s="4" t="n">
        <f aca="false">-F6*Assumptions!F17/100</f>
        <v>-494.372375091</v>
      </c>
      <c r="G12" s="4" t="n">
        <f aca="false">-G6*Assumptions!G17/100</f>
        <v>-499.31609884191</v>
      </c>
      <c r="H12" s="4" t="n">
        <f aca="false">-H6*Assumptions!H17/100</f>
        <v>-506.805840324539</v>
      </c>
      <c r="I12" s="4" t="n">
        <f aca="false">-I6*Assumptions!I17/100</f>
        <v>-514.407927929407</v>
      </c>
      <c r="J12" s="4" t="n">
        <f aca="false">-J6*Assumptions!J17/100</f>
        <v>-522.124046848348</v>
      </c>
      <c r="K12" s="4" t="n">
        <f aca="false">-K6*Assumptions!K17/100</f>
        <v>-529.955907551073</v>
      </c>
      <c r="L12" s="4" t="n">
        <f aca="false">-L6*Assumptions!L17/100</f>
        <v>-537.905246164339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2156.175</v>
      </c>
      <c r="D13" s="0" t="n">
        <f aca="false">D11+D12</f>
        <v>2157.4071</v>
      </c>
      <c r="E13" s="0" t="n">
        <f aca="false">E11+E12</f>
        <v>2138.2442487</v>
      </c>
      <c r="F13" s="0" t="n">
        <f aca="false">F11+F12</f>
        <v>2107.587493809</v>
      </c>
      <c r="G13" s="0" t="n">
        <f aca="false">G11+G12</f>
        <v>2102.3835740712</v>
      </c>
      <c r="H13" s="0" t="n">
        <f aca="false">H11+H12</f>
        <v>2147.25632348028</v>
      </c>
      <c r="I13" s="0" t="n">
        <f aca="false">I11+I12</f>
        <v>2193.00221906747</v>
      </c>
      <c r="J13" s="0" t="n">
        <f aca="false">J11+J12</f>
        <v>2225.89725235348</v>
      </c>
      <c r="K13" s="0" t="n">
        <f aca="false">K11+K12</f>
        <v>2259.28571113878</v>
      </c>
      <c r="L13" s="0" t="n">
        <f aca="false">L11+L12</f>
        <v>2293.17499680587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1724.94</v>
      </c>
      <c r="D15" s="0" t="n">
        <f aca="false">D13-MAX(0,D13)*D14/100</f>
        <v>1725.92568</v>
      </c>
      <c r="E15" s="0" t="n">
        <f aca="false">E13-MAX(0,E13)*E14/100</f>
        <v>1689.212956473</v>
      </c>
      <c r="F15" s="0" t="n">
        <f aca="false">F13-MAX(0,F13)*F14/100</f>
        <v>1664.99412010911</v>
      </c>
      <c r="G15" s="0" t="n">
        <f aca="false">G13-MAX(0,G13)*G14/100</f>
        <v>1639.85918777554</v>
      </c>
      <c r="H15" s="0" t="n">
        <f aca="false">H13-MAX(0,H13)*H14/100</f>
        <v>1674.85993231462</v>
      </c>
      <c r="I15" s="0" t="n">
        <f aca="false">I13-MAX(0,I13)*I14/100</f>
        <v>1710.54173087263</v>
      </c>
      <c r="J15" s="0" t="n">
        <f aca="false">J13-MAX(0,J13)*J14/100</f>
        <v>1736.19985683572</v>
      </c>
      <c r="K15" s="0" t="n">
        <f aca="false">K13-MAX(0,K13)*K14/100</f>
        <v>1762.24285468825</v>
      </c>
      <c r="L15" s="0" t="n">
        <f aca="false">L13-MAX(0,L13)*L14/100</f>
        <v>1788.67649750858</v>
      </c>
    </row>
    <row r="16" customFormat="false" ht="15" hidden="false" customHeight="false" outlineLevel="0" collapsed="false">
      <c r="A16" s="0" t="s">
        <v>128</v>
      </c>
      <c r="C16" s="0" t="n">
        <f aca="false">-C12</f>
        <v>468.198</v>
      </c>
      <c r="D16" s="0" t="n">
        <f aca="false">-D12</f>
        <v>482.24394</v>
      </c>
      <c r="E16" s="0" t="n">
        <f aca="false">-E12</f>
        <v>489.4775991</v>
      </c>
      <c r="F16" s="0" t="n">
        <f aca="false">-F12</f>
        <v>494.372375091</v>
      </c>
      <c r="G16" s="0" t="n">
        <f aca="false">-G12</f>
        <v>499.31609884191</v>
      </c>
      <c r="H16" s="0" t="n">
        <f aca="false">-H12</f>
        <v>506.805840324539</v>
      </c>
      <c r="I16" s="0" t="n">
        <f aca="false">-I12</f>
        <v>514.407927929407</v>
      </c>
      <c r="J16" s="0" t="n">
        <f aca="false">-J12</f>
        <v>522.124046848348</v>
      </c>
      <c r="K16" s="0" t="n">
        <f aca="false">-K12</f>
        <v>529.955907551073</v>
      </c>
      <c r="L16" s="0" t="n">
        <f aca="false">-L12</f>
        <v>537.905246164339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-591.408</v>
      </c>
      <c r="D17" s="4" t="n">
        <f aca="false">-D6*Assumptions!D18/100</f>
        <v>-609.15024</v>
      </c>
      <c r="E17" s="4" t="n">
        <f aca="false">-E6*Assumptions!E18/100</f>
        <v>-618.2874936</v>
      </c>
      <c r="F17" s="4" t="n">
        <f aca="false">-F6*Assumptions!F18/100</f>
        <v>-624.470368536</v>
      </c>
      <c r="G17" s="4" t="n">
        <f aca="false">-G6*Assumptions!G18/100</f>
        <v>-630.71507222136</v>
      </c>
      <c r="H17" s="4" t="n">
        <f aca="false">-H6*Assumptions!H18/100</f>
        <v>-640.17579830468</v>
      </c>
      <c r="I17" s="4" t="n">
        <f aca="false">-I6*Assumptions!I18/100</f>
        <v>-649.778435279251</v>
      </c>
      <c r="J17" s="4" t="n">
        <f aca="false">-J6*Assumptions!J18/100</f>
        <v>-659.525111808439</v>
      </c>
      <c r="K17" s="4" t="n">
        <f aca="false">-K6*Assumptions!K18/100</f>
        <v>-669.417988485566</v>
      </c>
      <c r="L17" s="4" t="n">
        <f aca="false">-L6*Assumptions!L18/100</f>
        <v>-679.459258312849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-122.1</v>
      </c>
      <c r="D18" s="4" t="n">
        <f aca="false">(D6-C6)*Assumptions!$B$23/100</f>
        <v>-36.9630000000001</v>
      </c>
      <c r="E18" s="4" t="n">
        <f aca="false">(E6-D6)*Assumptions!$B$23/100</f>
        <v>-19.0359449999998</v>
      </c>
      <c r="F18" s="4" t="n">
        <f aca="false">(F6-E6)*Assumptions!$B$23/100</f>
        <v>-12.88098945</v>
      </c>
      <c r="G18" s="4" t="n">
        <f aca="false">(G6-F6)*Assumptions!$B$23/100</f>
        <v>-13.0097993445001</v>
      </c>
      <c r="H18" s="4" t="n">
        <f aca="false">(H6-G6)*Assumptions!$B$23/100</f>
        <v>-19.7098460069174</v>
      </c>
      <c r="I18" s="4" t="n">
        <f aca="false">(I6-H6)*Assumptions!$B$23/100</f>
        <v>-20.0054936970211</v>
      </c>
      <c r="J18" s="4" t="n">
        <f aca="false">(J6-I6)*Assumptions!$B$23/100</f>
        <v>-20.3055761024765</v>
      </c>
      <c r="K18" s="4" t="n">
        <f aca="false">(K6-J6)*Assumptions!$B$23/100</f>
        <v>-20.6101597440136</v>
      </c>
      <c r="L18" s="4" t="n">
        <f aca="false">(L6-K6)*Assumptions!$B$23/100</f>
        <v>-20.9193121401739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1479.63</v>
      </c>
      <c r="D19" s="0" t="n">
        <f aca="false">D15+D16+D17+D18</f>
        <v>1562.05638</v>
      </c>
      <c r="E19" s="0" t="n">
        <f aca="false">E15+E16+E17+E18</f>
        <v>1541.367116973</v>
      </c>
      <c r="F19" s="0" t="n">
        <f aca="false">F15+F16+F17+F18</f>
        <v>1522.01513721411</v>
      </c>
      <c r="G19" s="0" t="n">
        <f aca="false">G15+G16+G17+G18</f>
        <v>1495.45041505159</v>
      </c>
      <c r="H19" s="0" t="n">
        <f aca="false">H15+H16+H17+H18</f>
        <v>1521.78012832756</v>
      </c>
      <c r="I19" s="0" t="n">
        <f aca="false">I15+I16+I17+I18</f>
        <v>1555.16572982576</v>
      </c>
      <c r="J19" s="0" t="n">
        <f aca="false">J15+J16+J17+J18</f>
        <v>1578.49321577315</v>
      </c>
      <c r="K19" s="0" t="n">
        <f aca="false">K15+K16+K17+K18</f>
        <v>1602.17061400975</v>
      </c>
      <c r="L19" s="0" t="n">
        <f aca="false">L15+L16+L17+L18</f>
        <v>1626.20317321989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1357.45871559633</v>
      </c>
      <c r="D21" s="0" t="n">
        <f aca="false">D19*D20</f>
        <v>1314.75160340039</v>
      </c>
      <c r="E21" s="0" t="n">
        <f aca="false">E19*E20</f>
        <v>1190.2182244359</v>
      </c>
      <c r="F21" s="0" t="n">
        <f aca="false">F19*F20</f>
        <v>1078.23389482533</v>
      </c>
      <c r="G21" s="0" t="n">
        <f aca="false">G19*G20</f>
        <v>971.940161394913</v>
      </c>
      <c r="H21" s="0" t="n">
        <f aca="false">H19*H20</f>
        <v>907.387769215785</v>
      </c>
      <c r="I21" s="0" t="n">
        <f aca="false">I19*I20</f>
        <v>850.728910621442</v>
      </c>
      <c r="J21" s="0" t="n">
        <f aca="false">J19*J20</f>
        <v>792.192517688774</v>
      </c>
      <c r="K21" s="0" t="n">
        <f aca="false">K19*K20</f>
        <v>737.683858214775</v>
      </c>
      <c r="L21" s="0" t="n">
        <f aca="false">L19*L20</f>
        <v>686.925794576144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9887.52144996978</v>
      </c>
    </row>
    <row r="31" customFormat="false" ht="15" hidden="false" customHeight="false" outlineLevel="0" collapsed="false">
      <c r="A31" s="0" t="s">
        <v>137</v>
      </c>
      <c r="B31" s="0" t="n">
        <f aca="false">L19</f>
        <v>1626.20317321989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23696.1033812041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22766.8444250785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22766.8444250785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9616.96112406602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19504.4825740358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16993.4825740358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37.3483133495292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-0.653861785453853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6528.04832679145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6534.62393365648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66.0574831527115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12759.4402821868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18.3601760052225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12.5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11100</v>
      </c>
      <c r="C6" s="0" t="n">
        <f aca="false">B6*(1+C5/100)</f>
        <v>12487.5</v>
      </c>
      <c r="D6" s="0" t="n">
        <f aca="false">C6*(1+D5/100)</f>
        <v>13361.625</v>
      </c>
      <c r="E6" s="0" t="n">
        <f aca="false">D6*(1+E5/100)</f>
        <v>14163.3225</v>
      </c>
      <c r="F6" s="0" t="n">
        <f aca="false">E6*(1+F5/100)</f>
        <v>14871.488625</v>
      </c>
      <c r="G6" s="0" t="n">
        <f aca="false">F6*(1+G5/100)</f>
        <v>15540.705613125</v>
      </c>
      <c r="H6" s="0" t="n">
        <f aca="false">G6*(1+H5/100)</f>
        <v>16162.33383765</v>
      </c>
      <c r="I6" s="0" t="n">
        <f aca="false">H6*(1+I5/100)</f>
        <v>16728.0155219677</v>
      </c>
      <c r="J6" s="0" t="n">
        <f aca="false">I6*(1+J5/100)</f>
        <v>17229.8559876268</v>
      </c>
      <c r="K6" s="0" t="n">
        <f aca="false">J6*(1+K5/100)</f>
        <v>17746.7516672556</v>
      </c>
      <c r="L6" s="0" t="n">
        <f aca="false">K6*(1+L5/100)</f>
        <v>18279.1542172733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29.8</v>
      </c>
      <c r="D7" s="4" t="n">
        <f aca="false">Assumptions!D28</f>
        <v>30.1</v>
      </c>
      <c r="E7" s="4" t="n">
        <f aca="false">Assumptions!E28</f>
        <v>30.4</v>
      </c>
      <c r="F7" s="4" t="n">
        <f aca="false">Assumptions!F28</f>
        <v>30.7</v>
      </c>
      <c r="G7" s="4" t="n">
        <f aca="false">Assumptions!G28</f>
        <v>31</v>
      </c>
      <c r="H7" s="4" t="n">
        <f aca="false">Assumptions!H28</f>
        <v>31.2</v>
      </c>
      <c r="I7" s="4" t="n">
        <f aca="false">Assumptions!I28</f>
        <v>31.4</v>
      </c>
      <c r="J7" s="4" t="n">
        <f aca="false">Assumptions!J28</f>
        <v>31.5</v>
      </c>
      <c r="K7" s="4" t="n">
        <f aca="false">Assumptions!K28</f>
        <v>31.5</v>
      </c>
      <c r="L7" s="4" t="n">
        <f aca="false">Assumptions!L28</f>
        <v>31.5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3721.275</v>
      </c>
      <c r="D8" s="0" t="n">
        <f aca="false">D6*D7/100</f>
        <v>4021.849125</v>
      </c>
      <c r="E8" s="0" t="n">
        <f aca="false">E6*E7/100</f>
        <v>4305.65004</v>
      </c>
      <c r="F8" s="0" t="n">
        <f aca="false">F6*F7/100</f>
        <v>4565.547007875</v>
      </c>
      <c r="G8" s="0" t="n">
        <f aca="false">G6*G7/100</f>
        <v>4817.61874006875</v>
      </c>
      <c r="H8" s="0" t="n">
        <f aca="false">H6*H7/100</f>
        <v>5042.6481573468</v>
      </c>
      <c r="I8" s="0" t="n">
        <f aca="false">I6*I7/100</f>
        <v>5252.59687389787</v>
      </c>
      <c r="J8" s="0" t="n">
        <f aca="false">J6*J7/100</f>
        <v>5427.40463610244</v>
      </c>
      <c r="K8" s="0" t="n">
        <f aca="false">K6*K7/100</f>
        <v>5590.22677518551</v>
      </c>
      <c r="L8" s="0" t="n">
        <f aca="false">L6*L7/100</f>
        <v>5757.93357844107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7.9</v>
      </c>
      <c r="D9" s="4" t="n">
        <f aca="false">Assumptions!D29</f>
        <v>7.8</v>
      </c>
      <c r="E9" s="4" t="n">
        <f aca="false">Assumptions!E29</f>
        <v>7.6</v>
      </c>
      <c r="F9" s="4" t="n">
        <f aca="false">Assumptions!F29</f>
        <v>7.4</v>
      </c>
      <c r="G9" s="4" t="n">
        <f aca="false">Assumptions!G29</f>
        <v>7.2</v>
      </c>
      <c r="H9" s="4" t="n">
        <f aca="false">Assumptions!H29</f>
        <v>7</v>
      </c>
      <c r="I9" s="4" t="n">
        <f aca="false">Assumptions!I29</f>
        <v>6.9</v>
      </c>
      <c r="J9" s="4" t="n">
        <f aca="false">Assumptions!J29</f>
        <v>6.8</v>
      </c>
      <c r="K9" s="4" t="n">
        <f aca="false">Assumptions!K29</f>
        <v>6.7</v>
      </c>
      <c r="L9" s="4" t="n">
        <f aca="false">Assumptions!L29</f>
        <v>6.6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-986.5125</v>
      </c>
      <c r="D10" s="0" t="n">
        <f aca="false">-D6*D9/100</f>
        <v>-1042.20675</v>
      </c>
      <c r="E10" s="0" t="n">
        <f aca="false">-E6*E9/100</f>
        <v>-1076.41251</v>
      </c>
      <c r="F10" s="0" t="n">
        <f aca="false">-F6*F9/100</f>
        <v>-1100.49015825</v>
      </c>
      <c r="G10" s="0" t="n">
        <f aca="false">-G6*G9/100</f>
        <v>-1118.930804145</v>
      </c>
      <c r="H10" s="0" t="n">
        <f aca="false">-H6*H9/100</f>
        <v>-1131.3633686355</v>
      </c>
      <c r="I10" s="0" t="n">
        <f aca="false">-I6*I9/100</f>
        <v>-1154.23307101577</v>
      </c>
      <c r="J10" s="0" t="n">
        <f aca="false">-J6*J9/100</f>
        <v>-1171.63020715862</v>
      </c>
      <c r="K10" s="0" t="n">
        <f aca="false">-K6*K9/100</f>
        <v>-1189.03236170612</v>
      </c>
      <c r="L10" s="0" t="n">
        <f aca="false">-L6*L9/100</f>
        <v>-1206.42417834003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2734.7625</v>
      </c>
      <c r="D11" s="0" t="n">
        <f aca="false">D8+D10+D24</f>
        <v>2979.642375</v>
      </c>
      <c r="E11" s="0" t="n">
        <f aca="false">E8+E10+E24</f>
        <v>3229.23753</v>
      </c>
      <c r="F11" s="0" t="n">
        <f aca="false">F8+F10+F24</f>
        <v>3465.056849625</v>
      </c>
      <c r="G11" s="0" t="n">
        <f aca="false">G8+G10+G24</f>
        <v>3698.68793592375</v>
      </c>
      <c r="H11" s="0" t="n">
        <f aca="false">H8+H10+H24</f>
        <v>3911.2847887113</v>
      </c>
      <c r="I11" s="0" t="n">
        <f aca="false">I8+I10+I24</f>
        <v>4098.3638028821</v>
      </c>
      <c r="J11" s="0" t="n">
        <f aca="false">J8+J10+J24</f>
        <v>4255.77442894381</v>
      </c>
      <c r="K11" s="0" t="n">
        <f aca="false">K8+K10+K24</f>
        <v>4401.19441347939</v>
      </c>
      <c r="L11" s="0" t="n">
        <f aca="false">L8+L10+L24</f>
        <v>4551.50940010104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-474.525</v>
      </c>
      <c r="D12" s="4" t="n">
        <f aca="false">-D6*Assumptions!D31/100</f>
        <v>-507.74175</v>
      </c>
      <c r="E12" s="4" t="n">
        <f aca="false">-E6*Assumptions!E31/100</f>
        <v>-538.206255</v>
      </c>
      <c r="F12" s="4" t="n">
        <f aca="false">-F6*Assumptions!F31/100</f>
        <v>-565.11656775</v>
      </c>
      <c r="G12" s="4" t="n">
        <f aca="false">-G6*Assumptions!G31/100</f>
        <v>-590.54681329875</v>
      </c>
      <c r="H12" s="4" t="n">
        <f aca="false">-H6*Assumptions!H31/100</f>
        <v>-614.1686858307</v>
      </c>
      <c r="I12" s="4" t="n">
        <f aca="false">-I6*Assumptions!I31/100</f>
        <v>-635.664589834774</v>
      </c>
      <c r="J12" s="4" t="n">
        <f aca="false">-J6*Assumptions!J31/100</f>
        <v>-654.734527529818</v>
      </c>
      <c r="K12" s="4" t="n">
        <f aca="false">-K6*Assumptions!K31/100</f>
        <v>-674.376563355712</v>
      </c>
      <c r="L12" s="4" t="n">
        <f aca="false">-L6*Assumptions!L31/100</f>
        <v>-694.607860256384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2260.2375</v>
      </c>
      <c r="D13" s="0" t="n">
        <f aca="false">D11+D12</f>
        <v>2471.900625</v>
      </c>
      <c r="E13" s="0" t="n">
        <f aca="false">E11+E12</f>
        <v>2691.031275</v>
      </c>
      <c r="F13" s="0" t="n">
        <f aca="false">F11+F12</f>
        <v>2899.940281875</v>
      </c>
      <c r="G13" s="0" t="n">
        <f aca="false">G11+G12</f>
        <v>3108.141122625</v>
      </c>
      <c r="H13" s="0" t="n">
        <f aca="false">H11+H12</f>
        <v>3297.1161028806</v>
      </c>
      <c r="I13" s="0" t="n">
        <f aca="false">I11+I12</f>
        <v>3462.69921304732</v>
      </c>
      <c r="J13" s="0" t="n">
        <f aca="false">J11+J12</f>
        <v>3601.039901414</v>
      </c>
      <c r="K13" s="0" t="n">
        <f aca="false">K11+K12</f>
        <v>3726.81785012367</v>
      </c>
      <c r="L13" s="0" t="n">
        <f aca="false">L11+L12</f>
        <v>3856.90153984466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1853.39475</v>
      </c>
      <c r="D15" s="0" t="n">
        <f aca="false">D13-MAX(0,D13)*D14/100</f>
        <v>2026.9585125</v>
      </c>
      <c r="E15" s="0" t="n">
        <f aca="false">E13-MAX(0,E13)*E14/100</f>
        <v>2179.73533275</v>
      </c>
      <c r="F15" s="0" t="n">
        <f aca="false">F13-MAX(0,F13)*F14/100</f>
        <v>2348.95162831875</v>
      </c>
      <c r="G15" s="0" t="n">
        <f aca="false">G13-MAX(0,G13)*G14/100</f>
        <v>2486.5128981</v>
      </c>
      <c r="H15" s="0" t="n">
        <f aca="false">H13-MAX(0,H13)*H14/100</f>
        <v>2637.69288230448</v>
      </c>
      <c r="I15" s="0" t="n">
        <f aca="false">I13-MAX(0,I13)*I14/100</f>
        <v>2770.15937043786</v>
      </c>
      <c r="J15" s="0" t="n">
        <f aca="false">J13-MAX(0,J13)*J14/100</f>
        <v>2880.8319211312</v>
      </c>
      <c r="K15" s="0" t="n">
        <f aca="false">K13-MAX(0,K13)*K14/100</f>
        <v>2981.45428009894</v>
      </c>
      <c r="L15" s="0" t="n">
        <f aca="false">L13-MAX(0,L13)*L14/100</f>
        <v>3085.52123187573</v>
      </c>
    </row>
    <row r="16" customFormat="false" ht="15" hidden="false" customHeight="false" outlineLevel="0" collapsed="false">
      <c r="A16" s="0" t="s">
        <v>128</v>
      </c>
      <c r="C16" s="0" t="n">
        <f aca="false">-C12</f>
        <v>474.525</v>
      </c>
      <c r="D16" s="0" t="n">
        <f aca="false">-D12</f>
        <v>507.74175</v>
      </c>
      <c r="E16" s="0" t="n">
        <f aca="false">-E12</f>
        <v>538.206255</v>
      </c>
      <c r="F16" s="0" t="n">
        <f aca="false">-F12</f>
        <v>565.11656775</v>
      </c>
      <c r="G16" s="0" t="n">
        <f aca="false">-G12</f>
        <v>590.54681329875</v>
      </c>
      <c r="H16" s="0" t="n">
        <f aca="false">-H12</f>
        <v>614.1686858307</v>
      </c>
      <c r="I16" s="0" t="n">
        <f aca="false">-I12</f>
        <v>635.664589834774</v>
      </c>
      <c r="J16" s="0" t="n">
        <f aca="false">-J12</f>
        <v>654.734527529818</v>
      </c>
      <c r="K16" s="0" t="n">
        <f aca="false">-K12</f>
        <v>674.376563355712</v>
      </c>
      <c r="L16" s="0" t="n">
        <f aca="false">-L12</f>
        <v>694.607860256384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-574.425</v>
      </c>
      <c r="D17" s="4" t="n">
        <f aca="false">-D6*Assumptions!D32/100</f>
        <v>-614.63475</v>
      </c>
      <c r="E17" s="4" t="n">
        <f aca="false">-E6*Assumptions!E32/100</f>
        <v>-651.512835</v>
      </c>
      <c r="F17" s="4" t="n">
        <f aca="false">-F6*Assumptions!F32/100</f>
        <v>-684.08847675</v>
      </c>
      <c r="G17" s="4" t="n">
        <f aca="false">-G6*Assumptions!G32/100</f>
        <v>-714.87245820375</v>
      </c>
      <c r="H17" s="4" t="n">
        <f aca="false">-H6*Assumptions!H32/100</f>
        <v>-743.4673565319</v>
      </c>
      <c r="I17" s="4" t="n">
        <f aca="false">-I6*Assumptions!I32/100</f>
        <v>-769.488714010516</v>
      </c>
      <c r="J17" s="4" t="n">
        <f aca="false">-J6*Assumptions!J32/100</f>
        <v>-792.573375430832</v>
      </c>
      <c r="K17" s="4" t="n">
        <f aca="false">-K6*Assumptions!K32/100</f>
        <v>-816.350576693757</v>
      </c>
      <c r="L17" s="4" t="n">
        <f aca="false">-L6*Assumptions!L32/100</f>
        <v>-840.84109399457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-69.375</v>
      </c>
      <c r="D18" s="4" t="n">
        <f aca="false">(D6-C6)*Assumptions!$B$37/100</f>
        <v>-43.70625</v>
      </c>
      <c r="E18" s="4" t="n">
        <f aca="false">(E6-D6)*Assumptions!$B$37/100</f>
        <v>-40.084875</v>
      </c>
      <c r="F18" s="4" t="n">
        <f aca="false">(F6-E6)*Assumptions!$B$37/100</f>
        <v>-35.40830625</v>
      </c>
      <c r="G18" s="4" t="n">
        <f aca="false">(G6-F6)*Assumptions!$B$37/100</f>
        <v>-33.46084940625</v>
      </c>
      <c r="H18" s="4" t="n">
        <f aca="false">(H6-G6)*Assumptions!$B$37/100</f>
        <v>-31.08141122625</v>
      </c>
      <c r="I18" s="4" t="n">
        <f aca="false">(I6-H6)*Assumptions!$B$37/100</f>
        <v>-28.2840842158874</v>
      </c>
      <c r="J18" s="4" t="n">
        <f aca="false">(J6-I6)*Assumptions!$B$37/100</f>
        <v>-25.0920232829516</v>
      </c>
      <c r="K18" s="4" t="n">
        <f aca="false">(K6-J6)*Assumptions!$B$37/100</f>
        <v>-25.8447839814402</v>
      </c>
      <c r="L18" s="4" t="n">
        <f aca="false">(L6-K6)*Assumptions!$B$37/100</f>
        <v>-26.6201275008834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1684.11975</v>
      </c>
      <c r="D19" s="0" t="n">
        <f aca="false">D15+D16+D17+D18</f>
        <v>1876.3592625</v>
      </c>
      <c r="E19" s="0" t="n">
        <f aca="false">E15+E16+E17+E18</f>
        <v>2026.34387775</v>
      </c>
      <c r="F19" s="0" t="n">
        <f aca="false">F15+F16+F17+F18</f>
        <v>2194.57141306875</v>
      </c>
      <c r="G19" s="0" t="n">
        <f aca="false">G15+G16+G17+G18</f>
        <v>2328.72640378875</v>
      </c>
      <c r="H19" s="0" t="n">
        <f aca="false">H15+H16+H17+H18</f>
        <v>2477.31280037703</v>
      </c>
      <c r="I19" s="0" t="n">
        <f aca="false">I15+I16+I17+I18</f>
        <v>2608.05116204623</v>
      </c>
      <c r="J19" s="0" t="n">
        <f aca="false">J15+J16+J17+J18</f>
        <v>2717.90104994723</v>
      </c>
      <c r="K19" s="0" t="n">
        <f aca="false">K15+K16+K17+K18</f>
        <v>2813.63548277945</v>
      </c>
      <c r="L19" s="0" t="n">
        <f aca="false">L15+L16+L17+L18</f>
        <v>2912.66787063666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1545.06399082569</v>
      </c>
      <c r="D21" s="0" t="n">
        <f aca="false">D19*D20</f>
        <v>1579.29405142665</v>
      </c>
      <c r="E21" s="0" t="n">
        <f aca="false">E19*E20</f>
        <v>1564.70926732143</v>
      </c>
      <c r="F21" s="0" t="n">
        <f aca="false">F19*F20</f>
        <v>1554.68971650088</v>
      </c>
      <c r="G21" s="0" t="n">
        <f aca="false">G19*G20</f>
        <v>1513.51237992398</v>
      </c>
      <c r="H21" s="0" t="n">
        <f aca="false">H19*H20</f>
        <v>1477.14068132448</v>
      </c>
      <c r="I21" s="0" t="n">
        <f aca="false">I19*I20</f>
        <v>1426.6932979427</v>
      </c>
      <c r="J21" s="0" t="n">
        <f aca="false">J19*J20</f>
        <v>1364.02288845573</v>
      </c>
      <c r="K21" s="0" t="n">
        <f aca="false">K19*K20</f>
        <v>1295.47593770442</v>
      </c>
      <c r="L21" s="0" t="n">
        <f aca="false">L19*L20</f>
        <v>1230.34238545478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14550.9445968807</v>
      </c>
    </row>
    <row r="31" customFormat="false" ht="15" hidden="false" customHeight="false" outlineLevel="0" collapsed="false">
      <c r="A31" s="0" t="s">
        <v>137</v>
      </c>
      <c r="B31" s="0" t="n">
        <f aca="false">L19</f>
        <v>2912.66787063666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45930.5318061934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52428.0216714598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45930.5318061934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19401.5530014023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33952.497598283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31441.497598283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69.1021925236988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-0.359571895053764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7071.36495091332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8036.10424456707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102.305421524755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23883.8765392206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31.8255213207942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13.5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11100</v>
      </c>
      <c r="C6" s="0" t="n">
        <f aca="false">B6*(1+C5/100)</f>
        <v>12598.5</v>
      </c>
      <c r="D6" s="0" t="n">
        <f aca="false">C6*(1+D5/100)</f>
        <v>13732.365</v>
      </c>
      <c r="E6" s="0" t="n">
        <f aca="false">D6*(1+E5/100)</f>
        <v>14830.9542</v>
      </c>
      <c r="F6" s="0" t="n">
        <f aca="false">E6*(1+F5/100)</f>
        <v>15869.120994</v>
      </c>
      <c r="G6" s="0" t="n">
        <f aca="false">F6*(1+G5/100)</f>
        <v>16821.26825364</v>
      </c>
      <c r="H6" s="0" t="n">
        <f aca="false">G6*(1+H5/100)</f>
        <v>17746.4380075902</v>
      </c>
      <c r="I6" s="0" t="n">
        <f aca="false">H6*(1+I5/100)</f>
        <v>18633.7599079697</v>
      </c>
      <c r="J6" s="0" t="n">
        <f aca="false">I6*(1+J5/100)</f>
        <v>19472.2791038283</v>
      </c>
      <c r="K6" s="0" t="n">
        <f aca="false">J6*(1+K5/100)</f>
        <v>20251.1702679815</v>
      </c>
      <c r="L6" s="0" t="n">
        <f aca="false">K6*(1+L5/100)</f>
        <v>20959.9612273608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30.2</v>
      </c>
      <c r="D7" s="4" t="n">
        <f aca="false">Assumptions!D42</f>
        <v>30.8</v>
      </c>
      <c r="E7" s="4" t="n">
        <f aca="false">Assumptions!E42</f>
        <v>31.4</v>
      </c>
      <c r="F7" s="4" t="n">
        <f aca="false">Assumptions!F42</f>
        <v>32</v>
      </c>
      <c r="G7" s="4" t="n">
        <f aca="false">Assumptions!G42</f>
        <v>32.5</v>
      </c>
      <c r="H7" s="4" t="n">
        <f aca="false">Assumptions!H42</f>
        <v>33</v>
      </c>
      <c r="I7" s="4" t="n">
        <f aca="false">Assumptions!I42</f>
        <v>33.3</v>
      </c>
      <c r="J7" s="4" t="n">
        <f aca="false">Assumptions!J42</f>
        <v>33.5</v>
      </c>
      <c r="K7" s="4" t="n">
        <f aca="false">Assumptions!K42</f>
        <v>33.5</v>
      </c>
      <c r="L7" s="4" t="n">
        <f aca="false">Assumptions!L42</f>
        <v>33.5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3804.747</v>
      </c>
      <c r="D8" s="0" t="n">
        <f aca="false">D6*D7/100</f>
        <v>4229.56842</v>
      </c>
      <c r="E8" s="0" t="n">
        <f aca="false">E6*E7/100</f>
        <v>4656.9196188</v>
      </c>
      <c r="F8" s="0" t="n">
        <f aca="false">F6*F7/100</f>
        <v>5078.11871808</v>
      </c>
      <c r="G8" s="0" t="n">
        <f aca="false">G6*G7/100</f>
        <v>5466.912182433</v>
      </c>
      <c r="H8" s="0" t="n">
        <f aca="false">H6*H7/100</f>
        <v>5856.32454250477</v>
      </c>
      <c r="I8" s="0" t="n">
        <f aca="false">I6*I7/100</f>
        <v>6205.04204935391</v>
      </c>
      <c r="J8" s="0" t="n">
        <f aca="false">J6*J7/100</f>
        <v>6523.2134997825</v>
      </c>
      <c r="K8" s="0" t="n">
        <f aca="false">K6*K7/100</f>
        <v>6784.1420397738</v>
      </c>
      <c r="L8" s="0" t="n">
        <f aca="false">L6*L7/100</f>
        <v>7021.58701116588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7.8</v>
      </c>
      <c r="D9" s="4" t="n">
        <f aca="false">Assumptions!D43</f>
        <v>7.5</v>
      </c>
      <c r="E9" s="4" t="n">
        <f aca="false">Assumptions!E43</f>
        <v>7.2</v>
      </c>
      <c r="F9" s="4" t="n">
        <f aca="false">Assumptions!F43</f>
        <v>6.9</v>
      </c>
      <c r="G9" s="4" t="n">
        <f aca="false">Assumptions!G43</f>
        <v>6.6</v>
      </c>
      <c r="H9" s="4" t="n">
        <f aca="false">Assumptions!H43</f>
        <v>6.4</v>
      </c>
      <c r="I9" s="4" t="n">
        <f aca="false">Assumptions!I43</f>
        <v>6.2</v>
      </c>
      <c r="J9" s="4" t="n">
        <f aca="false">Assumptions!J43</f>
        <v>6</v>
      </c>
      <c r="K9" s="4" t="n">
        <f aca="false">Assumptions!K43</f>
        <v>6</v>
      </c>
      <c r="L9" s="4" t="n">
        <f aca="false">Assumptions!L43</f>
        <v>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-982.683</v>
      </c>
      <c r="D10" s="0" t="n">
        <f aca="false">-D6*D9/100</f>
        <v>-1029.927375</v>
      </c>
      <c r="E10" s="0" t="n">
        <f aca="false">-E6*E9/100</f>
        <v>-1067.8287024</v>
      </c>
      <c r="F10" s="0" t="n">
        <f aca="false">-F6*F9/100</f>
        <v>-1094.969348586</v>
      </c>
      <c r="G10" s="0" t="n">
        <f aca="false">-G6*G9/100</f>
        <v>-1110.20370474024</v>
      </c>
      <c r="H10" s="0" t="n">
        <f aca="false">-H6*H9/100</f>
        <v>-1135.77203248577</v>
      </c>
      <c r="I10" s="0" t="n">
        <f aca="false">-I6*I9/100</f>
        <v>-1155.29311429412</v>
      </c>
      <c r="J10" s="0" t="n">
        <f aca="false">-J6*J9/100</f>
        <v>-1168.3367462297</v>
      </c>
      <c r="K10" s="0" t="n">
        <f aca="false">-K6*K9/100</f>
        <v>-1215.07021607889</v>
      </c>
      <c r="L10" s="0" t="n">
        <f aca="false">-L6*L9/100</f>
        <v>-1257.59767364165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2822.064</v>
      </c>
      <c r="D11" s="0" t="n">
        <f aca="false">D8+D10+D24</f>
        <v>3199.641045</v>
      </c>
      <c r="E11" s="0" t="n">
        <f aca="false">E8+E10+E24</f>
        <v>3589.0909164</v>
      </c>
      <c r="F11" s="0" t="n">
        <f aca="false">F8+F10+F24</f>
        <v>3983.149369494</v>
      </c>
      <c r="G11" s="0" t="n">
        <f aca="false">G8+G10+G24</f>
        <v>4356.70847769276</v>
      </c>
      <c r="H11" s="0" t="n">
        <f aca="false">H8+H10+H24</f>
        <v>4720.55251001899</v>
      </c>
      <c r="I11" s="0" t="n">
        <f aca="false">I8+I10+I24</f>
        <v>5049.74893505979</v>
      </c>
      <c r="J11" s="0" t="n">
        <f aca="false">J8+J10+J24</f>
        <v>5354.8767535528</v>
      </c>
      <c r="K11" s="0" t="n">
        <f aca="false">K8+K10+K24</f>
        <v>5569.07182369491</v>
      </c>
      <c r="L11" s="0" t="n">
        <f aca="false">L8+L10+L24</f>
        <v>5763.98933752423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-478.743</v>
      </c>
      <c r="D12" s="4" t="n">
        <f aca="false">-D6*Assumptions!D45/100</f>
        <v>-521.82987</v>
      </c>
      <c r="E12" s="4" t="n">
        <f aca="false">-E6*Assumptions!E45/100</f>
        <v>-563.5762596</v>
      </c>
      <c r="F12" s="4" t="n">
        <f aca="false">-F6*Assumptions!F45/100</f>
        <v>-603.026597772</v>
      </c>
      <c r="G12" s="4" t="n">
        <f aca="false">-G6*Assumptions!G45/100</f>
        <v>-639.20819363832</v>
      </c>
      <c r="H12" s="4" t="n">
        <f aca="false">-H6*Assumptions!H45/100</f>
        <v>-674.364644288428</v>
      </c>
      <c r="I12" s="4" t="n">
        <f aca="false">-I6*Assumptions!I45/100</f>
        <v>-708.082876502849</v>
      </c>
      <c r="J12" s="4" t="n">
        <f aca="false">-J6*Assumptions!J45/100</f>
        <v>-739.946605945477</v>
      </c>
      <c r="K12" s="4" t="n">
        <f aca="false">-K6*Assumptions!K45/100</f>
        <v>-769.544470183296</v>
      </c>
      <c r="L12" s="4" t="n">
        <f aca="false">-L6*Assumptions!L45/100</f>
        <v>-796.478526639712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2343.321</v>
      </c>
      <c r="D13" s="0" t="n">
        <f aca="false">D11+D12</f>
        <v>2677.811175</v>
      </c>
      <c r="E13" s="0" t="n">
        <f aca="false">E11+E12</f>
        <v>3025.5146568</v>
      </c>
      <c r="F13" s="0" t="n">
        <f aca="false">F11+F12</f>
        <v>3380.122771722</v>
      </c>
      <c r="G13" s="0" t="n">
        <f aca="false">G11+G12</f>
        <v>3717.50028405444</v>
      </c>
      <c r="H13" s="0" t="n">
        <f aca="false">H11+H12</f>
        <v>4046.18786573057</v>
      </c>
      <c r="I13" s="0" t="n">
        <f aca="false">I11+I12</f>
        <v>4341.66605855694</v>
      </c>
      <c r="J13" s="0" t="n">
        <f aca="false">J11+J12</f>
        <v>4614.93014760732</v>
      </c>
      <c r="K13" s="0" t="n">
        <f aca="false">K11+K12</f>
        <v>4799.52735351161</v>
      </c>
      <c r="L13" s="0" t="n">
        <f aca="false">L11+L12</f>
        <v>4967.51081088452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1944.95643</v>
      </c>
      <c r="D15" s="0" t="n">
        <f aca="false">D13-MAX(0,D13)*D14/100</f>
        <v>2222.58327525</v>
      </c>
      <c r="E15" s="0" t="n">
        <f aca="false">E13-MAX(0,E13)*E14/100</f>
        <v>2480.922018576</v>
      </c>
      <c r="F15" s="0" t="n">
        <f aca="false">F13-MAX(0,F13)*F14/100</f>
        <v>2771.70067281204</v>
      </c>
      <c r="G15" s="0" t="n">
        <f aca="false">G13-MAX(0,G13)*G14/100</f>
        <v>3011.1752300841</v>
      </c>
      <c r="H15" s="0" t="n">
        <f aca="false">H13-MAX(0,H13)*H14/100</f>
        <v>3277.41217124176</v>
      </c>
      <c r="I15" s="0" t="n">
        <f aca="false">I13-MAX(0,I13)*I14/100</f>
        <v>3516.74950743112</v>
      </c>
      <c r="J15" s="0" t="n">
        <f aca="false">J13-MAX(0,J13)*J14/100</f>
        <v>3738.09341956193</v>
      </c>
      <c r="K15" s="0" t="n">
        <f aca="false">K13-MAX(0,K13)*K14/100</f>
        <v>3887.6171563444</v>
      </c>
      <c r="L15" s="0" t="n">
        <f aca="false">L13-MAX(0,L13)*L14/100</f>
        <v>4023.68375681646</v>
      </c>
    </row>
    <row r="16" customFormat="false" ht="15" hidden="false" customHeight="false" outlineLevel="0" collapsed="false">
      <c r="A16" s="0" t="s">
        <v>128</v>
      </c>
      <c r="C16" s="0" t="n">
        <f aca="false">-C12</f>
        <v>478.743</v>
      </c>
      <c r="D16" s="0" t="n">
        <f aca="false">-D12</f>
        <v>521.82987</v>
      </c>
      <c r="E16" s="0" t="n">
        <f aca="false">-E12</f>
        <v>563.5762596</v>
      </c>
      <c r="F16" s="0" t="n">
        <f aca="false">-F12</f>
        <v>603.026597772</v>
      </c>
      <c r="G16" s="0" t="n">
        <f aca="false">-G12</f>
        <v>639.20819363832</v>
      </c>
      <c r="H16" s="0" t="n">
        <f aca="false">-H12</f>
        <v>674.364644288428</v>
      </c>
      <c r="I16" s="0" t="n">
        <f aca="false">-I12</f>
        <v>708.082876502849</v>
      </c>
      <c r="J16" s="0" t="n">
        <f aca="false">-J12</f>
        <v>739.946605945477</v>
      </c>
      <c r="K16" s="0" t="n">
        <f aca="false">-K12</f>
        <v>769.544470183296</v>
      </c>
      <c r="L16" s="0" t="n">
        <f aca="false">-L12</f>
        <v>796.478526639712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-554.334</v>
      </c>
      <c r="D17" s="4" t="n">
        <f aca="false">-D6*Assumptions!D46/100</f>
        <v>-604.22406</v>
      </c>
      <c r="E17" s="4" t="n">
        <f aca="false">-E6*Assumptions!E46/100</f>
        <v>-652.5619848</v>
      </c>
      <c r="F17" s="4" t="n">
        <f aca="false">-F6*Assumptions!F46/100</f>
        <v>-698.241323736</v>
      </c>
      <c r="G17" s="4" t="n">
        <f aca="false">-G6*Assumptions!G46/100</f>
        <v>-740.13580316016</v>
      </c>
      <c r="H17" s="4" t="n">
        <f aca="false">-H6*Assumptions!H46/100</f>
        <v>-780.843272333969</v>
      </c>
      <c r="I17" s="4" t="n">
        <f aca="false">-I6*Assumptions!I46/100</f>
        <v>-819.885435950667</v>
      </c>
      <c r="J17" s="4" t="n">
        <f aca="false">-J6*Assumptions!J46/100</f>
        <v>-856.780280568447</v>
      </c>
      <c r="K17" s="4" t="n">
        <f aca="false">-K6*Assumptions!K46/100</f>
        <v>-891.051491791185</v>
      </c>
      <c r="L17" s="4" t="n">
        <f aca="false">-L6*Assumptions!L46/100</f>
        <v>-922.238294003877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1869.36543</v>
      </c>
      <c r="D19" s="0" t="n">
        <f aca="false">D15+D16+D17+D18</f>
        <v>2140.18908525</v>
      </c>
      <c r="E19" s="0" t="n">
        <f aca="false">E15+E16+E17+E18</f>
        <v>2391.936293376</v>
      </c>
      <c r="F19" s="0" t="n">
        <f aca="false">F15+F16+F17+F18</f>
        <v>2676.48594684804</v>
      </c>
      <c r="G19" s="0" t="n">
        <f aca="false">G15+G16+G17+G18</f>
        <v>2910.24762056226</v>
      </c>
      <c r="H19" s="0" t="n">
        <f aca="false">H15+H16+H17+H18</f>
        <v>3170.93354319622</v>
      </c>
      <c r="I19" s="0" t="n">
        <f aca="false">I15+I16+I17+I18</f>
        <v>3404.94694798331</v>
      </c>
      <c r="J19" s="0" t="n">
        <f aca="false">J15+J16+J17+J18</f>
        <v>3621.25974493896</v>
      </c>
      <c r="K19" s="0" t="n">
        <f aca="false">K15+K16+K17+K18</f>
        <v>3766.11013473652</v>
      </c>
      <c r="L19" s="0" t="n">
        <f aca="false">L15+L16+L17+L18</f>
        <v>3897.9239894523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1715.0141559633</v>
      </c>
      <c r="D21" s="0" t="n">
        <f aca="false">D19*D20</f>
        <v>1801.35433486239</v>
      </c>
      <c r="E21" s="0" t="n">
        <f aca="false">E19*E20</f>
        <v>1847.01369110344</v>
      </c>
      <c r="F21" s="0" t="n">
        <f aca="false">F19*F20</f>
        <v>1896.09012180885</v>
      </c>
      <c r="G21" s="0" t="n">
        <f aca="false">G19*G20</f>
        <v>1891.46127050349</v>
      </c>
      <c r="H21" s="0" t="n">
        <f aca="false">H19*H20</f>
        <v>1890.72406751325</v>
      </c>
      <c r="I21" s="0" t="n">
        <f aca="false">I19*I20</f>
        <v>1862.62258242161</v>
      </c>
      <c r="J21" s="0" t="n">
        <f aca="false">J19*J20</f>
        <v>1817.38815592127</v>
      </c>
      <c r="K21" s="0" t="n">
        <f aca="false">K19*K20</f>
        <v>1734.02172675057</v>
      </c>
      <c r="L21" s="0" t="n">
        <f aca="false">L19*L20</f>
        <v>1646.52521760261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18102.2153244508</v>
      </c>
    </row>
    <row r="31" customFormat="false" ht="15" hidden="false" customHeight="false" outlineLevel="0" collapsed="false">
      <c r="A31" s="0" t="s">
        <v>137</v>
      </c>
      <c r="B31" s="0" t="n">
        <f aca="false">L19</f>
        <v>3897.9239894523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66914.3618189311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77958.4797890459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66914.3618189311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28265.3495688447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46367.5648932955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43856.5648932955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96.3880547105396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-0.106690873859689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7076.46550701698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9119.3255585884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131.983199909672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33457.1809094655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42.6849618059507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37.3483133495292</v>
      </c>
      <c r="C4" s="0" t="n">
        <f aca="false">B4/Assumptions!$B$2-1</f>
        <v>-0.653861785453853</v>
      </c>
      <c r="D4" s="4" t="n">
        <f aca="false">Assumptions!$B$24</f>
        <v>0.25</v>
      </c>
      <c r="E4" s="4" t="n">
        <f aca="false">DCF_Bear!$B$43</f>
        <v>66.0574831527115</v>
      </c>
      <c r="F4" s="4" t="n">
        <f aca="false">DCF_Bear!$B$47</f>
        <v>18.3601760052225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69.1021925236988</v>
      </c>
      <c r="C5" s="0" t="n">
        <f aca="false">B5/Assumptions!$B$2-1</f>
        <v>-0.359571895053764</v>
      </c>
      <c r="D5" s="4" t="n">
        <f aca="false">Assumptions!$B$38</f>
        <v>0.5</v>
      </c>
      <c r="E5" s="4" t="n">
        <f aca="false">DCF_Base!$B$43</f>
        <v>102.305421524755</v>
      </c>
      <c r="F5" s="4" t="n">
        <f aca="false">DCF_Base!$B$47</f>
        <v>31.8255213207942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96.3880547105396</v>
      </c>
      <c r="C6" s="0" t="n">
        <f aca="false">B6/Assumptions!$B$2-1</f>
        <v>-0.106690873859689</v>
      </c>
      <c r="D6" s="4" t="n">
        <f aca="false">Assumptions!$B$52</f>
        <v>0.25</v>
      </c>
      <c r="E6" s="4" t="n">
        <f aca="false">DCF_Bull!$B$43</f>
        <v>131.983199909672</v>
      </c>
      <c r="F6" s="4" t="n">
        <f aca="false">DCF_Bull!$B$47</f>
        <v>42.6849618059507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67.9851882768666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100.662881527973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-0.587110409411269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122.146968626011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31.1740451131904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69.1021925236989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58.6945043328295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50.7561081667221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44.5060188921864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31.8255213207942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88.373807930412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88.373807930412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88.373807930412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88.373807930412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88.373807930412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74.370768992849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78.4763172990845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81.4414355202546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81.4414355202546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81.4414355202546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63.0562158535576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65.8632764504089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69.1021925236989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72.8809279425371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75.1343022748719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54.4359203826565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56.4321316093001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58.6945043328295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61.2800731597203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64.2634218061327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47.6570464265574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49.1204922483019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50.7561081667221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52.5961760749449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54.6815863709308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2026-09-28T07:23:01Z</dcterms:created>
  <dc:creator>openpyxl</dc:creator>
  <dc:description/>
  <dc:language>en-NZ</dc:language>
  <cp:lastModifiedBy/>
  <dcterms:modified xsi:type="dcterms:W3CDTF">2026-09-28T07:23:01Z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