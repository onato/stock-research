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<sst xmlns="http://schemas.openxmlformats.org/spreadsheetml/2006/main" count="390" uniqueCount="175">
  <si>
    <t xml:space="preserve">Ticker</t>
  </si>
  <si>
    <t xml:space="preserve">PAYX</t>
  </si>
  <si>
    <t xml:space="preserve">Company</t>
  </si>
  <si>
    <t xml:space="preserve">Paychex, Inc.</t>
  </si>
  <si>
    <t xml:space="preserve">Valuation date</t>
  </si>
  <si>
    <t xml:space="preserve">2026-10-02</t>
  </si>
  <si>
    <t xml:space="preserve">Current price</t>
  </si>
  <si>
    <t xml:space="preserve">Price as of</t>
  </si>
  <si>
    <t xml:space="preserve">2026-10-01T20:00:00Z regular close</t>
  </si>
  <si>
    <t xml:space="preserve">Balance sheet date</t>
  </si>
  <si>
    <t xml:space="preserve">2026-08-31</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</si>
  <si>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</si>
  <si>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</si>
  <si>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</si>
  <si>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</si>
  <si>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</si>
  <si>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</si>
  <si>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</si>
  <si>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</si>
  <si>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</si>
  <si>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</si>
  <si>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2026-10-02T06:41:43Z</t>
  </si>
  <si>
    <t xml:space="preserve">Drivers file</t>
  </si>
  <si>
    <t xml:space="preserve">PAYX_Drivers.json</t>
  </si>
  <si>
    <t xml:space="preserve">Convention</t>
  </si>
  <si>
    <t xml:space="preserve">Percents stored as percents; formulas divide by 100. Blue = input, green = link, black = formula.</t>
  </si>
  <si>
    <t xml:space="preserve">Methodology</t>
  </si>
  <si>
    <t xml:space="preserve">summary: Value Paychex as a mature compounder on fully SBC-expensed, unlevered owner FCF built from components, with the FY2026 cash-tax shelter and the non-deductible Paycor amortization both normalised out so neither the tax rate nor the D&amp;A tax shield flatters the flows. Growth is anchored to management's FY2027 guidance and the pre-Paycor organic record, not to acquisition-inflated CAGRs or to an equity CAGR that is meaningless for a company paying out nearly all of its earnings. Scenarios differ by drivers (growth, margin, terminal growth and cap), never by WACC, so risk is charged exactly once, in the weights.
key_risks_to_valuation: Terminal value carries the majority of enterprise value at an 8% WACC; each 0.5pp of WACC moves the base value materially (see sensitivity grid).; Float income on funds held for clients is ~3% of revenue at near-100% margin; a faster or deeper rate-cutting cycle than the bear case assumes would take base-case margins below the modelled plateau.; Paycor integration: cost synergies and cross-sell are assumed in the base margin ramp; client attrition across three platforms would show up first in Management Solutions growth.; SBC is small (~1.5% of revenue) so the house/street band is narrow; the valuation is not sensitive to the SBC regime, but it IS sensitive to the cash-tax normalisation (FY2026's 13.4% cash rate must not be read as repeatable).; Net debt is taken at the seasonal cash low (31 Aug); the 31 May balance sheet would add ~$1.4/share.</t>
  </si>
  <si>
    <t xml:space="preserve">Data sources</t>
  </si>
  <si>
    <t xml:space="preserve">price: Yahoo Finance chart API at inputs.price_as_of (regular close); 52-week range 85.45-129.24
financials: research/PAYX/Reports/PAYX_Metrics.csv (SEC XBRL path, FY2007-FY2026) for history; SEC XBRL companyfacts (CIK 723531) for the Q1 FY2027 10-Q anchors filed 2026-09-24: diluted shares, debt, cash, buybacks, SBC, cash taxes, intangible amortization and depreciation
qualitative: research/PAYX/Reports/PAYX_Analysis.json (2026-10-02): FY2027 guidance as of the Q1 FY2027 release 2026-09-23, bull/bear axes, Paycor acquisition detail</t>
  </si>
  <si>
    <t xml:space="preserve">Scenario narrative: bear</t>
  </si>
  <si>
    <t xml:space="preserve">Three headwinds already visible in Q1 FY2027 persist: core Management Solutions growth decelerates to ~3% as SaaS-native entrants take the smallest clients and SMB hiring stalls; rate cuts erode the near-100%-margin float income on client funds; and running three parallel platforms keeps integration cost in the P&amp;L. Growth settles at 2.5%, margins drift ~1.3pp below FY2026, and the terminal multiple compresses to 18x. The post-Paycor debt ($4.56B) does not threaten solvency but removes the option to buy growth again.</t>
  </si>
  <si>
    <t xml:space="preserve">Scenario narrative: base</t>
  </si>
  <si>
    <t xml:space="preserve">Paychex compounds as a mature, highly recurring processor: FY2027 revenue grows at the 5-6% guided midpoint with Paycor now organic, PEO &amp; Insurance outgrows Management Solutions, and growth decays to 3% over the decade as small-business formation normalises. Adjusted operating margin reaches the guided ~44% in FY2027 and a further ~0.7pp from synergies and AI service automation, then plateaus. The cash-tax shelter of FY2026 normalises to 24% by year 3. Nothing in the base case requires the mid-market bet to succeed beyond holding Paycor's existing book.</t>
  </si>
  <si>
    <t xml:space="preserve">Scenario narrative: bull</t>
  </si>
  <si>
    <t xml:space="preserve">The Paycor platform turns Paychex into a credible mid-market HCM competitor, PEO keeps growing at low-double digits, and float income holds up as rates stay higher for longer. Growth runs at 6.5-7% for three years and cost synergies plus agentic AI push the pre-SBC EBITDA margin to 50%. This is the multi-year story the pre-2026 multiple (25-30x FCF) was pricing.</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</si>
  <si>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</si>
  <si>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</si>
  <si>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</si>
  <si>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</si>
  <si>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</si>
  <si>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</si>
  <si>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</si>
  <si>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</si>
  <si>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</si>
  <si>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</si>
  <si>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</si>
  <si>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</si>
  <si>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</si>
  <si>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</si>
  <si>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</si>
  <si>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</si>
  <si>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</si>
  <si>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</si>
  <si>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</si>
  <si>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</si>
  <si>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</si>
  <si>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</si>
  <si>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</si>
  <si>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</si>
  <si>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</si>
  <si>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</si>
  <si>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</si>
  <si>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</si>
  <si>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</si>
  <si>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</si>
  <si>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</si>
  <si>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</si>
  <si>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</si>
  <si>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</si>
  <si>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</si>
  <si>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</si>
  <si>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</si>
  <si>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</si>
  <si>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</si>
  <si>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</si>
  <si>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</si>
  <si>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</si>
  <si>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</si>
  <si>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</si>
  <si>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</si>
  <si>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</si>
  <si>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</si>
  <si>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</si>
  <si>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</si>
  <si>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</si>
  <si>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</si>
  <si>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</si>
  <si>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</si>
  <si>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</si>
  <si>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</si>
  <si>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</si>
  <si>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</si>
  <si>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</si>
  <si>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</si>
  <si>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</si>
  <si>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</si>
  <si>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</si>
  <si>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</si>
  <si>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</si>
  <si>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</si>
  <si>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</si>
  <si>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</si>
  <si>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</si>
  <si>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</si>
  <si>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</si>
  <si>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</si>
  <si>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</si>
  <si>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</si>
  <si>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</si>
  <si>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</si>
  <si>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</si>
  <si>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</si>
  <si>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</si>
  <si>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</si>
  <si>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</si>
  <si>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</si>
  <si>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</si>
  <si>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</si>
  <si>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</si>
  <si>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PAYX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</si>
  <si>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</si>
  <si>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</si>
  <si>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</si>
  <si>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</si>
  <si>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</si>
  <si>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</si>
  <si>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</si>
  <si>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</si>
  <si>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</si>
  <si>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</si>
  <si>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</si>
  <si>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</si>
  <si>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</si>
  <si>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</si>
  <si>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</si>
  <si>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</si>
  <si>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</si>
  <si>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</si>
  <si>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</si>
  <si>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</si>
  <si>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</si>
  <si>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</si>
  <si>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</si>
  <si>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</si>
  <si>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</si>
  <si>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</si>
  <si>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</si>
  <si>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</si>
  <si>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</si>
  <si>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</si>
  <si>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PAYX owner-FCF component DCF: base case (millions, USD)</t>
  </si>
  <si>
    <t xml:space="preserve">PAYX owner-FCF component DCF: bull case (millions, USD)</t>
  </si>
  <si>
    <t xml:space="preserve">PAYX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</si>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</sst>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100.84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1952.248</v>
      </c>
      <c r="S2" s="0" t="n">
        <v>79.353</v>
      </c>
      <c r="AA2" s="0" t="s">
        <v>17</v>
      </c>
      <c r="AB2" s="0" t="s">
        <v>14</v>
      </c>
    </row>
    <row r="3" customFormat="false" ht="15" hidden="false" customHeight="false" outlineLevel="0" collapsed="false">
      <c r="A3" s="0" t="s">
        <v>64</v>
      </c>
      <c r="B3" s="0" t="n">
        <v>2066.323</v>
      </c>
      <c r="F3" s="0" t="n">
        <v>828.267</v>
      </c>
      <c r="G3" s="0" t="n">
        <v>40.0841010819703</v>
      </c>
      <c r="H3" s="0" t="n">
        <v>908.881</v>
      </c>
      <c r="I3" s="0" t="n">
        <v>576.145</v>
      </c>
      <c r="J3" s="0" t="n">
        <v>27.8826204809219</v>
      </c>
      <c r="K3" s="0" t="n">
        <v>1.56</v>
      </c>
      <c r="L3" s="0" t="n">
        <v>724.669</v>
      </c>
      <c r="M3" s="0" t="n">
        <v>82.289</v>
      </c>
      <c r="N3" s="0" t="n">
        <v>642.38</v>
      </c>
      <c r="O3" s="0" t="n">
        <v>1196.6</v>
      </c>
      <c r="S3" s="0" t="n">
        <v>164.2</v>
      </c>
      <c r="T3" s="0" t="n">
        <v>369.528</v>
      </c>
      <c r="U3" s="0" t="n">
        <v>25.434</v>
      </c>
      <c r="AA3" s="0" t="s">
        <v>17</v>
      </c>
      <c r="AB3" s="0" t="s">
        <v>14</v>
      </c>
    </row>
    <row r="4" customFormat="false" ht="15" hidden="false" customHeight="false" outlineLevel="0" collapsed="false">
      <c r="A4" s="0" t="s">
        <v>65</v>
      </c>
      <c r="B4" s="0" t="n">
        <v>2082.8</v>
      </c>
      <c r="F4" s="0" t="n">
        <v>805.2</v>
      </c>
      <c r="G4" s="0" t="n">
        <v>38.6594968311888</v>
      </c>
      <c r="H4" s="0" t="n">
        <v>891</v>
      </c>
      <c r="I4" s="0" t="n">
        <v>533.5</v>
      </c>
      <c r="J4" s="0" t="n">
        <v>25.6145573266756</v>
      </c>
      <c r="K4" s="0" t="n">
        <v>1.48</v>
      </c>
      <c r="L4" s="0" t="n">
        <v>688.8</v>
      </c>
      <c r="M4" s="0" t="n">
        <v>64.7</v>
      </c>
      <c r="N4" s="0" t="n">
        <v>624.1</v>
      </c>
      <c r="O4" s="0" t="n">
        <v>1341.4</v>
      </c>
      <c r="P4" s="0" t="n">
        <v>5127.415</v>
      </c>
      <c r="Q4" s="0" t="n">
        <v>3785.937</v>
      </c>
      <c r="S4" s="0" t="n">
        <v>472.8</v>
      </c>
      <c r="T4" s="0" t="n">
        <v>361</v>
      </c>
      <c r="U4" s="0" t="n">
        <v>25.7</v>
      </c>
      <c r="AA4" s="0" t="s">
        <v>17</v>
      </c>
      <c r="AB4" s="0" t="s">
        <v>14</v>
      </c>
    </row>
    <row r="5" customFormat="false" ht="15" hidden="false" customHeight="false" outlineLevel="0" collapsed="false">
      <c r="A5" s="0" t="s">
        <v>66</v>
      </c>
      <c r="B5" s="0" t="n">
        <v>2000.8</v>
      </c>
      <c r="F5" s="0" t="n">
        <v>724.8</v>
      </c>
      <c r="G5" s="0" t="n">
        <v>36.2255097960816</v>
      </c>
      <c r="H5" s="0" t="n">
        <v>811.3</v>
      </c>
      <c r="I5" s="0" t="n">
        <v>477</v>
      </c>
      <c r="J5" s="0" t="n">
        <v>23.8404638144742</v>
      </c>
      <c r="K5" s="0" t="n">
        <v>1.32</v>
      </c>
      <c r="L5" s="0" t="n">
        <v>610.9</v>
      </c>
      <c r="M5" s="0" t="n">
        <v>61.3</v>
      </c>
      <c r="N5" s="0" t="n">
        <v>549.6</v>
      </c>
      <c r="O5" s="0" t="n">
        <v>1402</v>
      </c>
      <c r="P5" s="0" t="n">
        <v>5226.3</v>
      </c>
      <c r="Q5" s="0" t="n">
        <v>3824.3</v>
      </c>
      <c r="S5" s="0" t="n">
        <v>284.3</v>
      </c>
      <c r="T5" s="0" t="n">
        <v>361.7</v>
      </c>
      <c r="U5" s="0" t="n">
        <v>25.6</v>
      </c>
      <c r="AA5" s="0" t="s">
        <v>17</v>
      </c>
      <c r="AB5" s="0" t="s">
        <v>14</v>
      </c>
    </row>
    <row r="6" customFormat="false" ht="15" hidden="false" customHeight="false" outlineLevel="0" collapsed="false">
      <c r="A6" s="0" t="s">
        <v>67</v>
      </c>
      <c r="B6" s="0" t="n">
        <v>2084.3</v>
      </c>
      <c r="F6" s="0" t="n">
        <v>786.4</v>
      </c>
      <c r="G6" s="0" t="n">
        <v>37.7296934222521</v>
      </c>
      <c r="H6" s="0" t="n">
        <v>875.1</v>
      </c>
      <c r="I6" s="0" t="n">
        <v>515.3</v>
      </c>
      <c r="J6" s="0" t="n">
        <v>24.7229285611476</v>
      </c>
      <c r="K6" s="0" t="n">
        <v>1.42</v>
      </c>
      <c r="L6" s="0" t="n">
        <v>715.3</v>
      </c>
      <c r="M6" s="0" t="n">
        <v>100.5</v>
      </c>
      <c r="N6" s="0" t="n">
        <v>614.8</v>
      </c>
      <c r="O6" s="0" t="n">
        <v>1496.2</v>
      </c>
      <c r="P6" s="0" t="n">
        <v>5393.8</v>
      </c>
      <c r="Q6" s="0" t="n">
        <v>3897.6</v>
      </c>
      <c r="S6" s="0" t="n">
        <v>119</v>
      </c>
      <c r="T6" s="0" t="n">
        <v>362.4</v>
      </c>
      <c r="U6" s="0" t="n">
        <v>24.8</v>
      </c>
      <c r="AA6" s="0" t="s">
        <v>17</v>
      </c>
      <c r="AB6" s="0" t="s">
        <v>14</v>
      </c>
    </row>
    <row r="7" customFormat="false" ht="15" hidden="false" customHeight="false" outlineLevel="0" collapsed="false">
      <c r="A7" s="0" t="s">
        <v>68</v>
      </c>
      <c r="B7" s="0" t="n">
        <v>2229.8</v>
      </c>
      <c r="F7" s="0" t="n">
        <v>853.9</v>
      </c>
      <c r="G7" s="0" t="n">
        <v>38.2949143420935</v>
      </c>
      <c r="H7" s="0" t="n">
        <v>951.7</v>
      </c>
      <c r="I7" s="0" t="n">
        <v>548</v>
      </c>
      <c r="J7" s="0" t="n">
        <v>24.5761951744551</v>
      </c>
      <c r="K7" s="0" t="n">
        <v>1.51</v>
      </c>
      <c r="L7" s="0" t="n">
        <v>706.6</v>
      </c>
      <c r="M7" s="0" t="n">
        <v>89.6</v>
      </c>
      <c r="N7" s="0" t="n">
        <v>617</v>
      </c>
      <c r="O7" s="0" t="n">
        <v>1604.5</v>
      </c>
      <c r="P7" s="0" t="n">
        <v>6479.6</v>
      </c>
      <c r="Q7" s="0" t="n">
        <v>4875.1</v>
      </c>
      <c r="S7" s="0" t="n">
        <v>108.8</v>
      </c>
      <c r="T7" s="0" t="n">
        <v>363</v>
      </c>
      <c r="U7" s="0" t="n">
        <v>22.9</v>
      </c>
      <c r="AA7" s="0" t="s">
        <v>17</v>
      </c>
      <c r="AB7" s="0" t="s">
        <v>14</v>
      </c>
    </row>
    <row r="8" customFormat="false" ht="15" hidden="false" customHeight="false" outlineLevel="0" collapsed="false">
      <c r="A8" s="0" t="s">
        <v>69</v>
      </c>
      <c r="B8" s="0" t="n">
        <v>2326.2</v>
      </c>
      <c r="F8" s="0" t="n">
        <v>904.8</v>
      </c>
      <c r="G8" s="0" t="n">
        <v>38.8960536497292</v>
      </c>
      <c r="H8" s="0" t="n">
        <v>1003</v>
      </c>
      <c r="I8" s="0" t="n">
        <v>569</v>
      </c>
      <c r="J8" s="0" t="n">
        <v>24.4604935087267</v>
      </c>
      <c r="K8" s="0" t="n">
        <v>1.56</v>
      </c>
      <c r="L8" s="0" t="n">
        <v>675.3</v>
      </c>
      <c r="M8" s="0" t="n">
        <v>98.7</v>
      </c>
      <c r="N8" s="0" t="n">
        <v>576.6</v>
      </c>
      <c r="O8" s="0" t="n">
        <v>1773.7</v>
      </c>
      <c r="P8" s="0" t="n">
        <v>6163.7</v>
      </c>
      <c r="Q8" s="0" t="n">
        <v>4390</v>
      </c>
      <c r="S8" s="0" t="n">
        <v>107.3</v>
      </c>
      <c r="T8" s="0" t="n">
        <v>365.4</v>
      </c>
      <c r="U8" s="0" t="n">
        <v>22.8</v>
      </c>
      <c r="AA8" s="0" t="s">
        <v>17</v>
      </c>
      <c r="AB8" s="0" t="s">
        <v>14</v>
      </c>
    </row>
    <row r="9" customFormat="false" ht="15" hidden="false" customHeight="false" outlineLevel="0" collapsed="false">
      <c r="A9" s="0" t="s">
        <v>70</v>
      </c>
      <c r="B9" s="0" t="n">
        <v>2518.9</v>
      </c>
      <c r="F9" s="0" t="n">
        <v>982.7</v>
      </c>
      <c r="G9" s="0" t="n">
        <v>39.0130612568979</v>
      </c>
      <c r="H9" s="0" t="n">
        <v>1087.7</v>
      </c>
      <c r="I9" s="0" t="n">
        <v>627.5</v>
      </c>
      <c r="J9" s="0" t="n">
        <v>24.9116677914963</v>
      </c>
      <c r="K9" s="0" t="n">
        <v>1.72</v>
      </c>
      <c r="L9" s="0" t="n">
        <v>880.9</v>
      </c>
      <c r="M9" s="0" t="n">
        <v>84.1</v>
      </c>
      <c r="N9" s="0" t="n">
        <v>796.8</v>
      </c>
      <c r="O9" s="0" t="n">
        <v>1777</v>
      </c>
      <c r="P9" s="0" t="n">
        <v>6370.1</v>
      </c>
      <c r="Q9" s="0" t="n">
        <v>4593.1</v>
      </c>
      <c r="S9" s="0" t="n">
        <v>152.5</v>
      </c>
      <c r="T9" s="0" t="n">
        <v>366.1</v>
      </c>
      <c r="U9" s="0" t="n">
        <v>26.3</v>
      </c>
      <c r="AA9" s="0" t="s">
        <v>17</v>
      </c>
      <c r="AB9" s="0" t="s">
        <v>14</v>
      </c>
    </row>
    <row r="10" customFormat="false" ht="15" hidden="false" customHeight="false" outlineLevel="0" collapsed="false">
      <c r="A10" s="0" t="s">
        <v>71</v>
      </c>
      <c r="B10" s="0" t="n">
        <v>2739.6</v>
      </c>
      <c r="F10" s="0" t="n">
        <v>1053.6</v>
      </c>
      <c r="G10" s="0" t="n">
        <v>38.4581690757775</v>
      </c>
      <c r="H10" s="0" t="n">
        <v>1160.2</v>
      </c>
      <c r="I10" s="0" t="n">
        <v>674.9</v>
      </c>
      <c r="J10" s="0" t="n">
        <v>24.6349832092276</v>
      </c>
      <c r="K10" s="0" t="n">
        <v>1.86</v>
      </c>
      <c r="M10" s="0" t="n">
        <v>102.8</v>
      </c>
      <c r="O10" s="0" t="n">
        <v>1785.5</v>
      </c>
      <c r="P10" s="0" t="n">
        <v>6467.5</v>
      </c>
      <c r="Q10" s="0" t="n">
        <v>4682</v>
      </c>
      <c r="S10" s="0" t="n">
        <v>170</v>
      </c>
      <c r="T10" s="0" t="n">
        <v>364.6</v>
      </c>
      <c r="U10" s="0" t="n">
        <v>31.4</v>
      </c>
      <c r="AA10" s="0" t="s">
        <v>17</v>
      </c>
      <c r="AB10" s="0" t="s">
        <v>14</v>
      </c>
    </row>
    <row r="11" customFormat="false" ht="15" hidden="false" customHeight="false" outlineLevel="0" collapsed="false">
      <c r="A11" s="0" t="s">
        <v>72</v>
      </c>
      <c r="B11" s="0" t="n">
        <v>2951.9</v>
      </c>
      <c r="F11" s="0" t="n">
        <v>1146.6</v>
      </c>
      <c r="G11" s="0" t="n">
        <v>38.8427792269386</v>
      </c>
      <c r="H11" s="0" t="n">
        <v>1261.7</v>
      </c>
      <c r="K11" s="0" t="n">
        <v>2.1</v>
      </c>
      <c r="L11" s="0" t="n">
        <v>1018.2</v>
      </c>
      <c r="M11" s="0" t="n">
        <v>97.7</v>
      </c>
      <c r="N11" s="0" t="n">
        <v>920.5</v>
      </c>
      <c r="O11" s="0" t="n">
        <v>1911.7</v>
      </c>
      <c r="P11" s="0" t="n">
        <v>6440.8</v>
      </c>
      <c r="Q11" s="0" t="n">
        <v>4529.1</v>
      </c>
      <c r="S11" s="0" t="n">
        <v>131.5</v>
      </c>
      <c r="T11" s="0" t="n">
        <v>362.5</v>
      </c>
      <c r="U11" s="0" t="n">
        <v>34.6</v>
      </c>
      <c r="AA11" s="0" t="s">
        <v>17</v>
      </c>
      <c r="AB11" s="0" t="s">
        <v>14</v>
      </c>
    </row>
    <row r="12" customFormat="false" ht="15" hidden="false" customHeight="false" outlineLevel="0" collapsed="false">
      <c r="A12" s="0" t="s">
        <v>73</v>
      </c>
      <c r="B12" s="0" t="n">
        <v>3153</v>
      </c>
      <c r="F12" s="0" t="n">
        <v>1253.9</v>
      </c>
      <c r="G12" s="0" t="n">
        <v>39.7684744687599</v>
      </c>
      <c r="H12" s="0" t="n">
        <v>1380.8</v>
      </c>
      <c r="K12" s="0" t="n">
        <v>2.3</v>
      </c>
      <c r="L12" s="0" t="n">
        <v>960.4</v>
      </c>
      <c r="M12" s="0" t="n">
        <v>94.3</v>
      </c>
      <c r="N12" s="0" t="n">
        <v>866.1</v>
      </c>
      <c r="O12" s="0" t="n">
        <v>2227.2</v>
      </c>
      <c r="P12" s="0" t="n">
        <v>6833.7</v>
      </c>
      <c r="Q12" s="0" t="n">
        <v>4878.4</v>
      </c>
      <c r="S12" s="0" t="n">
        <v>184.6</v>
      </c>
      <c r="T12" s="0" t="n">
        <v>362.6</v>
      </c>
      <c r="U12" s="0" t="n">
        <v>35.4</v>
      </c>
      <c r="V12" s="0" t="n">
        <v>1.84</v>
      </c>
      <c r="AA12" s="0" t="s">
        <v>17</v>
      </c>
      <c r="AB12" s="0" t="s">
        <v>14</v>
      </c>
    </row>
    <row r="13" customFormat="false" ht="15" hidden="false" customHeight="false" outlineLevel="0" collapsed="false">
      <c r="A13" s="0" t="s">
        <v>74</v>
      </c>
      <c r="B13" s="0" t="n">
        <v>3377.7</v>
      </c>
      <c r="C13" s="0" t="n">
        <v>1018.2</v>
      </c>
      <c r="F13" s="0" t="n">
        <v>1291.5</v>
      </c>
      <c r="G13" s="0" t="n">
        <v>38.2360778044231</v>
      </c>
      <c r="H13" s="0" t="n">
        <v>1429.5</v>
      </c>
      <c r="K13" s="0" t="n">
        <v>2.77</v>
      </c>
      <c r="L13" s="0" t="n">
        <v>1276.4</v>
      </c>
      <c r="M13" s="0" t="n">
        <v>154</v>
      </c>
      <c r="N13" s="0" t="n">
        <v>1122.4</v>
      </c>
      <c r="O13" s="0" t="n">
        <v>2356.8</v>
      </c>
      <c r="P13" s="0" t="n">
        <v>7915.4</v>
      </c>
      <c r="Q13" s="0" t="n">
        <v>5558.6</v>
      </c>
      <c r="R13" s="0" t="n">
        <v>0</v>
      </c>
      <c r="S13" s="0" t="n">
        <v>358.2</v>
      </c>
      <c r="T13" s="0" t="n">
        <v>361.5</v>
      </c>
      <c r="U13" s="0" t="n">
        <v>44.6</v>
      </c>
      <c r="V13" s="0" t="n">
        <v>2.06</v>
      </c>
      <c r="AA13" s="0" t="s">
        <v>17</v>
      </c>
      <c r="AB13" s="0" t="s">
        <v>14</v>
      </c>
    </row>
    <row r="14" customFormat="false" ht="15" hidden="false" customHeight="false" outlineLevel="0" collapsed="false">
      <c r="A14" s="0" t="s">
        <v>75</v>
      </c>
      <c r="B14" s="0" t="n">
        <v>3772.5</v>
      </c>
      <c r="C14" s="0" t="n">
        <v>1177.8</v>
      </c>
      <c r="F14" s="0" t="n">
        <v>1371.3</v>
      </c>
      <c r="G14" s="0" t="n">
        <v>36.3499005964215</v>
      </c>
      <c r="H14" s="0" t="n">
        <v>1552.8</v>
      </c>
      <c r="K14" s="0" t="n">
        <v>2.88</v>
      </c>
      <c r="L14" s="0" t="n">
        <v>1271.5</v>
      </c>
      <c r="M14" s="0" t="n">
        <v>123.8</v>
      </c>
      <c r="N14" s="0" t="n">
        <v>1147.7</v>
      </c>
      <c r="O14" s="0" t="n">
        <v>2619.5</v>
      </c>
      <c r="P14" s="0" t="n">
        <v>8676</v>
      </c>
      <c r="Q14" s="0" t="n">
        <v>6056.5</v>
      </c>
      <c r="R14" s="0" t="n">
        <v>796.4</v>
      </c>
      <c r="S14" s="0" t="n">
        <v>673.6</v>
      </c>
      <c r="T14" s="0" t="n">
        <v>361.8</v>
      </c>
      <c r="U14" s="0" t="n">
        <v>46.2</v>
      </c>
      <c r="V14" s="0" t="n">
        <v>2.3</v>
      </c>
      <c r="AA14" s="0" t="s">
        <v>17</v>
      </c>
      <c r="AB14" s="0" t="s">
        <v>14</v>
      </c>
    </row>
    <row r="15" customFormat="false" ht="15" hidden="false" customHeight="false" outlineLevel="0" collapsed="false">
      <c r="A15" s="0" t="s">
        <v>76</v>
      </c>
      <c r="B15" s="0" t="n">
        <v>4040.5</v>
      </c>
      <c r="C15" s="0" t="n">
        <v>1280.8</v>
      </c>
      <c r="F15" s="0" t="n">
        <v>1460.5</v>
      </c>
      <c r="G15" s="0" t="n">
        <v>36.1465165202326</v>
      </c>
      <c r="H15" s="0" t="n">
        <v>1670.2</v>
      </c>
      <c r="K15" s="0" t="n">
        <v>3.06</v>
      </c>
      <c r="L15" s="0" t="n">
        <v>1440.9</v>
      </c>
      <c r="M15" s="0" t="n">
        <v>127</v>
      </c>
      <c r="N15" s="0" t="n">
        <v>1313.9</v>
      </c>
      <c r="O15" s="0" t="n">
        <v>2781.4</v>
      </c>
      <c r="P15" s="0" t="n">
        <v>8550.7</v>
      </c>
      <c r="Q15" s="0" t="n">
        <v>5769.3</v>
      </c>
      <c r="R15" s="0" t="n">
        <v>796.8</v>
      </c>
      <c r="S15" s="0" t="n">
        <v>905.2</v>
      </c>
      <c r="T15" s="0" t="n">
        <v>361</v>
      </c>
      <c r="U15" s="0" t="n">
        <v>47.4</v>
      </c>
      <c r="V15" s="0" t="n">
        <v>2.48</v>
      </c>
      <c r="AA15" s="0" t="s">
        <v>17</v>
      </c>
      <c r="AB15" s="0" t="s">
        <v>14</v>
      </c>
    </row>
    <row r="16" customFormat="false" ht="15" hidden="false" customHeight="false" outlineLevel="0" collapsed="false">
      <c r="A16" s="0" t="s">
        <v>77</v>
      </c>
      <c r="B16" s="0" t="n">
        <v>4056.8</v>
      </c>
      <c r="C16" s="0" t="n">
        <v>1271.2</v>
      </c>
      <c r="F16" s="0" t="n">
        <v>1460.7</v>
      </c>
      <c r="G16" s="0" t="n">
        <v>36.0062117925459</v>
      </c>
      <c r="H16" s="0" t="n">
        <v>1652.7</v>
      </c>
      <c r="K16" s="0" t="n">
        <v>3.05</v>
      </c>
      <c r="L16" s="0" t="n">
        <v>1260.3</v>
      </c>
      <c r="M16" s="0" t="n">
        <v>118.4</v>
      </c>
      <c r="N16" s="0" t="n">
        <v>1141.9</v>
      </c>
      <c r="O16" s="0" t="n">
        <v>2948</v>
      </c>
      <c r="P16" s="0" t="n">
        <v>9227.2</v>
      </c>
      <c r="Q16" s="0" t="n">
        <v>6279.2</v>
      </c>
      <c r="R16" s="0" t="n">
        <v>797.3</v>
      </c>
      <c r="S16" s="0" t="n">
        <v>995.2</v>
      </c>
      <c r="T16" s="0" t="n">
        <v>362.1</v>
      </c>
      <c r="U16" s="0" t="n">
        <v>52.5</v>
      </c>
      <c r="V16" s="0" t="n">
        <v>2.52</v>
      </c>
      <c r="AA16" s="0" t="s">
        <v>17</v>
      </c>
      <c r="AB16" s="0" t="s">
        <v>14</v>
      </c>
    </row>
    <row r="17" customFormat="false" ht="15" hidden="false" customHeight="false" outlineLevel="0" collapsed="false">
      <c r="A17" s="0" t="s">
        <v>78</v>
      </c>
      <c r="B17" s="0" t="n">
        <v>4611.7</v>
      </c>
      <c r="C17" s="0" t="n">
        <v>1356.3</v>
      </c>
      <c r="F17" s="0" t="n">
        <v>1840</v>
      </c>
      <c r="G17" s="0" t="n">
        <v>39.8985189843225</v>
      </c>
      <c r="H17" s="0" t="n">
        <v>2031.8</v>
      </c>
      <c r="I17" s="0" t="n">
        <v>1392.8</v>
      </c>
      <c r="J17" s="0" t="n">
        <v>30.2014441529154</v>
      </c>
      <c r="K17" s="0" t="n">
        <v>3.86</v>
      </c>
      <c r="L17" s="0" t="n">
        <v>1589.7</v>
      </c>
      <c r="M17" s="0" t="n">
        <v>133.8</v>
      </c>
      <c r="N17" s="0" t="n">
        <v>1455.9</v>
      </c>
      <c r="O17" s="0" t="n">
        <v>3085.2</v>
      </c>
      <c r="P17" s="0" t="n">
        <v>9635.2</v>
      </c>
      <c r="Q17" s="0" t="n">
        <v>6550</v>
      </c>
      <c r="R17" s="0" t="n">
        <v>797.7</v>
      </c>
      <c r="S17" s="0" t="n">
        <v>370</v>
      </c>
      <c r="T17" s="0" t="n">
        <v>363.1</v>
      </c>
      <c r="U17" s="0" t="n">
        <v>52.8</v>
      </c>
      <c r="V17" s="0" t="n">
        <v>2.77</v>
      </c>
      <c r="AA17" s="0" t="s">
        <v>17</v>
      </c>
      <c r="AB17" s="0" t="s">
        <v>14</v>
      </c>
    </row>
    <row r="18" customFormat="false" ht="15" hidden="false" customHeight="false" outlineLevel="0" collapsed="false">
      <c r="A18" s="0" t="s">
        <v>79</v>
      </c>
      <c r="B18" s="0" t="n">
        <v>5007.1</v>
      </c>
      <c r="C18" s="0" t="n">
        <v>1453</v>
      </c>
      <c r="F18" s="0" t="n">
        <v>2033.1</v>
      </c>
      <c r="G18" s="0" t="n">
        <v>40.6043418345949</v>
      </c>
      <c r="H18" s="0" t="n">
        <v>2209.7</v>
      </c>
      <c r="I18" s="0" t="n">
        <v>1557.3</v>
      </c>
      <c r="J18" s="0" t="n">
        <v>31.1018353937409</v>
      </c>
      <c r="K18" s="0" t="n">
        <v>4.32</v>
      </c>
      <c r="L18" s="0" t="n">
        <v>1706.2</v>
      </c>
      <c r="M18" s="0" t="n">
        <v>143</v>
      </c>
      <c r="N18" s="0" t="n">
        <v>1563.2</v>
      </c>
      <c r="O18" s="0" t="n">
        <v>3493.2</v>
      </c>
      <c r="P18" s="0" t="n">
        <v>10546.4</v>
      </c>
      <c r="Q18" s="0" t="n">
        <v>7053.2</v>
      </c>
      <c r="R18" s="0" t="n">
        <v>798.2</v>
      </c>
      <c r="S18" s="0" t="n">
        <v>1222</v>
      </c>
      <c r="T18" s="0" t="n">
        <v>362.3</v>
      </c>
      <c r="U18" s="0" t="n">
        <v>62.6</v>
      </c>
      <c r="V18" s="0" t="n">
        <v>3.26</v>
      </c>
      <c r="AA18" s="0" t="s">
        <v>17</v>
      </c>
      <c r="AB18" s="0" t="s">
        <v>14</v>
      </c>
    </row>
    <row r="19" customFormat="false" ht="15" hidden="false" customHeight="false" outlineLevel="0" collapsed="false">
      <c r="A19" s="0" t="s">
        <v>80</v>
      </c>
      <c r="B19" s="0" t="n">
        <v>5278.3</v>
      </c>
      <c r="C19" s="0" t="n">
        <v>1479.3</v>
      </c>
      <c r="F19" s="0" t="n">
        <v>2174.1</v>
      </c>
      <c r="G19" s="0" t="n">
        <v>41.1893981016615</v>
      </c>
      <c r="H19" s="0" t="n">
        <v>2350.6</v>
      </c>
      <c r="I19" s="0" t="n">
        <v>1690.4</v>
      </c>
      <c r="J19" s="0" t="n">
        <v>32.0254627436864</v>
      </c>
      <c r="K19" s="0" t="n">
        <v>4.69</v>
      </c>
      <c r="L19" s="0" t="n">
        <v>1897.7</v>
      </c>
      <c r="M19" s="0" t="n">
        <v>161.4</v>
      </c>
      <c r="N19" s="0" t="n">
        <v>1736.3</v>
      </c>
      <c r="O19" s="0" t="n">
        <v>3801</v>
      </c>
      <c r="P19" s="0" t="n">
        <v>10383.1</v>
      </c>
      <c r="Q19" s="0" t="n">
        <v>6582.1</v>
      </c>
      <c r="R19" s="0" t="n">
        <v>798.6</v>
      </c>
      <c r="S19" s="0" t="n">
        <v>1468.9</v>
      </c>
      <c r="T19" s="0" t="n">
        <v>362.1</v>
      </c>
      <c r="U19" s="0" t="n">
        <v>61.1</v>
      </c>
      <c r="V19" s="0" t="n">
        <v>3.65</v>
      </c>
      <c r="AA19" s="0" t="s">
        <v>17</v>
      </c>
      <c r="AB19" s="0" t="s">
        <v>14</v>
      </c>
    </row>
    <row r="20" customFormat="false" ht="15" hidden="false" customHeight="false" outlineLevel="0" collapsed="false">
      <c r="A20" s="0" t="s">
        <v>81</v>
      </c>
      <c r="B20" s="0" t="n">
        <v>5571.7</v>
      </c>
      <c r="C20" s="0" t="n">
        <v>1540.4</v>
      </c>
      <c r="F20" s="0" t="n">
        <v>2207.7</v>
      </c>
      <c r="G20" s="0" t="n">
        <v>39.6234542419728</v>
      </c>
      <c r="H20" s="0" t="n">
        <v>2417.2</v>
      </c>
      <c r="I20" s="0" t="n">
        <v>1657.3</v>
      </c>
      <c r="J20" s="0" t="n">
        <v>29.7449611429187</v>
      </c>
      <c r="K20" s="0" t="n">
        <v>4.6</v>
      </c>
      <c r="L20" s="0" t="n">
        <v>1900.9</v>
      </c>
      <c r="M20" s="0" t="n">
        <v>191.8</v>
      </c>
      <c r="N20" s="0" t="n">
        <v>1709.1</v>
      </c>
      <c r="O20" s="0" t="n">
        <v>4128</v>
      </c>
      <c r="P20" s="0" t="n">
        <v>16564.1</v>
      </c>
      <c r="Q20" s="0" t="n">
        <v>12436.1</v>
      </c>
      <c r="R20" s="0" t="n">
        <v>5348</v>
      </c>
      <c r="S20" s="0" t="n">
        <v>1628.6</v>
      </c>
      <c r="T20" s="0" t="n">
        <v>362</v>
      </c>
      <c r="U20" s="0" t="n">
        <v>111.8</v>
      </c>
      <c r="V20" s="0" t="n">
        <v>4.02</v>
      </c>
      <c r="AA20" s="0" t="s">
        <v>17</v>
      </c>
      <c r="AB20" s="0" t="s">
        <v>14</v>
      </c>
    </row>
    <row r="21" customFormat="false" ht="15" hidden="false" customHeight="false" outlineLevel="0" collapsed="false">
      <c r="A21" s="0" t="s">
        <v>82</v>
      </c>
      <c r="B21" s="0" t="n">
        <v>6512</v>
      </c>
      <c r="C21" s="0" t="n">
        <v>1674.5</v>
      </c>
      <c r="F21" s="0" t="n">
        <v>2510.5</v>
      </c>
      <c r="G21" s="0" t="n">
        <v>38.5519041769042</v>
      </c>
      <c r="H21" s="0" t="n">
        <v>2953.1</v>
      </c>
      <c r="I21" s="0" t="n">
        <v>1760.1</v>
      </c>
      <c r="J21" s="0" t="n">
        <v>27.0285626535627</v>
      </c>
      <c r="K21" s="0" t="n">
        <v>4.9</v>
      </c>
      <c r="L21" s="0" t="n">
        <v>2556.7</v>
      </c>
      <c r="M21" s="0" t="n">
        <v>234.9</v>
      </c>
      <c r="N21" s="0" t="n">
        <v>2321.8</v>
      </c>
      <c r="O21" s="0" t="n">
        <v>3735.1</v>
      </c>
      <c r="P21" s="0" t="n">
        <v>16174.5</v>
      </c>
      <c r="Q21" s="0" t="n">
        <v>12439.4</v>
      </c>
      <c r="R21" s="0" t="n">
        <v>4556.1</v>
      </c>
      <c r="S21" s="0" t="n">
        <v>1088.2</v>
      </c>
      <c r="T21" s="0" t="n">
        <v>360</v>
      </c>
      <c r="U21" s="0" t="n">
        <v>96.1</v>
      </c>
      <c r="V21" s="0" t="n">
        <v>4.43</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100.84</v>
      </c>
    </row>
    <row r="3" customFormat="false" ht="15" hidden="false" customHeight="false" outlineLevel="0" collapsed="false">
      <c r="A3" s="0" t="s">
        <v>86</v>
      </c>
      <c r="B3" s="3" t="n">
        <v>356.6</v>
      </c>
    </row>
    <row r="4" customFormat="false" ht="15" hidden="false" customHeight="false" outlineLevel="0" collapsed="false">
      <c r="A4" s="0" t="s">
        <v>87</v>
      </c>
      <c r="B4" s="3" t="n">
        <v>3957.1</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6512</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4</v>
      </c>
      <c r="D13" s="3" t="n">
        <v>3</v>
      </c>
      <c r="E13" s="3" t="n">
        <v>2.5</v>
      </c>
      <c r="F13" s="3" t="n">
        <v>2.5</v>
      </c>
      <c r="G13" s="3" t="n">
        <v>2.5</v>
      </c>
      <c r="H13" s="3" t="n">
        <v>2.5</v>
      </c>
      <c r="I13" s="3" t="n">
        <v>2.5</v>
      </c>
      <c r="J13" s="3" t="n">
        <v>2.5</v>
      </c>
      <c r="K13" s="3" t="n">
        <v>2.5</v>
      </c>
      <c r="L13" s="3" t="n">
        <v>2.5</v>
      </c>
    </row>
    <row r="14" customFormat="false" ht="15" hidden="false" customHeight="false" outlineLevel="0" collapsed="false">
      <c r="A14" s="0" t="s">
        <v>107</v>
      </c>
      <c r="C14" s="3" t="n">
        <v>47</v>
      </c>
      <c r="D14" s="3" t="n">
        <v>46.5</v>
      </c>
      <c r="E14" s="3" t="n">
        <v>46</v>
      </c>
      <c r="F14" s="3" t="n">
        <v>45.5</v>
      </c>
      <c r="G14" s="3" t="n">
        <v>45.5</v>
      </c>
      <c r="H14" s="3" t="n">
        <v>45.5</v>
      </c>
      <c r="I14" s="3" t="n">
        <v>45.5</v>
      </c>
      <c r="J14" s="3" t="n">
        <v>45.5</v>
      </c>
      <c r="K14" s="3" t="n">
        <v>45.5</v>
      </c>
      <c r="L14" s="3" t="n">
        <v>45.5</v>
      </c>
    </row>
    <row r="15" customFormat="false" ht="15" hidden="false" customHeight="false" outlineLevel="0" collapsed="false">
      <c r="A15" s="0" t="s">
        <v>108</v>
      </c>
      <c r="C15" s="3" t="n">
        <v>1.5</v>
      </c>
      <c r="D15" s="3" t="n">
        <v>1.5</v>
      </c>
      <c r="E15" s="3" t="n">
        <v>1.5</v>
      </c>
      <c r="F15" s="3" t="n">
        <v>1.5</v>
      </c>
      <c r="G15" s="3" t="n">
        <v>1.5</v>
      </c>
      <c r="H15" s="3" t="n">
        <v>1.5</v>
      </c>
      <c r="I15" s="3" t="n">
        <v>1.5</v>
      </c>
      <c r="J15" s="3" t="n">
        <v>1.5</v>
      </c>
      <c r="K15" s="3" t="n">
        <v>1.5</v>
      </c>
      <c r="L15" s="3" t="n">
        <v>1.5</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3.5</v>
      </c>
      <c r="D17" s="3" t="n">
        <v>3.5</v>
      </c>
      <c r="E17" s="3" t="n">
        <v>3.5</v>
      </c>
      <c r="F17" s="3" t="n">
        <v>3.5</v>
      </c>
      <c r="G17" s="3" t="n">
        <v>3.5</v>
      </c>
      <c r="H17" s="3" t="n">
        <v>3.5</v>
      </c>
      <c r="I17" s="3" t="n">
        <v>3.5</v>
      </c>
      <c r="J17" s="3" t="n">
        <v>3.5</v>
      </c>
      <c r="K17" s="3" t="n">
        <v>3.5</v>
      </c>
      <c r="L17" s="3" t="n">
        <v>3.5</v>
      </c>
    </row>
    <row r="18" customFormat="false" ht="15" hidden="false" customHeight="false" outlineLevel="0" collapsed="false">
      <c r="A18" s="0" t="s">
        <v>111</v>
      </c>
      <c r="C18" s="3" t="n">
        <v>3.6</v>
      </c>
      <c r="D18" s="3" t="n">
        <v>3.6</v>
      </c>
      <c r="E18" s="3" t="n">
        <v>3.6</v>
      </c>
      <c r="F18" s="3" t="n">
        <v>3.6</v>
      </c>
      <c r="G18" s="3" t="n">
        <v>3.6</v>
      </c>
      <c r="H18" s="3" t="n">
        <v>3.6</v>
      </c>
      <c r="I18" s="3" t="n">
        <v>3.6</v>
      </c>
      <c r="J18" s="3" t="n">
        <v>3.6</v>
      </c>
      <c r="K18" s="3" t="n">
        <v>3.6</v>
      </c>
      <c r="L18" s="3" t="n">
        <v>3.6</v>
      </c>
    </row>
    <row r="19" customFormat="false" ht="15" hidden="false" customHeight="false" outlineLevel="0" collapsed="false">
      <c r="A19" s="0" t="s">
        <v>112</v>
      </c>
      <c r="C19" s="3" t="n">
        <v>22</v>
      </c>
      <c r="D19" s="3" t="n">
        <v>24</v>
      </c>
      <c r="E19" s="3" t="n">
        <v>24</v>
      </c>
      <c r="F19" s="3" t="n">
        <v>24</v>
      </c>
      <c r="G19" s="3" t="n">
        <v>24</v>
      </c>
      <c r="H19" s="3" t="n">
        <v>24</v>
      </c>
      <c r="I19" s="3" t="n">
        <v>24</v>
      </c>
      <c r="J19" s="3" t="n">
        <v>24</v>
      </c>
      <c r="K19" s="3" t="n">
        <v>24</v>
      </c>
      <c r="L19" s="3" t="n">
        <v>24</v>
      </c>
    </row>
    <row r="20" customFormat="false" ht="15" hidden="false" customHeight="false" outlineLevel="0" collapsed="false">
      <c r="A20" s="0" t="s">
        <v>113</v>
      </c>
      <c r="B20" s="3" t="n">
        <v>8</v>
      </c>
    </row>
    <row r="21" customFormat="false" ht="15" hidden="false" customHeight="false" outlineLevel="0" collapsed="false">
      <c r="A21" s="0" t="s">
        <v>114</v>
      </c>
      <c r="B21" s="3" t="n">
        <v>2</v>
      </c>
    </row>
    <row r="22" customFormat="false" ht="15" hidden="false" customHeight="false" outlineLevel="0" collapsed="false">
      <c r="A22" s="0" t="s">
        <v>115</v>
      </c>
      <c r="B22" s="3" t="n">
        <v>18</v>
      </c>
    </row>
    <row r="23" customFormat="false" ht="15" hidden="false" customHeight="false" outlineLevel="0" collapsed="false">
      <c r="A23" s="0" t="s">
        <v>116</v>
      </c>
      <c r="B23" s="3" t="n">
        <v>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5.5</v>
      </c>
      <c r="D27" s="3" t="n">
        <v>5.5</v>
      </c>
      <c r="E27" s="3" t="n">
        <v>5</v>
      </c>
      <c r="F27" s="3" t="n">
        <v>5</v>
      </c>
      <c r="G27" s="3" t="n">
        <v>4.5</v>
      </c>
      <c r="H27" s="3" t="n">
        <v>4.5</v>
      </c>
      <c r="I27" s="3" t="n">
        <v>4</v>
      </c>
      <c r="J27" s="3" t="n">
        <v>3.5</v>
      </c>
      <c r="K27" s="3" t="n">
        <v>3</v>
      </c>
      <c r="L27" s="3" t="n">
        <v>3</v>
      </c>
    </row>
    <row r="28" customFormat="false" ht="15" hidden="false" customHeight="false" outlineLevel="0" collapsed="false">
      <c r="A28" s="0" t="s">
        <v>107</v>
      </c>
      <c r="C28" s="3" t="n">
        <v>47.8</v>
      </c>
      <c r="D28" s="3" t="n">
        <v>48.2</v>
      </c>
      <c r="E28" s="3" t="n">
        <v>48.5</v>
      </c>
      <c r="F28" s="3" t="n">
        <v>48.5</v>
      </c>
      <c r="G28" s="3" t="n">
        <v>48.5</v>
      </c>
      <c r="H28" s="3" t="n">
        <v>48.5</v>
      </c>
      <c r="I28" s="3" t="n">
        <v>48.5</v>
      </c>
      <c r="J28" s="3" t="n">
        <v>48.5</v>
      </c>
      <c r="K28" s="3" t="n">
        <v>48.5</v>
      </c>
      <c r="L28" s="3" t="n">
        <v>48.5</v>
      </c>
    </row>
    <row r="29" customFormat="false" ht="15" hidden="false" customHeight="false" outlineLevel="0" collapsed="false">
      <c r="A29" s="0" t="s">
        <v>108</v>
      </c>
      <c r="C29" s="3" t="n">
        <v>1.5</v>
      </c>
      <c r="D29" s="3" t="n">
        <v>1.5</v>
      </c>
      <c r="E29" s="3" t="n">
        <v>1.45</v>
      </c>
      <c r="F29" s="3" t="n">
        <v>1.45</v>
      </c>
      <c r="G29" s="3" t="n">
        <v>1.4</v>
      </c>
      <c r="H29" s="3" t="n">
        <v>1.4</v>
      </c>
      <c r="I29" s="3" t="n">
        <v>1.4</v>
      </c>
      <c r="J29" s="3" t="n">
        <v>1.4</v>
      </c>
      <c r="K29" s="3" t="n">
        <v>1.4</v>
      </c>
      <c r="L29" s="3" t="n">
        <v>1.4</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3.5</v>
      </c>
      <c r="D31" s="3" t="n">
        <v>3.5</v>
      </c>
      <c r="E31" s="3" t="n">
        <v>3.5</v>
      </c>
      <c r="F31" s="3" t="n">
        <v>3.5</v>
      </c>
      <c r="G31" s="3" t="n">
        <v>3.5</v>
      </c>
      <c r="H31" s="3" t="n">
        <v>3.5</v>
      </c>
      <c r="I31" s="3" t="n">
        <v>3.5</v>
      </c>
      <c r="J31" s="3" t="n">
        <v>3.5</v>
      </c>
      <c r="K31" s="3" t="n">
        <v>3.5</v>
      </c>
      <c r="L31" s="3" t="n">
        <v>3.5</v>
      </c>
    </row>
    <row r="32" customFormat="false" ht="15" hidden="false" customHeight="false" outlineLevel="0" collapsed="false">
      <c r="A32" s="0" t="s">
        <v>111</v>
      </c>
      <c r="C32" s="3" t="n">
        <v>3.6</v>
      </c>
      <c r="D32" s="3" t="n">
        <v>3.6</v>
      </c>
      <c r="E32" s="3" t="n">
        <v>3.5</v>
      </c>
      <c r="F32" s="3" t="n">
        <v>3.5</v>
      </c>
      <c r="G32" s="3" t="n">
        <v>3.4</v>
      </c>
      <c r="H32" s="3" t="n">
        <v>3.4</v>
      </c>
      <c r="I32" s="3" t="n">
        <v>3.4</v>
      </c>
      <c r="J32" s="3" t="n">
        <v>3.4</v>
      </c>
      <c r="K32" s="3" t="n">
        <v>3.4</v>
      </c>
      <c r="L32" s="3" t="n">
        <v>3.4</v>
      </c>
    </row>
    <row r="33" customFormat="false" ht="15" hidden="false" customHeight="false" outlineLevel="0" collapsed="false">
      <c r="A33" s="0" t="s">
        <v>112</v>
      </c>
      <c r="C33" s="3" t="n">
        <v>21</v>
      </c>
      <c r="D33" s="3" t="n">
        <v>23</v>
      </c>
      <c r="E33" s="3" t="n">
        <v>24</v>
      </c>
      <c r="F33" s="3" t="n">
        <v>24</v>
      </c>
      <c r="G33" s="3" t="n">
        <v>24</v>
      </c>
      <c r="H33" s="3" t="n">
        <v>24</v>
      </c>
      <c r="I33" s="3" t="n">
        <v>24</v>
      </c>
      <c r="J33" s="3" t="n">
        <v>24</v>
      </c>
      <c r="K33" s="3" t="n">
        <v>24</v>
      </c>
      <c r="L33" s="3" t="n">
        <v>24</v>
      </c>
    </row>
    <row r="34" customFormat="false" ht="15" hidden="false" customHeight="false" outlineLevel="0" collapsed="false">
      <c r="A34" s="0" t="s">
        <v>113</v>
      </c>
      <c r="B34" s="3" t="n">
        <v>8</v>
      </c>
    </row>
    <row r="35" customFormat="false" ht="15" hidden="false" customHeight="false" outlineLevel="0" collapsed="false">
      <c r="A35" s="0" t="s">
        <v>114</v>
      </c>
      <c r="B35" s="3" t="n">
        <v>2.5</v>
      </c>
    </row>
    <row r="36" customFormat="false" ht="15" hidden="false" customHeight="false" outlineLevel="0" collapsed="false">
      <c r="A36" s="0" t="s">
        <v>115</v>
      </c>
      <c r="B36" s="3" t="n">
        <v>20</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6.5</v>
      </c>
      <c r="D41" s="3" t="n">
        <v>7</v>
      </c>
      <c r="E41" s="3" t="n">
        <v>7</v>
      </c>
      <c r="F41" s="3" t="n">
        <v>6.5</v>
      </c>
      <c r="G41" s="3" t="n">
        <v>6</v>
      </c>
      <c r="H41" s="3" t="n">
        <v>5.5</v>
      </c>
      <c r="I41" s="3" t="n">
        <v>5</v>
      </c>
      <c r="J41" s="3" t="n">
        <v>4.5</v>
      </c>
      <c r="K41" s="3" t="n">
        <v>4</v>
      </c>
      <c r="L41" s="3" t="n">
        <v>3.5</v>
      </c>
    </row>
    <row r="42" customFormat="false" ht="15" hidden="false" customHeight="false" outlineLevel="0" collapsed="false">
      <c r="A42" s="0" t="s">
        <v>107</v>
      </c>
      <c r="C42" s="3" t="n">
        <v>48</v>
      </c>
      <c r="D42" s="3" t="n">
        <v>48.8</v>
      </c>
      <c r="E42" s="3" t="n">
        <v>49.5</v>
      </c>
      <c r="F42" s="3" t="n">
        <v>50</v>
      </c>
      <c r="G42" s="3" t="n">
        <v>50</v>
      </c>
      <c r="H42" s="3" t="n">
        <v>50</v>
      </c>
      <c r="I42" s="3" t="n">
        <v>50</v>
      </c>
      <c r="J42" s="3" t="n">
        <v>50</v>
      </c>
      <c r="K42" s="3" t="n">
        <v>50</v>
      </c>
      <c r="L42" s="3" t="n">
        <v>50</v>
      </c>
    </row>
    <row r="43" customFormat="false" ht="15" hidden="false" customHeight="false" outlineLevel="0" collapsed="false">
      <c r="A43" s="0" t="s">
        <v>108</v>
      </c>
      <c r="C43" s="3" t="n">
        <v>1.5</v>
      </c>
      <c r="D43" s="3" t="n">
        <v>1.5</v>
      </c>
      <c r="E43" s="3" t="n">
        <v>1.45</v>
      </c>
      <c r="F43" s="3" t="n">
        <v>1.45</v>
      </c>
      <c r="G43" s="3" t="n">
        <v>1.4</v>
      </c>
      <c r="H43" s="3" t="n">
        <v>1.4</v>
      </c>
      <c r="I43" s="3" t="n">
        <v>1.4</v>
      </c>
      <c r="J43" s="3" t="n">
        <v>1.4</v>
      </c>
      <c r="K43" s="3" t="n">
        <v>1.4</v>
      </c>
      <c r="L43" s="3" t="n">
        <v>1.4</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3.5</v>
      </c>
      <c r="D45" s="3" t="n">
        <v>3.5</v>
      </c>
      <c r="E45" s="3" t="n">
        <v>3.5</v>
      </c>
      <c r="F45" s="3" t="n">
        <v>3.5</v>
      </c>
      <c r="G45" s="3" t="n">
        <v>3.5</v>
      </c>
      <c r="H45" s="3" t="n">
        <v>3.5</v>
      </c>
      <c r="I45" s="3" t="n">
        <v>3.5</v>
      </c>
      <c r="J45" s="3" t="n">
        <v>3.5</v>
      </c>
      <c r="K45" s="3" t="n">
        <v>3.5</v>
      </c>
      <c r="L45" s="3" t="n">
        <v>3.5</v>
      </c>
    </row>
    <row r="46" customFormat="false" ht="15" hidden="false" customHeight="false" outlineLevel="0" collapsed="false">
      <c r="A46" s="0" t="s">
        <v>111</v>
      </c>
      <c r="C46" s="3" t="n">
        <v>3.6</v>
      </c>
      <c r="D46" s="3" t="n">
        <v>3.6</v>
      </c>
      <c r="E46" s="3" t="n">
        <v>3.5</v>
      </c>
      <c r="F46" s="3" t="n">
        <v>3.5</v>
      </c>
      <c r="G46" s="3" t="n">
        <v>3.4</v>
      </c>
      <c r="H46" s="3" t="n">
        <v>3.4</v>
      </c>
      <c r="I46" s="3" t="n">
        <v>3.4</v>
      </c>
      <c r="J46" s="3" t="n">
        <v>3.4</v>
      </c>
      <c r="K46" s="3" t="n">
        <v>3.4</v>
      </c>
      <c r="L46" s="3" t="n">
        <v>3.4</v>
      </c>
    </row>
    <row r="47" customFormat="false" ht="15" hidden="false" customHeight="false" outlineLevel="0" collapsed="false">
      <c r="A47" s="0" t="s">
        <v>112</v>
      </c>
      <c r="C47" s="3" t="n">
        <v>21</v>
      </c>
      <c r="D47" s="3" t="n">
        <v>23</v>
      </c>
      <c r="E47" s="3" t="n">
        <v>24</v>
      </c>
      <c r="F47" s="3" t="n">
        <v>24</v>
      </c>
      <c r="G47" s="3" t="n">
        <v>24</v>
      </c>
      <c r="H47" s="3" t="n">
        <v>24</v>
      </c>
      <c r="I47" s="3" t="n">
        <v>24</v>
      </c>
      <c r="J47" s="3" t="n">
        <v>24</v>
      </c>
      <c r="K47" s="3" t="n">
        <v>24</v>
      </c>
      <c r="L47" s="3" t="n">
        <v>24</v>
      </c>
    </row>
    <row r="48" customFormat="false" ht="15" hidden="false" customHeight="false" outlineLevel="0" collapsed="false">
      <c r="A48" s="0" t="s">
        <v>113</v>
      </c>
      <c r="B48" s="3" t="n">
        <v>8</v>
      </c>
    </row>
    <row r="49" customFormat="false" ht="15" hidden="false" customHeight="false" outlineLevel="0" collapsed="false">
      <c r="A49" s="0" t="s">
        <v>114</v>
      </c>
      <c r="B49" s="3" t="n">
        <v>3</v>
      </c>
    </row>
    <row r="50" customFormat="false" ht="15" hidden="false" customHeight="false" outlineLevel="0" collapsed="false">
      <c r="A50" s="0" t="s">
        <v>115</v>
      </c>
      <c r="B50" s="3" t="n">
        <v>20</v>
      </c>
    </row>
    <row r="51" customFormat="false" ht="15" hidden="false" customHeight="false" outlineLevel="0" collapsed="false">
      <c r="A51" s="0" t="s">
        <v>116</v>
      </c>
      <c r="B51" s="3" t="n">
        <v>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4</v>
      </c>
      <c r="D5" s="4" t="n">
        <f aca="false">Assumptions!D13</f>
        <v>3</v>
      </c>
      <c r="E5" s="4" t="n">
        <f aca="false">Assumptions!E13</f>
        <v>2.5</v>
      </c>
      <c r="F5" s="4" t="n">
        <f aca="false">Assumptions!F13</f>
        <v>2.5</v>
      </c>
      <c r="G5" s="4" t="n">
        <f aca="false">Assumptions!G13</f>
        <v>2.5</v>
      </c>
      <c r="H5" s="4" t="n">
        <f aca="false">Assumptions!H13</f>
        <v>2.5</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37</v>
      </c>
      <c r="B6" s="3" t="n">
        <v>6512</v>
      </c>
      <c r="C6" s="0" t="n">
        <f aca="false">B6*(1+C5/100)</f>
        <v>6772.48</v>
      </c>
      <c r="D6" s="0" t="n">
        <f aca="false">C6*(1+D5/100)</f>
        <v>6975.6544</v>
      </c>
      <c r="E6" s="0" t="n">
        <f aca="false">D6*(1+E5/100)</f>
        <v>7150.04576</v>
      </c>
      <c r="F6" s="0" t="n">
        <f aca="false">E6*(1+F5/100)</f>
        <v>7328.796904</v>
      </c>
      <c r="G6" s="0" t="n">
        <f aca="false">F6*(1+G5/100)</f>
        <v>7512.0168266</v>
      </c>
      <c r="H6" s="0" t="n">
        <f aca="false">G6*(1+H5/100)</f>
        <v>7699.817247265</v>
      </c>
      <c r="I6" s="0" t="n">
        <f aca="false">H6*(1+I5/100)</f>
        <v>7892.31267844662</v>
      </c>
      <c r="J6" s="0" t="n">
        <f aca="false">I6*(1+J5/100)</f>
        <v>8089.62049540779</v>
      </c>
      <c r="K6" s="0" t="n">
        <f aca="false">J6*(1+K5/100)</f>
        <v>8291.86100779298</v>
      </c>
      <c r="L6" s="0" t="n">
        <f aca="false">K6*(1+L5/100)</f>
        <v>8499.15753298781</v>
      </c>
    </row>
    <row r="7" customFormat="false" ht="15" hidden="false" customHeight="false" outlineLevel="0" collapsed="false">
      <c r="A7" s="0" t="s">
        <v>107</v>
      </c>
      <c r="C7" s="4" t="n">
        <f aca="false">Assumptions!C14</f>
        <v>47</v>
      </c>
      <c r="D7" s="4" t="n">
        <f aca="false">Assumptions!D14</f>
        <v>46.5</v>
      </c>
      <c r="E7" s="4" t="n">
        <f aca="false">Assumptions!E14</f>
        <v>46</v>
      </c>
      <c r="F7" s="4" t="n">
        <f aca="false">Assumptions!F14</f>
        <v>45.5</v>
      </c>
      <c r="G7" s="4" t="n">
        <f aca="false">Assumptions!G14</f>
        <v>45.5</v>
      </c>
      <c r="H7" s="4" t="n">
        <f aca="false">Assumptions!H14</f>
        <v>45.5</v>
      </c>
      <c r="I7" s="4" t="n">
        <f aca="false">Assumptions!I14</f>
        <v>45.5</v>
      </c>
      <c r="J7" s="4" t="n">
        <f aca="false">Assumptions!J14</f>
        <v>45.5</v>
      </c>
      <c r="K7" s="4" t="n">
        <f aca="false">Assumptions!K14</f>
        <v>45.5</v>
      </c>
      <c r="L7" s="4" t="n">
        <f aca="false">Assumptions!L14</f>
        <v>45.5</v>
      </c>
    </row>
    <row r="8" customFormat="false" ht="15" hidden="false" customHeight="false" outlineLevel="0" collapsed="false">
      <c r="A8" s="0" t="s">
        <v>43</v>
      </c>
      <c r="C8" s="0" t="n">
        <f aca="false">C6*C7/100</f>
        <v>3183.0656</v>
      </c>
      <c r="D8" s="0" t="n">
        <f aca="false">D6*D7/100</f>
        <v>3243.679296</v>
      </c>
      <c r="E8" s="0" t="n">
        <f aca="false">E6*E7/100</f>
        <v>3289.0210496</v>
      </c>
      <c r="F8" s="0" t="n">
        <f aca="false">F6*F7/100</f>
        <v>3334.60259132</v>
      </c>
      <c r="G8" s="0" t="n">
        <f aca="false">G6*G7/100</f>
        <v>3417.967656103</v>
      </c>
      <c r="H8" s="0" t="n">
        <f aca="false">H6*H7/100</f>
        <v>3503.41684750557</v>
      </c>
      <c r="I8" s="0" t="n">
        <f aca="false">I6*I7/100</f>
        <v>3591.00226869321</v>
      </c>
      <c r="J8" s="0" t="n">
        <f aca="false">J6*J7/100</f>
        <v>3680.77732541054</v>
      </c>
      <c r="K8" s="0" t="n">
        <f aca="false">K6*K7/100</f>
        <v>3772.79675854581</v>
      </c>
      <c r="L8" s="0" t="n">
        <f aca="false">L6*L7/100</f>
        <v>3867.11667750945</v>
      </c>
    </row>
    <row r="9" customFormat="false" ht="15" hidden="false" customHeight="false" outlineLevel="0" collapsed="false">
      <c r="A9" s="0" t="s">
        <v>108</v>
      </c>
      <c r="C9" s="4" t="n">
        <f aca="false">Assumptions!C15</f>
        <v>1.5</v>
      </c>
      <c r="D9" s="4" t="n">
        <f aca="false">Assumptions!D15</f>
        <v>1.5</v>
      </c>
      <c r="E9" s="4" t="n">
        <f aca="false">Assumptions!E15</f>
        <v>1.5</v>
      </c>
      <c r="F9" s="4" t="n">
        <f aca="false">Assumptions!F15</f>
        <v>1.5</v>
      </c>
      <c r="G9" s="4" t="n">
        <f aca="false">Assumptions!G15</f>
        <v>1.5</v>
      </c>
      <c r="H9" s="4" t="n">
        <f aca="false">Assumptions!H15</f>
        <v>1.5</v>
      </c>
      <c r="I9" s="4" t="n">
        <f aca="false">Assumptions!I15</f>
        <v>1.5</v>
      </c>
      <c r="J9" s="4" t="n">
        <f aca="false">Assumptions!J15</f>
        <v>1.5</v>
      </c>
      <c r="K9" s="4" t="n">
        <f aca="false">Assumptions!K15</f>
        <v>1.5</v>
      </c>
      <c r="L9" s="4" t="n">
        <f aca="false">Assumptions!L15</f>
        <v>1.5</v>
      </c>
    </row>
    <row r="10" customFormat="false" ht="15" hidden="false" customHeight="false" outlineLevel="0" collapsed="false">
      <c r="A10" s="0" t="s">
        <v>123</v>
      </c>
      <c r="C10" s="0" t="n">
        <f aca="false">-C6*C9/100</f>
        <v>-101.5872</v>
      </c>
      <c r="D10" s="0" t="n">
        <f aca="false">-D6*D9/100</f>
        <v>-104.634816</v>
      </c>
      <c r="E10" s="0" t="n">
        <f aca="false">-E6*E9/100</f>
        <v>-107.2506864</v>
      </c>
      <c r="F10" s="0" t="n">
        <f aca="false">-F6*F9/100</f>
        <v>-109.93195356</v>
      </c>
      <c r="G10" s="0" t="n">
        <f aca="false">-G6*G9/100</f>
        <v>-112.680252399</v>
      </c>
      <c r="H10" s="0" t="n">
        <f aca="false">-H6*H9/100</f>
        <v>-115.497258708975</v>
      </c>
      <c r="I10" s="0" t="n">
        <f aca="false">-I6*I9/100</f>
        <v>-118.384690176699</v>
      </c>
      <c r="J10" s="0" t="n">
        <f aca="false">-J6*J9/100</f>
        <v>-121.344307431117</v>
      </c>
      <c r="K10" s="0" t="n">
        <f aca="false">-K6*K9/100</f>
        <v>-124.377915116895</v>
      </c>
      <c r="L10" s="0" t="n">
        <f aca="false">-L6*L9/100</f>
        <v>-127.487362994817</v>
      </c>
    </row>
    <row r="11" customFormat="false" ht="15" hidden="false" customHeight="false" outlineLevel="0" collapsed="false">
      <c r="A11" s="0" t="s">
        <v>124</v>
      </c>
      <c r="C11" s="0" t="n">
        <f aca="false">C8+C10+C24</f>
        <v>3081.4784</v>
      </c>
      <c r="D11" s="0" t="n">
        <f aca="false">D8+D10+D24</f>
        <v>3139.04448</v>
      </c>
      <c r="E11" s="0" t="n">
        <f aca="false">E8+E10+E24</f>
        <v>3181.7703632</v>
      </c>
      <c r="F11" s="0" t="n">
        <f aca="false">F8+F10+F24</f>
        <v>3224.67063776</v>
      </c>
      <c r="G11" s="0" t="n">
        <f aca="false">G8+G10+G24</f>
        <v>3305.287403704</v>
      </c>
      <c r="H11" s="0" t="n">
        <f aca="false">H8+H10+H24</f>
        <v>3387.9195887966</v>
      </c>
      <c r="I11" s="0" t="n">
        <f aca="false">I8+I10+I24</f>
        <v>3472.61757851651</v>
      </c>
      <c r="J11" s="0" t="n">
        <f aca="false">J8+J10+J24</f>
        <v>3559.43301797943</v>
      </c>
      <c r="K11" s="0" t="n">
        <f aca="false">K8+K10+K24</f>
        <v>3648.41884342891</v>
      </c>
      <c r="L11" s="0" t="n">
        <f aca="false">L8+L10+L24</f>
        <v>3739.62931451463</v>
      </c>
    </row>
    <row r="12" customFormat="false" ht="15" hidden="false" customHeight="false" outlineLevel="0" collapsed="false">
      <c r="A12" s="0" t="s">
        <v>125</v>
      </c>
      <c r="C12" s="4" t="n">
        <f aca="false">-C6*Assumptions!C17/100</f>
        <v>-237.0368</v>
      </c>
      <c r="D12" s="4" t="n">
        <f aca="false">-D6*Assumptions!D17/100</f>
        <v>-244.147904</v>
      </c>
      <c r="E12" s="4" t="n">
        <f aca="false">-E6*Assumptions!E17/100</f>
        <v>-250.2516016</v>
      </c>
      <c r="F12" s="4" t="n">
        <f aca="false">-F6*Assumptions!F17/100</f>
        <v>-256.50789164</v>
      </c>
      <c r="G12" s="4" t="n">
        <f aca="false">-G6*Assumptions!G17/100</f>
        <v>-262.920588931</v>
      </c>
      <c r="H12" s="4" t="n">
        <f aca="false">-H6*Assumptions!H17/100</f>
        <v>-269.493603654275</v>
      </c>
      <c r="I12" s="4" t="n">
        <f aca="false">-I6*Assumptions!I17/100</f>
        <v>-276.230943745632</v>
      </c>
      <c r="J12" s="4" t="n">
        <f aca="false">-J6*Assumptions!J17/100</f>
        <v>-283.136717339273</v>
      </c>
      <c r="K12" s="4" t="n">
        <f aca="false">-K6*Assumptions!K17/100</f>
        <v>-290.215135272754</v>
      </c>
      <c r="L12" s="4" t="n">
        <f aca="false">-L6*Assumptions!L17/100</f>
        <v>-297.470513654573</v>
      </c>
    </row>
    <row r="13" customFormat="false" ht="15" hidden="false" customHeight="false" outlineLevel="0" collapsed="false">
      <c r="A13" s="0" t="s">
        <v>126</v>
      </c>
      <c r="C13" s="0" t="n">
        <f aca="false">C11+C12</f>
        <v>2844.4416</v>
      </c>
      <c r="D13" s="0" t="n">
        <f aca="false">D11+D12</f>
        <v>2894.896576</v>
      </c>
      <c r="E13" s="0" t="n">
        <f aca="false">E11+E12</f>
        <v>2931.5187616</v>
      </c>
      <c r="F13" s="0" t="n">
        <f aca="false">F11+F12</f>
        <v>2968.16274612</v>
      </c>
      <c r="G13" s="0" t="n">
        <f aca="false">G11+G12</f>
        <v>3042.366814773</v>
      </c>
      <c r="H13" s="0" t="n">
        <f aca="false">H11+H12</f>
        <v>3118.42598514232</v>
      </c>
      <c r="I13" s="0" t="n">
        <f aca="false">I11+I12</f>
        <v>3196.38663477088</v>
      </c>
      <c r="J13" s="0" t="n">
        <f aca="false">J11+J12</f>
        <v>3276.29630064015</v>
      </c>
      <c r="K13" s="0" t="n">
        <f aca="false">K11+K12</f>
        <v>3358.20370815616</v>
      </c>
      <c r="L13" s="0" t="n">
        <f aca="false">L11+L12</f>
        <v>3442.15880086006</v>
      </c>
    </row>
    <row r="14" customFormat="false" ht="15" hidden="false" customHeight="false" outlineLevel="0" collapsed="false">
      <c r="A14" s="0" t="s">
        <v>112</v>
      </c>
      <c r="C14" s="4" t="n">
        <f aca="false">Assumptions!C19</f>
        <v>22</v>
      </c>
      <c r="D14" s="4" t="n">
        <f aca="false">Assumptions!D19</f>
        <v>24</v>
      </c>
      <c r="E14" s="4" t="n">
        <f aca="false">Assumptions!E19</f>
        <v>24</v>
      </c>
      <c r="F14" s="4" t="n">
        <f aca="false">Assumptions!F19</f>
        <v>24</v>
      </c>
      <c r="G14" s="4" t="n">
        <f aca="false">Assumptions!G19</f>
        <v>24</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127</v>
      </c>
      <c r="C15" s="0" t="n">
        <f aca="false">C13-MAX(0,C13)*C14/100</f>
        <v>2218.664448</v>
      </c>
      <c r="D15" s="0" t="n">
        <f aca="false">D13-MAX(0,D13)*D14/100</f>
        <v>2200.12139776</v>
      </c>
      <c r="E15" s="0" t="n">
        <f aca="false">E13-MAX(0,E13)*E14/100</f>
        <v>2227.954258816</v>
      </c>
      <c r="F15" s="0" t="n">
        <f aca="false">F13-MAX(0,F13)*F14/100</f>
        <v>2255.8036870512</v>
      </c>
      <c r="G15" s="0" t="n">
        <f aca="false">G13-MAX(0,G13)*G14/100</f>
        <v>2312.19877922748</v>
      </c>
      <c r="H15" s="0" t="n">
        <f aca="false">H13-MAX(0,H13)*H14/100</f>
        <v>2370.00374870817</v>
      </c>
      <c r="I15" s="0" t="n">
        <f aca="false">I13-MAX(0,I13)*I14/100</f>
        <v>2429.25384242587</v>
      </c>
      <c r="J15" s="0" t="n">
        <f aca="false">J13-MAX(0,J13)*J14/100</f>
        <v>2489.98518848652</v>
      </c>
      <c r="K15" s="0" t="n">
        <f aca="false">K13-MAX(0,K13)*K14/100</f>
        <v>2552.23481819868</v>
      </c>
      <c r="L15" s="0" t="n">
        <f aca="false">L13-MAX(0,L13)*L14/100</f>
        <v>2616.04068865365</v>
      </c>
    </row>
    <row r="16" customFormat="false" ht="15" hidden="false" customHeight="false" outlineLevel="0" collapsed="false">
      <c r="A16" s="0" t="s">
        <v>128</v>
      </c>
      <c r="C16" s="0" t="n">
        <f aca="false">-C12</f>
        <v>237.0368</v>
      </c>
      <c r="D16" s="0" t="n">
        <f aca="false">-D12</f>
        <v>244.147904</v>
      </c>
      <c r="E16" s="0" t="n">
        <f aca="false">-E12</f>
        <v>250.2516016</v>
      </c>
      <c r="F16" s="0" t="n">
        <f aca="false">-F12</f>
        <v>256.50789164</v>
      </c>
      <c r="G16" s="0" t="n">
        <f aca="false">-G12</f>
        <v>262.920588931</v>
      </c>
      <c r="H16" s="0" t="n">
        <f aca="false">-H12</f>
        <v>269.493603654275</v>
      </c>
      <c r="I16" s="0" t="n">
        <f aca="false">-I12</f>
        <v>276.230943745632</v>
      </c>
      <c r="J16" s="0" t="n">
        <f aca="false">-J12</f>
        <v>283.136717339273</v>
      </c>
      <c r="K16" s="0" t="n">
        <f aca="false">-K12</f>
        <v>290.215135272754</v>
      </c>
      <c r="L16" s="0" t="n">
        <f aca="false">-L12</f>
        <v>297.470513654573</v>
      </c>
    </row>
    <row r="17" customFormat="false" ht="15" hidden="false" customHeight="false" outlineLevel="0" collapsed="false">
      <c r="A17" s="0" t="s">
        <v>129</v>
      </c>
      <c r="C17" s="4" t="n">
        <f aca="false">-C6*Assumptions!C18/100</f>
        <v>-243.80928</v>
      </c>
      <c r="D17" s="4" t="n">
        <f aca="false">-D6*Assumptions!D18/100</f>
        <v>-251.1235584</v>
      </c>
      <c r="E17" s="4" t="n">
        <f aca="false">-E6*Assumptions!E18/100</f>
        <v>-257.40164736</v>
      </c>
      <c r="F17" s="4" t="n">
        <f aca="false">-F6*Assumptions!F18/100</f>
        <v>-263.836688544</v>
      </c>
      <c r="G17" s="4" t="n">
        <f aca="false">-G6*Assumptions!G18/100</f>
        <v>-270.4326057576</v>
      </c>
      <c r="H17" s="4" t="n">
        <f aca="false">-H6*Assumptions!H18/100</f>
        <v>-277.19342090154</v>
      </c>
      <c r="I17" s="4" t="n">
        <f aca="false">-I6*Assumptions!I18/100</f>
        <v>-284.123256424078</v>
      </c>
      <c r="J17" s="4" t="n">
        <f aca="false">-J6*Assumptions!J18/100</f>
        <v>-291.22633783468</v>
      </c>
      <c r="K17" s="4" t="n">
        <f aca="false">-K6*Assumptions!K18/100</f>
        <v>-298.506996280547</v>
      </c>
      <c r="L17" s="4" t="n">
        <f aca="false">-L6*Assumptions!L18/100</f>
        <v>-305.969671187561</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2211.891968</v>
      </c>
      <c r="D19" s="0" t="n">
        <f aca="false">D15+D16+D17+D18</f>
        <v>2193.14574336</v>
      </c>
      <c r="E19" s="0" t="n">
        <f aca="false">E15+E16+E17+E18</f>
        <v>2220.804213056</v>
      </c>
      <c r="F19" s="0" t="n">
        <f aca="false">F15+F16+F17+F18</f>
        <v>2248.4748901472</v>
      </c>
      <c r="G19" s="0" t="n">
        <f aca="false">G15+G16+G17+G18</f>
        <v>2304.68676240088</v>
      </c>
      <c r="H19" s="0" t="n">
        <f aca="false">H15+H16+H17+H18</f>
        <v>2362.3039314609</v>
      </c>
      <c r="I19" s="0" t="n">
        <f aca="false">I15+I16+I17+I18</f>
        <v>2421.36152974742</v>
      </c>
      <c r="J19" s="0" t="n">
        <f aca="false">J15+J16+J17+J18</f>
        <v>2481.89556799111</v>
      </c>
      <c r="K19" s="0" t="n">
        <f aca="false">K15+K16+K17+K18</f>
        <v>2543.94295719089</v>
      </c>
      <c r="L19" s="0" t="n">
        <f aca="false">L15+L16+L17+L18</f>
        <v>2607.54153112066</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2048.04811851852</v>
      </c>
      <c r="D21" s="0" t="n">
        <f aca="false">D19*D20</f>
        <v>1880.26898436214</v>
      </c>
      <c r="E21" s="0" t="n">
        <f aca="false">E19*E20</f>
        <v>1762.94598531728</v>
      </c>
      <c r="F21" s="0" t="n">
        <f aca="false">F19*F20</f>
        <v>1652.69616752142</v>
      </c>
      <c r="G21" s="0" t="n">
        <f aca="false">G19*G20</f>
        <v>1568.53108491616</v>
      </c>
      <c r="H21" s="0" t="n">
        <f aca="false">H19*H20</f>
        <v>1488.65218707321</v>
      </c>
      <c r="I21" s="0" t="n">
        <f aca="false">I19*I20</f>
        <v>1412.84119606485</v>
      </c>
      <c r="J21" s="0" t="n">
        <f aca="false">J19*J20</f>
        <v>1340.89094996895</v>
      </c>
      <c r="K21" s="0" t="n">
        <f aca="false">K19*K20</f>
        <v>1272.60483677609</v>
      </c>
      <c r="L21" s="0" t="n">
        <f aca="false">L19*L20</f>
        <v>1207.79625712546</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8</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18</v>
      </c>
    </row>
    <row r="30" customFormat="false" ht="15" hidden="false" customHeight="false" outlineLevel="0" collapsed="false">
      <c r="A30" s="0" t="s">
        <v>136</v>
      </c>
      <c r="B30" s="0" t="n">
        <f aca="false">SUM(C21:L21)</f>
        <v>15635.2757676441</v>
      </c>
    </row>
    <row r="31" customFormat="false" ht="15" hidden="false" customHeight="false" outlineLevel="0" collapsed="false">
      <c r="A31" s="0" t="s">
        <v>137</v>
      </c>
      <c r="B31" s="0" t="n">
        <f aca="false">L19</f>
        <v>2607.54153112066</v>
      </c>
    </row>
    <row r="32" customFormat="false" ht="15" hidden="false" customHeight="false" outlineLevel="0" collapsed="false">
      <c r="A32" s="0" t="s">
        <v>138</v>
      </c>
      <c r="B32" s="0" t="n">
        <f aca="false">IF(B27&gt;B28,B31*(1+B28/100)/((B27-B28)/100),B31*B29)</f>
        <v>44328.2060290512</v>
      </c>
    </row>
    <row r="33" customFormat="false" ht="15" hidden="false" customHeight="false" outlineLevel="0" collapsed="false">
      <c r="A33" s="0" t="s">
        <v>139</v>
      </c>
      <c r="B33" s="0" t="n">
        <f aca="false">B31*B29</f>
        <v>46935.7475601719</v>
      </c>
    </row>
    <row r="34" customFormat="false" ht="15" hidden="false" customHeight="false" outlineLevel="0" collapsed="false">
      <c r="A34" s="0" t="s">
        <v>140</v>
      </c>
      <c r="B34" s="0" t="n">
        <f aca="false">MAX(0,MIN(B32,B33))</f>
        <v>44328.2060290512</v>
      </c>
    </row>
    <row r="35" customFormat="false" ht="15" hidden="false" customHeight="false" outlineLevel="0" collapsed="false">
      <c r="A35" s="0" t="s">
        <v>141</v>
      </c>
      <c r="B35" s="0" t="n">
        <f aca="false">B34/(1+B27/100)^L4</f>
        <v>20532.5363711328</v>
      </c>
    </row>
    <row r="36" customFormat="false" ht="15" hidden="false" customHeight="false" outlineLevel="0" collapsed="false">
      <c r="A36" s="0" t="s">
        <v>142</v>
      </c>
      <c r="B36" s="0" t="n">
        <f aca="false">B30+B35</f>
        <v>36167.8121387768</v>
      </c>
    </row>
    <row r="37" customFormat="false" ht="15" hidden="false" customHeight="false" outlineLevel="0" collapsed="false">
      <c r="A37" s="0" t="s">
        <v>143</v>
      </c>
      <c r="B37" s="0" t="n">
        <f aca="false">B36+Assumptions!$B$5-Assumptions!$B$4</f>
        <v>32210.7121387768</v>
      </c>
    </row>
    <row r="38" customFormat="false" ht="15" hidden="false" customHeight="false" outlineLevel="0" collapsed="false">
      <c r="A38" s="0" t="s">
        <v>144</v>
      </c>
      <c r="B38" s="0" t="n">
        <f aca="false">B37/Assumptions!$B$3*Assumptions!$B$10</f>
        <v>90.3272914716119</v>
      </c>
    </row>
    <row r="39" customFormat="false" ht="15" hidden="false" customHeight="false" outlineLevel="0" collapsed="false">
      <c r="A39" s="0" t="s">
        <v>145</v>
      </c>
      <c r="B39" s="4" t="n">
        <f aca="false">B38/Assumptions!$B$2-1</f>
        <v>-0.104251373744427</v>
      </c>
    </row>
    <row r="41" customFormat="false" ht="15" hidden="false" customHeight="false" outlineLevel="0" collapsed="false">
      <c r="A41" s="0" t="s">
        <v>146</v>
      </c>
      <c r="B41" s="0" t="n">
        <f aca="false">SUMPRODUCT(-C10:L10/(1+$B$27/100)^C4:L4)</f>
        <v>755.089306363931</v>
      </c>
    </row>
    <row r="42" customFormat="false" ht="15" hidden="false" customHeight="false" outlineLevel="0" collapsed="false">
      <c r="A42" s="0" t="s">
        <v>147</v>
      </c>
      <c r="B42" s="0" t="n">
        <f aca="false">IF(B27&gt;B28,-L10*(1+B28/100)/((B27-B28)/100),-L10*20)/(1+B27/100)^L4</f>
        <v>1003.87237798889</v>
      </c>
    </row>
    <row r="43" customFormat="false" ht="15" hidden="false" customHeight="false" outlineLevel="0" collapsed="false">
      <c r="A43" s="0" t="s">
        <v>148</v>
      </c>
      <c r="B43" s="0" t="n">
        <f aca="false">(B37+B41+B42)/Assumptions!$B$3*Assumptions!$B$10</f>
        <v>95.259881724985</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20459.1720134082</v>
      </c>
    </row>
    <row r="47" customFormat="false" ht="15" hidden="false" customHeight="false" outlineLevel="0" collapsed="false">
      <c r="A47" s="0" t="s">
        <v>150</v>
      </c>
      <c r="B47" s="0" t="n">
        <f aca="false">(SUMPRODUCT(C19:L19/(1+B45/100)^C4:L4)+B46/(1+B45/100)^L4+Assumptions!$B$5-Assumptions!$B$4)/Assumptions!$B$3*Assumptions!$B$10</f>
        <v>35.5693571508421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5.5</v>
      </c>
      <c r="D5" s="4" t="n">
        <f aca="false">Assumptions!D27</f>
        <v>5.5</v>
      </c>
      <c r="E5" s="4" t="n">
        <f aca="false">Assumptions!E27</f>
        <v>5</v>
      </c>
      <c r="F5" s="4" t="n">
        <f aca="false">Assumptions!F27</f>
        <v>5</v>
      </c>
      <c r="G5" s="4" t="n">
        <f aca="false">Assumptions!G27</f>
        <v>4.5</v>
      </c>
      <c r="H5" s="4" t="n">
        <f aca="false">Assumptions!H27</f>
        <v>4.5</v>
      </c>
      <c r="I5" s="4" t="n">
        <f aca="false">Assumptions!I27</f>
        <v>4</v>
      </c>
      <c r="J5" s="4" t="n">
        <f aca="false">Assumptions!J27</f>
        <v>3.5</v>
      </c>
      <c r="K5" s="4" t="n">
        <f aca="false">Assumptions!K27</f>
        <v>3</v>
      </c>
      <c r="L5" s="4" t="n">
        <f aca="false">Assumptions!L27</f>
        <v>3</v>
      </c>
    </row>
    <row r="6" customFormat="false" ht="15" hidden="false" customHeight="false" outlineLevel="0" collapsed="false">
      <c r="A6" s="0" t="s">
        <v>37</v>
      </c>
      <c r="B6" s="3" t="n">
        <v>6512</v>
      </c>
      <c r="C6" s="0" t="n">
        <f aca="false">B6*(1+C5/100)</f>
        <v>6870.16</v>
      </c>
      <c r="D6" s="0" t="n">
        <f aca="false">C6*(1+D5/100)</f>
        <v>7248.0188</v>
      </c>
      <c r="E6" s="0" t="n">
        <f aca="false">D6*(1+E5/100)</f>
        <v>7610.41974</v>
      </c>
      <c r="F6" s="0" t="n">
        <f aca="false">E6*(1+F5/100)</f>
        <v>7990.940727</v>
      </c>
      <c r="G6" s="0" t="n">
        <f aca="false">F6*(1+G5/100)</f>
        <v>8350.533059715</v>
      </c>
      <c r="H6" s="0" t="n">
        <f aca="false">G6*(1+H5/100)</f>
        <v>8726.30704740218</v>
      </c>
      <c r="I6" s="0" t="n">
        <f aca="false">H6*(1+I5/100)</f>
        <v>9075.35932929826</v>
      </c>
      <c r="J6" s="0" t="n">
        <f aca="false">I6*(1+J5/100)</f>
        <v>9392.9969058237</v>
      </c>
      <c r="K6" s="0" t="n">
        <f aca="false">J6*(1+K5/100)</f>
        <v>9674.78681299841</v>
      </c>
      <c r="L6" s="0" t="n">
        <f aca="false">K6*(1+L5/100)</f>
        <v>9965.03041738836</v>
      </c>
    </row>
    <row r="7" customFormat="false" ht="15" hidden="false" customHeight="false" outlineLevel="0" collapsed="false">
      <c r="A7" s="0" t="s">
        <v>107</v>
      </c>
      <c r="C7" s="4" t="n">
        <f aca="false">Assumptions!C28</f>
        <v>47.8</v>
      </c>
      <c r="D7" s="4" t="n">
        <f aca="false">Assumptions!D28</f>
        <v>48.2</v>
      </c>
      <c r="E7" s="4" t="n">
        <f aca="false">Assumptions!E28</f>
        <v>48.5</v>
      </c>
      <c r="F7" s="4" t="n">
        <f aca="false">Assumptions!F28</f>
        <v>48.5</v>
      </c>
      <c r="G7" s="4" t="n">
        <f aca="false">Assumptions!G28</f>
        <v>48.5</v>
      </c>
      <c r="H7" s="4" t="n">
        <f aca="false">Assumptions!H28</f>
        <v>48.5</v>
      </c>
      <c r="I7" s="4" t="n">
        <f aca="false">Assumptions!I28</f>
        <v>48.5</v>
      </c>
      <c r="J7" s="4" t="n">
        <f aca="false">Assumptions!J28</f>
        <v>48.5</v>
      </c>
      <c r="K7" s="4" t="n">
        <f aca="false">Assumptions!K28</f>
        <v>48.5</v>
      </c>
      <c r="L7" s="4" t="n">
        <f aca="false">Assumptions!L28</f>
        <v>48.5</v>
      </c>
    </row>
    <row r="8" customFormat="false" ht="15" hidden="false" customHeight="false" outlineLevel="0" collapsed="false">
      <c r="A8" s="0" t="s">
        <v>43</v>
      </c>
      <c r="C8" s="0" t="n">
        <f aca="false">C6*C7/100</f>
        <v>3283.93648</v>
      </c>
      <c r="D8" s="0" t="n">
        <f aca="false">D6*D7/100</f>
        <v>3493.5450616</v>
      </c>
      <c r="E8" s="0" t="n">
        <f aca="false">E6*E7/100</f>
        <v>3691.0535739</v>
      </c>
      <c r="F8" s="0" t="n">
        <f aca="false">F6*F7/100</f>
        <v>3875.606252595</v>
      </c>
      <c r="G8" s="0" t="n">
        <f aca="false">G6*G7/100</f>
        <v>4050.00853396178</v>
      </c>
      <c r="H8" s="0" t="n">
        <f aca="false">H6*H7/100</f>
        <v>4232.25891799006</v>
      </c>
      <c r="I8" s="0" t="n">
        <f aca="false">I6*I7/100</f>
        <v>4401.54927470966</v>
      </c>
      <c r="J8" s="0" t="n">
        <f aca="false">J6*J7/100</f>
        <v>4555.6034993245</v>
      </c>
      <c r="K8" s="0" t="n">
        <f aca="false">K6*K7/100</f>
        <v>4692.27160430423</v>
      </c>
      <c r="L8" s="0" t="n">
        <f aca="false">L6*L7/100</f>
        <v>4833.03975243336</v>
      </c>
    </row>
    <row r="9" customFormat="false" ht="15" hidden="false" customHeight="false" outlineLevel="0" collapsed="false">
      <c r="A9" s="0" t="s">
        <v>108</v>
      </c>
      <c r="C9" s="4" t="n">
        <f aca="false">Assumptions!C29</f>
        <v>1.5</v>
      </c>
      <c r="D9" s="4" t="n">
        <f aca="false">Assumptions!D29</f>
        <v>1.5</v>
      </c>
      <c r="E9" s="4" t="n">
        <f aca="false">Assumptions!E29</f>
        <v>1.45</v>
      </c>
      <c r="F9" s="4" t="n">
        <f aca="false">Assumptions!F29</f>
        <v>1.45</v>
      </c>
      <c r="G9" s="4" t="n">
        <f aca="false">Assumptions!G29</f>
        <v>1.4</v>
      </c>
      <c r="H9" s="4" t="n">
        <f aca="false">Assumptions!H29</f>
        <v>1.4</v>
      </c>
      <c r="I9" s="4" t="n">
        <f aca="false">Assumptions!I29</f>
        <v>1.4</v>
      </c>
      <c r="J9" s="4" t="n">
        <f aca="false">Assumptions!J29</f>
        <v>1.4</v>
      </c>
      <c r="K9" s="4" t="n">
        <f aca="false">Assumptions!K29</f>
        <v>1.4</v>
      </c>
      <c r="L9" s="4" t="n">
        <f aca="false">Assumptions!L29</f>
        <v>1.4</v>
      </c>
    </row>
    <row r="10" customFormat="false" ht="15" hidden="false" customHeight="false" outlineLevel="0" collapsed="false">
      <c r="A10" s="0" t="s">
        <v>123</v>
      </c>
      <c r="C10" s="0" t="n">
        <f aca="false">-C6*C9/100</f>
        <v>-103.0524</v>
      </c>
      <c r="D10" s="0" t="n">
        <f aca="false">-D6*D9/100</f>
        <v>-108.720282</v>
      </c>
      <c r="E10" s="0" t="n">
        <f aca="false">-E6*E9/100</f>
        <v>-110.35108623</v>
      </c>
      <c r="F10" s="0" t="n">
        <f aca="false">-F6*F9/100</f>
        <v>-115.8686405415</v>
      </c>
      <c r="G10" s="0" t="n">
        <f aca="false">-G6*G9/100</f>
        <v>-116.90746283601</v>
      </c>
      <c r="H10" s="0" t="n">
        <f aca="false">-H6*H9/100</f>
        <v>-122.16829866363</v>
      </c>
      <c r="I10" s="0" t="n">
        <f aca="false">-I6*I9/100</f>
        <v>-127.055030610176</v>
      </c>
      <c r="J10" s="0" t="n">
        <f aca="false">-J6*J9/100</f>
        <v>-131.501956681532</v>
      </c>
      <c r="K10" s="0" t="n">
        <f aca="false">-K6*K9/100</f>
        <v>-135.447015381978</v>
      </c>
      <c r="L10" s="0" t="n">
        <f aca="false">-L6*L9/100</f>
        <v>-139.510425843437</v>
      </c>
    </row>
    <row r="11" customFormat="false" ht="15" hidden="false" customHeight="false" outlineLevel="0" collapsed="false">
      <c r="A11" s="0" t="s">
        <v>124</v>
      </c>
      <c r="C11" s="0" t="n">
        <f aca="false">C8+C10+C24</f>
        <v>3180.88408</v>
      </c>
      <c r="D11" s="0" t="n">
        <f aca="false">D8+D10+D24</f>
        <v>3384.8247796</v>
      </c>
      <c r="E11" s="0" t="n">
        <f aca="false">E8+E10+E24</f>
        <v>3580.70248767</v>
      </c>
      <c r="F11" s="0" t="n">
        <f aca="false">F8+F10+F24</f>
        <v>3759.7376120535</v>
      </c>
      <c r="G11" s="0" t="n">
        <f aca="false">G8+G10+G24</f>
        <v>3933.10107112577</v>
      </c>
      <c r="H11" s="0" t="n">
        <f aca="false">H8+H10+H24</f>
        <v>4110.09061932642</v>
      </c>
      <c r="I11" s="0" t="n">
        <f aca="false">I8+I10+I24</f>
        <v>4274.49424409948</v>
      </c>
      <c r="J11" s="0" t="n">
        <f aca="false">J8+J10+J24</f>
        <v>4424.10154264296</v>
      </c>
      <c r="K11" s="0" t="n">
        <f aca="false">K8+K10+K24</f>
        <v>4556.82458892225</v>
      </c>
      <c r="L11" s="0" t="n">
        <f aca="false">L8+L10+L24</f>
        <v>4693.52932658992</v>
      </c>
    </row>
    <row r="12" customFormat="false" ht="15" hidden="false" customHeight="false" outlineLevel="0" collapsed="false">
      <c r="A12" s="0" t="s">
        <v>125</v>
      </c>
      <c r="C12" s="4" t="n">
        <f aca="false">-C6*Assumptions!C31/100</f>
        <v>-240.4556</v>
      </c>
      <c r="D12" s="4" t="n">
        <f aca="false">-D6*Assumptions!D31/100</f>
        <v>-253.680658</v>
      </c>
      <c r="E12" s="4" t="n">
        <f aca="false">-E6*Assumptions!E31/100</f>
        <v>-266.3646909</v>
      </c>
      <c r="F12" s="4" t="n">
        <f aca="false">-F6*Assumptions!F31/100</f>
        <v>-279.682925445</v>
      </c>
      <c r="G12" s="4" t="n">
        <f aca="false">-G6*Assumptions!G31/100</f>
        <v>-292.268657090025</v>
      </c>
      <c r="H12" s="4" t="n">
        <f aca="false">-H6*Assumptions!H31/100</f>
        <v>-305.420746659076</v>
      </c>
      <c r="I12" s="4" t="n">
        <f aca="false">-I6*Assumptions!I31/100</f>
        <v>-317.637576525439</v>
      </c>
      <c r="J12" s="4" t="n">
        <f aca="false">-J6*Assumptions!J31/100</f>
        <v>-328.75489170383</v>
      </c>
      <c r="K12" s="4" t="n">
        <f aca="false">-K6*Assumptions!K31/100</f>
        <v>-338.617538454944</v>
      </c>
      <c r="L12" s="4" t="n">
        <f aca="false">-L6*Assumptions!L31/100</f>
        <v>-348.776064608593</v>
      </c>
    </row>
    <row r="13" customFormat="false" ht="15" hidden="false" customHeight="false" outlineLevel="0" collapsed="false">
      <c r="A13" s="0" t="s">
        <v>126</v>
      </c>
      <c r="C13" s="0" t="n">
        <f aca="false">C11+C12</f>
        <v>2940.42848</v>
      </c>
      <c r="D13" s="0" t="n">
        <f aca="false">D11+D12</f>
        <v>3131.1441216</v>
      </c>
      <c r="E13" s="0" t="n">
        <f aca="false">E11+E12</f>
        <v>3314.33779677</v>
      </c>
      <c r="F13" s="0" t="n">
        <f aca="false">F11+F12</f>
        <v>3480.0546866085</v>
      </c>
      <c r="G13" s="0" t="n">
        <f aca="false">G11+G12</f>
        <v>3640.83241403574</v>
      </c>
      <c r="H13" s="0" t="n">
        <f aca="false">H11+H12</f>
        <v>3804.66987266735</v>
      </c>
      <c r="I13" s="0" t="n">
        <f aca="false">I11+I12</f>
        <v>3956.85666757404</v>
      </c>
      <c r="J13" s="0" t="n">
        <f aca="false">J11+J12</f>
        <v>4095.34665093913</v>
      </c>
      <c r="K13" s="0" t="n">
        <f aca="false">K11+K12</f>
        <v>4218.20705046731</v>
      </c>
      <c r="L13" s="0" t="n">
        <f aca="false">L11+L12</f>
        <v>4344.75326198133</v>
      </c>
    </row>
    <row r="14" customFormat="false" ht="15" hidden="false" customHeight="false" outlineLevel="0" collapsed="false">
      <c r="A14" s="0" t="s">
        <v>112</v>
      </c>
      <c r="C14" s="4" t="n">
        <f aca="false">Assumptions!C33</f>
        <v>21</v>
      </c>
      <c r="D14" s="4" t="n">
        <f aca="false">Assumptions!D33</f>
        <v>23</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127</v>
      </c>
      <c r="C15" s="0" t="n">
        <f aca="false">C13-MAX(0,C13)*C14/100</f>
        <v>2322.9384992</v>
      </c>
      <c r="D15" s="0" t="n">
        <f aca="false">D13-MAX(0,D13)*D14/100</f>
        <v>2410.980973632</v>
      </c>
      <c r="E15" s="0" t="n">
        <f aca="false">E13-MAX(0,E13)*E14/100</f>
        <v>2518.8967255452</v>
      </c>
      <c r="F15" s="0" t="n">
        <f aca="false">F13-MAX(0,F13)*F14/100</f>
        <v>2644.84156182246</v>
      </c>
      <c r="G15" s="0" t="n">
        <f aca="false">G13-MAX(0,G13)*G14/100</f>
        <v>2767.03263466716</v>
      </c>
      <c r="H15" s="0" t="n">
        <f aca="false">H13-MAX(0,H13)*H14/100</f>
        <v>2891.54910322719</v>
      </c>
      <c r="I15" s="0" t="n">
        <f aca="false">I13-MAX(0,I13)*I14/100</f>
        <v>3007.21106735627</v>
      </c>
      <c r="J15" s="0" t="n">
        <f aca="false">J13-MAX(0,J13)*J14/100</f>
        <v>3112.46345471374</v>
      </c>
      <c r="K15" s="0" t="n">
        <f aca="false">K13-MAX(0,K13)*K14/100</f>
        <v>3205.83735835515</v>
      </c>
      <c r="L15" s="0" t="n">
        <f aca="false">L13-MAX(0,L13)*L14/100</f>
        <v>3302.01247910581</v>
      </c>
    </row>
    <row r="16" customFormat="false" ht="15" hidden="false" customHeight="false" outlineLevel="0" collapsed="false">
      <c r="A16" s="0" t="s">
        <v>128</v>
      </c>
      <c r="C16" s="0" t="n">
        <f aca="false">-C12</f>
        <v>240.4556</v>
      </c>
      <c r="D16" s="0" t="n">
        <f aca="false">-D12</f>
        <v>253.680658</v>
      </c>
      <c r="E16" s="0" t="n">
        <f aca="false">-E12</f>
        <v>266.3646909</v>
      </c>
      <c r="F16" s="0" t="n">
        <f aca="false">-F12</f>
        <v>279.682925445</v>
      </c>
      <c r="G16" s="0" t="n">
        <f aca="false">-G12</f>
        <v>292.268657090025</v>
      </c>
      <c r="H16" s="0" t="n">
        <f aca="false">-H12</f>
        <v>305.420746659076</v>
      </c>
      <c r="I16" s="0" t="n">
        <f aca="false">-I12</f>
        <v>317.637576525439</v>
      </c>
      <c r="J16" s="0" t="n">
        <f aca="false">-J12</f>
        <v>328.75489170383</v>
      </c>
      <c r="K16" s="0" t="n">
        <f aca="false">-K12</f>
        <v>338.617538454944</v>
      </c>
      <c r="L16" s="0" t="n">
        <f aca="false">-L12</f>
        <v>348.776064608593</v>
      </c>
    </row>
    <row r="17" customFormat="false" ht="15" hidden="false" customHeight="false" outlineLevel="0" collapsed="false">
      <c r="A17" s="0" t="s">
        <v>129</v>
      </c>
      <c r="C17" s="4" t="n">
        <f aca="false">-C6*Assumptions!C32/100</f>
        <v>-247.32576</v>
      </c>
      <c r="D17" s="4" t="n">
        <f aca="false">-D6*Assumptions!D32/100</f>
        <v>-260.9286768</v>
      </c>
      <c r="E17" s="4" t="n">
        <f aca="false">-E6*Assumptions!E32/100</f>
        <v>-266.3646909</v>
      </c>
      <c r="F17" s="4" t="n">
        <f aca="false">-F6*Assumptions!F32/100</f>
        <v>-279.682925445</v>
      </c>
      <c r="G17" s="4" t="n">
        <f aca="false">-G6*Assumptions!G32/100</f>
        <v>-283.91812403031</v>
      </c>
      <c r="H17" s="4" t="n">
        <f aca="false">-H6*Assumptions!H32/100</f>
        <v>-296.694439611674</v>
      </c>
      <c r="I17" s="4" t="n">
        <f aca="false">-I6*Assumptions!I32/100</f>
        <v>-308.562217196141</v>
      </c>
      <c r="J17" s="4" t="n">
        <f aca="false">-J6*Assumptions!J32/100</f>
        <v>-319.361894798006</v>
      </c>
      <c r="K17" s="4" t="n">
        <f aca="false">-K6*Assumptions!K32/100</f>
        <v>-328.942751641946</v>
      </c>
      <c r="L17" s="4" t="n">
        <f aca="false">-L6*Assumptions!L32/100</f>
        <v>-338.811034191204</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2316.0683392</v>
      </c>
      <c r="D19" s="0" t="n">
        <f aca="false">D15+D16+D17+D18</f>
        <v>2403.732954832</v>
      </c>
      <c r="E19" s="0" t="n">
        <f aca="false">E15+E16+E17+E18</f>
        <v>2518.8967255452</v>
      </c>
      <c r="F19" s="0" t="n">
        <f aca="false">F15+F16+F17+F18</f>
        <v>2644.84156182246</v>
      </c>
      <c r="G19" s="0" t="n">
        <f aca="false">G15+G16+G17+G18</f>
        <v>2775.38316772688</v>
      </c>
      <c r="H19" s="0" t="n">
        <f aca="false">H15+H16+H17+H18</f>
        <v>2900.27541027459</v>
      </c>
      <c r="I19" s="0" t="n">
        <f aca="false">I15+I16+I17+I18</f>
        <v>3016.28642668557</v>
      </c>
      <c r="J19" s="0" t="n">
        <f aca="false">J15+J16+J17+J18</f>
        <v>3121.85645161957</v>
      </c>
      <c r="K19" s="0" t="n">
        <f aca="false">K15+K16+K17+K18</f>
        <v>3215.51214516815</v>
      </c>
      <c r="L19" s="0" t="n">
        <f aca="false">L15+L16+L17+L18</f>
        <v>3311.9775095232</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2144.50772148148</v>
      </c>
      <c r="D21" s="0" t="n">
        <f aca="false">D19*D20</f>
        <v>2060.81357581619</v>
      </c>
      <c r="E21" s="0" t="n">
        <f aca="false">E19*E20</f>
        <v>1999.58143253791</v>
      </c>
      <c r="F21" s="0" t="n">
        <f aca="false">F19*F20</f>
        <v>1944.0375038563</v>
      </c>
      <c r="G21" s="0" t="n">
        <f aca="false">G19*G20</f>
        <v>1888.87914928522</v>
      </c>
      <c r="H21" s="0" t="n">
        <f aca="false">H19*H20</f>
        <v>1827.66547315098</v>
      </c>
      <c r="I21" s="0" t="n">
        <f aca="false">I19*I20</f>
        <v>1759.97415933057</v>
      </c>
      <c r="J21" s="0" t="n">
        <f aca="false">J19*J20</f>
        <v>1686.6419026918</v>
      </c>
      <c r="K21" s="0" t="n">
        <f aca="false">K19*K20</f>
        <v>1608.55662941903</v>
      </c>
      <c r="L21" s="0" t="n">
        <f aca="false">L19*L20</f>
        <v>1534.08641509407</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8</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20</v>
      </c>
    </row>
    <row r="30" customFormat="false" ht="15" hidden="false" customHeight="false" outlineLevel="0" collapsed="false">
      <c r="A30" s="0" t="s">
        <v>136</v>
      </c>
      <c r="B30" s="0" t="n">
        <f aca="false">SUM(C21:L21)</f>
        <v>18454.7439626636</v>
      </c>
    </row>
    <row r="31" customFormat="false" ht="15" hidden="false" customHeight="false" outlineLevel="0" collapsed="false">
      <c r="A31" s="0" t="s">
        <v>137</v>
      </c>
      <c r="B31" s="0" t="n">
        <f aca="false">L19</f>
        <v>3311.9775095232</v>
      </c>
    </row>
    <row r="32" customFormat="false" ht="15" hidden="false" customHeight="false" outlineLevel="0" collapsed="false">
      <c r="A32" s="0" t="s">
        <v>138</v>
      </c>
      <c r="B32" s="0" t="n">
        <f aca="false">IF(B27&gt;B28,B31*(1+B28/100)/((B27-B28)/100),B31*B29)</f>
        <v>61723.2172229323</v>
      </c>
    </row>
    <row r="33" customFormat="false" ht="15" hidden="false" customHeight="false" outlineLevel="0" collapsed="false">
      <c r="A33" s="0" t="s">
        <v>139</v>
      </c>
      <c r="B33" s="0" t="n">
        <f aca="false">B31*B29</f>
        <v>66239.5501904639</v>
      </c>
    </row>
    <row r="34" customFormat="false" ht="15" hidden="false" customHeight="false" outlineLevel="0" collapsed="false">
      <c r="A34" s="0" t="s">
        <v>140</v>
      </c>
      <c r="B34" s="0" t="n">
        <f aca="false">MAX(0,MIN(B32,B33))</f>
        <v>61723.2172229323</v>
      </c>
    </row>
    <row r="35" customFormat="false" ht="15" hidden="false" customHeight="false" outlineLevel="0" collapsed="false">
      <c r="A35" s="0" t="s">
        <v>141</v>
      </c>
      <c r="B35" s="0" t="n">
        <f aca="false">B34/(1+B27/100)^L4</f>
        <v>28589.7922812987</v>
      </c>
    </row>
    <row r="36" customFormat="false" ht="15" hidden="false" customHeight="false" outlineLevel="0" collapsed="false">
      <c r="A36" s="0" t="s">
        <v>142</v>
      </c>
      <c r="B36" s="0" t="n">
        <f aca="false">B30+B35</f>
        <v>47044.5362439622</v>
      </c>
    </row>
    <row r="37" customFormat="false" ht="15" hidden="false" customHeight="false" outlineLevel="0" collapsed="false">
      <c r="A37" s="0" t="s">
        <v>143</v>
      </c>
      <c r="B37" s="0" t="n">
        <f aca="false">B36+Assumptions!$B$5-Assumptions!$B$4</f>
        <v>43087.4362439622</v>
      </c>
    </row>
    <row r="38" customFormat="false" ht="15" hidden="false" customHeight="false" outlineLevel="0" collapsed="false">
      <c r="A38" s="0" t="s">
        <v>144</v>
      </c>
      <c r="B38" s="0" t="n">
        <f aca="false">B37/Assumptions!$B$3*Assumptions!$B$10</f>
        <v>120.828480773871</v>
      </c>
    </row>
    <row r="39" customFormat="false" ht="15" hidden="false" customHeight="false" outlineLevel="0" collapsed="false">
      <c r="A39" s="0" t="s">
        <v>145</v>
      </c>
      <c r="B39" s="4" t="n">
        <f aca="false">B38/Assumptions!$B$2-1</f>
        <v>0.198219761740088</v>
      </c>
    </row>
    <row r="41" customFormat="false" ht="15" hidden="false" customHeight="false" outlineLevel="0" collapsed="false">
      <c r="A41" s="0" t="s">
        <v>146</v>
      </c>
      <c r="B41" s="0" t="n">
        <f aca="false">SUMPRODUCT(-C10:L10/(1+$B$27/100)^C4:L4)</f>
        <v>795.507528876808</v>
      </c>
    </row>
    <row r="42" customFormat="false" ht="15" hidden="false" customHeight="false" outlineLevel="0" collapsed="false">
      <c r="A42" s="0" t="s">
        <v>147</v>
      </c>
      <c r="B42" s="0" t="n">
        <f aca="false">IF(B27&gt;B28,-L10*(1+B28/100)/((B27-B28)/100),-L10*20)/(1+B27/100)^L4</f>
        <v>1204.28779617939</v>
      </c>
    </row>
    <row r="43" customFormat="false" ht="15" hidden="false" customHeight="false" outlineLevel="0" collapsed="false">
      <c r="A43" s="0" t="s">
        <v>148</v>
      </c>
      <c r="B43" s="0" t="n">
        <f aca="false">(B37+B41+B42)/Assumptions!$B$3*Assumptions!$B$10</f>
        <v>126.436431769541</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27158.2155780902</v>
      </c>
    </row>
    <row r="47" customFormat="false" ht="15" hidden="false" customHeight="false" outlineLevel="0" collapsed="false">
      <c r="A47" s="0" t="s">
        <v>150</v>
      </c>
      <c r="B47" s="0" t="n">
        <f aca="false">(SUMPRODUCT(C19:L19/(1+B45/100)^C4:L4)+B46/(1+B45/100)^L4+Assumptions!$B$5-Assumptions!$B$4)/Assumptions!$B$3*Assumptions!$B$10</f>
        <v>45.644605595337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6.5</v>
      </c>
      <c r="D5" s="4" t="n">
        <f aca="false">Assumptions!D41</f>
        <v>7</v>
      </c>
      <c r="E5" s="4" t="n">
        <f aca="false">Assumptions!E41</f>
        <v>7</v>
      </c>
      <c r="F5" s="4" t="n">
        <f aca="false">Assumptions!F41</f>
        <v>6.5</v>
      </c>
      <c r="G5" s="4" t="n">
        <f aca="false">Assumptions!G41</f>
        <v>6</v>
      </c>
      <c r="H5" s="4" t="n">
        <f aca="false">Assumptions!H41</f>
        <v>5.5</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37</v>
      </c>
      <c r="B6" s="3" t="n">
        <v>6512</v>
      </c>
      <c r="C6" s="0" t="n">
        <f aca="false">B6*(1+C5/100)</f>
        <v>6935.28</v>
      </c>
      <c r="D6" s="0" t="n">
        <f aca="false">C6*(1+D5/100)</f>
        <v>7420.7496</v>
      </c>
      <c r="E6" s="0" t="n">
        <f aca="false">D6*(1+E5/100)</f>
        <v>7940.202072</v>
      </c>
      <c r="F6" s="0" t="n">
        <f aca="false">E6*(1+F5/100)</f>
        <v>8456.31520668</v>
      </c>
      <c r="G6" s="0" t="n">
        <f aca="false">F6*(1+G5/100)</f>
        <v>8963.6941190808</v>
      </c>
      <c r="H6" s="0" t="n">
        <f aca="false">G6*(1+H5/100)</f>
        <v>9456.69729563025</v>
      </c>
      <c r="I6" s="0" t="n">
        <f aca="false">H6*(1+I5/100)</f>
        <v>9929.53216041176</v>
      </c>
      <c r="J6" s="0" t="n">
        <f aca="false">I6*(1+J5/100)</f>
        <v>10376.3611076303</v>
      </c>
      <c r="K6" s="0" t="n">
        <f aca="false">J6*(1+K5/100)</f>
        <v>10791.4155519355</v>
      </c>
      <c r="L6" s="0" t="n">
        <f aca="false">K6*(1+L5/100)</f>
        <v>11169.1150962532</v>
      </c>
    </row>
    <row r="7" customFormat="false" ht="15" hidden="false" customHeight="false" outlineLevel="0" collapsed="false">
      <c r="A7" s="0" t="s">
        <v>107</v>
      </c>
      <c r="C7" s="4" t="n">
        <f aca="false">Assumptions!C42</f>
        <v>48</v>
      </c>
      <c r="D7" s="4" t="n">
        <f aca="false">Assumptions!D42</f>
        <v>48.8</v>
      </c>
      <c r="E7" s="4" t="n">
        <f aca="false">Assumptions!E42</f>
        <v>49.5</v>
      </c>
      <c r="F7" s="4" t="n">
        <f aca="false">Assumptions!F42</f>
        <v>50</v>
      </c>
      <c r="G7" s="4" t="n">
        <f aca="false">Assumptions!G42</f>
        <v>50</v>
      </c>
      <c r="H7" s="4" t="n">
        <f aca="false">Assumptions!H42</f>
        <v>50</v>
      </c>
      <c r="I7" s="4" t="n">
        <f aca="false">Assumptions!I42</f>
        <v>50</v>
      </c>
      <c r="J7" s="4" t="n">
        <f aca="false">Assumptions!J42</f>
        <v>50</v>
      </c>
      <c r="K7" s="4" t="n">
        <f aca="false">Assumptions!K42</f>
        <v>50</v>
      </c>
      <c r="L7" s="4" t="n">
        <f aca="false">Assumptions!L42</f>
        <v>50</v>
      </c>
    </row>
    <row r="8" customFormat="false" ht="15" hidden="false" customHeight="false" outlineLevel="0" collapsed="false">
      <c r="A8" s="0" t="s">
        <v>43</v>
      </c>
      <c r="C8" s="0" t="n">
        <f aca="false">C6*C7/100</f>
        <v>3328.9344</v>
      </c>
      <c r="D8" s="0" t="n">
        <f aca="false">D6*D7/100</f>
        <v>3621.3258048</v>
      </c>
      <c r="E8" s="0" t="n">
        <f aca="false">E6*E7/100</f>
        <v>3930.40002564</v>
      </c>
      <c r="F8" s="0" t="n">
        <f aca="false">F6*F7/100</f>
        <v>4228.15760334</v>
      </c>
      <c r="G8" s="0" t="n">
        <f aca="false">G6*G7/100</f>
        <v>4481.8470595404</v>
      </c>
      <c r="H8" s="0" t="n">
        <f aca="false">H6*H7/100</f>
        <v>4728.34864781512</v>
      </c>
      <c r="I8" s="0" t="n">
        <f aca="false">I6*I7/100</f>
        <v>4964.76608020588</v>
      </c>
      <c r="J8" s="0" t="n">
        <f aca="false">J6*J7/100</f>
        <v>5188.18055381514</v>
      </c>
      <c r="K8" s="0" t="n">
        <f aca="false">K6*K7/100</f>
        <v>5395.70777596775</v>
      </c>
      <c r="L8" s="0" t="n">
        <f aca="false">L6*L7/100</f>
        <v>5584.55754812662</v>
      </c>
    </row>
    <row r="9" customFormat="false" ht="15" hidden="false" customHeight="false" outlineLevel="0" collapsed="false">
      <c r="A9" s="0" t="s">
        <v>108</v>
      </c>
      <c r="C9" s="4" t="n">
        <f aca="false">Assumptions!C43</f>
        <v>1.5</v>
      </c>
      <c r="D9" s="4" t="n">
        <f aca="false">Assumptions!D43</f>
        <v>1.5</v>
      </c>
      <c r="E9" s="4" t="n">
        <f aca="false">Assumptions!E43</f>
        <v>1.45</v>
      </c>
      <c r="F9" s="4" t="n">
        <f aca="false">Assumptions!F43</f>
        <v>1.45</v>
      </c>
      <c r="G9" s="4" t="n">
        <f aca="false">Assumptions!G43</f>
        <v>1.4</v>
      </c>
      <c r="H9" s="4" t="n">
        <f aca="false">Assumptions!H43</f>
        <v>1.4</v>
      </c>
      <c r="I9" s="4" t="n">
        <f aca="false">Assumptions!I43</f>
        <v>1.4</v>
      </c>
      <c r="J9" s="4" t="n">
        <f aca="false">Assumptions!J43</f>
        <v>1.4</v>
      </c>
      <c r="K9" s="4" t="n">
        <f aca="false">Assumptions!K43</f>
        <v>1.4</v>
      </c>
      <c r="L9" s="4" t="n">
        <f aca="false">Assumptions!L43</f>
        <v>1.4</v>
      </c>
    </row>
    <row r="10" customFormat="false" ht="15" hidden="false" customHeight="false" outlineLevel="0" collapsed="false">
      <c r="A10" s="0" t="s">
        <v>123</v>
      </c>
      <c r="C10" s="0" t="n">
        <f aca="false">-C6*C9/100</f>
        <v>-104.0292</v>
      </c>
      <c r="D10" s="0" t="n">
        <f aca="false">-D6*D9/100</f>
        <v>-111.311244</v>
      </c>
      <c r="E10" s="0" t="n">
        <f aca="false">-E6*E9/100</f>
        <v>-115.132930044</v>
      </c>
      <c r="F10" s="0" t="n">
        <f aca="false">-F6*F9/100</f>
        <v>-122.61657049686</v>
      </c>
      <c r="G10" s="0" t="n">
        <f aca="false">-G6*G9/100</f>
        <v>-125.491717667131</v>
      </c>
      <c r="H10" s="0" t="n">
        <f aca="false">-H6*H9/100</f>
        <v>-132.393762138823</v>
      </c>
      <c r="I10" s="0" t="n">
        <f aca="false">-I6*I9/100</f>
        <v>-139.013450245765</v>
      </c>
      <c r="J10" s="0" t="n">
        <f aca="false">-J6*J9/100</f>
        <v>-145.269055506824</v>
      </c>
      <c r="K10" s="0" t="n">
        <f aca="false">-K6*K9/100</f>
        <v>-151.079817727097</v>
      </c>
      <c r="L10" s="0" t="n">
        <f aca="false">-L6*L9/100</f>
        <v>-156.367611347545</v>
      </c>
    </row>
    <row r="11" customFormat="false" ht="15" hidden="false" customHeight="false" outlineLevel="0" collapsed="false">
      <c r="A11" s="0" t="s">
        <v>124</v>
      </c>
      <c r="C11" s="0" t="n">
        <f aca="false">C8+C10+C24</f>
        <v>3224.9052</v>
      </c>
      <c r="D11" s="0" t="n">
        <f aca="false">D8+D10+D24</f>
        <v>3510.0145608</v>
      </c>
      <c r="E11" s="0" t="n">
        <f aca="false">E8+E10+E24</f>
        <v>3815.267095596</v>
      </c>
      <c r="F11" s="0" t="n">
        <f aca="false">F8+F10+F24</f>
        <v>4105.54103284314</v>
      </c>
      <c r="G11" s="0" t="n">
        <f aca="false">G8+G10+G24</f>
        <v>4356.35534187327</v>
      </c>
      <c r="H11" s="0" t="n">
        <f aca="false">H8+H10+H24</f>
        <v>4595.9548856763</v>
      </c>
      <c r="I11" s="0" t="n">
        <f aca="false">I8+I10+I24</f>
        <v>4825.75262996011</v>
      </c>
      <c r="J11" s="0" t="n">
        <f aca="false">J8+J10+J24</f>
        <v>5042.91149830832</v>
      </c>
      <c r="K11" s="0" t="n">
        <f aca="false">K8+K10+K24</f>
        <v>5244.62795824065</v>
      </c>
      <c r="L11" s="0" t="n">
        <f aca="false">L8+L10+L24</f>
        <v>5428.18993677907</v>
      </c>
    </row>
    <row r="12" customFormat="false" ht="15" hidden="false" customHeight="false" outlineLevel="0" collapsed="false">
      <c r="A12" s="0" t="s">
        <v>125</v>
      </c>
      <c r="C12" s="4" t="n">
        <f aca="false">-C6*Assumptions!C45/100</f>
        <v>-242.7348</v>
      </c>
      <c r="D12" s="4" t="n">
        <f aca="false">-D6*Assumptions!D45/100</f>
        <v>-259.726236</v>
      </c>
      <c r="E12" s="4" t="n">
        <f aca="false">-E6*Assumptions!E45/100</f>
        <v>-277.90707252</v>
      </c>
      <c r="F12" s="4" t="n">
        <f aca="false">-F6*Assumptions!F45/100</f>
        <v>-295.9710322338</v>
      </c>
      <c r="G12" s="4" t="n">
        <f aca="false">-G6*Assumptions!G45/100</f>
        <v>-313.729294167828</v>
      </c>
      <c r="H12" s="4" t="n">
        <f aca="false">-H6*Assumptions!H45/100</f>
        <v>-330.984405347059</v>
      </c>
      <c r="I12" s="4" t="n">
        <f aca="false">-I6*Assumptions!I45/100</f>
        <v>-347.533625614412</v>
      </c>
      <c r="J12" s="4" t="n">
        <f aca="false">-J6*Assumptions!J45/100</f>
        <v>-363.17263876706</v>
      </c>
      <c r="K12" s="4" t="n">
        <f aca="false">-K6*Assumptions!K45/100</f>
        <v>-377.699544317742</v>
      </c>
      <c r="L12" s="4" t="n">
        <f aca="false">-L6*Assumptions!L45/100</f>
        <v>-390.919028368863</v>
      </c>
    </row>
    <row r="13" customFormat="false" ht="15" hidden="false" customHeight="false" outlineLevel="0" collapsed="false">
      <c r="A13" s="0" t="s">
        <v>126</v>
      </c>
      <c r="C13" s="0" t="n">
        <f aca="false">C11+C12</f>
        <v>2982.1704</v>
      </c>
      <c r="D13" s="0" t="n">
        <f aca="false">D11+D12</f>
        <v>3250.2883248</v>
      </c>
      <c r="E13" s="0" t="n">
        <f aca="false">E11+E12</f>
        <v>3537.360023076</v>
      </c>
      <c r="F13" s="0" t="n">
        <f aca="false">F11+F12</f>
        <v>3809.57000060934</v>
      </c>
      <c r="G13" s="0" t="n">
        <f aca="false">G11+G12</f>
        <v>4042.62604770544</v>
      </c>
      <c r="H13" s="0" t="n">
        <f aca="false">H11+H12</f>
        <v>4264.97048032924</v>
      </c>
      <c r="I13" s="0" t="n">
        <f aca="false">I11+I12</f>
        <v>4478.2190043457</v>
      </c>
      <c r="J13" s="0" t="n">
        <f aca="false">J11+J12</f>
        <v>4679.73885954126</v>
      </c>
      <c r="K13" s="0" t="n">
        <f aca="false">K11+K12</f>
        <v>4866.92841392291</v>
      </c>
      <c r="L13" s="0" t="n">
        <f aca="false">L11+L12</f>
        <v>5037.27090841021</v>
      </c>
    </row>
    <row r="14" customFormat="false" ht="15" hidden="false" customHeight="false" outlineLevel="0" collapsed="false">
      <c r="A14" s="0" t="s">
        <v>112</v>
      </c>
      <c r="C14" s="4" t="n">
        <f aca="false">Assumptions!C47</f>
        <v>21</v>
      </c>
      <c r="D14" s="4" t="n">
        <f aca="false">Assumptions!D47</f>
        <v>23</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127</v>
      </c>
      <c r="C15" s="0" t="n">
        <f aca="false">C13-MAX(0,C13)*C14/100</f>
        <v>2355.914616</v>
      </c>
      <c r="D15" s="0" t="n">
        <f aca="false">D13-MAX(0,D13)*D14/100</f>
        <v>2502.722010096</v>
      </c>
      <c r="E15" s="0" t="n">
        <f aca="false">E13-MAX(0,E13)*E14/100</f>
        <v>2688.39361753776</v>
      </c>
      <c r="F15" s="0" t="n">
        <f aca="false">F13-MAX(0,F13)*F14/100</f>
        <v>2895.2732004631</v>
      </c>
      <c r="G15" s="0" t="n">
        <f aca="false">G13-MAX(0,G13)*G14/100</f>
        <v>3072.39579625614</v>
      </c>
      <c r="H15" s="0" t="n">
        <f aca="false">H13-MAX(0,H13)*H14/100</f>
        <v>3241.37756505022</v>
      </c>
      <c r="I15" s="0" t="n">
        <f aca="false">I13-MAX(0,I13)*I14/100</f>
        <v>3403.44644330273</v>
      </c>
      <c r="J15" s="0" t="n">
        <f aca="false">J13-MAX(0,J13)*J14/100</f>
        <v>3556.60153325136</v>
      </c>
      <c r="K15" s="0" t="n">
        <f aca="false">K13-MAX(0,K13)*K14/100</f>
        <v>3698.86559458141</v>
      </c>
      <c r="L15" s="0" t="n">
        <f aca="false">L13-MAX(0,L13)*L14/100</f>
        <v>3828.32589039176</v>
      </c>
    </row>
    <row r="16" customFormat="false" ht="15" hidden="false" customHeight="false" outlineLevel="0" collapsed="false">
      <c r="A16" s="0" t="s">
        <v>128</v>
      </c>
      <c r="C16" s="0" t="n">
        <f aca="false">-C12</f>
        <v>242.7348</v>
      </c>
      <c r="D16" s="0" t="n">
        <f aca="false">-D12</f>
        <v>259.726236</v>
      </c>
      <c r="E16" s="0" t="n">
        <f aca="false">-E12</f>
        <v>277.90707252</v>
      </c>
      <c r="F16" s="0" t="n">
        <f aca="false">-F12</f>
        <v>295.9710322338</v>
      </c>
      <c r="G16" s="0" t="n">
        <f aca="false">-G12</f>
        <v>313.729294167828</v>
      </c>
      <c r="H16" s="0" t="n">
        <f aca="false">-H12</f>
        <v>330.984405347059</v>
      </c>
      <c r="I16" s="0" t="n">
        <f aca="false">-I12</f>
        <v>347.533625614412</v>
      </c>
      <c r="J16" s="0" t="n">
        <f aca="false">-J12</f>
        <v>363.17263876706</v>
      </c>
      <c r="K16" s="0" t="n">
        <f aca="false">-K12</f>
        <v>377.699544317742</v>
      </c>
      <c r="L16" s="0" t="n">
        <f aca="false">-L12</f>
        <v>390.919028368863</v>
      </c>
    </row>
    <row r="17" customFormat="false" ht="15" hidden="false" customHeight="false" outlineLevel="0" collapsed="false">
      <c r="A17" s="0" t="s">
        <v>129</v>
      </c>
      <c r="C17" s="4" t="n">
        <f aca="false">-C6*Assumptions!C46/100</f>
        <v>-249.67008</v>
      </c>
      <c r="D17" s="4" t="n">
        <f aca="false">-D6*Assumptions!D46/100</f>
        <v>-267.1469856</v>
      </c>
      <c r="E17" s="4" t="n">
        <f aca="false">-E6*Assumptions!E46/100</f>
        <v>-277.90707252</v>
      </c>
      <c r="F17" s="4" t="n">
        <f aca="false">-F6*Assumptions!F46/100</f>
        <v>-295.9710322338</v>
      </c>
      <c r="G17" s="4" t="n">
        <f aca="false">-G6*Assumptions!G46/100</f>
        <v>-304.765600048747</v>
      </c>
      <c r="H17" s="4" t="n">
        <f aca="false">-H6*Assumptions!H46/100</f>
        <v>-321.527708051428</v>
      </c>
      <c r="I17" s="4" t="n">
        <f aca="false">-I6*Assumptions!I46/100</f>
        <v>-337.604093454</v>
      </c>
      <c r="J17" s="4" t="n">
        <f aca="false">-J6*Assumptions!J46/100</f>
        <v>-352.79627765943</v>
      </c>
      <c r="K17" s="4" t="n">
        <f aca="false">-K6*Assumptions!K46/100</f>
        <v>-366.908128765807</v>
      </c>
      <c r="L17" s="4" t="n">
        <f aca="false">-L6*Assumptions!L46/100</f>
        <v>-379.74991327261</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2348.979336</v>
      </c>
      <c r="D19" s="0" t="n">
        <f aca="false">D15+D16+D17+D18</f>
        <v>2495.301260496</v>
      </c>
      <c r="E19" s="0" t="n">
        <f aca="false">E15+E16+E17+E18</f>
        <v>2688.39361753776</v>
      </c>
      <c r="F19" s="0" t="n">
        <f aca="false">F15+F16+F17+F18</f>
        <v>2895.2732004631</v>
      </c>
      <c r="G19" s="0" t="n">
        <f aca="false">G15+G16+G17+G18</f>
        <v>3081.35949037522</v>
      </c>
      <c r="H19" s="0" t="n">
        <f aca="false">H15+H16+H17+H18</f>
        <v>3250.83426234585</v>
      </c>
      <c r="I19" s="0" t="n">
        <f aca="false">I15+I16+I17+I18</f>
        <v>3413.37597546315</v>
      </c>
      <c r="J19" s="0" t="n">
        <f aca="false">J15+J16+J17+J18</f>
        <v>3566.97789435899</v>
      </c>
      <c r="K19" s="0" t="n">
        <f aca="false">K15+K16+K17+K18</f>
        <v>3709.65701013335</v>
      </c>
      <c r="L19" s="0" t="n">
        <f aca="false">L15+L16+L17+L18</f>
        <v>3839.49500548801</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2174.98086666667</v>
      </c>
      <c r="D21" s="0" t="n">
        <f aca="false">D19*D20</f>
        <v>2139.31863897119</v>
      </c>
      <c r="E21" s="0" t="n">
        <f aca="false">E19*E20</f>
        <v>2134.13353015432</v>
      </c>
      <c r="F21" s="0" t="n">
        <f aca="false">F19*F20</f>
        <v>2128.11223434191</v>
      </c>
      <c r="G21" s="0" t="n">
        <f aca="false">G19*G20</f>
        <v>2097.12149316986</v>
      </c>
      <c r="H21" s="0" t="n">
        <f aca="false">H19*H20</f>
        <v>2048.5770141613</v>
      </c>
      <c r="I21" s="0" t="n">
        <f aca="false">I19*I20</f>
        <v>1991.67209710126</v>
      </c>
      <c r="J21" s="0" t="n">
        <f aca="false">J19*J20</f>
        <v>1927.12716802854</v>
      </c>
      <c r="K21" s="0" t="n">
        <f aca="false">K19*K20</f>
        <v>1855.75208773118</v>
      </c>
      <c r="L21" s="0" t="n">
        <f aca="false">L19*L20</f>
        <v>1778.42908407572</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8</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20</v>
      </c>
    </row>
    <row r="30" customFormat="false" ht="15" hidden="false" customHeight="false" outlineLevel="0" collapsed="false">
      <c r="A30" s="0" t="s">
        <v>136</v>
      </c>
      <c r="B30" s="0" t="n">
        <f aca="false">SUM(C21:L21)</f>
        <v>20275.2242144019</v>
      </c>
    </row>
    <row r="31" customFormat="false" ht="15" hidden="false" customHeight="false" outlineLevel="0" collapsed="false">
      <c r="A31" s="0" t="s">
        <v>137</v>
      </c>
      <c r="B31" s="0" t="n">
        <f aca="false">L19</f>
        <v>3839.49500548801</v>
      </c>
    </row>
    <row r="32" customFormat="false" ht="15" hidden="false" customHeight="false" outlineLevel="0" collapsed="false">
      <c r="A32" s="0" t="s">
        <v>138</v>
      </c>
      <c r="B32" s="0" t="n">
        <f aca="false">IF(B27&gt;B28,B31*(1+B28/100)/((B27-B28)/100),B31*B29)</f>
        <v>79093.5971130531</v>
      </c>
    </row>
    <row r="33" customFormat="false" ht="15" hidden="false" customHeight="false" outlineLevel="0" collapsed="false">
      <c r="A33" s="0" t="s">
        <v>139</v>
      </c>
      <c r="B33" s="0" t="n">
        <f aca="false">B31*B29</f>
        <v>76789.9001097603</v>
      </c>
    </row>
    <row r="34" customFormat="false" ht="15" hidden="false" customHeight="false" outlineLevel="0" collapsed="false">
      <c r="A34" s="0" t="s">
        <v>140</v>
      </c>
      <c r="B34" s="0" t="n">
        <f aca="false">MAX(0,MIN(B32,B33))</f>
        <v>76789.9001097603</v>
      </c>
    </row>
    <row r="35" customFormat="false" ht="15" hidden="false" customHeight="false" outlineLevel="0" collapsed="false">
      <c r="A35" s="0" t="s">
        <v>141</v>
      </c>
      <c r="B35" s="0" t="n">
        <f aca="false">B34/(1+B27/100)^L4</f>
        <v>35568.5816815143</v>
      </c>
    </row>
    <row r="36" customFormat="false" ht="15" hidden="false" customHeight="false" outlineLevel="0" collapsed="false">
      <c r="A36" s="0" t="s">
        <v>142</v>
      </c>
      <c r="B36" s="0" t="n">
        <f aca="false">B30+B35</f>
        <v>55843.8058959163</v>
      </c>
    </row>
    <row r="37" customFormat="false" ht="15" hidden="false" customHeight="false" outlineLevel="0" collapsed="false">
      <c r="A37" s="0" t="s">
        <v>143</v>
      </c>
      <c r="B37" s="0" t="n">
        <f aca="false">B36+Assumptions!$B$5-Assumptions!$B$4</f>
        <v>51886.7058959163</v>
      </c>
    </row>
    <row r="38" customFormat="false" ht="15" hidden="false" customHeight="false" outlineLevel="0" collapsed="false">
      <c r="A38" s="0" t="s">
        <v>144</v>
      </c>
      <c r="B38" s="0" t="n">
        <f aca="false">B37/Assumptions!$B$3*Assumptions!$B$10</f>
        <v>145.503942501167</v>
      </c>
    </row>
    <row r="39" customFormat="false" ht="15" hidden="false" customHeight="false" outlineLevel="0" collapsed="false">
      <c r="A39" s="0" t="s">
        <v>145</v>
      </c>
      <c r="B39" s="4" t="n">
        <f aca="false">B38/Assumptions!$B$2-1</f>
        <v>0.442918906199597</v>
      </c>
    </row>
    <row r="41" customFormat="false" ht="15" hidden="false" customHeight="false" outlineLevel="0" collapsed="false">
      <c r="A41" s="0" t="s">
        <v>146</v>
      </c>
      <c r="B41" s="0" t="n">
        <f aca="false">SUMPRODUCT(-C10:L10/(1+$B$27/100)^C4:L4)</f>
        <v>849.719283383114</v>
      </c>
    </row>
    <row r="42" customFormat="false" ht="15" hidden="false" customHeight="false" outlineLevel="0" collapsed="false">
      <c r="A42" s="0" t="s">
        <v>147</v>
      </c>
      <c r="B42" s="0" t="n">
        <f aca="false">IF(B27&gt;B28,-L10*(1+B28/100)/((B27-B28)/100),-L10*20)/(1+B27/100)^L4</f>
        <v>1492.02626206492</v>
      </c>
    </row>
    <row r="43" customFormat="false" ht="15" hidden="false" customHeight="false" outlineLevel="0" collapsed="false">
      <c r="A43" s="0" t="s">
        <v>148</v>
      </c>
      <c r="B43" s="0" t="n">
        <f aca="false">(B37+B41+B42)/Assumptions!$B$3*Assumptions!$B$10</f>
        <v>152.070811669558</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32955.6654637721</v>
      </c>
    </row>
    <row r="47" customFormat="false" ht="15" hidden="false" customHeight="false" outlineLevel="0" collapsed="false">
      <c r="A47" s="0" t="s">
        <v>150</v>
      </c>
      <c r="B47" s="0" t="n">
        <f aca="false">(SUMPRODUCT(C19:L19/(1+B45/100)^C4:L4)+B46/(1+B45/100)^L4+Assumptions!$B$5-Assumptions!$B$4)/Assumptions!$B$3*Assumptions!$B$10</f>
        <v>53.0895393051335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90.3272914716119</v>
      </c>
      <c r="C4" s="0" t="n">
        <f aca="false">B4/Assumptions!$B$2-1</f>
        <v>-0.104251373744427</v>
      </c>
      <c r="D4" s="4" t="n">
        <f aca="false">Assumptions!$B$24</f>
        <v>0.25</v>
      </c>
      <c r="E4" s="4" t="n">
        <f aca="false">DCF_Bear!$B$43</f>
        <v>95.259881724985</v>
      </c>
      <c r="F4" s="4" t="n">
        <f aca="false">DCF_Bear!$B$47</f>
        <v>35.5693571508421</v>
      </c>
    </row>
    <row r="5" customFormat="false" ht="15" hidden="false" customHeight="false" outlineLevel="0" collapsed="false">
      <c r="A5" s="0" t="s">
        <v>159</v>
      </c>
      <c r="B5" s="4" t="n">
        <f aca="false">DCF_Base!$B$38</f>
        <v>120.828480773871</v>
      </c>
      <c r="C5" s="0" t="n">
        <f aca="false">B5/Assumptions!$B$2-1</f>
        <v>0.198219761740088</v>
      </c>
      <c r="D5" s="4" t="n">
        <f aca="false">Assumptions!$B$38</f>
        <v>0.5</v>
      </c>
      <c r="E5" s="4" t="n">
        <f aca="false">DCF_Base!$B$43</f>
        <v>126.436431769541</v>
      </c>
      <c r="F5" s="4" t="n">
        <f aca="false">DCF_Base!$B$47</f>
        <v>45.644605595337</v>
      </c>
    </row>
    <row r="6" customFormat="false" ht="15" hidden="false" customHeight="false" outlineLevel="0" collapsed="false">
      <c r="A6" s="0" t="s">
        <v>160</v>
      </c>
      <c r="B6" s="4" t="n">
        <f aca="false">DCF_Bull!$B$38</f>
        <v>145.503942501167</v>
      </c>
      <c r="C6" s="0" t="n">
        <f aca="false">B6/Assumptions!$B$2-1</f>
        <v>0.442918906199597</v>
      </c>
      <c r="D6" s="4" t="n">
        <f aca="false">Assumptions!$B$52</f>
        <v>0.25</v>
      </c>
      <c r="E6" s="4" t="n">
        <f aca="false">DCF_Bull!$B$43</f>
        <v>152.070811669558</v>
      </c>
      <c r="F6" s="4" t="n">
        <f aca="false">DCF_Bull!$B$47</f>
        <v>53.0895393051335</v>
      </c>
    </row>
    <row r="8" customFormat="false" ht="15" hidden="false" customHeight="false" outlineLevel="0" collapsed="false">
      <c r="A8" s="0" t="s">
        <v>161</v>
      </c>
      <c r="B8" s="0" t="n">
        <f aca="false">SUMPRODUCT(B4:B6,D4:D6)</f>
        <v>119.37204888013</v>
      </c>
    </row>
    <row r="9" customFormat="false" ht="15" hidden="false" customHeight="false" outlineLevel="0" collapsed="false">
      <c r="A9" s="0" t="s">
        <v>162</v>
      </c>
      <c r="B9" s="0" t="n">
        <f aca="false">SUMPRODUCT(E4:E6,D4:D6)</f>
        <v>125.050889233406</v>
      </c>
    </row>
    <row r="10" customFormat="false" ht="15" hidden="false" customHeight="false" outlineLevel="0" collapsed="false">
      <c r="A10" s="0" t="s">
        <v>163</v>
      </c>
      <c r="B10" s="0" t="n">
        <f aca="false">1-Assumptions!$B$2/B8</f>
        <v>0.155246132189114</v>
      </c>
    </row>
    <row r="11" customFormat="false" ht="15" hidden="false" customHeight="false" outlineLevel="0" collapsed="false">
      <c r="A11" s="0" t="s">
        <v>164</v>
      </c>
      <c r="B11" s="0" t="n">
        <f aca="false">IF(ABS(B9-B8)&gt;0.01*ABS(B8),(Assumptions!$B$2-B8)/(B9-B8)*100,"n/a")</f>
        <v>-326.335091801595</v>
      </c>
    </row>
    <row r="12" customFormat="false" ht="15" hidden="false" customHeight="false" outlineLevel="0" collapsed="false">
      <c r="A12" s="0" t="s">
        <v>165</v>
      </c>
      <c r="B12" s="0" t="n">
        <f aca="false">SUMPRODUCT(F4:F6,D4:D6)</f>
        <v>44.9870269116624</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120.828480773871</v>
      </c>
      <c r="C15" s="3" t="n">
        <v>8</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100.113468176174</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84.9418387054945</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73.3559489316995</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64.2225089364139</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45.644605595337</v>
      </c>
      <c r="C20" s="3" t="n">
        <v>15</v>
      </c>
    </row>
    <row r="22" customFormat="false" ht="15" hidden="false" customHeight="false" outlineLevel="0" collapsed="false">
      <c r="A22" s="2" t="s">
        <v>174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149.749659225954</v>
      </c>
      <c r="C24" s="0" t="n">
        <f aca="false">(SUMPRODUCT(DCF_Base!$C$19:$L$19/(1+$A$24/100)^DCF_Base!$C$4:$L$4)+MAX(0,MIN(IF($A$24&gt;$C$23,DCF_Base!$L$19*(1+$C$23/100)/(($A$24-$C$23)/100),DCF_Base!$L$19*DCF_Base!$B$29),DCF_Base!$L$19*DCF_Base!$B$29))/(1+$A$24/100)^DCF_Base!$L$4+Assumptions!$B$5-Assumptions!$B$4)/Assumptions!$B$3*Assumptions!$B$10</f>
        <v>149.749659225954</v>
      </c>
      <c r="D24" s="0" t="n">
        <f aca="false">(SUMPRODUCT(DCF_Base!$C$19:$L$19/(1+$A$24/100)^DCF_Base!$C$4:$L$4)+MAX(0,MIN(IF($A$24&gt;$D$23,DCF_Base!$L$19*(1+$D$23/100)/(($A$24-$D$23)/100),DCF_Base!$L$19*DCF_Base!$B$29),DCF_Base!$L$19*DCF_Base!$B$29))/(1+$A$24/100)^DCF_Base!$L$4+Assumptions!$B$5-Assumptions!$B$4)/Assumptions!$B$3*Assumptions!$B$10</f>
        <v>149.749659225954</v>
      </c>
      <c r="E24" s="0" t="n">
        <f aca="false">(SUMPRODUCT(DCF_Base!$C$19:$L$19/(1+$A$24/100)^DCF_Base!$C$4:$L$4)+MAX(0,MIN(IF($A$24&gt;$E$23,DCF_Base!$L$19*(1+$E$23/100)/(($A$24-$E$23)/100),DCF_Base!$L$19*DCF_Base!$B$29),DCF_Base!$L$19*DCF_Base!$B$29))/(1+$A$24/100)^DCF_Base!$L$4+Assumptions!$B$5-Assumptions!$B$4)/Assumptions!$B$3*Assumptions!$B$10</f>
        <v>149.749659225954</v>
      </c>
      <c r="F24" s="0" t="n">
        <f aca="false">(SUMPRODUCT(DCF_Base!$C$19:$L$19/(1+$A$24/100)^DCF_Base!$C$4:$L$4)+MAX(0,MIN(IF($A$24&gt;$F$23,DCF_Base!$L$19*(1+$F$23/100)/(($A$24-$F$23)/100),DCF_Base!$L$19*DCF_Base!$B$29),DCF_Base!$L$19*DCF_Base!$B$29))/(1+$A$24/100)^DCF_Base!$L$4+Assumptions!$B$5-Assumptions!$B$4)/Assumptions!$B$3*Assumptions!$B$10</f>
        <v>149.749659225954</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130.373249402803</v>
      </c>
      <c r="C25" s="0" t="n">
        <f aca="false">(SUMPRODUCT(DCF_Base!$C$19:$L$19/(1+$A$25/100)^DCF_Base!$C$4:$L$4)+MAX(0,MIN(IF($A$25&gt;$C$23,DCF_Base!$L$19*(1+$C$23/100)/(($A$25-$C$23)/100),DCF_Base!$L$19*DCF_Base!$B$29),DCF_Base!$L$19*DCF_Base!$B$29))/(1+$A$25/100)^DCF_Base!$L$4+Assumptions!$B$5-Assumptions!$B$4)/Assumptions!$B$3*Assumptions!$B$10</f>
        <v>137.669915946179</v>
      </c>
      <c r="D25" s="0" t="n">
        <f aca="false">(SUMPRODUCT(DCF_Base!$C$19:$L$19/(1+$A$25/100)^DCF_Base!$C$4:$L$4)+MAX(0,MIN(IF($A$25&gt;$D$23,DCF_Base!$L$19*(1+$D$23/100)/(($A$25-$D$23)/100),DCF_Base!$L$19*DCF_Base!$B$29),DCF_Base!$L$19*DCF_Base!$B$29))/(1+$A$25/100)^DCF_Base!$L$4+Assumptions!$B$5-Assumptions!$B$4)/Assumptions!$B$3*Assumptions!$B$10</f>
        <v>137.669915946179</v>
      </c>
      <c r="E25" s="0" t="n">
        <f aca="false">(SUMPRODUCT(DCF_Base!$C$19:$L$19/(1+$A$25/100)^DCF_Base!$C$4:$L$4)+MAX(0,MIN(IF($A$25&gt;$E$23,DCF_Base!$L$19*(1+$E$23/100)/(($A$25-$E$23)/100),DCF_Base!$L$19*DCF_Base!$B$29),DCF_Base!$L$19*DCF_Base!$B$29))/(1+$A$25/100)^DCF_Base!$L$4+Assumptions!$B$5-Assumptions!$B$4)/Assumptions!$B$3*Assumptions!$B$10</f>
        <v>137.669915946179</v>
      </c>
      <c r="F25" s="0" t="n">
        <f aca="false">(SUMPRODUCT(DCF_Base!$C$19:$L$19/(1+$A$25/100)^DCF_Base!$C$4:$L$4)+MAX(0,MIN(IF($A$25&gt;$F$23,DCF_Base!$L$19*(1+$F$23/100)/(($A$25-$F$23)/100),DCF_Base!$L$19*DCF_Base!$B$29),DCF_Base!$L$19*DCF_Base!$B$29))/(1+$A$25/100)^DCF_Base!$L$4+Assumptions!$B$5-Assumptions!$B$4)/Assumptions!$B$3*Assumptions!$B$10</f>
        <v>137.669915946179</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107.832286504751</v>
      </c>
      <c r="C26" s="0" t="n">
        <f aca="false">(SUMPRODUCT(DCF_Base!$C$19:$L$19/(1+$A$26/100)^DCF_Base!$C$4:$L$4)+MAX(0,MIN(IF($A$26&gt;$C$23,DCF_Base!$L$19*(1+$C$23/100)/(($A$26-$C$23)/100),DCF_Base!$L$19*DCF_Base!$B$29),DCF_Base!$L$19*DCF_Base!$B$29))/(1+$A$26/100)^DCF_Base!$L$4+Assumptions!$B$5-Assumptions!$B$4)/Assumptions!$B$3*Assumptions!$B$10</f>
        <v>113.788875544764</v>
      </c>
      <c r="D26" s="0" t="n">
        <f aca="false">(SUMPRODUCT(DCF_Base!$C$19:$L$19/(1+$A$26/100)^DCF_Base!$C$4:$L$4)+MAX(0,MIN(IF($A$26&gt;$D$23,DCF_Base!$L$19*(1+$D$23/100)/(($A$26-$D$23)/100),DCF_Base!$L$19*DCF_Base!$B$29),DCF_Base!$L$19*DCF_Base!$B$29))/(1+$A$26/100)^DCF_Base!$L$4+Assumptions!$B$5-Assumptions!$B$4)/Assumptions!$B$3*Assumptions!$B$10</f>
        <v>120.828480773871</v>
      </c>
      <c r="E26" s="0" t="n">
        <f aca="false">(SUMPRODUCT(DCF_Base!$C$19:$L$19/(1+$A$26/100)^DCF_Base!$C$4:$L$4)+MAX(0,MIN(IF($A$26&gt;$E$23,DCF_Base!$L$19*(1+$E$23/100)/(($A$26-$E$23)/100),DCF_Base!$L$19*DCF_Base!$B$29),DCF_Base!$L$19*DCF_Base!$B$29))/(1+$A$26/100)^DCF_Base!$L$4+Assumptions!$B$5-Assumptions!$B$4)/Assumptions!$B$3*Assumptions!$B$10</f>
        <v>126.694818464793</v>
      </c>
      <c r="F26" s="0" t="n">
        <f aca="false">(SUMPRODUCT(DCF_Base!$C$19:$L$19/(1+$A$26/100)^DCF_Base!$C$4:$L$4)+MAX(0,MIN(IF($A$26&gt;$F$23,DCF_Base!$L$19*(1+$F$23/100)/(($A$26-$F$23)/100),DCF_Base!$L$19*DCF_Base!$B$29),DCF_Base!$L$19*DCF_Base!$B$29))/(1+$A$26/100)^DCF_Base!$L$4+Assumptions!$B$5-Assumptions!$B$4)/Assumptions!$B$3*Assumptions!$B$10</f>
        <v>126.694818464793</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91.3415829897687</v>
      </c>
      <c r="C27" s="0" t="n">
        <f aca="false">(SUMPRODUCT(DCF_Base!$C$19:$L$19/(1+$A$27/100)^DCF_Base!$C$4:$L$4)+MAX(0,MIN(IF($A$27&gt;$C$23,DCF_Base!$L$19*(1+$C$23/100)/(($A$27-$C$23)/100),DCF_Base!$L$19*DCF_Base!$B$29),DCF_Base!$L$19*DCF_Base!$B$29))/(1+$A$27/100)^DCF_Base!$L$4+Assumptions!$B$5-Assumptions!$B$4)/Assumptions!$B$3*Assumptions!$B$10</f>
        <v>95.4142439691712</v>
      </c>
      <c r="D27" s="0" t="n">
        <f aca="false">(SUMPRODUCT(DCF_Base!$C$19:$L$19/(1+$A$27/100)^DCF_Base!$C$4:$L$4)+MAX(0,MIN(IF($A$27&gt;$D$23,DCF_Base!$L$19*(1+$D$23/100)/(($A$27-$D$23)/100),DCF_Base!$L$19*DCF_Base!$B$29),DCF_Base!$L$19*DCF_Base!$B$29))/(1+$A$27/100)^DCF_Base!$L$4+Assumptions!$B$5-Assumptions!$B$4)/Assumptions!$B$3*Assumptions!$B$10</f>
        <v>100.113468176174</v>
      </c>
      <c r="E27" s="0" t="n">
        <f aca="false">(SUMPRODUCT(DCF_Base!$C$19:$L$19/(1+$A$27/100)^DCF_Base!$C$4:$L$4)+MAX(0,MIN(IF($A$27&gt;$E$23,DCF_Base!$L$19*(1+$E$23/100)/(($A$27-$E$23)/100),DCF_Base!$L$19*DCF_Base!$B$29),DCF_Base!$L$19*DCF_Base!$B$29))/(1+$A$27/100)^DCF_Base!$L$4+Assumptions!$B$5-Assumptions!$B$4)/Assumptions!$B$3*Assumptions!$B$10</f>
        <v>105.595896417678</v>
      </c>
      <c r="F27" s="0" t="n">
        <f aca="false">(SUMPRODUCT(DCF_Base!$C$19:$L$19/(1+$A$27/100)^DCF_Base!$C$4:$L$4)+MAX(0,MIN(IF($A$27&gt;$F$23,DCF_Base!$L$19*(1+$F$23/100)/(($A$27-$F$23)/100),DCF_Base!$L$19*DCF_Base!$B$29),DCF_Base!$L$19*DCF_Base!$B$29))/(1+$A$27/100)^DCF_Base!$L$4+Assumptions!$B$5-Assumptions!$B$4)/Assumptions!$B$3*Assumptions!$B$10</f>
        <v>112.075129794</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78.7632158781732</v>
      </c>
      <c r="C28" s="0" t="n">
        <f aca="false">(SUMPRODUCT(DCF_Base!$C$19:$L$19/(1+$A$28/100)^DCF_Base!$C$4:$L$4)+MAX(0,MIN(IF($A$28&gt;$C$23,DCF_Base!$L$19*(1+$C$23/100)/(($A$28-$C$23)/100),DCF_Base!$L$19*DCF_Base!$B$29),DCF_Base!$L$19*DCF_Base!$B$29))/(1+$A$28/100)^DCF_Base!$L$4+Assumptions!$B$5-Assumptions!$B$4)/Assumptions!$B$3*Assumptions!$B$10</f>
        <v>81.65944532848</v>
      </c>
      <c r="D28" s="0" t="n">
        <f aca="false">(SUMPRODUCT(DCF_Base!$C$19:$L$19/(1+$A$28/100)^DCF_Base!$C$4:$L$4)+MAX(0,MIN(IF($A$28&gt;$D$23,DCF_Base!$L$19*(1+$D$23/100)/(($A$28-$D$23)/100),DCF_Base!$L$19*DCF_Base!$B$29),DCF_Base!$L$19*DCF_Base!$B$29))/(1+$A$28/100)^DCF_Base!$L$4+Assumptions!$B$5-Assumptions!$B$4)/Assumptions!$B$3*Assumptions!$B$10</f>
        <v>84.9418387054945</v>
      </c>
      <c r="E28" s="0" t="n">
        <f aca="false">(SUMPRODUCT(DCF_Base!$C$19:$L$19/(1+$A$28/100)^DCF_Base!$C$4:$L$4)+MAX(0,MIN(IF($A$28&gt;$E$23,DCF_Base!$L$19*(1+$E$23/100)/(($A$28-$E$23)/100),DCF_Base!$L$19*DCF_Base!$B$29),DCF_Base!$L$19*DCF_Base!$B$29))/(1+$A$28/100)^DCF_Base!$L$4+Assumptions!$B$5-Assumptions!$B$4)/Assumptions!$B$3*Assumptions!$B$10</f>
        <v>88.6931454220824</v>
      </c>
      <c r="F28" s="0" t="n">
        <f aca="false">(SUMPRODUCT(DCF_Base!$C$19:$L$19/(1+$A$28/100)^DCF_Base!$C$4:$L$4)+MAX(0,MIN(IF($A$28&gt;$F$23,DCF_Base!$L$19*(1+$F$23/100)/(($A$28-$F$23)/100),DCF_Base!$L$19*DCF_Base!$B$29),DCF_Base!$L$19*DCF_Base!$B$29))/(1+$A$28/100)^DCF_Base!$L$4+Assumptions!$B$5-Assumptions!$B$4)/Assumptions!$B$3*Assumptions!$B$10</f>
        <v>93.0215762489146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2026-10-02T06:41:43Z</dcterms:created>
  <dc:creator>openpyxl</dc:creator>
  <dc:description/>
  <dc:language>en-NZ</dc:language>
  <cp:lastModifiedBy/>
  <dcterms:modified xsi:type="dcterms:W3CDTF">2026-10-02T06:41:43Z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