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<sst xmlns="http://schemas.openxmlformats.org/spreadsheetml/2006/main" count="386" uniqueCount="173">
  <si>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</si>
  <si>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MTCH</t>
  </si>
  <si>
    <t xml:space="preserve">Company</t>
  </si>
  <si>
    <t xml:space="preserve">Match 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</si>
  <si>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</si>
  <si>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</si>
  <si>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</si>
  <si>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</si>
  <si>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</si>
  <si>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</si>
  <si>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</si>
  <si>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</si>
  <si>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</si>
  <si>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</si>
  <si>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</si>
  <si>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</si>
  <si>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</si>
  <si>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</si>
  <si>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</si>
  <si>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</si>
  <si>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</si>
  <si>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2026-10-02T02:28:27Z</t>
  </si>
  <si>
    <t xml:space="preserve">Drivers file</t>
  </si>
  <si>
    <t xml:space="preserve">MTCH_Drivers.json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</si>
  <si>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</si>
  <si>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</si>
  <si>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</si>
  <si>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Match is valued as a mature subscription cash machine with a declining core and one growth asset. The headline (house) value expenses SBC and net-settlement taxes in full and holds the share count flat, so buybacks are the funding of a flat count rather than per-share growth; the street basis treating SBC as non-cash is reported alongside as the accounting-regime band. Leverage is charged once at the bridge (net debt $2.97B, exchangeables treated as debt and their if-converted shares excluded). WACC is the same in all three scenarios; turnaround and category risk is carried by the scenario paths and a 30% bear weight. The terminal cap (15x FCF) stops Gordon from rewarding a 2.5% perpetual growth assumption for a business whose largest brand has shrunk for three years.
key_risks_to_valuation: Tinder (~49% of revenue) payer and DAU declines continuing past the Q4-27 return-to-growth guidance -- each year of delay removes roughly 1pp of consolidated growth and 50-100bp of margin; SBC basis: summing the cash-flow SBC add-back and net-settlement taxes may double-count up to ~$100M/yr; the street band shows how much value depends on SBC treatment; App-store platform fees (15-30% of Direct Revenue) and adverse regulatory outcomes; conversely user-choice-billing wins are the main margin upside; Hinge growth decelerating before it reaches $1B as its core cohort saturates; Net debt ~2.4x adjusted EBITDA with the 2027-2031 senior-note ladder; refinancing cost rises if EBITDA shrinks (bear case) while buybacks and the dividend continue; Terminal value is 50-55% of enterprise value at a 9% WACC; a 1pp move in WACC moves the base value materially (see sensitivity grid)</t>
  </si>
  <si>
    <t xml:space="preserve">Data sources</t>
  </si>
  <si>
    <t xml:space="preserve">price: Yahoo Finance chart API regular close at inputs.price_as_of; 52-week range 28.81-44.94
financials: research/MTCH/Reports/MTCH_Metrics.csv (SEC XBRL companyfacts, CIK 0000891103) for FY2008-Q2 2026 history; SEC XBRL companyfacts pulled directly for Q2 2026 10-Q debt (LongTermDebt/LongTermDebtCurrent), cash, cover-page shares (2026-07-31), basic/diluted weighted-average shares and dilutive-award detail, FY2025 operating income, depreciation, interest expense, interest paid and income taxes paid
qualitative: research/MTCH/Reports/MTCH_Analysis.json (2026-10-02): segment mix, Q2 2026 results and FY2026 guidance update, turnaround milestones, activist history, bull/bear axes</t>
  </si>
  <si>
    <t xml:space="preserve">Scenario narrative: bear</t>
  </si>
  <si>
    <t xml:space="preserve">Dating-app fatigue is structural, not cyclical. Tinder's payer and DAU declines do not stabilise, the Q4-27 payer-growth milestone slips, and Hinge's growth decelerates toward 10% as it saturates its core relationship-minded cohort; E&amp;E keeps shrinking mid-teens. Consolidated revenue falls ~2.5%/yr through 2028 and only stabilises in the 2030s at 1% growth. Margin deleverages to 34% as marketing spend is held to defend Tinder and SBC is sticky in dollars (rising to 8.5-10.5% of revenue). Net debt at ~3x a shrinking EBITDA leaves the equity as the residual claim on a slowly melting asset; buybacks continue but at a lower pace.</t>
  </si>
  <si>
    <t xml:space="preserve">Scenario narrative: base</t>
  </si>
  <si>
    <t xml:space="preserve">Match is a mature, cash-generative portfolio whose consolidated top line is roughly flat: Hinge (~20% of revenue, +22% YoY) scales to $1B in 2027 and offsets a low-single-digit Tinder decline and a mid-teens E&amp;E decline. The restructuring ($100M annualised savings, 13% headcount cut) lifts the adjusted EBITDA margin from 35.6% (FY2025) to ~39%, but the owner's view is weaker than the street's because SBC plus net-settlement taxes (~10% of revenue) is charged in full. Tinder payers return to growth around Q4-27 as management guides, giving ~3% consolidated growth in 2028-30 before tapering to 2%. Value is driven by the margin and SBC paths, not growth; the 2.97B of net debt takes ~25% of enterprise value.</t>
  </si>
  <si>
    <t xml:space="preserve">Scenario narrative: bull</t>
  </si>
  <si>
    <t xml:space="preserve">The Tinder turnaround works: the rebrand, Events (75 cities by end-2026) and AI-accelerated product cadence turn the DAU trend positive, payers grow from Q4-27 and compound low-single-digits; Hinge becomes a ~$1.5B franchise by 2029 on European/Latin American expansion and new monetisation tiers; E&amp;E's decline moderates to -5%. Consolidated revenue grows 5-6% in 2028-29, margin reaches 42% with operating leverage and lower app-store fees after further user-choice-billing wins, and SBC glides to 6% of revenue. The terminal value is capped at 15x FCF rather than Gordon.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</si>
  <si>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</si>
  <si>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</si>
  <si>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</si>
  <si>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</si>
  <si>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</si>
  <si>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</si>
  <si>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</si>
  <si>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</si>
  <si>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</si>
  <si>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</si>
  <si>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</si>
  <si>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</si>
  <si>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</si>
  <si>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</si>
  <si>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</si>
  <si>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</si>
  <si>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</si>
  <si>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</si>
  <si>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</si>
  <si>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</si>
  <si>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</si>
  <si>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</si>
  <si>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</si>
  <si>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</si>
  <si>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</si>
  <si>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</si>
  <si>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</si>
  <si>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</si>
  <si>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</si>
  <si>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</si>
  <si>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</si>
  <si>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</si>
  <si>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</si>
  <si>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</si>
  <si>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</si>
  <si>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</si>
  <si>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</si>
  <si>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</si>
  <si>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</si>
  <si>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</si>
  <si>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</si>
  <si>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</si>
  <si>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</si>
  <si>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</si>
  <si>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</si>
  <si>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</si>
  <si>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</si>
  <si>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</si>
  <si>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</si>
  <si>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</si>
  <si>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</si>
  <si>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</si>
  <si>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</si>
  <si>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</si>
  <si>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</si>
  <si>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</si>
  <si>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</si>
  <si>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</si>
  <si>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</si>
  <si>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</si>
  <si>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</si>
  <si>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</si>
  <si>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</si>
  <si>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</si>
  <si>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</si>
  <si>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</si>
  <si>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</si>
  <si>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</si>
  <si>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</si>
  <si>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</si>
  <si>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</si>
  <si>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</si>
  <si>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</si>
  <si>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</si>
  <si>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</si>
  <si>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</si>
  <si>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</si>
  <si>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</si>
  <si>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</si>
  <si>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</si>
  <si>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</si>
  <si>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</si>
  <si>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</si>
  <si>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MTCH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</si>
  <si>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</si>
  <si>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</si>
  <si>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</si>
  <si>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</si>
  <si>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</si>
  <si>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</si>
  <si>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</si>
  <si>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</si>
  <si>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</si>
  <si>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</si>
  <si>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</si>
  <si>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</si>
  <si>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</si>
  <si>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</si>
  <si>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</si>
  <si>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</si>
  <si>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</si>
  <si>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</si>
  <si>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</si>
  <si>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</si>
  <si>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</si>
  <si>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</si>
  <si>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</si>
  <si>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</si>
  <si>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</si>
  <si>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</si>
  <si>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</si>
  <si>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</si>
  <si>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</si>
  <si>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</si>
  <si>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MTCH owner-FCF component DCF: base case (millions, USD)</t>
  </si>
  <si>
    <t xml:space="preserve">MTCH owner-FCF component DCF: bull case (millions, USD)</t>
  </si>
  <si>
    <t xml:space="preserve">MTCH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</si>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</sst>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40.13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8583.662</v>
      </c>
      <c r="S2" s="0" t="n">
        <v>1585.302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1410.078</v>
      </c>
      <c r="C3" s="0" t="n">
        <v>456.95</v>
      </c>
      <c r="F3" s="0" t="n">
        <v>-44.254</v>
      </c>
      <c r="G3" s="0" t="n">
        <v>-3.13840794622709</v>
      </c>
      <c r="I3" s="0" t="n">
        <v>-164.161</v>
      </c>
      <c r="J3" s="0" t="n">
        <v>-11.6419800890447</v>
      </c>
      <c r="K3" s="0" t="n">
        <v>-1.12</v>
      </c>
      <c r="M3" s="0" t="n">
        <v>58.983</v>
      </c>
      <c r="O3" s="0" t="n">
        <v>4046.671</v>
      </c>
      <c r="S3" s="0" t="n">
        <v>1744.994</v>
      </c>
      <c r="U3" s="0" t="n">
        <v>85.773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1346.695</v>
      </c>
      <c r="C4" s="0" t="n">
        <v>429.849</v>
      </c>
      <c r="F4" s="0" t="n">
        <v>-1037.987</v>
      </c>
      <c r="G4" s="0" t="n">
        <v>-77.0766209126788</v>
      </c>
      <c r="I4" s="0" t="n">
        <v>-979.912</v>
      </c>
      <c r="J4" s="0" t="n">
        <v>-72.7642116440619</v>
      </c>
      <c r="K4" s="0" t="n">
        <v>-7.06</v>
      </c>
      <c r="M4" s="0" t="n">
        <v>33.938</v>
      </c>
      <c r="O4" s="0" t="n">
        <v>2746.961</v>
      </c>
      <c r="P4" s="0" t="n">
        <v>4015.889</v>
      </c>
      <c r="R4" s="0" t="n">
        <v>95.844</v>
      </c>
      <c r="S4" s="0" t="n">
        <v>1245.997</v>
      </c>
      <c r="T4" s="0" t="n">
        <v>138.599</v>
      </c>
      <c r="U4" s="0" t="n">
        <v>70.081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1636.815</v>
      </c>
      <c r="C5" s="0" t="n">
        <v>593.816</v>
      </c>
      <c r="F5" s="0" t="n">
        <v>49.795</v>
      </c>
      <c r="G5" s="0" t="n">
        <v>3.04218864074437</v>
      </c>
      <c r="I5" s="0" t="n">
        <v>94.352</v>
      </c>
      <c r="J5" s="0" t="n">
        <v>5.76436555139096</v>
      </c>
      <c r="K5" s="0" t="n">
        <v>0.93</v>
      </c>
      <c r="M5" s="0" t="n">
        <v>39.829</v>
      </c>
      <c r="O5" s="0" t="n">
        <v>2050.068</v>
      </c>
      <c r="P5" s="0" t="n">
        <v>3329.079</v>
      </c>
      <c r="R5" s="0" t="n">
        <v>95.844</v>
      </c>
      <c r="S5" s="0" t="n">
        <v>742.099</v>
      </c>
      <c r="T5" s="0" t="n">
        <v>106.274</v>
      </c>
      <c r="U5" s="0" t="n">
        <v>84.28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2059.444</v>
      </c>
      <c r="F6" s="0" t="n">
        <v>197.762</v>
      </c>
      <c r="G6" s="0" t="n">
        <v>9.60268888107664</v>
      </c>
      <c r="I6" s="0" t="n">
        <v>171.577</v>
      </c>
      <c r="J6" s="0" t="n">
        <v>8.33122920555257</v>
      </c>
      <c r="K6" s="0" t="n">
        <v>2.01</v>
      </c>
      <c r="M6" s="0" t="n">
        <v>39.954</v>
      </c>
      <c r="O6" s="0" t="n">
        <v>1960.14</v>
      </c>
      <c r="P6" s="0" t="n">
        <v>3409.865</v>
      </c>
      <c r="R6" s="0" t="n">
        <v>95.844</v>
      </c>
      <c r="S6" s="0" t="n">
        <v>704.153</v>
      </c>
      <c r="T6" s="0" t="n">
        <v>94.321</v>
      </c>
      <c r="U6" s="0" t="n">
        <v>88.588</v>
      </c>
      <c r="V6" s="0" t="n">
        <v>0.12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2800.933</v>
      </c>
      <c r="C7" s="0" t="n">
        <v>991.688</v>
      </c>
      <c r="F7" s="0" t="n">
        <v>323.568</v>
      </c>
      <c r="G7" s="0" t="n">
        <v>11.5521506583699</v>
      </c>
      <c r="I7" s="0" t="n">
        <v>160.796</v>
      </c>
      <c r="J7" s="0" t="n">
        <v>5.74080136868679</v>
      </c>
      <c r="K7" s="0" t="n">
        <v>1.85</v>
      </c>
      <c r="M7" s="0" t="n">
        <v>51.201</v>
      </c>
      <c r="O7" s="0" t="n">
        <v>1707.635</v>
      </c>
      <c r="P7" s="0" t="n">
        <v>3805.828</v>
      </c>
      <c r="R7" s="0" t="n">
        <v>611.688</v>
      </c>
      <c r="S7" s="0" t="n">
        <v>749.977</v>
      </c>
      <c r="T7" s="0" t="n">
        <v>93.089</v>
      </c>
      <c r="U7" s="0" t="n">
        <v>85.625</v>
      </c>
      <c r="V7" s="0" t="n">
        <v>0.72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3022.987</v>
      </c>
      <c r="C8" s="0" t="n">
        <v>977.357</v>
      </c>
      <c r="F8" s="0" t="n">
        <v>426.203</v>
      </c>
      <c r="G8" s="0" t="n">
        <v>14.098737440816</v>
      </c>
      <c r="I8" s="0" t="n">
        <v>283.725</v>
      </c>
      <c r="J8" s="0" t="n">
        <v>9.38558452285769</v>
      </c>
      <c r="K8" s="0" t="n">
        <v>3.42</v>
      </c>
      <c r="M8" s="0" t="n">
        <v>80.311</v>
      </c>
      <c r="O8" s="0" t="n">
        <v>1729.401</v>
      </c>
      <c r="P8" s="0" t="n">
        <v>4234.684</v>
      </c>
      <c r="R8" s="0" t="n">
        <v>1080</v>
      </c>
      <c r="S8" s="0" t="n">
        <v>1100.444</v>
      </c>
      <c r="T8" s="0" t="n">
        <v>86.742</v>
      </c>
      <c r="U8" s="0" t="n">
        <v>53.005</v>
      </c>
      <c r="V8" s="0" t="n">
        <v>0.96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3109.547</v>
      </c>
      <c r="C9" s="0" t="n">
        <v>860.204</v>
      </c>
      <c r="F9" s="0" t="n">
        <v>378.727</v>
      </c>
      <c r="G9" s="0" t="n">
        <v>12.1794910962915</v>
      </c>
      <c r="I9" s="0" t="n">
        <v>409.23</v>
      </c>
      <c r="J9" s="0" t="n">
        <v>13.1604378386948</v>
      </c>
      <c r="K9" s="0" t="n">
        <v>4.98</v>
      </c>
      <c r="M9" s="0" t="n">
        <v>57.233</v>
      </c>
      <c r="O9" s="0" t="n">
        <v>1993.142</v>
      </c>
      <c r="P9" s="0" t="n">
        <v>4256.885</v>
      </c>
      <c r="R9" s="0" t="n">
        <v>1080</v>
      </c>
      <c r="S9" s="0" t="n">
        <v>990.405</v>
      </c>
      <c r="T9" s="0" t="n">
        <v>88.558</v>
      </c>
      <c r="U9" s="0" t="n">
        <v>59.634</v>
      </c>
      <c r="V9" s="0" t="n">
        <v>1.16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3230.933</v>
      </c>
      <c r="C10" s="0" t="n">
        <v>778.161</v>
      </c>
      <c r="F10" s="0" t="n">
        <v>179.588</v>
      </c>
      <c r="G10" s="0" t="n">
        <v>5.55839443281554</v>
      </c>
      <c r="I10" s="0" t="n">
        <v>113.374</v>
      </c>
      <c r="J10" s="0" t="n">
        <v>3.50901736433408</v>
      </c>
      <c r="K10" s="0" t="n">
        <v>1.44</v>
      </c>
      <c r="L10" s="0" t="n">
        <v>405.671</v>
      </c>
      <c r="M10" s="0" t="n">
        <v>62.049</v>
      </c>
      <c r="N10" s="0" t="n">
        <v>343.622</v>
      </c>
      <c r="O10" s="0" t="n">
        <v>2215.825</v>
      </c>
      <c r="P10" s="0" t="n">
        <v>5188.691</v>
      </c>
      <c r="R10" s="0" t="n">
        <v>1766.954</v>
      </c>
      <c r="S10" s="0" t="n">
        <v>1481.447</v>
      </c>
      <c r="T10" s="0" t="n">
        <v>88.267</v>
      </c>
      <c r="U10" s="0" t="n">
        <v>105.45</v>
      </c>
      <c r="V10" s="0" t="n">
        <v>1.36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3139.882</v>
      </c>
      <c r="C11" s="0" t="n">
        <v>755.73</v>
      </c>
      <c r="F11" s="0" t="n">
        <v>-32.625</v>
      </c>
      <c r="G11" s="0" t="n">
        <v>-1.03905178602253</v>
      </c>
      <c r="I11" s="0" t="n">
        <v>-16.151</v>
      </c>
      <c r="J11" s="0" t="n">
        <v>-0.514382387618388</v>
      </c>
      <c r="K11" s="0" t="n">
        <v>-0.52</v>
      </c>
      <c r="L11" s="0" t="n">
        <v>344.238</v>
      </c>
      <c r="M11" s="0" t="n">
        <v>78.039</v>
      </c>
      <c r="N11" s="0" t="n">
        <v>266.199</v>
      </c>
      <c r="O11" s="0" t="n">
        <v>2010.67</v>
      </c>
      <c r="P11" s="0" t="n">
        <v>4645.873</v>
      </c>
      <c r="R11" s="0" t="n">
        <v>1602.484</v>
      </c>
      <c r="S11" s="0" t="n">
        <v>1329.187</v>
      </c>
      <c r="T11" s="0" t="n">
        <v>80.045</v>
      </c>
      <c r="U11" s="0" t="n">
        <v>104.82</v>
      </c>
      <c r="V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3307.239</v>
      </c>
      <c r="C12" s="0" t="n">
        <v>651.008</v>
      </c>
      <c r="F12" s="0" t="n">
        <v>188.466</v>
      </c>
      <c r="G12" s="0" t="n">
        <v>5.69859027424386</v>
      </c>
      <c r="I12" s="0" t="n">
        <v>358.008</v>
      </c>
      <c r="J12" s="0" t="n">
        <v>10.8249812003306</v>
      </c>
      <c r="K12" s="0" t="n">
        <v>3.81</v>
      </c>
      <c r="L12" s="0" t="n">
        <v>416.699</v>
      </c>
      <c r="M12" s="0" t="n">
        <v>75.523</v>
      </c>
      <c r="N12" s="0" t="n">
        <v>341.176</v>
      </c>
      <c r="O12" s="0" t="n">
        <v>2946.823</v>
      </c>
      <c r="P12" s="0" t="n">
        <v>5867.81</v>
      </c>
      <c r="R12" s="0" t="n">
        <v>1993.219</v>
      </c>
      <c r="S12" s="0" t="n">
        <v>272.624</v>
      </c>
      <c r="T12" s="0" t="n">
        <v>85.31</v>
      </c>
      <c r="U12" s="0" t="n">
        <v>264.618</v>
      </c>
      <c r="V12" s="0" t="n">
        <v>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1729.85</v>
      </c>
      <c r="C13" s="0" t="n">
        <v>410</v>
      </c>
      <c r="F13" s="0" t="n">
        <v>549.469</v>
      </c>
      <c r="G13" s="0" t="n">
        <v>31.7639679741018</v>
      </c>
      <c r="I13" s="0" t="n">
        <v>757.747</v>
      </c>
      <c r="J13" s="0" t="n">
        <v>43.8042026765327</v>
      </c>
      <c r="K13" s="0" t="n">
        <v>3.48</v>
      </c>
      <c r="L13" s="0" t="n">
        <v>988.128</v>
      </c>
      <c r="M13" s="0" t="n">
        <v>31.397</v>
      </c>
      <c r="N13" s="0" t="n">
        <v>956.731</v>
      </c>
      <c r="O13" s="0" t="n">
        <v>3510.709</v>
      </c>
      <c r="P13" s="0" t="n">
        <v>6874.585</v>
      </c>
      <c r="R13" s="0" t="n">
        <v>2259.298</v>
      </c>
      <c r="S13" s="0" t="n">
        <v>186.947</v>
      </c>
      <c r="T13" s="0" t="n">
        <v>197.11</v>
      </c>
      <c r="U13" s="0" t="n">
        <v>66.031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2051.258</v>
      </c>
      <c r="C14" s="0" t="n">
        <v>527.184</v>
      </c>
      <c r="F14" s="0" t="n">
        <v>645.454</v>
      </c>
      <c r="G14" s="0" t="n">
        <v>31.4662514417982</v>
      </c>
      <c r="I14" s="0" t="n">
        <v>566.527</v>
      </c>
      <c r="J14" s="0" t="n">
        <v>27.6185150770893</v>
      </c>
      <c r="K14" s="0" t="n">
        <v>2.5</v>
      </c>
      <c r="L14" s="0" t="n">
        <v>937.939</v>
      </c>
      <c r="M14" s="0" t="n">
        <v>39.035</v>
      </c>
      <c r="N14" s="0" t="n">
        <v>898.904</v>
      </c>
      <c r="O14" s="0" t="n">
        <v>3627.8</v>
      </c>
      <c r="P14" s="0" t="n">
        <v>8364.803</v>
      </c>
      <c r="R14" s="0" t="n">
        <v>2903.376</v>
      </c>
      <c r="S14" s="0" t="n">
        <v>465.676</v>
      </c>
      <c r="T14" s="0" t="n">
        <v>201.782</v>
      </c>
      <c r="U14" s="0" t="n">
        <v>89.724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2391.269</v>
      </c>
      <c r="C15" s="0" t="n">
        <v>635.833</v>
      </c>
      <c r="F15" s="0" t="n">
        <v>745.715</v>
      </c>
      <c r="G15" s="0" t="n">
        <v>31.1849064241622</v>
      </c>
      <c r="I15" s="0" t="n">
        <v>221.609</v>
      </c>
      <c r="J15" s="0" t="n">
        <v>9.26742244389904</v>
      </c>
      <c r="K15" s="0" t="n">
        <v>0.73</v>
      </c>
      <c r="M15" s="0" t="n">
        <v>42.376</v>
      </c>
      <c r="O15" s="0" t="n">
        <v>-1413.375</v>
      </c>
      <c r="P15" s="0" t="n">
        <v>3046.454</v>
      </c>
      <c r="R15" s="0" t="n">
        <v>3840.93</v>
      </c>
      <c r="S15" s="0" t="n">
        <v>739.164</v>
      </c>
      <c r="T15" s="0" t="n">
        <v>267.329284</v>
      </c>
      <c r="U15" s="0" t="n">
        <v>102.268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2983.277</v>
      </c>
      <c r="C16" s="0" t="n">
        <v>839.308</v>
      </c>
      <c r="F16" s="0" t="n">
        <v>851.679</v>
      </c>
      <c r="G16" s="0" t="n">
        <v>28.5484385124144</v>
      </c>
      <c r="I16" s="0" t="n">
        <v>276.554</v>
      </c>
      <c r="J16" s="0" t="n">
        <v>9.27014152557741</v>
      </c>
      <c r="K16" s="0" t="n">
        <v>1.01</v>
      </c>
      <c r="L16" s="0" t="n">
        <v>912.499</v>
      </c>
      <c r="M16" s="0" t="n">
        <v>79.971</v>
      </c>
      <c r="N16" s="0" t="n">
        <v>832.528</v>
      </c>
      <c r="O16" s="0" t="n">
        <v>-195.842</v>
      </c>
      <c r="P16" s="0" t="n">
        <v>5063.288</v>
      </c>
      <c r="R16" s="0" t="n">
        <v>3929.921</v>
      </c>
      <c r="S16" s="0" t="n">
        <v>815.384</v>
      </c>
      <c r="T16" s="0" t="n">
        <v>304.84</v>
      </c>
      <c r="U16" s="0" t="n">
        <v>146.816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3188.843</v>
      </c>
      <c r="C17" s="0" t="n">
        <v>959.963</v>
      </c>
      <c r="F17" s="0" t="n">
        <v>515.005</v>
      </c>
      <c r="G17" s="0" t="n">
        <v>16.1502149839299</v>
      </c>
      <c r="I17" s="0" t="n">
        <v>359.919</v>
      </c>
      <c r="J17" s="0" t="n">
        <v>11.2868209566918</v>
      </c>
      <c r="K17" s="0" t="n">
        <v>1.28</v>
      </c>
      <c r="L17" s="0" t="n">
        <v>525.688</v>
      </c>
      <c r="M17" s="0" t="n">
        <v>49.125</v>
      </c>
      <c r="N17" s="0" t="n">
        <v>476.563</v>
      </c>
      <c r="O17" s="0" t="n">
        <v>-358.881</v>
      </c>
      <c r="P17" s="0" t="n">
        <v>4182.764</v>
      </c>
      <c r="R17" s="0" t="n">
        <v>3835.726</v>
      </c>
      <c r="S17" s="0" t="n">
        <v>572.395</v>
      </c>
      <c r="T17" s="0" t="n">
        <v>295.215</v>
      </c>
      <c r="U17" s="0" t="n">
        <v>203.88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3364.504</v>
      </c>
      <c r="C18" s="0" t="n">
        <v>954.014</v>
      </c>
      <c r="F18" s="0" t="n">
        <v>916.896</v>
      </c>
      <c r="G18" s="0" t="n">
        <v>27.2520407168486</v>
      </c>
      <c r="I18" s="0" t="n">
        <v>651.472</v>
      </c>
      <c r="J18" s="0" t="n">
        <v>19.3630918554414</v>
      </c>
      <c r="K18" s="0" t="n">
        <v>2.36</v>
      </c>
      <c r="L18" s="0" t="n">
        <v>896.791</v>
      </c>
      <c r="M18" s="0" t="n">
        <v>67.412</v>
      </c>
      <c r="N18" s="0" t="n">
        <v>829.379</v>
      </c>
      <c r="O18" s="0" t="n">
        <v>-19.073</v>
      </c>
      <c r="P18" s="0" t="n">
        <v>4507.886</v>
      </c>
      <c r="R18" s="0" t="n">
        <v>3842.242</v>
      </c>
      <c r="S18" s="0" t="n">
        <v>862.44</v>
      </c>
      <c r="T18" s="0" t="n">
        <v>293.284</v>
      </c>
      <c r="U18" s="0" t="n">
        <v>232.099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3479.373</v>
      </c>
      <c r="C19" s="0" t="n">
        <v>991.273</v>
      </c>
      <c r="F19" s="0" t="n">
        <v>823.312</v>
      </c>
      <c r="G19" s="0" t="n">
        <v>23.6626541621148</v>
      </c>
      <c r="I19" s="0" t="n">
        <v>551.313</v>
      </c>
      <c r="J19" s="0" t="n">
        <v>15.8451824509761</v>
      </c>
      <c r="K19" s="0" t="n">
        <v>2.12</v>
      </c>
      <c r="L19" s="0" t="n">
        <v>932.719</v>
      </c>
      <c r="M19" s="0" t="n">
        <v>50.578</v>
      </c>
      <c r="N19" s="0" t="n">
        <v>882.141</v>
      </c>
      <c r="O19" s="0" t="n">
        <v>-63.659</v>
      </c>
      <c r="P19" s="0" t="n">
        <v>4465.771</v>
      </c>
      <c r="R19" s="0" t="n">
        <v>3848.983</v>
      </c>
      <c r="S19" s="0" t="n">
        <v>965.993</v>
      </c>
      <c r="T19" s="0" t="n">
        <v>279.063</v>
      </c>
      <c r="U19" s="0" t="n">
        <v>267.381</v>
      </c>
      <c r="V19" s="0" t="n">
        <v>0.19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3487.197</v>
      </c>
      <c r="C20" s="0" t="n">
        <v>948.374</v>
      </c>
      <c r="F20" s="0" t="n">
        <v>872.529</v>
      </c>
      <c r="G20" s="0" t="n">
        <v>25.0209265493174</v>
      </c>
      <c r="I20" s="0" t="n">
        <v>613.461</v>
      </c>
      <c r="J20" s="0" t="n">
        <v>17.5918079764349</v>
      </c>
      <c r="K20" s="0" t="n">
        <v>2.53</v>
      </c>
      <c r="L20" s="0" t="n">
        <v>1080.38</v>
      </c>
      <c r="M20" s="0" t="n">
        <v>56.765</v>
      </c>
      <c r="N20" s="0" t="n">
        <v>1023.615</v>
      </c>
      <c r="O20" s="0" t="n">
        <v>-253.504</v>
      </c>
      <c r="P20" s="0" t="n">
        <v>4460.811</v>
      </c>
      <c r="R20" s="0" t="n">
        <v>3972.953</v>
      </c>
      <c r="S20" s="0" t="n">
        <v>1027.838</v>
      </c>
      <c r="T20" s="0" t="n">
        <v>262.475</v>
      </c>
      <c r="U20" s="0" t="n">
        <v>258.202</v>
      </c>
      <c r="V20" s="0" t="n">
        <v>0.76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40.13</v>
      </c>
    </row>
    <row r="3" customFormat="false" ht="15" hidden="false" customHeight="false" outlineLevel="0" collapsed="false">
      <c r="A3" s="0" t="s">
        <v>85</v>
      </c>
      <c r="B3" s="3" t="n">
        <v>233.6</v>
      </c>
    </row>
    <row r="4" customFormat="false" ht="15" hidden="false" customHeight="false" outlineLevel="0" collapsed="false">
      <c r="A4" s="0" t="s">
        <v>86</v>
      </c>
      <c r="B4" s="3" t="n">
        <v>2968.1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3487.197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-1</v>
      </c>
      <c r="D13" s="3" t="n">
        <v>-2.5</v>
      </c>
      <c r="E13" s="3" t="n">
        <v>-2.5</v>
      </c>
      <c r="F13" s="3" t="n">
        <v>-1.5</v>
      </c>
      <c r="G13" s="3" t="n">
        <v>-0.5</v>
      </c>
      <c r="H13" s="3" t="n">
        <v>0</v>
      </c>
      <c r="I13" s="3" t="n">
        <v>0.5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106</v>
      </c>
      <c r="C14" s="3" t="n">
        <v>37</v>
      </c>
      <c r="D14" s="3" t="n">
        <v>36</v>
      </c>
      <c r="E14" s="3" t="n">
        <v>35</v>
      </c>
      <c r="F14" s="3" t="n">
        <v>34.5</v>
      </c>
      <c r="G14" s="3" t="n">
        <v>34</v>
      </c>
      <c r="H14" s="3" t="n">
        <v>34</v>
      </c>
      <c r="I14" s="3" t="n">
        <v>34</v>
      </c>
      <c r="J14" s="3" t="n">
        <v>34</v>
      </c>
      <c r="K14" s="3" t="n">
        <v>34</v>
      </c>
      <c r="L14" s="3" t="n">
        <v>34</v>
      </c>
    </row>
    <row r="15" customFormat="false" ht="15" hidden="false" customHeight="false" outlineLevel="0" collapsed="false">
      <c r="A15" s="0" t="s">
        <v>107</v>
      </c>
      <c r="C15" s="3" t="n">
        <v>10.5</v>
      </c>
      <c r="D15" s="3" t="n">
        <v>10.3</v>
      </c>
      <c r="E15" s="3" t="n">
        <v>10</v>
      </c>
      <c r="F15" s="3" t="n">
        <v>9.7</v>
      </c>
      <c r="G15" s="3" t="n">
        <v>9.5</v>
      </c>
      <c r="H15" s="3" t="n">
        <v>9.2</v>
      </c>
      <c r="I15" s="3" t="n">
        <v>9</v>
      </c>
      <c r="J15" s="3" t="n">
        <v>8.8</v>
      </c>
      <c r="K15" s="3" t="n">
        <v>8.6</v>
      </c>
      <c r="L15" s="3" t="n">
        <v>8.5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3</v>
      </c>
      <c r="D17" s="3" t="n">
        <v>2.9</v>
      </c>
      <c r="E17" s="3" t="n">
        <v>2.8</v>
      </c>
      <c r="F17" s="3" t="n">
        <v>2.7</v>
      </c>
      <c r="G17" s="3" t="n">
        <v>2.6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110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111</v>
      </c>
      <c r="C19" s="3" t="n">
        <v>18</v>
      </c>
      <c r="D19" s="3" t="n">
        <v>19</v>
      </c>
      <c r="E19" s="3" t="n">
        <v>20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1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0.3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0.5</v>
      </c>
      <c r="D27" s="3" t="n">
        <v>2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106</v>
      </c>
      <c r="C28" s="3" t="n">
        <v>38</v>
      </c>
      <c r="D28" s="3" t="n">
        <v>38.5</v>
      </c>
      <c r="E28" s="3" t="n">
        <v>39</v>
      </c>
      <c r="F28" s="3" t="n">
        <v>39</v>
      </c>
      <c r="G28" s="3" t="n">
        <v>39</v>
      </c>
      <c r="H28" s="3" t="n">
        <v>39</v>
      </c>
      <c r="I28" s="3" t="n">
        <v>39</v>
      </c>
      <c r="J28" s="3" t="n">
        <v>39</v>
      </c>
      <c r="K28" s="3" t="n">
        <v>39</v>
      </c>
      <c r="L28" s="3" t="n">
        <v>39</v>
      </c>
    </row>
    <row r="29" customFormat="false" ht="15" hidden="false" customHeight="false" outlineLevel="0" collapsed="false">
      <c r="A29" s="0" t="s">
        <v>107</v>
      </c>
      <c r="C29" s="3" t="n">
        <v>10</v>
      </c>
      <c r="D29" s="3" t="n">
        <v>9.6</v>
      </c>
      <c r="E29" s="3" t="n">
        <v>9.2</v>
      </c>
      <c r="F29" s="3" t="n">
        <v>8.8</v>
      </c>
      <c r="G29" s="3" t="n">
        <v>8.4</v>
      </c>
      <c r="H29" s="3" t="n">
        <v>8</v>
      </c>
      <c r="I29" s="3" t="n">
        <v>7.7</v>
      </c>
      <c r="J29" s="3" t="n">
        <v>7.4</v>
      </c>
      <c r="K29" s="3" t="n">
        <v>7.2</v>
      </c>
      <c r="L29" s="3" t="n">
        <v>7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3</v>
      </c>
      <c r="D31" s="3" t="n">
        <v>2.9</v>
      </c>
      <c r="E31" s="3" t="n">
        <v>2.8</v>
      </c>
      <c r="F31" s="3" t="n">
        <v>2.7</v>
      </c>
      <c r="G31" s="3" t="n">
        <v>2.6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110</v>
      </c>
      <c r="C32" s="3" t="n">
        <v>1.8</v>
      </c>
      <c r="D32" s="3" t="n">
        <v>1.8</v>
      </c>
      <c r="E32" s="3" t="n">
        <v>1.8</v>
      </c>
      <c r="F32" s="3" t="n">
        <v>1.8</v>
      </c>
      <c r="G32" s="3" t="n">
        <v>1.8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111</v>
      </c>
      <c r="C33" s="3" t="n">
        <v>18</v>
      </c>
      <c r="D33" s="3" t="n">
        <v>19</v>
      </c>
      <c r="E33" s="3" t="n">
        <v>20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2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1.5</v>
      </c>
      <c r="D41" s="3" t="n">
        <v>4.5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38.5</v>
      </c>
      <c r="D42" s="3" t="n">
        <v>39.5</v>
      </c>
      <c r="E42" s="3" t="n">
        <v>40.5</v>
      </c>
      <c r="F42" s="3" t="n">
        <v>41</v>
      </c>
      <c r="G42" s="3" t="n">
        <v>41.5</v>
      </c>
      <c r="H42" s="3" t="n">
        <v>42</v>
      </c>
      <c r="I42" s="3" t="n">
        <v>42</v>
      </c>
      <c r="J42" s="3" t="n">
        <v>42</v>
      </c>
      <c r="K42" s="3" t="n">
        <v>42</v>
      </c>
      <c r="L42" s="3" t="n">
        <v>42</v>
      </c>
    </row>
    <row r="43" customFormat="false" ht="15" hidden="false" customHeight="false" outlineLevel="0" collapsed="false">
      <c r="A43" s="0" t="s">
        <v>107</v>
      </c>
      <c r="C43" s="3" t="n">
        <v>9.5</v>
      </c>
      <c r="D43" s="3" t="n">
        <v>9</v>
      </c>
      <c r="E43" s="3" t="n">
        <v>8.5</v>
      </c>
      <c r="F43" s="3" t="n">
        <v>8</v>
      </c>
      <c r="G43" s="3" t="n">
        <v>7.5</v>
      </c>
      <c r="H43" s="3" t="n">
        <v>7</v>
      </c>
      <c r="I43" s="3" t="n">
        <v>6.7</v>
      </c>
      <c r="J43" s="3" t="n">
        <v>6.4</v>
      </c>
      <c r="K43" s="3" t="n">
        <v>6.2</v>
      </c>
      <c r="L43" s="3" t="n">
        <v>6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3</v>
      </c>
      <c r="D45" s="3" t="n">
        <v>2.9</v>
      </c>
      <c r="E45" s="3" t="n">
        <v>2.8</v>
      </c>
      <c r="F45" s="3" t="n">
        <v>2.7</v>
      </c>
      <c r="G45" s="3" t="n">
        <v>2.6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110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111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-1</v>
      </c>
      <c r="D5" s="4" t="n">
        <f aca="false">Assumptions!D13</f>
        <v>-2.5</v>
      </c>
      <c r="E5" s="4" t="n">
        <f aca="false">Assumptions!E13</f>
        <v>-2.5</v>
      </c>
      <c r="F5" s="4" t="n">
        <f aca="false">Assumptions!F13</f>
        <v>-1.5</v>
      </c>
      <c r="G5" s="4" t="n">
        <f aca="false">Assumptions!G13</f>
        <v>-0.5</v>
      </c>
      <c r="H5" s="4" t="n">
        <f aca="false">Assumptions!H13</f>
        <v>0</v>
      </c>
      <c r="I5" s="4" t="n">
        <f aca="false">Assumptions!I13</f>
        <v>0.5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3487.197</v>
      </c>
      <c r="C6" s="0" t="n">
        <f aca="false">B6*(1+C5/100)</f>
        <v>3452.32503</v>
      </c>
      <c r="D6" s="0" t="n">
        <f aca="false">C6*(1+D5/100)</f>
        <v>3366.01690425</v>
      </c>
      <c r="E6" s="0" t="n">
        <f aca="false">D6*(1+E5/100)</f>
        <v>3281.86648164375</v>
      </c>
      <c r="F6" s="0" t="n">
        <f aca="false">E6*(1+F5/100)</f>
        <v>3232.63848441909</v>
      </c>
      <c r="G6" s="0" t="n">
        <f aca="false">F6*(1+G5/100)</f>
        <v>3216.475291997</v>
      </c>
      <c r="H6" s="0" t="n">
        <f aca="false">G6*(1+H5/100)</f>
        <v>3216.475291997</v>
      </c>
      <c r="I6" s="0" t="n">
        <f aca="false">H6*(1+I5/100)</f>
        <v>3232.55766845698</v>
      </c>
      <c r="J6" s="0" t="n">
        <f aca="false">I6*(1+J5/100)</f>
        <v>3264.88324514155</v>
      </c>
      <c r="K6" s="0" t="n">
        <f aca="false">J6*(1+K5/100)</f>
        <v>3297.53207759297</v>
      </c>
      <c r="L6" s="0" t="n">
        <f aca="false">K6*(1+L5/100)</f>
        <v>3330.5073983689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37</v>
      </c>
      <c r="D7" s="4" t="n">
        <f aca="false">Assumptions!D14</f>
        <v>36</v>
      </c>
      <c r="E7" s="4" t="n">
        <f aca="false">Assumptions!E14</f>
        <v>35</v>
      </c>
      <c r="F7" s="4" t="n">
        <f aca="false">Assumptions!F14</f>
        <v>34.5</v>
      </c>
      <c r="G7" s="4" t="n">
        <f aca="false">Assumptions!G14</f>
        <v>34</v>
      </c>
      <c r="H7" s="4" t="n">
        <f aca="false">Assumptions!H14</f>
        <v>34</v>
      </c>
      <c r="I7" s="4" t="n">
        <f aca="false">Assumptions!I14</f>
        <v>34</v>
      </c>
      <c r="J7" s="4" t="n">
        <f aca="false">Assumptions!J14</f>
        <v>34</v>
      </c>
      <c r="K7" s="4" t="n">
        <f aca="false">Assumptions!K14</f>
        <v>34</v>
      </c>
      <c r="L7" s="4" t="n">
        <f aca="false">Assumptions!L14</f>
        <v>34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1277.3602611</v>
      </c>
      <c r="D8" s="0" t="n">
        <f aca="false">D6*D7/100</f>
        <v>1211.76608553</v>
      </c>
      <c r="E8" s="0" t="n">
        <f aca="false">E6*E7/100</f>
        <v>1148.65326857531</v>
      </c>
      <c r="F8" s="0" t="n">
        <f aca="false">F6*F7/100</f>
        <v>1115.26027712459</v>
      </c>
      <c r="G8" s="0" t="n">
        <f aca="false">G6*G7/100</f>
        <v>1093.60159927898</v>
      </c>
      <c r="H8" s="0" t="n">
        <f aca="false">H6*H7/100</f>
        <v>1093.60159927898</v>
      </c>
      <c r="I8" s="0" t="n">
        <f aca="false">I6*I7/100</f>
        <v>1099.06960727537</v>
      </c>
      <c r="J8" s="0" t="n">
        <f aca="false">J6*J7/100</f>
        <v>1110.06030334813</v>
      </c>
      <c r="K8" s="0" t="n">
        <f aca="false">K6*K7/100</f>
        <v>1121.16090638161</v>
      </c>
      <c r="L8" s="0" t="n">
        <f aca="false">L6*L7/100</f>
        <v>1132.37251544543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10.5</v>
      </c>
      <c r="D9" s="4" t="n">
        <f aca="false">Assumptions!D15</f>
        <v>10.3</v>
      </c>
      <c r="E9" s="4" t="n">
        <f aca="false">Assumptions!E15</f>
        <v>10</v>
      </c>
      <c r="F9" s="4" t="n">
        <f aca="false">Assumptions!F15</f>
        <v>9.7</v>
      </c>
      <c r="G9" s="4" t="n">
        <f aca="false">Assumptions!G15</f>
        <v>9.5</v>
      </c>
      <c r="H9" s="4" t="n">
        <f aca="false">Assumptions!H15</f>
        <v>9.2</v>
      </c>
      <c r="I9" s="4" t="n">
        <f aca="false">Assumptions!I15</f>
        <v>9</v>
      </c>
      <c r="J9" s="4" t="n">
        <f aca="false">Assumptions!J15</f>
        <v>8.8</v>
      </c>
      <c r="K9" s="4" t="n">
        <f aca="false">Assumptions!K15</f>
        <v>8.6</v>
      </c>
      <c r="L9" s="4" t="n">
        <f aca="false">Assumptions!L15</f>
        <v>8.5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-362.49412815</v>
      </c>
      <c r="D10" s="0" t="n">
        <f aca="false">-D6*D9/100</f>
        <v>-346.69974113775</v>
      </c>
      <c r="E10" s="0" t="n">
        <f aca="false">-E6*E9/100</f>
        <v>-328.186648164375</v>
      </c>
      <c r="F10" s="0" t="n">
        <f aca="false">-F6*F9/100</f>
        <v>-313.565932988652</v>
      </c>
      <c r="G10" s="0" t="n">
        <f aca="false">-G6*G9/100</f>
        <v>-305.565152739715</v>
      </c>
      <c r="H10" s="0" t="n">
        <f aca="false">-H6*H9/100</f>
        <v>-295.915726863724</v>
      </c>
      <c r="I10" s="0" t="n">
        <f aca="false">-I6*I9/100</f>
        <v>-290.930190161128</v>
      </c>
      <c r="J10" s="0" t="n">
        <f aca="false">-J6*J9/100</f>
        <v>-287.309725572457</v>
      </c>
      <c r="K10" s="0" t="n">
        <f aca="false">-K6*K9/100</f>
        <v>-283.587758672995</v>
      </c>
      <c r="L10" s="0" t="n">
        <f aca="false">-L6*L9/100</f>
        <v>-283.093128861356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914.86613295</v>
      </c>
      <c r="D11" s="0" t="n">
        <f aca="false">D8+D10+D24</f>
        <v>865.06634439225</v>
      </c>
      <c r="E11" s="0" t="n">
        <f aca="false">E8+E10+E24</f>
        <v>820.466620410937</v>
      </c>
      <c r="F11" s="0" t="n">
        <f aca="false">F8+F10+F24</f>
        <v>801.694344135935</v>
      </c>
      <c r="G11" s="0" t="n">
        <f aca="false">G8+G10+G24</f>
        <v>788.036446539264</v>
      </c>
      <c r="H11" s="0" t="n">
        <f aca="false">H8+H10+H24</f>
        <v>797.685872415255</v>
      </c>
      <c r="I11" s="0" t="n">
        <f aca="false">I8+I10+I24</f>
        <v>808.139417114246</v>
      </c>
      <c r="J11" s="0" t="n">
        <f aca="false">J8+J10+J24</f>
        <v>822.750577775671</v>
      </c>
      <c r="K11" s="0" t="n">
        <f aca="false">K8+K10+K24</f>
        <v>837.573147708614</v>
      </c>
      <c r="L11" s="0" t="n">
        <f aca="false">L8+L10+L24</f>
        <v>849.279386584069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-103.5697509</v>
      </c>
      <c r="D12" s="4" t="n">
        <f aca="false">-D6*Assumptions!D17/100</f>
        <v>-97.61449022325</v>
      </c>
      <c r="E12" s="4" t="n">
        <f aca="false">-E6*Assumptions!E17/100</f>
        <v>-91.892261486025</v>
      </c>
      <c r="F12" s="4" t="n">
        <f aca="false">-F6*Assumptions!F17/100</f>
        <v>-87.2812390793155</v>
      </c>
      <c r="G12" s="4" t="n">
        <f aca="false">-G6*Assumptions!G17/100</f>
        <v>-83.6283575919219</v>
      </c>
      <c r="H12" s="4" t="n">
        <f aca="false">-H6*Assumptions!H17/100</f>
        <v>-80.4118822999249</v>
      </c>
      <c r="I12" s="4" t="n">
        <f aca="false">-I6*Assumptions!I17/100</f>
        <v>-80.8139417114246</v>
      </c>
      <c r="J12" s="4" t="n">
        <f aca="false">-J6*Assumptions!J17/100</f>
        <v>-81.6220811285388</v>
      </c>
      <c r="K12" s="4" t="n">
        <f aca="false">-K6*Assumptions!K17/100</f>
        <v>-82.4383019398242</v>
      </c>
      <c r="L12" s="4" t="n">
        <f aca="false">-L6*Assumptions!L17/100</f>
        <v>-83.2626849592224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811.29638205</v>
      </c>
      <c r="D13" s="0" t="n">
        <f aca="false">D11+D12</f>
        <v>767.451854169</v>
      </c>
      <c r="E13" s="0" t="n">
        <f aca="false">E11+E12</f>
        <v>728.574358924912</v>
      </c>
      <c r="F13" s="0" t="n">
        <f aca="false">F11+F12</f>
        <v>714.41310505662</v>
      </c>
      <c r="G13" s="0" t="n">
        <f aca="false">G11+G12</f>
        <v>704.408088947342</v>
      </c>
      <c r="H13" s="0" t="n">
        <f aca="false">H11+H12</f>
        <v>717.27399011533</v>
      </c>
      <c r="I13" s="0" t="n">
        <f aca="false">I11+I12</f>
        <v>727.325475402821</v>
      </c>
      <c r="J13" s="0" t="n">
        <f aca="false">J11+J12</f>
        <v>741.128496647132</v>
      </c>
      <c r="K13" s="0" t="n">
        <f aca="false">K11+K12</f>
        <v>755.13484576879</v>
      </c>
      <c r="L13" s="0" t="n">
        <f aca="false">L11+L12</f>
        <v>766.016701624847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665.263033281</v>
      </c>
      <c r="D15" s="0" t="n">
        <f aca="false">D13-MAX(0,D13)*D14/100</f>
        <v>621.63600187689</v>
      </c>
      <c r="E15" s="0" t="n">
        <f aca="false">E13-MAX(0,E13)*E14/100</f>
        <v>582.85948713993</v>
      </c>
      <c r="F15" s="0" t="n">
        <f aca="false">F13-MAX(0,F13)*F14/100</f>
        <v>564.38635299473</v>
      </c>
      <c r="G15" s="0" t="n">
        <f aca="false">G13-MAX(0,G13)*G14/100</f>
        <v>556.482390268401</v>
      </c>
      <c r="H15" s="0" t="n">
        <f aca="false">H13-MAX(0,H13)*H14/100</f>
        <v>566.646452191111</v>
      </c>
      <c r="I15" s="0" t="n">
        <f aca="false">I13-MAX(0,I13)*I14/100</f>
        <v>574.587125568229</v>
      </c>
      <c r="J15" s="0" t="n">
        <f aca="false">J13-MAX(0,J13)*J14/100</f>
        <v>585.491512351235</v>
      </c>
      <c r="K15" s="0" t="n">
        <f aca="false">K13-MAX(0,K13)*K14/100</f>
        <v>596.556528157344</v>
      </c>
      <c r="L15" s="0" t="n">
        <f aca="false">L13-MAX(0,L13)*L14/100</f>
        <v>605.153194283629</v>
      </c>
    </row>
    <row r="16" customFormat="false" ht="15" hidden="false" customHeight="false" outlineLevel="0" collapsed="false">
      <c r="A16" s="0" t="s">
        <v>127</v>
      </c>
      <c r="C16" s="0" t="n">
        <f aca="false">-C12</f>
        <v>103.5697509</v>
      </c>
      <c r="D16" s="0" t="n">
        <f aca="false">-D12</f>
        <v>97.61449022325</v>
      </c>
      <c r="E16" s="0" t="n">
        <f aca="false">-E12</f>
        <v>91.892261486025</v>
      </c>
      <c r="F16" s="0" t="n">
        <f aca="false">-F12</f>
        <v>87.2812390793155</v>
      </c>
      <c r="G16" s="0" t="n">
        <f aca="false">-G12</f>
        <v>83.6283575919219</v>
      </c>
      <c r="H16" s="0" t="n">
        <f aca="false">-H12</f>
        <v>80.4118822999249</v>
      </c>
      <c r="I16" s="0" t="n">
        <f aca="false">-I12</f>
        <v>80.8139417114246</v>
      </c>
      <c r="J16" s="0" t="n">
        <f aca="false">-J12</f>
        <v>81.6220811285388</v>
      </c>
      <c r="K16" s="0" t="n">
        <f aca="false">-K12</f>
        <v>82.4383019398242</v>
      </c>
      <c r="L16" s="0" t="n">
        <f aca="false">-L12</f>
        <v>83.2626849592224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-62.14185054</v>
      </c>
      <c r="D17" s="4" t="n">
        <f aca="false">-D6*Assumptions!D18/100</f>
        <v>-60.5883042765</v>
      </c>
      <c r="E17" s="4" t="n">
        <f aca="false">-E6*Assumptions!E18/100</f>
        <v>-59.0735966695875</v>
      </c>
      <c r="F17" s="4" t="n">
        <f aca="false">-F6*Assumptions!F18/100</f>
        <v>-58.1874927195437</v>
      </c>
      <c r="G17" s="4" t="n">
        <f aca="false">-G6*Assumptions!G18/100</f>
        <v>-57.896555255946</v>
      </c>
      <c r="H17" s="4" t="n">
        <f aca="false">-H6*Assumptions!H18/100</f>
        <v>-57.896555255946</v>
      </c>
      <c r="I17" s="4" t="n">
        <f aca="false">-I6*Assumptions!I18/100</f>
        <v>-58.1860380322257</v>
      </c>
      <c r="J17" s="4" t="n">
        <f aca="false">-J6*Assumptions!J18/100</f>
        <v>-58.767898412548</v>
      </c>
      <c r="K17" s="4" t="n">
        <f aca="false">-K6*Assumptions!K18/100</f>
        <v>-59.3555773966734</v>
      </c>
      <c r="L17" s="4" t="n">
        <f aca="false">-L6*Assumptions!L18/100</f>
        <v>-59.9491331706402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706.690933641</v>
      </c>
      <c r="D19" s="0" t="n">
        <f aca="false">D15+D16+D17+D18</f>
        <v>658.66218782364</v>
      </c>
      <c r="E19" s="0" t="n">
        <f aca="false">E15+E16+E17+E18</f>
        <v>615.678151956367</v>
      </c>
      <c r="F19" s="0" t="n">
        <f aca="false">F15+F16+F17+F18</f>
        <v>593.480099354501</v>
      </c>
      <c r="G19" s="0" t="n">
        <f aca="false">G15+G16+G17+G18</f>
        <v>582.214192604377</v>
      </c>
      <c r="H19" s="0" t="n">
        <f aca="false">H15+H16+H17+H18</f>
        <v>589.16177923509</v>
      </c>
      <c r="I19" s="0" t="n">
        <f aca="false">I15+I16+I17+I18</f>
        <v>597.215029247427</v>
      </c>
      <c r="J19" s="0" t="n">
        <f aca="false">J15+J16+J17+J18</f>
        <v>608.345695067225</v>
      </c>
      <c r="K19" s="0" t="n">
        <f aca="false">K15+K16+K17+K18</f>
        <v>619.639252700495</v>
      </c>
      <c r="L19" s="0" t="n">
        <f aca="false">L15+L16+L17+L18</f>
        <v>628.466746072211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648.340306092661</v>
      </c>
      <c r="D21" s="0" t="n">
        <f aca="false">D19*D20</f>
        <v>554.382785812339</v>
      </c>
      <c r="E21" s="0" t="n">
        <f aca="false">E19*E20</f>
        <v>475.416497975232</v>
      </c>
      <c r="F21" s="0" t="n">
        <f aca="false">F19*F20</f>
        <v>420.436264648206</v>
      </c>
      <c r="G21" s="0" t="n">
        <f aca="false">G19*G20</f>
        <v>378.399277321934</v>
      </c>
      <c r="H21" s="0" t="n">
        <f aca="false">H19*H20</f>
        <v>351.29791920391</v>
      </c>
      <c r="I21" s="0" t="n">
        <f aca="false">I19*I20</f>
        <v>326.697072533446</v>
      </c>
      <c r="J21" s="0" t="n">
        <f aca="false">J19*J20</f>
        <v>305.308190738333</v>
      </c>
      <c r="K21" s="0" t="n">
        <f aca="false">K19*K20</f>
        <v>285.299125222029</v>
      </c>
      <c r="L21" s="0" t="n">
        <f aca="false">L19*L20</f>
        <v>265.471145315471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4011.04858486356</v>
      </c>
    </row>
    <row r="31" customFormat="false" ht="15" hidden="false" customHeight="false" outlineLevel="0" collapsed="false">
      <c r="A31" s="0" t="s">
        <v>136</v>
      </c>
      <c r="B31" s="0" t="n">
        <f aca="false">L19</f>
        <v>628.466746072211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7934.39266916166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9427.00119108317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7934.39266916166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3351.57320960782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7362.62179447138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4394.52179447138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18.812165216059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-0.531219406527312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2028.4663581966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1509.7176619855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33.9585009188933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4533.93866809238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5.60088290852404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0.5</v>
      </c>
      <c r="D5" s="4" t="n">
        <f aca="false">Assumptions!D27</f>
        <v>2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3487.197</v>
      </c>
      <c r="C6" s="0" t="n">
        <f aca="false">B6*(1+C5/100)</f>
        <v>3504.632985</v>
      </c>
      <c r="D6" s="0" t="n">
        <f aca="false">C6*(1+D5/100)</f>
        <v>3574.7256447</v>
      </c>
      <c r="E6" s="0" t="n">
        <f aca="false">D6*(1+E5/100)</f>
        <v>3681.967414041</v>
      </c>
      <c r="F6" s="0" t="n">
        <f aca="false">E6*(1+F5/100)</f>
        <v>3792.42643646223</v>
      </c>
      <c r="G6" s="0" t="n">
        <f aca="false">F6*(1+G5/100)</f>
        <v>3906.1992295561</v>
      </c>
      <c r="H6" s="0" t="n">
        <f aca="false">G6*(1+H5/100)</f>
        <v>4003.854210295</v>
      </c>
      <c r="I6" s="0" t="n">
        <f aca="false">H6*(1+I5/100)</f>
        <v>4103.95056555237</v>
      </c>
      <c r="J6" s="0" t="n">
        <f aca="false">I6*(1+J5/100)</f>
        <v>4206.54932969118</v>
      </c>
      <c r="K6" s="0" t="n">
        <f aca="false">J6*(1+K5/100)</f>
        <v>4290.68031628501</v>
      </c>
      <c r="L6" s="0" t="n">
        <f aca="false">K6*(1+L5/100)</f>
        <v>4376.49392261071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38</v>
      </c>
      <c r="D7" s="4" t="n">
        <f aca="false">Assumptions!D28</f>
        <v>38.5</v>
      </c>
      <c r="E7" s="4" t="n">
        <f aca="false">Assumptions!E28</f>
        <v>39</v>
      </c>
      <c r="F7" s="4" t="n">
        <f aca="false">Assumptions!F28</f>
        <v>39</v>
      </c>
      <c r="G7" s="4" t="n">
        <f aca="false">Assumptions!G28</f>
        <v>39</v>
      </c>
      <c r="H7" s="4" t="n">
        <f aca="false">Assumptions!H28</f>
        <v>39</v>
      </c>
      <c r="I7" s="4" t="n">
        <f aca="false">Assumptions!I28</f>
        <v>39</v>
      </c>
      <c r="J7" s="4" t="n">
        <f aca="false">Assumptions!J28</f>
        <v>39</v>
      </c>
      <c r="K7" s="4" t="n">
        <f aca="false">Assumptions!K28</f>
        <v>39</v>
      </c>
      <c r="L7" s="4" t="n">
        <f aca="false">Assumptions!L28</f>
        <v>39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1331.7605343</v>
      </c>
      <c r="D8" s="0" t="n">
        <f aca="false">D6*D7/100</f>
        <v>1376.2693732095</v>
      </c>
      <c r="E8" s="0" t="n">
        <f aca="false">E6*E7/100</f>
        <v>1435.96729147599</v>
      </c>
      <c r="F8" s="0" t="n">
        <f aca="false">F6*F7/100</f>
        <v>1479.04631022027</v>
      </c>
      <c r="G8" s="0" t="n">
        <f aca="false">G6*G7/100</f>
        <v>1523.41769952688</v>
      </c>
      <c r="H8" s="0" t="n">
        <f aca="false">H6*H7/100</f>
        <v>1561.50314201505</v>
      </c>
      <c r="I8" s="0" t="n">
        <f aca="false">I6*I7/100</f>
        <v>1600.54072056543</v>
      </c>
      <c r="J8" s="0" t="n">
        <f aca="false">J6*J7/100</f>
        <v>1640.55423857956</v>
      </c>
      <c r="K8" s="0" t="n">
        <f aca="false">K6*K7/100</f>
        <v>1673.36532335115</v>
      </c>
      <c r="L8" s="0" t="n">
        <f aca="false">L6*L7/100</f>
        <v>1706.83262981818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10</v>
      </c>
      <c r="D9" s="4" t="n">
        <f aca="false">Assumptions!D29</f>
        <v>9.6</v>
      </c>
      <c r="E9" s="4" t="n">
        <f aca="false">Assumptions!E29</f>
        <v>9.2</v>
      </c>
      <c r="F9" s="4" t="n">
        <f aca="false">Assumptions!F29</f>
        <v>8.8</v>
      </c>
      <c r="G9" s="4" t="n">
        <f aca="false">Assumptions!G29</f>
        <v>8.4</v>
      </c>
      <c r="H9" s="4" t="n">
        <f aca="false">Assumptions!H29</f>
        <v>8</v>
      </c>
      <c r="I9" s="4" t="n">
        <f aca="false">Assumptions!I29</f>
        <v>7.7</v>
      </c>
      <c r="J9" s="4" t="n">
        <f aca="false">Assumptions!J29</f>
        <v>7.4</v>
      </c>
      <c r="K9" s="4" t="n">
        <f aca="false">Assumptions!K29</f>
        <v>7.2</v>
      </c>
      <c r="L9" s="4" t="n">
        <f aca="false">Assumptions!L29</f>
        <v>7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-350.4632985</v>
      </c>
      <c r="D10" s="0" t="n">
        <f aca="false">-D6*D9/100</f>
        <v>-343.1736618912</v>
      </c>
      <c r="E10" s="0" t="n">
        <f aca="false">-E6*E9/100</f>
        <v>-338.741002091772</v>
      </c>
      <c r="F10" s="0" t="n">
        <f aca="false">-F6*F9/100</f>
        <v>-333.733526408676</v>
      </c>
      <c r="G10" s="0" t="n">
        <f aca="false">-G6*G9/100</f>
        <v>-328.120735282712</v>
      </c>
      <c r="H10" s="0" t="n">
        <f aca="false">-H6*H9/100</f>
        <v>-320.3083368236</v>
      </c>
      <c r="I10" s="0" t="n">
        <f aca="false">-I6*I9/100</f>
        <v>-316.004193547533</v>
      </c>
      <c r="J10" s="0" t="n">
        <f aca="false">-J6*J9/100</f>
        <v>-311.284650397148</v>
      </c>
      <c r="K10" s="0" t="n">
        <f aca="false">-K6*K9/100</f>
        <v>-308.928982772521</v>
      </c>
      <c r="L10" s="0" t="n">
        <f aca="false">-L6*L9/100</f>
        <v>-306.35457458275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981.2972358</v>
      </c>
      <c r="D11" s="0" t="n">
        <f aca="false">D8+D10+D24</f>
        <v>1033.0957113183</v>
      </c>
      <c r="E11" s="0" t="n">
        <f aca="false">E8+E10+E24</f>
        <v>1097.22628938422</v>
      </c>
      <c r="F11" s="0" t="n">
        <f aca="false">F8+F10+F24</f>
        <v>1145.31278381159</v>
      </c>
      <c r="G11" s="0" t="n">
        <f aca="false">G8+G10+G24</f>
        <v>1195.29696424417</v>
      </c>
      <c r="H11" s="0" t="n">
        <f aca="false">H8+H10+H24</f>
        <v>1241.19480519145</v>
      </c>
      <c r="I11" s="0" t="n">
        <f aca="false">I8+I10+I24</f>
        <v>1284.53652701789</v>
      </c>
      <c r="J11" s="0" t="n">
        <f aca="false">J8+J10+J24</f>
        <v>1329.26958818241</v>
      </c>
      <c r="K11" s="0" t="n">
        <f aca="false">K8+K10+K24</f>
        <v>1364.43634057863</v>
      </c>
      <c r="L11" s="0" t="n">
        <f aca="false">L8+L10+L24</f>
        <v>1400.47805523543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-105.13898955</v>
      </c>
      <c r="D12" s="4" t="n">
        <f aca="false">-D6*Assumptions!D31/100</f>
        <v>-103.6670436963</v>
      </c>
      <c r="E12" s="4" t="n">
        <f aca="false">-E6*Assumptions!E31/100</f>
        <v>-103.095087593148</v>
      </c>
      <c r="F12" s="4" t="n">
        <f aca="false">-F6*Assumptions!F31/100</f>
        <v>-102.39551378448</v>
      </c>
      <c r="G12" s="4" t="n">
        <f aca="false">-G6*Assumptions!G31/100</f>
        <v>-101.561179968459</v>
      </c>
      <c r="H12" s="4" t="n">
        <f aca="false">-H6*Assumptions!H31/100</f>
        <v>-100.096355257375</v>
      </c>
      <c r="I12" s="4" t="n">
        <f aca="false">-I6*Assumptions!I31/100</f>
        <v>-102.598764138809</v>
      </c>
      <c r="J12" s="4" t="n">
        <f aca="false">-J6*Assumptions!J31/100</f>
        <v>-105.16373324228</v>
      </c>
      <c r="K12" s="4" t="n">
        <f aca="false">-K6*Assumptions!K31/100</f>
        <v>-107.267007907125</v>
      </c>
      <c r="L12" s="4" t="n">
        <f aca="false">-L6*Assumptions!L31/100</f>
        <v>-109.412348065268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876.15824625</v>
      </c>
      <c r="D13" s="0" t="n">
        <f aca="false">D11+D12</f>
        <v>929.428667622</v>
      </c>
      <c r="E13" s="0" t="n">
        <f aca="false">E11+E12</f>
        <v>994.13120179107</v>
      </c>
      <c r="F13" s="0" t="n">
        <f aca="false">F11+F12</f>
        <v>1042.91727002711</v>
      </c>
      <c r="G13" s="0" t="n">
        <f aca="false">G11+G12</f>
        <v>1093.73578427571</v>
      </c>
      <c r="H13" s="0" t="n">
        <f aca="false">H11+H12</f>
        <v>1141.09844993407</v>
      </c>
      <c r="I13" s="0" t="n">
        <f aca="false">I11+I12</f>
        <v>1181.93776287908</v>
      </c>
      <c r="J13" s="0" t="n">
        <f aca="false">J11+J12</f>
        <v>1224.10585494013</v>
      </c>
      <c r="K13" s="0" t="n">
        <f aca="false">K11+K12</f>
        <v>1257.16933267151</v>
      </c>
      <c r="L13" s="0" t="n">
        <f aca="false">L11+L12</f>
        <v>1291.06570717016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718.449761925</v>
      </c>
      <c r="D15" s="0" t="n">
        <f aca="false">D13-MAX(0,D13)*D14/100</f>
        <v>752.83722077382</v>
      </c>
      <c r="E15" s="0" t="n">
        <f aca="false">E13-MAX(0,E13)*E14/100</f>
        <v>795.304961432856</v>
      </c>
      <c r="F15" s="0" t="n">
        <f aca="false">F13-MAX(0,F13)*F14/100</f>
        <v>823.90464332142</v>
      </c>
      <c r="G15" s="0" t="n">
        <f aca="false">G13-MAX(0,G13)*G14/100</f>
        <v>864.051269577809</v>
      </c>
      <c r="H15" s="0" t="n">
        <f aca="false">H13-MAX(0,H13)*H14/100</f>
        <v>901.467775447919</v>
      </c>
      <c r="I15" s="0" t="n">
        <f aca="false">I13-MAX(0,I13)*I14/100</f>
        <v>933.730832674476</v>
      </c>
      <c r="J15" s="0" t="n">
        <f aca="false">J13-MAX(0,J13)*J14/100</f>
        <v>967.043625402706</v>
      </c>
      <c r="K15" s="0" t="n">
        <f aca="false">K13-MAX(0,K13)*K14/100</f>
        <v>993.163772810491</v>
      </c>
      <c r="L15" s="0" t="n">
        <f aca="false">L13-MAX(0,L13)*L14/100</f>
        <v>1019.94190866443</v>
      </c>
    </row>
    <row r="16" customFormat="false" ht="15" hidden="false" customHeight="false" outlineLevel="0" collapsed="false">
      <c r="A16" s="0" t="s">
        <v>127</v>
      </c>
      <c r="C16" s="0" t="n">
        <f aca="false">-C12</f>
        <v>105.13898955</v>
      </c>
      <c r="D16" s="0" t="n">
        <f aca="false">-D12</f>
        <v>103.6670436963</v>
      </c>
      <c r="E16" s="0" t="n">
        <f aca="false">-E12</f>
        <v>103.095087593148</v>
      </c>
      <c r="F16" s="0" t="n">
        <f aca="false">-F12</f>
        <v>102.39551378448</v>
      </c>
      <c r="G16" s="0" t="n">
        <f aca="false">-G12</f>
        <v>101.561179968459</v>
      </c>
      <c r="H16" s="0" t="n">
        <f aca="false">-H12</f>
        <v>100.096355257375</v>
      </c>
      <c r="I16" s="0" t="n">
        <f aca="false">-I12</f>
        <v>102.598764138809</v>
      </c>
      <c r="J16" s="0" t="n">
        <f aca="false">-J12</f>
        <v>105.16373324228</v>
      </c>
      <c r="K16" s="0" t="n">
        <f aca="false">-K12</f>
        <v>107.267007907125</v>
      </c>
      <c r="L16" s="0" t="n">
        <f aca="false">-L12</f>
        <v>109.412348065268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-63.08339373</v>
      </c>
      <c r="D17" s="4" t="n">
        <f aca="false">-D6*Assumptions!D32/100</f>
        <v>-64.3450616046</v>
      </c>
      <c r="E17" s="4" t="n">
        <f aca="false">-E6*Assumptions!E32/100</f>
        <v>-66.275413452738</v>
      </c>
      <c r="F17" s="4" t="n">
        <f aca="false">-F6*Assumptions!F32/100</f>
        <v>-68.2636758563202</v>
      </c>
      <c r="G17" s="4" t="n">
        <f aca="false">-G6*Assumptions!G32/100</f>
        <v>-70.3115861320098</v>
      </c>
      <c r="H17" s="4" t="n">
        <f aca="false">-H6*Assumptions!H32/100</f>
        <v>-72.06937578531</v>
      </c>
      <c r="I17" s="4" t="n">
        <f aca="false">-I6*Assumptions!I32/100</f>
        <v>-73.8711101799428</v>
      </c>
      <c r="J17" s="4" t="n">
        <f aca="false">-J6*Assumptions!J32/100</f>
        <v>-75.7178879344413</v>
      </c>
      <c r="K17" s="4" t="n">
        <f aca="false">-K6*Assumptions!K32/100</f>
        <v>-77.2322456931301</v>
      </c>
      <c r="L17" s="4" t="n">
        <f aca="false">-L6*Assumptions!L32/100</f>
        <v>-78.7768906069928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760.505357745</v>
      </c>
      <c r="D19" s="0" t="n">
        <f aca="false">D15+D16+D17+D18</f>
        <v>792.15920286552</v>
      </c>
      <c r="E19" s="0" t="n">
        <f aca="false">E15+E16+E17+E18</f>
        <v>832.124635573266</v>
      </c>
      <c r="F19" s="0" t="n">
        <f aca="false">F15+F16+F17+F18</f>
        <v>858.03648124958</v>
      </c>
      <c r="G19" s="0" t="n">
        <f aca="false">G15+G16+G17+G18</f>
        <v>895.300863414257</v>
      </c>
      <c r="H19" s="0" t="n">
        <f aca="false">H15+H16+H17+H18</f>
        <v>929.494754919984</v>
      </c>
      <c r="I19" s="0" t="n">
        <f aca="false">I15+I16+I17+I18</f>
        <v>962.458486633343</v>
      </c>
      <c r="J19" s="0" t="n">
        <f aca="false">J15+J16+J17+J18</f>
        <v>996.489470710545</v>
      </c>
      <c r="K19" s="0" t="n">
        <f aca="false">K15+K16+K17+K18</f>
        <v>1023.19853502449</v>
      </c>
      <c r="L19" s="0" t="n">
        <f aca="false">L15+L16+L17+L18</f>
        <v>1050.5773661227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697.711337380734</v>
      </c>
      <c r="D21" s="0" t="n">
        <f aca="false">D19*D20</f>
        <v>666.744552533894</v>
      </c>
      <c r="E21" s="0" t="n">
        <f aca="false">E19*E20</f>
        <v>642.552896941509</v>
      </c>
      <c r="F21" s="0" t="n">
        <f aca="false">F19*F20</f>
        <v>607.854675330872</v>
      </c>
      <c r="G21" s="0" t="n">
        <f aca="false">G19*G20</f>
        <v>581.884131312934</v>
      </c>
      <c r="H21" s="0" t="n">
        <f aca="false">H19*H20</f>
        <v>554.227352864391</v>
      </c>
      <c r="I21" s="0" t="n">
        <f aca="false">I19*I20</f>
        <v>526.497751428513</v>
      </c>
      <c r="J21" s="0" t="n">
        <f aca="false">J19*J20</f>
        <v>500.104463398587</v>
      </c>
      <c r="K21" s="0" t="n">
        <f aca="false">K19*K20</f>
        <v>471.109029485656</v>
      </c>
      <c r="L21" s="0" t="n">
        <f aca="false">L19*L20</f>
        <v>443.775232930237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5692.46142360733</v>
      </c>
    </row>
    <row r="31" customFormat="false" ht="15" hidden="false" customHeight="false" outlineLevel="0" collapsed="false">
      <c r="A31" s="0" t="s">
        <v>136</v>
      </c>
      <c r="B31" s="0" t="n">
        <f aca="false">L19</f>
        <v>1050.5773661227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15308.4130492165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15758.6604918405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15308.4130492165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6466.43910841203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12158.9005320194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9190.80053201936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39.3441803596719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-0.0195818499957164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2113.34453061762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1885.65189580855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56.4631719111538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8242.99164188581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14.7797420406123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1.5</v>
      </c>
      <c r="D5" s="4" t="n">
        <f aca="false">Assumptions!D41</f>
        <v>4.5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3487.197</v>
      </c>
      <c r="C6" s="0" t="n">
        <f aca="false">B6*(1+C5/100)</f>
        <v>3539.504955</v>
      </c>
      <c r="D6" s="0" t="n">
        <f aca="false">C6*(1+D5/100)</f>
        <v>3698.782677975</v>
      </c>
      <c r="E6" s="0" t="n">
        <f aca="false">D6*(1+E5/100)</f>
        <v>3920.7096386535</v>
      </c>
      <c r="F6" s="0" t="n">
        <f aca="false">E6*(1+F5/100)</f>
        <v>4155.95221697271</v>
      </c>
      <c r="G6" s="0" t="n">
        <f aca="false">F6*(1+G5/100)</f>
        <v>4363.74982782135</v>
      </c>
      <c r="H6" s="0" t="n">
        <f aca="false">G6*(1+H5/100)</f>
        <v>4538.2998209342</v>
      </c>
      <c r="I6" s="0" t="n">
        <f aca="false">H6*(1+I5/100)</f>
        <v>4697.1403146669</v>
      </c>
      <c r="J6" s="0" t="n">
        <f aca="false">I6*(1+J5/100)</f>
        <v>4838.0545241069</v>
      </c>
      <c r="K6" s="0" t="n">
        <f aca="false">J6*(1+K5/100)</f>
        <v>4983.19615983011</v>
      </c>
      <c r="L6" s="0" t="n">
        <f aca="false">K6*(1+L5/100)</f>
        <v>5132.69204462501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38.5</v>
      </c>
      <c r="D7" s="4" t="n">
        <f aca="false">Assumptions!D42</f>
        <v>39.5</v>
      </c>
      <c r="E7" s="4" t="n">
        <f aca="false">Assumptions!E42</f>
        <v>40.5</v>
      </c>
      <c r="F7" s="4" t="n">
        <f aca="false">Assumptions!F42</f>
        <v>41</v>
      </c>
      <c r="G7" s="4" t="n">
        <f aca="false">Assumptions!G42</f>
        <v>41.5</v>
      </c>
      <c r="H7" s="4" t="n">
        <f aca="false">Assumptions!H42</f>
        <v>42</v>
      </c>
      <c r="I7" s="4" t="n">
        <f aca="false">Assumptions!I42</f>
        <v>42</v>
      </c>
      <c r="J7" s="4" t="n">
        <f aca="false">Assumptions!J42</f>
        <v>42</v>
      </c>
      <c r="K7" s="4" t="n">
        <f aca="false">Assumptions!K42</f>
        <v>42</v>
      </c>
      <c r="L7" s="4" t="n">
        <f aca="false">Assumptions!L42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1362.709407675</v>
      </c>
      <c r="D8" s="0" t="n">
        <f aca="false">D6*D7/100</f>
        <v>1461.01915780013</v>
      </c>
      <c r="E8" s="0" t="n">
        <f aca="false">E6*E7/100</f>
        <v>1587.88740365467</v>
      </c>
      <c r="F8" s="0" t="n">
        <f aca="false">F6*F7/100</f>
        <v>1703.94040895881</v>
      </c>
      <c r="G8" s="0" t="n">
        <f aca="false">G6*G7/100</f>
        <v>1810.95617854586</v>
      </c>
      <c r="H8" s="0" t="n">
        <f aca="false">H6*H7/100</f>
        <v>1906.08592479236</v>
      </c>
      <c r="I8" s="0" t="n">
        <f aca="false">I6*I7/100</f>
        <v>1972.7989321601</v>
      </c>
      <c r="J8" s="0" t="n">
        <f aca="false">J6*J7/100</f>
        <v>2031.9829001249</v>
      </c>
      <c r="K8" s="0" t="n">
        <f aca="false">K6*K7/100</f>
        <v>2092.94238712865</v>
      </c>
      <c r="L8" s="0" t="n">
        <f aca="false">L6*L7/100</f>
        <v>2155.73065874251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9.5</v>
      </c>
      <c r="D9" s="4" t="n">
        <f aca="false">Assumptions!D43</f>
        <v>9</v>
      </c>
      <c r="E9" s="4" t="n">
        <f aca="false">Assumptions!E43</f>
        <v>8.5</v>
      </c>
      <c r="F9" s="4" t="n">
        <f aca="false">Assumptions!F43</f>
        <v>8</v>
      </c>
      <c r="G9" s="4" t="n">
        <f aca="false">Assumptions!G43</f>
        <v>7.5</v>
      </c>
      <c r="H9" s="4" t="n">
        <f aca="false">Assumptions!H43</f>
        <v>7</v>
      </c>
      <c r="I9" s="4" t="n">
        <f aca="false">Assumptions!I43</f>
        <v>6.7</v>
      </c>
      <c r="J9" s="4" t="n">
        <f aca="false">Assumptions!J43</f>
        <v>6.4</v>
      </c>
      <c r="K9" s="4" t="n">
        <f aca="false">Assumptions!K43</f>
        <v>6.2</v>
      </c>
      <c r="L9" s="4" t="n">
        <f aca="false">Assumptions!L43</f>
        <v>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-336.252970725</v>
      </c>
      <c r="D10" s="0" t="n">
        <f aca="false">-D6*D9/100</f>
        <v>-332.89044101775</v>
      </c>
      <c r="E10" s="0" t="n">
        <f aca="false">-E6*E9/100</f>
        <v>-333.260319285548</v>
      </c>
      <c r="F10" s="0" t="n">
        <f aca="false">-F6*F9/100</f>
        <v>-332.476177357817</v>
      </c>
      <c r="G10" s="0" t="n">
        <f aca="false">-G6*G9/100</f>
        <v>-327.281237086601</v>
      </c>
      <c r="H10" s="0" t="n">
        <f aca="false">-H6*H9/100</f>
        <v>-317.680987465394</v>
      </c>
      <c r="I10" s="0" t="n">
        <f aca="false">-I6*I9/100</f>
        <v>-314.708401082682</v>
      </c>
      <c r="J10" s="0" t="n">
        <f aca="false">-J6*J9/100</f>
        <v>-309.635489542842</v>
      </c>
      <c r="K10" s="0" t="n">
        <f aca="false">-K6*K9/100</f>
        <v>-308.958161909467</v>
      </c>
      <c r="L10" s="0" t="n">
        <f aca="false">-L6*L9/100</f>
        <v>-307.961522677501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1026.45643695</v>
      </c>
      <c r="D11" s="0" t="n">
        <f aca="false">D8+D10+D24</f>
        <v>1128.12871678238</v>
      </c>
      <c r="E11" s="0" t="n">
        <f aca="false">E8+E10+E24</f>
        <v>1254.62708436912</v>
      </c>
      <c r="F11" s="0" t="n">
        <f aca="false">F8+F10+F24</f>
        <v>1371.46423160099</v>
      </c>
      <c r="G11" s="0" t="n">
        <f aca="false">G8+G10+G24</f>
        <v>1483.67494145926</v>
      </c>
      <c r="H11" s="0" t="n">
        <f aca="false">H8+H10+H24</f>
        <v>1588.40493732697</v>
      </c>
      <c r="I11" s="0" t="n">
        <f aca="false">I8+I10+I24</f>
        <v>1658.09053107741</v>
      </c>
      <c r="J11" s="0" t="n">
        <f aca="false">J8+J10+J24</f>
        <v>1722.34741058206</v>
      </c>
      <c r="K11" s="0" t="n">
        <f aca="false">K8+K10+K24</f>
        <v>1783.98422521918</v>
      </c>
      <c r="L11" s="0" t="n">
        <f aca="false">L8+L10+L24</f>
        <v>1847.76913606501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-106.18514865</v>
      </c>
      <c r="D12" s="4" t="n">
        <f aca="false">-D6*Assumptions!D45/100</f>
        <v>-107.264697661275</v>
      </c>
      <c r="E12" s="4" t="n">
        <f aca="false">-E6*Assumptions!E45/100</f>
        <v>-109.779869882298</v>
      </c>
      <c r="F12" s="4" t="n">
        <f aca="false">-F6*Assumptions!F45/100</f>
        <v>-112.210709858263</v>
      </c>
      <c r="G12" s="4" t="n">
        <f aca="false">-G6*Assumptions!G45/100</f>
        <v>-113.457495523355</v>
      </c>
      <c r="H12" s="4" t="n">
        <f aca="false">-H6*Assumptions!H45/100</f>
        <v>-113.457495523355</v>
      </c>
      <c r="I12" s="4" t="n">
        <f aca="false">-I6*Assumptions!I45/100</f>
        <v>-117.428507866672</v>
      </c>
      <c r="J12" s="4" t="n">
        <f aca="false">-J6*Assumptions!J45/100</f>
        <v>-120.951363102673</v>
      </c>
      <c r="K12" s="4" t="n">
        <f aca="false">-K6*Assumptions!K45/100</f>
        <v>-124.579903995753</v>
      </c>
      <c r="L12" s="4" t="n">
        <f aca="false">-L6*Assumptions!L45/100</f>
        <v>-128.317301115625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920.2712883</v>
      </c>
      <c r="D13" s="0" t="n">
        <f aca="false">D11+D12</f>
        <v>1020.8640191211</v>
      </c>
      <c r="E13" s="0" t="n">
        <f aca="false">E11+E12</f>
        <v>1144.84721448682</v>
      </c>
      <c r="F13" s="0" t="n">
        <f aca="false">F11+F12</f>
        <v>1259.25352174273</v>
      </c>
      <c r="G13" s="0" t="n">
        <f aca="false">G11+G12</f>
        <v>1370.2174459359</v>
      </c>
      <c r="H13" s="0" t="n">
        <f aca="false">H11+H12</f>
        <v>1474.94744180361</v>
      </c>
      <c r="I13" s="0" t="n">
        <f aca="false">I11+I12</f>
        <v>1540.66202321074</v>
      </c>
      <c r="J13" s="0" t="n">
        <f aca="false">J11+J12</f>
        <v>1601.39604747938</v>
      </c>
      <c r="K13" s="0" t="n">
        <f aca="false">K11+K12</f>
        <v>1659.40432122343</v>
      </c>
      <c r="L13" s="0" t="n">
        <f aca="false">L11+L12</f>
        <v>1719.45183494938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754.622456406</v>
      </c>
      <c r="D15" s="0" t="n">
        <f aca="false">D13-MAX(0,D13)*D14/100</f>
        <v>826.899855488091</v>
      </c>
      <c r="E15" s="0" t="n">
        <f aca="false">E13-MAX(0,E13)*E14/100</f>
        <v>915.877771589458</v>
      </c>
      <c r="F15" s="0" t="n">
        <f aca="false">F13-MAX(0,F13)*F14/100</f>
        <v>994.810282176758</v>
      </c>
      <c r="G15" s="0" t="n">
        <f aca="false">G13-MAX(0,G13)*G14/100</f>
        <v>1082.47178228936</v>
      </c>
      <c r="H15" s="0" t="n">
        <f aca="false">H13-MAX(0,H13)*H14/100</f>
        <v>1165.20847902486</v>
      </c>
      <c r="I15" s="0" t="n">
        <f aca="false">I13-MAX(0,I13)*I14/100</f>
        <v>1217.12299833649</v>
      </c>
      <c r="J15" s="0" t="n">
        <f aca="false">J13-MAX(0,J13)*J14/100</f>
        <v>1265.10287750871</v>
      </c>
      <c r="K15" s="0" t="n">
        <f aca="false">K13-MAX(0,K13)*K14/100</f>
        <v>1310.92941376651</v>
      </c>
      <c r="L15" s="0" t="n">
        <f aca="false">L13-MAX(0,L13)*L14/100</f>
        <v>1358.36694961001</v>
      </c>
    </row>
    <row r="16" customFormat="false" ht="15" hidden="false" customHeight="false" outlineLevel="0" collapsed="false">
      <c r="A16" s="0" t="s">
        <v>127</v>
      </c>
      <c r="C16" s="0" t="n">
        <f aca="false">-C12</f>
        <v>106.18514865</v>
      </c>
      <c r="D16" s="0" t="n">
        <f aca="false">-D12</f>
        <v>107.264697661275</v>
      </c>
      <c r="E16" s="0" t="n">
        <f aca="false">-E12</f>
        <v>109.779869882298</v>
      </c>
      <c r="F16" s="0" t="n">
        <f aca="false">-F12</f>
        <v>112.210709858263</v>
      </c>
      <c r="G16" s="0" t="n">
        <f aca="false">-G12</f>
        <v>113.457495523355</v>
      </c>
      <c r="H16" s="0" t="n">
        <f aca="false">-H12</f>
        <v>113.457495523355</v>
      </c>
      <c r="I16" s="0" t="n">
        <f aca="false">-I12</f>
        <v>117.428507866672</v>
      </c>
      <c r="J16" s="0" t="n">
        <f aca="false">-J12</f>
        <v>120.951363102673</v>
      </c>
      <c r="K16" s="0" t="n">
        <f aca="false">-K12</f>
        <v>124.579903995753</v>
      </c>
      <c r="L16" s="0" t="n">
        <f aca="false">-L12</f>
        <v>128.317301115625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-70.7900991</v>
      </c>
      <c r="D17" s="4" t="n">
        <f aca="false">-D6*Assumptions!D46/100</f>
        <v>-73.9756535595</v>
      </c>
      <c r="E17" s="4" t="n">
        <f aca="false">-E6*Assumptions!E46/100</f>
        <v>-78.41419277307</v>
      </c>
      <c r="F17" s="4" t="n">
        <f aca="false">-F6*Assumptions!F46/100</f>
        <v>-83.1190443394542</v>
      </c>
      <c r="G17" s="4" t="n">
        <f aca="false">-G6*Assumptions!G46/100</f>
        <v>-87.2749965564269</v>
      </c>
      <c r="H17" s="4" t="n">
        <f aca="false">-H6*Assumptions!H46/100</f>
        <v>-90.765996418684</v>
      </c>
      <c r="I17" s="4" t="n">
        <f aca="false">-I6*Assumptions!I46/100</f>
        <v>-93.9428062933379</v>
      </c>
      <c r="J17" s="4" t="n">
        <f aca="false">-J6*Assumptions!J46/100</f>
        <v>-96.7610904821381</v>
      </c>
      <c r="K17" s="4" t="n">
        <f aca="false">-K6*Assumptions!K46/100</f>
        <v>-99.6639231966022</v>
      </c>
      <c r="L17" s="4" t="n">
        <f aca="false">-L6*Assumptions!L46/100</f>
        <v>-102.6538408925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790.017505956</v>
      </c>
      <c r="D19" s="0" t="n">
        <f aca="false">D15+D16+D17+D18</f>
        <v>860.188899589866</v>
      </c>
      <c r="E19" s="0" t="n">
        <f aca="false">E15+E16+E17+E18</f>
        <v>947.243448698686</v>
      </c>
      <c r="F19" s="0" t="n">
        <f aca="false">F15+F16+F17+F18</f>
        <v>1023.90194769557</v>
      </c>
      <c r="G19" s="0" t="n">
        <f aca="false">G15+G16+G17+G18</f>
        <v>1108.65428125629</v>
      </c>
      <c r="H19" s="0" t="n">
        <f aca="false">H15+H16+H17+H18</f>
        <v>1187.89997812953</v>
      </c>
      <c r="I19" s="0" t="n">
        <f aca="false">I15+I16+I17+I18</f>
        <v>1240.60869990982</v>
      </c>
      <c r="J19" s="0" t="n">
        <f aca="false">J15+J16+J17+J18</f>
        <v>1289.29315012925</v>
      </c>
      <c r="K19" s="0" t="n">
        <f aca="false">K15+K16+K17+K18</f>
        <v>1335.84539456566</v>
      </c>
      <c r="L19" s="0" t="n">
        <f aca="false">L15+L16+L17+L18</f>
        <v>1384.03040983313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724.786702711927</v>
      </c>
      <c r="D21" s="0" t="n">
        <f aca="false">D19*D20</f>
        <v>724.003787214768</v>
      </c>
      <c r="E21" s="0" t="n">
        <f aca="false">E19*E20</f>
        <v>731.445742681195</v>
      </c>
      <c r="F21" s="0" t="n">
        <f aca="false">F19*F20</f>
        <v>725.357953406297</v>
      </c>
      <c r="G21" s="0" t="n">
        <f aca="false">G19*G20</f>
        <v>720.549213942497</v>
      </c>
      <c r="H21" s="0" t="n">
        <f aca="false">H19*H20</f>
        <v>708.305944559172</v>
      </c>
      <c r="I21" s="0" t="n">
        <f aca="false">I19*I20</f>
        <v>678.655443301218</v>
      </c>
      <c r="J21" s="0" t="n">
        <f aca="false">J19*J20</f>
        <v>647.05275666295</v>
      </c>
      <c r="K21" s="0" t="n">
        <f aca="false">K19*K20</f>
        <v>615.060328796943</v>
      </c>
      <c r="L21" s="0" t="n">
        <f aca="false">L19*L20</f>
        <v>584.629402185785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6859.84727546275</v>
      </c>
    </row>
    <row r="31" customFormat="false" ht="15" hidden="false" customHeight="false" outlineLevel="0" collapsed="false">
      <c r="A31" s="0" t="s">
        <v>136</v>
      </c>
      <c r="B31" s="0" t="n">
        <f aca="false">L19</f>
        <v>1384.03040983313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21825.0949242917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20760.456147497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20760.456147497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8769.44103278678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15629.2883082495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12661.1883082495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54.2002924154518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0.350617802528078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2083.5730281408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2051.36049491083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71.9012064696111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11349.0493606317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21.6494888348105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18.812165216059</v>
      </c>
      <c r="C4" s="0" t="n">
        <f aca="false">B4/Assumptions!$B$2-1</f>
        <v>-0.531219406527312</v>
      </c>
      <c r="D4" s="4" t="n">
        <f aca="false">Assumptions!$B$24</f>
        <v>0.3</v>
      </c>
      <c r="E4" s="4" t="n">
        <f aca="false">DCF_Bear!$B$43</f>
        <v>33.9585009188933</v>
      </c>
      <c r="F4" s="4" t="n">
        <f aca="false">DCF_Bear!$B$47</f>
        <v>5.60088290852404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39.3441803596719</v>
      </c>
      <c r="C5" s="0" t="n">
        <f aca="false">B5/Assumptions!$B$2-1</f>
        <v>-0.0195818499957164</v>
      </c>
      <c r="D5" s="4" t="n">
        <f aca="false">Assumptions!$B$38</f>
        <v>0.5</v>
      </c>
      <c r="E5" s="4" t="n">
        <f aca="false">DCF_Base!$B$43</f>
        <v>56.4631719111538</v>
      </c>
      <c r="F5" s="4" t="n">
        <f aca="false">DCF_Base!$B$47</f>
        <v>14.7797420406123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54.2002924154518</v>
      </c>
      <c r="C6" s="0" t="n">
        <f aca="false">B6/Assumptions!$B$2-1</f>
        <v>0.350617802528078</v>
      </c>
      <c r="D6" s="4" t="n">
        <f aca="false">Assumptions!$B$52</f>
        <v>0.2</v>
      </c>
      <c r="E6" s="4" t="n">
        <f aca="false">DCF_Bull!$B$43</f>
        <v>71.9012064696111</v>
      </c>
      <c r="F6" s="4" t="n">
        <f aca="false">DCF_Bull!$B$47</f>
        <v>21.6494888348105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36.155798227744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52.7993775251671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-0.10991879496679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23.8782878444381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13.4000336598255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39.3441803596719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32.6704265030418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27.4878637230032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23.348626212178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14.7797420406123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48.4030844689329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48.4030844689329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48.4030844689329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48.4030844689329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48.4030844689329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42.8990089712729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44.0893724612856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44.0893724612856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44.0893724612856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44.0893724612856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35.6465057335256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37.3720872257272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39.3441803596719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40.1583472498326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40.1583472498326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30.0213863650526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31.2679934888122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32.6704265030418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34.2598505858353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36.076335251885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25.534397604609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26.4597236606905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27.4878637230032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28.6369614397057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29.929696370996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2026-10-02T02:28:27Z</dcterms:created>
  <dc:creator>openpyxl</dc:creator>
  <dc:description/>
  <dc:language>en-NZ</dc:language>
  <cp:lastModifiedBy/>
  <dcterms:modified xsi:type="dcterms:W3CDTF">2026-10-02T02:28:27Z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