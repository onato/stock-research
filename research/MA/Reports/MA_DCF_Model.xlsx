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Scenarios" sheetId="3" r:id="rId3"/>
    <sheet name="Historical" sheetId="4" r:id="rId4"/>
  </sheets>
  <calcPr calcId="124519" fullCalcOnLoad="1"/>
</workbook>
</file>

<file path=xl/sharedStrings.xml><?xml version="1.0" encoding="utf-8"?>
<sst xmlns="http://schemas.openxmlformats.org/spreadsheetml/2006/main" count="197" uniqueCount="170">
  <si>
    <t>SANITY CHECK: Stock priced at premium to base-case DCF. At $499, MA trades at 30x P/E near bull-case fair value ($547). Base-case IV $365 implies 27% downside. Limited margin of safety at current price.</t>
  </si>
  <si>
    <t>MA - Mastercard DCF Valuation Model</t>
  </si>
  <si>
    <t>Valuation Date: 2026-06-29  |  All figures in USD millions unless shown per share  |  Gray cells = INPUTS</t>
  </si>
  <si>
    <t>KEY INPUTS</t>
  </si>
  <si>
    <t>Current Stock Price ($)</t>
  </si>
  <si>
    <t>Shares Outstanding (M)</t>
  </si>
  <si>
    <t>Cash &amp; Equivalents (M)</t>
  </si>
  <si>
    <t>Total Debt (M)</t>
  </si>
  <si>
    <t>Net Debt (M)  [Debt - Cash]</t>
  </si>
  <si>
    <t>Base Year FCF (M)  [FY2025]</t>
  </si>
  <si>
    <t>DISCOUNT RATE INPUTS</t>
  </si>
  <si>
    <t>WACC</t>
  </si>
  <si>
    <t>Terminal Growth Rate</t>
  </si>
  <si>
    <t>FCF GROWTH ASSUMPTIONS (adjust these cells)</t>
  </si>
  <si>
    <t>Year 1</t>
  </si>
  <si>
    <t>Year 2</t>
  </si>
  <si>
    <t>Year 3</t>
  </si>
  <si>
    <t>Year 4</t>
  </si>
  <si>
    <t>Year 5</t>
  </si>
  <si>
    <t>Source / Rationale</t>
  </si>
  <si>
    <t>FCF Growth Rate</t>
  </si>
  <si>
    <t>Base case: FY2026 guidance ~12% CN + FX. Decelerates from 14% to 8% over 5 years.</t>
  </si>
  <si>
    <t>FCF PROJECTIONS</t>
  </si>
  <si>
    <t>Formula</t>
  </si>
  <si>
    <t>Free Cash Flow (M)</t>
  </si>
  <si>
    <t>Each year = prior year FCF * (1 + growth rate)</t>
  </si>
  <si>
    <t>Discount Factor  (1/(1+WACC)^n)</t>
  </si>
  <si>
    <t>PV of FCF (M)</t>
  </si>
  <si>
    <t>PV = FCF * Discount Factor</t>
  </si>
  <si>
    <t>VALUATION (BASE CASE)</t>
  </si>
  <si>
    <t>Value ($M)</t>
  </si>
  <si>
    <t>Notes</t>
  </si>
  <si>
    <t>Sum of PV of FCF</t>
  </si>
  <si>
    <t>Sum of 5 discounted annual FCFs</t>
  </si>
  <si>
    <t>Terminal FCF  (Year 5 FCF × (1+g))</t>
  </si>
  <si>
    <t>Terminal Value  (TV = Terminal FCF / (WACC - g))</t>
  </si>
  <si>
    <t>Gordon Growth / perpetuity model</t>
  </si>
  <si>
    <t>PV of Terminal Value</t>
  </si>
  <si>
    <t>TV discounted at Year 5 discount factor</t>
  </si>
  <si>
    <t>Enterprise Value</t>
  </si>
  <si>
    <t>Less: Net Debt  (Debt - Cash)</t>
  </si>
  <si>
    <t>Equity Value</t>
  </si>
  <si>
    <t>INTRINSIC VALUE PER SHARE</t>
  </si>
  <si>
    <t>Equity Value / Shares Outstanding</t>
  </si>
  <si>
    <t>Upside / Downside to Current Price</t>
  </si>
  <si>
    <t>(IV - Current Price) / Current Price</t>
  </si>
  <si>
    <t>ENTRY PRICE (15% CAGR Target, 5-Year Horizon)</t>
  </si>
  <si>
    <t>Value</t>
  </si>
  <si>
    <t>Terminal Value per Share</t>
  </si>
  <si>
    <t>TV / Shares Outstanding</t>
  </si>
  <si>
    <t>Entry Price (15% CAGR to TV)</t>
  </si>
  <si>
    <t>TV per Share / (1.15)^5 — price to achieve 15% CAGR to terminal value</t>
  </si>
  <si>
    <t>Discount to Current Price</t>
  </si>
  <si>
    <t>SCENARIO SUMMARY</t>
  </si>
  <si>
    <t>Bear</t>
  </si>
  <si>
    <t>Base</t>
  </si>
  <si>
    <t>Bull</t>
  </si>
  <si>
    <t>Probability Weighted</t>
  </si>
  <si>
    <t>FCF Growth Y1-Y5</t>
  </si>
  <si>
    <t>9/7/5/4/3%</t>
  </si>
  <si>
    <t>14/13/11/9/8%</t>
  </si>
  <si>
    <t>19/17/15/13/11%</t>
  </si>
  <si>
    <t>11.5%</t>
  </si>
  <si>
    <t>10.0%</t>
  </si>
  <si>
    <t>9.0%</t>
  </si>
  <si>
    <t>Terminal Growth</t>
  </si>
  <si>
    <t>2.5%</t>
  </si>
  <si>
    <t>3.0%</t>
  </si>
  <si>
    <t>3.5%</t>
  </si>
  <si>
    <t>Intrinsic Value</t>
  </si>
  <si>
    <t>$227.47</t>
  </si>
  <si>
    <t>$365.49</t>
  </si>
  <si>
    <t>$546.57</t>
  </si>
  <si>
    <t>$376.26</t>
  </si>
  <si>
    <t>Upside / Downside</t>
  </si>
  <si>
    <t>-54.4%</t>
  </si>
  <si>
    <t>-26.8%</t>
  </si>
  <si>
    <t>9.5%</t>
  </si>
  <si>
    <t>-24.6%</t>
  </si>
  <si>
    <t>Probability Weight</t>
  </si>
  <si>
    <t>25%</t>
  </si>
  <si>
    <t>50%</t>
  </si>
  <si>
    <t>100%</t>
  </si>
  <si>
    <t>SANITY CHECK</t>
  </si>
  <si>
    <t>Status</t>
  </si>
  <si>
    <t>Detail</t>
  </si>
  <si>
    <t>Result</t>
  </si>
  <si>
    <t>TRIPPED</t>
  </si>
  <si>
    <t>Base IV $365 implies 22x trailing P/E, below MA historical 30-38x range</t>
  </si>
  <si>
    <t>Meaning</t>
  </si>
  <si>
    <t>Stock is priced at bull-case fair value. No margin of safety at $499.</t>
  </si>
  <si>
    <t>Implied P/E at Current Price</t>
  </si>
  <si>
    <t>FY2025 EPS = $16.52; MA historical range 30-38x</t>
  </si>
  <si>
    <t>Implied P/E at Base IV</t>
  </si>
  <si>
    <t>Below historical range - model is conservative, not wrong</t>
  </si>
  <si>
    <t>Sensitivity Analysis - Intrinsic Value per Share</t>
  </si>
  <si>
    <t>Base case FCF projections held constant. Only WACC and Terminal Growth Rate vary.</t>
  </si>
  <si>
    <t>Current price $499.02 shown as reference. Green = above current price, Red = below.</t>
  </si>
  <si>
    <t>WACC \ Terminal Growth</t>
  </si>
  <si>
    <t>Color Legend:</t>
  </si>
  <si>
    <t>Blue = Base Case</t>
  </si>
  <si>
    <t>Green = Above current price ($499)</t>
  </si>
  <si>
    <t>Amber = Above base IV, below current</t>
  </si>
  <si>
    <t>Red = Below base IV ($365)</t>
  </si>
  <si>
    <t>FORMULA-BASED SENSITIVITY (updates with DCF Model inputs)</t>
  </si>
  <si>
    <t>Uses live FCF projections from DCF Model sheet. Adjust growth rates/WACC there and this table updates.</t>
  </si>
  <si>
    <t>Mastercard DCF - All Three Scenarios</t>
  </si>
  <si>
    <t>Current Price: $499.02  |  Valuation Date: 2026-06-29</t>
  </si>
  <si>
    <t>SANITY CHECK TRIPPED: Base case ($365, 22x P/E) is below MA historical 30-38x range. Current price ($499, 30x P/E) is near bull-case fair value ($547, 33x P/E). Investors at current price are implicitly pricing in bull-case execution.</t>
  </si>
  <si>
    <t>Metric</t>
  </si>
  <si>
    <t>Bear Case</t>
  </si>
  <si>
    <t>Base Case</t>
  </si>
  <si>
    <t>Bull Case</t>
  </si>
  <si>
    <t>FCF Margin (%)</t>
  </si>
  <si>
    <t>Year 1 FCF</t>
  </si>
  <si>
    <t>Year 2 FCF</t>
  </si>
  <si>
    <t>Year 3 FCF</t>
  </si>
  <si>
    <t>Year 4 FCF</t>
  </si>
  <si>
    <t>Year 5 FCF</t>
  </si>
  <si>
    <t>Sum PV FCF</t>
  </si>
  <si>
    <t>Terminal FCF</t>
  </si>
  <si>
    <t>Terminal Value</t>
  </si>
  <si>
    <t>PV Terminal</t>
  </si>
  <si>
    <t>Net Debt</t>
  </si>
  <si>
    <t>Intrinsic Value / Share</t>
  </si>
  <si>
    <t>Entry Price (15% CAGR)</t>
  </si>
  <si>
    <t>Discount to Current</t>
  </si>
  <si>
    <t>9%/7%/5%/4%/3%</t>
  </si>
  <si>
    <t>$134.72</t>
  </si>
  <si>
    <t>-73.0%</t>
  </si>
  <si>
    <t>14%/13%/11%/9%/8%</t>
  </si>
  <si>
    <t>$223.36</t>
  </si>
  <si>
    <t>-55.2%</t>
  </si>
  <si>
    <t>19%/17%/15%/13%/11%</t>
  </si>
  <si>
    <t>$340.79</t>
  </si>
  <si>
    <t>-31.7%</t>
  </si>
  <si>
    <t>Historical Growth Rates - Mastercard</t>
  </si>
  <si>
    <t>NOTE: Equity/Book Value CAGR is distorted by buybacks and is excluded from valuation anchoring.</t>
  </si>
  <si>
    <t>3-Year CAGR (FY2022-FY2025)</t>
  </si>
  <si>
    <t>5-Year CAGR (FY2020-FY2025)</t>
  </si>
  <si>
    <t>Revenue</t>
  </si>
  <si>
    <t>EPS (Diluted)</t>
  </si>
  <si>
    <t>Free Cash Flow</t>
  </si>
  <si>
    <t>Shareholders Equity *</t>
  </si>
  <si>
    <t>* Equity CAGR is EXCLUDED from valuation anchoring</t>
  </si>
  <si>
    <t>Mastercard returned $14.5B to shareholders in FY2025 (buybacks $11.7B + dividends $2.8B),</t>
  </si>
  <si>
    <t>which mechanically suppresses reported book equity. FCF and EPS CAGRs are the valid anchors.</t>
  </si>
  <si>
    <t>SELECTED GROWTH RATE FOR DCF</t>
  </si>
  <si>
    <t>fcf_3yr_cagr</t>
  </si>
  <si>
    <t>KEY FY2025 ACTUALS</t>
  </si>
  <si>
    <t>Revenue ($M)</t>
  </si>
  <si>
    <t>Operating Income ($M)</t>
  </si>
  <si>
    <t>Operating Margin</t>
  </si>
  <si>
    <t>57.6%</t>
  </si>
  <si>
    <t>Net Income ($M)</t>
  </si>
  <si>
    <t>Diluted EPS</t>
  </si>
  <si>
    <t>$16.52</t>
  </si>
  <si>
    <t>Diluted Shares (M)</t>
  </si>
  <si>
    <t>Operating Cash Flow ($M)</t>
  </si>
  <si>
    <t>CapEx ($M)</t>
  </si>
  <si>
    <t>Free Cash Flow ($M)</t>
  </si>
  <si>
    <t>FCF Margin</t>
  </si>
  <si>
    <t>50.1%</t>
  </si>
  <si>
    <t>Cash &amp; Equivalents ($M)</t>
  </si>
  <si>
    <t>Total Debt ($M)</t>
  </si>
  <si>
    <t>Net Debt ($M)</t>
  </si>
  <si>
    <t>Shareholders Equity ($M)</t>
  </si>
  <si>
    <t>Share Buybacks ($M)</t>
  </si>
  <si>
    <t>Dividends ($M)</t>
  </si>
  <si>
    <t>Total Capital Returned ($M)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</si>
</sst>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#,##0"/>
    <numFmt numFmtId="166" formatCode="0.0%"/>
    <numFmt numFmtId="167" formatCode="&quot;$&quot;#,##0.00"/>
  </numFmts>
  <fonts count="9">
    <font>
      <sz val="11"/>
      <color theme="1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2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36E72"/>
      <name val="Calibri"/>
      <family val="2"/>
      <scheme val="minor"/>
    </font>
    <font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DCB6E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636E72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E17055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55EFC4"/>
        <bgColor indexed="64"/>
      </patternFill>
    </fill>
    <fill>
      <patternFill patternType="solid">
        <fgColor rgb="FFFF767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3" borderId="2" xfId="0" applyFont="1" applyFill="1" applyBorder="1"/>
    <xf numFmtId="0" fontId="0" fillId="0" borderId="0" xfId="0" applyAlignment="1">
      <alignment horizontal="left"/>
    </xf>
    <xf numFmtId="164" fontId="0" fillId="3" borderId="1" xfId="0" applyNumberFormat="1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3" borderId="1" xfId="0" applyNumberFormat="1" applyFill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wrapText="1"/>
    </xf>
    <xf numFmtId="167" fontId="5" fillId="5" borderId="1" xfId="0" applyNumberFormat="1" applyFont="1" applyFill="1" applyBorder="1" applyAlignment="1">
      <alignment horizontal="right"/>
    </xf>
    <xf numFmtId="166" fontId="5" fillId="6" borderId="1" xfId="0" applyNumberFormat="1" applyFont="1" applyFill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166" fontId="5" fillId="7" borderId="1" xfId="0" applyNumberFormat="1" applyFont="1" applyFill="1" applyBorder="1" applyAlignment="1">
      <alignment horizontal="right"/>
    </xf>
    <xf numFmtId="0" fontId="5" fillId="8" borderId="1" xfId="0" applyFont="1" applyFill="1" applyBorder="1" applyAlignment="1">
      <alignment horizontal="center"/>
    </xf>
    <xf numFmtId="166" fontId="5" fillId="9" borderId="1" xfId="0" applyNumberFormat="1" applyFont="1" applyFill="1" applyBorder="1" applyAlignment="1">
      <alignment horizontal="center"/>
    </xf>
    <xf numFmtId="167" fontId="0" fillId="2" borderId="1" xfId="0" applyNumberFormat="1" applyFill="1" applyBorder="1" applyAlignment="1">
      <alignment horizontal="right"/>
    </xf>
    <xf numFmtId="167" fontId="0" fillId="10" borderId="1" xfId="0" applyNumberFormat="1" applyFill="1" applyBorder="1" applyAlignment="1">
      <alignment horizontal="right"/>
    </xf>
    <xf numFmtId="167" fontId="0" fillId="11" borderId="1" xfId="0" applyNumberFormat="1" applyFill="1" applyBorder="1" applyAlignment="1">
      <alignment horizontal="right"/>
    </xf>
    <xf numFmtId="167" fontId="5" fillId="9" borderId="3" xfId="0" applyNumberFormat="1" applyFont="1" applyFill="1" applyBorder="1" applyAlignment="1">
      <alignment horizontal="right"/>
    </xf>
    <xf numFmtId="0" fontId="8" fillId="9" borderId="1" xfId="0" applyFont="1" applyFill="1" applyBorder="1"/>
    <xf numFmtId="0" fontId="0" fillId="10" borderId="1" xfId="0" applyFill="1" applyBorder="1"/>
    <xf numFmtId="0" fontId="0" fillId="2" borderId="1" xfId="0" applyFill="1" applyBorder="1"/>
    <xf numFmtId="0" fontId="0" fillId="11" borderId="1" xfId="0" applyFill="1" applyBorder="1"/>
    <xf numFmtId="166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zoomScale="90" zoomScaleNormal="90" workbookViewId="0"/>
  </sheetViews>
  <sheetFormatPr defaultRowHeight="15"/>
  <cols>
    <col min="1" max="1" width="30.7109375" customWidth="1"/>
    <col min="2" max="7" width="14.7109375" customWidth="1"/>
  </cols>
  <sheetData>
    <row r="1" spans="1:7" ht="18" customHeight="1"/>
    <row r="2" spans="1:7" ht="48" customHeight="1">
      <c r="A2" s="1" t="s">
        <v>0</v>
      </c>
      <c r="B2" s="1"/>
      <c r="C2" s="1"/>
      <c r="D2" s="1"/>
      <c r="E2" s="1"/>
      <c r="F2" s="1"/>
      <c r="G2" s="1"/>
    </row>
    <row r="3" spans="1:7">
      <c r="A3" s="2" t="s">
        <v>1</v>
      </c>
    </row>
    <row r="4" spans="1:7">
      <c r="A4" s="3" t="s">
        <v>2</v>
      </c>
    </row>
    <row r="6" spans="1:7">
      <c r="A6" s="4" t="s">
        <v>3</v>
      </c>
      <c r="B6" s="4"/>
    </row>
    <row r="7" spans="1:7">
      <c r="A7" s="5" t="s">
        <v>4</v>
      </c>
      <c r="B7" s="6">
        <v>499.02</v>
      </c>
    </row>
    <row r="8" spans="1:7">
      <c r="A8" s="5" t="s">
        <v>5</v>
      </c>
      <c r="B8" s="6">
        <v>906</v>
      </c>
    </row>
    <row r="9" spans="1:7">
      <c r="A9" s="5" t="s">
        <v>6</v>
      </c>
      <c r="B9" s="6">
        <v>10566</v>
      </c>
    </row>
    <row r="10" spans="1:7">
      <c r="A10" s="5" t="s">
        <v>7</v>
      </c>
      <c r="B10" s="6">
        <v>19000</v>
      </c>
    </row>
    <row r="11" spans="1:7">
      <c r="A11" s="5" t="s">
        <v>8</v>
      </c>
      <c r="B11" s="7">
        <f>B10-B9</f>
        <v>0</v>
      </c>
    </row>
    <row r="12" spans="1:7">
      <c r="A12" s="5" t="s">
        <v>9</v>
      </c>
      <c r="B12" s="6">
        <v>16433</v>
      </c>
    </row>
    <row r="14" spans="1:7">
      <c r="A14" s="4" t="s">
        <v>10</v>
      </c>
      <c r="B14" s="4"/>
    </row>
    <row r="15" spans="1:7">
      <c r="A15" s="5" t="s">
        <v>11</v>
      </c>
      <c r="B15" s="8">
        <v>0.1</v>
      </c>
    </row>
    <row r="16" spans="1:7">
      <c r="A16" s="5" t="s">
        <v>12</v>
      </c>
      <c r="B16" s="8">
        <v>0.03</v>
      </c>
    </row>
    <row r="18" spans="1:7">
      <c r="A18" s="4" t="s">
        <v>13</v>
      </c>
      <c r="B18" s="9" t="s">
        <v>14</v>
      </c>
      <c r="C18" s="9" t="s">
        <v>15</v>
      </c>
      <c r="D18" s="9" t="s">
        <v>16</v>
      </c>
      <c r="E18" s="9" t="s">
        <v>17</v>
      </c>
      <c r="F18" s="9" t="s">
        <v>18</v>
      </c>
      <c r="G18" s="9" t="s">
        <v>19</v>
      </c>
    </row>
    <row r="19" spans="1:7">
      <c r="A19" s="10" t="s">
        <v>20</v>
      </c>
      <c r="B19" s="8">
        <v>0.14</v>
      </c>
      <c r="C19" s="8">
        <v>0.13</v>
      </c>
      <c r="D19" s="8">
        <v>0.11</v>
      </c>
      <c r="E19" s="8">
        <v>0.09</v>
      </c>
      <c r="F19" s="8">
        <v>0.08</v>
      </c>
      <c r="G19" s="11" t="s">
        <v>21</v>
      </c>
    </row>
    <row r="21" spans="1:7">
      <c r="A21" s="4" t="s">
        <v>22</v>
      </c>
      <c r="B21" s="9" t="s">
        <v>14</v>
      </c>
      <c r="C21" s="9" t="s">
        <v>15</v>
      </c>
      <c r="D21" s="9" t="s">
        <v>16</v>
      </c>
      <c r="E21" s="9" t="s">
        <v>17</v>
      </c>
      <c r="F21" s="9" t="s">
        <v>18</v>
      </c>
      <c r="G21" s="9" t="s">
        <v>23</v>
      </c>
    </row>
    <row r="22" spans="1:7">
      <c r="A22" s="10" t="s">
        <v>24</v>
      </c>
      <c r="B22" s="7">
        <f>B12*(1+B19)</f>
        <v>0</v>
      </c>
      <c r="C22" s="7">
        <f>B22*(1+C19)</f>
        <v>0</v>
      </c>
      <c r="D22" s="7">
        <f>C22*(1+D19)</f>
        <v>0</v>
      </c>
      <c r="E22" s="7">
        <f>D22*(1+E19)</f>
        <v>0</v>
      </c>
      <c r="F22" s="7">
        <f>E22*(1+F19)</f>
        <v>0</v>
      </c>
      <c r="G22" s="11" t="s">
        <v>25</v>
      </c>
    </row>
    <row r="23" spans="1:7">
      <c r="A23" s="10" t="s">
        <v>26</v>
      </c>
      <c r="B23" s="7">
        <f>1/(1+B14)^1</f>
        <v>0</v>
      </c>
      <c r="C23" s="7">
        <f>1/(1+B14)^2</f>
        <v>0</v>
      </c>
      <c r="D23" s="7">
        <f>1/(1+B14)^3</f>
        <v>0</v>
      </c>
      <c r="E23" s="7">
        <f>1/(1+B14)^4</f>
        <v>0</v>
      </c>
      <c r="F23" s="7">
        <f>1/(1+B14)^5</f>
        <v>0</v>
      </c>
      <c r="G23" s="11">
        <f>1/(1+WACC)^n where WACC from cell B14</f>
        <v>0</v>
      </c>
    </row>
    <row r="24" spans="1:7">
      <c r="A24" s="10" t="s">
        <v>27</v>
      </c>
      <c r="B24" s="7">
        <f>B22*B23</f>
        <v>0</v>
      </c>
      <c r="C24" s="7">
        <f>C22*C23</f>
        <v>0</v>
      </c>
      <c r="D24" s="7">
        <f>D22*D23</f>
        <v>0</v>
      </c>
      <c r="E24" s="7">
        <f>E22*E23</f>
        <v>0</v>
      </c>
      <c r="F24" s="7">
        <f>F22*F23</f>
        <v>0</v>
      </c>
      <c r="G24" s="11" t="s">
        <v>28</v>
      </c>
    </row>
    <row r="26" spans="1:7">
      <c r="A26" s="4" t="s">
        <v>29</v>
      </c>
      <c r="B26" s="9" t="s">
        <v>30</v>
      </c>
      <c r="C26" s="9" t="s">
        <v>31</v>
      </c>
    </row>
    <row r="27" spans="1:7">
      <c r="A27" s="10" t="s">
        <v>32</v>
      </c>
      <c r="B27" s="7">
        <f>SUM(B24:F24)</f>
        <v>0</v>
      </c>
      <c r="C27" s="11" t="s">
        <v>33</v>
      </c>
    </row>
    <row r="28" spans="1:7">
      <c r="A28" s="10" t="s">
        <v>34</v>
      </c>
      <c r="B28" s="7">
        <f>F22*(1+B15)</f>
        <v>0</v>
      </c>
    </row>
    <row r="29" spans="1:7">
      <c r="A29" s="10" t="s">
        <v>35</v>
      </c>
      <c r="B29" s="7">
        <f>B28/(B14-B15)</f>
        <v>0</v>
      </c>
      <c r="C29" s="11" t="s">
        <v>36</v>
      </c>
    </row>
    <row r="30" spans="1:7">
      <c r="A30" s="10" t="s">
        <v>37</v>
      </c>
      <c r="B30" s="7">
        <f>B29*F23</f>
        <v>0</v>
      </c>
      <c r="C30" s="11" t="s">
        <v>38</v>
      </c>
    </row>
    <row r="31" spans="1:7">
      <c r="A31" s="10" t="s">
        <v>39</v>
      </c>
      <c r="B31" s="7">
        <f>B27+B30</f>
        <v>0</v>
      </c>
    </row>
    <row r="32" spans="1:7">
      <c r="A32" s="10" t="s">
        <v>40</v>
      </c>
      <c r="B32" s="7">
        <f>B11</f>
        <v>0</v>
      </c>
    </row>
    <row r="33" spans="1:5">
      <c r="A33" s="10" t="s">
        <v>41</v>
      </c>
      <c r="B33" s="7">
        <f>B31-B32</f>
        <v>0</v>
      </c>
    </row>
    <row r="34" spans="1:5">
      <c r="A34" s="10" t="s">
        <v>42</v>
      </c>
      <c r="B34" s="12">
        <f>B33/B8</f>
        <v>0</v>
      </c>
      <c r="C34" s="11" t="s">
        <v>43</v>
      </c>
    </row>
    <row r="35" spans="1:5">
      <c r="A35" s="10" t="s">
        <v>44</v>
      </c>
      <c r="B35" s="13">
        <f>(B34-B7)/B7</f>
        <v>0</v>
      </c>
      <c r="C35" s="11" t="s">
        <v>45</v>
      </c>
    </row>
    <row r="37" spans="1:5">
      <c r="A37" s="4" t="s">
        <v>46</v>
      </c>
      <c r="B37" s="9" t="s">
        <v>47</v>
      </c>
    </row>
    <row r="38" spans="1:5">
      <c r="A38" s="10" t="s">
        <v>48</v>
      </c>
      <c r="B38" s="14">
        <f>B29/B8</f>
        <v>0</v>
      </c>
      <c r="C38" s="11" t="s">
        <v>49</v>
      </c>
    </row>
    <row r="39" spans="1:5">
      <c r="A39" s="10" t="s">
        <v>50</v>
      </c>
      <c r="B39" s="12">
        <f>B38/(1.15^5)</f>
        <v>0</v>
      </c>
      <c r="C39" s="11" t="s">
        <v>51</v>
      </c>
    </row>
    <row r="40" spans="1:5">
      <c r="A40" s="10" t="s">
        <v>52</v>
      </c>
      <c r="B40" s="15">
        <f>(B39-B7)/B7</f>
        <v>0</v>
      </c>
    </row>
    <row r="42" spans="1:5">
      <c r="A42" s="4" t="s">
        <v>53</v>
      </c>
      <c r="B42" s="9" t="s">
        <v>54</v>
      </c>
      <c r="C42" s="9" t="s">
        <v>55</v>
      </c>
      <c r="D42" s="9" t="s">
        <v>56</v>
      </c>
      <c r="E42" s="9" t="s">
        <v>57</v>
      </c>
    </row>
    <row r="43" spans="1:5">
      <c r="A43" s="10" t="s">
        <v>58</v>
      </c>
      <c r="B43" s="7" t="s">
        <v>59</v>
      </c>
      <c r="C43" s="7" t="s">
        <v>60</v>
      </c>
      <c r="D43" s="7" t="s">
        <v>61</v>
      </c>
      <c r="E43" s="7"/>
    </row>
    <row r="44" spans="1:5">
      <c r="A44" s="10" t="s">
        <v>11</v>
      </c>
      <c r="B44" s="7" t="s">
        <v>62</v>
      </c>
      <c r="C44" s="7" t="s">
        <v>63</v>
      </c>
      <c r="D44" s="7" t="s">
        <v>64</v>
      </c>
      <c r="E44" s="7"/>
    </row>
    <row r="45" spans="1:5">
      <c r="A45" s="10" t="s">
        <v>65</v>
      </c>
      <c r="B45" s="7" t="s">
        <v>66</v>
      </c>
      <c r="C45" s="7" t="s">
        <v>67</v>
      </c>
      <c r="D45" s="7" t="s">
        <v>68</v>
      </c>
      <c r="E45" s="7"/>
    </row>
    <row r="46" spans="1:5">
      <c r="A46" s="10" t="s">
        <v>69</v>
      </c>
      <c r="B46" s="7" t="s">
        <v>70</v>
      </c>
      <c r="C46" s="7" t="s">
        <v>71</v>
      </c>
      <c r="D46" s="7" t="s">
        <v>72</v>
      </c>
      <c r="E46" s="7" t="s">
        <v>73</v>
      </c>
    </row>
    <row r="47" spans="1:5">
      <c r="A47" s="10" t="s">
        <v>74</v>
      </c>
      <c r="B47" s="7" t="s">
        <v>75</v>
      </c>
      <c r="C47" s="7" t="s">
        <v>76</v>
      </c>
      <c r="D47" s="7" t="s">
        <v>77</v>
      </c>
      <c r="E47" s="7" t="s">
        <v>78</v>
      </c>
    </row>
    <row r="48" spans="1:5">
      <c r="A48" s="10" t="s">
        <v>79</v>
      </c>
      <c r="B48" s="7" t="s">
        <v>80</v>
      </c>
      <c r="C48" s="7" t="s">
        <v>81</v>
      </c>
      <c r="D48" s="7" t="s">
        <v>80</v>
      </c>
      <c r="E48" s="7" t="s">
        <v>82</v>
      </c>
    </row>
    <row r="50" spans="1:3">
      <c r="A50" s="4" t="s">
        <v>83</v>
      </c>
      <c r="B50" s="9" t="s">
        <v>84</v>
      </c>
      <c r="C50" s="9" t="s">
        <v>85</v>
      </c>
    </row>
    <row r="51" spans="1:3">
      <c r="A51" s="10" t="s">
        <v>86</v>
      </c>
      <c r="B51" s="16" t="s">
        <v>87</v>
      </c>
      <c r="C51" s="11" t="s">
        <v>88</v>
      </c>
    </row>
    <row r="52" spans="1:3">
      <c r="A52" s="10" t="s">
        <v>89</v>
      </c>
      <c r="B52" s="7"/>
      <c r="C52" s="11" t="s">
        <v>90</v>
      </c>
    </row>
    <row r="53" spans="1:3">
      <c r="A53" s="10" t="s">
        <v>91</v>
      </c>
      <c r="B53" s="7">
        <f>B7/16.52</f>
        <v>0</v>
      </c>
      <c r="C53" s="11" t="s">
        <v>92</v>
      </c>
    </row>
    <row r="54" spans="1:3">
      <c r="A54" s="10" t="s">
        <v>93</v>
      </c>
      <c r="B54" s="7">
        <v>22.1</v>
      </c>
      <c r="C54" s="11" t="s">
        <v>94</v>
      </c>
    </row>
  </sheetData>
  <mergeCells count="1"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zoomScale="95" zoomScaleNormal="95" workbookViewId="0"/>
  </sheetViews>
  <sheetFormatPr defaultRowHeight="15"/>
  <cols>
    <col min="1" max="1" width="20.7109375" customWidth="1"/>
    <col min="2" max="7" width="14.7109375" customWidth="1"/>
  </cols>
  <sheetData>
    <row r="1" spans="1:6">
      <c r="A1" s="2" t="s">
        <v>95</v>
      </c>
    </row>
    <row r="2" spans="1:6">
      <c r="A2" s="3" t="s">
        <v>96</v>
      </c>
    </row>
    <row r="3" spans="1:6">
      <c r="A3" s="3" t="s">
        <v>97</v>
      </c>
    </row>
    <row r="5" spans="1:6">
      <c r="A5" s="9" t="s">
        <v>98</v>
      </c>
      <c r="B5" s="17">
        <v>0.02</v>
      </c>
      <c r="C5" s="17">
        <v>0.025</v>
      </c>
      <c r="D5" s="17">
        <v>0.03</v>
      </c>
      <c r="E5" s="17">
        <v>0.035</v>
      </c>
      <c r="F5" s="17">
        <v>0.04</v>
      </c>
    </row>
    <row r="6" spans="1:6">
      <c r="A6" s="17">
        <v>0.08</v>
      </c>
      <c r="B6" s="18">
        <v>445</v>
      </c>
      <c r="C6" s="18">
        <v>479</v>
      </c>
      <c r="D6" s="19">
        <v>520</v>
      </c>
      <c r="E6" s="19">
        <v>570</v>
      </c>
      <c r="F6" s="19">
        <v>632</v>
      </c>
    </row>
    <row r="7" spans="1:6">
      <c r="A7" s="17">
        <v>0.09</v>
      </c>
      <c r="B7" s="18">
        <v>378</v>
      </c>
      <c r="C7" s="18">
        <v>402</v>
      </c>
      <c r="D7" s="18">
        <v>430</v>
      </c>
      <c r="E7" s="18">
        <v>463</v>
      </c>
      <c r="F7" s="19">
        <v>502</v>
      </c>
    </row>
    <row r="8" spans="1:6">
      <c r="A8" s="17">
        <v>0.1</v>
      </c>
      <c r="B8" s="20">
        <v>328</v>
      </c>
      <c r="C8" s="20">
        <v>346</v>
      </c>
      <c r="D8" s="21">
        <v>366</v>
      </c>
      <c r="E8" s="18">
        <v>388</v>
      </c>
      <c r="F8" s="18">
        <v>415</v>
      </c>
    </row>
    <row r="9" spans="1:6">
      <c r="A9" s="17">
        <v>0.11</v>
      </c>
      <c r="B9" s="20">
        <v>289</v>
      </c>
      <c r="C9" s="20">
        <v>302</v>
      </c>
      <c r="D9" s="20">
        <v>317</v>
      </c>
      <c r="E9" s="20">
        <v>334</v>
      </c>
      <c r="F9" s="20">
        <v>353</v>
      </c>
    </row>
    <row r="10" spans="1:6">
      <c r="A10" s="17">
        <v>0.12</v>
      </c>
      <c r="B10" s="20">
        <v>258</v>
      </c>
      <c r="C10" s="20">
        <v>268</v>
      </c>
      <c r="D10" s="20">
        <v>280</v>
      </c>
      <c r="E10" s="20">
        <v>292</v>
      </c>
      <c r="F10" s="20">
        <v>307</v>
      </c>
    </row>
    <row r="11" spans="1:6">
      <c r="A11" s="10" t="s">
        <v>99</v>
      </c>
      <c r="B11" s="22" t="s">
        <v>100</v>
      </c>
      <c r="C11" s="23" t="s">
        <v>101</v>
      </c>
      <c r="D11" s="24" t="s">
        <v>102</v>
      </c>
      <c r="E11" s="25" t="s">
        <v>103</v>
      </c>
    </row>
    <row r="14" spans="1:6">
      <c r="A14" s="2" t="s">
        <v>104</v>
      </c>
    </row>
    <row r="15" spans="1:6">
      <c r="A15" s="3" t="s">
        <v>105</v>
      </c>
    </row>
    <row r="17" spans="1:6">
      <c r="A17" s="9" t="s">
        <v>98</v>
      </c>
      <c r="B17" s="17">
        <v>0.02</v>
      </c>
      <c r="C17" s="17">
        <v>0.025</v>
      </c>
      <c r="D17" s="17">
        <v>0.03</v>
      </c>
      <c r="E17" s="17">
        <v>0.035</v>
      </c>
      <c r="F17" s="17">
        <v>0.04</v>
      </c>
    </row>
    <row r="18" spans="1:6">
      <c r="A18" s="17">
        <v>0.08</v>
      </c>
      <c r="B18" s="18">
        <f>(SUM('DCF Model'!B22/(1+0.08)^1,'DCF Model'!C22/(1+0.08)^2,'DCF Model'!D22/(1+0.08)^3,'DCF Model'!E22/(1+0.08)^4,'DCF Model'!F22/(1+0.08)^5)+'DCF Model'!F22*(1+0.02)/(0.08-0.02)/(1+0.08)^5-'DCF Model'!B11)/'DCF Model'!B8</f>
        <v>0</v>
      </c>
      <c r="C18" s="18">
        <f>(SUM('DCF Model'!B22/(1+0.08)^1,'DCF Model'!C22/(1+0.08)^2,'DCF Model'!D22/(1+0.08)^3,'DCF Model'!E22/(1+0.08)^4,'DCF Model'!F22/(1+0.08)^5)+'DCF Model'!F22*(1+0.025)/(0.08-0.025)/(1+0.08)^5-'DCF Model'!B11)/'DCF Model'!B8</f>
        <v>0</v>
      </c>
      <c r="D18" s="19">
        <f>(SUM('DCF Model'!B22/(1+0.08)^1,'DCF Model'!C22/(1+0.08)^2,'DCF Model'!D22/(1+0.08)^3,'DCF Model'!E22/(1+0.08)^4,'DCF Model'!F22/(1+0.08)^5)+'DCF Model'!F22*(1+0.03)/(0.08-0.03)/(1+0.08)^5-'DCF Model'!B11)/'DCF Model'!B8</f>
        <v>0</v>
      </c>
      <c r="E18" s="19">
        <f>(SUM('DCF Model'!B22/(1+0.08)^1,'DCF Model'!C22/(1+0.08)^2,'DCF Model'!D22/(1+0.08)^3,'DCF Model'!E22/(1+0.08)^4,'DCF Model'!F22/(1+0.08)^5)+'DCF Model'!F22*(1+0.035)/(0.08-0.035)/(1+0.08)^5-'DCF Model'!B11)/'DCF Model'!B8</f>
        <v>0</v>
      </c>
      <c r="F18" s="19">
        <f>(SUM('DCF Model'!B22/(1+0.08)^1,'DCF Model'!C22/(1+0.08)^2,'DCF Model'!D22/(1+0.08)^3,'DCF Model'!E22/(1+0.08)^4,'DCF Model'!F22/(1+0.08)^5)+'DCF Model'!F22*(1+0.04)/(0.08-0.04)/(1+0.08)^5-'DCF Model'!B11)/'DCF Model'!B8</f>
        <v>0</v>
      </c>
    </row>
    <row r="19" spans="1:6">
      <c r="A19" s="17">
        <v>0.09</v>
      </c>
      <c r="B19" s="18">
        <f>(SUM('DCF Model'!B22/(1+0.09)^1,'DCF Model'!C22/(1+0.09)^2,'DCF Model'!D22/(1+0.09)^3,'DCF Model'!E22/(1+0.09)^4,'DCF Model'!F22/(1+0.09)^5)+'DCF Model'!F22*(1+0.02)/(0.09-0.02)/(1+0.09)^5-'DCF Model'!B11)/'DCF Model'!B8</f>
        <v>0</v>
      </c>
      <c r="C19" s="18">
        <f>(SUM('DCF Model'!B22/(1+0.09)^1,'DCF Model'!C22/(1+0.09)^2,'DCF Model'!D22/(1+0.09)^3,'DCF Model'!E22/(1+0.09)^4,'DCF Model'!F22/(1+0.09)^5)+'DCF Model'!F22*(1+0.025)/(0.09-0.025)/(1+0.09)^5-'DCF Model'!B11)/'DCF Model'!B8</f>
        <v>0</v>
      </c>
      <c r="D19" s="18">
        <f>(SUM('DCF Model'!B22/(1+0.09)^1,'DCF Model'!C22/(1+0.09)^2,'DCF Model'!D22/(1+0.09)^3,'DCF Model'!E22/(1+0.09)^4,'DCF Model'!F22/(1+0.09)^5)+'DCF Model'!F22*(1+0.03)/(0.09-0.03)/(1+0.09)^5-'DCF Model'!B11)/'DCF Model'!B8</f>
        <v>0</v>
      </c>
      <c r="E19" s="18">
        <f>(SUM('DCF Model'!B22/(1+0.09)^1,'DCF Model'!C22/(1+0.09)^2,'DCF Model'!D22/(1+0.09)^3,'DCF Model'!E22/(1+0.09)^4,'DCF Model'!F22/(1+0.09)^5)+'DCF Model'!F22*(1+0.035)/(0.09-0.035)/(1+0.09)^5-'DCF Model'!B11)/'DCF Model'!B8</f>
        <v>0</v>
      </c>
      <c r="F19" s="19">
        <f>(SUM('DCF Model'!B22/(1+0.09)^1,'DCF Model'!C22/(1+0.09)^2,'DCF Model'!D22/(1+0.09)^3,'DCF Model'!E22/(1+0.09)^4,'DCF Model'!F22/(1+0.09)^5)+'DCF Model'!F22*(1+0.04)/(0.09-0.04)/(1+0.09)^5-'DCF Model'!B11)/'DCF Model'!B8</f>
        <v>0</v>
      </c>
    </row>
    <row r="20" spans="1:6">
      <c r="A20" s="17">
        <v>0.1</v>
      </c>
      <c r="B20" s="20">
        <f>(SUM('DCF Model'!B22/(1+0.1)^1,'DCF Model'!C22/(1+0.1)^2,'DCF Model'!D22/(1+0.1)^3,'DCF Model'!E22/(1+0.1)^4,'DCF Model'!F22/(1+0.1)^5)+'DCF Model'!F22*(1+0.02)/(0.1-0.02)/(1+0.1)^5-'DCF Model'!B11)/'DCF Model'!B8</f>
        <v>0</v>
      </c>
      <c r="C20" s="20">
        <f>(SUM('DCF Model'!B22/(1+0.1)^1,'DCF Model'!C22/(1+0.1)^2,'DCF Model'!D22/(1+0.1)^3,'DCF Model'!E22/(1+0.1)^4,'DCF Model'!F22/(1+0.1)^5)+'DCF Model'!F22*(1+0.025)/(0.1-0.025)/(1+0.1)^5-'DCF Model'!B11)/'DCF Model'!B8</f>
        <v>0</v>
      </c>
      <c r="D20" s="21">
        <f>(SUM('DCF Model'!B22/(1+0.1)^1,'DCF Model'!C22/(1+0.1)^2,'DCF Model'!D22/(1+0.1)^3,'DCF Model'!E22/(1+0.1)^4,'DCF Model'!F22/(1+0.1)^5)+'DCF Model'!F22*(1+0.03)/(0.1-0.03)/(1+0.1)^5-'DCF Model'!B11)/'DCF Model'!B8</f>
        <v>0</v>
      </c>
      <c r="E20" s="18">
        <f>(SUM('DCF Model'!B22/(1+0.1)^1,'DCF Model'!C22/(1+0.1)^2,'DCF Model'!D22/(1+0.1)^3,'DCF Model'!E22/(1+0.1)^4,'DCF Model'!F22/(1+0.1)^5)+'DCF Model'!F22*(1+0.035)/(0.1-0.035)/(1+0.1)^5-'DCF Model'!B11)/'DCF Model'!B8</f>
        <v>0</v>
      </c>
      <c r="F20" s="18">
        <f>(SUM('DCF Model'!B22/(1+0.1)^1,'DCF Model'!C22/(1+0.1)^2,'DCF Model'!D22/(1+0.1)^3,'DCF Model'!E22/(1+0.1)^4,'DCF Model'!F22/(1+0.1)^5)+'DCF Model'!F22*(1+0.04)/(0.1-0.04)/(1+0.1)^5-'DCF Model'!B11)/'DCF Model'!B8</f>
        <v>0</v>
      </c>
    </row>
    <row r="21" spans="1:6">
      <c r="A21" s="17">
        <v>0.11</v>
      </c>
      <c r="B21" s="20">
        <f>(SUM('DCF Model'!B22/(1+0.11)^1,'DCF Model'!C22/(1+0.11)^2,'DCF Model'!D22/(1+0.11)^3,'DCF Model'!E22/(1+0.11)^4,'DCF Model'!F22/(1+0.11)^5)+'DCF Model'!F22*(1+0.02)/(0.11-0.02)/(1+0.11)^5-'DCF Model'!B11)/'DCF Model'!B8</f>
        <v>0</v>
      </c>
      <c r="C21" s="20">
        <f>(SUM('DCF Model'!B22/(1+0.11)^1,'DCF Model'!C22/(1+0.11)^2,'DCF Model'!D22/(1+0.11)^3,'DCF Model'!E22/(1+0.11)^4,'DCF Model'!F22/(1+0.11)^5)+'DCF Model'!F22*(1+0.025)/(0.11-0.025)/(1+0.11)^5-'DCF Model'!B11)/'DCF Model'!B8</f>
        <v>0</v>
      </c>
      <c r="D21" s="20">
        <f>(SUM('DCF Model'!B22/(1+0.11)^1,'DCF Model'!C22/(1+0.11)^2,'DCF Model'!D22/(1+0.11)^3,'DCF Model'!E22/(1+0.11)^4,'DCF Model'!F22/(1+0.11)^5)+'DCF Model'!F22*(1+0.03)/(0.11-0.03)/(1+0.11)^5-'DCF Model'!B11)/'DCF Model'!B8</f>
        <v>0</v>
      </c>
      <c r="E21" s="20">
        <f>(SUM('DCF Model'!B22/(1+0.11)^1,'DCF Model'!C22/(1+0.11)^2,'DCF Model'!D22/(1+0.11)^3,'DCF Model'!E22/(1+0.11)^4,'DCF Model'!F22/(1+0.11)^5)+'DCF Model'!F22*(1+0.035)/(0.11-0.035)/(1+0.11)^5-'DCF Model'!B11)/'DCF Model'!B8</f>
        <v>0</v>
      </c>
      <c r="F21" s="20">
        <f>(SUM('DCF Model'!B22/(1+0.11)^1,'DCF Model'!C22/(1+0.11)^2,'DCF Model'!D22/(1+0.11)^3,'DCF Model'!E22/(1+0.11)^4,'DCF Model'!F22/(1+0.11)^5)+'DCF Model'!F22*(1+0.04)/(0.11-0.04)/(1+0.11)^5-'DCF Model'!B11)/'DCF Model'!B8</f>
        <v>0</v>
      </c>
    </row>
    <row r="22" spans="1:6">
      <c r="A22" s="17">
        <v>0.12</v>
      </c>
      <c r="B22" s="20">
        <f>(SUM('DCF Model'!B22/(1+0.12)^1,'DCF Model'!C22/(1+0.12)^2,'DCF Model'!D22/(1+0.12)^3,'DCF Model'!E22/(1+0.12)^4,'DCF Model'!F22/(1+0.12)^5)+'DCF Model'!F22*(1+0.02)/(0.12-0.02)/(1+0.12)^5-'DCF Model'!B11)/'DCF Model'!B8</f>
        <v>0</v>
      </c>
      <c r="C22" s="20">
        <f>(SUM('DCF Model'!B22/(1+0.12)^1,'DCF Model'!C22/(1+0.12)^2,'DCF Model'!D22/(1+0.12)^3,'DCF Model'!E22/(1+0.12)^4,'DCF Model'!F22/(1+0.12)^5)+'DCF Model'!F22*(1+0.025)/(0.12-0.025)/(1+0.12)^5-'DCF Model'!B11)/'DCF Model'!B8</f>
        <v>0</v>
      </c>
      <c r="D22" s="20">
        <f>(SUM('DCF Model'!B22/(1+0.12)^1,'DCF Model'!C22/(1+0.12)^2,'DCF Model'!D22/(1+0.12)^3,'DCF Model'!E22/(1+0.12)^4,'DCF Model'!F22/(1+0.12)^5)+'DCF Model'!F22*(1+0.03)/(0.12-0.03)/(1+0.12)^5-'DCF Model'!B11)/'DCF Model'!B8</f>
        <v>0</v>
      </c>
      <c r="E22" s="20">
        <f>(SUM('DCF Model'!B22/(1+0.12)^1,'DCF Model'!C22/(1+0.12)^2,'DCF Model'!D22/(1+0.12)^3,'DCF Model'!E22/(1+0.12)^4,'DCF Model'!F22/(1+0.12)^5)+'DCF Model'!F22*(1+0.035)/(0.12-0.035)/(1+0.12)^5-'DCF Model'!B11)/'DCF Model'!B8</f>
        <v>0</v>
      </c>
      <c r="F22" s="20">
        <f>(SUM('DCF Model'!B22/(1+0.12)^1,'DCF Model'!C22/(1+0.12)^2,'DCF Model'!D22/(1+0.12)^3,'DCF Model'!E22/(1+0.12)^4,'DCF Model'!F22/(1+0.12)^5)+'DCF Model'!F22*(1+0.04)/(0.12-0.04)/(1+0.12)^5-'DCF Model'!B11)/'DCF Model'!B8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zoomScale="90" zoomScaleNormal="90" workbookViewId="0"/>
  </sheetViews>
  <sheetFormatPr defaultRowHeight="15"/>
  <cols>
    <col min="1" max="1" width="28.7109375" customWidth="1"/>
    <col min="2" max="8" width="14.7109375" customWidth="1"/>
  </cols>
  <sheetData>
    <row r="1" spans="1:10">
      <c r="A1" s="2" t="s">
        <v>106</v>
      </c>
    </row>
    <row r="2" spans="1:10">
      <c r="A2" s="3" t="s">
        <v>107</v>
      </c>
    </row>
    <row r="4" spans="1:10" ht="32" customHeight="1">
      <c r="A4" s="1" t="s">
        <v>108</v>
      </c>
      <c r="B4" s="1"/>
      <c r="C4" s="1"/>
      <c r="D4" s="1"/>
      <c r="E4" s="1"/>
      <c r="F4" s="1"/>
      <c r="G4" s="1"/>
      <c r="H4" s="1"/>
    </row>
    <row r="6" spans="1:10">
      <c r="A6" s="9" t="s">
        <v>109</v>
      </c>
      <c r="B6" s="9" t="s">
        <v>110</v>
      </c>
      <c r="C6" s="9"/>
      <c r="D6" s="9"/>
      <c r="E6" s="9" t="s">
        <v>111</v>
      </c>
      <c r="F6" s="9"/>
      <c r="G6" s="9"/>
      <c r="H6" s="9" t="s">
        <v>112</v>
      </c>
      <c r="I6" s="9"/>
      <c r="J6" s="9"/>
    </row>
    <row r="7" spans="1:10">
      <c r="A7" s="10" t="s">
        <v>58</v>
      </c>
      <c r="B7" s="7" t="s">
        <v>127</v>
      </c>
      <c r="C7" s="7"/>
      <c r="D7" s="7"/>
      <c r="E7" s="7" t="s">
        <v>130</v>
      </c>
      <c r="F7" s="7"/>
      <c r="G7" s="7"/>
      <c r="H7" s="7" t="s">
        <v>133</v>
      </c>
      <c r="I7" s="7"/>
      <c r="J7" s="7"/>
    </row>
    <row r="8" spans="1:10">
      <c r="A8" s="10" t="s">
        <v>113</v>
      </c>
      <c r="B8" s="7">
        <v>47</v>
      </c>
      <c r="C8" s="7"/>
      <c r="D8" s="7"/>
      <c r="E8" s="7">
        <v>50.5</v>
      </c>
      <c r="F8" s="7"/>
      <c r="G8" s="7"/>
      <c r="H8" s="7">
        <v>52</v>
      </c>
      <c r="I8" s="7"/>
      <c r="J8" s="7"/>
    </row>
    <row r="9" spans="1:10">
      <c r="A9" s="10" t="s">
        <v>11</v>
      </c>
      <c r="B9" s="7" t="s">
        <v>62</v>
      </c>
      <c r="C9" s="7"/>
      <c r="D9" s="7"/>
      <c r="E9" s="7" t="s">
        <v>63</v>
      </c>
      <c r="F9" s="7"/>
      <c r="G9" s="7"/>
      <c r="H9" s="7" t="s">
        <v>64</v>
      </c>
      <c r="I9" s="7"/>
      <c r="J9" s="7"/>
    </row>
    <row r="10" spans="1:10">
      <c r="A10" s="10" t="s">
        <v>65</v>
      </c>
      <c r="B10" s="7" t="s">
        <v>66</v>
      </c>
      <c r="C10" s="7"/>
      <c r="D10" s="7"/>
      <c r="E10" s="7" t="s">
        <v>67</v>
      </c>
      <c r="F10" s="7"/>
      <c r="G10" s="7"/>
      <c r="H10" s="7" t="s">
        <v>68</v>
      </c>
      <c r="I10" s="7"/>
      <c r="J10" s="7"/>
    </row>
    <row r="11" spans="1:10">
      <c r="A11" s="7"/>
      <c r="B11" s="7"/>
      <c r="E11" s="7"/>
      <c r="H11" s="7"/>
    </row>
    <row r="12" spans="1:10">
      <c r="A12" s="10" t="s">
        <v>114</v>
      </c>
      <c r="B12" s="7">
        <v>17912</v>
      </c>
      <c r="C12" s="7"/>
      <c r="D12" s="7"/>
      <c r="E12" s="7">
        <v>18734</v>
      </c>
      <c r="F12" s="7"/>
      <c r="G12" s="7"/>
      <c r="H12" s="7">
        <v>19555</v>
      </c>
      <c r="I12" s="7"/>
      <c r="J12" s="7"/>
    </row>
    <row r="13" spans="1:10">
      <c r="A13" s="10" t="s">
        <v>115</v>
      </c>
      <c r="B13" s="7">
        <v>19166</v>
      </c>
      <c r="C13" s="7"/>
      <c r="D13" s="7"/>
      <c r="E13" s="7">
        <v>21169</v>
      </c>
      <c r="F13" s="7"/>
      <c r="G13" s="7"/>
      <c r="H13" s="7">
        <v>22879</v>
      </c>
      <c r="I13" s="7"/>
      <c r="J13" s="7"/>
    </row>
    <row r="14" spans="1:10">
      <c r="A14" s="10" t="s">
        <v>116</v>
      </c>
      <c r="B14" s="7">
        <v>20124</v>
      </c>
      <c r="C14" s="7"/>
      <c r="D14" s="7"/>
      <c r="E14" s="7">
        <v>23498</v>
      </c>
      <c r="F14" s="7"/>
      <c r="G14" s="7"/>
      <c r="H14" s="7">
        <v>26311</v>
      </c>
      <c r="I14" s="7"/>
      <c r="J14" s="7"/>
    </row>
    <row r="15" spans="1:10">
      <c r="A15" s="10" t="s">
        <v>117</v>
      </c>
      <c r="B15" s="7">
        <v>20929</v>
      </c>
      <c r="C15" s="7"/>
      <c r="D15" s="7"/>
      <c r="E15" s="7">
        <v>25613</v>
      </c>
      <c r="F15" s="7"/>
      <c r="G15" s="7"/>
      <c r="H15" s="7">
        <v>29731</v>
      </c>
      <c r="I15" s="7"/>
      <c r="J15" s="7"/>
    </row>
    <row r="16" spans="1:10">
      <c r="A16" s="10" t="s">
        <v>118</v>
      </c>
      <c r="B16" s="7">
        <v>21557</v>
      </c>
      <c r="C16" s="7"/>
      <c r="D16" s="7"/>
      <c r="E16" s="7">
        <v>27662</v>
      </c>
      <c r="F16" s="7"/>
      <c r="G16" s="7"/>
      <c r="H16" s="7">
        <v>33001</v>
      </c>
      <c r="I16" s="7"/>
      <c r="J16" s="7"/>
    </row>
    <row r="17" spans="1:10">
      <c r="A17" s="7"/>
      <c r="B17" s="7"/>
      <c r="E17" s="7"/>
      <c r="H17" s="7"/>
    </row>
    <row r="18" spans="1:10">
      <c r="A18" s="10" t="s">
        <v>119</v>
      </c>
      <c r="B18" s="7">
        <v>72050</v>
      </c>
      <c r="C18" s="7"/>
      <c r="D18" s="7"/>
      <c r="E18" s="7">
        <v>86848</v>
      </c>
      <c r="F18" s="7"/>
      <c r="G18" s="7"/>
      <c r="H18" s="7">
        <v>100022</v>
      </c>
      <c r="I18" s="7"/>
      <c r="J18" s="7"/>
    </row>
    <row r="19" spans="1:10">
      <c r="A19" s="10" t="s">
        <v>120</v>
      </c>
      <c r="B19" s="7">
        <v>22096</v>
      </c>
      <c r="C19" s="7"/>
      <c r="D19" s="7"/>
      <c r="E19" s="7">
        <v>28492</v>
      </c>
      <c r="F19" s="7"/>
      <c r="G19" s="7"/>
      <c r="H19" s="7">
        <v>34156</v>
      </c>
      <c r="I19" s="7"/>
      <c r="J19" s="7"/>
    </row>
    <row r="20" spans="1:10">
      <c r="A20" s="10" t="s">
        <v>121</v>
      </c>
      <c r="B20" s="7">
        <v>245511</v>
      </c>
      <c r="C20" s="7"/>
      <c r="D20" s="7"/>
      <c r="E20" s="7">
        <v>407029</v>
      </c>
      <c r="F20" s="7"/>
      <c r="G20" s="7"/>
      <c r="H20" s="7">
        <v>621018</v>
      </c>
      <c r="I20" s="7"/>
      <c r="J20" s="7"/>
    </row>
    <row r="21" spans="1:10">
      <c r="A21" s="10" t="s">
        <v>122</v>
      </c>
      <c r="B21" s="7">
        <v>142470</v>
      </c>
      <c r="C21" s="7"/>
      <c r="D21" s="7"/>
      <c r="E21" s="7">
        <v>252724</v>
      </c>
      <c r="F21" s="7"/>
      <c r="G21" s="7"/>
      <c r="H21" s="7">
        <v>403600</v>
      </c>
      <c r="I21" s="7"/>
      <c r="J21" s="7"/>
    </row>
    <row r="22" spans="1:10">
      <c r="A22" s="10" t="s">
        <v>39</v>
      </c>
      <c r="B22" s="7">
        <v>214520</v>
      </c>
      <c r="C22" s="7"/>
      <c r="D22" s="7"/>
      <c r="E22" s="7">
        <v>339572</v>
      </c>
      <c r="F22" s="7"/>
      <c r="G22" s="7"/>
      <c r="H22" s="7">
        <v>503622</v>
      </c>
      <c r="I22" s="7"/>
      <c r="J22" s="7"/>
    </row>
    <row r="23" spans="1:10">
      <c r="A23" s="10" t="s">
        <v>123</v>
      </c>
      <c r="B23" s="7">
        <v>8434</v>
      </c>
      <c r="C23" s="7"/>
      <c r="D23" s="7"/>
      <c r="E23" s="7">
        <v>8434</v>
      </c>
      <c r="F23" s="7"/>
      <c r="G23" s="7"/>
      <c r="H23" s="7">
        <v>8434</v>
      </c>
      <c r="I23" s="7"/>
      <c r="J23" s="7"/>
    </row>
    <row r="24" spans="1:10">
      <c r="A24" s="10" t="s">
        <v>41</v>
      </c>
      <c r="B24" s="7">
        <v>206086</v>
      </c>
      <c r="C24" s="7"/>
      <c r="D24" s="7"/>
      <c r="E24" s="7">
        <v>331138</v>
      </c>
      <c r="F24" s="7"/>
      <c r="G24" s="7"/>
      <c r="H24" s="7">
        <v>495188</v>
      </c>
      <c r="I24" s="7"/>
      <c r="J24" s="7"/>
    </row>
    <row r="25" spans="1:10">
      <c r="A25" s="10" t="s">
        <v>124</v>
      </c>
      <c r="B25" s="15" t="s">
        <v>70</v>
      </c>
      <c r="C25" s="15"/>
      <c r="D25" s="15"/>
      <c r="E25" s="15" t="s">
        <v>71</v>
      </c>
      <c r="F25" s="15"/>
      <c r="G25" s="15"/>
      <c r="H25" s="12" t="s">
        <v>72</v>
      </c>
      <c r="I25" s="12"/>
      <c r="J25" s="12"/>
    </row>
    <row r="26" spans="1:10">
      <c r="A26" s="10" t="s">
        <v>74</v>
      </c>
      <c r="B26" s="15" t="s">
        <v>75</v>
      </c>
      <c r="C26" s="15"/>
      <c r="D26" s="15"/>
      <c r="E26" s="15" t="s">
        <v>76</v>
      </c>
      <c r="F26" s="15"/>
      <c r="G26" s="15"/>
      <c r="H26" s="12" t="s">
        <v>77</v>
      </c>
      <c r="I26" s="12"/>
      <c r="J26" s="12"/>
    </row>
    <row r="27" spans="1:10">
      <c r="A27" s="7"/>
      <c r="B27" s="7"/>
      <c r="E27" s="7"/>
      <c r="H27" s="7"/>
    </row>
    <row r="28" spans="1:10">
      <c r="A28" s="10" t="s">
        <v>125</v>
      </c>
      <c r="B28" s="14" t="s">
        <v>128</v>
      </c>
      <c r="C28" s="14"/>
      <c r="D28" s="14"/>
      <c r="E28" s="14" t="s">
        <v>131</v>
      </c>
      <c r="F28" s="14"/>
      <c r="G28" s="14"/>
      <c r="H28" s="14" t="s">
        <v>134</v>
      </c>
      <c r="I28" s="14"/>
      <c r="J28" s="14"/>
    </row>
    <row r="29" spans="1:10">
      <c r="A29" s="10" t="s">
        <v>126</v>
      </c>
      <c r="B29" s="15" t="s">
        <v>129</v>
      </c>
      <c r="C29" s="15"/>
      <c r="D29" s="15"/>
      <c r="E29" s="15" t="s">
        <v>132</v>
      </c>
      <c r="F29" s="15"/>
      <c r="G29" s="15"/>
      <c r="H29" s="15" t="s">
        <v>135</v>
      </c>
      <c r="I29" s="15"/>
      <c r="J29" s="15"/>
    </row>
  </sheetData>
  <mergeCells count="64">
    <mergeCell ref="A4:H4"/>
    <mergeCell ref="B6:D6"/>
    <mergeCell ref="E6:G6"/>
    <mergeCell ref="H6:J6"/>
    <mergeCell ref="B7:D7"/>
    <mergeCell ref="B8:D8"/>
    <mergeCell ref="B9:D9"/>
    <mergeCell ref="B10:D10"/>
    <mergeCell ref="B12:D12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8:D28"/>
    <mergeCell ref="B29:D29"/>
    <mergeCell ref="E7:G7"/>
    <mergeCell ref="E8:G8"/>
    <mergeCell ref="E9:G9"/>
    <mergeCell ref="E10:G10"/>
    <mergeCell ref="E12:G12"/>
    <mergeCell ref="E13:G13"/>
    <mergeCell ref="E14:G14"/>
    <mergeCell ref="E15:G15"/>
    <mergeCell ref="E16:G16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8:G28"/>
    <mergeCell ref="E29:G29"/>
    <mergeCell ref="H7:J7"/>
    <mergeCell ref="H8:J8"/>
    <mergeCell ref="H9:J9"/>
    <mergeCell ref="H10:J10"/>
    <mergeCell ref="H12:J12"/>
    <mergeCell ref="H13:J13"/>
    <mergeCell ref="H14:J14"/>
    <mergeCell ref="H15:J15"/>
    <mergeCell ref="H16:J16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8:J28"/>
    <mergeCell ref="H29:J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"/>
  <sheetViews>
    <sheetView zoomScale="95" zoomScaleNormal="95" workbookViewId="0"/>
  </sheetViews>
  <sheetFormatPr defaultRowHeight="15"/>
  <cols>
    <col min="1" max="1" width="22.7109375" customWidth="1"/>
    <col min="2" max="3" width="16.7109375" customWidth="1"/>
  </cols>
  <sheetData>
    <row r="1" spans="1:3">
      <c r="A1" s="2" t="s">
        <v>136</v>
      </c>
    </row>
    <row r="2" spans="1:3" ht="28" customHeight="1">
      <c r="A2" s="1" t="s">
        <v>137</v>
      </c>
    </row>
    <row r="4" spans="1:3">
      <c r="A4" s="9" t="s">
        <v>109</v>
      </c>
      <c r="B4" s="9" t="s">
        <v>138</v>
      </c>
      <c r="C4" s="9" t="s">
        <v>139</v>
      </c>
    </row>
    <row r="5" spans="1:3">
      <c r="A5" s="5" t="s">
        <v>140</v>
      </c>
      <c r="B5" s="26">
        <v>0.138</v>
      </c>
      <c r="C5" s="26">
        <v>0.165</v>
      </c>
    </row>
    <row r="6" spans="1:3">
      <c r="A6" s="5" t="s">
        <v>141</v>
      </c>
      <c r="B6" s="26">
        <v>0.174</v>
      </c>
      <c r="C6" s="26">
        <v>0.21</v>
      </c>
    </row>
    <row r="7" spans="1:3">
      <c r="A7" s="5" t="s">
        <v>142</v>
      </c>
      <c r="B7" s="26">
        <v>0.176</v>
      </c>
      <c r="C7" s="26">
        <v>0.203</v>
      </c>
    </row>
    <row r="8" spans="1:3">
      <c r="A8" s="5" t="s">
        <v>143</v>
      </c>
      <c r="B8" s="26">
        <v>0.07099999999999999</v>
      </c>
      <c r="C8" s="26">
        <v>0.039</v>
      </c>
    </row>
    <row r="9" spans="1:3">
      <c r="A9" s="11" t="s">
        <v>144</v>
      </c>
    </row>
    <row r="10" spans="1:3">
      <c r="A10" s="11" t="s">
        <v>145</v>
      </c>
    </row>
    <row r="11" spans="1:3">
      <c r="A11" s="11" t="s">
        <v>146</v>
      </c>
    </row>
    <row r="13" spans="1:3">
      <c r="A13" s="10" t="s">
        <v>147</v>
      </c>
      <c r="B13" s="26">
        <v>0.176</v>
      </c>
      <c r="C13" s="5" t="s">
        <v>148</v>
      </c>
    </row>
    <row r="15" spans="1:3">
      <c r="A15" s="4" t="s">
        <v>149</v>
      </c>
    </row>
    <row r="16" spans="1:3">
      <c r="A16" s="5" t="s">
        <v>150</v>
      </c>
      <c r="B16" s="7">
        <v>32791</v>
      </c>
    </row>
    <row r="17" spans="1:2">
      <c r="A17" s="5" t="s">
        <v>151</v>
      </c>
      <c r="B17" s="7">
        <v>18897</v>
      </c>
    </row>
    <row r="18" spans="1:2">
      <c r="A18" s="5" t="s">
        <v>152</v>
      </c>
      <c r="B18" s="5" t="s">
        <v>153</v>
      </c>
    </row>
    <row r="19" spans="1:2">
      <c r="A19" s="5" t="s">
        <v>154</v>
      </c>
      <c r="B19" s="7">
        <v>14968</v>
      </c>
    </row>
    <row r="20" spans="1:2">
      <c r="A20" s="5" t="s">
        <v>155</v>
      </c>
      <c r="B20" s="5" t="s">
        <v>156</v>
      </c>
    </row>
    <row r="21" spans="1:2">
      <c r="A21" s="5" t="s">
        <v>157</v>
      </c>
      <c r="B21" s="7">
        <v>906</v>
      </c>
    </row>
    <row r="22" spans="1:2">
      <c r="A22" s="5" t="s">
        <v>158</v>
      </c>
      <c r="B22" s="7">
        <v>17648</v>
      </c>
    </row>
    <row r="23" spans="1:2">
      <c r="A23" s="5" t="s">
        <v>159</v>
      </c>
      <c r="B23" s="7">
        <v>1215</v>
      </c>
    </row>
    <row r="24" spans="1:2">
      <c r="A24" s="5" t="s">
        <v>160</v>
      </c>
      <c r="B24" s="7">
        <v>16433</v>
      </c>
    </row>
    <row r="25" spans="1:2">
      <c r="A25" s="5" t="s">
        <v>161</v>
      </c>
      <c r="B25" s="5" t="s">
        <v>162</v>
      </c>
    </row>
    <row r="26" spans="1:2">
      <c r="A26" s="5" t="s">
        <v>163</v>
      </c>
      <c r="B26" s="7">
        <v>10566</v>
      </c>
    </row>
    <row r="27" spans="1:2">
      <c r="A27" s="5" t="s">
        <v>164</v>
      </c>
      <c r="B27" s="7">
        <v>19000</v>
      </c>
    </row>
    <row r="28" spans="1:2">
      <c r="A28" s="5" t="s">
        <v>165</v>
      </c>
      <c r="B28" s="7">
        <v>8434</v>
      </c>
    </row>
    <row r="29" spans="1:2">
      <c r="A29" s="5" t="s">
        <v>166</v>
      </c>
      <c r="B29" s="7">
        <v>7737</v>
      </c>
    </row>
    <row r="30" spans="1:2">
      <c r="A30" s="5" t="s">
        <v>167</v>
      </c>
      <c r="B30" s="7">
        <v>11727</v>
      </c>
    </row>
    <row r="31" spans="1:2">
      <c r="A31" s="5" t="s">
        <v>168</v>
      </c>
      <c r="B31" s="7">
        <v>2756</v>
      </c>
    </row>
    <row r="32" spans="1:2">
      <c r="A32" s="5" t="s">
        <v>169</v>
      </c>
      <c r="B32" s="7">
        <v>14483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Sensitivity</vt:lpstr>
      <vt:lpstr>Scenarios</vt:lpstr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2026-06-29T06:24:03Z</dcterms:created>
  <dcterms:modified xsi:type="dcterms:W3CDTF">2026-06-29T06:24:03Z</dcterms:modified>
</cp:coreProperties>
</file>