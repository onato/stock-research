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<sst xmlns="http://schemas.openxmlformats.org/spreadsheetml/2006/main" count="349" uniqueCount="167">
  <si>
    <t xml:space="preserve">Ticker</t>
  </si>
  <si>
    <t xml:space="preserve">6979.HK</t>
  </si>
  <si>
    <t xml:space="preserve">Company</t>
  </si>
  <si>
    <t xml:space="preserve">ZJLD Group Inc</t>
  </si>
  <si>
    <t xml:space="preserve">Valuation date</t>
  </si>
  <si>
    <t xml:space="preserve">2026-10-24</t>
  </si>
  <si>
    <t xml:space="preserve">Current price</t>
  </si>
  <si>
    <t xml:space="preserve">Price as of</t>
  </si>
  <si>
    <t xml:space="preserve">2026-10-23T08:08:08Z HKEX regular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</si>
  <si>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</si>
  <si>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</si>
  <si>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</si>
  <si>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</si>
  <si>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</si>
  <si>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</si>
  <si>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</si>
  <si>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</si>
  <si>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</si>
  <si>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</si>
  <si>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</si>
  <si>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</si>
  <si>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</si>
  <si>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2026-10-23T18:07:52Z</t>
  </si>
  <si>
    <t xml:space="preserve">Drivers file</t>
  </si>
  <si>
    <t xml:space="preserve">6979.HK_Drivers.json</t>
  </si>
  <si>
    <t xml:space="preserve">Convention</t>
  </si>
  <si>
    <t xml:space="preserve">Percents stored as percents; formulas divide by 100. Blue = input, green = link, black = formula.</t>
  </si>
  <si>
    <t xml:space="preserve">Methodology</t>
  </si>
  <si>
    <t xml:space="preserve">summary: ZJLD is valued mid-collapse, from the FY2025 trough rather than the FY2024 peak. Revenue halved in one year on a policy shock that hit the entire baijiu sector, and H1 FY2026's +2% is a stabilisation signal, not a recovery. The base year is FY2025 revenue (RMB 3,650M) with a component-built margin path that recovers from the 25% trough toward 32% operating EBITDA -- below the 33-34% of FY2023-24 because ASP has reset. Historical owner FCF is negative in every listed year (reported FCF less SBC less interest income), because profits have been reinvested in RMB 9.6bn of aged base liquor and dividends were funded from IPO cash; the forward FCF is therefore built from components and not from any historical FCF, and the working-capital capture is negative so growth consumes cash. WACC is 10% in CNY (CAPM ~9% plus 1pp for the offshore-China/policy regime) applied equally to all scenarios; the demand-cyclicality and regulatory risk is charged in the scenario flows and in a 30% bear weight, not stacked in the discount rate. Terminal value is capped at 15x FCF for a cyclical with a structural question mark; Gordon at 10%/2.5% binds at ~13.7x. Net cash of RMB 3.4bn (30 June 2026) is added once, with interest income stripped from the flows and the RMB 206M unpaid FY2025 dividend deducted. The result sits well below the market price: at the current price the market capitalises ~43x FY2025 earnings and ~24x consensus FY2026, i.e. it is pricing a return to FY2024-level earnings within two to three years, which neither the sector data nor H1 FY2026 supports. Book value is ~HKD 4.8/share, of which RMB 9.6bn of inventory at cost is 70%; the DCF below book says the stockpile only earns its cost of capital if it is sold through at recovered prices, which is the bull case.
key_risks_to_valuation: Pace and depth of the baijiu sector recovery: the base case's FY2026 +12% leans on an easy H2 comparison; if H2 FY2026 shipments do not normalise, FY2026 lands near the bear case.; Inventory: RMB 9.6bn (2.6x revenue) of mostly aged base liquor; the engine cannot model write-downs, and continued production ahead of sales is an ongoing cash drain beyond the working-capital capture assumed.; Margin reset: ASP fell 13% FY2024 -&gt; FY2025 and the Premier Retailers Alliance shares channel margin; the 32% mature margin could be optimistic if price inversion persists.; Policy regime: a further tightening of anti-extravagance or consumption-tax rules would hit demand and margin simultaneously; a relaxation is the upside.; Brand concentration (Zhen Jiu + Li Du ~82% of revenue) and management transition (new CEO June 2026).; Currency: value is built in CNY and translated at CNY/HKD 1.1748; a weaker RMB lowers the HKD value one-for-one.</t>
  </si>
  <si>
    <t xml:space="preserve">Data sources</t>
  </si>
  <si>
    <t xml:space="preserve">price: Yahoo Finance chart API, HKEX regular close at inputs.price_as_of; 52-week range 7.01-9.84 HKD.
fx: Yahoo Finance CNYHKD=X at 2026-10-23.
financials: 6979.HK_Metrics.csv (core_metrics from FY2023-FY2025 annual reports and H1 FY2024-H1 FY2026 interim reports); 30 June 2026 balance sheet, cash flow statement and EPS note read directly from 6979.HK_HalfYear_H1-2026.txt (lines 3640-3700, 3839-3879, 4415-4465).
qualitative: 6979.HK_Analysis.json (2026-10-24): business model, sector destocking context, guidance, bull/bear cases.</t>
  </si>
  <si>
    <t xml:space="preserve">Scenario narrative: bear</t>
  </si>
  <si>
    <t xml:space="preserve">The industry-wide channel inventory (~RMB 300bn, ~900-day turnover) means the H1 FY2026 uptick was restocking, not demand; even Moutai's 2026 price rise failed to lift the sector. A second leg down in FY2027-28 takes revenue below RMB 3.4bn, the anti-extravagance regime and younger consumers' drift from baijiu make the sub-premium tier structurally smaller, and a new CEO (June 2026) is managing a shrinking business with RMB 9.6bn of inventory that may need writing down. Margin settles around 23% with fixed-cost under-absorption; the dividend is cut. Net cash keeps the company solvent, which is why the scenario is a stagnation case rather than a going-concern case.</t>
  </si>
  <si>
    <t xml:space="preserve">Scenario narrative: base</t>
  </si>
  <si>
    <t xml:space="preserve">The May 2025 policy shock and sector destocking have reset ZJLD to a lower base, from which it recovers slowly rather than snapping back. FY2026 grows ~12% almost entirely because H2 FY2025 was a deliberate shipment-cut trough; thereafter growth fades from 8% to 3% as Li Du's national expansion offsets a structurally smaller Zhen Jiu gifting/banquet market. Operating EBITDA margin climbs from 29% to 32%, short of the 33-34% of FY2023-24 because ASP has reset and the Premier Retailers Alliance shares more margin with retailers. Capex falls toward D&amp;A on an already over-built seven-plant footprint, and the inventory build slows but growth still consumes working capital. FY2035 revenue of ~RMB 6.2bn remains below the FY2024 peak; the valuation does not extrapolate that peak.</t>
  </si>
  <si>
    <t xml:space="preserve">Scenario narrative: bull</t>
  </si>
  <si>
    <t xml:space="preserve">Destocking completes in 2026 and the sector's 2025-26 contraction proves cyclical: official-consumption restrictions bite less on the private banquet, wedding and gifting occasions ZJLD's Da Zhen and Zhen 15 relaunch target, Li Du's +29% H1 FY2026 momentum carries nationally, and the Premier Retailers Alliance delivers disciplined pricing and channel profitability. Revenue regains the FY2024 peak by FY2033 and reaches ~RMB 7.6bn by FY2035; margin rises to 34% as self-produced base liquor replaces purchased liquor and the mix premiumises. Working-capital drag eases as aged stock is sold down.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</si>
  <si>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</si>
  <si>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</si>
  <si>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</si>
  <si>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</si>
  <si>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</si>
  <si>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</si>
  <si>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</si>
  <si>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</si>
  <si>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</si>
  <si>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</si>
  <si>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</si>
  <si>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</si>
  <si>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</si>
  <si>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</si>
  <si>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</si>
  <si>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</si>
  <si>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</si>
  <si>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</si>
  <si>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</si>
  <si>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</si>
  <si>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</si>
  <si>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</si>
  <si>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</si>
  <si>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</si>
  <si>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</si>
  <si>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</si>
  <si>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</si>
  <si>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AverageSellingPrice</t>
  </si>
  <si>
    <t xml:space="preserve">CashGeneratedFromOperations</t>
  </si>
  <si>
    <t xml:space="preserve">ConvertiblePreferredSharesLiability</t>
  </si>
  <si>
    <t xml:space="preserve">FairValueChangePreferredShares</t>
  </si>
  <si>
    <t xml:space="preserve">Inventory</t>
  </si>
  <si>
    <t xml:space="preserve">SalesVolume</t>
  </si>
  <si>
    <t xml:space="preserve">ShareAwardSchemePurchases</t>
  </si>
  <si>
    <t xml:space="preserve">TotalCashAndDeposits</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</si>
  <si>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</si>
  <si>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</si>
  <si>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</si>
  <si>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</si>
  <si>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</si>
  <si>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</si>
  <si>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</si>
  <si>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</si>
  <si>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</si>
  <si>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</si>
  <si>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</si>
  <si>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</si>
  <si>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</si>
  <si>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</si>
  <si>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</si>
  <si>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</si>
  <si>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</si>
  <si>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</si>
  <si>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</si>
  <si>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</si>
  <si>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</si>
  <si>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</si>
  <si>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</si>
  <si>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</si>
  <si>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</si>
  <si>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</si>
  <si>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</si>
  <si>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</si>
  <si>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</si>
  <si>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</si>
  <si>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</si>
  <si>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</si>
  <si>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</si>
  <si>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</si>
  <si>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</si>
  <si>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</si>
  <si>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</si>
  <si>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</si>
  <si>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</si>
  <si>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</si>
  <si>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</si>
  <si>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6979.HK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</si>
  <si>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</si>
  <si>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</si>
  <si>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</si>
  <si>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</si>
  <si>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</si>
  <si>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</si>
  <si>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</si>
  <si>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</si>
  <si>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</si>
  <si>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</si>
  <si>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</si>
  <si>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</si>
  <si>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</si>
  <si>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</si>
  <si>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</si>
  <si>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</si>
  <si>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</si>
  <si>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</si>
  <si>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</si>
  <si>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</si>
  <si>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</si>
  <si>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</si>
  <si>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</si>
  <si>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</si>
  <si>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</si>
  <si>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</si>
  <si>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</si>
  <si>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</si>
  <si>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</si>
  <si>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</si>
  <si>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6979.HK owner-FCF component DCF: base case (millions, CNY)</t>
  </si>
  <si>
    <t xml:space="preserve">6979.HK owner-FCF component DCF: bull case (millions, CNY)</t>
  </si>
  <si>
    <t xml:space="preserve">6979.HK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</si>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</sst>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5855.917</v>
      </c>
      <c r="C2" s="0" t="n">
        <v>2616.987</v>
      </c>
      <c r="D2" s="0" t="n">
        <v>3238.93</v>
      </c>
      <c r="E2" s="0" t="n">
        <v>55.3</v>
      </c>
      <c r="F2" s="0" t="n">
        <v>1631.947</v>
      </c>
      <c r="G2" s="0" t="n">
        <v>27.9</v>
      </c>
      <c r="H2" s="0" t="n">
        <v>1789.016</v>
      </c>
      <c r="I2" s="0" t="n">
        <v>1029.866</v>
      </c>
      <c r="J2" s="0" t="n">
        <v>17.6</v>
      </c>
      <c r="K2" s="0" t="n">
        <v>0.43</v>
      </c>
      <c r="L2" s="0" t="n">
        <v>-710.616</v>
      </c>
      <c r="M2" s="0" t="n">
        <v>1422.237</v>
      </c>
      <c r="N2" s="0" t="n">
        <v>-2132.853</v>
      </c>
      <c r="O2" s="0" t="n">
        <v>-3815.214</v>
      </c>
      <c r="P2" s="0" t="n">
        <v>11058.889</v>
      </c>
      <c r="Q2" s="0" t="n">
        <v>14874.103</v>
      </c>
      <c r="R2" s="0" t="n">
        <v>101.788</v>
      </c>
      <c r="S2" s="0" t="n">
        <v>1683.382</v>
      </c>
      <c r="U2" s="0" t="n">
        <v>0</v>
      </c>
      <c r="AA2" s="0" t="s">
        <v>18</v>
      </c>
      <c r="AB2" s="0" t="s">
        <v>14</v>
      </c>
      <c r="AC2" s="0" t="n">
        <v>245</v>
      </c>
      <c r="AD2" s="0" t="n">
        <v>225.456</v>
      </c>
      <c r="AE2" s="0" t="n">
        <v>10253.755</v>
      </c>
      <c r="AF2" s="0" t="n">
        <v>-130.668</v>
      </c>
      <c r="AG2" s="0" t="n">
        <v>5138.51</v>
      </c>
      <c r="AH2" s="0" t="n">
        <v>23875</v>
      </c>
      <c r="AJ2" s="0" t="n">
        <v>1683.448</v>
      </c>
    </row>
    <row r="3" customFormat="false" ht="15" hidden="false" customHeight="false" outlineLevel="0" collapsed="false">
      <c r="A3" s="0" t="s">
        <v>73</v>
      </c>
      <c r="B3" s="0" t="n">
        <v>7030.467</v>
      </c>
      <c r="C3" s="0" t="n">
        <v>2950.519</v>
      </c>
      <c r="D3" s="0" t="n">
        <v>4079.948</v>
      </c>
      <c r="E3" s="0" t="n">
        <v>58</v>
      </c>
      <c r="F3" s="0" t="n">
        <v>2115.587</v>
      </c>
      <c r="G3" s="0" t="n">
        <v>30.1</v>
      </c>
      <c r="H3" s="0" t="n">
        <v>2375.113</v>
      </c>
      <c r="I3" s="0" t="n">
        <v>2327.083</v>
      </c>
      <c r="J3" s="0" t="n">
        <v>33.1</v>
      </c>
      <c r="K3" s="0" t="n">
        <v>0.49</v>
      </c>
      <c r="L3" s="0" t="n">
        <v>361.226</v>
      </c>
      <c r="M3" s="0" t="n">
        <v>961.222</v>
      </c>
      <c r="N3" s="0" t="n">
        <v>-599.996</v>
      </c>
      <c r="O3" s="0" t="n">
        <v>12675.754</v>
      </c>
      <c r="P3" s="0" t="n">
        <v>17577.701</v>
      </c>
      <c r="Q3" s="0" t="n">
        <v>4901.947</v>
      </c>
      <c r="R3" s="0" t="n">
        <v>75.709</v>
      </c>
      <c r="S3" s="0" t="n">
        <v>5770.517</v>
      </c>
      <c r="T3" s="0" t="n">
        <v>3115.383</v>
      </c>
      <c r="U3" s="0" t="n">
        <v>70.028</v>
      </c>
      <c r="AA3" s="0" t="s">
        <v>18</v>
      </c>
      <c r="AB3" s="0" t="s">
        <v>14</v>
      </c>
      <c r="AC3" s="0" t="n">
        <v>270</v>
      </c>
      <c r="AD3" s="0" t="n">
        <v>704.038</v>
      </c>
      <c r="AF3" s="0" t="n">
        <v>814.915</v>
      </c>
      <c r="AG3" s="0" t="n">
        <v>6383.479</v>
      </c>
      <c r="AH3" s="0" t="n">
        <v>26067</v>
      </c>
      <c r="AJ3" s="0" t="n">
        <v>6053.224</v>
      </c>
    </row>
    <row r="4" customFormat="false" ht="15" hidden="false" customHeight="false" outlineLevel="0" collapsed="false">
      <c r="A4" s="0" t="s">
        <v>74</v>
      </c>
      <c r="B4" s="0" t="n">
        <v>7066.784</v>
      </c>
      <c r="C4" s="0" t="n">
        <v>2923.744</v>
      </c>
      <c r="D4" s="0" t="n">
        <v>4143.04</v>
      </c>
      <c r="E4" s="0" t="n">
        <v>58.6</v>
      </c>
      <c r="F4" s="0" t="n">
        <v>1907.215</v>
      </c>
      <c r="G4" s="0" t="n">
        <v>27</v>
      </c>
      <c r="H4" s="0" t="n">
        <v>2259.707</v>
      </c>
      <c r="I4" s="0" t="n">
        <v>1323.622</v>
      </c>
      <c r="J4" s="0" t="n">
        <v>18.7</v>
      </c>
      <c r="K4" s="0" t="n">
        <v>0.4</v>
      </c>
      <c r="L4" s="0" t="n">
        <v>781.003</v>
      </c>
      <c r="M4" s="0" t="n">
        <v>1076.268</v>
      </c>
      <c r="N4" s="0" t="n">
        <v>-295.265</v>
      </c>
      <c r="O4" s="0" t="n">
        <v>13952.059</v>
      </c>
      <c r="P4" s="0" t="n">
        <v>19606.84</v>
      </c>
      <c r="Q4" s="0" t="n">
        <v>5654.781</v>
      </c>
      <c r="R4" s="0" t="n">
        <v>539.831</v>
      </c>
      <c r="S4" s="0" t="n">
        <v>5650.206</v>
      </c>
      <c r="T4" s="0" t="n">
        <v>3310.008</v>
      </c>
      <c r="U4" s="0" t="n">
        <v>352.653</v>
      </c>
      <c r="AA4" s="0" t="s">
        <v>18</v>
      </c>
      <c r="AB4" s="0" t="s">
        <v>14</v>
      </c>
      <c r="AC4" s="0" t="n">
        <v>285</v>
      </c>
      <c r="AD4" s="0" t="n">
        <v>1380.253</v>
      </c>
      <c r="AG4" s="0" t="n">
        <v>7503.414</v>
      </c>
      <c r="AH4" s="0" t="n">
        <v>24827</v>
      </c>
      <c r="AJ4" s="0" t="n">
        <v>6202.22</v>
      </c>
    </row>
    <row r="5" customFormat="false" ht="15" hidden="false" customHeight="false" outlineLevel="0" collapsed="false">
      <c r="A5" s="0" t="s">
        <v>75</v>
      </c>
      <c r="B5" s="0" t="n">
        <v>3650.459</v>
      </c>
      <c r="C5" s="0" t="n">
        <v>1515.9</v>
      </c>
      <c r="D5" s="0" t="n">
        <v>2134.559</v>
      </c>
      <c r="E5" s="0" t="n">
        <v>58.5</v>
      </c>
      <c r="F5" s="0" t="n">
        <v>754.887</v>
      </c>
      <c r="G5" s="0" t="n">
        <v>20.7</v>
      </c>
      <c r="H5" s="0" t="n">
        <v>1112.09</v>
      </c>
      <c r="I5" s="0" t="n">
        <v>538.469</v>
      </c>
      <c r="J5" s="0" t="n">
        <v>14.8</v>
      </c>
      <c r="K5" s="0" t="n">
        <v>0.163</v>
      </c>
      <c r="L5" s="0" t="n">
        <v>-885.612</v>
      </c>
      <c r="M5" s="0" t="n">
        <v>459.127</v>
      </c>
      <c r="N5" s="0" t="n">
        <v>-1344.739</v>
      </c>
      <c r="O5" s="0" t="n">
        <v>13611.928</v>
      </c>
      <c r="P5" s="0" t="n">
        <v>20136.485</v>
      </c>
      <c r="Q5" s="0" t="n">
        <v>6524.557</v>
      </c>
      <c r="R5" s="0" t="n">
        <v>978.904</v>
      </c>
      <c r="S5" s="0" t="n">
        <v>4112.376</v>
      </c>
      <c r="T5" s="0" t="n">
        <v>3308.843</v>
      </c>
      <c r="U5" s="0" t="n">
        <v>-26.15</v>
      </c>
      <c r="AA5" s="0" t="s">
        <v>18</v>
      </c>
      <c r="AB5" s="0" t="s">
        <v>14</v>
      </c>
      <c r="AC5" s="0" t="n">
        <v>249</v>
      </c>
      <c r="AD5" s="0" t="n">
        <v>-569.461</v>
      </c>
      <c r="AG5" s="0" t="n">
        <v>9185.944</v>
      </c>
      <c r="AH5" s="0" t="n">
        <v>14653</v>
      </c>
      <c r="AI5" s="0" t="n">
        <v>96.194</v>
      </c>
      <c r="AJ5" s="0" t="n">
        <v>5340.662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8</v>
      </c>
    </row>
    <row r="3" customFormat="false" ht="15" hidden="false" customHeight="false" outlineLevel="0" collapsed="false">
      <c r="A3" s="0" t="s">
        <v>79</v>
      </c>
      <c r="B3" s="3" t="n">
        <v>3388.624</v>
      </c>
    </row>
    <row r="4" customFormat="false" ht="15" hidden="false" customHeight="false" outlineLevel="0" collapsed="false">
      <c r="A4" s="0" t="s">
        <v>80</v>
      </c>
      <c r="B4" s="3" t="n">
        <v>-3429</v>
      </c>
    </row>
    <row r="5" customFormat="false" ht="15" hidden="false" customHeight="false" outlineLevel="0" collapsed="false">
      <c r="A5" s="0" t="s">
        <v>81</v>
      </c>
      <c r="B5" s="3" t="n">
        <v>-206.024</v>
      </c>
    </row>
    <row r="6" customFormat="false" ht="15" hidden="false" customHeight="false" outlineLevel="0" collapsed="false">
      <c r="A6" s="0" t="s">
        <v>82</v>
      </c>
      <c r="B6" s="3" t="n">
        <v>15</v>
      </c>
    </row>
    <row r="7" customFormat="false" ht="15" hidden="false" customHeight="false" outlineLevel="0" collapsed="false">
      <c r="A7" s="0" t="s">
        <v>83</v>
      </c>
      <c r="B7" s="3" t="n">
        <v>3650.459</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1.1748</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3</v>
      </c>
      <c r="D13" s="3" t="n">
        <v>-6</v>
      </c>
      <c r="E13" s="3" t="n">
        <v>-4</v>
      </c>
      <c r="F13" s="3" t="n">
        <v>0</v>
      </c>
      <c r="G13" s="3" t="n">
        <v>1</v>
      </c>
      <c r="H13" s="3" t="n">
        <v>2</v>
      </c>
      <c r="I13" s="3" t="n">
        <v>2</v>
      </c>
      <c r="J13" s="3" t="n">
        <v>2</v>
      </c>
      <c r="K13" s="3" t="n">
        <v>2</v>
      </c>
      <c r="L13" s="3" t="n">
        <v>2</v>
      </c>
    </row>
    <row r="14" customFormat="false" ht="15" hidden="false" customHeight="false" outlineLevel="0" collapsed="false">
      <c r="A14" s="0" t="s">
        <v>100</v>
      </c>
      <c r="C14" s="3" t="n">
        <v>25</v>
      </c>
      <c r="D14" s="3" t="n">
        <v>23</v>
      </c>
      <c r="E14" s="3" t="n">
        <v>22</v>
      </c>
      <c r="F14" s="3" t="n">
        <v>22</v>
      </c>
      <c r="G14" s="3" t="n">
        <v>22.5</v>
      </c>
      <c r="H14" s="3" t="n">
        <v>23</v>
      </c>
      <c r="I14" s="3" t="n">
        <v>23</v>
      </c>
      <c r="J14" s="3" t="n">
        <v>23</v>
      </c>
      <c r="K14" s="3" t="n">
        <v>23</v>
      </c>
      <c r="L14" s="3" t="n">
        <v>23</v>
      </c>
    </row>
    <row r="15" customFormat="false" ht="15" hidden="false" customHeight="false" outlineLevel="0" collapsed="false">
      <c r="A15" s="0" t="s">
        <v>101</v>
      </c>
      <c r="C15" s="3" t="n">
        <v>1</v>
      </c>
      <c r="D15" s="3" t="n">
        <v>1</v>
      </c>
      <c r="E15" s="3" t="n">
        <v>1</v>
      </c>
      <c r="F15" s="3" t="n">
        <v>1</v>
      </c>
      <c r="G15" s="3" t="n">
        <v>1</v>
      </c>
      <c r="H15" s="3" t="n">
        <v>1</v>
      </c>
      <c r="I15" s="3" t="n">
        <v>1</v>
      </c>
      <c r="J15" s="3" t="n">
        <v>1</v>
      </c>
      <c r="K15" s="3" t="n">
        <v>1</v>
      </c>
      <c r="L15" s="3" t="n">
        <v>1</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9.6</v>
      </c>
      <c r="D17" s="3" t="n">
        <v>10.2</v>
      </c>
      <c r="E17" s="3" t="n">
        <v>10.6</v>
      </c>
      <c r="F17" s="3" t="n">
        <v>10.6</v>
      </c>
      <c r="G17" s="3" t="n">
        <v>10.5</v>
      </c>
      <c r="H17" s="3" t="n">
        <v>10.4</v>
      </c>
      <c r="I17" s="3" t="n">
        <v>10.2</v>
      </c>
      <c r="J17" s="3" t="n">
        <v>10</v>
      </c>
      <c r="K17" s="3" t="n">
        <v>9.8</v>
      </c>
      <c r="L17" s="3" t="n">
        <v>9.6</v>
      </c>
    </row>
    <row r="18" customFormat="false" ht="15" hidden="false" customHeight="false" outlineLevel="0" collapsed="false">
      <c r="A18" s="0" t="s">
        <v>104</v>
      </c>
      <c r="C18" s="3" t="n">
        <v>11</v>
      </c>
      <c r="D18" s="3" t="n">
        <v>10</v>
      </c>
      <c r="E18" s="3" t="n">
        <v>9</v>
      </c>
      <c r="F18" s="3" t="n">
        <v>8</v>
      </c>
      <c r="G18" s="3" t="n">
        <v>7.5</v>
      </c>
      <c r="H18" s="3" t="n">
        <v>7.5</v>
      </c>
      <c r="I18" s="3" t="n">
        <v>7.5</v>
      </c>
      <c r="J18" s="3" t="n">
        <v>7.5</v>
      </c>
      <c r="K18" s="3" t="n">
        <v>7.5</v>
      </c>
      <c r="L18" s="3" t="n">
        <v>7.5</v>
      </c>
    </row>
    <row r="19" customFormat="false" ht="15" hidden="false" customHeight="false" outlineLevel="0" collapsed="false">
      <c r="A19" s="0" t="s">
        <v>105</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106</v>
      </c>
      <c r="B20" s="3" t="n">
        <v>10</v>
      </c>
    </row>
    <row r="21" customFormat="false" ht="15" hidden="false" customHeight="false" outlineLevel="0" collapsed="false">
      <c r="A21" s="0" t="s">
        <v>107</v>
      </c>
      <c r="B21" s="3" t="n">
        <v>1.5</v>
      </c>
    </row>
    <row r="22" customFormat="false" ht="15" hidden="false" customHeight="false" outlineLevel="0" collapsed="false">
      <c r="A22" s="0" t="s">
        <v>108</v>
      </c>
      <c r="B22" s="3" t="n">
        <v>15</v>
      </c>
    </row>
    <row r="23" customFormat="false" ht="15" hidden="false" customHeight="false" outlineLevel="0" collapsed="false">
      <c r="A23" s="0" t="s">
        <v>109</v>
      </c>
      <c r="B23" s="3" t="n">
        <v>-40</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12</v>
      </c>
      <c r="D27" s="3" t="n">
        <v>8</v>
      </c>
      <c r="E27" s="3" t="n">
        <v>7</v>
      </c>
      <c r="F27" s="3" t="n">
        <v>6</v>
      </c>
      <c r="G27" s="3" t="n">
        <v>5</v>
      </c>
      <c r="H27" s="3" t="n">
        <v>4</v>
      </c>
      <c r="I27" s="3" t="n">
        <v>3.5</v>
      </c>
      <c r="J27" s="3" t="n">
        <v>3</v>
      </c>
      <c r="K27" s="3" t="n">
        <v>3</v>
      </c>
      <c r="L27" s="3" t="n">
        <v>3</v>
      </c>
    </row>
    <row r="28" customFormat="false" ht="15" hidden="false" customHeight="false" outlineLevel="0" collapsed="false">
      <c r="A28" s="0" t="s">
        <v>100</v>
      </c>
      <c r="C28" s="3" t="n">
        <v>29</v>
      </c>
      <c r="D28" s="3" t="n">
        <v>29.5</v>
      </c>
      <c r="E28" s="3" t="n">
        <v>30</v>
      </c>
      <c r="F28" s="3" t="n">
        <v>30.5</v>
      </c>
      <c r="G28" s="3" t="n">
        <v>31</v>
      </c>
      <c r="H28" s="3" t="n">
        <v>31.5</v>
      </c>
      <c r="I28" s="3" t="n">
        <v>32</v>
      </c>
      <c r="J28" s="3" t="n">
        <v>32</v>
      </c>
      <c r="K28" s="3" t="n">
        <v>32</v>
      </c>
      <c r="L28" s="3" t="n">
        <v>32</v>
      </c>
    </row>
    <row r="29" customFormat="false" ht="15" hidden="false" customHeight="false" outlineLevel="0" collapsed="false">
      <c r="A29" s="0" t="s">
        <v>101</v>
      </c>
      <c r="C29" s="3" t="n">
        <v>1</v>
      </c>
      <c r="D29" s="3" t="n">
        <v>1</v>
      </c>
      <c r="E29" s="3" t="n">
        <v>1</v>
      </c>
      <c r="F29" s="3" t="n">
        <v>1</v>
      </c>
      <c r="G29" s="3" t="n">
        <v>1</v>
      </c>
      <c r="H29" s="3" t="n">
        <v>1</v>
      </c>
      <c r="I29" s="3" t="n">
        <v>1</v>
      </c>
      <c r="J29" s="3" t="n">
        <v>1</v>
      </c>
      <c r="K29" s="3" t="n">
        <v>1</v>
      </c>
      <c r="L29" s="3" t="n">
        <v>1</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8.8</v>
      </c>
      <c r="D31" s="3" t="n">
        <v>8.3</v>
      </c>
      <c r="E31" s="3" t="n">
        <v>7.9</v>
      </c>
      <c r="F31" s="3" t="n">
        <v>7.5</v>
      </c>
      <c r="G31" s="3" t="n">
        <v>7.2</v>
      </c>
      <c r="H31" s="3" t="n">
        <v>7</v>
      </c>
      <c r="I31" s="3" t="n">
        <v>6.8</v>
      </c>
      <c r="J31" s="3" t="n">
        <v>6.6</v>
      </c>
      <c r="K31" s="3" t="n">
        <v>6.4</v>
      </c>
      <c r="L31" s="3" t="n">
        <v>6.2</v>
      </c>
    </row>
    <row r="32" customFormat="false" ht="15" hidden="false" customHeight="false" outlineLevel="0" collapsed="false">
      <c r="A32" s="0" t="s">
        <v>104</v>
      </c>
      <c r="C32" s="3" t="n">
        <v>11</v>
      </c>
      <c r="D32" s="3" t="n">
        <v>10</v>
      </c>
      <c r="E32" s="3" t="n">
        <v>9</v>
      </c>
      <c r="F32" s="3" t="n">
        <v>8</v>
      </c>
      <c r="G32" s="3" t="n">
        <v>7.5</v>
      </c>
      <c r="H32" s="3" t="n">
        <v>7</v>
      </c>
      <c r="I32" s="3" t="n">
        <v>7</v>
      </c>
      <c r="J32" s="3" t="n">
        <v>7</v>
      </c>
      <c r="K32" s="3" t="n">
        <v>6.8</v>
      </c>
      <c r="L32" s="3" t="n">
        <v>6.8</v>
      </c>
    </row>
    <row r="33" customFormat="false" ht="15" hidden="false" customHeight="false" outlineLevel="0" collapsed="false">
      <c r="A33" s="0" t="s">
        <v>105</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106</v>
      </c>
      <c r="B34" s="3" t="n">
        <v>10</v>
      </c>
    </row>
    <row r="35" customFormat="false" ht="15" hidden="false" customHeight="false" outlineLevel="0" collapsed="false">
      <c r="A35" s="0" t="s">
        <v>107</v>
      </c>
      <c r="B35" s="3" t="n">
        <v>2.5</v>
      </c>
    </row>
    <row r="36" customFormat="false" ht="15" hidden="false" customHeight="false" outlineLevel="0" collapsed="false">
      <c r="A36" s="0" t="s">
        <v>108</v>
      </c>
      <c r="B36" s="3" t="n">
        <v>15</v>
      </c>
    </row>
    <row r="37" customFormat="false" ht="15" hidden="false" customHeight="false" outlineLevel="0" collapsed="false">
      <c r="A37" s="0" t="s">
        <v>109</v>
      </c>
      <c r="B37" s="3" t="n">
        <v>-40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18</v>
      </c>
      <c r="D41" s="3" t="n">
        <v>12</v>
      </c>
      <c r="E41" s="3" t="n">
        <v>10</v>
      </c>
      <c r="F41" s="3" t="n">
        <v>8</v>
      </c>
      <c r="G41" s="3" t="n">
        <v>7</v>
      </c>
      <c r="H41" s="3" t="n">
        <v>6</v>
      </c>
      <c r="I41" s="3" t="n">
        <v>5</v>
      </c>
      <c r="J41" s="3" t="n">
        <v>4</v>
      </c>
      <c r="K41" s="3" t="n">
        <v>3.5</v>
      </c>
      <c r="L41" s="3" t="n">
        <v>3</v>
      </c>
    </row>
    <row r="42" customFormat="false" ht="15" hidden="false" customHeight="false" outlineLevel="0" collapsed="false">
      <c r="A42" s="0" t="s">
        <v>100</v>
      </c>
      <c r="C42" s="3" t="n">
        <v>30</v>
      </c>
      <c r="D42" s="3" t="n">
        <v>31</v>
      </c>
      <c r="E42" s="3" t="n">
        <v>32</v>
      </c>
      <c r="F42" s="3" t="n">
        <v>32.5</v>
      </c>
      <c r="G42" s="3" t="n">
        <v>33</v>
      </c>
      <c r="H42" s="3" t="n">
        <v>33.5</v>
      </c>
      <c r="I42" s="3" t="n">
        <v>34</v>
      </c>
      <c r="J42" s="3" t="n">
        <v>34</v>
      </c>
      <c r="K42" s="3" t="n">
        <v>34</v>
      </c>
      <c r="L42" s="3" t="n">
        <v>34</v>
      </c>
    </row>
    <row r="43" customFormat="false" ht="15" hidden="false" customHeight="false" outlineLevel="0" collapsed="false">
      <c r="A43" s="0" t="s">
        <v>101</v>
      </c>
      <c r="C43" s="3" t="n">
        <v>1</v>
      </c>
      <c r="D43" s="3" t="n">
        <v>1</v>
      </c>
      <c r="E43" s="3" t="n">
        <v>1</v>
      </c>
      <c r="F43" s="3" t="n">
        <v>1</v>
      </c>
      <c r="G43" s="3" t="n">
        <v>1</v>
      </c>
      <c r="H43" s="3" t="n">
        <v>1</v>
      </c>
      <c r="I43" s="3" t="n">
        <v>1</v>
      </c>
      <c r="J43" s="3" t="n">
        <v>1</v>
      </c>
      <c r="K43" s="3" t="n">
        <v>1</v>
      </c>
      <c r="L43" s="3" t="n">
        <v>1</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8.4</v>
      </c>
      <c r="D45" s="3" t="n">
        <v>7.7</v>
      </c>
      <c r="E45" s="3" t="n">
        <v>7.1</v>
      </c>
      <c r="F45" s="3" t="n">
        <v>6.7</v>
      </c>
      <c r="G45" s="3" t="n">
        <v>6.4</v>
      </c>
      <c r="H45" s="3" t="n">
        <v>6.1</v>
      </c>
      <c r="I45" s="3" t="n">
        <v>5.9</v>
      </c>
      <c r="J45" s="3" t="n">
        <v>5.8</v>
      </c>
      <c r="K45" s="3" t="n">
        <v>5.7</v>
      </c>
      <c r="L45" s="3" t="n">
        <v>5.6</v>
      </c>
    </row>
    <row r="46" customFormat="false" ht="15" hidden="false" customHeight="false" outlineLevel="0" collapsed="false">
      <c r="A46" s="0" t="s">
        <v>104</v>
      </c>
      <c r="C46" s="3" t="n">
        <v>11</v>
      </c>
      <c r="D46" s="3" t="n">
        <v>10</v>
      </c>
      <c r="E46" s="3" t="n">
        <v>9</v>
      </c>
      <c r="F46" s="3" t="n">
        <v>8</v>
      </c>
      <c r="G46" s="3" t="n">
        <v>7</v>
      </c>
      <c r="H46" s="3" t="n">
        <v>6.5</v>
      </c>
      <c r="I46" s="3" t="n">
        <v>6.5</v>
      </c>
      <c r="J46" s="3" t="n">
        <v>6.5</v>
      </c>
      <c r="K46" s="3" t="n">
        <v>6.5</v>
      </c>
      <c r="L46" s="3" t="n">
        <v>6.5</v>
      </c>
    </row>
    <row r="47" customFormat="false" ht="15" hidden="false" customHeight="false" outlineLevel="0" collapsed="false">
      <c r="A47" s="0" t="s">
        <v>105</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106</v>
      </c>
      <c r="B48" s="3" t="n">
        <v>10</v>
      </c>
    </row>
    <row r="49" customFormat="false" ht="15" hidden="false" customHeight="false" outlineLevel="0" collapsed="false">
      <c r="A49" s="0" t="s">
        <v>107</v>
      </c>
      <c r="B49" s="3" t="n">
        <v>3</v>
      </c>
    </row>
    <row r="50" customFormat="false" ht="15" hidden="false" customHeight="false" outlineLevel="0" collapsed="false">
      <c r="A50" s="0" t="s">
        <v>108</v>
      </c>
      <c r="B50" s="3" t="n">
        <v>15</v>
      </c>
    </row>
    <row r="51" customFormat="false" ht="15" hidden="false" customHeight="false" outlineLevel="0" collapsed="false">
      <c r="A51" s="0" t="s">
        <v>109</v>
      </c>
      <c r="B51" s="3" t="n">
        <v>-30</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3</v>
      </c>
      <c r="D5" s="4" t="n">
        <f aca="false">Assumptions!D13</f>
        <v>-6</v>
      </c>
      <c r="E5" s="4" t="n">
        <f aca="false">Assumptions!E13</f>
        <v>-4</v>
      </c>
      <c r="F5" s="4" t="n">
        <f aca="false">Assumptions!F13</f>
        <v>0</v>
      </c>
      <c r="G5" s="4" t="n">
        <f aca="false">Assumptions!G13</f>
        <v>1</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3650.459</v>
      </c>
      <c r="C6" s="0" t="n">
        <f aca="false">B6*(1+C5/100)</f>
        <v>3759.97277</v>
      </c>
      <c r="D6" s="0" t="n">
        <f aca="false">C6*(1+D5/100)</f>
        <v>3534.3744038</v>
      </c>
      <c r="E6" s="0" t="n">
        <f aca="false">D6*(1+E5/100)</f>
        <v>3392.999427648</v>
      </c>
      <c r="F6" s="0" t="n">
        <f aca="false">E6*(1+F5/100)</f>
        <v>3392.999427648</v>
      </c>
      <c r="G6" s="0" t="n">
        <f aca="false">F6*(1+G5/100)</f>
        <v>3426.92942192448</v>
      </c>
      <c r="H6" s="0" t="n">
        <f aca="false">G6*(1+H5/100)</f>
        <v>3495.46801036297</v>
      </c>
      <c r="I6" s="0" t="n">
        <f aca="false">H6*(1+I5/100)</f>
        <v>3565.37737057023</v>
      </c>
      <c r="J6" s="0" t="n">
        <f aca="false">I6*(1+J5/100)</f>
        <v>3636.68491798163</v>
      </c>
      <c r="K6" s="0" t="n">
        <f aca="false">J6*(1+K5/100)</f>
        <v>3709.41861634127</v>
      </c>
      <c r="L6" s="0" t="n">
        <f aca="false">K6*(1+L5/100)</f>
        <v>3783.60698866809</v>
      </c>
    </row>
    <row r="7" customFormat="false" ht="15" hidden="false" customHeight="false" outlineLevel="0" collapsed="false">
      <c r="A7" s="0" t="s">
        <v>100</v>
      </c>
      <c r="C7" s="4" t="n">
        <f aca="false">Assumptions!C14</f>
        <v>25</v>
      </c>
      <c r="D7" s="4" t="n">
        <f aca="false">Assumptions!D14</f>
        <v>23</v>
      </c>
      <c r="E7" s="4" t="n">
        <f aca="false">Assumptions!E14</f>
        <v>22</v>
      </c>
      <c r="F7" s="4" t="n">
        <f aca="false">Assumptions!F14</f>
        <v>22</v>
      </c>
      <c r="G7" s="4" t="n">
        <f aca="false">Assumptions!G14</f>
        <v>22.5</v>
      </c>
      <c r="H7" s="4" t="n">
        <f aca="false">Assumptions!H14</f>
        <v>23</v>
      </c>
      <c r="I7" s="4" t="n">
        <f aca="false">Assumptions!I14</f>
        <v>23</v>
      </c>
      <c r="J7" s="4" t="n">
        <f aca="false">Assumptions!J14</f>
        <v>23</v>
      </c>
      <c r="K7" s="4" t="n">
        <f aca="false">Assumptions!K14</f>
        <v>23</v>
      </c>
      <c r="L7" s="4" t="n">
        <f aca="false">Assumptions!L14</f>
        <v>23</v>
      </c>
    </row>
    <row r="8" customFormat="false" ht="15" hidden="false" customHeight="false" outlineLevel="0" collapsed="false">
      <c r="A8" s="0" t="s">
        <v>44</v>
      </c>
      <c r="C8" s="0" t="n">
        <f aca="false">C6*C7/100</f>
        <v>939.9931925</v>
      </c>
      <c r="D8" s="0" t="n">
        <f aca="false">D6*D7/100</f>
        <v>812.906112874</v>
      </c>
      <c r="E8" s="0" t="n">
        <f aca="false">E6*E7/100</f>
        <v>746.45987408256</v>
      </c>
      <c r="F8" s="0" t="n">
        <f aca="false">F6*F7/100</f>
        <v>746.45987408256</v>
      </c>
      <c r="G8" s="0" t="n">
        <f aca="false">G6*G7/100</f>
        <v>771.059119933008</v>
      </c>
      <c r="H8" s="0" t="n">
        <f aca="false">H6*H7/100</f>
        <v>803.957642383483</v>
      </c>
      <c r="I8" s="0" t="n">
        <f aca="false">I6*I7/100</f>
        <v>820.036795231153</v>
      </c>
      <c r="J8" s="0" t="n">
        <f aca="false">J6*J7/100</f>
        <v>836.437531135776</v>
      </c>
      <c r="K8" s="0" t="n">
        <f aca="false">K6*K7/100</f>
        <v>853.166281758491</v>
      </c>
      <c r="L8" s="0" t="n">
        <f aca="false">L6*L7/100</f>
        <v>870.229607393661</v>
      </c>
    </row>
    <row r="9" customFormat="false" ht="15" hidden="false" customHeight="false" outlineLevel="0" collapsed="false">
      <c r="A9" s="0" t="s">
        <v>101</v>
      </c>
      <c r="C9" s="4" t="n">
        <f aca="false">Assumptions!C15</f>
        <v>1</v>
      </c>
      <c r="D9" s="4" t="n">
        <f aca="false">Assumptions!D15</f>
        <v>1</v>
      </c>
      <c r="E9" s="4" t="n">
        <f aca="false">Assumptions!E15</f>
        <v>1</v>
      </c>
      <c r="F9" s="4" t="n">
        <f aca="false">Assumptions!F15</f>
        <v>1</v>
      </c>
      <c r="G9" s="4" t="n">
        <f aca="false">Assumptions!G15</f>
        <v>1</v>
      </c>
      <c r="H9" s="4" t="n">
        <f aca="false">Assumptions!H15</f>
        <v>1</v>
      </c>
      <c r="I9" s="4" t="n">
        <f aca="false">Assumptions!I15</f>
        <v>1</v>
      </c>
      <c r="J9" s="4" t="n">
        <f aca="false">Assumptions!J15</f>
        <v>1</v>
      </c>
      <c r="K9" s="4" t="n">
        <f aca="false">Assumptions!K15</f>
        <v>1</v>
      </c>
      <c r="L9" s="4" t="n">
        <f aca="false">Assumptions!L15</f>
        <v>1</v>
      </c>
    </row>
    <row r="10" customFormat="false" ht="15" hidden="false" customHeight="false" outlineLevel="0" collapsed="false">
      <c r="A10" s="0" t="s">
        <v>116</v>
      </c>
      <c r="C10" s="0" t="n">
        <f aca="false">-C6*C9/100</f>
        <v>-37.5997277</v>
      </c>
      <c r="D10" s="0" t="n">
        <f aca="false">-D6*D9/100</f>
        <v>-35.343744038</v>
      </c>
      <c r="E10" s="0" t="n">
        <f aca="false">-E6*E9/100</f>
        <v>-33.92999427648</v>
      </c>
      <c r="F10" s="0" t="n">
        <f aca="false">-F6*F9/100</f>
        <v>-33.92999427648</v>
      </c>
      <c r="G10" s="0" t="n">
        <f aca="false">-G6*G9/100</f>
        <v>-34.2692942192448</v>
      </c>
      <c r="H10" s="0" t="n">
        <f aca="false">-H6*H9/100</f>
        <v>-34.9546801036297</v>
      </c>
      <c r="I10" s="0" t="n">
        <f aca="false">-I6*I9/100</f>
        <v>-35.6537737057023</v>
      </c>
      <c r="J10" s="0" t="n">
        <f aca="false">-J6*J9/100</f>
        <v>-36.3668491798163</v>
      </c>
      <c r="K10" s="0" t="n">
        <f aca="false">-K6*K9/100</f>
        <v>-37.0941861634127</v>
      </c>
      <c r="L10" s="0" t="n">
        <f aca="false">-L6*L9/100</f>
        <v>-37.8360698866809</v>
      </c>
    </row>
    <row r="11" customFormat="false" ht="15" hidden="false" customHeight="false" outlineLevel="0" collapsed="false">
      <c r="A11" s="0" t="s">
        <v>117</v>
      </c>
      <c r="C11" s="0" t="n">
        <f aca="false">C8+C10+C24</f>
        <v>902.3934648</v>
      </c>
      <c r="D11" s="0" t="n">
        <f aca="false">D8+D10+D24</f>
        <v>777.562368836</v>
      </c>
      <c r="E11" s="0" t="n">
        <f aca="false">E8+E10+E24</f>
        <v>712.52987980608</v>
      </c>
      <c r="F11" s="0" t="n">
        <f aca="false">F8+F10+F24</f>
        <v>712.52987980608</v>
      </c>
      <c r="G11" s="0" t="n">
        <f aca="false">G8+G10+G24</f>
        <v>736.789825713763</v>
      </c>
      <c r="H11" s="0" t="n">
        <f aca="false">H8+H10+H24</f>
        <v>769.002962279853</v>
      </c>
      <c r="I11" s="0" t="n">
        <f aca="false">I8+I10+I24</f>
        <v>784.38302152545</v>
      </c>
      <c r="J11" s="0" t="n">
        <f aca="false">J8+J10+J24</f>
        <v>800.070681955959</v>
      </c>
      <c r="K11" s="0" t="n">
        <f aca="false">K8+K10+K24</f>
        <v>816.072095595079</v>
      </c>
      <c r="L11" s="0" t="n">
        <f aca="false">L8+L10+L24</f>
        <v>832.39353750698</v>
      </c>
    </row>
    <row r="12" customFormat="false" ht="15" hidden="false" customHeight="false" outlineLevel="0" collapsed="false">
      <c r="A12" s="0" t="s">
        <v>118</v>
      </c>
      <c r="C12" s="4" t="n">
        <f aca="false">-C6*Assumptions!C17/100</f>
        <v>-360.95738592</v>
      </c>
      <c r="D12" s="4" t="n">
        <f aca="false">-D6*Assumptions!D17/100</f>
        <v>-360.5061891876</v>
      </c>
      <c r="E12" s="4" t="n">
        <f aca="false">-E6*Assumptions!E17/100</f>
        <v>-359.657939330688</v>
      </c>
      <c r="F12" s="4" t="n">
        <f aca="false">-F6*Assumptions!F17/100</f>
        <v>-359.657939330688</v>
      </c>
      <c r="G12" s="4" t="n">
        <f aca="false">-G6*Assumptions!G17/100</f>
        <v>-359.82758930207</v>
      </c>
      <c r="H12" s="4" t="n">
        <f aca="false">-H6*Assumptions!H17/100</f>
        <v>-363.528673077749</v>
      </c>
      <c r="I12" s="4" t="n">
        <f aca="false">-I6*Assumptions!I17/100</f>
        <v>-363.668491798163</v>
      </c>
      <c r="J12" s="4" t="n">
        <f aca="false">-J6*Assumptions!J17/100</f>
        <v>-363.668491798163</v>
      </c>
      <c r="K12" s="4" t="n">
        <f aca="false">-K6*Assumptions!K17/100</f>
        <v>-363.523024401444</v>
      </c>
      <c r="L12" s="4" t="n">
        <f aca="false">-L6*Assumptions!L17/100</f>
        <v>-363.226270912137</v>
      </c>
    </row>
    <row r="13" customFormat="false" ht="15" hidden="false" customHeight="false" outlineLevel="0" collapsed="false">
      <c r="A13" s="0" t="s">
        <v>119</v>
      </c>
      <c r="C13" s="0" t="n">
        <f aca="false">C11+C12</f>
        <v>541.43607888</v>
      </c>
      <c r="D13" s="0" t="n">
        <f aca="false">D11+D12</f>
        <v>417.0561796484</v>
      </c>
      <c r="E13" s="0" t="n">
        <f aca="false">E11+E12</f>
        <v>352.871940475392</v>
      </c>
      <c r="F13" s="0" t="n">
        <f aca="false">F11+F12</f>
        <v>352.871940475392</v>
      </c>
      <c r="G13" s="0" t="n">
        <f aca="false">G11+G12</f>
        <v>376.962236411693</v>
      </c>
      <c r="H13" s="0" t="n">
        <f aca="false">H11+H12</f>
        <v>405.474289202104</v>
      </c>
      <c r="I13" s="0" t="n">
        <f aca="false">I11+I12</f>
        <v>420.714529727287</v>
      </c>
      <c r="J13" s="0" t="n">
        <f aca="false">J11+J12</f>
        <v>436.402190157796</v>
      </c>
      <c r="K13" s="0" t="n">
        <f aca="false">K11+K12</f>
        <v>452.549071193634</v>
      </c>
      <c r="L13" s="0" t="n">
        <f aca="false">L11+L12</f>
        <v>469.167266594843</v>
      </c>
    </row>
    <row r="14" customFormat="false" ht="15" hidden="false" customHeight="false" outlineLevel="0" collapsed="false">
      <c r="A14" s="0" t="s">
        <v>105</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120</v>
      </c>
      <c r="C15" s="0" t="n">
        <f aca="false">C13-MAX(0,C13)*C14/100</f>
        <v>406.07705916</v>
      </c>
      <c r="D15" s="0" t="n">
        <f aca="false">D13-MAX(0,D13)*D14/100</f>
        <v>312.7921347363</v>
      </c>
      <c r="E15" s="0" t="n">
        <f aca="false">E13-MAX(0,E13)*E14/100</f>
        <v>264.653955356544</v>
      </c>
      <c r="F15" s="0" t="n">
        <f aca="false">F13-MAX(0,F13)*F14/100</f>
        <v>264.653955356544</v>
      </c>
      <c r="G15" s="0" t="n">
        <f aca="false">G13-MAX(0,G13)*G14/100</f>
        <v>282.72167730877</v>
      </c>
      <c r="H15" s="0" t="n">
        <f aca="false">H13-MAX(0,H13)*H14/100</f>
        <v>304.105716901578</v>
      </c>
      <c r="I15" s="0" t="n">
        <f aca="false">I13-MAX(0,I13)*I14/100</f>
        <v>315.535897295465</v>
      </c>
      <c r="J15" s="0" t="n">
        <f aca="false">J13-MAX(0,J13)*J14/100</f>
        <v>327.301642618347</v>
      </c>
      <c r="K15" s="0" t="n">
        <f aca="false">K13-MAX(0,K13)*K14/100</f>
        <v>339.411803395226</v>
      </c>
      <c r="L15" s="0" t="n">
        <f aca="false">L13-MAX(0,L13)*L14/100</f>
        <v>351.875449946133</v>
      </c>
    </row>
    <row r="16" customFormat="false" ht="15" hidden="false" customHeight="false" outlineLevel="0" collapsed="false">
      <c r="A16" s="0" t="s">
        <v>121</v>
      </c>
      <c r="C16" s="0" t="n">
        <f aca="false">-C12</f>
        <v>360.95738592</v>
      </c>
      <c r="D16" s="0" t="n">
        <f aca="false">-D12</f>
        <v>360.5061891876</v>
      </c>
      <c r="E16" s="0" t="n">
        <f aca="false">-E12</f>
        <v>359.657939330688</v>
      </c>
      <c r="F16" s="0" t="n">
        <f aca="false">-F12</f>
        <v>359.657939330688</v>
      </c>
      <c r="G16" s="0" t="n">
        <f aca="false">-G12</f>
        <v>359.82758930207</v>
      </c>
      <c r="H16" s="0" t="n">
        <f aca="false">-H12</f>
        <v>363.528673077749</v>
      </c>
      <c r="I16" s="0" t="n">
        <f aca="false">-I12</f>
        <v>363.668491798163</v>
      </c>
      <c r="J16" s="0" t="n">
        <f aca="false">-J12</f>
        <v>363.668491798163</v>
      </c>
      <c r="K16" s="0" t="n">
        <f aca="false">-K12</f>
        <v>363.523024401444</v>
      </c>
      <c r="L16" s="0" t="n">
        <f aca="false">-L12</f>
        <v>363.226270912137</v>
      </c>
    </row>
    <row r="17" customFormat="false" ht="15" hidden="false" customHeight="false" outlineLevel="0" collapsed="false">
      <c r="A17" s="0" t="s">
        <v>122</v>
      </c>
      <c r="C17" s="4" t="n">
        <f aca="false">-C6*Assumptions!C18/100</f>
        <v>-413.5970047</v>
      </c>
      <c r="D17" s="4" t="n">
        <f aca="false">-D6*Assumptions!D18/100</f>
        <v>-353.43744038</v>
      </c>
      <c r="E17" s="4" t="n">
        <f aca="false">-E6*Assumptions!E18/100</f>
        <v>-305.36994848832</v>
      </c>
      <c r="F17" s="4" t="n">
        <f aca="false">-F6*Assumptions!F18/100</f>
        <v>-271.43995421184</v>
      </c>
      <c r="G17" s="4" t="n">
        <f aca="false">-G6*Assumptions!G18/100</f>
        <v>-257.019706644336</v>
      </c>
      <c r="H17" s="4" t="n">
        <f aca="false">-H6*Assumptions!H18/100</f>
        <v>-262.160100777223</v>
      </c>
      <c r="I17" s="4" t="n">
        <f aca="false">-I6*Assumptions!I18/100</f>
        <v>-267.403302792767</v>
      </c>
      <c r="J17" s="4" t="n">
        <f aca="false">-J6*Assumptions!J18/100</f>
        <v>-272.751368848622</v>
      </c>
      <c r="K17" s="4" t="n">
        <f aca="false">-K6*Assumptions!K18/100</f>
        <v>-278.206396225595</v>
      </c>
      <c r="L17" s="4" t="n">
        <f aca="false">-L6*Assumptions!L18/100</f>
        <v>-283.770524150107</v>
      </c>
    </row>
    <row r="18" customFormat="false" ht="15" hidden="false" customHeight="false" outlineLevel="0" collapsed="false">
      <c r="A18" s="0" t="s">
        <v>123</v>
      </c>
      <c r="C18" s="4" t="n">
        <f aca="false">(C6-B6)*Assumptions!$B$23/100</f>
        <v>-43.805508</v>
      </c>
      <c r="D18" s="4" t="n">
        <f aca="false">(D6-C6)*Assumptions!$B$23/100</f>
        <v>90.2393464800001</v>
      </c>
      <c r="E18" s="4" t="n">
        <f aca="false">(E6-D6)*Assumptions!$B$23/100</f>
        <v>56.5499904608001</v>
      </c>
      <c r="F18" s="4" t="n">
        <f aca="false">(F6-E6)*Assumptions!$B$23/100</f>
        <v>-0</v>
      </c>
      <c r="G18" s="4" t="n">
        <f aca="false">(G6-F6)*Assumptions!$B$23/100</f>
        <v>-13.571997710592</v>
      </c>
      <c r="H18" s="4" t="n">
        <f aca="false">(H6-G6)*Assumptions!$B$23/100</f>
        <v>-27.4154353753958</v>
      </c>
      <c r="I18" s="4" t="n">
        <f aca="false">(I6-H6)*Assumptions!$B$23/100</f>
        <v>-27.9637440829038</v>
      </c>
      <c r="J18" s="4" t="n">
        <f aca="false">(J6-I6)*Assumptions!$B$23/100</f>
        <v>-28.5230189645619</v>
      </c>
      <c r="K18" s="4" t="n">
        <f aca="false">(K6-J6)*Assumptions!$B$23/100</f>
        <v>-29.0934793438531</v>
      </c>
      <c r="L18" s="4" t="n">
        <f aca="false">(L6-K6)*Assumptions!$B$23/100</f>
        <v>-29.6753489307301</v>
      </c>
    </row>
    <row r="19" customFormat="false" ht="15" hidden="false" customHeight="false" outlineLevel="0" collapsed="false">
      <c r="A19" s="0" t="s">
        <v>124</v>
      </c>
      <c r="C19" s="0" t="n">
        <f aca="false">C15+C16+C17+C18</f>
        <v>309.63193238</v>
      </c>
      <c r="D19" s="0" t="n">
        <f aca="false">D15+D16+D17+D18</f>
        <v>410.1002300239</v>
      </c>
      <c r="E19" s="0" t="n">
        <f aca="false">E15+E16+E17+E18</f>
        <v>375.491936659712</v>
      </c>
      <c r="F19" s="0" t="n">
        <f aca="false">F15+F16+F17+F18</f>
        <v>352.871940475392</v>
      </c>
      <c r="G19" s="0" t="n">
        <f aca="false">G15+G16+G17+G18</f>
        <v>371.957562255912</v>
      </c>
      <c r="H19" s="0" t="n">
        <f aca="false">H15+H16+H17+H18</f>
        <v>378.058853826709</v>
      </c>
      <c r="I19" s="0" t="n">
        <f aca="false">I15+I16+I17+I18</f>
        <v>383.837342217958</v>
      </c>
      <c r="J19" s="0" t="n">
        <f aca="false">J15+J16+J17+J18</f>
        <v>389.695746603326</v>
      </c>
      <c r="K19" s="0" t="n">
        <f aca="false">K15+K16+K17+K18</f>
        <v>395.634952227222</v>
      </c>
      <c r="L19" s="0" t="n">
        <f aca="false">L15+L16+L17+L18</f>
        <v>401.655847777432</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281.483574890909</v>
      </c>
      <c r="D21" s="0" t="n">
        <f aca="false">D19*D20</f>
        <v>338.925809937107</v>
      </c>
      <c r="E21" s="0" t="n">
        <f aca="false">E19*E20</f>
        <v>282.112649631639</v>
      </c>
      <c r="F21" s="0" t="n">
        <f aca="false">F19*F20</f>
        <v>241.016283365475</v>
      </c>
      <c r="G21" s="0" t="n">
        <f aca="false">G19*G20</f>
        <v>230.956381677799</v>
      </c>
      <c r="H21" s="0" t="n">
        <f aca="false">H19*H20</f>
        <v>213.404367011189</v>
      </c>
      <c r="I21" s="0" t="n">
        <f aca="false">I19*I20</f>
        <v>196.969248239243</v>
      </c>
      <c r="J21" s="0" t="n">
        <f aca="false">J19*J20</f>
        <v>181.795941826794</v>
      </c>
      <c r="K21" s="0" t="n">
        <f aca="false">K19*K20</f>
        <v>167.787840984476</v>
      </c>
      <c r="L21" s="0" t="n">
        <f aca="false">L19*L20</f>
        <v>154.855716770718</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10</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15</v>
      </c>
    </row>
    <row r="30" customFormat="false" ht="15" hidden="false" customHeight="false" outlineLevel="0" collapsed="false">
      <c r="A30" s="0" t="s">
        <v>129</v>
      </c>
      <c r="B30" s="0" t="n">
        <f aca="false">SUM(C21:L21)</f>
        <v>2289.30781433535</v>
      </c>
    </row>
    <row r="31" customFormat="false" ht="15" hidden="false" customHeight="false" outlineLevel="0" collapsed="false">
      <c r="A31" s="0" t="s">
        <v>130</v>
      </c>
      <c r="B31" s="0" t="n">
        <f aca="false">L19</f>
        <v>401.655847777432</v>
      </c>
    </row>
    <row r="32" customFormat="false" ht="15" hidden="false" customHeight="false" outlineLevel="0" collapsed="false">
      <c r="A32" s="0" t="s">
        <v>131</v>
      </c>
      <c r="B32" s="0" t="n">
        <f aca="false">IF(B27&gt;B28,B31*(1+B28/100)/((B27-B28)/100),B31*B29)</f>
        <v>4796.24335875405</v>
      </c>
    </row>
    <row r="33" customFormat="false" ht="15" hidden="false" customHeight="false" outlineLevel="0" collapsed="false">
      <c r="A33" s="0" t="s">
        <v>132</v>
      </c>
      <c r="B33" s="0" t="n">
        <f aca="false">B31*B29</f>
        <v>6024.83771666149</v>
      </c>
    </row>
    <row r="34" customFormat="false" ht="15" hidden="false" customHeight="false" outlineLevel="0" collapsed="false">
      <c r="A34" s="0" t="s">
        <v>133</v>
      </c>
      <c r="B34" s="0" t="n">
        <f aca="false">MAX(0,MIN(B32,B33))</f>
        <v>4796.24335875405</v>
      </c>
    </row>
    <row r="35" customFormat="false" ht="15" hidden="false" customHeight="false" outlineLevel="0" collapsed="false">
      <c r="A35" s="0" t="s">
        <v>134</v>
      </c>
      <c r="B35" s="0" t="n">
        <f aca="false">B34/(1+B27/100)^L4</f>
        <v>1849.15944143858</v>
      </c>
    </row>
    <row r="36" customFormat="false" ht="15" hidden="false" customHeight="false" outlineLevel="0" collapsed="false">
      <c r="A36" s="0" t="s">
        <v>135</v>
      </c>
      <c r="B36" s="0" t="n">
        <f aca="false">B30+B35</f>
        <v>4138.46725577393</v>
      </c>
    </row>
    <row r="37" customFormat="false" ht="15" hidden="false" customHeight="false" outlineLevel="0" collapsed="false">
      <c r="A37" s="0" t="s">
        <v>136</v>
      </c>
      <c r="B37" s="0" t="n">
        <f aca="false">B36+Assumptions!$B$5-Assumptions!$B$4</f>
        <v>7361.44325577393</v>
      </c>
    </row>
    <row r="38" customFormat="false" ht="15" hidden="false" customHeight="false" outlineLevel="0" collapsed="false">
      <c r="A38" s="0" t="s">
        <v>137</v>
      </c>
      <c r="B38" s="0" t="n">
        <f aca="false">B37/Assumptions!$B$3*Assumptions!$B$10</f>
        <v>2.55213429902026</v>
      </c>
    </row>
    <row r="39" customFormat="false" ht="15" hidden="false" customHeight="false" outlineLevel="0" collapsed="false">
      <c r="A39" s="0" t="s">
        <v>138</v>
      </c>
      <c r="B39" s="4" t="n">
        <f aca="false">B38/Assumptions!$B$2-1</f>
        <v>-0.680983212622468</v>
      </c>
    </row>
    <row r="41" customFormat="false" ht="15" hidden="false" customHeight="false" outlineLevel="0" collapsed="false">
      <c r="A41" s="0" t="s">
        <v>139</v>
      </c>
      <c r="B41" s="0" t="n">
        <f aca="false">SUMPRODUCT(-C10:L10/(1+$B$27/100)^C4:L4)</f>
        <v>218.647992947965</v>
      </c>
    </row>
    <row r="42" customFormat="false" ht="15" hidden="false" customHeight="false" outlineLevel="0" collapsed="false">
      <c r="A42" s="0" t="s">
        <v>140</v>
      </c>
      <c r="B42" s="0" t="n">
        <f aca="false">IF(B27&gt;B28,-L10*(1+B28/100)/((B27-B28)/100),-L10*20)/(1+B27/100)^L4</f>
        <v>174.19122924523</v>
      </c>
    </row>
    <row r="43" customFormat="false" ht="15" hidden="false" customHeight="false" outlineLevel="0" collapsed="false">
      <c r="A43" s="0" t="s">
        <v>141</v>
      </c>
      <c r="B43" s="0" t="n">
        <f aca="false">(B37+B41+B42)/Assumptions!$B$3*Assumptions!$B$10</f>
        <v>2.68832749077967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3019.85692958588</v>
      </c>
    </row>
    <row r="47" customFormat="false" ht="15" hidden="false" customHeight="false" outlineLevel="0" collapsed="false">
      <c r="A47" s="0" t="s">
        <v>143</v>
      </c>
      <c r="B47" s="0" t="n">
        <f aca="false">(SUMPRODUCT(C19:L19/(1+B45/100)^C4:L4)+B46/(1+B45/100)^L4+Assumptions!$B$5-Assumptions!$B$4)/Assumptions!$B$3*Assumptions!$B$10</f>
        <v>2.02093504832721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12</v>
      </c>
      <c r="D5" s="4" t="n">
        <f aca="false">Assumptions!D27</f>
        <v>8</v>
      </c>
      <c r="E5" s="4" t="n">
        <f aca="false">Assumptions!E27</f>
        <v>7</v>
      </c>
      <c r="F5" s="4" t="n">
        <f aca="false">Assumptions!F27</f>
        <v>6</v>
      </c>
      <c r="G5" s="4" t="n">
        <f aca="false">Assumptions!G27</f>
        <v>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3650.459</v>
      </c>
      <c r="C6" s="0" t="n">
        <f aca="false">B6*(1+C5/100)</f>
        <v>4088.51408</v>
      </c>
      <c r="D6" s="0" t="n">
        <f aca="false">C6*(1+D5/100)</f>
        <v>4415.5952064</v>
      </c>
      <c r="E6" s="0" t="n">
        <f aca="false">D6*(1+E5/100)</f>
        <v>4724.686870848</v>
      </c>
      <c r="F6" s="0" t="n">
        <f aca="false">E6*(1+F5/100)</f>
        <v>5008.16808309888</v>
      </c>
      <c r="G6" s="0" t="n">
        <f aca="false">F6*(1+G5/100)</f>
        <v>5258.57648725383</v>
      </c>
      <c r="H6" s="0" t="n">
        <f aca="false">G6*(1+H5/100)</f>
        <v>5468.91954674398</v>
      </c>
      <c r="I6" s="0" t="n">
        <f aca="false">H6*(1+I5/100)</f>
        <v>5660.33173088002</v>
      </c>
      <c r="J6" s="0" t="n">
        <f aca="false">I6*(1+J5/100)</f>
        <v>5830.14168280642</v>
      </c>
      <c r="K6" s="0" t="n">
        <f aca="false">J6*(1+K5/100)</f>
        <v>6005.04593329061</v>
      </c>
      <c r="L6" s="0" t="n">
        <f aca="false">K6*(1+L5/100)</f>
        <v>6185.19731128933</v>
      </c>
    </row>
    <row r="7" customFormat="false" ht="15" hidden="false" customHeight="false" outlineLevel="0" collapsed="false">
      <c r="A7" s="0" t="s">
        <v>100</v>
      </c>
      <c r="C7" s="4" t="n">
        <f aca="false">Assumptions!C28</f>
        <v>29</v>
      </c>
      <c r="D7" s="4" t="n">
        <f aca="false">Assumptions!D28</f>
        <v>29.5</v>
      </c>
      <c r="E7" s="4" t="n">
        <f aca="false">Assumptions!E28</f>
        <v>30</v>
      </c>
      <c r="F7" s="4" t="n">
        <f aca="false">Assumptions!F28</f>
        <v>30.5</v>
      </c>
      <c r="G7" s="4" t="n">
        <f aca="false">Assumptions!G28</f>
        <v>31</v>
      </c>
      <c r="H7" s="4" t="n">
        <f aca="false">Assumptions!H28</f>
        <v>31.5</v>
      </c>
      <c r="I7" s="4" t="n">
        <f aca="false">Assumptions!I28</f>
        <v>32</v>
      </c>
      <c r="J7" s="4" t="n">
        <f aca="false">Assumptions!J28</f>
        <v>32</v>
      </c>
      <c r="K7" s="4" t="n">
        <f aca="false">Assumptions!K28</f>
        <v>32</v>
      </c>
      <c r="L7" s="4" t="n">
        <f aca="false">Assumptions!L28</f>
        <v>32</v>
      </c>
    </row>
    <row r="8" customFormat="false" ht="15" hidden="false" customHeight="false" outlineLevel="0" collapsed="false">
      <c r="A8" s="0" t="s">
        <v>44</v>
      </c>
      <c r="C8" s="0" t="n">
        <f aca="false">C6*C7/100</f>
        <v>1185.6690832</v>
      </c>
      <c r="D8" s="0" t="n">
        <f aca="false">D6*D7/100</f>
        <v>1302.600585888</v>
      </c>
      <c r="E8" s="0" t="n">
        <f aca="false">E6*E7/100</f>
        <v>1417.4060612544</v>
      </c>
      <c r="F8" s="0" t="n">
        <f aca="false">F6*F7/100</f>
        <v>1527.49126534516</v>
      </c>
      <c r="G8" s="0" t="n">
        <f aca="false">G6*G7/100</f>
        <v>1630.15871104869</v>
      </c>
      <c r="H8" s="0" t="n">
        <f aca="false">H6*H7/100</f>
        <v>1722.70965722435</v>
      </c>
      <c r="I8" s="0" t="n">
        <f aca="false">I6*I7/100</f>
        <v>1811.30615388161</v>
      </c>
      <c r="J8" s="0" t="n">
        <f aca="false">J6*J7/100</f>
        <v>1865.64533849805</v>
      </c>
      <c r="K8" s="0" t="n">
        <f aca="false">K6*K7/100</f>
        <v>1921.614698653</v>
      </c>
      <c r="L8" s="0" t="n">
        <f aca="false">L6*L7/100</f>
        <v>1979.26313961258</v>
      </c>
    </row>
    <row r="9" customFormat="false" ht="15" hidden="false" customHeight="false" outlineLevel="0" collapsed="false">
      <c r="A9" s="0" t="s">
        <v>101</v>
      </c>
      <c r="C9" s="4" t="n">
        <f aca="false">Assumptions!C29</f>
        <v>1</v>
      </c>
      <c r="D9" s="4" t="n">
        <f aca="false">Assumptions!D29</f>
        <v>1</v>
      </c>
      <c r="E9" s="4" t="n">
        <f aca="false">Assumptions!E29</f>
        <v>1</v>
      </c>
      <c r="F9" s="4" t="n">
        <f aca="false">Assumptions!F29</f>
        <v>1</v>
      </c>
      <c r="G9" s="4" t="n">
        <f aca="false">Assumptions!G29</f>
        <v>1</v>
      </c>
      <c r="H9" s="4" t="n">
        <f aca="false">Assumptions!H29</f>
        <v>1</v>
      </c>
      <c r="I9" s="4" t="n">
        <f aca="false">Assumptions!I29</f>
        <v>1</v>
      </c>
      <c r="J9" s="4" t="n">
        <f aca="false">Assumptions!J29</f>
        <v>1</v>
      </c>
      <c r="K9" s="4" t="n">
        <f aca="false">Assumptions!K29</f>
        <v>1</v>
      </c>
      <c r="L9" s="4" t="n">
        <f aca="false">Assumptions!L29</f>
        <v>1</v>
      </c>
    </row>
    <row r="10" customFormat="false" ht="15" hidden="false" customHeight="false" outlineLevel="0" collapsed="false">
      <c r="A10" s="0" t="s">
        <v>116</v>
      </c>
      <c r="C10" s="0" t="n">
        <f aca="false">-C6*C9/100</f>
        <v>-40.8851408</v>
      </c>
      <c r="D10" s="0" t="n">
        <f aca="false">-D6*D9/100</f>
        <v>-44.155952064</v>
      </c>
      <c r="E10" s="0" t="n">
        <f aca="false">-E6*E9/100</f>
        <v>-47.24686870848</v>
      </c>
      <c r="F10" s="0" t="n">
        <f aca="false">-F6*F9/100</f>
        <v>-50.0816808309888</v>
      </c>
      <c r="G10" s="0" t="n">
        <f aca="false">-G6*G9/100</f>
        <v>-52.5857648725383</v>
      </c>
      <c r="H10" s="0" t="n">
        <f aca="false">-H6*H9/100</f>
        <v>-54.6891954674398</v>
      </c>
      <c r="I10" s="0" t="n">
        <f aca="false">-I6*I9/100</f>
        <v>-56.6033173088002</v>
      </c>
      <c r="J10" s="0" t="n">
        <f aca="false">-J6*J9/100</f>
        <v>-58.3014168280642</v>
      </c>
      <c r="K10" s="0" t="n">
        <f aca="false">-K6*K9/100</f>
        <v>-60.0504593329061</v>
      </c>
      <c r="L10" s="0" t="n">
        <f aca="false">-L6*L9/100</f>
        <v>-61.8519731128933</v>
      </c>
    </row>
    <row r="11" customFormat="false" ht="15" hidden="false" customHeight="false" outlineLevel="0" collapsed="false">
      <c r="A11" s="0" t="s">
        <v>117</v>
      </c>
      <c r="C11" s="0" t="n">
        <f aca="false">C8+C10+C24</f>
        <v>1144.7839424</v>
      </c>
      <c r="D11" s="0" t="n">
        <f aca="false">D8+D10+D24</f>
        <v>1258.444633824</v>
      </c>
      <c r="E11" s="0" t="n">
        <f aca="false">E8+E10+E24</f>
        <v>1370.15919254592</v>
      </c>
      <c r="F11" s="0" t="n">
        <f aca="false">F8+F10+F24</f>
        <v>1477.40958451417</v>
      </c>
      <c r="G11" s="0" t="n">
        <f aca="false">G8+G10+G24</f>
        <v>1577.57294617615</v>
      </c>
      <c r="H11" s="0" t="n">
        <f aca="false">H8+H10+H24</f>
        <v>1668.02046175691</v>
      </c>
      <c r="I11" s="0" t="n">
        <f aca="false">I8+I10+I24</f>
        <v>1754.70283657281</v>
      </c>
      <c r="J11" s="0" t="n">
        <f aca="false">J8+J10+J24</f>
        <v>1807.34392166999</v>
      </c>
      <c r="K11" s="0" t="n">
        <f aca="false">K8+K10+K24</f>
        <v>1861.56423932009</v>
      </c>
      <c r="L11" s="0" t="n">
        <f aca="false">L8+L10+L24</f>
        <v>1917.41116649969</v>
      </c>
    </row>
    <row r="12" customFormat="false" ht="15" hidden="false" customHeight="false" outlineLevel="0" collapsed="false">
      <c r="A12" s="0" t="s">
        <v>118</v>
      </c>
      <c r="C12" s="4" t="n">
        <f aca="false">-C6*Assumptions!C31/100</f>
        <v>-359.78923904</v>
      </c>
      <c r="D12" s="4" t="n">
        <f aca="false">-D6*Assumptions!D31/100</f>
        <v>-366.4944021312</v>
      </c>
      <c r="E12" s="4" t="n">
        <f aca="false">-E6*Assumptions!E31/100</f>
        <v>-373.250262796992</v>
      </c>
      <c r="F12" s="4" t="n">
        <f aca="false">-F6*Assumptions!F31/100</f>
        <v>-375.612606232416</v>
      </c>
      <c r="G12" s="4" t="n">
        <f aca="false">-G6*Assumptions!G31/100</f>
        <v>-378.617507082275</v>
      </c>
      <c r="H12" s="4" t="n">
        <f aca="false">-H6*Assumptions!H31/100</f>
        <v>-382.824368272078</v>
      </c>
      <c r="I12" s="4" t="n">
        <f aca="false">-I6*Assumptions!I31/100</f>
        <v>-384.902557699841</v>
      </c>
      <c r="J12" s="4" t="n">
        <f aca="false">-J6*Assumptions!J31/100</f>
        <v>-384.789351065223</v>
      </c>
      <c r="K12" s="4" t="n">
        <f aca="false">-K6*Assumptions!K31/100</f>
        <v>-384.322939730599</v>
      </c>
      <c r="L12" s="4" t="n">
        <f aca="false">-L6*Assumptions!L31/100</f>
        <v>-383.482233299938</v>
      </c>
    </row>
    <row r="13" customFormat="false" ht="15" hidden="false" customHeight="false" outlineLevel="0" collapsed="false">
      <c r="A13" s="0" t="s">
        <v>119</v>
      </c>
      <c r="C13" s="0" t="n">
        <f aca="false">C11+C12</f>
        <v>784.99470336</v>
      </c>
      <c r="D13" s="0" t="n">
        <f aca="false">D11+D12</f>
        <v>891.9502316928</v>
      </c>
      <c r="E13" s="0" t="n">
        <f aca="false">E11+E12</f>
        <v>996.908929748928</v>
      </c>
      <c r="F13" s="0" t="n">
        <f aca="false">F11+F12</f>
        <v>1101.79697828175</v>
      </c>
      <c r="G13" s="0" t="n">
        <f aca="false">G11+G12</f>
        <v>1198.95543909387</v>
      </c>
      <c r="H13" s="0" t="n">
        <f aca="false">H11+H12</f>
        <v>1285.19609348483</v>
      </c>
      <c r="I13" s="0" t="n">
        <f aca="false">I11+I12</f>
        <v>1369.80027887296</v>
      </c>
      <c r="J13" s="0" t="n">
        <f aca="false">J11+J12</f>
        <v>1422.55457060477</v>
      </c>
      <c r="K13" s="0" t="n">
        <f aca="false">K11+K12</f>
        <v>1477.24129958949</v>
      </c>
      <c r="L13" s="0" t="n">
        <f aca="false">L11+L12</f>
        <v>1533.92893319975</v>
      </c>
    </row>
    <row r="14" customFormat="false" ht="15" hidden="false" customHeight="false" outlineLevel="0" collapsed="false">
      <c r="A14" s="0" t="s">
        <v>105</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120</v>
      </c>
      <c r="C15" s="0" t="n">
        <f aca="false">C13-MAX(0,C13)*C14/100</f>
        <v>588.74602752</v>
      </c>
      <c r="D15" s="0" t="n">
        <f aca="false">D13-MAX(0,D13)*D14/100</f>
        <v>668.9626737696</v>
      </c>
      <c r="E15" s="0" t="n">
        <f aca="false">E13-MAX(0,E13)*E14/100</f>
        <v>747.681697311696</v>
      </c>
      <c r="F15" s="0" t="n">
        <f aca="false">F13-MAX(0,F13)*F14/100</f>
        <v>826.347733711316</v>
      </c>
      <c r="G15" s="0" t="n">
        <f aca="false">G13-MAX(0,G13)*G14/100</f>
        <v>899.216579320404</v>
      </c>
      <c r="H15" s="0" t="n">
        <f aca="false">H13-MAX(0,H13)*H14/100</f>
        <v>963.897070113626</v>
      </c>
      <c r="I15" s="0" t="n">
        <f aca="false">I13-MAX(0,I13)*I14/100</f>
        <v>1027.35020915472</v>
      </c>
      <c r="J15" s="0" t="n">
        <f aca="false">J13-MAX(0,J13)*J14/100</f>
        <v>1066.91592795357</v>
      </c>
      <c r="K15" s="0" t="n">
        <f aca="false">K13-MAX(0,K13)*K14/100</f>
        <v>1107.93097469212</v>
      </c>
      <c r="L15" s="0" t="n">
        <f aca="false">L13-MAX(0,L13)*L14/100</f>
        <v>1150.44669989981</v>
      </c>
    </row>
    <row r="16" customFormat="false" ht="15" hidden="false" customHeight="false" outlineLevel="0" collapsed="false">
      <c r="A16" s="0" t="s">
        <v>121</v>
      </c>
      <c r="C16" s="0" t="n">
        <f aca="false">-C12</f>
        <v>359.78923904</v>
      </c>
      <c r="D16" s="0" t="n">
        <f aca="false">-D12</f>
        <v>366.4944021312</v>
      </c>
      <c r="E16" s="0" t="n">
        <f aca="false">-E12</f>
        <v>373.250262796992</v>
      </c>
      <c r="F16" s="0" t="n">
        <f aca="false">-F12</f>
        <v>375.612606232416</v>
      </c>
      <c r="G16" s="0" t="n">
        <f aca="false">-G12</f>
        <v>378.617507082275</v>
      </c>
      <c r="H16" s="0" t="n">
        <f aca="false">-H12</f>
        <v>382.824368272078</v>
      </c>
      <c r="I16" s="0" t="n">
        <f aca="false">-I12</f>
        <v>384.902557699841</v>
      </c>
      <c r="J16" s="0" t="n">
        <f aca="false">-J12</f>
        <v>384.789351065223</v>
      </c>
      <c r="K16" s="0" t="n">
        <f aca="false">-K12</f>
        <v>384.322939730599</v>
      </c>
      <c r="L16" s="0" t="n">
        <f aca="false">-L12</f>
        <v>383.482233299938</v>
      </c>
    </row>
    <row r="17" customFormat="false" ht="15" hidden="false" customHeight="false" outlineLevel="0" collapsed="false">
      <c r="A17" s="0" t="s">
        <v>122</v>
      </c>
      <c r="C17" s="4" t="n">
        <f aca="false">-C6*Assumptions!C32/100</f>
        <v>-449.7365488</v>
      </c>
      <c r="D17" s="4" t="n">
        <f aca="false">-D6*Assumptions!D32/100</f>
        <v>-441.55952064</v>
      </c>
      <c r="E17" s="4" t="n">
        <f aca="false">-E6*Assumptions!E32/100</f>
        <v>-425.22181837632</v>
      </c>
      <c r="F17" s="4" t="n">
        <f aca="false">-F6*Assumptions!F32/100</f>
        <v>-400.65344664791</v>
      </c>
      <c r="G17" s="4" t="n">
        <f aca="false">-G6*Assumptions!G32/100</f>
        <v>-394.393236544037</v>
      </c>
      <c r="H17" s="4" t="n">
        <f aca="false">-H6*Assumptions!H32/100</f>
        <v>-382.824368272078</v>
      </c>
      <c r="I17" s="4" t="n">
        <f aca="false">-I6*Assumptions!I32/100</f>
        <v>-396.223221161601</v>
      </c>
      <c r="J17" s="4" t="n">
        <f aca="false">-J6*Assumptions!J32/100</f>
        <v>-408.109917796449</v>
      </c>
      <c r="K17" s="4" t="n">
        <f aca="false">-K6*Assumptions!K32/100</f>
        <v>-408.343123463761</v>
      </c>
      <c r="L17" s="4" t="n">
        <f aca="false">-L6*Assumptions!L32/100</f>
        <v>-420.593417167674</v>
      </c>
    </row>
    <row r="18" customFormat="false" ht="15" hidden="false" customHeight="false" outlineLevel="0" collapsed="false">
      <c r="A18" s="0" t="s">
        <v>123</v>
      </c>
      <c r="C18" s="4" t="n">
        <f aca="false">(C6-B6)*Assumptions!$B$37/100</f>
        <v>-175.222032</v>
      </c>
      <c r="D18" s="4" t="n">
        <f aca="false">(D6-C6)*Assumptions!$B$37/100</f>
        <v>-130.83245056</v>
      </c>
      <c r="E18" s="4" t="n">
        <f aca="false">(E6-D6)*Assumptions!$B$37/100</f>
        <v>-123.6366657792</v>
      </c>
      <c r="F18" s="4" t="n">
        <f aca="false">(F6-E6)*Assumptions!$B$37/100</f>
        <v>-113.392484900352</v>
      </c>
      <c r="G18" s="4" t="n">
        <f aca="false">(G6-F6)*Assumptions!$B$37/100</f>
        <v>-100.163361661978</v>
      </c>
      <c r="H18" s="4" t="n">
        <f aca="false">(H6-G6)*Assumptions!$B$37/100</f>
        <v>-84.1372237960612</v>
      </c>
      <c r="I18" s="4" t="n">
        <f aca="false">(I6-H6)*Assumptions!$B$37/100</f>
        <v>-76.5648736544154</v>
      </c>
      <c r="J18" s="4" t="n">
        <f aca="false">(J6-I6)*Assumptions!$B$37/100</f>
        <v>-67.9239807705602</v>
      </c>
      <c r="K18" s="4" t="n">
        <f aca="false">(K6-J6)*Assumptions!$B$37/100</f>
        <v>-69.9617001936771</v>
      </c>
      <c r="L18" s="4" t="n">
        <f aca="false">(L6-K6)*Assumptions!$B$37/100</f>
        <v>-72.0605511994872</v>
      </c>
    </row>
    <row r="19" customFormat="false" ht="15" hidden="false" customHeight="false" outlineLevel="0" collapsed="false">
      <c r="A19" s="0" t="s">
        <v>124</v>
      </c>
      <c r="C19" s="0" t="n">
        <f aca="false">C15+C16+C17+C18</f>
        <v>323.57668576</v>
      </c>
      <c r="D19" s="0" t="n">
        <f aca="false">D15+D16+D17+D18</f>
        <v>463.0651047008</v>
      </c>
      <c r="E19" s="0" t="n">
        <f aca="false">E15+E16+E17+E18</f>
        <v>572.073475953168</v>
      </c>
      <c r="F19" s="0" t="n">
        <f aca="false">F15+F16+F17+F18</f>
        <v>687.914408395469</v>
      </c>
      <c r="G19" s="0" t="n">
        <f aca="false">G15+G16+G17+G18</f>
        <v>783.277488196665</v>
      </c>
      <c r="H19" s="0" t="n">
        <f aca="false">H15+H16+H17+H18</f>
        <v>879.759846317565</v>
      </c>
      <c r="I19" s="0" t="n">
        <f aca="false">I15+I16+I17+I18</f>
        <v>939.464672038548</v>
      </c>
      <c r="J19" s="0" t="n">
        <f aca="false">J15+J16+J17+J18</f>
        <v>975.671380451788</v>
      </c>
      <c r="K19" s="0" t="n">
        <f aca="false">K15+K16+K17+K18</f>
        <v>1013.94909076528</v>
      </c>
      <c r="L19" s="0" t="n">
        <f aca="false">L15+L16+L17+L18</f>
        <v>1041.27496483259</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294.160623418182</v>
      </c>
      <c r="D21" s="0" t="n">
        <f aca="false">D19*D20</f>
        <v>382.698433637025</v>
      </c>
      <c r="E21" s="0" t="n">
        <f aca="false">E19*E20</f>
        <v>429.807269686828</v>
      </c>
      <c r="F21" s="0" t="n">
        <f aca="false">F19*F20</f>
        <v>469.854797073608</v>
      </c>
      <c r="G21" s="0" t="n">
        <f aca="false">G19*G20</f>
        <v>486.353694293525</v>
      </c>
      <c r="H21" s="0" t="n">
        <f aca="false">H19*H20</f>
        <v>496.601497954383</v>
      </c>
      <c r="I21" s="0" t="n">
        <f aca="false">I19*I20</f>
        <v>482.093923247529</v>
      </c>
      <c r="J21" s="0" t="n">
        <f aca="false">J19*J20</f>
        <v>455.157899640178</v>
      </c>
      <c r="K21" s="0" t="n">
        <f aca="false">K19*K20</f>
        <v>430.013394544501</v>
      </c>
      <c r="L21" s="0" t="n">
        <f aca="false">L19*L20</f>
        <v>401.456575142177</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10</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4328.19810863793</v>
      </c>
    </row>
    <row r="31" customFormat="false" ht="15" hidden="false" customHeight="false" outlineLevel="0" collapsed="false">
      <c r="A31" s="0" t="s">
        <v>130</v>
      </c>
      <c r="B31" s="0" t="n">
        <f aca="false">L19</f>
        <v>1041.27496483259</v>
      </c>
    </row>
    <row r="32" customFormat="false" ht="15" hidden="false" customHeight="false" outlineLevel="0" collapsed="false">
      <c r="A32" s="0" t="s">
        <v>131</v>
      </c>
      <c r="B32" s="0" t="n">
        <f aca="false">IF(B27&gt;B28,B31*(1+B28/100)/((B27-B28)/100),B31*B29)</f>
        <v>14230.7578527121</v>
      </c>
    </row>
    <row r="33" customFormat="false" ht="15" hidden="false" customHeight="false" outlineLevel="0" collapsed="false">
      <c r="A33" s="0" t="s">
        <v>132</v>
      </c>
      <c r="B33" s="0" t="n">
        <f aca="false">B31*B29</f>
        <v>15619.1244724889</v>
      </c>
    </row>
    <row r="34" customFormat="false" ht="15" hidden="false" customHeight="false" outlineLevel="0" collapsed="false">
      <c r="A34" s="0" t="s">
        <v>133</v>
      </c>
      <c r="B34" s="0" t="n">
        <f aca="false">MAX(0,MIN(B32,B33))</f>
        <v>14230.7578527121</v>
      </c>
    </row>
    <row r="35" customFormat="false" ht="15" hidden="false" customHeight="false" outlineLevel="0" collapsed="false">
      <c r="A35" s="0" t="s">
        <v>134</v>
      </c>
      <c r="B35" s="0" t="n">
        <f aca="false">B34/(1+B27/100)^L4</f>
        <v>5486.57319360975</v>
      </c>
    </row>
    <row r="36" customFormat="false" ht="15" hidden="false" customHeight="false" outlineLevel="0" collapsed="false">
      <c r="A36" s="0" t="s">
        <v>135</v>
      </c>
      <c r="B36" s="0" t="n">
        <f aca="false">B30+B35</f>
        <v>9814.77130224769</v>
      </c>
    </row>
    <row r="37" customFormat="false" ht="15" hidden="false" customHeight="false" outlineLevel="0" collapsed="false">
      <c r="A37" s="0" t="s">
        <v>136</v>
      </c>
      <c r="B37" s="0" t="n">
        <f aca="false">B36+Assumptions!$B$5-Assumptions!$B$4</f>
        <v>13037.7473022477</v>
      </c>
    </row>
    <row r="38" customFormat="false" ht="15" hidden="false" customHeight="false" outlineLevel="0" collapsed="false">
      <c r="A38" s="0" t="s">
        <v>137</v>
      </c>
      <c r="B38" s="0" t="n">
        <f aca="false">B37/Assumptions!$B$3*Assumptions!$B$10</f>
        <v>4.52004870728667</v>
      </c>
    </row>
    <row r="39" customFormat="false" ht="15" hidden="false" customHeight="false" outlineLevel="0" collapsed="false">
      <c r="A39" s="0" t="s">
        <v>138</v>
      </c>
      <c r="B39" s="4" t="n">
        <f aca="false">B38/Assumptions!$B$2-1</f>
        <v>-0.434993911589166</v>
      </c>
    </row>
    <row r="41" customFormat="false" ht="15" hidden="false" customHeight="false" outlineLevel="0" collapsed="false">
      <c r="A41" s="0" t="s">
        <v>139</v>
      </c>
      <c r="B41" s="0" t="n">
        <f aca="false">SUMPRODUCT(-C10:L10/(1+$B$27/100)^C4:L4)</f>
        <v>312.445176592328</v>
      </c>
    </row>
    <row r="42" customFormat="false" ht="15" hidden="false" customHeight="false" outlineLevel="0" collapsed="false">
      <c r="A42" s="0" t="s">
        <v>140</v>
      </c>
      <c r="B42" s="0" t="n">
        <f aca="false">IF(B27&gt;B28,-L10*(1+B28/100)/((B27-B28)/100),-L10*20)/(1+B27/100)^L4</f>
        <v>325.903713345908</v>
      </c>
    </row>
    <row r="43" customFormat="false" ht="15" hidden="false" customHeight="false" outlineLevel="0" collapsed="false">
      <c r="A43" s="0" t="s">
        <v>141</v>
      </c>
      <c r="B43" s="0" t="n">
        <f aca="false">(B37+B41+B42)/Assumptions!$B$3*Assumptions!$B$10</f>
        <v>4.7413574969014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8538.45471162725</v>
      </c>
    </row>
    <row r="47" customFormat="false" ht="15" hidden="false" customHeight="false" outlineLevel="0" collapsed="false">
      <c r="A47" s="0" t="s">
        <v>143</v>
      </c>
      <c r="B47" s="0" t="n">
        <f aca="false">(SUMPRODUCT(C19:L19/(1+B45/100)^C4:L4)+B46/(1+B45/100)^L4+Assumptions!$B$5-Assumptions!$B$4)/Assumptions!$B$3*Assumptions!$B$10</f>
        <v>3.02384084830659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18</v>
      </c>
      <c r="D5" s="4" t="n">
        <f aca="false">Assumptions!D41</f>
        <v>12</v>
      </c>
      <c r="E5" s="4" t="n">
        <f aca="false">Assumptions!E41</f>
        <v>10</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3650.459</v>
      </c>
      <c r="C6" s="0" t="n">
        <f aca="false">B6*(1+C5/100)</f>
        <v>4307.54162</v>
      </c>
      <c r="D6" s="0" t="n">
        <f aca="false">C6*(1+D5/100)</f>
        <v>4824.4466144</v>
      </c>
      <c r="E6" s="0" t="n">
        <f aca="false">D6*(1+E5/100)</f>
        <v>5306.89127584</v>
      </c>
      <c r="F6" s="0" t="n">
        <f aca="false">E6*(1+F5/100)</f>
        <v>5731.4425779072</v>
      </c>
      <c r="G6" s="0" t="n">
        <f aca="false">F6*(1+G5/100)</f>
        <v>6132.64355836071</v>
      </c>
      <c r="H6" s="0" t="n">
        <f aca="false">G6*(1+H5/100)</f>
        <v>6500.60217186235</v>
      </c>
      <c r="I6" s="0" t="n">
        <f aca="false">H6*(1+I5/100)</f>
        <v>6825.63228045547</v>
      </c>
      <c r="J6" s="0" t="n">
        <f aca="false">I6*(1+J5/100)</f>
        <v>7098.65757167369</v>
      </c>
      <c r="K6" s="0" t="n">
        <f aca="false">J6*(1+K5/100)</f>
        <v>7347.11058668226</v>
      </c>
      <c r="L6" s="0" t="n">
        <f aca="false">K6*(1+L5/100)</f>
        <v>7567.52390428273</v>
      </c>
    </row>
    <row r="7" customFormat="false" ht="15" hidden="false" customHeight="false" outlineLevel="0" collapsed="false">
      <c r="A7" s="0" t="s">
        <v>100</v>
      </c>
      <c r="C7" s="4" t="n">
        <f aca="false">Assumptions!C42</f>
        <v>30</v>
      </c>
      <c r="D7" s="4" t="n">
        <f aca="false">Assumptions!D42</f>
        <v>31</v>
      </c>
      <c r="E7" s="4" t="n">
        <f aca="false">Assumptions!E42</f>
        <v>32</v>
      </c>
      <c r="F7" s="4" t="n">
        <f aca="false">Assumptions!F42</f>
        <v>32.5</v>
      </c>
      <c r="G7" s="4" t="n">
        <f aca="false">Assumptions!G42</f>
        <v>33</v>
      </c>
      <c r="H7" s="4" t="n">
        <f aca="false">Assumptions!H42</f>
        <v>33.5</v>
      </c>
      <c r="I7" s="4" t="n">
        <f aca="false">Assumptions!I42</f>
        <v>34</v>
      </c>
      <c r="J7" s="4" t="n">
        <f aca="false">Assumptions!J42</f>
        <v>34</v>
      </c>
      <c r="K7" s="4" t="n">
        <f aca="false">Assumptions!K42</f>
        <v>34</v>
      </c>
      <c r="L7" s="4" t="n">
        <f aca="false">Assumptions!L42</f>
        <v>34</v>
      </c>
    </row>
    <row r="8" customFormat="false" ht="15" hidden="false" customHeight="false" outlineLevel="0" collapsed="false">
      <c r="A8" s="0" t="s">
        <v>44</v>
      </c>
      <c r="C8" s="0" t="n">
        <f aca="false">C6*C7/100</f>
        <v>1292.262486</v>
      </c>
      <c r="D8" s="0" t="n">
        <f aca="false">D6*D7/100</f>
        <v>1495.578450464</v>
      </c>
      <c r="E8" s="0" t="n">
        <f aca="false">E6*E7/100</f>
        <v>1698.2052082688</v>
      </c>
      <c r="F8" s="0" t="n">
        <f aca="false">F6*F7/100</f>
        <v>1862.71883781984</v>
      </c>
      <c r="G8" s="0" t="n">
        <f aca="false">G6*G7/100</f>
        <v>2023.77237425903</v>
      </c>
      <c r="H8" s="0" t="n">
        <f aca="false">H6*H7/100</f>
        <v>2177.70172757389</v>
      </c>
      <c r="I8" s="0" t="n">
        <f aca="false">I6*I7/100</f>
        <v>2320.71497535486</v>
      </c>
      <c r="J8" s="0" t="n">
        <f aca="false">J6*J7/100</f>
        <v>2413.54357436905</v>
      </c>
      <c r="K8" s="0" t="n">
        <f aca="false">K6*K7/100</f>
        <v>2498.01759947197</v>
      </c>
      <c r="L8" s="0" t="n">
        <f aca="false">L6*L7/100</f>
        <v>2572.95812745613</v>
      </c>
    </row>
    <row r="9" customFormat="false" ht="15" hidden="false" customHeight="false" outlineLevel="0" collapsed="false">
      <c r="A9" s="0" t="s">
        <v>101</v>
      </c>
      <c r="C9" s="4" t="n">
        <f aca="false">Assumptions!C43</f>
        <v>1</v>
      </c>
      <c r="D9" s="4" t="n">
        <f aca="false">Assumptions!D43</f>
        <v>1</v>
      </c>
      <c r="E9" s="4" t="n">
        <f aca="false">Assumptions!E43</f>
        <v>1</v>
      </c>
      <c r="F9" s="4" t="n">
        <f aca="false">Assumptions!F43</f>
        <v>1</v>
      </c>
      <c r="G9" s="4" t="n">
        <f aca="false">Assumptions!G43</f>
        <v>1</v>
      </c>
      <c r="H9" s="4" t="n">
        <f aca="false">Assumptions!H43</f>
        <v>1</v>
      </c>
      <c r="I9" s="4" t="n">
        <f aca="false">Assumptions!I43</f>
        <v>1</v>
      </c>
      <c r="J9" s="4" t="n">
        <f aca="false">Assumptions!J43</f>
        <v>1</v>
      </c>
      <c r="K9" s="4" t="n">
        <f aca="false">Assumptions!K43</f>
        <v>1</v>
      </c>
      <c r="L9" s="4" t="n">
        <f aca="false">Assumptions!L43</f>
        <v>1</v>
      </c>
    </row>
    <row r="10" customFormat="false" ht="15" hidden="false" customHeight="false" outlineLevel="0" collapsed="false">
      <c r="A10" s="0" t="s">
        <v>116</v>
      </c>
      <c r="C10" s="0" t="n">
        <f aca="false">-C6*C9/100</f>
        <v>-43.0754162</v>
      </c>
      <c r="D10" s="0" t="n">
        <f aca="false">-D6*D9/100</f>
        <v>-48.244466144</v>
      </c>
      <c r="E10" s="0" t="n">
        <f aca="false">-E6*E9/100</f>
        <v>-53.0689127584</v>
      </c>
      <c r="F10" s="0" t="n">
        <f aca="false">-F6*F9/100</f>
        <v>-57.314425779072</v>
      </c>
      <c r="G10" s="0" t="n">
        <f aca="false">-G6*G9/100</f>
        <v>-61.3264355836071</v>
      </c>
      <c r="H10" s="0" t="n">
        <f aca="false">-H6*H9/100</f>
        <v>-65.0060217186235</v>
      </c>
      <c r="I10" s="0" t="n">
        <f aca="false">-I6*I9/100</f>
        <v>-68.2563228045547</v>
      </c>
      <c r="J10" s="0" t="n">
        <f aca="false">-J6*J9/100</f>
        <v>-70.9865757167369</v>
      </c>
      <c r="K10" s="0" t="n">
        <f aca="false">-K6*K9/100</f>
        <v>-73.4711058668226</v>
      </c>
      <c r="L10" s="0" t="n">
        <f aca="false">-L6*L9/100</f>
        <v>-75.6752390428273</v>
      </c>
    </row>
    <row r="11" customFormat="false" ht="15" hidden="false" customHeight="false" outlineLevel="0" collapsed="false">
      <c r="A11" s="0" t="s">
        <v>117</v>
      </c>
      <c r="C11" s="0" t="n">
        <f aca="false">C8+C10+C24</f>
        <v>1249.1870698</v>
      </c>
      <c r="D11" s="0" t="n">
        <f aca="false">D8+D10+D24</f>
        <v>1447.33398432</v>
      </c>
      <c r="E11" s="0" t="n">
        <f aca="false">E8+E10+E24</f>
        <v>1645.1362955104</v>
      </c>
      <c r="F11" s="0" t="n">
        <f aca="false">F8+F10+F24</f>
        <v>1805.40441204077</v>
      </c>
      <c r="G11" s="0" t="n">
        <f aca="false">G8+G10+G24</f>
        <v>1962.44593867543</v>
      </c>
      <c r="H11" s="0" t="n">
        <f aca="false">H8+H10+H24</f>
        <v>2112.69570585526</v>
      </c>
      <c r="I11" s="0" t="n">
        <f aca="false">I8+I10+I24</f>
        <v>2252.4586525503</v>
      </c>
      <c r="J11" s="0" t="n">
        <f aca="false">J8+J10+J24</f>
        <v>2342.55699865232</v>
      </c>
      <c r="K11" s="0" t="n">
        <f aca="false">K8+K10+K24</f>
        <v>2424.54649360515</v>
      </c>
      <c r="L11" s="0" t="n">
        <f aca="false">L8+L10+L24</f>
        <v>2497.2828884133</v>
      </c>
    </row>
    <row r="12" customFormat="false" ht="15" hidden="false" customHeight="false" outlineLevel="0" collapsed="false">
      <c r="A12" s="0" t="s">
        <v>118</v>
      </c>
      <c r="C12" s="4" t="n">
        <f aca="false">-C6*Assumptions!C45/100</f>
        <v>-361.83349608</v>
      </c>
      <c r="D12" s="4" t="n">
        <f aca="false">-D6*Assumptions!D45/100</f>
        <v>-371.4823893088</v>
      </c>
      <c r="E12" s="4" t="n">
        <f aca="false">-E6*Assumptions!E45/100</f>
        <v>-376.78928058464</v>
      </c>
      <c r="F12" s="4" t="n">
        <f aca="false">-F6*Assumptions!F45/100</f>
        <v>-384.006652719783</v>
      </c>
      <c r="G12" s="4" t="n">
        <f aca="false">-G6*Assumptions!G45/100</f>
        <v>-392.489187735085</v>
      </c>
      <c r="H12" s="4" t="n">
        <f aca="false">-H6*Assumptions!H45/100</f>
        <v>-396.536732483603</v>
      </c>
      <c r="I12" s="4" t="n">
        <f aca="false">-I6*Assumptions!I45/100</f>
        <v>-402.712304546873</v>
      </c>
      <c r="J12" s="4" t="n">
        <f aca="false">-J6*Assumptions!J45/100</f>
        <v>-411.722139157074</v>
      </c>
      <c r="K12" s="4" t="n">
        <f aca="false">-K6*Assumptions!K45/100</f>
        <v>-418.785303440889</v>
      </c>
      <c r="L12" s="4" t="n">
        <f aca="false">-L6*Assumptions!L45/100</f>
        <v>-423.781338639833</v>
      </c>
    </row>
    <row r="13" customFormat="false" ht="15" hidden="false" customHeight="false" outlineLevel="0" collapsed="false">
      <c r="A13" s="0" t="s">
        <v>119</v>
      </c>
      <c r="C13" s="0" t="n">
        <f aca="false">C11+C12</f>
        <v>887.35357372</v>
      </c>
      <c r="D13" s="0" t="n">
        <f aca="false">D11+D12</f>
        <v>1075.8515950112</v>
      </c>
      <c r="E13" s="0" t="n">
        <f aca="false">E11+E12</f>
        <v>1268.34701492576</v>
      </c>
      <c r="F13" s="0" t="n">
        <f aca="false">F11+F12</f>
        <v>1421.39775932099</v>
      </c>
      <c r="G13" s="0" t="n">
        <f aca="false">G11+G12</f>
        <v>1569.95675094034</v>
      </c>
      <c r="H13" s="0" t="n">
        <f aca="false">H11+H12</f>
        <v>1716.15897337166</v>
      </c>
      <c r="I13" s="0" t="n">
        <f aca="false">I11+I12</f>
        <v>1849.74634800343</v>
      </c>
      <c r="J13" s="0" t="n">
        <f aca="false">J11+J12</f>
        <v>1930.83485949524</v>
      </c>
      <c r="K13" s="0" t="n">
        <f aca="false">K11+K12</f>
        <v>2005.76119016426</v>
      </c>
      <c r="L13" s="0" t="n">
        <f aca="false">L11+L12</f>
        <v>2073.50154977347</v>
      </c>
    </row>
    <row r="14" customFormat="false" ht="15" hidden="false" customHeight="false" outlineLevel="0" collapsed="false">
      <c r="A14" s="0" t="s">
        <v>105</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120</v>
      </c>
      <c r="C15" s="0" t="n">
        <f aca="false">C13-MAX(0,C13)*C14/100</f>
        <v>665.51518029</v>
      </c>
      <c r="D15" s="0" t="n">
        <f aca="false">D13-MAX(0,D13)*D14/100</f>
        <v>806.8886962584</v>
      </c>
      <c r="E15" s="0" t="n">
        <f aca="false">E13-MAX(0,E13)*E14/100</f>
        <v>951.26026119432</v>
      </c>
      <c r="F15" s="0" t="n">
        <f aca="false">F13-MAX(0,F13)*F14/100</f>
        <v>1066.04831949074</v>
      </c>
      <c r="G15" s="0" t="n">
        <f aca="false">G13-MAX(0,G13)*G14/100</f>
        <v>1177.46756320526</v>
      </c>
      <c r="H15" s="0" t="n">
        <f aca="false">H13-MAX(0,H13)*H14/100</f>
        <v>1287.11923002875</v>
      </c>
      <c r="I15" s="0" t="n">
        <f aca="false">I13-MAX(0,I13)*I14/100</f>
        <v>1387.30976100257</v>
      </c>
      <c r="J15" s="0" t="n">
        <f aca="false">J13-MAX(0,J13)*J14/100</f>
        <v>1448.12614462143</v>
      </c>
      <c r="K15" s="0" t="n">
        <f aca="false">K13-MAX(0,K13)*K14/100</f>
        <v>1504.32089262319</v>
      </c>
      <c r="L15" s="0" t="n">
        <f aca="false">L13-MAX(0,L13)*L14/100</f>
        <v>1555.1261623301</v>
      </c>
    </row>
    <row r="16" customFormat="false" ht="15" hidden="false" customHeight="false" outlineLevel="0" collapsed="false">
      <c r="A16" s="0" t="s">
        <v>121</v>
      </c>
      <c r="C16" s="0" t="n">
        <f aca="false">-C12</f>
        <v>361.83349608</v>
      </c>
      <c r="D16" s="0" t="n">
        <f aca="false">-D12</f>
        <v>371.4823893088</v>
      </c>
      <c r="E16" s="0" t="n">
        <f aca="false">-E12</f>
        <v>376.78928058464</v>
      </c>
      <c r="F16" s="0" t="n">
        <f aca="false">-F12</f>
        <v>384.006652719783</v>
      </c>
      <c r="G16" s="0" t="n">
        <f aca="false">-G12</f>
        <v>392.489187735085</v>
      </c>
      <c r="H16" s="0" t="n">
        <f aca="false">-H12</f>
        <v>396.536732483603</v>
      </c>
      <c r="I16" s="0" t="n">
        <f aca="false">-I12</f>
        <v>402.712304546873</v>
      </c>
      <c r="J16" s="0" t="n">
        <f aca="false">-J12</f>
        <v>411.722139157074</v>
      </c>
      <c r="K16" s="0" t="n">
        <f aca="false">-K12</f>
        <v>418.785303440889</v>
      </c>
      <c r="L16" s="0" t="n">
        <f aca="false">-L12</f>
        <v>423.781338639833</v>
      </c>
    </row>
    <row r="17" customFormat="false" ht="15" hidden="false" customHeight="false" outlineLevel="0" collapsed="false">
      <c r="A17" s="0" t="s">
        <v>122</v>
      </c>
      <c r="C17" s="4" t="n">
        <f aca="false">-C6*Assumptions!C46/100</f>
        <v>-473.8295782</v>
      </c>
      <c r="D17" s="4" t="n">
        <f aca="false">-D6*Assumptions!D46/100</f>
        <v>-482.44466144</v>
      </c>
      <c r="E17" s="4" t="n">
        <f aca="false">-E6*Assumptions!E46/100</f>
        <v>-477.6202148256</v>
      </c>
      <c r="F17" s="4" t="n">
        <f aca="false">-F6*Assumptions!F46/100</f>
        <v>-458.515406232576</v>
      </c>
      <c r="G17" s="4" t="n">
        <f aca="false">-G6*Assumptions!G46/100</f>
        <v>-429.285049085249</v>
      </c>
      <c r="H17" s="4" t="n">
        <f aca="false">-H6*Assumptions!H46/100</f>
        <v>-422.539141171053</v>
      </c>
      <c r="I17" s="4" t="n">
        <f aca="false">-I6*Assumptions!I46/100</f>
        <v>-443.666098229605</v>
      </c>
      <c r="J17" s="4" t="n">
        <f aca="false">-J6*Assumptions!J46/100</f>
        <v>-461.41274215879</v>
      </c>
      <c r="K17" s="4" t="n">
        <f aca="false">-K6*Assumptions!K46/100</f>
        <v>-477.562188134347</v>
      </c>
      <c r="L17" s="4" t="n">
        <f aca="false">-L6*Assumptions!L46/100</f>
        <v>-491.889053778378</v>
      </c>
    </row>
    <row r="18" customFormat="false" ht="15" hidden="false" customHeight="false" outlineLevel="0" collapsed="false">
      <c r="A18" s="0" t="s">
        <v>123</v>
      </c>
      <c r="C18" s="4" t="n">
        <f aca="false">(C6-B6)*Assumptions!$B$51/100</f>
        <v>-197.124786</v>
      </c>
      <c r="D18" s="4" t="n">
        <f aca="false">(D6-C6)*Assumptions!$B$51/100</f>
        <v>-155.07149832</v>
      </c>
      <c r="E18" s="4" t="n">
        <f aca="false">(E6-D6)*Assumptions!$B$51/100</f>
        <v>-144.733398432</v>
      </c>
      <c r="F18" s="4" t="n">
        <f aca="false">(F6-E6)*Assumptions!$B$51/100</f>
        <v>-127.36539062016</v>
      </c>
      <c r="G18" s="4" t="n">
        <f aca="false">(G6-F6)*Assumptions!$B$51/100</f>
        <v>-120.360294136051</v>
      </c>
      <c r="H18" s="4" t="n">
        <f aca="false">(H6-G6)*Assumptions!$B$51/100</f>
        <v>-110.387584050493</v>
      </c>
      <c r="I18" s="4" t="n">
        <f aca="false">(I6-H6)*Assumptions!$B$51/100</f>
        <v>-97.5090325779353</v>
      </c>
      <c r="J18" s="4" t="n">
        <f aca="false">(J6-I6)*Assumptions!$B$51/100</f>
        <v>-81.9075873654656</v>
      </c>
      <c r="K18" s="4" t="n">
        <f aca="false">(K6-J6)*Assumptions!$B$51/100</f>
        <v>-74.5359045025735</v>
      </c>
      <c r="L18" s="4" t="n">
        <f aca="false">(L6-K6)*Assumptions!$B$51/100</f>
        <v>-66.1239952801404</v>
      </c>
    </row>
    <row r="19" customFormat="false" ht="15" hidden="false" customHeight="false" outlineLevel="0" collapsed="false">
      <c r="A19" s="0" t="s">
        <v>124</v>
      </c>
      <c r="C19" s="0" t="n">
        <f aca="false">C15+C16+C17+C18</f>
        <v>356.39431217</v>
      </c>
      <c r="D19" s="0" t="n">
        <f aca="false">D15+D16+D17+D18</f>
        <v>540.8549258072</v>
      </c>
      <c r="E19" s="0" t="n">
        <f aca="false">E15+E16+E17+E18</f>
        <v>705.69592852136</v>
      </c>
      <c r="F19" s="0" t="n">
        <f aca="false">F15+F16+F17+F18</f>
        <v>864.174175357786</v>
      </c>
      <c r="G19" s="0" t="n">
        <f aca="false">G15+G16+G17+G18</f>
        <v>1020.31140771904</v>
      </c>
      <c r="H19" s="0" t="n">
        <f aca="false">H15+H16+H17+H18</f>
        <v>1150.7292372908</v>
      </c>
      <c r="I19" s="0" t="n">
        <f aca="false">I15+I16+I17+I18</f>
        <v>1248.84693474191</v>
      </c>
      <c r="J19" s="0" t="n">
        <f aca="false">J15+J16+J17+J18</f>
        <v>1316.52795425425</v>
      </c>
      <c r="K19" s="0" t="n">
        <f aca="false">K15+K16+K17+K18</f>
        <v>1371.00810342716</v>
      </c>
      <c r="L19" s="0" t="n">
        <f aca="false">L15+L16+L17+L18</f>
        <v>1420.89445191142</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323.994829245454</v>
      </c>
      <c r="D21" s="0" t="n">
        <f aca="false">D19*D20</f>
        <v>446.987541989421</v>
      </c>
      <c r="E21" s="0" t="n">
        <f aca="false">E19*E20</f>
        <v>530.199796034079</v>
      </c>
      <c r="F21" s="0" t="n">
        <f aca="false">F19*F20</f>
        <v>590.242589548382</v>
      </c>
      <c r="G21" s="0" t="n">
        <f aca="false">G19*G20</f>
        <v>633.533109213255</v>
      </c>
      <c r="H21" s="0" t="n">
        <f aca="false">H19*H20</f>
        <v>649.556655001325</v>
      </c>
      <c r="I21" s="0" t="n">
        <f aca="false">I19*I20</f>
        <v>640.855942990342</v>
      </c>
      <c r="J21" s="0" t="n">
        <f aca="false">J19*J20</f>
        <v>614.17000691203</v>
      </c>
      <c r="K21" s="0" t="n">
        <f aca="false">K19*K20</f>
        <v>581.441271432836</v>
      </c>
      <c r="L21" s="0" t="n">
        <f aca="false">L19*L20</f>
        <v>547.816320922099</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10</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15</v>
      </c>
    </row>
    <row r="30" customFormat="false" ht="15" hidden="false" customHeight="false" outlineLevel="0" collapsed="false">
      <c r="A30" s="0" t="s">
        <v>129</v>
      </c>
      <c r="B30" s="0" t="n">
        <f aca="false">SUM(C21:L21)</f>
        <v>5558.79806328922</v>
      </c>
    </row>
    <row r="31" customFormat="false" ht="15" hidden="false" customHeight="false" outlineLevel="0" collapsed="false">
      <c r="A31" s="0" t="s">
        <v>130</v>
      </c>
      <c r="B31" s="0" t="n">
        <f aca="false">L19</f>
        <v>1420.89445191142</v>
      </c>
    </row>
    <row r="32" customFormat="false" ht="15" hidden="false" customHeight="false" outlineLevel="0" collapsed="false">
      <c r="A32" s="0" t="s">
        <v>131</v>
      </c>
      <c r="B32" s="0" t="n">
        <f aca="false">IF(B27&gt;B28,B31*(1+B28/100)/((B27-B28)/100),B31*B29)</f>
        <v>20907.446935268</v>
      </c>
    </row>
    <row r="33" customFormat="false" ht="15" hidden="false" customHeight="false" outlineLevel="0" collapsed="false">
      <c r="A33" s="0" t="s">
        <v>132</v>
      </c>
      <c r="B33" s="0" t="n">
        <f aca="false">B31*B29</f>
        <v>21313.4167786712</v>
      </c>
    </row>
    <row r="34" customFormat="false" ht="15" hidden="false" customHeight="false" outlineLevel="0" collapsed="false">
      <c r="A34" s="0" t="s">
        <v>133</v>
      </c>
      <c r="B34" s="0" t="n">
        <f aca="false">MAX(0,MIN(B32,B33))</f>
        <v>20907.446935268</v>
      </c>
    </row>
    <row r="35" customFormat="false" ht="15" hidden="false" customHeight="false" outlineLevel="0" collapsed="false">
      <c r="A35" s="0" t="s">
        <v>134</v>
      </c>
      <c r="B35" s="0" t="n">
        <f aca="false">B34/(1+B27/100)^L4</f>
        <v>8060.72586499659</v>
      </c>
    </row>
    <row r="36" customFormat="false" ht="15" hidden="false" customHeight="false" outlineLevel="0" collapsed="false">
      <c r="A36" s="0" t="s">
        <v>135</v>
      </c>
      <c r="B36" s="0" t="n">
        <f aca="false">B30+B35</f>
        <v>13619.5239282858</v>
      </c>
    </row>
    <row r="37" customFormat="false" ht="15" hidden="false" customHeight="false" outlineLevel="0" collapsed="false">
      <c r="A37" s="0" t="s">
        <v>136</v>
      </c>
      <c r="B37" s="0" t="n">
        <f aca="false">B36+Assumptions!$B$5-Assumptions!$B$4</f>
        <v>16842.4999282858</v>
      </c>
    </row>
    <row r="38" customFormat="false" ht="15" hidden="false" customHeight="false" outlineLevel="0" collapsed="false">
      <c r="A38" s="0" t="s">
        <v>137</v>
      </c>
      <c r="B38" s="0" t="n">
        <f aca="false">B37/Assumptions!$B$3*Assumptions!$B$10</f>
        <v>5.83911608834447</v>
      </c>
    </row>
    <row r="39" customFormat="false" ht="15" hidden="false" customHeight="false" outlineLevel="0" collapsed="false">
      <c r="A39" s="0" t="s">
        <v>138</v>
      </c>
      <c r="B39" s="4" t="n">
        <f aca="false">B38/Assumptions!$B$2-1</f>
        <v>-0.270110488956942</v>
      </c>
    </row>
    <row r="41" customFormat="false" ht="15" hidden="false" customHeight="false" outlineLevel="0" collapsed="false">
      <c r="A41" s="0" t="s">
        <v>139</v>
      </c>
      <c r="B41" s="0" t="n">
        <f aca="false">SUMPRODUCT(-C10:L10/(1+$B$27/100)^C4:L4)</f>
        <v>361.299057832043</v>
      </c>
    </row>
    <row r="42" customFormat="false" ht="15" hidden="false" customHeight="false" outlineLevel="0" collapsed="false">
      <c r="A42" s="0" t="s">
        <v>140</v>
      </c>
      <c r="B42" s="0" t="n">
        <f aca="false">IF(B27&gt;B28,-L10*(1+B28/100)/((B27-B28)/100),-L10*20)/(1+B27/100)^L4</f>
        <v>429.305185808655</v>
      </c>
    </row>
    <row r="43" customFormat="false" ht="15" hidden="false" customHeight="false" outlineLevel="0" collapsed="false">
      <c r="A43" s="0" t="s">
        <v>141</v>
      </c>
      <c r="B43" s="0" t="n">
        <f aca="false">(B37+B41+B42)/Assumptions!$B$3*Assumptions!$B$10</f>
        <v>6.11321019422021</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12196.0107122397</v>
      </c>
    </row>
    <row r="47" customFormat="false" ht="15" hidden="false" customHeight="false" outlineLevel="0" collapsed="false">
      <c r="A47" s="0" t="s">
        <v>143</v>
      </c>
      <c r="B47" s="0" t="n">
        <f aca="false">(SUMPRODUCT(C19:L19/(1+B45/100)^C4:L4)+B46/(1+B45/100)^L4+Assumptions!$B$5-Assumptions!$B$4)/Assumptions!$B$3*Assumptions!$B$10</f>
        <v>3.6611079682043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2.55213429902026</v>
      </c>
      <c r="C4" s="0" t="n">
        <f aca="false">B4/Assumptions!$B$2-1</f>
        <v>-0.680983212622468</v>
      </c>
      <c r="D4" s="4" t="n">
        <f aca="false">Assumptions!$B$24</f>
        <v>0.3</v>
      </c>
      <c r="E4" s="4" t="n">
        <f aca="false">DCF_Bear!$B$43</f>
        <v>2.68832749077967</v>
      </c>
      <c r="F4" s="4" t="n">
        <f aca="false">DCF_Bear!$B$47</f>
        <v>2.02093504832721</v>
      </c>
    </row>
    <row r="5" customFormat="false" ht="15" hidden="false" customHeight="false" outlineLevel="0" collapsed="false">
      <c r="A5" s="0" t="s">
        <v>152</v>
      </c>
      <c r="B5" s="4" t="n">
        <f aca="false">DCF_Base!$B$38</f>
        <v>4.52004870728667</v>
      </c>
      <c r="C5" s="0" t="n">
        <f aca="false">B5/Assumptions!$B$2-1</f>
        <v>-0.434993911589166</v>
      </c>
      <c r="D5" s="4" t="n">
        <f aca="false">Assumptions!$B$38</f>
        <v>0.5</v>
      </c>
      <c r="E5" s="4" t="n">
        <f aca="false">DCF_Base!$B$43</f>
        <v>4.7413574969014</v>
      </c>
      <c r="F5" s="4" t="n">
        <f aca="false">DCF_Base!$B$47</f>
        <v>3.02384084830659</v>
      </c>
    </row>
    <row r="6" customFormat="false" ht="15" hidden="false" customHeight="false" outlineLevel="0" collapsed="false">
      <c r="A6" s="0" t="s">
        <v>153</v>
      </c>
      <c r="B6" s="4" t="n">
        <f aca="false">DCF_Bull!$B$38</f>
        <v>5.83911608834447</v>
      </c>
      <c r="C6" s="0" t="n">
        <f aca="false">B6/Assumptions!$B$2-1</f>
        <v>-0.270110488956942</v>
      </c>
      <c r="D6" s="4" t="n">
        <f aca="false">Assumptions!$B$52</f>
        <v>0.2</v>
      </c>
      <c r="E6" s="4" t="n">
        <f aca="false">DCF_Bull!$B$43</f>
        <v>6.11321019422021</v>
      </c>
      <c r="F6" s="4" t="n">
        <f aca="false">DCF_Bull!$B$47</f>
        <v>3.6611079682043</v>
      </c>
    </row>
    <row r="8" customFormat="false" ht="15" hidden="false" customHeight="false" outlineLevel="0" collapsed="false">
      <c r="A8" s="0" t="s">
        <v>154</v>
      </c>
      <c r="B8" s="0" t="n">
        <f aca="false">SUMPRODUCT(B4:B6,D4:D6)</f>
        <v>4.19348786101831</v>
      </c>
    </row>
    <row r="9" customFormat="false" ht="15" hidden="false" customHeight="false" outlineLevel="0" collapsed="false">
      <c r="A9" s="0" t="s">
        <v>155</v>
      </c>
      <c r="B9" s="0" t="n">
        <f aca="false">SUMPRODUCT(E4:E6,D4:D6)</f>
        <v>4.39981903452865</v>
      </c>
    </row>
    <row r="10" customFormat="false" ht="15" hidden="false" customHeight="false" outlineLevel="0" collapsed="false">
      <c r="A10" s="0" t="s">
        <v>156</v>
      </c>
      <c r="B10" s="0" t="n">
        <f aca="false">1-Assumptions!$B$2/B8</f>
        <v>-0.907719842083282</v>
      </c>
    </row>
    <row r="11" customFormat="false" ht="15" hidden="false" customHeight="false" outlineLevel="0" collapsed="false">
      <c r="A11" s="0" t="s">
        <v>157</v>
      </c>
      <c r="B11" s="0" t="n">
        <f aca="false">IF(ABS(B9-B8)&gt;0.01*ABS(B8),(Assumptions!$B$2-B8)/(B9-B8)*100,"n/a")</f>
        <v>1844.85556604025</v>
      </c>
    </row>
    <row r="12" customFormat="false" ht="15" hidden="false" customHeight="false" outlineLevel="0" collapsed="false">
      <c r="A12" s="0" t="s">
        <v>158</v>
      </c>
      <c r="B12" s="0" t="n">
        <f aca="false">SUMPRODUCT(F4:F6,D4:D6)</f>
        <v>2.85042253229232</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4.98548960548544</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4.52004870728667</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4.0764261340044</v>
      </c>
      <c r="C17" s="3" t="n">
        <v>11</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3.72788501215118</v>
      </c>
      <c r="C18" s="3" t="n">
        <v>12</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3.02384084830659</v>
      </c>
      <c r="C19" s="3" t="n">
        <v>15</v>
      </c>
    </row>
    <row r="21" customFormat="false" ht="15" hidden="false" customHeight="false" outlineLevel="0" collapsed="false">
      <c r="A21" s="2" t="s">
        <v>166</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5.29268099254554</v>
      </c>
      <c r="C23" s="0" t="n">
        <f aca="false">(SUMPRODUCT(DCF_Base!$C$19:$L$19/(1+$A$23/100)^DCF_Base!$C$4:$L$4)+MAX(0,MIN(IF($A$23&gt;$C$22,DCF_Base!$L$19*(1+$C$22/100)/(($A$23-$C$22)/100),DCF_Base!$L$19*DCF_Base!$B$29),DCF_Base!$L$19*DCF_Base!$B$29))/(1+$A$23/100)^DCF_Base!$L$4+Assumptions!$B$5-Assumptions!$B$4)/Assumptions!$B$3*Assumptions!$B$10</f>
        <v>5.29268099254554</v>
      </c>
      <c r="D23" s="0" t="n">
        <f aca="false">(SUMPRODUCT(DCF_Base!$C$19:$L$19/(1+$A$23/100)^DCF_Base!$C$4:$L$4)+MAX(0,MIN(IF($A$23&gt;$D$22,DCF_Base!$L$19*(1+$D$22/100)/(($A$23-$D$22)/100),DCF_Base!$L$19*DCF_Base!$B$29),DCF_Base!$L$19*DCF_Base!$B$29))/(1+$A$23/100)^DCF_Base!$L$4+Assumptions!$B$5-Assumptions!$B$4)/Assumptions!$B$3*Assumptions!$B$10</f>
        <v>5.29268099254554</v>
      </c>
      <c r="E23" s="0" t="n">
        <f aca="false">(SUMPRODUCT(DCF_Base!$C$19:$L$19/(1+$A$23/100)^DCF_Base!$C$4:$L$4)+MAX(0,MIN(IF($A$23&gt;$E$22,DCF_Base!$L$19*(1+$E$22/100)/(($A$23-$E$22)/100),DCF_Base!$L$19*DCF_Base!$B$29),DCF_Base!$L$19*DCF_Base!$B$29))/(1+$A$23/100)^DCF_Base!$L$4+Assumptions!$B$5-Assumptions!$B$4)/Assumptions!$B$3*Assumptions!$B$10</f>
        <v>5.29268099254554</v>
      </c>
      <c r="F23" s="0" t="n">
        <f aca="false">(SUMPRODUCT(DCF_Base!$C$19:$L$19/(1+$A$23/100)^DCF_Base!$C$4:$L$4)+MAX(0,MIN(IF($A$23&gt;$F$22,DCF_Base!$L$19*(1+$F$22/100)/(($A$23-$F$22)/100),DCF_Base!$L$19*DCF_Base!$B$29),DCF_Base!$L$19*DCF_Base!$B$29))/(1+$A$23/100)^DCF_Base!$L$4+Assumptions!$B$5-Assumptions!$B$4)/Assumptions!$B$3*Assumptions!$B$10</f>
        <v>5.29268099254554</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4.76183779166662</v>
      </c>
      <c r="C24" s="0" t="n">
        <f aca="false">(SUMPRODUCT(DCF_Base!$C$19:$L$19/(1+$A$24/100)^DCF_Base!$C$4:$L$4)+MAX(0,MIN(IF($A$24&gt;$C$22,DCF_Base!$L$19*(1+$C$22/100)/(($A$24-$C$22)/100),DCF_Base!$L$19*DCF_Base!$B$29),DCF_Base!$L$19*DCF_Base!$B$29))/(1+$A$24/100)^DCF_Base!$L$4+Assumptions!$B$5-Assumptions!$B$4)/Assumptions!$B$3*Assumptions!$B$10</f>
        <v>4.92013680274617</v>
      </c>
      <c r="D24" s="0" t="n">
        <f aca="false">(SUMPRODUCT(DCF_Base!$C$19:$L$19/(1+$A$24/100)^DCF_Base!$C$4:$L$4)+MAX(0,MIN(IF($A$24&gt;$D$22,DCF_Base!$L$19*(1+$D$22/100)/(($A$24-$D$22)/100),DCF_Base!$L$19*DCF_Base!$B$29),DCF_Base!$L$19*DCF_Base!$B$29))/(1+$A$24/100)^DCF_Base!$L$4+Assumptions!$B$5-Assumptions!$B$4)/Assumptions!$B$3*Assumptions!$B$10</f>
        <v>4.98548960548544</v>
      </c>
      <c r="E24" s="0" t="n">
        <f aca="false">(SUMPRODUCT(DCF_Base!$C$19:$L$19/(1+$A$24/100)^DCF_Base!$C$4:$L$4)+MAX(0,MIN(IF($A$24&gt;$E$22,DCF_Base!$L$19*(1+$E$22/100)/(($A$24-$E$22)/100),DCF_Base!$L$19*DCF_Base!$B$29),DCF_Base!$L$19*DCF_Base!$B$29))/(1+$A$24/100)^DCF_Base!$L$4+Assumptions!$B$5-Assumptions!$B$4)/Assumptions!$B$3*Assumptions!$B$10</f>
        <v>4.98548960548544</v>
      </c>
      <c r="F24" s="0" t="n">
        <f aca="false">(SUMPRODUCT(DCF_Base!$C$19:$L$19/(1+$A$24/100)^DCF_Base!$C$4:$L$4)+MAX(0,MIN(IF($A$24&gt;$F$22,DCF_Base!$L$19*(1+$F$22/100)/(($A$24-$F$22)/100),DCF_Base!$L$19*DCF_Base!$B$29),DCF_Base!$L$19*DCF_Base!$B$29))/(1+$A$24/100)^DCF_Base!$L$4+Assumptions!$B$5-Assumptions!$B$4)/Assumptions!$B$3*Assumptions!$B$10</f>
        <v>4.98548960548544</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4.27989371075121</v>
      </c>
      <c r="C25" s="0" t="n">
        <f aca="false">(SUMPRODUCT(DCF_Base!$C$19:$L$19/(1+$A$25/100)^DCF_Base!$C$4:$L$4)+MAX(0,MIN(IF($A$25&gt;$C$22,DCF_Base!$L$19*(1+$C$22/100)/(($A$25-$C$22)/100),DCF_Base!$L$19*DCF_Base!$B$29),DCF_Base!$L$19*DCF_Base!$B$29))/(1+$A$25/100)^DCF_Base!$L$4+Assumptions!$B$5-Assumptions!$B$4)/Assumptions!$B$3*Assumptions!$B$10</f>
        <v>4.39246636537721</v>
      </c>
      <c r="D25" s="0" t="n">
        <f aca="false">(SUMPRODUCT(DCF_Base!$C$19:$L$19/(1+$A$25/100)^DCF_Base!$C$4:$L$4)+MAX(0,MIN(IF($A$25&gt;$D$22,DCF_Base!$L$19*(1+$D$22/100)/(($A$25-$D$22)/100),DCF_Base!$L$19*DCF_Base!$B$29),DCF_Base!$L$19*DCF_Base!$B$29))/(1+$A$25/100)^DCF_Base!$L$4+Assumptions!$B$5-Assumptions!$B$4)/Assumptions!$B$3*Assumptions!$B$10</f>
        <v>4.52004870728667</v>
      </c>
      <c r="E25" s="0" t="n">
        <f aca="false">(SUMPRODUCT(DCF_Base!$C$19:$L$19/(1+$A$25/100)^DCF_Base!$C$4:$L$4)+MAX(0,MIN(IF($A$25&gt;$E$22,DCF_Base!$L$19*(1+$E$22/100)/(($A$25-$E$22)/100),DCF_Base!$L$19*DCF_Base!$B$29),DCF_Base!$L$19*DCF_Base!$B$29))/(1+$A$25/100)^DCF_Base!$L$4+Assumptions!$B$5-Assumptions!$B$4)/Assumptions!$B$3*Assumptions!$B$10</f>
        <v>4.66585709804034</v>
      </c>
      <c r="F25" s="0" t="n">
        <f aca="false">(SUMPRODUCT(DCF_Base!$C$19:$L$19/(1+$A$25/100)^DCF_Base!$C$4:$L$4)+MAX(0,MIN(IF($A$25&gt;$F$22,DCF_Base!$L$19*(1+$F$22/100)/(($A$25-$F$22)/100),DCF_Base!$L$19*DCF_Base!$B$29),DCF_Base!$L$19*DCF_Base!$B$29))/(1+$A$25/100)^DCF_Base!$L$4+Assumptions!$B$5-Assumptions!$B$4)/Assumptions!$B$3*Assumptions!$B$10</f>
        <v>4.70562302279134</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3.90166025638393</v>
      </c>
      <c r="C26" s="0" t="n">
        <f aca="false">(SUMPRODUCT(DCF_Base!$C$19:$L$19/(1+$A$26/100)^DCF_Base!$C$4:$L$4)+MAX(0,MIN(IF($A$26&gt;$C$22,DCF_Base!$L$19*(1+$C$22/100)/(($A$26-$C$22)/100),DCF_Base!$L$19*DCF_Base!$B$29),DCF_Base!$L$19*DCF_Base!$B$29))/(1+$A$26/100)^DCF_Base!$L$4+Assumptions!$B$5-Assumptions!$B$4)/Assumptions!$B$3*Assumptions!$B$10</f>
        <v>3.98418858748248</v>
      </c>
      <c r="D26" s="0" t="n">
        <f aca="false">(SUMPRODUCT(DCF_Base!$C$19:$L$19/(1+$A$26/100)^DCF_Base!$C$4:$L$4)+MAX(0,MIN(IF($A$26&gt;$D$22,DCF_Base!$L$19*(1+$D$22/100)/(($A$26-$D$22)/100),DCF_Base!$L$19*DCF_Base!$B$29),DCF_Base!$L$19*DCF_Base!$B$29))/(1+$A$26/100)^DCF_Base!$L$4+Assumptions!$B$5-Assumptions!$B$4)/Assumptions!$B$3*Assumptions!$B$10</f>
        <v>4.0764261340044</v>
      </c>
      <c r="E26" s="0" t="n">
        <f aca="false">(SUMPRODUCT(DCF_Base!$C$19:$L$19/(1+$A$26/100)^DCF_Base!$C$4:$L$4)+MAX(0,MIN(IF($A$26&gt;$E$22,DCF_Base!$L$19*(1+$E$22/100)/(($A$26-$E$22)/100),DCF_Base!$L$19*DCF_Base!$B$29),DCF_Base!$L$19*DCF_Base!$B$29))/(1+$A$26/100)^DCF_Base!$L$4+Assumptions!$B$5-Assumptions!$B$4)/Assumptions!$B$3*Assumptions!$B$10</f>
        <v>4.18019337384155</v>
      </c>
      <c r="F26" s="0" t="n">
        <f aca="false">(SUMPRODUCT(DCF_Base!$C$19:$L$19/(1+$A$26/100)^DCF_Base!$C$4:$L$4)+MAX(0,MIN(IF($A$26&gt;$F$22,DCF_Base!$L$19*(1+$F$22/100)/(($A$26-$F$22)/100),DCF_Base!$L$19*DCF_Base!$B$29),DCF_Base!$L$19*DCF_Base!$B$29))/(1+$A$26/100)^DCF_Base!$L$4+Assumptions!$B$5-Assumptions!$B$4)/Assumptions!$B$3*Assumptions!$B$10</f>
        <v>4.29779624565699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3.59737889341473</v>
      </c>
      <c r="C27" s="0" t="n">
        <f aca="false">(SUMPRODUCT(DCF_Base!$C$19:$L$19/(1+$A$27/100)^DCF_Base!$C$4:$L$4)+MAX(0,MIN(IF($A$27&gt;$C$22,DCF_Base!$L$19*(1+$C$22/100)/(($A$27-$C$22)/100),DCF_Base!$L$19*DCF_Base!$B$29),DCF_Base!$L$19*DCF_Base!$B$29))/(1+$A$27/100)^DCF_Base!$L$4+Assumptions!$B$5-Assumptions!$B$4)/Assumptions!$B$3*Assumptions!$B$10</f>
        <v>3.65936929981454</v>
      </c>
      <c r="D27" s="0" t="n">
        <f aca="false">(SUMPRODUCT(DCF_Base!$C$19:$L$19/(1+$A$27/100)^DCF_Base!$C$4:$L$4)+MAX(0,MIN(IF($A$27&gt;$D$22,DCF_Base!$L$19*(1+$D$22/100)/(($A$27-$D$22)/100),DCF_Base!$L$19*DCF_Base!$B$29),DCF_Base!$L$19*DCF_Base!$B$29))/(1+$A$27/100)^DCF_Base!$L$4+Assumptions!$B$5-Assumptions!$B$4)/Assumptions!$B$3*Assumptions!$B$10</f>
        <v>3.72788501215118</v>
      </c>
      <c r="E27" s="0" t="n">
        <f aca="false">(SUMPRODUCT(DCF_Base!$C$19:$L$19/(1+$A$27/100)^DCF_Base!$C$4:$L$4)+MAX(0,MIN(IF($A$27&gt;$E$22,DCF_Base!$L$19*(1+$E$22/100)/(($A$27-$E$22)/100),DCF_Base!$L$19*DCF_Base!$B$29),DCF_Base!$L$19*DCF_Base!$B$29))/(1+$A$27/100)^DCF_Base!$L$4+Assumptions!$B$5-Assumptions!$B$4)/Assumptions!$B$3*Assumptions!$B$10</f>
        <v>3.8040135814141</v>
      </c>
      <c r="F27" s="0" t="n">
        <f aca="false">(SUMPRODUCT(DCF_Base!$C$19:$L$19/(1+$A$27/100)^DCF_Base!$C$4:$L$4)+MAX(0,MIN(IF($A$27&gt;$F$22,DCF_Base!$L$19*(1+$F$22/100)/(($A$27-$F$22)/100),DCF_Base!$L$19*DCF_Base!$B$29),DCF_Base!$L$19*DCF_Base!$B$29))/(1+$A$27/100)^DCF_Base!$L$4+Assumptions!$B$5-Assumptions!$B$4)/Assumptions!$B$3*Assumptions!$B$10</f>
        <v>3.88909845294326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2026-10-23T18:07:52Z</dcterms:created>
  <dc:creator>openpyxl</dc:creator>
  <dc:description/>
  <dc:language>en-NZ</dc:language>
  <cp:lastModifiedBy/>
  <dcterms:modified xsi:type="dcterms:W3CDTF">2026-10-23T18:07:52Z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