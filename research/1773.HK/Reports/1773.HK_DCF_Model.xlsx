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<sst xmlns="http://schemas.openxmlformats.org/spreadsheetml/2006/main" count="351" uniqueCount="163">
  <si>
    <t xml:space="preserve">Ticker</t>
  </si>
  <si>
    <t xml:space="preserve">1773.HK</t>
  </si>
  <si>
    <t xml:space="preserve">Company</t>
  </si>
  <si>
    <t xml:space="preserve">Tianli International Holdings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</si>
  <si>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</si>
  <si>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</si>
  <si>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</si>
  <si>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</si>
  <si>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 16:08 HKT)</t>
  </si>
  <si>
    <t xml:space="preserve">Balance sheet date</t>
  </si>
  <si>
    <t xml:space="preserve">2026-02-28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</si>
  <si>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</si>
  <si>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</si>
  <si>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</si>
  <si>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</si>
  <si>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</si>
  <si>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</si>
  <si>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</si>
  <si>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</si>
  <si>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</si>
  <si>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</si>
  <si>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</si>
  <si>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2026-10-16T17:18:27Z</t>
  </si>
  <si>
    <t xml:space="preserve">Drivers file</t>
  </si>
  <si>
    <t xml:space="preserve">1773.HK_Drivers.json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</si>
  <si>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</si>
  <si>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</si>
  <si>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</si>
  <si>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underlying cash flows of a leveraged, regulated PRC school operator, normalised for the non-cash impairment reversals that flatter FY2025 and H1 FY2026 earnings, discounted at a CNY WACC, with regulatory, VIE and governance risk charged once through a severe and heavily-weighted bear case rather than through the discount rate. Terminal multiples are capped at or below where the sector has traded since 2021, so no re-rating is assumed. The headline number is dominated by whether the bear case is avoided: the equity is a residual claim behind RMB2.4bn of net debt and RMB0.6bn of related-party funding.
key_risks_to_valuation: PRC private-education classification rules extending the for-profit/VIE prohibition to senior-high schools (the bear case); this is the single largest driver of the spread between scenarios; Unexplained 2026 share-price collapse: the market may be pricing an event (regulatory, governance, share-pledge, refinancing) that post-dates the H1 FY2026 interim and is not in this model; Related-party balances (~RMB1.7bn gross) with chairman-affiliated entities: cash leakage or non-recovery of the RMB873m receivable would reduce equity value by up to RMB0.42/share (HK$0.50); Refinancing: RMB878m of bank loans fall due within 12 months against RMB459m of cash; net current liabilities of RMB2.3bn; Impairment reversals (RMB100m FY2025, RMB81.9m H1 FY2026) are stripped from the margin base; reported P/E of ~2x overstates underlying earnings by ~15%; Demographics: the PRC high-school-age cohort shrinks from the early 2030s, which is why terminal growth is 2.5% and the cap multiple 12x; Capex intensity: FY2026 land-use-right purchases (RMB452m in H1) show growth is still capital-hungry despite the asset-light narrative; FX: all values converted at CNYHKD 1.1726; refresh_price.py updates the price but not fx_rate</t>
  </si>
  <si>
    <t xml:space="preserve">Data sources</t>
  </si>
  <si>
    <t xml:space="preserve">price: Yahoo Finance chart API, HKEX regular close at inputs.price_as_of; 52-week range HK$0.68-2.93
fx: Yahoo Finance CNYHKD=X at 2026-10-16
financials: 1773.HK_Metrics.csv (FY2018-FY2025, H1 FY2025, H1 FY2026; RMB millions); FY2025 annual report and H1 FY2026 interim report (Extracted/) for balance-sheet anchors, lease and related-party notes, EPS share table, tax rates and the impairment-reversal note 8(c)
qualitative: 1773.HK_Analysis.json (2026-10-17)</t>
  </si>
  <si>
    <t xml:space="preserve">Scenario narrative: bear</t>
  </si>
  <si>
    <t xml:space="preserve">The regulatory perimeter tightens: classification rules or local enforcement cap tuition increases, restrict for-profit conversion or the Structured Contracts for senior-high schools, and enrolment at the affected campuses declines. Revenue falls ~15% over FY2027-FY2029 and underlying margin compresses to 22.5% on fixed campus and teacher costs. Capex cannot fall below ~8.5% without impairing the network. With RMB2.5bn of bank loans, RMB2.3bn of net current liabilities and ~RMB0.6bn owed to related parties, most of the enterprise value belongs to creditors; the terminal multiple is 8x FCF. This scenario is also where the unexplained 75% share-price collapse of 2026 lives: whatever the market has seen, its effect is modelled here.</t>
  </si>
  <si>
    <t xml:space="preserve">Scenario narrative: base</t>
  </si>
  <si>
    <t xml:space="preserve">Private senior-high schools stay outside the 2021 for-profit/VIE prohibition and the still-unissued classification rules do not reach them. Enrolment grows ~11% into FY2026 then slows with the shrinking cohort, with entrusted/franchise schools and the Tianlai art-education stake supplying mid-single-digit growth by FY2030. The H1 FY2026 gross-margin compression (-2.4pp) persists: underlying pre-SBC EBITDA margin holds at 32%, below FY2025's 33.2%, and the impairment reversals are treated as what they are, non-cash one-offs that do not recur. Capex front-loads in FY2026 (land-use rights) then glides to 8% of revenue as growth goes asset-light. Terminal value is capped at 12x owner FCF (~6.7x EBITDA): no sector re-rating. Leverage is refinanced on current terms; the interest-free related-party payable is repaid from flows.</t>
  </si>
  <si>
    <t xml:space="preserve">Scenario narrative: bull</t>
  </si>
  <si>
    <t xml:space="preserve">Classification rules are issued and explicitly leave senior-high education open to for-profit operation, lifting the overhang. Gaokao outcomes (399 top-50 admissions in 2025) keep premium pricing intact, enrolment compounds at 15%/12%/10%, the AI companion lowers teacher cost per student, and management fees scale on 23+ entrusted schools. Margin rebuilds to 35%, capex falls to 7.5% on the asset-light mix, prepaid tuition gives a 10% working-capital capture on growth, and the terminal multiple is 14x FCF (~7.6x EBITDA). This needs several independent things to go right (regulation, demographics, AI monetisation, governance) and is weighted accordingly.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</si>
  <si>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</si>
  <si>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</si>
  <si>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</si>
  <si>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</si>
  <si>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</si>
  <si>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</si>
  <si>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</si>
  <si>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</si>
  <si>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</si>
  <si>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</si>
  <si>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</si>
  <si>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</si>
  <si>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</si>
  <si>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</si>
  <si>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</si>
  <si>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</si>
  <si>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</si>
  <si>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</si>
  <si>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</si>
  <si>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</si>
  <si>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</si>
  <si>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</si>
  <si>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</si>
  <si>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</si>
  <si>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</si>
  <si>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</si>
  <si>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</si>
  <si>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</si>
  <si>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</si>
  <si>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</si>
  <si>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</si>
  <si>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</si>
  <si>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</si>
  <si>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</si>
  <si>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</si>
  <si>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</si>
  <si>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</si>
  <si>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</si>
  <si>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</si>
  <si>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</si>
  <si>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</si>
  <si>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</si>
  <si>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</si>
  <si>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</si>
  <si>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</si>
  <si>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</si>
  <si>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</si>
  <si>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</si>
  <si>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</si>
  <si>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</si>
  <si>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</si>
  <si>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</si>
  <si>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</si>
  <si>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</si>
  <si>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</si>
  <si>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</si>
  <si>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</si>
  <si>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</si>
  <si>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</si>
  <si>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</si>
  <si>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</si>
  <si>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</si>
  <si>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</si>
  <si>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</si>
  <si>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</si>
  <si>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</si>
  <si>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</si>
  <si>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</si>
  <si>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</si>
  <si>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</si>
  <si>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</si>
  <si>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1773.HK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</si>
  <si>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</si>
  <si>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</si>
  <si>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</si>
  <si>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</si>
  <si>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</si>
  <si>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</si>
  <si>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</si>
  <si>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</si>
  <si>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</si>
  <si>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</si>
  <si>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</si>
  <si>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</si>
  <si>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</si>
  <si>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</si>
  <si>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</si>
  <si>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</si>
  <si>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</si>
  <si>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</si>
  <si>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</si>
  <si>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</si>
  <si>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</si>
  <si>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</si>
  <si>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</si>
  <si>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</si>
  <si>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</si>
  <si>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</si>
  <si>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</si>
  <si>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</si>
  <si>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</si>
  <si>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</si>
  <si>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1773.HK owner-FCF component DCF: base case (millions, CNY)</t>
  </si>
  <si>
    <t xml:space="preserve">1773.HK owner-FCF component DCF: bull case (millions, CNY)</t>
  </si>
  <si>
    <t xml:space="preserve">1773.HK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</si>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</sst>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0.72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640.533</v>
      </c>
      <c r="C2" s="0" t="n">
        <v>371.483</v>
      </c>
      <c r="D2" s="0" t="n">
        <v>269.05</v>
      </c>
      <c r="E2" s="0" t="n">
        <v>42</v>
      </c>
      <c r="F2" s="0" t="n">
        <v>220.014</v>
      </c>
      <c r="G2" s="0" t="n">
        <v>34.3</v>
      </c>
      <c r="H2" s="0" t="n">
        <v>270.807</v>
      </c>
      <c r="I2" s="0" t="n">
        <v>194.733</v>
      </c>
      <c r="J2" s="0" t="n">
        <v>30.4</v>
      </c>
      <c r="K2" s="0" t="n">
        <v>0.11</v>
      </c>
      <c r="L2" s="0" t="n">
        <v>419.849</v>
      </c>
      <c r="M2" s="0" t="n">
        <v>872.808</v>
      </c>
      <c r="N2" s="0" t="n">
        <v>-452.959</v>
      </c>
      <c r="O2" s="0" t="n">
        <v>2258.538</v>
      </c>
      <c r="P2" s="0" t="n">
        <v>3795.787</v>
      </c>
      <c r="Q2" s="0" t="n">
        <v>1503.825</v>
      </c>
      <c r="R2" s="0" t="n">
        <v>458.628</v>
      </c>
      <c r="S2" s="0" t="n">
        <v>707.277</v>
      </c>
      <c r="T2" s="0" t="n">
        <v>1769.6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917.355</v>
      </c>
      <c r="C3" s="0" t="n">
        <v>541.04</v>
      </c>
      <c r="D3" s="0" t="n">
        <v>376.315</v>
      </c>
      <c r="E3" s="0" t="n">
        <v>41</v>
      </c>
      <c r="F3" s="0" t="n">
        <v>288.945</v>
      </c>
      <c r="G3" s="0" t="n">
        <v>31.5</v>
      </c>
      <c r="H3" s="0" t="n">
        <v>382.056</v>
      </c>
      <c r="I3" s="0" t="n">
        <v>264.946</v>
      </c>
      <c r="J3" s="0" t="n">
        <v>28.9</v>
      </c>
      <c r="K3" s="0" t="n">
        <v>0.1294</v>
      </c>
      <c r="L3" s="0" t="n">
        <v>926.471</v>
      </c>
      <c r="M3" s="0" t="n">
        <v>1446.348</v>
      </c>
      <c r="N3" s="0" t="n">
        <v>-519.877</v>
      </c>
      <c r="O3" s="0" t="n">
        <v>2438.983</v>
      </c>
      <c r="P3" s="0" t="n">
        <v>4723.013</v>
      </c>
      <c r="Q3" s="0" t="n">
        <v>2241.606</v>
      </c>
      <c r="R3" s="0" t="n">
        <v>459</v>
      </c>
      <c r="S3" s="0" t="n">
        <v>450.995</v>
      </c>
      <c r="T3" s="0" t="n">
        <v>2047.32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1297.672</v>
      </c>
      <c r="C4" s="0" t="n">
        <v>735.98</v>
      </c>
      <c r="D4" s="0" t="n">
        <v>561.692</v>
      </c>
      <c r="E4" s="0" t="n">
        <v>43.3</v>
      </c>
      <c r="F4" s="0" t="n">
        <v>400.767</v>
      </c>
      <c r="G4" s="0" t="n">
        <v>30.9</v>
      </c>
      <c r="H4" s="0" t="n">
        <v>538.872</v>
      </c>
      <c r="I4" s="0" t="n">
        <v>378.791</v>
      </c>
      <c r="J4" s="0" t="n">
        <v>29.2</v>
      </c>
      <c r="K4" s="0" t="n">
        <v>0.1849</v>
      </c>
      <c r="L4" s="0" t="n">
        <v>1720.025</v>
      </c>
      <c r="M4" s="0" t="n">
        <v>1894.555</v>
      </c>
      <c r="N4" s="0" t="n">
        <v>-174.53</v>
      </c>
      <c r="O4" s="0" t="n">
        <v>3312.095</v>
      </c>
      <c r="P4" s="0" t="n">
        <v>7426.083</v>
      </c>
      <c r="Q4" s="0" t="n">
        <v>4072.949</v>
      </c>
      <c r="R4" s="0" t="n">
        <v>1293.306</v>
      </c>
      <c r="S4" s="0" t="n">
        <v>1563.135</v>
      </c>
      <c r="T4" s="0" t="n">
        <v>2048.87</v>
      </c>
      <c r="U4" s="0" t="n">
        <v>2.803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884.372</v>
      </c>
      <c r="C5" s="0" t="n">
        <v>590.833</v>
      </c>
      <c r="D5" s="0" t="n">
        <v>293.539</v>
      </c>
      <c r="E5" s="0" t="n">
        <v>33.2</v>
      </c>
      <c r="F5" s="0" t="n">
        <v>152.851</v>
      </c>
      <c r="G5" s="0" t="n">
        <v>17.3</v>
      </c>
      <c r="H5" s="0" t="n">
        <v>285.658</v>
      </c>
      <c r="I5" s="0" t="n">
        <v>96.539</v>
      </c>
      <c r="J5" s="0" t="n">
        <v>10.9</v>
      </c>
      <c r="K5" s="0" t="n">
        <v>0.0456</v>
      </c>
      <c r="L5" s="0" t="n">
        <v>736.527</v>
      </c>
      <c r="M5" s="0" t="n">
        <v>900.546</v>
      </c>
      <c r="N5" s="0" t="n">
        <v>-164.019</v>
      </c>
      <c r="O5" s="0" t="n">
        <v>1851.796</v>
      </c>
      <c r="P5" s="0" t="n">
        <v>8131.111</v>
      </c>
      <c r="Q5" s="0" t="n">
        <v>6252.196</v>
      </c>
      <c r="R5" s="0" t="n">
        <v>1131.825</v>
      </c>
      <c r="S5" s="0" t="n">
        <v>929.902</v>
      </c>
      <c r="T5" s="0" t="n">
        <v>2115.999</v>
      </c>
      <c r="U5" s="0" t="n">
        <v>5.779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2302.54</v>
      </c>
      <c r="C6" s="0" t="n">
        <v>1523.693</v>
      </c>
      <c r="D6" s="0" t="n">
        <v>778.847</v>
      </c>
      <c r="E6" s="0" t="n">
        <v>33.8</v>
      </c>
      <c r="F6" s="0" t="n">
        <v>506.472</v>
      </c>
      <c r="G6" s="0" t="n">
        <v>22</v>
      </c>
      <c r="H6" s="0" t="n">
        <v>708.875</v>
      </c>
      <c r="I6" s="0" t="n">
        <v>333.829</v>
      </c>
      <c r="J6" s="0" t="n">
        <v>14.5</v>
      </c>
      <c r="K6" s="0" t="n">
        <v>0.159</v>
      </c>
      <c r="L6" s="0" t="n">
        <v>975.668</v>
      </c>
      <c r="M6" s="0" t="n">
        <v>599.816</v>
      </c>
      <c r="N6" s="0" t="n">
        <v>375.852</v>
      </c>
      <c r="O6" s="0" t="n">
        <v>2065.466</v>
      </c>
      <c r="P6" s="0" t="n">
        <v>9551.718</v>
      </c>
      <c r="Q6" s="0" t="n">
        <v>7456.25</v>
      </c>
      <c r="R6" s="0" t="n">
        <v>1672.409</v>
      </c>
      <c r="S6" s="0" t="n">
        <v>1501.724</v>
      </c>
      <c r="T6" s="0" t="n">
        <v>2099.994</v>
      </c>
      <c r="U6" s="0" t="n">
        <v>27.798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3320.898</v>
      </c>
      <c r="C7" s="0" t="n">
        <v>2201.929</v>
      </c>
      <c r="D7" s="0" t="n">
        <v>1118.969</v>
      </c>
      <c r="E7" s="0" t="n">
        <v>33.7</v>
      </c>
      <c r="F7" s="0" t="n">
        <v>826.841</v>
      </c>
      <c r="G7" s="0" t="n">
        <v>24.9</v>
      </c>
      <c r="H7" s="0" t="n">
        <v>1096.547</v>
      </c>
      <c r="I7" s="0" t="n">
        <v>575.956</v>
      </c>
      <c r="J7" s="0" t="n">
        <v>17.3</v>
      </c>
      <c r="K7" s="0" t="n">
        <v>0.2723</v>
      </c>
      <c r="L7" s="0" t="n">
        <v>827.11</v>
      </c>
      <c r="M7" s="0" t="n">
        <v>406.831</v>
      </c>
      <c r="N7" s="0" t="n">
        <v>420.279</v>
      </c>
      <c r="O7" s="0" t="n">
        <v>2472.774</v>
      </c>
      <c r="P7" s="0" t="n">
        <v>10193.716</v>
      </c>
      <c r="Q7" s="0" t="n">
        <v>7720.68</v>
      </c>
      <c r="R7" s="0" t="n">
        <v>2052.995</v>
      </c>
      <c r="S7" s="0" t="n">
        <v>1349.016</v>
      </c>
      <c r="T7" s="0" t="n">
        <v>2114.964</v>
      </c>
      <c r="U7" s="0" t="n">
        <v>41.373</v>
      </c>
      <c r="V7" s="0" t="n">
        <v>0.0825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3588.901</v>
      </c>
      <c r="C8" s="0" t="n">
        <v>2375.368</v>
      </c>
      <c r="D8" s="0" t="n">
        <v>1213.533</v>
      </c>
      <c r="E8" s="0" t="n">
        <v>33.8</v>
      </c>
      <c r="F8" s="0" t="n">
        <v>966.4</v>
      </c>
      <c r="G8" s="0" t="n">
        <v>26.9</v>
      </c>
      <c r="H8" s="0" t="n">
        <v>1258.634</v>
      </c>
      <c r="I8" s="0" t="n">
        <v>664.258</v>
      </c>
      <c r="J8" s="0" t="n">
        <v>18.5</v>
      </c>
      <c r="K8" s="0" t="n">
        <v>0.3186</v>
      </c>
      <c r="L8" s="0" t="n">
        <v>852.592</v>
      </c>
      <c r="M8" s="0" t="n">
        <v>403.598</v>
      </c>
      <c r="N8" s="0" t="n">
        <v>448.994</v>
      </c>
      <c r="O8" s="0" t="n">
        <v>2977.483</v>
      </c>
      <c r="P8" s="0" t="n">
        <v>9968.027</v>
      </c>
      <c r="Q8" s="0" t="n">
        <v>7005</v>
      </c>
      <c r="R8" s="0" t="n">
        <v>2379.025</v>
      </c>
      <c r="S8" s="0" t="n">
        <v>965.24</v>
      </c>
      <c r="T8" s="0" t="n">
        <v>2084.739</v>
      </c>
      <c r="U8" s="0" t="n">
        <v>25.549</v>
      </c>
      <c r="V8" s="0" t="n">
        <v>0.0968</v>
      </c>
      <c r="AA8" s="0" t="s">
        <v>18</v>
      </c>
      <c r="AB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0.72</v>
      </c>
    </row>
    <row r="3" customFormat="false" ht="15" hidden="false" customHeight="false" outlineLevel="0" collapsed="false">
      <c r="A3" s="0" t="s">
        <v>74</v>
      </c>
      <c r="B3" s="3" t="n">
        <v>2065.649</v>
      </c>
    </row>
    <row r="4" customFormat="false" ht="15" hidden="false" customHeight="false" outlineLevel="0" collapsed="false">
      <c r="A4" s="0" t="s">
        <v>75</v>
      </c>
      <c r="B4" s="3" t="n">
        <v>2390.036</v>
      </c>
    </row>
    <row r="5" customFormat="false" ht="15" hidden="false" customHeight="false" outlineLevel="0" collapsed="false">
      <c r="A5" s="0" t="s">
        <v>76</v>
      </c>
      <c r="B5" s="3" t="n">
        <v>-812.487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3588.901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1.1726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5</v>
      </c>
      <c r="D13" s="3" t="n">
        <v>-4</v>
      </c>
      <c r="E13" s="3" t="n">
        <v>-8</v>
      </c>
      <c r="F13" s="3" t="n">
        <v>-4</v>
      </c>
      <c r="G13" s="3" t="n">
        <v>0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95</v>
      </c>
      <c r="C14" s="3" t="n">
        <v>29</v>
      </c>
      <c r="D14" s="3" t="n">
        <v>26.5</v>
      </c>
      <c r="E14" s="3" t="n">
        <v>24.5</v>
      </c>
      <c r="F14" s="3" t="n">
        <v>23.5</v>
      </c>
      <c r="G14" s="3" t="n">
        <v>23</v>
      </c>
      <c r="H14" s="3" t="n">
        <v>22.5</v>
      </c>
      <c r="I14" s="3" t="n">
        <v>22.5</v>
      </c>
      <c r="J14" s="3" t="n">
        <v>22.5</v>
      </c>
      <c r="K14" s="3" t="n">
        <v>22.5</v>
      </c>
      <c r="L14" s="3" t="n">
        <v>22.5</v>
      </c>
    </row>
    <row r="15" customFormat="false" ht="15" hidden="false" customHeight="false" outlineLevel="0" collapsed="false">
      <c r="A15" s="0" t="s">
        <v>96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8</v>
      </c>
      <c r="D17" s="3" t="n">
        <v>8.3</v>
      </c>
      <c r="E17" s="3" t="n">
        <v>8.6</v>
      </c>
      <c r="F17" s="3" t="n">
        <v>8.6</v>
      </c>
      <c r="G17" s="3" t="n">
        <v>8.5</v>
      </c>
      <c r="H17" s="3" t="n">
        <v>8.4</v>
      </c>
      <c r="I17" s="3" t="n">
        <v>8.3</v>
      </c>
      <c r="J17" s="3" t="n">
        <v>8.3</v>
      </c>
      <c r="K17" s="3" t="n">
        <v>8.3</v>
      </c>
      <c r="L17" s="3" t="n">
        <v>8.3</v>
      </c>
    </row>
    <row r="18" customFormat="false" ht="15" hidden="false" customHeight="false" outlineLevel="0" collapsed="false">
      <c r="A18" s="0" t="s">
        <v>99</v>
      </c>
      <c r="C18" s="3" t="n">
        <v>17</v>
      </c>
      <c r="D18" s="3" t="n">
        <v>12</v>
      </c>
      <c r="E18" s="3" t="n">
        <v>10</v>
      </c>
      <c r="F18" s="3" t="n">
        <v>9</v>
      </c>
      <c r="G18" s="3" t="n">
        <v>8.5</v>
      </c>
      <c r="H18" s="3" t="n">
        <v>8.5</v>
      </c>
      <c r="I18" s="3" t="n">
        <v>8.5</v>
      </c>
      <c r="J18" s="3" t="n">
        <v>8.5</v>
      </c>
      <c r="K18" s="3" t="n">
        <v>8.5</v>
      </c>
      <c r="L18" s="3" t="n">
        <v>8.5</v>
      </c>
    </row>
    <row r="19" customFormat="false" ht="15" hidden="false" customHeight="false" outlineLevel="0" collapsed="false">
      <c r="A19" s="0" t="s">
        <v>100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101</v>
      </c>
      <c r="B20" s="3" t="n">
        <v>9.5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8</v>
      </c>
    </row>
    <row r="23" customFormat="false" ht="15" hidden="false" customHeight="false" outlineLevel="0" collapsed="false">
      <c r="A23" s="0" t="s">
        <v>104</v>
      </c>
      <c r="B23" s="3" t="n">
        <v>-10</v>
      </c>
    </row>
    <row r="24" customFormat="false" ht="15" hidden="false" customHeight="false" outlineLevel="0" collapsed="false">
      <c r="A24" s="0" t="s">
        <v>105</v>
      </c>
      <c r="B24" s="3" t="n">
        <v>0.4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12</v>
      </c>
      <c r="D27" s="3" t="n">
        <v>9</v>
      </c>
      <c r="E27" s="3" t="n">
        <v>7</v>
      </c>
      <c r="F27" s="3" t="n">
        <v>6</v>
      </c>
      <c r="G27" s="3" t="n">
        <v>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95</v>
      </c>
      <c r="C28" s="3" t="n">
        <v>32</v>
      </c>
      <c r="D28" s="3" t="n">
        <v>32</v>
      </c>
      <c r="E28" s="3" t="n">
        <v>32</v>
      </c>
      <c r="F28" s="3" t="n">
        <v>32</v>
      </c>
      <c r="G28" s="3" t="n">
        <v>32</v>
      </c>
      <c r="H28" s="3" t="n">
        <v>32</v>
      </c>
      <c r="I28" s="3" t="n">
        <v>32</v>
      </c>
      <c r="J28" s="3" t="n">
        <v>32</v>
      </c>
      <c r="K28" s="3" t="n">
        <v>32</v>
      </c>
      <c r="L28" s="3" t="n">
        <v>32</v>
      </c>
    </row>
    <row r="29" customFormat="false" ht="15" hidden="false" customHeight="false" outlineLevel="0" collapsed="false">
      <c r="A29" s="0" t="s">
        <v>96</v>
      </c>
      <c r="C29" s="3" t="n">
        <v>0.6</v>
      </c>
      <c r="D29" s="3" t="n">
        <v>0.6</v>
      </c>
      <c r="E29" s="3" t="n">
        <v>0.6</v>
      </c>
      <c r="F29" s="3" t="n">
        <v>0.55</v>
      </c>
      <c r="G29" s="3" t="n">
        <v>0.55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8</v>
      </c>
      <c r="D31" s="3" t="n">
        <v>8</v>
      </c>
      <c r="E31" s="3" t="n">
        <v>7.9</v>
      </c>
      <c r="F31" s="3" t="n">
        <v>7.8</v>
      </c>
      <c r="G31" s="3" t="n">
        <v>7.7</v>
      </c>
      <c r="H31" s="3" t="n">
        <v>7.6</v>
      </c>
      <c r="I31" s="3" t="n">
        <v>7.5</v>
      </c>
      <c r="J31" s="3" t="n">
        <v>7.5</v>
      </c>
      <c r="K31" s="3" t="n">
        <v>7.5</v>
      </c>
      <c r="L31" s="3" t="n">
        <v>7.5</v>
      </c>
    </row>
    <row r="32" customFormat="false" ht="15" hidden="false" customHeight="false" outlineLevel="0" collapsed="false">
      <c r="A32" s="0" t="s">
        <v>99</v>
      </c>
      <c r="C32" s="3" t="n">
        <v>17</v>
      </c>
      <c r="D32" s="3" t="n">
        <v>13</v>
      </c>
      <c r="E32" s="3" t="n">
        <v>11</v>
      </c>
      <c r="F32" s="3" t="n">
        <v>10</v>
      </c>
      <c r="G32" s="3" t="n">
        <v>9.5</v>
      </c>
      <c r="H32" s="3" t="n">
        <v>9</v>
      </c>
      <c r="I32" s="3" t="n">
        <v>9</v>
      </c>
      <c r="J32" s="3" t="n">
        <v>8.5</v>
      </c>
      <c r="K32" s="3" t="n">
        <v>8.5</v>
      </c>
      <c r="L32" s="3" t="n">
        <v>8</v>
      </c>
    </row>
    <row r="33" customFormat="false" ht="15" hidden="false" customHeight="false" outlineLevel="0" collapsed="false">
      <c r="A33" s="0" t="s">
        <v>100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101</v>
      </c>
      <c r="B34" s="3" t="n">
        <v>9.5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12</v>
      </c>
    </row>
    <row r="37" customFormat="false" ht="15" hidden="false" customHeight="false" outlineLevel="0" collapsed="false">
      <c r="A37" s="0" t="s">
        <v>104</v>
      </c>
      <c r="B37" s="3" t="n">
        <v>0</v>
      </c>
    </row>
    <row r="38" customFormat="false" ht="15" hidden="false" customHeight="false" outlineLevel="0" collapsed="false">
      <c r="A38" s="0" t="s">
        <v>105</v>
      </c>
      <c r="B38" s="3" t="n">
        <v>0.45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15</v>
      </c>
      <c r="D41" s="3" t="n">
        <v>12</v>
      </c>
      <c r="E41" s="3" t="n">
        <v>10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33</v>
      </c>
      <c r="D42" s="3" t="n">
        <v>33.5</v>
      </c>
      <c r="E42" s="3" t="n">
        <v>34</v>
      </c>
      <c r="F42" s="3" t="n">
        <v>34.5</v>
      </c>
      <c r="G42" s="3" t="n">
        <v>35</v>
      </c>
      <c r="H42" s="3" t="n">
        <v>35</v>
      </c>
      <c r="I42" s="3" t="n">
        <v>35</v>
      </c>
      <c r="J42" s="3" t="n">
        <v>35</v>
      </c>
      <c r="K42" s="3" t="n">
        <v>35</v>
      </c>
      <c r="L42" s="3" t="n">
        <v>35</v>
      </c>
    </row>
    <row r="43" customFormat="false" ht="15" hidden="false" customHeight="false" outlineLevel="0" collapsed="false">
      <c r="A43" s="0" t="s">
        <v>96</v>
      </c>
      <c r="C43" s="3" t="n">
        <v>0.6</v>
      </c>
      <c r="D43" s="3" t="n">
        <v>0.6</v>
      </c>
      <c r="E43" s="3" t="n">
        <v>0.6</v>
      </c>
      <c r="F43" s="3" t="n">
        <v>0.55</v>
      </c>
      <c r="G43" s="3" t="n">
        <v>0.55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8</v>
      </c>
      <c r="D45" s="3" t="n">
        <v>7.9</v>
      </c>
      <c r="E45" s="3" t="n">
        <v>7.8</v>
      </c>
      <c r="F45" s="3" t="n">
        <v>7.6</v>
      </c>
      <c r="G45" s="3" t="n">
        <v>7.4</v>
      </c>
      <c r="H45" s="3" t="n">
        <v>7.2</v>
      </c>
      <c r="I45" s="3" t="n">
        <v>7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99</v>
      </c>
      <c r="C46" s="3" t="n">
        <v>16</v>
      </c>
      <c r="D46" s="3" t="n">
        <v>12</v>
      </c>
      <c r="E46" s="3" t="n">
        <v>10</v>
      </c>
      <c r="F46" s="3" t="n">
        <v>9</v>
      </c>
      <c r="G46" s="3" t="n">
        <v>8.5</v>
      </c>
      <c r="H46" s="3" t="n">
        <v>8</v>
      </c>
      <c r="I46" s="3" t="n">
        <v>8</v>
      </c>
      <c r="J46" s="3" t="n">
        <v>7.5</v>
      </c>
      <c r="K46" s="3" t="n">
        <v>7.5</v>
      </c>
      <c r="L46" s="3" t="n">
        <v>7.5</v>
      </c>
    </row>
    <row r="47" customFormat="false" ht="15" hidden="false" customHeight="false" outlineLevel="0" collapsed="false">
      <c r="A47" s="0" t="s">
        <v>100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101</v>
      </c>
      <c r="B48" s="3" t="n">
        <v>9.5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14</v>
      </c>
    </row>
    <row r="51" customFormat="false" ht="15" hidden="false" customHeight="false" outlineLevel="0" collapsed="false">
      <c r="A51" s="0" t="s">
        <v>104</v>
      </c>
      <c r="B51" s="3" t="n">
        <v>10</v>
      </c>
    </row>
    <row r="52" customFormat="false" ht="15" hidden="false" customHeight="false" outlineLevel="0" collapsed="false">
      <c r="A52" s="0" t="s">
        <v>105</v>
      </c>
      <c r="B52" s="3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5</v>
      </c>
      <c r="D5" s="4" t="n">
        <f aca="false">Assumptions!D13</f>
        <v>-4</v>
      </c>
      <c r="E5" s="4" t="n">
        <f aca="false">Assumptions!E13</f>
        <v>-8</v>
      </c>
      <c r="F5" s="4" t="n">
        <f aca="false">Assumptions!F13</f>
        <v>-4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3588.901</v>
      </c>
      <c r="C6" s="0" t="n">
        <f aca="false">B6*(1+C5/100)</f>
        <v>3768.34605</v>
      </c>
      <c r="D6" s="0" t="n">
        <f aca="false">C6*(1+D5/100)</f>
        <v>3617.612208</v>
      </c>
      <c r="E6" s="0" t="n">
        <f aca="false">D6*(1+E5/100)</f>
        <v>3328.20323136</v>
      </c>
      <c r="F6" s="0" t="n">
        <f aca="false">E6*(1+F5/100)</f>
        <v>3195.0751021056</v>
      </c>
      <c r="G6" s="0" t="n">
        <f aca="false">F6*(1+G5/100)</f>
        <v>3195.0751021056</v>
      </c>
      <c r="H6" s="0" t="n">
        <f aca="false">G6*(1+H5/100)</f>
        <v>3227.02585312666</v>
      </c>
      <c r="I6" s="0" t="n">
        <f aca="false">H6*(1+I5/100)</f>
        <v>3259.29611165792</v>
      </c>
      <c r="J6" s="0" t="n">
        <f aca="false">I6*(1+J5/100)</f>
        <v>3291.8890727745</v>
      </c>
      <c r="K6" s="0" t="n">
        <f aca="false">J6*(1+K5/100)</f>
        <v>3324.80796350225</v>
      </c>
      <c r="L6" s="0" t="n">
        <f aca="false">K6*(1+L5/100)</f>
        <v>3358.05604313727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29</v>
      </c>
      <c r="D7" s="4" t="n">
        <f aca="false">Assumptions!D14</f>
        <v>26.5</v>
      </c>
      <c r="E7" s="4" t="n">
        <f aca="false">Assumptions!E14</f>
        <v>24.5</v>
      </c>
      <c r="F7" s="4" t="n">
        <f aca="false">Assumptions!F14</f>
        <v>23.5</v>
      </c>
      <c r="G7" s="4" t="n">
        <f aca="false">Assumptions!G14</f>
        <v>23</v>
      </c>
      <c r="H7" s="4" t="n">
        <f aca="false">Assumptions!H14</f>
        <v>22.5</v>
      </c>
      <c r="I7" s="4" t="n">
        <f aca="false">Assumptions!I14</f>
        <v>22.5</v>
      </c>
      <c r="J7" s="4" t="n">
        <f aca="false">Assumptions!J14</f>
        <v>22.5</v>
      </c>
      <c r="K7" s="4" t="n">
        <f aca="false">Assumptions!K14</f>
        <v>22.5</v>
      </c>
      <c r="L7" s="4" t="n">
        <f aca="false">Assumptions!L14</f>
        <v>22.5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1092.8203545</v>
      </c>
      <c r="D8" s="0" t="n">
        <f aca="false">D6*D7/100</f>
        <v>958.66723512</v>
      </c>
      <c r="E8" s="0" t="n">
        <f aca="false">E6*E7/100</f>
        <v>815.4097916832</v>
      </c>
      <c r="F8" s="0" t="n">
        <f aca="false">F6*F7/100</f>
        <v>750.842648994816</v>
      </c>
      <c r="G8" s="0" t="n">
        <f aca="false">G6*G7/100</f>
        <v>734.867273484288</v>
      </c>
      <c r="H8" s="0" t="n">
        <f aca="false">H6*H7/100</f>
        <v>726.080816953498</v>
      </c>
      <c r="I8" s="0" t="n">
        <f aca="false">I6*I7/100</f>
        <v>733.341625123033</v>
      </c>
      <c r="J8" s="0" t="n">
        <f aca="false">J6*J7/100</f>
        <v>740.675041374263</v>
      </c>
      <c r="K8" s="0" t="n">
        <f aca="false">K6*K7/100</f>
        <v>748.081791788006</v>
      </c>
      <c r="L8" s="0" t="n">
        <f aca="false">L6*L7/100</f>
        <v>755.562609705886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-22.6100763</v>
      </c>
      <c r="D10" s="0" t="n">
        <f aca="false">-D6*D9/100</f>
        <v>-21.705673248</v>
      </c>
      <c r="E10" s="0" t="n">
        <f aca="false">-E6*E9/100</f>
        <v>-19.96921938816</v>
      </c>
      <c r="F10" s="0" t="n">
        <f aca="false">-F6*F9/100</f>
        <v>-19.1704506126336</v>
      </c>
      <c r="G10" s="0" t="n">
        <f aca="false">-G6*G9/100</f>
        <v>-19.1704506126336</v>
      </c>
      <c r="H10" s="0" t="n">
        <f aca="false">-H6*H9/100</f>
        <v>-19.3621551187599</v>
      </c>
      <c r="I10" s="0" t="n">
        <f aca="false">-I6*I9/100</f>
        <v>-19.5557766699475</v>
      </c>
      <c r="J10" s="0" t="n">
        <f aca="false">-J6*J9/100</f>
        <v>-19.751334436647</v>
      </c>
      <c r="K10" s="0" t="n">
        <f aca="false">-K6*K9/100</f>
        <v>-19.9488477810135</v>
      </c>
      <c r="L10" s="0" t="n">
        <f aca="false">-L6*L9/100</f>
        <v>-20.1483362588236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1070.2102782</v>
      </c>
      <c r="D11" s="0" t="n">
        <f aca="false">D8+D10+D24</f>
        <v>936.961561872</v>
      </c>
      <c r="E11" s="0" t="n">
        <f aca="false">E8+E10+E24</f>
        <v>795.44057229504</v>
      </c>
      <c r="F11" s="0" t="n">
        <f aca="false">F8+F10+F24</f>
        <v>731.672198382183</v>
      </c>
      <c r="G11" s="0" t="n">
        <f aca="false">G8+G10+G24</f>
        <v>715.696822871654</v>
      </c>
      <c r="H11" s="0" t="n">
        <f aca="false">H8+H10+H24</f>
        <v>706.718661834738</v>
      </c>
      <c r="I11" s="0" t="n">
        <f aca="false">I8+I10+I24</f>
        <v>713.785848453085</v>
      </c>
      <c r="J11" s="0" t="n">
        <f aca="false">J8+J10+J24</f>
        <v>720.923706937616</v>
      </c>
      <c r="K11" s="0" t="n">
        <f aca="false">K8+K10+K24</f>
        <v>728.132944006992</v>
      </c>
      <c r="L11" s="0" t="n">
        <f aca="false">L8+L10+L24</f>
        <v>735.414273447062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-301.467684</v>
      </c>
      <c r="D12" s="4" t="n">
        <f aca="false">-D6*Assumptions!D17/100</f>
        <v>-300.261813264</v>
      </c>
      <c r="E12" s="4" t="n">
        <f aca="false">-E6*Assumptions!E17/100</f>
        <v>-286.22547789696</v>
      </c>
      <c r="F12" s="4" t="n">
        <f aca="false">-F6*Assumptions!F17/100</f>
        <v>-274.776458781082</v>
      </c>
      <c r="G12" s="4" t="n">
        <f aca="false">-G6*Assumptions!G17/100</f>
        <v>-271.581383678976</v>
      </c>
      <c r="H12" s="4" t="n">
        <f aca="false">-H6*Assumptions!H17/100</f>
        <v>-271.070171662639</v>
      </c>
      <c r="I12" s="4" t="n">
        <f aca="false">-I6*Assumptions!I17/100</f>
        <v>-270.521577267608</v>
      </c>
      <c r="J12" s="4" t="n">
        <f aca="false">-J6*Assumptions!J17/100</f>
        <v>-273.226793040284</v>
      </c>
      <c r="K12" s="4" t="n">
        <f aca="false">-K6*Assumptions!K17/100</f>
        <v>-275.959060970687</v>
      </c>
      <c r="L12" s="4" t="n">
        <f aca="false">-L6*Assumptions!L17/100</f>
        <v>-278.718651580393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768.7425942</v>
      </c>
      <c r="D13" s="0" t="n">
        <f aca="false">D11+D12</f>
        <v>636.699748608</v>
      </c>
      <c r="E13" s="0" t="n">
        <f aca="false">E11+E12</f>
        <v>509.21509439808</v>
      </c>
      <c r="F13" s="0" t="n">
        <f aca="false">F11+F12</f>
        <v>456.895739601101</v>
      </c>
      <c r="G13" s="0" t="n">
        <f aca="false">G11+G12</f>
        <v>444.115439192678</v>
      </c>
      <c r="H13" s="0" t="n">
        <f aca="false">H11+H12</f>
        <v>435.648490172099</v>
      </c>
      <c r="I13" s="0" t="n">
        <f aca="false">I11+I12</f>
        <v>443.264271185477</v>
      </c>
      <c r="J13" s="0" t="n">
        <f aca="false">J11+J12</f>
        <v>447.696913897332</v>
      </c>
      <c r="K13" s="0" t="n">
        <f aca="false">K11+K12</f>
        <v>452.173883036306</v>
      </c>
      <c r="L13" s="0" t="n">
        <f aca="false">L11+L12</f>
        <v>456.695621866669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576.55694565</v>
      </c>
      <c r="D15" s="0" t="n">
        <f aca="false">D13-MAX(0,D13)*D14/100</f>
        <v>477.524811456</v>
      </c>
      <c r="E15" s="0" t="n">
        <f aca="false">E13-MAX(0,E13)*E14/100</f>
        <v>381.91132079856</v>
      </c>
      <c r="F15" s="0" t="n">
        <f aca="false">F13-MAX(0,F13)*F14/100</f>
        <v>342.671804700826</v>
      </c>
      <c r="G15" s="0" t="n">
        <f aca="false">G13-MAX(0,G13)*G14/100</f>
        <v>333.086579394509</v>
      </c>
      <c r="H15" s="0" t="n">
        <f aca="false">H13-MAX(0,H13)*H14/100</f>
        <v>326.736367629074</v>
      </c>
      <c r="I15" s="0" t="n">
        <f aca="false">I13-MAX(0,I13)*I14/100</f>
        <v>332.448203389108</v>
      </c>
      <c r="J15" s="0" t="n">
        <f aca="false">J13-MAX(0,J13)*J14/100</f>
        <v>335.772685422999</v>
      </c>
      <c r="K15" s="0" t="n">
        <f aca="false">K13-MAX(0,K13)*K14/100</f>
        <v>339.130412277229</v>
      </c>
      <c r="L15" s="0" t="n">
        <f aca="false">L13-MAX(0,L13)*L14/100</f>
        <v>342.521716400002</v>
      </c>
    </row>
    <row r="16" customFormat="false" ht="15" hidden="false" customHeight="false" outlineLevel="0" collapsed="false">
      <c r="A16" s="0" t="s">
        <v>116</v>
      </c>
      <c r="C16" s="0" t="n">
        <f aca="false">-C12</f>
        <v>301.467684</v>
      </c>
      <c r="D16" s="0" t="n">
        <f aca="false">-D12</f>
        <v>300.261813264</v>
      </c>
      <c r="E16" s="0" t="n">
        <f aca="false">-E12</f>
        <v>286.22547789696</v>
      </c>
      <c r="F16" s="0" t="n">
        <f aca="false">-F12</f>
        <v>274.776458781082</v>
      </c>
      <c r="G16" s="0" t="n">
        <f aca="false">-G12</f>
        <v>271.581383678976</v>
      </c>
      <c r="H16" s="0" t="n">
        <f aca="false">-H12</f>
        <v>271.070171662639</v>
      </c>
      <c r="I16" s="0" t="n">
        <f aca="false">-I12</f>
        <v>270.521577267608</v>
      </c>
      <c r="J16" s="0" t="n">
        <f aca="false">-J12</f>
        <v>273.226793040284</v>
      </c>
      <c r="K16" s="0" t="n">
        <f aca="false">-K12</f>
        <v>275.959060970687</v>
      </c>
      <c r="L16" s="0" t="n">
        <f aca="false">-L12</f>
        <v>278.718651580393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-640.6188285</v>
      </c>
      <c r="D17" s="4" t="n">
        <f aca="false">-D6*Assumptions!D18/100</f>
        <v>-434.11346496</v>
      </c>
      <c r="E17" s="4" t="n">
        <f aca="false">-E6*Assumptions!E18/100</f>
        <v>-332.820323136</v>
      </c>
      <c r="F17" s="4" t="n">
        <f aca="false">-F6*Assumptions!F18/100</f>
        <v>-287.556759189504</v>
      </c>
      <c r="G17" s="4" t="n">
        <f aca="false">-G6*Assumptions!G18/100</f>
        <v>-271.581383678976</v>
      </c>
      <c r="H17" s="4" t="n">
        <f aca="false">-H6*Assumptions!H18/100</f>
        <v>-274.297197515766</v>
      </c>
      <c r="I17" s="4" t="n">
        <f aca="false">-I6*Assumptions!I18/100</f>
        <v>-277.040169490923</v>
      </c>
      <c r="J17" s="4" t="n">
        <f aca="false">-J6*Assumptions!J18/100</f>
        <v>-279.810571185833</v>
      </c>
      <c r="K17" s="4" t="n">
        <f aca="false">-K6*Assumptions!K18/100</f>
        <v>-282.608676897691</v>
      </c>
      <c r="L17" s="4" t="n">
        <f aca="false">-L6*Assumptions!L18/100</f>
        <v>-285.434763666668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-17.944505</v>
      </c>
      <c r="D18" s="4" t="n">
        <f aca="false">(D6-C6)*Assumptions!$B$23/100</f>
        <v>15.0733842</v>
      </c>
      <c r="E18" s="4" t="n">
        <f aca="false">(E6-D6)*Assumptions!$B$23/100</f>
        <v>28.940897664</v>
      </c>
      <c r="F18" s="4" t="n">
        <f aca="false">(F6-E6)*Assumptions!$B$23/100</f>
        <v>13.31281292544</v>
      </c>
      <c r="G18" s="4" t="n">
        <f aca="false">(G6-F6)*Assumptions!$B$23/100</f>
        <v>-0</v>
      </c>
      <c r="H18" s="4" t="n">
        <f aca="false">(H6-G6)*Assumptions!$B$23/100</f>
        <v>-3.1950751021056</v>
      </c>
      <c r="I18" s="4" t="n">
        <f aca="false">(I6-H6)*Assumptions!$B$23/100</f>
        <v>-3.22702585312668</v>
      </c>
      <c r="J18" s="4" t="n">
        <f aca="false">(J6-I6)*Assumptions!$B$23/100</f>
        <v>-3.25929611165793</v>
      </c>
      <c r="K18" s="4" t="n">
        <f aca="false">(K6-J6)*Assumptions!$B$23/100</f>
        <v>-3.29188907277448</v>
      </c>
      <c r="L18" s="4" t="n">
        <f aca="false">(L6-K6)*Assumptions!$B$23/100</f>
        <v>-3.32480796350224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219.46129615</v>
      </c>
      <c r="D19" s="0" t="n">
        <f aca="false">D15+D16+D17+D18</f>
        <v>358.74654396</v>
      </c>
      <c r="E19" s="0" t="n">
        <f aca="false">E15+E16+E17+E18</f>
        <v>364.25737322352</v>
      </c>
      <c r="F19" s="0" t="n">
        <f aca="false">F15+F16+F17+F18</f>
        <v>343.204317217843</v>
      </c>
      <c r="G19" s="0" t="n">
        <f aca="false">G15+G16+G17+G18</f>
        <v>333.086579394509</v>
      </c>
      <c r="H19" s="0" t="n">
        <f aca="false">H15+H16+H17+H18</f>
        <v>320.314266673842</v>
      </c>
      <c r="I19" s="0" t="n">
        <f aca="false">I15+I16+I17+I18</f>
        <v>322.702585312666</v>
      </c>
      <c r="J19" s="0" t="n">
        <f aca="false">J15+J16+J17+J18</f>
        <v>325.929611165792</v>
      </c>
      <c r="K19" s="0" t="n">
        <f aca="false">K15+K16+K17+K18</f>
        <v>329.18890727745</v>
      </c>
      <c r="L19" s="0" t="n">
        <f aca="false">L15+L16+L17+L18</f>
        <v>332.480796350225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200.421275022831</v>
      </c>
      <c r="D21" s="0" t="n">
        <f aca="false">D19*D20</f>
        <v>299.1985521236</v>
      </c>
      <c r="E21" s="0" t="n">
        <f aca="false">E19*E20</f>
        <v>277.438031203641</v>
      </c>
      <c r="F21" s="0" t="n">
        <f aca="false">F19*F20</f>
        <v>238.724100469336</v>
      </c>
      <c r="G21" s="0" t="n">
        <f aca="false">G19*G20</f>
        <v>211.585810165495</v>
      </c>
      <c r="H21" s="0" t="n">
        <f aca="false">H19*H20</f>
        <v>185.81961988648</v>
      </c>
      <c r="I21" s="0" t="n">
        <f aca="false">I19*I20</f>
        <v>170.963582784834</v>
      </c>
      <c r="J21" s="0" t="n">
        <f aca="false">J19*J20</f>
        <v>157.692437089207</v>
      </c>
      <c r="K21" s="0" t="n">
        <f aca="false">K19*K20</f>
        <v>145.451471653059</v>
      </c>
      <c r="L21" s="0" t="n">
        <f aca="false">L19*L20</f>
        <v>134.160718145744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8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2021.45559854423</v>
      </c>
    </row>
    <row r="31" customFormat="false" ht="15" hidden="false" customHeight="false" outlineLevel="0" collapsed="false">
      <c r="A31" s="0" t="s">
        <v>125</v>
      </c>
      <c r="B31" s="0" t="n">
        <f aca="false">L19</f>
        <v>332.480796350225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4521.73883036306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2659.8463708018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2659.8463708018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1073.28574516595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3094.74134371018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-107.781656289822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-0.0611840492578581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-1.08497784619147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127.566308023685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110.569897466996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0.0739979272339724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2608.69547905561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-0.54050582298998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12</v>
      </c>
      <c r="D5" s="4" t="n">
        <f aca="false">Assumptions!D27</f>
        <v>9</v>
      </c>
      <c r="E5" s="4" t="n">
        <f aca="false">Assumptions!E27</f>
        <v>7</v>
      </c>
      <c r="F5" s="4" t="n">
        <f aca="false">Assumptions!F27</f>
        <v>6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3588.901</v>
      </c>
      <c r="C6" s="0" t="n">
        <f aca="false">B6*(1+C5/100)</f>
        <v>4019.56912</v>
      </c>
      <c r="D6" s="0" t="n">
        <f aca="false">C6*(1+D5/100)</f>
        <v>4381.3303408</v>
      </c>
      <c r="E6" s="0" t="n">
        <f aca="false">D6*(1+E5/100)</f>
        <v>4688.023464656</v>
      </c>
      <c r="F6" s="0" t="n">
        <f aca="false">E6*(1+F5/100)</f>
        <v>4969.30487253536</v>
      </c>
      <c r="G6" s="0" t="n">
        <f aca="false">F6*(1+G5/100)</f>
        <v>5217.77011616213</v>
      </c>
      <c r="H6" s="0" t="n">
        <f aca="false">G6*(1+H5/100)</f>
        <v>5426.48092080861</v>
      </c>
      <c r="I6" s="0" t="n">
        <f aca="false">H6*(1+I5/100)</f>
        <v>5616.40775303692</v>
      </c>
      <c r="J6" s="0" t="n">
        <f aca="false">I6*(1+J5/100)</f>
        <v>5784.89998562802</v>
      </c>
      <c r="K6" s="0" t="n">
        <f aca="false">J6*(1+K5/100)</f>
        <v>5958.44698519686</v>
      </c>
      <c r="L6" s="0" t="n">
        <f aca="false">K6*(1+L5/100)</f>
        <v>6137.20039475277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32</v>
      </c>
      <c r="D7" s="4" t="n">
        <f aca="false">Assumptions!D28</f>
        <v>32</v>
      </c>
      <c r="E7" s="4" t="n">
        <f aca="false">Assumptions!E28</f>
        <v>32</v>
      </c>
      <c r="F7" s="4" t="n">
        <f aca="false">Assumptions!F28</f>
        <v>32</v>
      </c>
      <c r="G7" s="4" t="n">
        <f aca="false">Assumptions!G28</f>
        <v>32</v>
      </c>
      <c r="H7" s="4" t="n">
        <f aca="false">Assumptions!H28</f>
        <v>32</v>
      </c>
      <c r="I7" s="4" t="n">
        <f aca="false">Assumptions!I28</f>
        <v>32</v>
      </c>
      <c r="J7" s="4" t="n">
        <f aca="false">Assumptions!J28</f>
        <v>32</v>
      </c>
      <c r="K7" s="4" t="n">
        <f aca="false">Assumptions!K28</f>
        <v>32</v>
      </c>
      <c r="L7" s="4" t="n">
        <f aca="false">Assumptions!L28</f>
        <v>32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1286.2621184</v>
      </c>
      <c r="D8" s="0" t="n">
        <f aca="false">D6*D7/100</f>
        <v>1402.025709056</v>
      </c>
      <c r="E8" s="0" t="n">
        <f aca="false">E6*E7/100</f>
        <v>1500.16750868992</v>
      </c>
      <c r="F8" s="0" t="n">
        <f aca="false">F6*F7/100</f>
        <v>1590.17755921132</v>
      </c>
      <c r="G8" s="0" t="n">
        <f aca="false">G6*G7/100</f>
        <v>1669.68643717188</v>
      </c>
      <c r="H8" s="0" t="n">
        <f aca="false">H6*H7/100</f>
        <v>1736.47389465876</v>
      </c>
      <c r="I8" s="0" t="n">
        <f aca="false">I6*I7/100</f>
        <v>1797.25048097181</v>
      </c>
      <c r="J8" s="0" t="n">
        <f aca="false">J6*J7/100</f>
        <v>1851.16799540097</v>
      </c>
      <c r="K8" s="0" t="n">
        <f aca="false">K6*K7/100</f>
        <v>1906.703035263</v>
      </c>
      <c r="L8" s="0" t="n">
        <f aca="false">L6*L7/100</f>
        <v>1963.90412632089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-24.11741472</v>
      </c>
      <c r="D10" s="0" t="n">
        <f aca="false">-D6*D9/100</f>
        <v>-26.2879820448</v>
      </c>
      <c r="E10" s="0" t="n">
        <f aca="false">-E6*E9/100</f>
        <v>-28.128140787936</v>
      </c>
      <c r="F10" s="0" t="n">
        <f aca="false">-F6*F9/100</f>
        <v>-27.3311767989445</v>
      </c>
      <c r="G10" s="0" t="n">
        <f aca="false">-G6*G9/100</f>
        <v>-28.6977356388917</v>
      </c>
      <c r="H10" s="0" t="n">
        <f aca="false">-H6*H9/100</f>
        <v>-27.1324046040431</v>
      </c>
      <c r="I10" s="0" t="n">
        <f aca="false">-I6*I9/100</f>
        <v>-28.0820387651846</v>
      </c>
      <c r="J10" s="0" t="n">
        <f aca="false">-J6*J9/100</f>
        <v>-28.9244999281401</v>
      </c>
      <c r="K10" s="0" t="n">
        <f aca="false">-K6*K9/100</f>
        <v>-29.7922349259843</v>
      </c>
      <c r="L10" s="0" t="n">
        <f aca="false">-L6*L9/100</f>
        <v>-30.6860019737638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1262.14470368</v>
      </c>
      <c r="D11" s="0" t="n">
        <f aca="false">D8+D10+D24</f>
        <v>1375.7377270112</v>
      </c>
      <c r="E11" s="0" t="n">
        <f aca="false">E8+E10+E24</f>
        <v>1472.03936790198</v>
      </c>
      <c r="F11" s="0" t="n">
        <f aca="false">F8+F10+F24</f>
        <v>1562.84638241237</v>
      </c>
      <c r="G11" s="0" t="n">
        <f aca="false">G8+G10+G24</f>
        <v>1640.98870153299</v>
      </c>
      <c r="H11" s="0" t="n">
        <f aca="false">H8+H10+H24</f>
        <v>1709.34149005471</v>
      </c>
      <c r="I11" s="0" t="n">
        <f aca="false">I8+I10+I24</f>
        <v>1769.16844220663</v>
      </c>
      <c r="J11" s="0" t="n">
        <f aca="false">J8+J10+J24</f>
        <v>1822.24349547283</v>
      </c>
      <c r="K11" s="0" t="n">
        <f aca="false">K8+K10+K24</f>
        <v>1876.91080033701</v>
      </c>
      <c r="L11" s="0" t="n">
        <f aca="false">L8+L10+L24</f>
        <v>1933.21812434712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-321.5655296</v>
      </c>
      <c r="D12" s="4" t="n">
        <f aca="false">-D6*Assumptions!D31/100</f>
        <v>-350.506427264</v>
      </c>
      <c r="E12" s="4" t="n">
        <f aca="false">-E6*Assumptions!E31/100</f>
        <v>-370.353853707824</v>
      </c>
      <c r="F12" s="4" t="n">
        <f aca="false">-F6*Assumptions!F31/100</f>
        <v>-387.605780057758</v>
      </c>
      <c r="G12" s="4" t="n">
        <f aca="false">-G6*Assumptions!G31/100</f>
        <v>-401.768298944484</v>
      </c>
      <c r="H12" s="4" t="n">
        <f aca="false">-H6*Assumptions!H31/100</f>
        <v>-412.412549981455</v>
      </c>
      <c r="I12" s="4" t="n">
        <f aca="false">-I6*Assumptions!I31/100</f>
        <v>-421.230581477769</v>
      </c>
      <c r="J12" s="4" t="n">
        <f aca="false">-J6*Assumptions!J31/100</f>
        <v>-433.867498922102</v>
      </c>
      <c r="K12" s="4" t="n">
        <f aca="false">-K6*Assumptions!K31/100</f>
        <v>-446.883523889765</v>
      </c>
      <c r="L12" s="4" t="n">
        <f aca="false">-L6*Assumptions!L31/100</f>
        <v>-460.290029606458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940.57917408</v>
      </c>
      <c r="D13" s="0" t="n">
        <f aca="false">D11+D12</f>
        <v>1025.2312997472</v>
      </c>
      <c r="E13" s="0" t="n">
        <f aca="false">E11+E12</f>
        <v>1101.68551419416</v>
      </c>
      <c r="F13" s="0" t="n">
        <f aca="false">F11+F12</f>
        <v>1175.24060235461</v>
      </c>
      <c r="G13" s="0" t="n">
        <f aca="false">G11+G12</f>
        <v>1239.22040258851</v>
      </c>
      <c r="H13" s="0" t="n">
        <f aca="false">H11+H12</f>
        <v>1296.92894007326</v>
      </c>
      <c r="I13" s="0" t="n">
        <f aca="false">I11+I12</f>
        <v>1347.93786072886</v>
      </c>
      <c r="J13" s="0" t="n">
        <f aca="false">J11+J12</f>
        <v>1388.37599655073</v>
      </c>
      <c r="K13" s="0" t="n">
        <f aca="false">K11+K12</f>
        <v>1430.02727644725</v>
      </c>
      <c r="L13" s="0" t="n">
        <f aca="false">L11+L12</f>
        <v>1472.92809474066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724.2459640416</v>
      </c>
      <c r="D15" s="0" t="n">
        <f aca="false">D13-MAX(0,D13)*D14/100</f>
        <v>789.428100805344</v>
      </c>
      <c r="E15" s="0" t="n">
        <f aca="false">E13-MAX(0,E13)*E14/100</f>
        <v>848.297845929503</v>
      </c>
      <c r="F15" s="0" t="n">
        <f aca="false">F13-MAX(0,F13)*F14/100</f>
        <v>904.935263813052</v>
      </c>
      <c r="G15" s="0" t="n">
        <f aca="false">G13-MAX(0,G13)*G14/100</f>
        <v>954.199709993149</v>
      </c>
      <c r="H15" s="0" t="n">
        <f aca="false">H13-MAX(0,H13)*H14/100</f>
        <v>998.635283856409</v>
      </c>
      <c r="I15" s="0" t="n">
        <f aca="false">I13-MAX(0,I13)*I14/100</f>
        <v>1037.91215276122</v>
      </c>
      <c r="J15" s="0" t="n">
        <f aca="false">J13-MAX(0,J13)*J14/100</f>
        <v>1069.04951734406</v>
      </c>
      <c r="K15" s="0" t="n">
        <f aca="false">K13-MAX(0,K13)*K14/100</f>
        <v>1101.12100286438</v>
      </c>
      <c r="L15" s="0" t="n">
        <f aca="false">L13-MAX(0,L13)*L14/100</f>
        <v>1134.15463295031</v>
      </c>
    </row>
    <row r="16" customFormat="false" ht="15" hidden="false" customHeight="false" outlineLevel="0" collapsed="false">
      <c r="A16" s="0" t="s">
        <v>116</v>
      </c>
      <c r="C16" s="0" t="n">
        <f aca="false">-C12</f>
        <v>321.5655296</v>
      </c>
      <c r="D16" s="0" t="n">
        <f aca="false">-D12</f>
        <v>350.506427264</v>
      </c>
      <c r="E16" s="0" t="n">
        <f aca="false">-E12</f>
        <v>370.353853707824</v>
      </c>
      <c r="F16" s="0" t="n">
        <f aca="false">-F12</f>
        <v>387.605780057758</v>
      </c>
      <c r="G16" s="0" t="n">
        <f aca="false">-G12</f>
        <v>401.768298944484</v>
      </c>
      <c r="H16" s="0" t="n">
        <f aca="false">-H12</f>
        <v>412.412549981455</v>
      </c>
      <c r="I16" s="0" t="n">
        <f aca="false">-I12</f>
        <v>421.230581477769</v>
      </c>
      <c r="J16" s="0" t="n">
        <f aca="false">-J12</f>
        <v>433.867498922102</v>
      </c>
      <c r="K16" s="0" t="n">
        <f aca="false">-K12</f>
        <v>446.883523889765</v>
      </c>
      <c r="L16" s="0" t="n">
        <f aca="false">-L12</f>
        <v>460.290029606458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-683.3267504</v>
      </c>
      <c r="D17" s="4" t="n">
        <f aca="false">-D6*Assumptions!D32/100</f>
        <v>-569.572944304</v>
      </c>
      <c r="E17" s="4" t="n">
        <f aca="false">-E6*Assumptions!E32/100</f>
        <v>-515.68258111216</v>
      </c>
      <c r="F17" s="4" t="n">
        <f aca="false">-F6*Assumptions!F32/100</f>
        <v>-496.930487253536</v>
      </c>
      <c r="G17" s="4" t="n">
        <f aca="false">-G6*Assumptions!G32/100</f>
        <v>-495.688161035402</v>
      </c>
      <c r="H17" s="4" t="n">
        <f aca="false">-H6*Assumptions!H32/100</f>
        <v>-488.383282872775</v>
      </c>
      <c r="I17" s="4" t="n">
        <f aca="false">-I6*Assumptions!I32/100</f>
        <v>-505.476697773322</v>
      </c>
      <c r="J17" s="4" t="n">
        <f aca="false">-J6*Assumptions!J32/100</f>
        <v>-491.716498778382</v>
      </c>
      <c r="K17" s="4" t="n">
        <f aca="false">-K6*Assumptions!K32/100</f>
        <v>-506.467993741733</v>
      </c>
      <c r="L17" s="4" t="n">
        <f aca="false">-L6*Assumptions!L32/100</f>
        <v>-490.976031580222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362.4847432416</v>
      </c>
      <c r="D19" s="0" t="n">
        <f aca="false">D15+D16+D17+D18</f>
        <v>570.361583765344</v>
      </c>
      <c r="E19" s="0" t="n">
        <f aca="false">E15+E16+E17+E18</f>
        <v>702.969118525167</v>
      </c>
      <c r="F19" s="0" t="n">
        <f aca="false">F15+F16+F17+F18</f>
        <v>795.610556617274</v>
      </c>
      <c r="G19" s="0" t="n">
        <f aca="false">G15+G16+G17+G18</f>
        <v>860.279847902231</v>
      </c>
      <c r="H19" s="0" t="n">
        <f aca="false">H15+H16+H17+H18</f>
        <v>922.664550965088</v>
      </c>
      <c r="I19" s="0" t="n">
        <f aca="false">I15+I16+I17+I18</f>
        <v>953.666036465668</v>
      </c>
      <c r="J19" s="0" t="n">
        <f aca="false">J15+J16+J17+J18</f>
        <v>1011.20051748778</v>
      </c>
      <c r="K19" s="0" t="n">
        <f aca="false">K15+K16+K17+K18</f>
        <v>1041.53653301241</v>
      </c>
      <c r="L19" s="0" t="n">
        <f aca="false">L15+L16+L17+L18</f>
        <v>1103.46863097655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331.036295197808</v>
      </c>
      <c r="D21" s="0" t="n">
        <f aca="false">D19*D20</f>
        <v>475.68781615508</v>
      </c>
      <c r="E21" s="0" t="n">
        <f aca="false">E19*E20</f>
        <v>535.41913651506</v>
      </c>
      <c r="F21" s="0" t="n">
        <f aca="false">F19*F20</f>
        <v>553.406250807185</v>
      </c>
      <c r="G21" s="0" t="n">
        <f aca="false">G19*G20</f>
        <v>546.473559271969</v>
      </c>
      <c r="H21" s="0" t="n">
        <f aca="false">H19*H20</f>
        <v>535.253012372502</v>
      </c>
      <c r="I21" s="0" t="n">
        <f aca="false">I19*I20</f>
        <v>505.239715437704</v>
      </c>
      <c r="J21" s="0" t="n">
        <f aca="false">J19*J20</f>
        <v>489.24267242292</v>
      </c>
      <c r="K21" s="0" t="n">
        <f aca="false">K19*K20</f>
        <v>460.200869950327</v>
      </c>
      <c r="L21" s="0" t="n">
        <f aca="false">L19*L20</f>
        <v>445.26524722099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4877.22457535154</v>
      </c>
    </row>
    <row r="31" customFormat="false" ht="15" hidden="false" customHeight="false" outlineLevel="0" collapsed="false">
      <c r="A31" s="0" t="s">
        <v>125</v>
      </c>
      <c r="B31" s="0" t="n">
        <f aca="false">L19</f>
        <v>1103.46863097655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16157.9335250137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13241.6235717186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13241.6235717186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5343.18296665188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10220.4075420034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7017.88454200342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3.98381884528941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4.53308172956862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172.771553747387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181.311329414236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4.18481988118433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9048.44277400769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1.57937115808682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15</v>
      </c>
      <c r="D5" s="4" t="n">
        <f aca="false">Assumptions!D41</f>
        <v>12</v>
      </c>
      <c r="E5" s="4" t="n">
        <f aca="false">Assumptions!E41</f>
        <v>10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3588.901</v>
      </c>
      <c r="C6" s="0" t="n">
        <f aca="false">B6*(1+C5/100)</f>
        <v>4127.23615</v>
      </c>
      <c r="D6" s="0" t="n">
        <f aca="false">C6*(1+D5/100)</f>
        <v>4622.504488</v>
      </c>
      <c r="E6" s="0" t="n">
        <f aca="false">D6*(1+E5/100)</f>
        <v>5084.7549368</v>
      </c>
      <c r="F6" s="0" t="n">
        <f aca="false">E6*(1+F5/100)</f>
        <v>5491.535331744</v>
      </c>
      <c r="G6" s="0" t="n">
        <f aca="false">F6*(1+G5/100)</f>
        <v>5875.94280496608</v>
      </c>
      <c r="H6" s="0" t="n">
        <f aca="false">G6*(1+H5/100)</f>
        <v>6228.49937326405</v>
      </c>
      <c r="I6" s="0" t="n">
        <f aca="false">H6*(1+I5/100)</f>
        <v>6539.92434192725</v>
      </c>
      <c r="J6" s="0" t="n">
        <f aca="false">I6*(1+J5/100)</f>
        <v>6801.52131560434</v>
      </c>
      <c r="K6" s="0" t="n">
        <f aca="false">J6*(1+K5/100)</f>
        <v>7039.57456165049</v>
      </c>
      <c r="L6" s="0" t="n">
        <f aca="false">K6*(1+L5/100)</f>
        <v>7250.76179850001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33</v>
      </c>
      <c r="D7" s="4" t="n">
        <f aca="false">Assumptions!D42</f>
        <v>33.5</v>
      </c>
      <c r="E7" s="4" t="n">
        <f aca="false">Assumptions!E42</f>
        <v>34</v>
      </c>
      <c r="F7" s="4" t="n">
        <f aca="false">Assumptions!F42</f>
        <v>34.5</v>
      </c>
      <c r="G7" s="4" t="n">
        <f aca="false">Assumptions!G42</f>
        <v>35</v>
      </c>
      <c r="H7" s="4" t="n">
        <f aca="false">Assumptions!H42</f>
        <v>35</v>
      </c>
      <c r="I7" s="4" t="n">
        <f aca="false">Assumptions!I42</f>
        <v>35</v>
      </c>
      <c r="J7" s="4" t="n">
        <f aca="false">Assumptions!J42</f>
        <v>35</v>
      </c>
      <c r="K7" s="4" t="n">
        <f aca="false">Assumptions!K42</f>
        <v>35</v>
      </c>
      <c r="L7" s="4" t="n">
        <f aca="false">Assumptions!L42</f>
        <v>35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1361.9879295</v>
      </c>
      <c r="D8" s="0" t="n">
        <f aca="false">D6*D7/100</f>
        <v>1548.53900348</v>
      </c>
      <c r="E8" s="0" t="n">
        <f aca="false">E6*E7/100</f>
        <v>1728.816678512</v>
      </c>
      <c r="F8" s="0" t="n">
        <f aca="false">F6*F7/100</f>
        <v>1894.57968945168</v>
      </c>
      <c r="G8" s="0" t="n">
        <f aca="false">G6*G7/100</f>
        <v>2056.57998173813</v>
      </c>
      <c r="H8" s="0" t="n">
        <f aca="false">H6*H7/100</f>
        <v>2179.97478064242</v>
      </c>
      <c r="I8" s="0" t="n">
        <f aca="false">I6*I7/100</f>
        <v>2288.97351967454</v>
      </c>
      <c r="J8" s="0" t="n">
        <f aca="false">J6*J7/100</f>
        <v>2380.53246046152</v>
      </c>
      <c r="K8" s="0" t="n">
        <f aca="false">K6*K7/100</f>
        <v>2463.85109657767</v>
      </c>
      <c r="L8" s="0" t="n">
        <f aca="false">L6*L7/100</f>
        <v>2537.766629475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-24.7634169</v>
      </c>
      <c r="D10" s="0" t="n">
        <f aca="false">-D6*D9/100</f>
        <v>-27.735026928</v>
      </c>
      <c r="E10" s="0" t="n">
        <f aca="false">-E6*E9/100</f>
        <v>-30.5085296208</v>
      </c>
      <c r="F10" s="0" t="n">
        <f aca="false">-F6*F9/100</f>
        <v>-30.203444324592</v>
      </c>
      <c r="G10" s="0" t="n">
        <f aca="false">-G6*G9/100</f>
        <v>-32.3176854273135</v>
      </c>
      <c r="H10" s="0" t="n">
        <f aca="false">-H6*H9/100</f>
        <v>-31.1424968663202</v>
      </c>
      <c r="I10" s="0" t="n">
        <f aca="false">-I6*I9/100</f>
        <v>-32.6996217096363</v>
      </c>
      <c r="J10" s="0" t="n">
        <f aca="false">-J6*J9/100</f>
        <v>-34.0076065780217</v>
      </c>
      <c r="K10" s="0" t="n">
        <f aca="false">-K6*K9/100</f>
        <v>-35.1978728082525</v>
      </c>
      <c r="L10" s="0" t="n">
        <f aca="false">-L6*L9/100</f>
        <v>-36.2538089925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1337.2245126</v>
      </c>
      <c r="D11" s="0" t="n">
        <f aca="false">D8+D10+D24</f>
        <v>1520.803976552</v>
      </c>
      <c r="E11" s="0" t="n">
        <f aca="false">E8+E10+E24</f>
        <v>1698.3081488912</v>
      </c>
      <c r="F11" s="0" t="n">
        <f aca="false">F8+F10+F24</f>
        <v>1864.37624512709</v>
      </c>
      <c r="G11" s="0" t="n">
        <f aca="false">G8+G10+G24</f>
        <v>2024.26229631082</v>
      </c>
      <c r="H11" s="0" t="n">
        <f aca="false">H8+H10+H24</f>
        <v>2148.8322837761</v>
      </c>
      <c r="I11" s="0" t="n">
        <f aca="false">I8+I10+I24</f>
        <v>2256.2738979649</v>
      </c>
      <c r="J11" s="0" t="n">
        <f aca="false">J8+J10+J24</f>
        <v>2346.5248538835</v>
      </c>
      <c r="K11" s="0" t="n">
        <f aca="false">K8+K10+K24</f>
        <v>2428.65322376942</v>
      </c>
      <c r="L11" s="0" t="n">
        <f aca="false">L8+L10+L24</f>
        <v>2501.5128204825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-330.178892</v>
      </c>
      <c r="D12" s="4" t="n">
        <f aca="false">-D6*Assumptions!D45/100</f>
        <v>-365.177854552</v>
      </c>
      <c r="E12" s="4" t="n">
        <f aca="false">-E6*Assumptions!E45/100</f>
        <v>-396.6108850704</v>
      </c>
      <c r="F12" s="4" t="n">
        <f aca="false">-F6*Assumptions!F45/100</f>
        <v>-417.356685212544</v>
      </c>
      <c r="G12" s="4" t="n">
        <f aca="false">-G6*Assumptions!G45/100</f>
        <v>-434.81976756749</v>
      </c>
      <c r="H12" s="4" t="n">
        <f aca="false">-H6*Assumptions!H45/100</f>
        <v>-448.451954875011</v>
      </c>
      <c r="I12" s="4" t="n">
        <f aca="false">-I6*Assumptions!I45/100</f>
        <v>-457.794703934907</v>
      </c>
      <c r="J12" s="4" t="n">
        <f aca="false">-J6*Assumptions!J45/100</f>
        <v>-476.106492092304</v>
      </c>
      <c r="K12" s="4" t="n">
        <f aca="false">-K6*Assumptions!K45/100</f>
        <v>-492.770219315534</v>
      </c>
      <c r="L12" s="4" t="n">
        <f aca="false">-L6*Assumptions!L45/100</f>
        <v>-507.553325895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1007.0456206</v>
      </c>
      <c r="D13" s="0" t="n">
        <f aca="false">D11+D12</f>
        <v>1155.626122</v>
      </c>
      <c r="E13" s="0" t="n">
        <f aca="false">E11+E12</f>
        <v>1301.6972638208</v>
      </c>
      <c r="F13" s="0" t="n">
        <f aca="false">F11+F12</f>
        <v>1447.01955991454</v>
      </c>
      <c r="G13" s="0" t="n">
        <f aca="false">G11+G12</f>
        <v>1589.44252874332</v>
      </c>
      <c r="H13" s="0" t="n">
        <f aca="false">H11+H12</f>
        <v>1700.38032890109</v>
      </c>
      <c r="I13" s="0" t="n">
        <f aca="false">I11+I12</f>
        <v>1798.47919402999</v>
      </c>
      <c r="J13" s="0" t="n">
        <f aca="false">J11+J12</f>
        <v>1870.41836179119</v>
      </c>
      <c r="K13" s="0" t="n">
        <f aca="false">K11+K12</f>
        <v>1935.88300445389</v>
      </c>
      <c r="L13" s="0" t="n">
        <f aca="false">L11+L12</f>
        <v>1993.9594945875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775.425127862</v>
      </c>
      <c r="D15" s="0" t="n">
        <f aca="false">D13-MAX(0,D13)*D14/100</f>
        <v>889.83211394</v>
      </c>
      <c r="E15" s="0" t="n">
        <f aca="false">E13-MAX(0,E13)*E14/100</f>
        <v>1002.30689314202</v>
      </c>
      <c r="F15" s="0" t="n">
        <f aca="false">F13-MAX(0,F13)*F14/100</f>
        <v>1114.2050611342</v>
      </c>
      <c r="G15" s="0" t="n">
        <f aca="false">G13-MAX(0,G13)*G14/100</f>
        <v>1223.87074713236</v>
      </c>
      <c r="H15" s="0" t="n">
        <f aca="false">H13-MAX(0,H13)*H14/100</f>
        <v>1309.29285325384</v>
      </c>
      <c r="I15" s="0" t="n">
        <f aca="false">I13-MAX(0,I13)*I14/100</f>
        <v>1384.8289794031</v>
      </c>
      <c r="J15" s="0" t="n">
        <f aca="false">J13-MAX(0,J13)*J14/100</f>
        <v>1440.22213857922</v>
      </c>
      <c r="K15" s="0" t="n">
        <f aca="false">K13-MAX(0,K13)*K14/100</f>
        <v>1490.62991342949</v>
      </c>
      <c r="L15" s="0" t="n">
        <f aca="false">L13-MAX(0,L13)*L14/100</f>
        <v>1535.34881083238</v>
      </c>
    </row>
    <row r="16" customFormat="false" ht="15" hidden="false" customHeight="false" outlineLevel="0" collapsed="false">
      <c r="A16" s="0" t="s">
        <v>116</v>
      </c>
      <c r="C16" s="0" t="n">
        <f aca="false">-C12</f>
        <v>330.178892</v>
      </c>
      <c r="D16" s="0" t="n">
        <f aca="false">-D12</f>
        <v>365.177854552</v>
      </c>
      <c r="E16" s="0" t="n">
        <f aca="false">-E12</f>
        <v>396.6108850704</v>
      </c>
      <c r="F16" s="0" t="n">
        <f aca="false">-F12</f>
        <v>417.356685212544</v>
      </c>
      <c r="G16" s="0" t="n">
        <f aca="false">-G12</f>
        <v>434.81976756749</v>
      </c>
      <c r="H16" s="0" t="n">
        <f aca="false">-H12</f>
        <v>448.451954875011</v>
      </c>
      <c r="I16" s="0" t="n">
        <f aca="false">-I12</f>
        <v>457.794703934907</v>
      </c>
      <c r="J16" s="0" t="n">
        <f aca="false">-J12</f>
        <v>476.106492092304</v>
      </c>
      <c r="K16" s="0" t="n">
        <f aca="false">-K12</f>
        <v>492.770219315534</v>
      </c>
      <c r="L16" s="0" t="n">
        <f aca="false">-L12</f>
        <v>507.553325895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-660.357784</v>
      </c>
      <c r="D17" s="4" t="n">
        <f aca="false">-D6*Assumptions!D46/100</f>
        <v>-554.70053856</v>
      </c>
      <c r="E17" s="4" t="n">
        <f aca="false">-E6*Assumptions!E46/100</f>
        <v>-508.47549368</v>
      </c>
      <c r="F17" s="4" t="n">
        <f aca="false">-F6*Assumptions!F46/100</f>
        <v>-494.23817985696</v>
      </c>
      <c r="G17" s="4" t="n">
        <f aca="false">-G6*Assumptions!G46/100</f>
        <v>-499.455138422117</v>
      </c>
      <c r="H17" s="4" t="n">
        <f aca="false">-H6*Assumptions!H46/100</f>
        <v>-498.279949861124</v>
      </c>
      <c r="I17" s="4" t="n">
        <f aca="false">-I6*Assumptions!I46/100</f>
        <v>-523.19394735418</v>
      </c>
      <c r="J17" s="4" t="n">
        <f aca="false">-J6*Assumptions!J46/100</f>
        <v>-510.114098670325</v>
      </c>
      <c r="K17" s="4" t="n">
        <f aca="false">-K6*Assumptions!K46/100</f>
        <v>-527.968092123787</v>
      </c>
      <c r="L17" s="4" t="n">
        <f aca="false">-L6*Assumptions!L46/100</f>
        <v>-543.807134887501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53.833515</v>
      </c>
      <c r="D18" s="4" t="n">
        <f aca="false">(D6-C6)*Assumptions!$B$51/100</f>
        <v>49.5268338000001</v>
      </c>
      <c r="E18" s="4" t="n">
        <f aca="false">(E6-D6)*Assumptions!$B$51/100</f>
        <v>46.22504488</v>
      </c>
      <c r="F18" s="4" t="n">
        <f aca="false">(F6-E6)*Assumptions!$B$51/100</f>
        <v>40.6780394944</v>
      </c>
      <c r="G18" s="4" t="n">
        <f aca="false">(G6-F6)*Assumptions!$B$51/100</f>
        <v>38.4407473222081</v>
      </c>
      <c r="H18" s="4" t="n">
        <f aca="false">(H6-G6)*Assumptions!$B$51/100</f>
        <v>35.2556568297965</v>
      </c>
      <c r="I18" s="4" t="n">
        <f aca="false">(I6-H6)*Assumptions!$B$51/100</f>
        <v>31.1424968663203</v>
      </c>
      <c r="J18" s="4" t="n">
        <f aca="false">(J6-I6)*Assumptions!$B$51/100</f>
        <v>26.159697367709</v>
      </c>
      <c r="K18" s="4" t="n">
        <f aca="false">(K6-J6)*Assumptions!$B$51/100</f>
        <v>23.8053246046152</v>
      </c>
      <c r="L18" s="4" t="n">
        <f aca="false">(L6-K6)*Assumptions!$B$51/100</f>
        <v>21.1187236849515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499.079750862</v>
      </c>
      <c r="D19" s="0" t="n">
        <f aca="false">D15+D16+D17+D18</f>
        <v>749.836263732</v>
      </c>
      <c r="E19" s="0" t="n">
        <f aca="false">E15+E16+E17+E18</f>
        <v>936.667329412416</v>
      </c>
      <c r="F19" s="0" t="n">
        <f aca="false">F15+F16+F17+F18</f>
        <v>1078.00160598418</v>
      </c>
      <c r="G19" s="0" t="n">
        <f aca="false">G15+G16+G17+G18</f>
        <v>1197.67612359994</v>
      </c>
      <c r="H19" s="0" t="n">
        <f aca="false">H15+H16+H17+H18</f>
        <v>1294.72051509752</v>
      </c>
      <c r="I19" s="0" t="n">
        <f aca="false">I15+I16+I17+I18</f>
        <v>1350.57223285014</v>
      </c>
      <c r="J19" s="0" t="n">
        <f aca="false">J15+J16+J17+J18</f>
        <v>1432.37422936891</v>
      </c>
      <c r="K19" s="0" t="n">
        <f aca="false">K15+K16+K17+K18</f>
        <v>1479.23736522585</v>
      </c>
      <c r="L19" s="0" t="n">
        <f aca="false">L15+L16+L17+L18</f>
        <v>1520.21372552483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455.780594394521</v>
      </c>
      <c r="D21" s="0" t="n">
        <f aca="false">D19*D20</f>
        <v>625.371667589917</v>
      </c>
      <c r="E21" s="0" t="n">
        <f aca="false">E19*E20</f>
        <v>713.416278894346</v>
      </c>
      <c r="F21" s="0" t="n">
        <f aca="false">F19*F20</f>
        <v>749.830205456676</v>
      </c>
      <c r="G21" s="0" t="n">
        <f aca="false">G19*G20</f>
        <v>760.797007758221</v>
      </c>
      <c r="H21" s="0" t="n">
        <f aca="false">H19*H20</f>
        <v>751.088849313175</v>
      </c>
      <c r="I21" s="0" t="n">
        <f aca="false">I19*I20</f>
        <v>715.515394814876</v>
      </c>
      <c r="J21" s="0" t="n">
        <f aca="false">J19*J20</f>
        <v>693.016452985186</v>
      </c>
      <c r="K21" s="0" t="n">
        <f aca="false">K19*K20</f>
        <v>653.598122353962</v>
      </c>
      <c r="L21" s="0" t="n">
        <f aca="false">L19*L20</f>
        <v>613.427805125292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6731.84237868617</v>
      </c>
    </row>
    <row r="31" customFormat="false" ht="15" hidden="false" customHeight="false" outlineLevel="0" collapsed="false">
      <c r="A31" s="0" t="s">
        <v>125</v>
      </c>
      <c r="B31" s="0" t="n">
        <f aca="false">L19</f>
        <v>1520.21372552483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24089.5405737011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21282.9921573476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21282.9921573476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8587.98927175409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15319.8316504403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12117.3086504403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6.87859172759082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8.55359962165392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192.545903670544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231.812215990312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7.11948566993743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13048.5011440881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2.94249952093286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-0.0611840492578581</v>
      </c>
      <c r="C4" s="0" t="n">
        <f aca="false">B4/Assumptions!$B$2-1</f>
        <v>-1.08497784619147</v>
      </c>
      <c r="D4" s="4" t="n">
        <f aca="false">Assumptions!$B$24</f>
        <v>0.4</v>
      </c>
      <c r="E4" s="4" t="n">
        <f aca="false">DCF_Bear!$B$43</f>
        <v>0.0739979272339724</v>
      </c>
      <c r="F4" s="4" t="n">
        <f aca="false">DCF_Bear!$B$47</f>
        <v>-0.54050582298998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3.98381884528941</v>
      </c>
      <c r="C5" s="0" t="n">
        <f aca="false">B5/Assumptions!$B$2-1</f>
        <v>4.53308172956862</v>
      </c>
      <c r="D5" s="4" t="n">
        <f aca="false">Assumptions!$B$38</f>
        <v>0.45</v>
      </c>
      <c r="E5" s="4" t="n">
        <f aca="false">DCF_Base!$B$43</f>
        <v>4.18481988118433</v>
      </c>
      <c r="F5" s="4" t="n">
        <f aca="false">DCF_Base!$B$47</f>
        <v>1.57937115808682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6.87859172759082</v>
      </c>
      <c r="C6" s="0" t="n">
        <f aca="false">B6/Assumptions!$B$2-1</f>
        <v>8.55359962165392</v>
      </c>
      <c r="D6" s="4" t="n">
        <f aca="false">Assumptions!$B$52</f>
        <v>0.15</v>
      </c>
      <c r="E6" s="4" t="n">
        <f aca="false">DCF_Bull!$B$43</f>
        <v>7.11948566993743</v>
      </c>
      <c r="F6" s="4" t="n">
        <f aca="false">DCF_Bull!$B$47</f>
        <v>2.94249952093286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2.80003361981571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2.98069096791715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0.742860230354167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-1151.36950789722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0.935889620083008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4.19736836928848</v>
      </c>
      <c r="C15" s="3" t="n">
        <v>9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3.98381884528941</v>
      </c>
      <c r="C16" s="3" t="n">
        <v>9.5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3.77975883105764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3.39821929250015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2.805085087992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1.57937115808682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4.90017566198874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4.90017566198874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4.90017566198874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4.90017566198874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4.90017566198874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4.42091432465582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4.42091432465582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4.42091432465582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4.42091432465582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4.42091432465582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3.98381884528941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3.98381884528941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3.98381884528941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3.98381884528941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3.98381884528941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3.41802279456652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3.58470967601899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3.58470967601899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3.58470967601899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3.58470967601899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2.82967031207096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2.95344332049985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3.09096888542085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3.21986055837371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3.21986055837371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2026-10-16T17:18:27Z</dcterms:created>
  <dc:creator>openpyxl</dc:creator>
  <dc:description/>
  <dc:language>en-NZ</dc:language>
  <cp:lastModifiedBy/>
  <dcterms:modified xsi:type="dcterms:W3CDTF">2026-10-16T17:18:27Z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