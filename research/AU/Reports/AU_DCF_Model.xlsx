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<sst xmlns="http://schemas.openxmlformats.org/spreadsheetml/2006/main" count="363" uniqueCount="168">
  <si>
    <t xml:space="preserve">Ticker</t>
  </si>
  <si>
    <t xml:space="preserve">AU</t>
  </si>
  <si>
    <t xml:space="preserve">Company</t>
  </si>
  <si>
    <t xml:space="preserve">AngloGold Ashanti plc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</si>
  <si>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</si>
  <si>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</si>
  <si>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</si>
  <si>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</si>
  <si>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2026-10-02T20:00:58Z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</si>
  <si>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</si>
  <si>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</si>
  <si>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</si>
  <si>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</si>
  <si>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</si>
  <si>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</si>
  <si>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</si>
  <si>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</si>
  <si>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</si>
  <si>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</si>
  <si>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</si>
  <si>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</si>
  <si>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2026-10-02T22:21:50Z</t>
  </si>
  <si>
    <t xml:space="preserve">Drivers file</t>
  </si>
  <si>
    <t xml:space="preserve">AU_Drivers.json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</si>
  <si>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</si>
  <si>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</si>
  <si>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</si>
  <si>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Value AU as a mid-cycle gold producer, not at the FY25-26 peak. Revenue is ounces x gold price, so the forward path is built per ounce and the gold price is normalised toward a mid-cycle level rather than extrapolated. Tax and the Sukari NCI are charged once in a combined leakage rate, Kibali sits in the bridge as a separate asset, leases are charged in the flows, and closure liabilities are deducted. A 10x terminal cap reflects a depleting-asset business that must spend to replace reserves.
key_risks_to_valuation: Gold price: every $100/oz on ~2.8 Moz is ~$280m of pre-tax EBITDA (~$165m after leakage); the value is first and foremost a gold-price call, and the market price implies roughly today's spot persisting; Cost inflation and royalties: AISC rose to $2,039/oz in Q2-26; gold-linked royalties (Ghana sliding scale to 12%) mean costs rise with price; Jurisdiction: Ghana, DRC, Tanzania, Guinea and Egypt fiscal terms; Sukari profit-share renegotiation with MRMIA; Execution: Obuasi ramp after the April-2026 fatality and KMS shaft closure; Nevada development capex and timing; Capital allocation: a $2bn buyback executed at peak-gold prices would destroy value on this model's mid-cycle basis</t>
  </si>
  <si>
    <t xml:space="preserve">Data sources</t>
  </si>
  <si>
    <t xml:space="preserve">price: Yahoo Finance chart API (NYSE: AU) at inputs.price_as_of; 52-week range 62.55-129.14
financials: FY2016-FY2025 Form 20-F (research/AU/Extracted), AU_Metrics.csv and kpis (AISC, gold price achieved, ounces sold); Q2/H1-2026 earnings release furnished on Form 6-K 31-Jul-2026 (SEC accession 0001973832-26-000125) for the 30-Jun-2026 balance sheet, net cash, share count, H1 realised price, FCF and FY26 guidance
qualitative: AU_Analysis.json (2026-10-03)</t>
  </si>
  <si>
    <t xml:space="preserve">Scenario narrative: bear</t>
  </si>
  <si>
    <t xml:space="preserve">The gold rally unwinds toward ~$2,800/oz as real rates stay high and safe-haven demand fades; AU, the highest-cost major with no hedge book, sees margins fall to ~44%. Resource nationalism (Ghana's 5-12% sliding royalty and local-contractor mandate, DRC/Tanzania local-content rules, Egyptian fiscal terms) and recurring Obuasi safety incidents cap volumes near 2.7 Moz. Owner FCF falls to ~$1.1-1.2bn.</t>
  </si>
  <si>
    <t xml:space="preserve">Scenario narrative: base</t>
  </si>
  <si>
    <t xml:space="preserve">Mid-cycle normalisation. The FY25-26 margins are a gold-price windfall on an above-average cost base, so the base case glides the realised price from ~$4,400 to a $3,500/oz mid-cycle (still above every annual average before FY25) while volumes recover to ~3.0 Moz on Obuasi and early Nevada. EBITDA margin falls from ~64% to ~55%, the FY25 level, and owner FCF settles around $2.1-2.5bn a year after cash tax and the Sukari NCI leakage.</t>
  </si>
  <si>
    <t xml:space="preserve">Scenario narrative: bull</t>
  </si>
  <si>
    <t xml:space="preserve">The new gold regime is structural: central-bank reserve diversification and debased fiat keep gold at ~$4,500-4,700 and rising with inflation, Obuasi reaches 400koz with Block 11 grades, Sukari's mine-life extension is approved by MRMIA and Nevada adds a lower-risk production centre. Margins hold ~63% and owner FCF compounds toward $4.5bn.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</si>
  <si>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</si>
  <si>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</si>
  <si>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</si>
  <si>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</si>
  <si>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</si>
  <si>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</si>
  <si>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</si>
  <si>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</si>
  <si>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</si>
  <si>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</si>
  <si>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</si>
  <si>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</si>
  <si>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</si>
  <si>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</si>
  <si>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</si>
  <si>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</si>
  <si>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</si>
  <si>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</si>
  <si>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</si>
  <si>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</si>
  <si>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</si>
  <si>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</si>
  <si>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</si>
  <si>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</si>
  <si>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</si>
  <si>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</si>
  <si>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</si>
  <si>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AISC</t>
  </si>
  <si>
    <t xml:space="preserve">GoldPriceAchieved</t>
  </si>
  <si>
    <t xml:space="preserve">NetIncomeContinuing</t>
  </si>
  <si>
    <t xml:space="preserve">TotalEquityInclNCI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</si>
  <si>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</si>
  <si>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</si>
  <si>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</si>
  <si>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</si>
  <si>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</si>
  <si>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</si>
  <si>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</si>
  <si>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</si>
  <si>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</si>
  <si>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</si>
  <si>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</si>
  <si>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</si>
  <si>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</si>
  <si>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</si>
  <si>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</si>
  <si>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</si>
  <si>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</si>
  <si>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</si>
  <si>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</si>
  <si>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</si>
  <si>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</si>
  <si>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</si>
  <si>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</si>
  <si>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</si>
  <si>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</si>
  <si>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</si>
  <si>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</si>
  <si>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</si>
  <si>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</si>
  <si>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</si>
  <si>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</si>
  <si>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</si>
  <si>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</si>
  <si>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</si>
  <si>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</si>
  <si>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</si>
  <si>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</si>
  <si>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</si>
  <si>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</si>
  <si>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</si>
  <si>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</si>
  <si>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</si>
  <si>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</si>
  <si>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</si>
  <si>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</si>
  <si>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</si>
  <si>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</si>
  <si>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AU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</si>
  <si>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</si>
  <si>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</si>
  <si>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</si>
  <si>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</si>
  <si>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</si>
  <si>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</si>
  <si>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</si>
  <si>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</si>
  <si>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</si>
  <si>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</si>
  <si>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</si>
  <si>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</si>
  <si>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</si>
  <si>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</si>
  <si>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</si>
  <si>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</si>
  <si>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</si>
  <si>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</si>
  <si>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</si>
  <si>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</si>
  <si>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</si>
  <si>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</si>
  <si>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</si>
  <si>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</si>
  <si>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</si>
  <si>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</si>
  <si>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</si>
  <si>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</si>
  <si>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</si>
  <si>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</si>
  <si>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AU owner-FCF component DCF: base case (millions, USD)</t>
  </si>
  <si>
    <t xml:space="preserve">AU owner-FCF component DCF: bull case (millions, USD)</t>
  </si>
  <si>
    <t xml:space="preserve">AU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</si>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</sst>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94.92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  <c r="AC1" s="2" t="s">
        <v>63</v>
      </c>
      <c r="AD1" s="2" t="s">
        <v>64</v>
      </c>
      <c r="AE1" s="2" t="s">
        <v>65</v>
      </c>
      <c r="AF1" s="2" t="s">
        <v>66</v>
      </c>
    </row>
    <row r="2" customFormat="false" ht="15" hidden="false" customHeight="false" outlineLevel="0" collapsed="false">
      <c r="A2" s="0" t="s">
        <v>67</v>
      </c>
      <c r="B2" s="0" t="n">
        <v>4254</v>
      </c>
      <c r="C2" s="0" t="n">
        <v>3263</v>
      </c>
      <c r="D2" s="0" t="n">
        <v>841</v>
      </c>
      <c r="E2" s="0" t="n">
        <v>19.8</v>
      </c>
      <c r="F2" s="0" t="n">
        <v>495</v>
      </c>
      <c r="G2" s="0" t="n">
        <v>11.6</v>
      </c>
      <c r="I2" s="0" t="n">
        <v>63</v>
      </c>
      <c r="J2" s="0" t="n">
        <v>1.5</v>
      </c>
      <c r="K2" s="0" t="n">
        <v>0.15</v>
      </c>
      <c r="L2" s="0" t="n">
        <v>1186</v>
      </c>
      <c r="M2" s="0" t="n">
        <v>706</v>
      </c>
      <c r="N2" s="0" t="n">
        <v>480</v>
      </c>
      <c r="O2" s="0" t="n">
        <v>2715</v>
      </c>
      <c r="P2" s="0" t="n">
        <v>7153</v>
      </c>
      <c r="Q2" s="0" t="n">
        <v>4399</v>
      </c>
      <c r="R2" s="0" t="n">
        <v>2178</v>
      </c>
      <c r="S2" s="0" t="n">
        <v>215</v>
      </c>
      <c r="T2" s="0" t="n">
        <v>414.706</v>
      </c>
      <c r="U2" s="0" t="n">
        <v>37</v>
      </c>
      <c r="AA2" s="0" t="s">
        <v>17</v>
      </c>
      <c r="AB2" s="0" t="s">
        <v>14</v>
      </c>
      <c r="AF2" s="0" t="n">
        <v>2754</v>
      </c>
    </row>
    <row r="3" customFormat="false" ht="15" hidden="false" customHeight="false" outlineLevel="0" collapsed="false">
      <c r="A3" s="0" t="s">
        <v>68</v>
      </c>
      <c r="B3" s="0" t="n">
        <v>3394</v>
      </c>
      <c r="C3" s="0" t="n">
        <v>2607</v>
      </c>
      <c r="D3" s="0" t="n">
        <v>787</v>
      </c>
      <c r="E3" s="0" t="n">
        <v>23.2</v>
      </c>
      <c r="F3" s="0" t="n">
        <v>466</v>
      </c>
      <c r="G3" s="0" t="n">
        <v>13.7</v>
      </c>
      <c r="I3" s="0" t="n">
        <v>-191</v>
      </c>
      <c r="J3" s="0" t="n">
        <v>-5.6</v>
      </c>
      <c r="K3" s="0" t="n">
        <v>-0.46</v>
      </c>
      <c r="L3" s="0" t="n">
        <v>913</v>
      </c>
      <c r="M3" s="0" t="n">
        <v>675</v>
      </c>
      <c r="N3" s="0" t="n">
        <v>238</v>
      </c>
      <c r="O3" s="0" t="n">
        <v>2663</v>
      </c>
      <c r="P3" s="0" t="n">
        <v>7219</v>
      </c>
      <c r="Q3" s="0" t="n">
        <v>4515</v>
      </c>
      <c r="R3" s="0" t="n">
        <v>2268</v>
      </c>
      <c r="S3" s="0" t="n">
        <v>205</v>
      </c>
      <c r="T3" s="0" t="n">
        <v>415.44</v>
      </c>
      <c r="U3" s="0" t="n">
        <v>33</v>
      </c>
      <c r="AA3" s="0" t="s">
        <v>17</v>
      </c>
      <c r="AB3" s="0" t="s">
        <v>14</v>
      </c>
      <c r="AE3" s="0" t="n">
        <v>145</v>
      </c>
      <c r="AF3" s="0" t="n">
        <v>2704</v>
      </c>
    </row>
    <row r="4" customFormat="false" ht="15" hidden="false" customHeight="false" outlineLevel="0" collapsed="false">
      <c r="A4" s="0" t="s">
        <v>69</v>
      </c>
      <c r="B4" s="0" t="n">
        <v>3336</v>
      </c>
      <c r="C4" s="0" t="n">
        <v>2584</v>
      </c>
      <c r="D4" s="0" t="n">
        <v>750</v>
      </c>
      <c r="E4" s="0" t="n">
        <v>22.5</v>
      </c>
      <c r="F4" s="0" t="n">
        <v>490</v>
      </c>
      <c r="G4" s="0" t="n">
        <v>14.7</v>
      </c>
      <c r="I4" s="0" t="n">
        <v>133</v>
      </c>
      <c r="J4" s="0" t="n">
        <v>4</v>
      </c>
      <c r="K4" s="0" t="n">
        <v>0.32</v>
      </c>
      <c r="L4" s="0" t="n">
        <v>856</v>
      </c>
      <c r="M4" s="0" t="n">
        <v>575</v>
      </c>
      <c r="N4" s="0" t="n">
        <v>281</v>
      </c>
      <c r="O4" s="0" t="n">
        <v>2652</v>
      </c>
      <c r="P4" s="0" t="n">
        <v>6643</v>
      </c>
      <c r="Q4" s="0" t="n">
        <v>3949</v>
      </c>
      <c r="R4" s="0" t="n">
        <v>2050</v>
      </c>
      <c r="S4" s="0" t="n">
        <v>329</v>
      </c>
      <c r="T4" s="0" t="n">
        <v>417.379</v>
      </c>
      <c r="U4" s="0" t="n">
        <v>35</v>
      </c>
      <c r="AA4" s="0" t="s">
        <v>17</v>
      </c>
      <c r="AB4" s="0" t="s">
        <v>14</v>
      </c>
      <c r="AE4" s="0" t="n">
        <v>216</v>
      </c>
      <c r="AF4" s="0" t="n">
        <v>2694</v>
      </c>
    </row>
    <row r="5" customFormat="false" ht="15" hidden="false" customHeight="false" outlineLevel="0" collapsed="false">
      <c r="A5" s="0" t="s">
        <v>70</v>
      </c>
      <c r="B5" s="0" t="n">
        <v>3525</v>
      </c>
      <c r="C5" s="0" t="n">
        <v>2626</v>
      </c>
      <c r="D5" s="0" t="n">
        <v>904</v>
      </c>
      <c r="E5" s="0" t="n">
        <v>25.6</v>
      </c>
      <c r="F5" s="0" t="n">
        <v>621</v>
      </c>
      <c r="G5" s="0" t="n">
        <v>17.6</v>
      </c>
      <c r="I5" s="0" t="n">
        <v>-12</v>
      </c>
      <c r="J5" s="0" t="n">
        <v>-0.3</v>
      </c>
      <c r="K5" s="0" t="n">
        <v>-0.03</v>
      </c>
      <c r="L5" s="0" t="n">
        <v>958</v>
      </c>
      <c r="M5" s="0" t="n">
        <v>703</v>
      </c>
      <c r="N5" s="0" t="n">
        <v>255</v>
      </c>
      <c r="O5" s="0" t="n">
        <v>2640</v>
      </c>
      <c r="P5" s="0" t="n">
        <v>6863</v>
      </c>
      <c r="Q5" s="0" t="n">
        <v>4187</v>
      </c>
      <c r="R5" s="0" t="n">
        <v>2033</v>
      </c>
      <c r="S5" s="0" t="n">
        <v>456</v>
      </c>
      <c r="T5" s="0" t="n">
        <v>418.35</v>
      </c>
      <c r="U5" s="0" t="n">
        <v>42</v>
      </c>
      <c r="AA5" s="0" t="s">
        <v>17</v>
      </c>
      <c r="AB5" s="0" t="s">
        <v>14</v>
      </c>
      <c r="AE5" s="0" t="n">
        <v>364</v>
      </c>
      <c r="AF5" s="0" t="n">
        <v>2676</v>
      </c>
    </row>
    <row r="6" customFormat="false" ht="15" hidden="false" customHeight="false" outlineLevel="0" collapsed="false">
      <c r="A6" s="0" t="s">
        <v>71</v>
      </c>
      <c r="B6" s="0" t="n">
        <v>4595</v>
      </c>
      <c r="C6" s="0" t="n">
        <v>2829</v>
      </c>
      <c r="D6" s="0" t="n">
        <v>1747</v>
      </c>
      <c r="E6" s="0" t="n">
        <v>38</v>
      </c>
      <c r="F6" s="0" t="n">
        <v>1497</v>
      </c>
      <c r="G6" s="0" t="n">
        <v>32.6</v>
      </c>
      <c r="I6" s="0" t="n">
        <v>991</v>
      </c>
      <c r="J6" s="0" t="n">
        <v>21.6</v>
      </c>
      <c r="K6" s="0" t="n">
        <v>2.36</v>
      </c>
      <c r="L6" s="0" t="n">
        <v>1583</v>
      </c>
      <c r="M6" s="0" t="n">
        <v>740</v>
      </c>
      <c r="N6" s="0" t="n">
        <v>843</v>
      </c>
      <c r="O6" s="0" t="n">
        <v>3728</v>
      </c>
      <c r="P6" s="0" t="n">
        <v>7705</v>
      </c>
      <c r="Q6" s="0" t="n">
        <v>3932</v>
      </c>
      <c r="R6" s="0" t="n">
        <v>1931</v>
      </c>
      <c r="S6" s="0" t="n">
        <v>1330</v>
      </c>
      <c r="T6" s="0" t="n">
        <v>419.481</v>
      </c>
      <c r="U6" s="0" t="n">
        <v>16</v>
      </c>
      <c r="AA6" s="0" t="s">
        <v>17</v>
      </c>
      <c r="AB6" s="0" t="s">
        <v>14</v>
      </c>
      <c r="AE6" s="0" t="n">
        <v>984</v>
      </c>
      <c r="AF6" s="0" t="n">
        <v>3773</v>
      </c>
    </row>
    <row r="7" customFormat="false" ht="15" hidden="false" customHeight="false" outlineLevel="0" collapsed="false">
      <c r="A7" s="0" t="s">
        <v>72</v>
      </c>
      <c r="B7" s="0" t="n">
        <v>4029</v>
      </c>
      <c r="C7" s="0" t="n">
        <v>2857</v>
      </c>
      <c r="D7" s="0" t="n">
        <v>1172</v>
      </c>
      <c r="E7" s="0" t="n">
        <v>29.1</v>
      </c>
      <c r="F7" s="0" t="n">
        <v>810</v>
      </c>
      <c r="G7" s="0" t="n">
        <v>20.1</v>
      </c>
      <c r="I7" s="0" t="n">
        <v>622</v>
      </c>
      <c r="J7" s="0" t="n">
        <v>15.4</v>
      </c>
      <c r="K7" s="0" t="n">
        <v>1.48</v>
      </c>
      <c r="L7" s="0" t="n">
        <v>1268</v>
      </c>
      <c r="M7" s="0" t="n">
        <v>1028</v>
      </c>
      <c r="N7" s="0" t="n">
        <v>240</v>
      </c>
      <c r="O7" s="0" t="n">
        <v>4042</v>
      </c>
      <c r="P7" s="0" t="n">
        <v>8000</v>
      </c>
      <c r="Q7" s="0" t="n">
        <v>3906</v>
      </c>
      <c r="R7" s="0" t="n">
        <v>1909</v>
      </c>
      <c r="S7" s="0" t="n">
        <v>1154</v>
      </c>
      <c r="T7" s="0" t="n">
        <v>420.057</v>
      </c>
      <c r="U7" s="0" t="n">
        <v>22</v>
      </c>
      <c r="AA7" s="0" t="s">
        <v>17</v>
      </c>
      <c r="AB7" s="0" t="s">
        <v>14</v>
      </c>
      <c r="AF7" s="0" t="n">
        <v>4094</v>
      </c>
    </row>
    <row r="8" customFormat="false" ht="15" hidden="false" customHeight="false" outlineLevel="0" collapsed="false">
      <c r="A8" s="0" t="s">
        <v>73</v>
      </c>
      <c r="B8" s="0" t="n">
        <v>4501</v>
      </c>
      <c r="C8" s="0" t="n">
        <v>3362</v>
      </c>
      <c r="D8" s="0" t="n">
        <v>1133</v>
      </c>
      <c r="E8" s="0" t="n">
        <v>25.2</v>
      </c>
      <c r="F8" s="0" t="n">
        <v>519</v>
      </c>
      <c r="G8" s="0" t="n">
        <v>11.5</v>
      </c>
      <c r="I8" s="0" t="n">
        <v>297</v>
      </c>
      <c r="J8" s="0" t="n">
        <v>6.6</v>
      </c>
      <c r="K8" s="0" t="n">
        <v>0.71</v>
      </c>
      <c r="L8" s="0" t="n">
        <v>1804</v>
      </c>
      <c r="M8" s="0" t="n">
        <v>1028</v>
      </c>
      <c r="N8" s="0" t="n">
        <v>776</v>
      </c>
      <c r="O8" s="0" t="n">
        <v>4100</v>
      </c>
      <c r="P8" s="0" t="n">
        <v>8072</v>
      </c>
      <c r="Q8" s="0" t="n">
        <v>3938</v>
      </c>
      <c r="R8" s="0" t="n">
        <v>1983</v>
      </c>
      <c r="S8" s="0" t="n">
        <v>1108</v>
      </c>
      <c r="T8" s="0" t="n">
        <v>420.87</v>
      </c>
      <c r="U8" s="0" t="n">
        <v>18</v>
      </c>
      <c r="AA8" s="0" t="s">
        <v>17</v>
      </c>
      <c r="AB8" s="0" t="s">
        <v>14</v>
      </c>
      <c r="AF8" s="0" t="n">
        <v>4134</v>
      </c>
    </row>
    <row r="9" customFormat="false" ht="15" hidden="false" customHeight="false" outlineLevel="0" collapsed="false">
      <c r="A9" s="0" t="s">
        <v>74</v>
      </c>
      <c r="B9" s="0" t="n">
        <v>4582</v>
      </c>
      <c r="C9" s="0" t="n">
        <v>3541</v>
      </c>
      <c r="D9" s="0" t="n">
        <v>1027</v>
      </c>
      <c r="E9" s="0" t="n">
        <v>22.4</v>
      </c>
      <c r="F9" s="0" t="n">
        <v>40</v>
      </c>
      <c r="G9" s="0" t="n">
        <v>0.9</v>
      </c>
      <c r="I9" s="0" t="n">
        <v>-235</v>
      </c>
      <c r="J9" s="0" t="n">
        <v>-5.1</v>
      </c>
      <c r="K9" s="0" t="n">
        <v>-0.56</v>
      </c>
      <c r="L9" s="0" t="n">
        <v>971</v>
      </c>
      <c r="M9" s="0" t="n">
        <v>1042</v>
      </c>
      <c r="N9" s="0" t="n">
        <v>-71</v>
      </c>
      <c r="O9" s="0" t="n">
        <v>3711</v>
      </c>
      <c r="P9" s="0" t="n">
        <v>8257</v>
      </c>
      <c r="Q9" s="0" t="n">
        <v>4517</v>
      </c>
      <c r="R9" s="0" t="n">
        <v>2239</v>
      </c>
      <c r="S9" s="0" t="n">
        <v>964</v>
      </c>
      <c r="T9" s="0" t="n">
        <v>421.105</v>
      </c>
      <c r="U9" s="0" t="n">
        <v>15</v>
      </c>
      <c r="AA9" s="0" t="s">
        <v>17</v>
      </c>
      <c r="AB9" s="0" t="s">
        <v>14</v>
      </c>
      <c r="AC9" s="0" t="n">
        <v>1657</v>
      </c>
      <c r="AF9" s="0" t="n">
        <v>3740</v>
      </c>
    </row>
    <row r="10" customFormat="false" ht="15" hidden="false" customHeight="false" outlineLevel="0" collapsed="false">
      <c r="A10" s="0" t="s">
        <v>75</v>
      </c>
      <c r="B10" s="0" t="n">
        <v>5793</v>
      </c>
      <c r="C10" s="0" t="n">
        <v>3726</v>
      </c>
      <c r="D10" s="0" t="n">
        <v>2067</v>
      </c>
      <c r="E10" s="0" t="n">
        <v>35.7</v>
      </c>
      <c r="F10" s="0" t="n">
        <v>1611</v>
      </c>
      <c r="G10" s="0" t="n">
        <v>27.8</v>
      </c>
      <c r="I10" s="0" t="n">
        <v>1004</v>
      </c>
      <c r="J10" s="0" t="n">
        <v>17.3</v>
      </c>
      <c r="K10" s="0" t="n">
        <v>2.33</v>
      </c>
      <c r="L10" s="0" t="n">
        <v>1968</v>
      </c>
      <c r="M10" s="0" t="n">
        <v>1090</v>
      </c>
      <c r="N10" s="0" t="n">
        <v>878</v>
      </c>
      <c r="O10" s="0" t="n">
        <v>6629</v>
      </c>
      <c r="P10" s="0" t="n">
        <v>13230</v>
      </c>
      <c r="Q10" s="0" t="n">
        <v>4717</v>
      </c>
      <c r="R10" s="0" t="n">
        <v>1984</v>
      </c>
      <c r="S10" s="0" t="n">
        <v>1425</v>
      </c>
      <c r="T10" s="0" t="n">
        <v>430.917</v>
      </c>
      <c r="U10" s="0" t="n">
        <v>28</v>
      </c>
      <c r="AA10" s="0" t="s">
        <v>17</v>
      </c>
      <c r="AB10" s="0" t="s">
        <v>14</v>
      </c>
      <c r="AC10" s="0" t="n">
        <v>1672</v>
      </c>
      <c r="AD10" s="0" t="n">
        <v>2393</v>
      </c>
      <c r="AF10" s="0" t="n">
        <v>8513</v>
      </c>
    </row>
    <row r="11" customFormat="false" ht="15" hidden="false" customHeight="false" outlineLevel="0" collapsed="false">
      <c r="A11" s="0" t="s">
        <v>76</v>
      </c>
      <c r="B11" s="0" t="n">
        <v>9893</v>
      </c>
      <c r="C11" s="0" t="n">
        <v>5022</v>
      </c>
      <c r="D11" s="0" t="n">
        <v>4871</v>
      </c>
      <c r="E11" s="0" t="n">
        <v>49.2</v>
      </c>
      <c r="F11" s="0" t="n">
        <v>4130</v>
      </c>
      <c r="G11" s="0" t="n">
        <v>41.7</v>
      </c>
      <c r="I11" s="0" t="n">
        <v>2636</v>
      </c>
      <c r="J11" s="0" t="n">
        <v>26.6</v>
      </c>
      <c r="K11" s="0" t="n">
        <v>5.18</v>
      </c>
      <c r="L11" s="0" t="n">
        <v>4784</v>
      </c>
      <c r="M11" s="0" t="n">
        <v>1449</v>
      </c>
      <c r="N11" s="0" t="n">
        <v>3335</v>
      </c>
      <c r="O11" s="0" t="n">
        <v>8091</v>
      </c>
      <c r="P11" s="0" t="n">
        <v>15078</v>
      </c>
      <c r="Q11" s="0" t="n">
        <v>5162</v>
      </c>
      <c r="R11" s="0" t="n">
        <v>2044</v>
      </c>
      <c r="S11" s="0" t="n">
        <v>2905</v>
      </c>
      <c r="T11" s="0" t="n">
        <v>509.094</v>
      </c>
      <c r="U11" s="0" t="n">
        <v>40</v>
      </c>
      <c r="AA11" s="0" t="s">
        <v>17</v>
      </c>
      <c r="AB11" s="0" t="s">
        <v>14</v>
      </c>
      <c r="AC11" s="0" t="n">
        <v>1751</v>
      </c>
      <c r="AD11" s="0" t="n">
        <v>3466</v>
      </c>
      <c r="AF11" s="0" t="n">
        <v>9916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77</v>
      </c>
      <c r="B1" s="2" t="s">
        <v>78</v>
      </c>
    </row>
    <row r="2" customFormat="false" ht="15" hidden="false" customHeight="false" outlineLevel="0" collapsed="false">
      <c r="A2" s="0" t="s">
        <v>79</v>
      </c>
      <c r="B2" s="3" t="n">
        <v>94.92</v>
      </c>
    </row>
    <row r="3" customFormat="false" ht="15" hidden="false" customHeight="false" outlineLevel="0" collapsed="false">
      <c r="A3" s="0" t="s">
        <v>80</v>
      </c>
      <c r="B3" s="3" t="n">
        <v>506.9</v>
      </c>
    </row>
    <row r="4" customFormat="false" ht="15" hidden="false" customHeight="false" outlineLevel="0" collapsed="false">
      <c r="A4" s="0" t="s">
        <v>81</v>
      </c>
      <c r="B4" s="3" t="n">
        <v>-1198</v>
      </c>
    </row>
    <row r="5" customFormat="false" ht="15" hidden="false" customHeight="false" outlineLevel="0" collapsed="false">
      <c r="A5" s="0" t="s">
        <v>82</v>
      </c>
      <c r="B5" s="3" t="n">
        <v>809</v>
      </c>
    </row>
    <row r="6" customFormat="false" ht="15" hidden="false" customHeight="false" outlineLevel="0" collapsed="false">
      <c r="A6" s="0" t="s">
        <v>83</v>
      </c>
      <c r="B6" s="3" t="n">
        <v>15</v>
      </c>
    </row>
    <row r="7" customFormat="false" ht="15" hidden="false" customHeight="false" outlineLevel="0" collapsed="false">
      <c r="A7" s="0" t="s">
        <v>84</v>
      </c>
      <c r="B7" s="3" t="n">
        <v>9893</v>
      </c>
    </row>
    <row r="8" customFormat="false" ht="15" hidden="false" customHeight="false" outlineLevel="0" collapsed="false">
      <c r="A8" s="0" t="s">
        <v>85</v>
      </c>
      <c r="B8" s="3" t="s">
        <v>76</v>
      </c>
    </row>
    <row r="9" customFormat="false" ht="15" hidden="false" customHeight="false" outlineLevel="0" collapsed="false">
      <c r="A9" s="0" t="s">
        <v>86</v>
      </c>
      <c r="B9" s="3" t="s">
        <v>87</v>
      </c>
    </row>
    <row r="10" customFormat="false" ht="15" hidden="false" customHeight="false" outlineLevel="0" collapsed="false">
      <c r="A10" s="0" t="s">
        <v>88</v>
      </c>
      <c r="B10" s="3" t="n">
        <v>1</v>
      </c>
    </row>
    <row r="12" customFormat="false" ht="15" hidden="false" customHeight="false" outlineLevel="0" collapsed="false">
      <c r="A12" s="2" t="s">
        <v>89</v>
      </c>
      <c r="C12" s="2" t="s">
        <v>90</v>
      </c>
      <c r="D12" s="2" t="s">
        <v>91</v>
      </c>
      <c r="E12" s="2" t="s">
        <v>92</v>
      </c>
      <c r="F12" s="2" t="s">
        <v>93</v>
      </c>
      <c r="G12" s="2" t="s">
        <v>94</v>
      </c>
      <c r="H12" s="2" t="s">
        <v>95</v>
      </c>
      <c r="I12" s="2" t="s">
        <v>96</v>
      </c>
      <c r="J12" s="2" t="s">
        <v>97</v>
      </c>
      <c r="K12" s="2" t="s">
        <v>98</v>
      </c>
      <c r="L12" s="2" t="s">
        <v>99</v>
      </c>
    </row>
    <row r="13" customFormat="false" ht="15" hidden="false" customHeight="false" outlineLevel="0" collapsed="false">
      <c r="A13" s="0" t="s">
        <v>100</v>
      </c>
      <c r="C13" s="3" t="n">
        <v>16.8</v>
      </c>
      <c r="D13" s="3" t="n">
        <v>-19.2</v>
      </c>
      <c r="E13" s="3" t="n">
        <v>-12.1</v>
      </c>
      <c r="F13" s="3" t="n">
        <v>-4.4</v>
      </c>
      <c r="G13" s="3" t="n">
        <v>2.7</v>
      </c>
      <c r="H13" s="3" t="n">
        <v>2</v>
      </c>
      <c r="I13" s="3" t="n">
        <v>2</v>
      </c>
      <c r="J13" s="3" t="n">
        <v>2</v>
      </c>
      <c r="K13" s="3" t="n">
        <v>2</v>
      </c>
      <c r="L13" s="3" t="n">
        <v>2</v>
      </c>
    </row>
    <row r="14" customFormat="false" ht="15" hidden="false" customHeight="false" outlineLevel="0" collapsed="false">
      <c r="A14" s="0" t="s">
        <v>101</v>
      </c>
      <c r="C14" s="3" t="n">
        <v>63.4</v>
      </c>
      <c r="D14" s="3" t="n">
        <v>55.9</v>
      </c>
      <c r="E14" s="3" t="n">
        <v>48.9</v>
      </c>
      <c r="F14" s="3" t="n">
        <v>44.5</v>
      </c>
      <c r="G14" s="3" t="n">
        <v>44.3</v>
      </c>
      <c r="H14" s="3" t="n">
        <v>44.1</v>
      </c>
      <c r="I14" s="3" t="n">
        <v>43.8</v>
      </c>
      <c r="J14" s="3" t="n">
        <v>43.6</v>
      </c>
      <c r="K14" s="3" t="n">
        <v>43.3</v>
      </c>
      <c r="L14" s="3" t="n">
        <v>43.1</v>
      </c>
    </row>
    <row r="15" customFormat="false" ht="15" hidden="false" customHeight="false" outlineLevel="0" collapsed="false">
      <c r="A15" s="0" t="s">
        <v>102</v>
      </c>
      <c r="C15" s="3" t="n">
        <v>0.4</v>
      </c>
      <c r="D15" s="3" t="n">
        <v>0.4</v>
      </c>
      <c r="E15" s="3" t="n">
        <v>0.4</v>
      </c>
      <c r="F15" s="3" t="n">
        <v>0.4</v>
      </c>
      <c r="G15" s="3" t="n">
        <v>0.4</v>
      </c>
      <c r="H15" s="3" t="n">
        <v>0.4</v>
      </c>
      <c r="I15" s="3" t="n">
        <v>0.4</v>
      </c>
      <c r="J15" s="3" t="n">
        <v>0.4</v>
      </c>
      <c r="K15" s="3" t="n">
        <v>0.4</v>
      </c>
      <c r="L15" s="3" t="n">
        <v>0.4</v>
      </c>
    </row>
    <row r="16" customFormat="false" ht="15" hidden="false" customHeight="false" outlineLevel="0" collapsed="false">
      <c r="A16" s="0" t="s">
        <v>103</v>
      </c>
      <c r="C16" s="3" t="n">
        <v>1</v>
      </c>
      <c r="D16" s="3" t="n">
        <v>1</v>
      </c>
      <c r="E16" s="3" t="n">
        <v>1</v>
      </c>
      <c r="F16" s="3" t="n">
        <v>1</v>
      </c>
      <c r="G16" s="3" t="n">
        <v>1</v>
      </c>
      <c r="H16" s="3" t="n">
        <v>1</v>
      </c>
      <c r="I16" s="3" t="n">
        <v>1</v>
      </c>
      <c r="J16" s="3" t="n">
        <v>1</v>
      </c>
      <c r="K16" s="3" t="n">
        <v>1</v>
      </c>
      <c r="L16" s="3" t="n">
        <v>1</v>
      </c>
    </row>
    <row r="17" customFormat="false" ht="15" hidden="false" customHeight="false" outlineLevel="0" collapsed="false">
      <c r="A17" s="0" t="s">
        <v>104</v>
      </c>
      <c r="C17" s="3" t="n">
        <v>10.6</v>
      </c>
      <c r="D17" s="3" t="n">
        <v>13.7</v>
      </c>
      <c r="E17" s="3" t="n">
        <v>16.2</v>
      </c>
      <c r="F17" s="3" t="n">
        <v>17.6</v>
      </c>
      <c r="G17" s="3" t="n">
        <v>17.4</v>
      </c>
      <c r="H17" s="3" t="n">
        <v>17.5</v>
      </c>
      <c r="I17" s="3" t="n">
        <v>17.5</v>
      </c>
      <c r="J17" s="3" t="n">
        <v>17.6</v>
      </c>
      <c r="K17" s="3" t="n">
        <v>17.7</v>
      </c>
      <c r="L17" s="3" t="n">
        <v>17.8</v>
      </c>
    </row>
    <row r="18" customFormat="false" ht="15" hidden="false" customHeight="false" outlineLevel="0" collapsed="false">
      <c r="A18" s="0" t="s">
        <v>105</v>
      </c>
      <c r="C18" s="3" t="n">
        <v>16.9</v>
      </c>
      <c r="D18" s="3" t="n">
        <v>19.3</v>
      </c>
      <c r="E18" s="3" t="n">
        <v>19.5</v>
      </c>
      <c r="F18" s="3" t="n">
        <v>19.1</v>
      </c>
      <c r="G18" s="3" t="n">
        <v>18</v>
      </c>
      <c r="H18" s="3" t="n">
        <v>18.1</v>
      </c>
      <c r="I18" s="3" t="n">
        <v>18.2</v>
      </c>
      <c r="J18" s="3" t="n">
        <v>18.3</v>
      </c>
      <c r="K18" s="3" t="n">
        <v>18.4</v>
      </c>
      <c r="L18" s="3" t="n">
        <v>18.4</v>
      </c>
    </row>
    <row r="19" customFormat="false" ht="15" hidden="false" customHeight="false" outlineLevel="0" collapsed="false">
      <c r="A19" s="0" t="s">
        <v>106</v>
      </c>
      <c r="C19" s="3" t="n">
        <v>42</v>
      </c>
      <c r="D19" s="3" t="n">
        <v>42</v>
      </c>
      <c r="E19" s="3" t="n">
        <v>43</v>
      </c>
      <c r="F19" s="3" t="n">
        <v>43</v>
      </c>
      <c r="G19" s="3" t="n">
        <v>43</v>
      </c>
      <c r="H19" s="3" t="n">
        <v>43</v>
      </c>
      <c r="I19" s="3" t="n">
        <v>43</v>
      </c>
      <c r="J19" s="3" t="n">
        <v>43</v>
      </c>
      <c r="K19" s="3" t="n">
        <v>43</v>
      </c>
      <c r="L19" s="3" t="n">
        <v>43</v>
      </c>
    </row>
    <row r="20" customFormat="false" ht="15" hidden="false" customHeight="false" outlineLevel="0" collapsed="false">
      <c r="A20" s="0" t="s">
        <v>107</v>
      </c>
      <c r="B20" s="3" t="n">
        <v>10</v>
      </c>
    </row>
    <row r="21" customFormat="false" ht="15" hidden="false" customHeight="false" outlineLevel="0" collapsed="false">
      <c r="A21" s="0" t="s">
        <v>108</v>
      </c>
      <c r="B21" s="3" t="n">
        <v>2</v>
      </c>
    </row>
    <row r="22" customFormat="false" ht="15" hidden="false" customHeight="false" outlineLevel="0" collapsed="false">
      <c r="A22" s="0" t="s">
        <v>109</v>
      </c>
      <c r="B22" s="3" t="n">
        <v>10</v>
      </c>
    </row>
    <row r="23" customFormat="false" ht="15" hidden="false" customHeight="false" outlineLevel="0" collapsed="false">
      <c r="A23" s="0" t="s">
        <v>110</v>
      </c>
      <c r="B23" s="3" t="n">
        <v>-5</v>
      </c>
    </row>
    <row r="24" customFormat="false" ht="15" hidden="false" customHeight="false" outlineLevel="0" collapsed="false">
      <c r="A24" s="0" t="s">
        <v>111</v>
      </c>
      <c r="B24" s="3" t="n">
        <v>0.25</v>
      </c>
    </row>
    <row r="26" customFormat="false" ht="15" hidden="false" customHeight="false" outlineLevel="0" collapsed="false">
      <c r="A26" s="2" t="s">
        <v>112</v>
      </c>
      <c r="C26" s="2" t="s">
        <v>90</v>
      </c>
      <c r="D26" s="2" t="s">
        <v>91</v>
      </c>
      <c r="E26" s="2" t="s">
        <v>92</v>
      </c>
      <c r="F26" s="2" t="s">
        <v>93</v>
      </c>
      <c r="G26" s="2" t="s">
        <v>94</v>
      </c>
      <c r="H26" s="2" t="s">
        <v>95</v>
      </c>
      <c r="I26" s="2" t="s">
        <v>96</v>
      </c>
      <c r="J26" s="2" t="s">
        <v>97</v>
      </c>
      <c r="K26" s="2" t="s">
        <v>98</v>
      </c>
      <c r="L26" s="2" t="s">
        <v>99</v>
      </c>
    </row>
    <row r="27" customFormat="false" ht="15" hidden="false" customHeight="false" outlineLevel="0" collapsed="false">
      <c r="A27" s="0" t="s">
        <v>100</v>
      </c>
      <c r="C27" s="3" t="n">
        <v>20.4</v>
      </c>
      <c r="D27" s="3" t="n">
        <v>-7.9</v>
      </c>
      <c r="E27" s="3" t="n">
        <v>-3.6</v>
      </c>
      <c r="F27" s="3" t="n">
        <v>-1.6</v>
      </c>
      <c r="G27" s="3" t="n">
        <v>4.1</v>
      </c>
      <c r="H27" s="3" t="n">
        <v>2.7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101</v>
      </c>
      <c r="C28" s="3" t="n">
        <v>64.3</v>
      </c>
      <c r="D28" s="3" t="n">
        <v>60.5</v>
      </c>
      <c r="E28" s="3" t="n">
        <v>57.4</v>
      </c>
      <c r="F28" s="3" t="n">
        <v>55.1</v>
      </c>
      <c r="G28" s="3" t="n">
        <v>55</v>
      </c>
      <c r="H28" s="3" t="n">
        <v>54.8</v>
      </c>
      <c r="I28" s="3" t="n">
        <v>54.6</v>
      </c>
      <c r="J28" s="3" t="n">
        <v>54.4</v>
      </c>
      <c r="K28" s="3" t="n">
        <v>54.2</v>
      </c>
      <c r="L28" s="3" t="n">
        <v>54</v>
      </c>
    </row>
    <row r="29" customFormat="false" ht="15" hidden="false" customHeight="false" outlineLevel="0" collapsed="false">
      <c r="A29" s="0" t="s">
        <v>102</v>
      </c>
      <c r="C29" s="3" t="n">
        <v>0.4</v>
      </c>
      <c r="D29" s="3" t="n">
        <v>0.4</v>
      </c>
      <c r="E29" s="3" t="n">
        <v>0.4</v>
      </c>
      <c r="F29" s="3" t="n">
        <v>0.4</v>
      </c>
      <c r="G29" s="3" t="n">
        <v>0.4</v>
      </c>
      <c r="H29" s="3" t="n">
        <v>0.4</v>
      </c>
      <c r="I29" s="3" t="n">
        <v>0.4</v>
      </c>
      <c r="J29" s="3" t="n">
        <v>0.4</v>
      </c>
      <c r="K29" s="3" t="n">
        <v>0.4</v>
      </c>
      <c r="L29" s="3" t="n">
        <v>0.4</v>
      </c>
    </row>
    <row r="30" customFormat="false" ht="15" hidden="false" customHeight="false" outlineLevel="0" collapsed="false">
      <c r="A30" s="0" t="s">
        <v>103</v>
      </c>
      <c r="C30" s="3" t="n">
        <v>1</v>
      </c>
      <c r="D30" s="3" t="n">
        <v>1</v>
      </c>
      <c r="E30" s="3" t="n">
        <v>1</v>
      </c>
      <c r="F30" s="3" t="n">
        <v>1</v>
      </c>
      <c r="G30" s="3" t="n">
        <v>1</v>
      </c>
      <c r="H30" s="3" t="n">
        <v>1</v>
      </c>
      <c r="I30" s="3" t="n">
        <v>1</v>
      </c>
      <c r="J30" s="3" t="n">
        <v>1</v>
      </c>
      <c r="K30" s="3" t="n">
        <v>1</v>
      </c>
      <c r="L30" s="3" t="n">
        <v>1</v>
      </c>
    </row>
    <row r="31" customFormat="false" ht="15" hidden="false" customHeight="false" outlineLevel="0" collapsed="false">
      <c r="A31" s="0" t="s">
        <v>104</v>
      </c>
      <c r="C31" s="3" t="n">
        <v>10.3</v>
      </c>
      <c r="D31" s="3" t="n">
        <v>11.7</v>
      </c>
      <c r="E31" s="3" t="n">
        <v>12.6</v>
      </c>
      <c r="F31" s="3" t="n">
        <v>13.3</v>
      </c>
      <c r="G31" s="3" t="n">
        <v>12.9</v>
      </c>
      <c r="H31" s="3" t="n">
        <v>12.9</v>
      </c>
      <c r="I31" s="3" t="n">
        <v>13</v>
      </c>
      <c r="J31" s="3" t="n">
        <v>13.1</v>
      </c>
      <c r="K31" s="3" t="n">
        <v>13.1</v>
      </c>
      <c r="L31" s="3" t="n">
        <v>13.2</v>
      </c>
    </row>
    <row r="32" customFormat="false" ht="15" hidden="false" customHeight="false" outlineLevel="0" collapsed="false">
      <c r="A32" s="0" t="s">
        <v>105</v>
      </c>
      <c r="C32" s="3" t="n">
        <v>16.4</v>
      </c>
      <c r="D32" s="3" t="n">
        <v>18.7</v>
      </c>
      <c r="E32" s="3" t="n">
        <v>18.9</v>
      </c>
      <c r="F32" s="3" t="n">
        <v>17.3</v>
      </c>
      <c r="G32" s="3" t="n">
        <v>15.7</v>
      </c>
      <c r="H32" s="3" t="n">
        <v>15.7</v>
      </c>
      <c r="I32" s="3" t="n">
        <v>15.8</v>
      </c>
      <c r="J32" s="3" t="n">
        <v>15.9</v>
      </c>
      <c r="K32" s="3" t="n">
        <v>15.9</v>
      </c>
      <c r="L32" s="3" t="n">
        <v>16</v>
      </c>
    </row>
    <row r="33" customFormat="false" ht="15" hidden="false" customHeight="false" outlineLevel="0" collapsed="false">
      <c r="A33" s="0" t="s">
        <v>106</v>
      </c>
      <c r="C33" s="3" t="n">
        <v>42</v>
      </c>
      <c r="D33" s="3" t="n">
        <v>41</v>
      </c>
      <c r="E33" s="3" t="n">
        <v>41</v>
      </c>
      <c r="F33" s="3" t="n">
        <v>41</v>
      </c>
      <c r="G33" s="3" t="n">
        <v>41</v>
      </c>
      <c r="H33" s="3" t="n">
        <v>41</v>
      </c>
      <c r="I33" s="3" t="n">
        <v>41</v>
      </c>
      <c r="J33" s="3" t="n">
        <v>41</v>
      </c>
      <c r="K33" s="3" t="n">
        <v>41</v>
      </c>
      <c r="L33" s="3" t="n">
        <v>41</v>
      </c>
    </row>
    <row r="34" customFormat="false" ht="15" hidden="false" customHeight="false" outlineLevel="0" collapsed="false">
      <c r="A34" s="0" t="s">
        <v>107</v>
      </c>
      <c r="B34" s="3" t="n">
        <v>10</v>
      </c>
    </row>
    <row r="35" customFormat="false" ht="15" hidden="false" customHeight="false" outlineLevel="0" collapsed="false">
      <c r="A35" s="0" t="s">
        <v>108</v>
      </c>
      <c r="B35" s="3" t="n">
        <v>2</v>
      </c>
    </row>
    <row r="36" customFormat="false" ht="15" hidden="false" customHeight="false" outlineLevel="0" collapsed="false">
      <c r="A36" s="0" t="s">
        <v>109</v>
      </c>
      <c r="B36" s="3" t="n">
        <v>10</v>
      </c>
    </row>
    <row r="37" customFormat="false" ht="15" hidden="false" customHeight="false" outlineLevel="0" collapsed="false">
      <c r="A37" s="0" t="s">
        <v>110</v>
      </c>
      <c r="B37" s="3" t="n">
        <v>-5</v>
      </c>
    </row>
    <row r="38" customFormat="false" ht="15" hidden="false" customHeight="false" outlineLevel="0" collapsed="false">
      <c r="A38" s="0" t="s">
        <v>111</v>
      </c>
      <c r="B38" s="3" t="n">
        <v>0.5</v>
      </c>
    </row>
    <row r="40" customFormat="false" ht="15" hidden="false" customHeight="false" outlineLevel="0" collapsed="false">
      <c r="A40" s="2" t="s">
        <v>113</v>
      </c>
      <c r="C40" s="2" t="s">
        <v>90</v>
      </c>
      <c r="D40" s="2" t="s">
        <v>91</v>
      </c>
      <c r="E40" s="2" t="s">
        <v>92</v>
      </c>
      <c r="F40" s="2" t="s">
        <v>93</v>
      </c>
      <c r="G40" s="2" t="s">
        <v>94</v>
      </c>
      <c r="H40" s="2" t="s">
        <v>95</v>
      </c>
      <c r="I40" s="2" t="s">
        <v>96</v>
      </c>
      <c r="J40" s="2" t="s">
        <v>97</v>
      </c>
      <c r="K40" s="2" t="s">
        <v>98</v>
      </c>
      <c r="L40" s="2" t="s">
        <v>99</v>
      </c>
    </row>
    <row r="41" customFormat="false" ht="15" hidden="false" customHeight="false" outlineLevel="0" collapsed="false">
      <c r="A41" s="0" t="s">
        <v>100</v>
      </c>
      <c r="C41" s="3" t="n">
        <v>22.2</v>
      </c>
      <c r="D41" s="3" t="n">
        <v>3.4</v>
      </c>
      <c r="E41" s="3" t="n">
        <v>6.6</v>
      </c>
      <c r="F41" s="3" t="n">
        <v>6.8</v>
      </c>
      <c r="G41" s="3" t="n">
        <v>5</v>
      </c>
      <c r="H41" s="3" t="n">
        <v>4.3</v>
      </c>
      <c r="I41" s="3" t="n">
        <v>2</v>
      </c>
      <c r="J41" s="3" t="n">
        <v>2</v>
      </c>
      <c r="K41" s="3" t="n">
        <v>2</v>
      </c>
      <c r="L41" s="3" t="n">
        <v>2</v>
      </c>
    </row>
    <row r="42" customFormat="false" ht="15" hidden="false" customHeight="false" outlineLevel="0" collapsed="false">
      <c r="A42" s="0" t="s">
        <v>101</v>
      </c>
      <c r="C42" s="3" t="n">
        <v>64.2</v>
      </c>
      <c r="D42" s="3" t="n">
        <v>63.7</v>
      </c>
      <c r="E42" s="3" t="n">
        <v>63.7</v>
      </c>
      <c r="F42" s="3" t="n">
        <v>63.7</v>
      </c>
      <c r="G42" s="3" t="n">
        <v>63.7</v>
      </c>
      <c r="H42" s="3" t="n">
        <v>63.6</v>
      </c>
      <c r="I42" s="3" t="n">
        <v>63.5</v>
      </c>
      <c r="J42" s="3" t="n">
        <v>63.3</v>
      </c>
      <c r="K42" s="3" t="n">
        <v>63.2</v>
      </c>
      <c r="L42" s="3" t="n">
        <v>63</v>
      </c>
    </row>
    <row r="43" customFormat="false" ht="15" hidden="false" customHeight="false" outlineLevel="0" collapsed="false">
      <c r="A43" s="0" t="s">
        <v>102</v>
      </c>
      <c r="C43" s="3" t="n">
        <v>0.4</v>
      </c>
      <c r="D43" s="3" t="n">
        <v>0.4</v>
      </c>
      <c r="E43" s="3" t="n">
        <v>0.4</v>
      </c>
      <c r="F43" s="3" t="n">
        <v>0.4</v>
      </c>
      <c r="G43" s="3" t="n">
        <v>0.4</v>
      </c>
      <c r="H43" s="3" t="n">
        <v>0.4</v>
      </c>
      <c r="I43" s="3" t="n">
        <v>0.4</v>
      </c>
      <c r="J43" s="3" t="n">
        <v>0.4</v>
      </c>
      <c r="K43" s="3" t="n">
        <v>0.4</v>
      </c>
      <c r="L43" s="3" t="n">
        <v>0.4</v>
      </c>
    </row>
    <row r="44" customFormat="false" ht="15" hidden="false" customHeight="false" outlineLevel="0" collapsed="false">
      <c r="A44" s="0" t="s">
        <v>103</v>
      </c>
      <c r="C44" s="3" t="n">
        <v>1</v>
      </c>
      <c r="D44" s="3" t="n">
        <v>1</v>
      </c>
      <c r="E44" s="3" t="n">
        <v>1</v>
      </c>
      <c r="F44" s="3" t="n">
        <v>1</v>
      </c>
      <c r="G44" s="3" t="n">
        <v>1</v>
      </c>
      <c r="H44" s="3" t="n">
        <v>1</v>
      </c>
      <c r="I44" s="3" t="n">
        <v>1</v>
      </c>
      <c r="J44" s="3" t="n">
        <v>1</v>
      </c>
      <c r="K44" s="3" t="n">
        <v>1</v>
      </c>
      <c r="L44" s="3" t="n">
        <v>1</v>
      </c>
    </row>
    <row r="45" customFormat="false" ht="15" hidden="false" customHeight="false" outlineLevel="0" collapsed="false">
      <c r="A45" s="0" t="s">
        <v>104</v>
      </c>
      <c r="C45" s="3" t="n">
        <v>10.2</v>
      </c>
      <c r="D45" s="3" t="n">
        <v>10.2</v>
      </c>
      <c r="E45" s="3" t="n">
        <v>10</v>
      </c>
      <c r="F45" s="3" t="n">
        <v>9.7</v>
      </c>
      <c r="G45" s="3" t="n">
        <v>9.4</v>
      </c>
      <c r="H45" s="3" t="n">
        <v>9.2</v>
      </c>
      <c r="I45" s="3" t="n">
        <v>9.3</v>
      </c>
      <c r="J45" s="3" t="n">
        <v>9.3</v>
      </c>
      <c r="K45" s="3" t="n">
        <v>9.3</v>
      </c>
      <c r="L45" s="3" t="n">
        <v>9.4</v>
      </c>
    </row>
    <row r="46" customFormat="false" ht="15" hidden="false" customHeight="false" outlineLevel="0" collapsed="false">
      <c r="A46" s="0" t="s">
        <v>105</v>
      </c>
      <c r="C46" s="3" t="n">
        <v>16.1</v>
      </c>
      <c r="D46" s="3" t="n">
        <v>17.2</v>
      </c>
      <c r="E46" s="3" t="n">
        <v>16.1</v>
      </c>
      <c r="F46" s="3" t="n">
        <v>13.7</v>
      </c>
      <c r="G46" s="3" t="n">
        <v>12.4</v>
      </c>
      <c r="H46" s="3" t="n">
        <v>12.2</v>
      </c>
      <c r="I46" s="3" t="n">
        <v>12.2</v>
      </c>
      <c r="J46" s="3" t="n">
        <v>12.3</v>
      </c>
      <c r="K46" s="3" t="n">
        <v>12.4</v>
      </c>
      <c r="L46" s="3" t="n">
        <v>12.4</v>
      </c>
    </row>
    <row r="47" customFormat="false" ht="15" hidden="false" customHeight="false" outlineLevel="0" collapsed="false">
      <c r="A47" s="0" t="s">
        <v>106</v>
      </c>
      <c r="C47" s="3" t="n">
        <v>42</v>
      </c>
      <c r="D47" s="3" t="n">
        <v>41</v>
      </c>
      <c r="E47" s="3" t="n">
        <v>41</v>
      </c>
      <c r="F47" s="3" t="n">
        <v>41</v>
      </c>
      <c r="G47" s="3" t="n">
        <v>41</v>
      </c>
      <c r="H47" s="3" t="n">
        <v>41</v>
      </c>
      <c r="I47" s="3" t="n">
        <v>41</v>
      </c>
      <c r="J47" s="3" t="n">
        <v>41</v>
      </c>
      <c r="K47" s="3" t="n">
        <v>41</v>
      </c>
      <c r="L47" s="3" t="n">
        <v>41</v>
      </c>
    </row>
    <row r="48" customFormat="false" ht="15" hidden="false" customHeight="false" outlineLevel="0" collapsed="false">
      <c r="A48" s="0" t="s">
        <v>107</v>
      </c>
      <c r="B48" s="3" t="n">
        <v>10</v>
      </c>
    </row>
    <row r="49" customFormat="false" ht="15" hidden="false" customHeight="false" outlineLevel="0" collapsed="false">
      <c r="A49" s="0" t="s">
        <v>108</v>
      </c>
      <c r="B49" s="3" t="n">
        <v>2</v>
      </c>
    </row>
    <row r="50" customFormat="false" ht="15" hidden="false" customHeight="false" outlineLevel="0" collapsed="false">
      <c r="A50" s="0" t="s">
        <v>109</v>
      </c>
      <c r="B50" s="3" t="n">
        <v>10</v>
      </c>
    </row>
    <row r="51" customFormat="false" ht="15" hidden="false" customHeight="false" outlineLevel="0" collapsed="false">
      <c r="A51" s="0" t="s">
        <v>110</v>
      </c>
      <c r="B51" s="3" t="n">
        <v>-5</v>
      </c>
    </row>
    <row r="52" customFormat="false" ht="15" hidden="false" customHeight="false" outlineLevel="0" collapsed="false">
      <c r="A52" s="0" t="s">
        <v>111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114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Assumptions!C13</f>
        <v>16.8</v>
      </c>
      <c r="D5" s="4" t="n">
        <f aca="false">Assumptions!D13</f>
        <v>-19.2</v>
      </c>
      <c r="E5" s="4" t="n">
        <f aca="false">Assumptions!E13</f>
        <v>-12.1</v>
      </c>
      <c r="F5" s="4" t="n">
        <f aca="false">Assumptions!F13</f>
        <v>-4.4</v>
      </c>
      <c r="G5" s="4" t="n">
        <f aca="false">Assumptions!G13</f>
        <v>2.7</v>
      </c>
      <c r="H5" s="4" t="n">
        <f aca="false">Assumptions!H13</f>
        <v>2</v>
      </c>
      <c r="I5" s="4" t="n">
        <f aca="false">Assumptions!I13</f>
        <v>2</v>
      </c>
      <c r="J5" s="4" t="n">
        <f aca="false">Assumptions!J13</f>
        <v>2</v>
      </c>
      <c r="K5" s="4" t="n">
        <f aca="false">Assumptions!K13</f>
        <v>2</v>
      </c>
      <c r="L5" s="4" t="n">
        <f aca="false">Assumptions!L13</f>
        <v>2</v>
      </c>
    </row>
    <row r="6" customFormat="false" ht="15" hidden="false" customHeight="false" outlineLevel="0" collapsed="false">
      <c r="A6" s="0" t="s">
        <v>37</v>
      </c>
      <c r="B6" s="3" t="n">
        <v>9893</v>
      </c>
      <c r="C6" s="0" t="n">
        <f aca="false">B6*(1+C5/100)</f>
        <v>11555.024</v>
      </c>
      <c r="D6" s="0" t="n">
        <f aca="false">C6*(1+D5/100)</f>
        <v>9336.459392</v>
      </c>
      <c r="E6" s="0" t="n">
        <f aca="false">D6*(1+E5/100)</f>
        <v>8206.747805568</v>
      </c>
      <c r="F6" s="0" t="n">
        <f aca="false">E6*(1+F5/100)</f>
        <v>7845.65090212301</v>
      </c>
      <c r="G6" s="0" t="n">
        <f aca="false">F6*(1+G5/100)</f>
        <v>8057.48347648033</v>
      </c>
      <c r="H6" s="0" t="n">
        <f aca="false">G6*(1+H5/100)</f>
        <v>8218.63314600994</v>
      </c>
      <c r="I6" s="0" t="n">
        <f aca="false">H6*(1+I5/100)</f>
        <v>8383.00580893014</v>
      </c>
      <c r="J6" s="0" t="n">
        <f aca="false">I6*(1+J5/100)</f>
        <v>8550.66592510874</v>
      </c>
      <c r="K6" s="0" t="n">
        <f aca="false">J6*(1+K5/100)</f>
        <v>8721.67924361091</v>
      </c>
      <c r="L6" s="0" t="n">
        <f aca="false">K6*(1+L5/100)</f>
        <v>8896.11282848313</v>
      </c>
    </row>
    <row r="7" customFormat="false" ht="15" hidden="false" customHeight="false" outlineLevel="0" collapsed="false">
      <c r="A7" s="0" t="s">
        <v>101</v>
      </c>
      <c r="C7" s="4" t="n">
        <f aca="false">Assumptions!C14</f>
        <v>63.4</v>
      </c>
      <c r="D7" s="4" t="n">
        <f aca="false">Assumptions!D14</f>
        <v>55.9</v>
      </c>
      <c r="E7" s="4" t="n">
        <f aca="false">Assumptions!E14</f>
        <v>48.9</v>
      </c>
      <c r="F7" s="4" t="n">
        <f aca="false">Assumptions!F14</f>
        <v>44.5</v>
      </c>
      <c r="G7" s="4" t="n">
        <f aca="false">Assumptions!G14</f>
        <v>44.3</v>
      </c>
      <c r="H7" s="4" t="n">
        <f aca="false">Assumptions!H14</f>
        <v>44.1</v>
      </c>
      <c r="I7" s="4" t="n">
        <f aca="false">Assumptions!I14</f>
        <v>43.8</v>
      </c>
      <c r="J7" s="4" t="n">
        <f aca="false">Assumptions!J14</f>
        <v>43.6</v>
      </c>
      <c r="K7" s="4" t="n">
        <f aca="false">Assumptions!K14</f>
        <v>43.3</v>
      </c>
      <c r="L7" s="4" t="n">
        <f aca="false">Assumptions!L14</f>
        <v>43.1</v>
      </c>
    </row>
    <row r="8" customFormat="false" ht="15" hidden="false" customHeight="false" outlineLevel="0" collapsed="false">
      <c r="A8" s="0" t="s">
        <v>43</v>
      </c>
      <c r="C8" s="0" t="n">
        <f aca="false">C6*C7/100</f>
        <v>7325.885216</v>
      </c>
      <c r="D8" s="0" t="n">
        <f aca="false">D6*D7/100</f>
        <v>5219.080800128</v>
      </c>
      <c r="E8" s="0" t="n">
        <f aca="false">E6*E7/100</f>
        <v>4013.09967692275</v>
      </c>
      <c r="F8" s="0" t="n">
        <f aca="false">F6*F7/100</f>
        <v>3491.31465144474</v>
      </c>
      <c r="G8" s="0" t="n">
        <f aca="false">G6*G7/100</f>
        <v>3569.46518008079</v>
      </c>
      <c r="H8" s="0" t="n">
        <f aca="false">H6*H7/100</f>
        <v>3624.41721739038</v>
      </c>
      <c r="I8" s="0" t="n">
        <f aca="false">I6*I7/100</f>
        <v>3671.7565443114</v>
      </c>
      <c r="J8" s="0" t="n">
        <f aca="false">J6*J7/100</f>
        <v>3728.09034334741</v>
      </c>
      <c r="K8" s="0" t="n">
        <f aca="false">K6*K7/100</f>
        <v>3776.48711248352</v>
      </c>
      <c r="L8" s="0" t="n">
        <f aca="false">L6*L7/100</f>
        <v>3834.22462907623</v>
      </c>
    </row>
    <row r="9" customFormat="false" ht="15" hidden="false" customHeight="false" outlineLevel="0" collapsed="false">
      <c r="A9" s="0" t="s">
        <v>102</v>
      </c>
      <c r="C9" s="4" t="n">
        <f aca="false">Assumptions!C15</f>
        <v>0.4</v>
      </c>
      <c r="D9" s="4" t="n">
        <f aca="false">Assumptions!D15</f>
        <v>0.4</v>
      </c>
      <c r="E9" s="4" t="n">
        <f aca="false">Assumptions!E15</f>
        <v>0.4</v>
      </c>
      <c r="F9" s="4" t="n">
        <f aca="false">Assumptions!F15</f>
        <v>0.4</v>
      </c>
      <c r="G9" s="4" t="n">
        <f aca="false">Assumptions!G15</f>
        <v>0.4</v>
      </c>
      <c r="H9" s="4" t="n">
        <f aca="false">Assumptions!H15</f>
        <v>0.4</v>
      </c>
      <c r="I9" s="4" t="n">
        <f aca="false">Assumptions!I15</f>
        <v>0.4</v>
      </c>
      <c r="J9" s="4" t="n">
        <f aca="false">Assumptions!J15</f>
        <v>0.4</v>
      </c>
      <c r="K9" s="4" t="n">
        <f aca="false">Assumptions!K15</f>
        <v>0.4</v>
      </c>
      <c r="L9" s="4" t="n">
        <f aca="false">Assumptions!L15</f>
        <v>0.4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-46.220096</v>
      </c>
      <c r="D10" s="0" t="n">
        <f aca="false">-D6*D9/100</f>
        <v>-37.345837568</v>
      </c>
      <c r="E10" s="0" t="n">
        <f aca="false">-E6*E9/100</f>
        <v>-32.826991222272</v>
      </c>
      <c r="F10" s="0" t="n">
        <f aca="false">-F6*F9/100</f>
        <v>-31.382603608492</v>
      </c>
      <c r="G10" s="0" t="n">
        <f aca="false">-G6*G9/100</f>
        <v>-32.2299339059213</v>
      </c>
      <c r="H10" s="0" t="n">
        <f aca="false">-H6*H9/100</f>
        <v>-32.8745325840397</v>
      </c>
      <c r="I10" s="0" t="n">
        <f aca="false">-I6*I9/100</f>
        <v>-33.5320232357205</v>
      </c>
      <c r="J10" s="0" t="n">
        <f aca="false">-J6*J9/100</f>
        <v>-34.202663700435</v>
      </c>
      <c r="K10" s="0" t="n">
        <f aca="false">-K6*K9/100</f>
        <v>-34.8867169744437</v>
      </c>
      <c r="L10" s="0" t="n">
        <f aca="false">-L6*L9/100</f>
        <v>-35.5844513139325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7164.11488</v>
      </c>
      <c r="D11" s="0" t="n">
        <f aca="false">D8+D10+D24</f>
        <v>5088.37036864</v>
      </c>
      <c r="E11" s="0" t="n">
        <f aca="false">E8+E10+E24</f>
        <v>3898.2052076448</v>
      </c>
      <c r="F11" s="0" t="n">
        <f aca="false">F8+F10+F24</f>
        <v>3381.47553881502</v>
      </c>
      <c r="G11" s="0" t="n">
        <f aca="false">G8+G10+G24</f>
        <v>3456.66041141006</v>
      </c>
      <c r="H11" s="0" t="n">
        <f aca="false">H8+H10+H24</f>
        <v>3509.35635334624</v>
      </c>
      <c r="I11" s="0" t="n">
        <f aca="false">I8+I10+I24</f>
        <v>3554.39446298638</v>
      </c>
      <c r="J11" s="0" t="n">
        <f aca="false">J8+J10+J24</f>
        <v>3608.38102039589</v>
      </c>
      <c r="K11" s="0" t="n">
        <f aca="false">K8+K10+K24</f>
        <v>3654.38360307297</v>
      </c>
      <c r="L11" s="0" t="n">
        <f aca="false">L8+L10+L24</f>
        <v>3709.67904947747</v>
      </c>
    </row>
    <row r="12" customFormat="false" ht="15" hidden="false" customHeight="false" outlineLevel="0" collapsed="false">
      <c r="A12" s="0" t="s">
        <v>119</v>
      </c>
      <c r="C12" s="4" t="n">
        <f aca="false">-C6*Assumptions!C17/100</f>
        <v>-1224.832544</v>
      </c>
      <c r="D12" s="4" t="n">
        <f aca="false">-D6*Assumptions!D17/100</f>
        <v>-1279.094936704</v>
      </c>
      <c r="E12" s="4" t="n">
        <f aca="false">-E6*Assumptions!E17/100</f>
        <v>-1329.49314450202</v>
      </c>
      <c r="F12" s="4" t="n">
        <f aca="false">-F6*Assumptions!F17/100</f>
        <v>-1380.83455877365</v>
      </c>
      <c r="G12" s="4" t="n">
        <f aca="false">-G6*Assumptions!G17/100</f>
        <v>-1402.00212490758</v>
      </c>
      <c r="H12" s="4" t="n">
        <f aca="false">-H6*Assumptions!H17/100</f>
        <v>-1438.26080055174</v>
      </c>
      <c r="I12" s="4" t="n">
        <f aca="false">-I6*Assumptions!I17/100</f>
        <v>-1467.02601656277</v>
      </c>
      <c r="J12" s="4" t="n">
        <f aca="false">-J6*Assumptions!J17/100</f>
        <v>-1504.91720281914</v>
      </c>
      <c r="K12" s="4" t="n">
        <f aca="false">-K6*Assumptions!K17/100</f>
        <v>-1543.73722611913</v>
      </c>
      <c r="L12" s="4" t="n">
        <f aca="false">-L6*Assumptions!L17/100</f>
        <v>-1583.50808347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5939.282336</v>
      </c>
      <c r="D13" s="0" t="n">
        <f aca="false">D11+D12</f>
        <v>3809.275431936</v>
      </c>
      <c r="E13" s="0" t="n">
        <f aca="false">E11+E12</f>
        <v>2568.71206314278</v>
      </c>
      <c r="F13" s="0" t="n">
        <f aca="false">F11+F12</f>
        <v>2000.64098004137</v>
      </c>
      <c r="G13" s="0" t="n">
        <f aca="false">G11+G12</f>
        <v>2054.65828650248</v>
      </c>
      <c r="H13" s="0" t="n">
        <f aca="false">H11+H12</f>
        <v>2071.0955527945</v>
      </c>
      <c r="I13" s="0" t="n">
        <f aca="false">I11+I12</f>
        <v>2087.3684464236</v>
      </c>
      <c r="J13" s="0" t="n">
        <f aca="false">J11+J12</f>
        <v>2103.46381757675</v>
      </c>
      <c r="K13" s="0" t="n">
        <f aca="false">K11+K12</f>
        <v>2110.64637695384</v>
      </c>
      <c r="L13" s="0" t="n">
        <f aca="false">L11+L12</f>
        <v>2126.17096600747</v>
      </c>
    </row>
    <row r="14" customFormat="false" ht="15" hidden="false" customHeight="false" outlineLevel="0" collapsed="false">
      <c r="A14" s="0" t="s">
        <v>106</v>
      </c>
      <c r="C14" s="4" t="n">
        <f aca="false">Assumptions!C19</f>
        <v>42</v>
      </c>
      <c r="D14" s="4" t="n">
        <f aca="false">Assumptions!D19</f>
        <v>42</v>
      </c>
      <c r="E14" s="4" t="n">
        <f aca="false">Assumptions!E19</f>
        <v>43</v>
      </c>
      <c r="F14" s="4" t="n">
        <f aca="false">Assumptions!F19</f>
        <v>43</v>
      </c>
      <c r="G14" s="4" t="n">
        <f aca="false">Assumptions!G19</f>
        <v>43</v>
      </c>
      <c r="H14" s="4" t="n">
        <f aca="false">Assumptions!H19</f>
        <v>43</v>
      </c>
      <c r="I14" s="4" t="n">
        <f aca="false">Assumptions!I19</f>
        <v>43</v>
      </c>
      <c r="J14" s="4" t="n">
        <f aca="false">Assumptions!J19</f>
        <v>43</v>
      </c>
      <c r="K14" s="4" t="n">
        <f aca="false">Assumptions!K19</f>
        <v>43</v>
      </c>
      <c r="L14" s="4" t="n">
        <f aca="false">Assumptions!L19</f>
        <v>43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3444.78375488</v>
      </c>
      <c r="D15" s="0" t="n">
        <f aca="false">D13-MAX(0,D13)*D14/100</f>
        <v>2209.37975052288</v>
      </c>
      <c r="E15" s="0" t="n">
        <f aca="false">E13-MAX(0,E13)*E14/100</f>
        <v>1464.16587599139</v>
      </c>
      <c r="F15" s="0" t="n">
        <f aca="false">F13-MAX(0,F13)*F14/100</f>
        <v>1140.36535862358</v>
      </c>
      <c r="G15" s="0" t="n">
        <f aca="false">G13-MAX(0,G13)*G14/100</f>
        <v>1171.15522330642</v>
      </c>
      <c r="H15" s="0" t="n">
        <f aca="false">H13-MAX(0,H13)*H14/100</f>
        <v>1180.52446509287</v>
      </c>
      <c r="I15" s="0" t="n">
        <f aca="false">I13-MAX(0,I13)*I14/100</f>
        <v>1189.80001446145</v>
      </c>
      <c r="J15" s="0" t="n">
        <f aca="false">J13-MAX(0,J13)*J14/100</f>
        <v>1198.97437601875</v>
      </c>
      <c r="K15" s="0" t="n">
        <f aca="false">K13-MAX(0,K13)*K14/100</f>
        <v>1203.06843486369</v>
      </c>
      <c r="L15" s="0" t="n">
        <f aca="false">L13-MAX(0,L13)*L14/100</f>
        <v>1211.91745062426</v>
      </c>
    </row>
    <row r="16" customFormat="false" ht="15" hidden="false" customHeight="false" outlineLevel="0" collapsed="false">
      <c r="A16" s="0" t="s">
        <v>122</v>
      </c>
      <c r="C16" s="0" t="n">
        <f aca="false">-C12</f>
        <v>1224.832544</v>
      </c>
      <c r="D16" s="0" t="n">
        <f aca="false">-D12</f>
        <v>1279.094936704</v>
      </c>
      <c r="E16" s="0" t="n">
        <f aca="false">-E12</f>
        <v>1329.49314450202</v>
      </c>
      <c r="F16" s="0" t="n">
        <f aca="false">-F12</f>
        <v>1380.83455877365</v>
      </c>
      <c r="G16" s="0" t="n">
        <f aca="false">-G12</f>
        <v>1402.00212490758</v>
      </c>
      <c r="H16" s="0" t="n">
        <f aca="false">-H12</f>
        <v>1438.26080055174</v>
      </c>
      <c r="I16" s="0" t="n">
        <f aca="false">-I12</f>
        <v>1467.02601656277</v>
      </c>
      <c r="J16" s="0" t="n">
        <f aca="false">-J12</f>
        <v>1504.91720281914</v>
      </c>
      <c r="K16" s="0" t="n">
        <f aca="false">-K12</f>
        <v>1543.73722611913</v>
      </c>
      <c r="L16" s="0" t="n">
        <f aca="false">-L12</f>
        <v>1583.50808347</v>
      </c>
    </row>
    <row r="17" customFormat="false" ht="15" hidden="false" customHeight="false" outlineLevel="0" collapsed="false">
      <c r="A17" s="0" t="s">
        <v>123</v>
      </c>
      <c r="C17" s="4" t="n">
        <f aca="false">-C6*Assumptions!C18/100</f>
        <v>-1952.799056</v>
      </c>
      <c r="D17" s="4" t="n">
        <f aca="false">-D6*Assumptions!D18/100</f>
        <v>-1801.936662656</v>
      </c>
      <c r="E17" s="4" t="n">
        <f aca="false">-E6*Assumptions!E18/100</f>
        <v>-1600.31582208576</v>
      </c>
      <c r="F17" s="4" t="n">
        <f aca="false">-F6*Assumptions!F18/100</f>
        <v>-1498.51932230549</v>
      </c>
      <c r="G17" s="4" t="n">
        <f aca="false">-G6*Assumptions!G18/100</f>
        <v>-1450.34702576646</v>
      </c>
      <c r="H17" s="4" t="n">
        <f aca="false">-H6*Assumptions!H18/100</f>
        <v>-1487.5725994278</v>
      </c>
      <c r="I17" s="4" t="n">
        <f aca="false">-I6*Assumptions!I18/100</f>
        <v>-1525.70705722528</v>
      </c>
      <c r="J17" s="4" t="n">
        <f aca="false">-J6*Assumptions!J18/100</f>
        <v>-1564.7718642949</v>
      </c>
      <c r="K17" s="4" t="n">
        <f aca="false">-K6*Assumptions!K18/100</f>
        <v>-1604.78898082441</v>
      </c>
      <c r="L17" s="4" t="n">
        <f aca="false">-L6*Assumptions!L18/100</f>
        <v>-1636.8847604409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(C6-B6)*Assumptions!$B$23/100</f>
        <v>-83.1012</v>
      </c>
      <c r="D18" s="4" t="n">
        <f aca="false">(D6-C6)*Assumptions!$B$23/100</f>
        <v>110.9282304</v>
      </c>
      <c r="E18" s="4" t="n">
        <f aca="false">(E6-D6)*Assumptions!$B$23/100</f>
        <v>56.4855793216</v>
      </c>
      <c r="F18" s="4" t="n">
        <f aca="false">(F6-E6)*Assumptions!$B$23/100</f>
        <v>18.0548451722496</v>
      </c>
      <c r="G18" s="4" t="n">
        <f aca="false">(G6-F6)*Assumptions!$B$23/100</f>
        <v>-10.591628717866</v>
      </c>
      <c r="H18" s="4" t="n">
        <f aca="false">(H6-G6)*Assumptions!$B$23/100</f>
        <v>-8.05748347648037</v>
      </c>
      <c r="I18" s="4" t="n">
        <f aca="false">(I6-H6)*Assumptions!$B$23/100</f>
        <v>-8.21863314600996</v>
      </c>
      <c r="J18" s="4" t="n">
        <f aca="false">(J6-I6)*Assumptions!$B$23/100</f>
        <v>-8.3830058089301</v>
      </c>
      <c r="K18" s="4" t="n">
        <f aca="false">(K6-J6)*Assumptions!$B$23/100</f>
        <v>-8.55066592510875</v>
      </c>
      <c r="L18" s="4" t="n">
        <f aca="false">(L6-K6)*Assumptions!$B$23/100</f>
        <v>-8.72167924361093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2633.71604288</v>
      </c>
      <c r="D19" s="0" t="n">
        <f aca="false">D15+D16+D17+D18</f>
        <v>1797.46625497088</v>
      </c>
      <c r="E19" s="0" t="n">
        <f aca="false">E15+E16+E17+E18</f>
        <v>1249.82877772924</v>
      </c>
      <c r="F19" s="0" t="n">
        <f aca="false">F15+F16+F17+F18</f>
        <v>1040.73544026398</v>
      </c>
      <c r="G19" s="0" t="n">
        <f aca="false">G15+G16+G17+G18</f>
        <v>1112.21869372967</v>
      </c>
      <c r="H19" s="0" t="n">
        <f aca="false">H15+H16+H17+H18</f>
        <v>1123.15518274033</v>
      </c>
      <c r="I19" s="0" t="n">
        <f aca="false">I15+I16+I17+I18</f>
        <v>1122.90034065293</v>
      </c>
      <c r="J19" s="0" t="n">
        <f aca="false">J15+J16+J17+J18</f>
        <v>1130.73670873406</v>
      </c>
      <c r="K19" s="0" t="n">
        <f aca="false">K15+K16+K17+K18</f>
        <v>1133.4660142333</v>
      </c>
      <c r="L19" s="0" t="n">
        <f aca="false">L15+L16+L17+L18</f>
        <v>1149.81909440975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2394.28731170909</v>
      </c>
      <c r="D21" s="0" t="n">
        <f aca="false">D19*D20</f>
        <v>1485.50930162883</v>
      </c>
      <c r="E21" s="0" t="n">
        <f aca="false">E19*E20</f>
        <v>939.014859300708</v>
      </c>
      <c r="F21" s="0" t="n">
        <f aca="false">F19*F20</f>
        <v>710.836309175591</v>
      </c>
      <c r="G21" s="0" t="n">
        <f aca="false">G19*G20</f>
        <v>690.60030284175</v>
      </c>
      <c r="H21" s="0" t="n">
        <f aca="false">H19*H20</f>
        <v>633.991820061701</v>
      </c>
      <c r="I21" s="0" t="n">
        <f aca="false">I19*I20</f>
        <v>576.225425770078</v>
      </c>
      <c r="J21" s="0" t="n">
        <f aca="false">J19*J20</f>
        <v>527.4970196985</v>
      </c>
      <c r="K21" s="0" t="n">
        <f aca="false">K19*K20</f>
        <v>480.700237142497</v>
      </c>
      <c r="L21" s="0" t="n">
        <f aca="false">L19*L20</f>
        <v>443.305035907619</v>
      </c>
    </row>
    <row r="23" customFormat="false" ht="15" hidden="false" customHeight="false" outlineLevel="0" collapsed="false">
      <c r="A23" s="0" t="s">
        <v>103</v>
      </c>
      <c r="C23" s="4" t="n">
        <f aca="false">Assumptions!C16</f>
        <v>1</v>
      </c>
      <c r="D23" s="4" t="n">
        <f aca="false">Assumptions!D16</f>
        <v>1</v>
      </c>
      <c r="E23" s="4" t="n">
        <f aca="false">Assumptions!E16</f>
        <v>1</v>
      </c>
      <c r="F23" s="4" t="n">
        <f aca="false">Assumptions!F16</f>
        <v>1</v>
      </c>
      <c r="G23" s="4" t="n">
        <f aca="false">Assumptions!G16</f>
        <v>1</v>
      </c>
      <c r="H23" s="4" t="n">
        <f aca="false">Assumptions!H16</f>
        <v>1</v>
      </c>
      <c r="I23" s="4" t="n">
        <f aca="false">Assumptions!I16</f>
        <v>1</v>
      </c>
      <c r="J23" s="4" t="n">
        <f aca="false">Assumptions!J16</f>
        <v>1</v>
      </c>
      <c r="K23" s="4" t="n">
        <f aca="false">Assumptions!K16</f>
        <v>1</v>
      </c>
      <c r="L23" s="4" t="n">
        <f aca="false">Assumptions!L16</f>
        <v>1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-115.55024</v>
      </c>
      <c r="D24" s="0" t="n">
        <f aca="false">-D6*D23/100</f>
        <v>-93.36459392</v>
      </c>
      <c r="E24" s="0" t="n">
        <f aca="false">-E6*E23/100</f>
        <v>-82.06747805568</v>
      </c>
      <c r="F24" s="0" t="n">
        <f aca="false">-F6*F23/100</f>
        <v>-78.4565090212301</v>
      </c>
      <c r="G24" s="0" t="n">
        <f aca="false">-G6*G23/100</f>
        <v>-80.5748347648033</v>
      </c>
      <c r="H24" s="0" t="n">
        <f aca="false">-H6*H23/100</f>
        <v>-82.1863314600994</v>
      </c>
      <c r="I24" s="0" t="n">
        <f aca="false">-I6*I23/100</f>
        <v>-83.8300580893014</v>
      </c>
      <c r="J24" s="0" t="n">
        <f aca="false">-J6*J23/100</f>
        <v>-85.5066592510874</v>
      </c>
      <c r="K24" s="0" t="n">
        <f aca="false">-K6*K23/100</f>
        <v>-87.2167924361091</v>
      </c>
      <c r="L24" s="0" t="n">
        <f aca="false">-L6*L23/100</f>
        <v>-88.9611282848313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108</v>
      </c>
      <c r="B28" s="4" t="n">
        <f aca="false">Assumptions!$B$21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Assumptions!$B$22</f>
        <v>10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8881.96762323636</v>
      </c>
    </row>
    <row r="31" customFormat="false" ht="15" hidden="false" customHeight="false" outlineLevel="0" collapsed="false">
      <c r="A31" s="0" t="s">
        <v>131</v>
      </c>
      <c r="B31" s="0" t="n">
        <f aca="false">L19</f>
        <v>1149.81909440975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14660.1934537243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11498.1909440975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11498.1909440975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4433.05035907619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13315.0179823125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15322.0179823125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30.2269046800405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-0.68155389085503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219.22755734923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174.921666754512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31.0044726897145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9021.65750998417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23.1602136668059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145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Assumptions!C27</f>
        <v>20.4</v>
      </c>
      <c r="D5" s="4" t="n">
        <f aca="false">Assumptions!D27</f>
        <v>-7.9</v>
      </c>
      <c r="E5" s="4" t="n">
        <f aca="false">Assumptions!E27</f>
        <v>-3.6</v>
      </c>
      <c r="F5" s="4" t="n">
        <f aca="false">Assumptions!F27</f>
        <v>-1.6</v>
      </c>
      <c r="G5" s="4" t="n">
        <f aca="false">Assumptions!G27</f>
        <v>4.1</v>
      </c>
      <c r="H5" s="4" t="n">
        <f aca="false">Assumptions!H27</f>
        <v>2.7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9893</v>
      </c>
      <c r="C6" s="0" t="n">
        <f aca="false">B6*(1+C5/100)</f>
        <v>11911.172</v>
      </c>
      <c r="D6" s="0" t="n">
        <f aca="false">C6*(1+D5/100)</f>
        <v>10970.189412</v>
      </c>
      <c r="E6" s="0" t="n">
        <f aca="false">D6*(1+E5/100)</f>
        <v>10575.262593168</v>
      </c>
      <c r="F6" s="0" t="n">
        <f aca="false">E6*(1+F5/100)</f>
        <v>10406.0583916773</v>
      </c>
      <c r="G6" s="0" t="n">
        <f aca="false">F6*(1+G5/100)</f>
        <v>10832.7067857361</v>
      </c>
      <c r="H6" s="0" t="n">
        <f aca="false">G6*(1+H5/100)</f>
        <v>11125.189868951</v>
      </c>
      <c r="I6" s="0" t="n">
        <f aca="false">H6*(1+I5/100)</f>
        <v>11347.69366633</v>
      </c>
      <c r="J6" s="0" t="n">
        <f aca="false">I6*(1+J5/100)</f>
        <v>11574.6475396566</v>
      </c>
      <c r="K6" s="0" t="n">
        <f aca="false">J6*(1+K5/100)</f>
        <v>11806.1404904497</v>
      </c>
      <c r="L6" s="0" t="n">
        <f aca="false">K6*(1+L5/100)</f>
        <v>12042.2633002587</v>
      </c>
    </row>
    <row r="7" customFormat="false" ht="15" hidden="false" customHeight="false" outlineLevel="0" collapsed="false">
      <c r="A7" s="0" t="s">
        <v>101</v>
      </c>
      <c r="C7" s="4" t="n">
        <f aca="false">Assumptions!C28</f>
        <v>64.3</v>
      </c>
      <c r="D7" s="4" t="n">
        <f aca="false">Assumptions!D28</f>
        <v>60.5</v>
      </c>
      <c r="E7" s="4" t="n">
        <f aca="false">Assumptions!E28</f>
        <v>57.4</v>
      </c>
      <c r="F7" s="4" t="n">
        <f aca="false">Assumptions!F28</f>
        <v>55.1</v>
      </c>
      <c r="G7" s="4" t="n">
        <f aca="false">Assumptions!G28</f>
        <v>55</v>
      </c>
      <c r="H7" s="4" t="n">
        <f aca="false">Assumptions!H28</f>
        <v>54.8</v>
      </c>
      <c r="I7" s="4" t="n">
        <f aca="false">Assumptions!I28</f>
        <v>54.6</v>
      </c>
      <c r="J7" s="4" t="n">
        <f aca="false">Assumptions!J28</f>
        <v>54.4</v>
      </c>
      <c r="K7" s="4" t="n">
        <f aca="false">Assumptions!K28</f>
        <v>54.2</v>
      </c>
      <c r="L7" s="4" t="n">
        <f aca="false">Assumptions!L28</f>
        <v>54</v>
      </c>
    </row>
    <row r="8" customFormat="false" ht="15" hidden="false" customHeight="false" outlineLevel="0" collapsed="false">
      <c r="A8" s="0" t="s">
        <v>43</v>
      </c>
      <c r="C8" s="0" t="n">
        <f aca="false">C6*C7/100</f>
        <v>7658.883596</v>
      </c>
      <c r="D8" s="0" t="n">
        <f aca="false">D6*D7/100</f>
        <v>6636.96459426</v>
      </c>
      <c r="E8" s="0" t="n">
        <f aca="false">E6*E7/100</f>
        <v>6070.20072847843</v>
      </c>
      <c r="F8" s="0" t="n">
        <f aca="false">F6*F7/100</f>
        <v>5733.7381738142</v>
      </c>
      <c r="G8" s="0" t="n">
        <f aca="false">G6*G7/100</f>
        <v>5957.98873215485</v>
      </c>
      <c r="H8" s="0" t="n">
        <f aca="false">H6*H7/100</f>
        <v>6096.60404818512</v>
      </c>
      <c r="I8" s="0" t="n">
        <f aca="false">I6*I7/100</f>
        <v>6195.84074181617</v>
      </c>
      <c r="J8" s="0" t="n">
        <f aca="false">J6*J7/100</f>
        <v>6296.60826157318</v>
      </c>
      <c r="K8" s="0" t="n">
        <f aca="false">K6*K7/100</f>
        <v>6398.92814582374</v>
      </c>
      <c r="L8" s="0" t="n">
        <f aca="false">L6*L7/100</f>
        <v>6502.8221821397</v>
      </c>
    </row>
    <row r="9" customFormat="false" ht="15" hidden="false" customHeight="false" outlineLevel="0" collapsed="false">
      <c r="A9" s="0" t="s">
        <v>102</v>
      </c>
      <c r="C9" s="4" t="n">
        <f aca="false">Assumptions!C29</f>
        <v>0.4</v>
      </c>
      <c r="D9" s="4" t="n">
        <f aca="false">Assumptions!D29</f>
        <v>0.4</v>
      </c>
      <c r="E9" s="4" t="n">
        <f aca="false">Assumptions!E29</f>
        <v>0.4</v>
      </c>
      <c r="F9" s="4" t="n">
        <f aca="false">Assumptions!F29</f>
        <v>0.4</v>
      </c>
      <c r="G9" s="4" t="n">
        <f aca="false">Assumptions!G29</f>
        <v>0.4</v>
      </c>
      <c r="H9" s="4" t="n">
        <f aca="false">Assumptions!H29</f>
        <v>0.4</v>
      </c>
      <c r="I9" s="4" t="n">
        <f aca="false">Assumptions!I29</f>
        <v>0.4</v>
      </c>
      <c r="J9" s="4" t="n">
        <f aca="false">Assumptions!J29</f>
        <v>0.4</v>
      </c>
      <c r="K9" s="4" t="n">
        <f aca="false">Assumptions!K29</f>
        <v>0.4</v>
      </c>
      <c r="L9" s="4" t="n">
        <f aca="false">Assumptions!L29</f>
        <v>0.4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-47.644688</v>
      </c>
      <c r="D10" s="0" t="n">
        <f aca="false">-D6*D9/100</f>
        <v>-43.880757648</v>
      </c>
      <c r="E10" s="0" t="n">
        <f aca="false">-E6*E9/100</f>
        <v>-42.301050372672</v>
      </c>
      <c r="F10" s="0" t="n">
        <f aca="false">-F6*F9/100</f>
        <v>-41.6242335667093</v>
      </c>
      <c r="G10" s="0" t="n">
        <f aca="false">-G6*G9/100</f>
        <v>-43.3308271429443</v>
      </c>
      <c r="H10" s="0" t="n">
        <f aca="false">-H6*H9/100</f>
        <v>-44.5007594758038</v>
      </c>
      <c r="I10" s="0" t="n">
        <f aca="false">-I6*I9/100</f>
        <v>-45.3907746653199</v>
      </c>
      <c r="J10" s="0" t="n">
        <f aca="false">-J6*J9/100</f>
        <v>-46.2985901586263</v>
      </c>
      <c r="K10" s="0" t="n">
        <f aca="false">-K6*K9/100</f>
        <v>-47.2245619617988</v>
      </c>
      <c r="L10" s="0" t="n">
        <f aca="false">-L6*L9/100</f>
        <v>-48.1690532010348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7492.127188</v>
      </c>
      <c r="D11" s="0" t="n">
        <f aca="false">D8+D10+D24</f>
        <v>6483.381942492</v>
      </c>
      <c r="E11" s="0" t="n">
        <f aca="false">E8+E10+E24</f>
        <v>5922.14705217408</v>
      </c>
      <c r="F11" s="0" t="n">
        <f aca="false">F8+F10+F24</f>
        <v>5588.05335633072</v>
      </c>
      <c r="G11" s="0" t="n">
        <f aca="false">G8+G10+G24</f>
        <v>5806.33083715454</v>
      </c>
      <c r="H11" s="0" t="n">
        <f aca="false">H8+H10+H24</f>
        <v>5940.85139001981</v>
      </c>
      <c r="I11" s="0" t="n">
        <f aca="false">I8+I10+I24</f>
        <v>6036.97303048755</v>
      </c>
      <c r="J11" s="0" t="n">
        <f aca="false">J8+J10+J24</f>
        <v>6134.56319601798</v>
      </c>
      <c r="K11" s="0" t="n">
        <f aca="false">K8+K10+K24</f>
        <v>6233.64217895745</v>
      </c>
      <c r="L11" s="0" t="n">
        <f aca="false">L8+L10+L24</f>
        <v>6334.23049593608</v>
      </c>
    </row>
    <row r="12" customFormat="false" ht="15" hidden="false" customHeight="false" outlineLevel="0" collapsed="false">
      <c r="A12" s="0" t="s">
        <v>119</v>
      </c>
      <c r="C12" s="4" t="n">
        <f aca="false">-C6*Assumptions!C31/100</f>
        <v>-1226.850716</v>
      </c>
      <c r="D12" s="4" t="n">
        <f aca="false">-D6*Assumptions!D31/100</f>
        <v>-1283.512161204</v>
      </c>
      <c r="E12" s="4" t="n">
        <f aca="false">-E6*Assumptions!E31/100</f>
        <v>-1332.48308673917</v>
      </c>
      <c r="F12" s="4" t="n">
        <f aca="false">-F6*Assumptions!F31/100</f>
        <v>-1384.00576609308</v>
      </c>
      <c r="G12" s="4" t="n">
        <f aca="false">-G6*Assumptions!G31/100</f>
        <v>-1397.41917535995</v>
      </c>
      <c r="H12" s="4" t="n">
        <f aca="false">-H6*Assumptions!H31/100</f>
        <v>-1435.14949309467</v>
      </c>
      <c r="I12" s="4" t="n">
        <f aca="false">-I6*Assumptions!I31/100</f>
        <v>-1475.2001766229</v>
      </c>
      <c r="J12" s="4" t="n">
        <f aca="false">-J6*Assumptions!J31/100</f>
        <v>-1516.27882769501</v>
      </c>
      <c r="K12" s="4" t="n">
        <f aca="false">-K6*Assumptions!K31/100</f>
        <v>-1546.60440424891</v>
      </c>
      <c r="L12" s="4" t="n">
        <f aca="false">-L6*Assumptions!L31/100</f>
        <v>-1589.57875563415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6265.276472</v>
      </c>
      <c r="D13" s="0" t="n">
        <f aca="false">D11+D12</f>
        <v>5199.869781288</v>
      </c>
      <c r="E13" s="0" t="n">
        <f aca="false">E11+E12</f>
        <v>4589.66396543491</v>
      </c>
      <c r="F13" s="0" t="n">
        <f aca="false">F11+F12</f>
        <v>4204.04759023764</v>
      </c>
      <c r="G13" s="0" t="n">
        <f aca="false">G11+G12</f>
        <v>4408.91166179459</v>
      </c>
      <c r="H13" s="0" t="n">
        <f aca="false">H11+H12</f>
        <v>4505.70189692514</v>
      </c>
      <c r="I13" s="0" t="n">
        <f aca="false">I11+I12</f>
        <v>4561.77285386465</v>
      </c>
      <c r="J13" s="0" t="n">
        <f aca="false">J11+J12</f>
        <v>4618.28436832297</v>
      </c>
      <c r="K13" s="0" t="n">
        <f aca="false">K11+K12</f>
        <v>4687.03777470854</v>
      </c>
      <c r="L13" s="0" t="n">
        <f aca="false">L11+L12</f>
        <v>4744.65174030193</v>
      </c>
    </row>
    <row r="14" customFormat="false" ht="15" hidden="false" customHeight="false" outlineLevel="0" collapsed="false">
      <c r="A14" s="0" t="s">
        <v>106</v>
      </c>
      <c r="C14" s="4" t="n">
        <f aca="false">Assumptions!C33</f>
        <v>42</v>
      </c>
      <c r="D14" s="4" t="n">
        <f aca="false">Assumptions!D33</f>
        <v>41</v>
      </c>
      <c r="E14" s="4" t="n">
        <f aca="false">Assumptions!E33</f>
        <v>41</v>
      </c>
      <c r="F14" s="4" t="n">
        <f aca="false">Assumptions!F33</f>
        <v>41</v>
      </c>
      <c r="G14" s="4" t="n">
        <f aca="false">Assumptions!G33</f>
        <v>41</v>
      </c>
      <c r="H14" s="4" t="n">
        <f aca="false">Assumptions!H33</f>
        <v>41</v>
      </c>
      <c r="I14" s="4" t="n">
        <f aca="false">Assumptions!I33</f>
        <v>41</v>
      </c>
      <c r="J14" s="4" t="n">
        <f aca="false">Assumptions!J33</f>
        <v>41</v>
      </c>
      <c r="K14" s="4" t="n">
        <f aca="false">Assumptions!K33</f>
        <v>41</v>
      </c>
      <c r="L14" s="4" t="n">
        <f aca="false">Assumptions!L33</f>
        <v>41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3633.86035376</v>
      </c>
      <c r="D15" s="0" t="n">
        <f aca="false">D13-MAX(0,D13)*D14/100</f>
        <v>3067.92317095992</v>
      </c>
      <c r="E15" s="0" t="n">
        <f aca="false">E13-MAX(0,E13)*E14/100</f>
        <v>2707.9017396066</v>
      </c>
      <c r="F15" s="0" t="n">
        <f aca="false">F13-MAX(0,F13)*F14/100</f>
        <v>2480.38807824021</v>
      </c>
      <c r="G15" s="0" t="n">
        <f aca="false">G13-MAX(0,G13)*G14/100</f>
        <v>2601.25788045881</v>
      </c>
      <c r="H15" s="0" t="n">
        <f aca="false">H13-MAX(0,H13)*H14/100</f>
        <v>2658.36411918583</v>
      </c>
      <c r="I15" s="0" t="n">
        <f aca="false">I13-MAX(0,I13)*I14/100</f>
        <v>2691.44598378014</v>
      </c>
      <c r="J15" s="0" t="n">
        <f aca="false">J13-MAX(0,J13)*J14/100</f>
        <v>2724.78777731055</v>
      </c>
      <c r="K15" s="0" t="n">
        <f aca="false">K13-MAX(0,K13)*K14/100</f>
        <v>2765.35228707804</v>
      </c>
      <c r="L15" s="0" t="n">
        <f aca="false">L13-MAX(0,L13)*L14/100</f>
        <v>2799.34452677814</v>
      </c>
    </row>
    <row r="16" customFormat="false" ht="15" hidden="false" customHeight="false" outlineLevel="0" collapsed="false">
      <c r="A16" s="0" t="s">
        <v>122</v>
      </c>
      <c r="C16" s="0" t="n">
        <f aca="false">-C12</f>
        <v>1226.850716</v>
      </c>
      <c r="D16" s="0" t="n">
        <f aca="false">-D12</f>
        <v>1283.512161204</v>
      </c>
      <c r="E16" s="0" t="n">
        <f aca="false">-E12</f>
        <v>1332.48308673917</v>
      </c>
      <c r="F16" s="0" t="n">
        <f aca="false">-F12</f>
        <v>1384.00576609308</v>
      </c>
      <c r="G16" s="0" t="n">
        <f aca="false">-G12</f>
        <v>1397.41917535995</v>
      </c>
      <c r="H16" s="0" t="n">
        <f aca="false">-H12</f>
        <v>1435.14949309467</v>
      </c>
      <c r="I16" s="0" t="n">
        <f aca="false">-I12</f>
        <v>1475.2001766229</v>
      </c>
      <c r="J16" s="0" t="n">
        <f aca="false">-J12</f>
        <v>1516.27882769501</v>
      </c>
      <c r="K16" s="0" t="n">
        <f aca="false">-K12</f>
        <v>1546.60440424891</v>
      </c>
      <c r="L16" s="0" t="n">
        <f aca="false">-L12</f>
        <v>1589.57875563415</v>
      </c>
    </row>
    <row r="17" customFormat="false" ht="15" hidden="false" customHeight="false" outlineLevel="0" collapsed="false">
      <c r="A17" s="0" t="s">
        <v>123</v>
      </c>
      <c r="C17" s="4" t="n">
        <f aca="false">-C6*Assumptions!C32/100</f>
        <v>-1953.432208</v>
      </c>
      <c r="D17" s="4" t="n">
        <f aca="false">-D6*Assumptions!D32/100</f>
        <v>-2051.425420044</v>
      </c>
      <c r="E17" s="4" t="n">
        <f aca="false">-E6*Assumptions!E32/100</f>
        <v>-1998.72463010875</v>
      </c>
      <c r="F17" s="4" t="n">
        <f aca="false">-F6*Assumptions!F32/100</f>
        <v>-1800.24810176018</v>
      </c>
      <c r="G17" s="4" t="n">
        <f aca="false">-G6*Assumptions!G32/100</f>
        <v>-1700.73496536057</v>
      </c>
      <c r="H17" s="4" t="n">
        <f aca="false">-H6*Assumptions!H32/100</f>
        <v>-1746.6548094253</v>
      </c>
      <c r="I17" s="4" t="n">
        <f aca="false">-I6*Assumptions!I32/100</f>
        <v>-1792.93559928014</v>
      </c>
      <c r="J17" s="4" t="n">
        <f aca="false">-J6*Assumptions!J32/100</f>
        <v>-1840.3689588054</v>
      </c>
      <c r="K17" s="4" t="n">
        <f aca="false">-K6*Assumptions!K32/100</f>
        <v>-1877.1763379815</v>
      </c>
      <c r="L17" s="4" t="n">
        <f aca="false">-L6*Assumptions!L32/100</f>
        <v>-1926.76212804139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(C6-B6)*Assumptions!$B$37/100</f>
        <v>-100.9086</v>
      </c>
      <c r="D18" s="4" t="n">
        <f aca="false">(D6-C6)*Assumptions!$B$37/100</f>
        <v>47.0491294</v>
      </c>
      <c r="E18" s="4" t="n">
        <f aca="false">(E6-D6)*Assumptions!$B$37/100</f>
        <v>19.7463409416</v>
      </c>
      <c r="F18" s="4" t="n">
        <f aca="false">(F6-E6)*Assumptions!$B$37/100</f>
        <v>8.46021007453437</v>
      </c>
      <c r="G18" s="4" t="n">
        <f aca="false">(G6-F6)*Assumptions!$B$37/100</f>
        <v>-21.3324197029385</v>
      </c>
      <c r="H18" s="4" t="n">
        <f aca="false">(H6-G6)*Assumptions!$B$37/100</f>
        <v>-14.6241541607436</v>
      </c>
      <c r="I18" s="4" t="n">
        <f aca="false">(I6-H6)*Assumptions!$B$37/100</f>
        <v>-11.1251898689509</v>
      </c>
      <c r="J18" s="4" t="n">
        <f aca="false">(J6-I6)*Assumptions!$B$37/100</f>
        <v>-11.34769366633</v>
      </c>
      <c r="K18" s="4" t="n">
        <f aca="false">(K6-J6)*Assumptions!$B$37/100</f>
        <v>-11.5746475396566</v>
      </c>
      <c r="L18" s="4" t="n">
        <f aca="false">(L6-K6)*Assumptions!$B$37/100</f>
        <v>-11.8061404904497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2806.37026176</v>
      </c>
      <c r="D19" s="0" t="n">
        <f aca="false">D15+D16+D17+D18</f>
        <v>2347.05904151992</v>
      </c>
      <c r="E19" s="0" t="n">
        <f aca="false">E15+E16+E17+E18</f>
        <v>2061.40653717861</v>
      </c>
      <c r="F19" s="0" t="n">
        <f aca="false">F15+F16+F17+F18</f>
        <v>2072.60595264765</v>
      </c>
      <c r="G19" s="0" t="n">
        <f aca="false">G15+G16+G17+G18</f>
        <v>2276.60967075526</v>
      </c>
      <c r="H19" s="0" t="n">
        <f aca="false">H15+H16+H17+H18</f>
        <v>2332.23464869446</v>
      </c>
      <c r="I19" s="0" t="n">
        <f aca="false">I15+I16+I17+I18</f>
        <v>2362.58537125395</v>
      </c>
      <c r="J19" s="0" t="n">
        <f aca="false">J15+J16+J17+J18</f>
        <v>2389.34995253384</v>
      </c>
      <c r="K19" s="0" t="n">
        <f aca="false">K15+K16+K17+K18</f>
        <v>2423.20570580579</v>
      </c>
      <c r="L19" s="0" t="n">
        <f aca="false">L15+L16+L17+L18</f>
        <v>2450.35501388044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2551.24569250909</v>
      </c>
      <c r="D21" s="0" t="n">
        <f aca="false">D19*D20</f>
        <v>1939.71821613217</v>
      </c>
      <c r="E21" s="0" t="n">
        <f aca="false">E19*E20</f>
        <v>1548.76524205756</v>
      </c>
      <c r="F21" s="0" t="n">
        <f aca="false">F19*F20</f>
        <v>1415.61775332808</v>
      </c>
      <c r="G21" s="0" t="n">
        <f aca="false">G19*G20</f>
        <v>1413.59548885462</v>
      </c>
      <c r="H21" s="0" t="n">
        <f aca="false">H19*H20</f>
        <v>1316.48565795615</v>
      </c>
      <c r="I21" s="0" t="n">
        <f aca="false">I19*I20</f>
        <v>1212.37986327207</v>
      </c>
      <c r="J21" s="0" t="n">
        <f aca="false">J19*J20</f>
        <v>1114.64938676081</v>
      </c>
      <c r="K21" s="0" t="n">
        <f aca="false">K19*K20</f>
        <v>1027.67576865885</v>
      </c>
      <c r="L21" s="0" t="n">
        <f aca="false">L19*L20</f>
        <v>944.717932321612</v>
      </c>
    </row>
    <row r="23" customFormat="false" ht="15" hidden="false" customHeight="false" outlineLevel="0" collapsed="false">
      <c r="A23" s="0" t="s">
        <v>103</v>
      </c>
      <c r="C23" s="4" t="n">
        <f aca="false">Assumptions!C30</f>
        <v>1</v>
      </c>
      <c r="D23" s="4" t="n">
        <f aca="false">Assumptions!D30</f>
        <v>1</v>
      </c>
      <c r="E23" s="4" t="n">
        <f aca="false">Assumptions!E30</f>
        <v>1</v>
      </c>
      <c r="F23" s="4" t="n">
        <f aca="false">Assumptions!F30</f>
        <v>1</v>
      </c>
      <c r="G23" s="4" t="n">
        <f aca="false">Assumptions!G30</f>
        <v>1</v>
      </c>
      <c r="H23" s="4" t="n">
        <f aca="false">Assumptions!H30</f>
        <v>1</v>
      </c>
      <c r="I23" s="4" t="n">
        <f aca="false">Assumptions!I30</f>
        <v>1</v>
      </c>
      <c r="J23" s="4" t="n">
        <f aca="false">Assumptions!J30</f>
        <v>1</v>
      </c>
      <c r="K23" s="4" t="n">
        <f aca="false">Assumptions!K30</f>
        <v>1</v>
      </c>
      <c r="L23" s="4" t="n">
        <f aca="false">Assumptions!L30</f>
        <v>1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-119.11172</v>
      </c>
      <c r="D24" s="0" t="n">
        <f aca="false">-D6*D23/100</f>
        <v>-109.70189412</v>
      </c>
      <c r="E24" s="0" t="n">
        <f aca="false">-E6*E23/100</f>
        <v>-105.75262593168</v>
      </c>
      <c r="F24" s="0" t="n">
        <f aca="false">-F6*F23/100</f>
        <v>-104.060583916773</v>
      </c>
      <c r="G24" s="0" t="n">
        <f aca="false">-G6*G23/100</f>
        <v>-108.327067857361</v>
      </c>
      <c r="H24" s="0" t="n">
        <f aca="false">-H6*H23/100</f>
        <v>-111.25189868951</v>
      </c>
      <c r="I24" s="0" t="n">
        <f aca="false">-I6*I23/100</f>
        <v>-113.4769366633</v>
      </c>
      <c r="J24" s="0" t="n">
        <f aca="false">-J6*J23/100</f>
        <v>-115.746475396566</v>
      </c>
      <c r="K24" s="0" t="n">
        <f aca="false">-K6*K23/100</f>
        <v>-118.061404904497</v>
      </c>
      <c r="L24" s="0" t="n">
        <f aca="false">-L6*L23/100</f>
        <v>-120.422633002587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108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Assumptions!$B$36</f>
        <v>10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14484.851001851</v>
      </c>
    </row>
    <row r="31" customFormat="false" ht="15" hidden="false" customHeight="false" outlineLevel="0" collapsed="false">
      <c r="A31" s="0" t="s">
        <v>131</v>
      </c>
      <c r="B31" s="0" t="n">
        <f aca="false">L19</f>
        <v>2450.35501388044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31242.0264269757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24503.5501388044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24503.5501388044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9447.17932321612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23932.0303250671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25939.0303250671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51.1718885876251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-0.460894557652496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275.304669628194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236.783504052871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52.1821236905666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19225.8624166004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36.7306210758245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115</v>
      </c>
      <c r="B3" s="0" t="s">
        <v>76</v>
      </c>
      <c r="C3" s="2" t="s">
        <v>90</v>
      </c>
      <c r="D3" s="2" t="s">
        <v>91</v>
      </c>
      <c r="E3" s="2" t="s">
        <v>92</v>
      </c>
      <c r="F3" s="2" t="s">
        <v>93</v>
      </c>
      <c r="G3" s="2" t="s">
        <v>94</v>
      </c>
      <c r="H3" s="2" t="s">
        <v>95</v>
      </c>
      <c r="I3" s="2" t="s">
        <v>96</v>
      </c>
      <c r="J3" s="2" t="s">
        <v>97</v>
      </c>
      <c r="K3" s="2" t="s">
        <v>98</v>
      </c>
      <c r="L3" s="2" t="s">
        <v>99</v>
      </c>
    </row>
    <row r="4" customFormat="false" ht="15" hidden="false" customHeight="false" outlineLevel="0" collapsed="false">
      <c r="A4" s="0" t="s">
        <v>116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100</v>
      </c>
      <c r="C5" s="4" t="n">
        <f aca="false">Assumptions!C41</f>
        <v>22.2</v>
      </c>
      <c r="D5" s="4" t="n">
        <f aca="false">Assumptions!D41</f>
        <v>3.4</v>
      </c>
      <c r="E5" s="4" t="n">
        <f aca="false">Assumptions!E41</f>
        <v>6.6</v>
      </c>
      <c r="F5" s="4" t="n">
        <f aca="false">Assumptions!F41</f>
        <v>6.8</v>
      </c>
      <c r="G5" s="4" t="n">
        <f aca="false">Assumptions!G41</f>
        <v>5</v>
      </c>
      <c r="H5" s="4" t="n">
        <f aca="false">Assumptions!H41</f>
        <v>4.3</v>
      </c>
      <c r="I5" s="4" t="n">
        <f aca="false">Assumptions!I41</f>
        <v>2</v>
      </c>
      <c r="J5" s="4" t="n">
        <f aca="false">Assumptions!J41</f>
        <v>2</v>
      </c>
      <c r="K5" s="4" t="n">
        <f aca="false">Assumptions!K41</f>
        <v>2</v>
      </c>
      <c r="L5" s="4" t="n">
        <f aca="false">Assumptions!L41</f>
        <v>2</v>
      </c>
    </row>
    <row r="6" customFormat="false" ht="15" hidden="false" customHeight="false" outlineLevel="0" collapsed="false">
      <c r="A6" s="0" t="s">
        <v>37</v>
      </c>
      <c r="B6" s="3" t="n">
        <v>9893</v>
      </c>
      <c r="C6" s="0" t="n">
        <f aca="false">B6*(1+C5/100)</f>
        <v>12089.246</v>
      </c>
      <c r="D6" s="0" t="n">
        <f aca="false">C6*(1+D5/100)</f>
        <v>12500.280364</v>
      </c>
      <c r="E6" s="0" t="n">
        <f aca="false">D6*(1+E5/100)</f>
        <v>13325.298868024</v>
      </c>
      <c r="F6" s="0" t="n">
        <f aca="false">E6*(1+F5/100)</f>
        <v>14231.4191910496</v>
      </c>
      <c r="G6" s="0" t="n">
        <f aca="false">F6*(1+G5/100)</f>
        <v>14942.9901506021</v>
      </c>
      <c r="H6" s="0" t="n">
        <f aca="false">G6*(1+H5/100)</f>
        <v>15585.538727078</v>
      </c>
      <c r="I6" s="0" t="n">
        <f aca="false">H6*(1+I5/100)</f>
        <v>15897.2495016196</v>
      </c>
      <c r="J6" s="0" t="n">
        <f aca="false">I6*(1+J5/100)</f>
        <v>16215.194491652</v>
      </c>
      <c r="K6" s="0" t="n">
        <f aca="false">J6*(1+K5/100)</f>
        <v>16539.498381485</v>
      </c>
      <c r="L6" s="0" t="n">
        <f aca="false">K6*(1+L5/100)</f>
        <v>16870.2883491147</v>
      </c>
    </row>
    <row r="7" customFormat="false" ht="15" hidden="false" customHeight="false" outlineLevel="0" collapsed="false">
      <c r="A7" s="0" t="s">
        <v>101</v>
      </c>
      <c r="C7" s="4" t="n">
        <f aca="false">Assumptions!C42</f>
        <v>64.2</v>
      </c>
      <c r="D7" s="4" t="n">
        <f aca="false">Assumptions!D42</f>
        <v>63.7</v>
      </c>
      <c r="E7" s="4" t="n">
        <f aca="false">Assumptions!E42</f>
        <v>63.7</v>
      </c>
      <c r="F7" s="4" t="n">
        <f aca="false">Assumptions!F42</f>
        <v>63.7</v>
      </c>
      <c r="G7" s="4" t="n">
        <f aca="false">Assumptions!G42</f>
        <v>63.7</v>
      </c>
      <c r="H7" s="4" t="n">
        <f aca="false">Assumptions!H42</f>
        <v>63.6</v>
      </c>
      <c r="I7" s="4" t="n">
        <f aca="false">Assumptions!I42</f>
        <v>63.5</v>
      </c>
      <c r="J7" s="4" t="n">
        <f aca="false">Assumptions!J42</f>
        <v>63.3</v>
      </c>
      <c r="K7" s="4" t="n">
        <f aca="false">Assumptions!K42</f>
        <v>63.2</v>
      </c>
      <c r="L7" s="4" t="n">
        <f aca="false">Assumptions!L42</f>
        <v>63</v>
      </c>
    </row>
    <row r="8" customFormat="false" ht="15" hidden="false" customHeight="false" outlineLevel="0" collapsed="false">
      <c r="A8" s="0" t="s">
        <v>43</v>
      </c>
      <c r="C8" s="0" t="n">
        <f aca="false">C6*C7/100</f>
        <v>7761.295932</v>
      </c>
      <c r="D8" s="0" t="n">
        <f aca="false">D6*D7/100</f>
        <v>7962.678591868</v>
      </c>
      <c r="E8" s="0" t="n">
        <f aca="false">E6*E7/100</f>
        <v>8488.21537893129</v>
      </c>
      <c r="F8" s="0" t="n">
        <f aca="false">F6*F7/100</f>
        <v>9065.41402469862</v>
      </c>
      <c r="G8" s="0" t="n">
        <f aca="false">G6*G7/100</f>
        <v>9518.68472593355</v>
      </c>
      <c r="H8" s="0" t="n">
        <f aca="false">H6*H7/100</f>
        <v>9912.40263042161</v>
      </c>
      <c r="I8" s="0" t="n">
        <f aca="false">I6*I7/100</f>
        <v>10094.7534335284</v>
      </c>
      <c r="J8" s="0" t="n">
        <f aca="false">J6*J7/100</f>
        <v>10264.2181132157</v>
      </c>
      <c r="K8" s="0" t="n">
        <f aca="false">K6*K7/100</f>
        <v>10452.9629770985</v>
      </c>
      <c r="L8" s="0" t="n">
        <f aca="false">L6*L7/100</f>
        <v>10628.2816599423</v>
      </c>
    </row>
    <row r="9" customFormat="false" ht="15" hidden="false" customHeight="false" outlineLevel="0" collapsed="false">
      <c r="A9" s="0" t="s">
        <v>102</v>
      </c>
      <c r="C9" s="4" t="n">
        <f aca="false">Assumptions!C43</f>
        <v>0.4</v>
      </c>
      <c r="D9" s="4" t="n">
        <f aca="false">Assumptions!D43</f>
        <v>0.4</v>
      </c>
      <c r="E9" s="4" t="n">
        <f aca="false">Assumptions!E43</f>
        <v>0.4</v>
      </c>
      <c r="F9" s="4" t="n">
        <f aca="false">Assumptions!F43</f>
        <v>0.4</v>
      </c>
      <c r="G9" s="4" t="n">
        <f aca="false">Assumptions!G43</f>
        <v>0.4</v>
      </c>
      <c r="H9" s="4" t="n">
        <f aca="false">Assumptions!H43</f>
        <v>0.4</v>
      </c>
      <c r="I9" s="4" t="n">
        <f aca="false">Assumptions!I43</f>
        <v>0.4</v>
      </c>
      <c r="J9" s="4" t="n">
        <f aca="false">Assumptions!J43</f>
        <v>0.4</v>
      </c>
      <c r="K9" s="4" t="n">
        <f aca="false">Assumptions!K43</f>
        <v>0.4</v>
      </c>
      <c r="L9" s="4" t="n">
        <f aca="false">Assumptions!L43</f>
        <v>0.4</v>
      </c>
    </row>
    <row r="10" customFormat="false" ht="15" hidden="false" customHeight="false" outlineLevel="0" collapsed="false">
      <c r="A10" s="0" t="s">
        <v>117</v>
      </c>
      <c r="C10" s="0" t="n">
        <f aca="false">-C6*C9/100</f>
        <v>-48.356984</v>
      </c>
      <c r="D10" s="0" t="n">
        <f aca="false">-D6*D9/100</f>
        <v>-50.001121456</v>
      </c>
      <c r="E10" s="0" t="n">
        <f aca="false">-E6*E9/100</f>
        <v>-53.301195472096</v>
      </c>
      <c r="F10" s="0" t="n">
        <f aca="false">-F6*F9/100</f>
        <v>-56.9256767641985</v>
      </c>
      <c r="G10" s="0" t="n">
        <f aca="false">-G6*G9/100</f>
        <v>-59.7719606024085</v>
      </c>
      <c r="H10" s="0" t="n">
        <f aca="false">-H6*H9/100</f>
        <v>-62.342154908312</v>
      </c>
      <c r="I10" s="0" t="n">
        <f aca="false">-I6*I9/100</f>
        <v>-63.5889980064783</v>
      </c>
      <c r="J10" s="0" t="n">
        <f aca="false">-J6*J9/100</f>
        <v>-64.8607779666078</v>
      </c>
      <c r="K10" s="0" t="n">
        <f aca="false">-K6*K9/100</f>
        <v>-66.15799352594</v>
      </c>
      <c r="L10" s="0" t="n">
        <f aca="false">-L6*L9/100</f>
        <v>-67.4811533964588</v>
      </c>
    </row>
    <row r="11" customFormat="false" ht="15" hidden="false" customHeight="false" outlineLevel="0" collapsed="false">
      <c r="A11" s="0" t="s">
        <v>118</v>
      </c>
      <c r="C11" s="0" t="n">
        <f aca="false">C8+C10+C24</f>
        <v>7592.046488</v>
      </c>
      <c r="D11" s="0" t="n">
        <f aca="false">D8+D10+D24</f>
        <v>7787.674666772</v>
      </c>
      <c r="E11" s="0" t="n">
        <f aca="false">E8+E10+E24</f>
        <v>8301.66119477895</v>
      </c>
      <c r="F11" s="0" t="n">
        <f aca="false">F8+F10+F24</f>
        <v>8866.17415602392</v>
      </c>
      <c r="G11" s="0" t="n">
        <f aca="false">G8+G10+G24</f>
        <v>9309.48286382512</v>
      </c>
      <c r="H11" s="0" t="n">
        <f aca="false">H8+H10+H24</f>
        <v>9694.20508824252</v>
      </c>
      <c r="I11" s="0" t="n">
        <f aca="false">I8+I10+I24</f>
        <v>9872.19194050575</v>
      </c>
      <c r="J11" s="0" t="n">
        <f aca="false">J8+J10+J24</f>
        <v>10037.2053903326</v>
      </c>
      <c r="K11" s="0" t="n">
        <f aca="false">K8+K10+K24</f>
        <v>10221.4099997577</v>
      </c>
      <c r="L11" s="0" t="n">
        <f aca="false">L8+L10+L24</f>
        <v>10392.0976230547</v>
      </c>
    </row>
    <row r="12" customFormat="false" ht="15" hidden="false" customHeight="false" outlineLevel="0" collapsed="false">
      <c r="A12" s="0" t="s">
        <v>119</v>
      </c>
      <c r="C12" s="4" t="n">
        <f aca="false">-C6*Assumptions!C45/100</f>
        <v>-1233.103092</v>
      </c>
      <c r="D12" s="4" t="n">
        <f aca="false">-D6*Assumptions!D45/100</f>
        <v>-1275.028597128</v>
      </c>
      <c r="E12" s="4" t="n">
        <f aca="false">-E6*Assumptions!E45/100</f>
        <v>-1332.5298868024</v>
      </c>
      <c r="F12" s="4" t="n">
        <f aca="false">-F6*Assumptions!F45/100</f>
        <v>-1380.44766153181</v>
      </c>
      <c r="G12" s="4" t="n">
        <f aca="false">-G6*Assumptions!G45/100</f>
        <v>-1404.6410741566</v>
      </c>
      <c r="H12" s="4" t="n">
        <f aca="false">-H6*Assumptions!H45/100</f>
        <v>-1433.86956289118</v>
      </c>
      <c r="I12" s="4" t="n">
        <f aca="false">-I6*Assumptions!I45/100</f>
        <v>-1478.44420365062</v>
      </c>
      <c r="J12" s="4" t="n">
        <f aca="false">-J6*Assumptions!J45/100</f>
        <v>-1508.01308772363</v>
      </c>
      <c r="K12" s="4" t="n">
        <f aca="false">-K6*Assumptions!K45/100</f>
        <v>-1538.1733494781</v>
      </c>
      <c r="L12" s="4" t="n">
        <f aca="false">-L6*Assumptions!L45/100</f>
        <v>-1585.80710481678</v>
      </c>
    </row>
    <row r="13" customFormat="false" ht="15" hidden="false" customHeight="false" outlineLevel="0" collapsed="false">
      <c r="A13" s="0" t="s">
        <v>120</v>
      </c>
      <c r="C13" s="0" t="n">
        <f aca="false">C11+C12</f>
        <v>6358.943396</v>
      </c>
      <c r="D13" s="0" t="n">
        <f aca="false">D11+D12</f>
        <v>6512.646069644</v>
      </c>
      <c r="E13" s="0" t="n">
        <f aca="false">E11+E12</f>
        <v>6969.13130797655</v>
      </c>
      <c r="F13" s="0" t="n">
        <f aca="false">F11+F12</f>
        <v>7485.72649449211</v>
      </c>
      <c r="G13" s="0" t="n">
        <f aca="false">G11+G12</f>
        <v>7904.84178966852</v>
      </c>
      <c r="H13" s="0" t="n">
        <f aca="false">H11+H12</f>
        <v>8260.33552535134</v>
      </c>
      <c r="I13" s="0" t="n">
        <f aca="false">I11+I12</f>
        <v>8393.74773685513</v>
      </c>
      <c r="J13" s="0" t="n">
        <f aca="false">J11+J12</f>
        <v>8529.19230260893</v>
      </c>
      <c r="K13" s="0" t="n">
        <f aca="false">K11+K12</f>
        <v>8683.23665027963</v>
      </c>
      <c r="L13" s="0" t="n">
        <f aca="false">L11+L12</f>
        <v>8806.29051823787</v>
      </c>
    </row>
    <row r="14" customFormat="false" ht="15" hidden="false" customHeight="false" outlineLevel="0" collapsed="false">
      <c r="A14" s="0" t="s">
        <v>106</v>
      </c>
      <c r="C14" s="4" t="n">
        <f aca="false">Assumptions!C47</f>
        <v>42</v>
      </c>
      <c r="D14" s="4" t="n">
        <f aca="false">Assumptions!D47</f>
        <v>41</v>
      </c>
      <c r="E14" s="4" t="n">
        <f aca="false">Assumptions!E47</f>
        <v>41</v>
      </c>
      <c r="F14" s="4" t="n">
        <f aca="false">Assumptions!F47</f>
        <v>41</v>
      </c>
      <c r="G14" s="4" t="n">
        <f aca="false">Assumptions!G47</f>
        <v>41</v>
      </c>
      <c r="H14" s="4" t="n">
        <f aca="false">Assumptions!H47</f>
        <v>41</v>
      </c>
      <c r="I14" s="4" t="n">
        <f aca="false">Assumptions!I47</f>
        <v>41</v>
      </c>
      <c r="J14" s="4" t="n">
        <f aca="false">Assumptions!J47</f>
        <v>41</v>
      </c>
      <c r="K14" s="4" t="n">
        <f aca="false">Assumptions!K47</f>
        <v>41</v>
      </c>
      <c r="L14" s="4" t="n">
        <f aca="false">Assumptions!L47</f>
        <v>41</v>
      </c>
    </row>
    <row r="15" customFormat="false" ht="15" hidden="false" customHeight="false" outlineLevel="0" collapsed="false">
      <c r="A15" s="0" t="s">
        <v>121</v>
      </c>
      <c r="C15" s="0" t="n">
        <f aca="false">C13-MAX(0,C13)*C14/100</f>
        <v>3688.18716968</v>
      </c>
      <c r="D15" s="0" t="n">
        <f aca="false">D13-MAX(0,D13)*D14/100</f>
        <v>3842.46118108996</v>
      </c>
      <c r="E15" s="0" t="n">
        <f aca="false">E13-MAX(0,E13)*E14/100</f>
        <v>4111.78747170617</v>
      </c>
      <c r="F15" s="0" t="n">
        <f aca="false">F13-MAX(0,F13)*F14/100</f>
        <v>4416.57863175034</v>
      </c>
      <c r="G15" s="0" t="n">
        <f aca="false">G13-MAX(0,G13)*G14/100</f>
        <v>4663.85665590443</v>
      </c>
      <c r="H15" s="0" t="n">
        <f aca="false">H13-MAX(0,H13)*H14/100</f>
        <v>4873.59795995729</v>
      </c>
      <c r="I15" s="0" t="n">
        <f aca="false">I13-MAX(0,I13)*I14/100</f>
        <v>4952.31116474453</v>
      </c>
      <c r="J15" s="0" t="n">
        <f aca="false">J13-MAX(0,J13)*J14/100</f>
        <v>5032.22345853927</v>
      </c>
      <c r="K15" s="0" t="n">
        <f aca="false">K13-MAX(0,K13)*K14/100</f>
        <v>5123.10962366498</v>
      </c>
      <c r="L15" s="0" t="n">
        <f aca="false">L13-MAX(0,L13)*L14/100</f>
        <v>5195.71140576035</v>
      </c>
    </row>
    <row r="16" customFormat="false" ht="15" hidden="false" customHeight="false" outlineLevel="0" collapsed="false">
      <c r="A16" s="0" t="s">
        <v>122</v>
      </c>
      <c r="C16" s="0" t="n">
        <f aca="false">-C12</f>
        <v>1233.103092</v>
      </c>
      <c r="D16" s="0" t="n">
        <f aca="false">-D12</f>
        <v>1275.028597128</v>
      </c>
      <c r="E16" s="0" t="n">
        <f aca="false">-E12</f>
        <v>1332.5298868024</v>
      </c>
      <c r="F16" s="0" t="n">
        <f aca="false">-F12</f>
        <v>1380.44766153181</v>
      </c>
      <c r="G16" s="0" t="n">
        <f aca="false">-G12</f>
        <v>1404.6410741566</v>
      </c>
      <c r="H16" s="0" t="n">
        <f aca="false">-H12</f>
        <v>1433.86956289118</v>
      </c>
      <c r="I16" s="0" t="n">
        <f aca="false">-I12</f>
        <v>1478.44420365062</v>
      </c>
      <c r="J16" s="0" t="n">
        <f aca="false">-J12</f>
        <v>1508.01308772363</v>
      </c>
      <c r="K16" s="0" t="n">
        <f aca="false">-K12</f>
        <v>1538.1733494781</v>
      </c>
      <c r="L16" s="0" t="n">
        <f aca="false">-L12</f>
        <v>1585.80710481678</v>
      </c>
    </row>
    <row r="17" customFormat="false" ht="15" hidden="false" customHeight="false" outlineLevel="0" collapsed="false">
      <c r="A17" s="0" t="s">
        <v>123</v>
      </c>
      <c r="C17" s="4" t="n">
        <f aca="false">-C6*Assumptions!C46/100</f>
        <v>-1946.368606</v>
      </c>
      <c r="D17" s="4" t="n">
        <f aca="false">-D6*Assumptions!D46/100</f>
        <v>-2150.048222608</v>
      </c>
      <c r="E17" s="4" t="n">
        <f aca="false">-E6*Assumptions!E46/100</f>
        <v>-2145.37311775186</v>
      </c>
      <c r="F17" s="4" t="n">
        <f aca="false">-F6*Assumptions!F46/100</f>
        <v>-1949.7044291738</v>
      </c>
      <c r="G17" s="4" t="n">
        <f aca="false">-G6*Assumptions!G46/100</f>
        <v>-1852.93077867466</v>
      </c>
      <c r="H17" s="4" t="n">
        <f aca="false">-H6*Assumptions!H46/100</f>
        <v>-1901.43572470352</v>
      </c>
      <c r="I17" s="4" t="n">
        <f aca="false">-I6*Assumptions!I46/100</f>
        <v>-1939.46443919759</v>
      </c>
      <c r="J17" s="4" t="n">
        <f aca="false">-J6*Assumptions!J46/100</f>
        <v>-1994.46892247319</v>
      </c>
      <c r="K17" s="4" t="n">
        <f aca="false">-K6*Assumptions!K46/100</f>
        <v>-2050.89779930414</v>
      </c>
      <c r="L17" s="4" t="n">
        <f aca="false">-L6*Assumptions!L46/100</f>
        <v>-2091.91575529022</v>
      </c>
    </row>
    <row r="18" customFormat="false" ht="15" hidden="false" customHeight="false" outlineLevel="0" collapsed="false">
      <c r="A18" s="0" t="s">
        <v>124</v>
      </c>
      <c r="C18" s="4" t="n">
        <f aca="false">(C6-B6)*Assumptions!$B$51/100</f>
        <v>-109.8123</v>
      </c>
      <c r="D18" s="4" t="n">
        <f aca="false">(D6-C6)*Assumptions!$B$51/100</f>
        <v>-20.5517182000001</v>
      </c>
      <c r="E18" s="4" t="n">
        <f aca="false">(E6-D6)*Assumptions!$B$51/100</f>
        <v>-41.2509252012001</v>
      </c>
      <c r="F18" s="4" t="n">
        <f aca="false">(F6-E6)*Assumptions!$B$51/100</f>
        <v>-45.3060161512816</v>
      </c>
      <c r="G18" s="4" t="n">
        <f aca="false">(G6-F6)*Assumptions!$B$51/100</f>
        <v>-35.5785479776241</v>
      </c>
      <c r="H18" s="4" t="n">
        <f aca="false">(H6-G6)*Assumptions!$B$51/100</f>
        <v>-32.1274288237945</v>
      </c>
      <c r="I18" s="4" t="n">
        <f aca="false">(I6-H6)*Assumptions!$B$51/100</f>
        <v>-15.585538727078</v>
      </c>
      <c r="J18" s="4" t="n">
        <f aca="false">(J6-I6)*Assumptions!$B$51/100</f>
        <v>-15.8972495016195</v>
      </c>
      <c r="K18" s="4" t="n">
        <f aca="false">(K6-J6)*Assumptions!$B$51/100</f>
        <v>-16.2151944916519</v>
      </c>
      <c r="L18" s="4" t="n">
        <f aca="false">(L6-K6)*Assumptions!$B$51/100</f>
        <v>-16.5394983814851</v>
      </c>
    </row>
    <row r="19" customFormat="false" ht="15" hidden="false" customHeight="false" outlineLevel="0" collapsed="false">
      <c r="A19" s="0" t="s">
        <v>125</v>
      </c>
      <c r="C19" s="0" t="n">
        <f aca="false">C15+C16+C17+C18</f>
        <v>2865.10935568</v>
      </c>
      <c r="D19" s="0" t="n">
        <f aca="false">D15+D16+D17+D18</f>
        <v>2946.88983740996</v>
      </c>
      <c r="E19" s="0" t="n">
        <f aca="false">E15+E16+E17+E18</f>
        <v>3257.6933155555</v>
      </c>
      <c r="F19" s="0" t="n">
        <f aca="false">F15+F16+F17+F18</f>
        <v>3802.01584795708</v>
      </c>
      <c r="G19" s="0" t="n">
        <f aca="false">G15+G16+G17+G18</f>
        <v>4179.98840340874</v>
      </c>
      <c r="H19" s="0" t="n">
        <f aca="false">H15+H16+H17+H18</f>
        <v>4373.90436932116</v>
      </c>
      <c r="I19" s="0" t="n">
        <f aca="false">I15+I16+I17+I18</f>
        <v>4475.70539047048</v>
      </c>
      <c r="J19" s="0" t="n">
        <f aca="false">J15+J16+J17+J18</f>
        <v>4529.87037428809</v>
      </c>
      <c r="K19" s="0" t="n">
        <f aca="false">K15+K16+K17+K18</f>
        <v>4594.16997934729</v>
      </c>
      <c r="L19" s="0" t="n">
        <f aca="false">L15+L16+L17+L18</f>
        <v>4673.06325690542</v>
      </c>
    </row>
    <row r="20" customFormat="false" ht="15" hidden="false" customHeight="false" outlineLevel="0" collapsed="false">
      <c r="A20" s="0" t="s">
        <v>126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127</v>
      </c>
      <c r="C21" s="0" t="n">
        <f aca="false">C19*C20</f>
        <v>2604.6448688</v>
      </c>
      <c r="D21" s="0" t="n">
        <f aca="false">D19*D20</f>
        <v>2435.4461466198</v>
      </c>
      <c r="E21" s="0" t="n">
        <f aca="false">E19*E20</f>
        <v>2447.55320477498</v>
      </c>
      <c r="F21" s="0" t="n">
        <f aca="false">F19*F20</f>
        <v>2596.82798166592</v>
      </c>
      <c r="G21" s="0" t="n">
        <f aca="false">G19*G20</f>
        <v>2595.44392981648</v>
      </c>
      <c r="H21" s="0" t="n">
        <f aca="false">H19*H20</f>
        <v>2468.9549890301</v>
      </c>
      <c r="I21" s="0" t="n">
        <f aca="false">I19*I20</f>
        <v>2296.74455592886</v>
      </c>
      <c r="J21" s="0" t="n">
        <f aca="false">J19*J20</f>
        <v>2113.21796099882</v>
      </c>
      <c r="K21" s="0" t="n">
        <f aca="false">K19*K20</f>
        <v>1948.37654663955</v>
      </c>
      <c r="L21" s="0" t="n">
        <f aca="false">L19*L20</f>
        <v>1801.6681797796</v>
      </c>
    </row>
    <row r="23" customFormat="false" ht="15" hidden="false" customHeight="false" outlineLevel="0" collapsed="false">
      <c r="A23" s="0" t="s">
        <v>103</v>
      </c>
      <c r="C23" s="4" t="n">
        <f aca="false">Assumptions!C44</f>
        <v>1</v>
      </c>
      <c r="D23" s="4" t="n">
        <f aca="false">Assumptions!D44</f>
        <v>1</v>
      </c>
      <c r="E23" s="4" t="n">
        <f aca="false">Assumptions!E44</f>
        <v>1</v>
      </c>
      <c r="F23" s="4" t="n">
        <f aca="false">Assumptions!F44</f>
        <v>1</v>
      </c>
      <c r="G23" s="4" t="n">
        <f aca="false">Assumptions!G44</f>
        <v>1</v>
      </c>
      <c r="H23" s="4" t="n">
        <f aca="false">Assumptions!H44</f>
        <v>1</v>
      </c>
      <c r="I23" s="4" t="n">
        <f aca="false">Assumptions!I44</f>
        <v>1</v>
      </c>
      <c r="J23" s="4" t="n">
        <f aca="false">Assumptions!J44</f>
        <v>1</v>
      </c>
      <c r="K23" s="4" t="n">
        <f aca="false">Assumptions!K44</f>
        <v>1</v>
      </c>
      <c r="L23" s="4" t="n">
        <f aca="false">Assumptions!L44</f>
        <v>1</v>
      </c>
    </row>
    <row r="24" customFormat="false" ht="15" hidden="false" customHeight="false" outlineLevel="0" collapsed="false">
      <c r="A24" s="0" t="s">
        <v>128</v>
      </c>
      <c r="C24" s="0" t="n">
        <f aca="false">-C6*C23/100</f>
        <v>-120.89246</v>
      </c>
      <c r="D24" s="0" t="n">
        <f aca="false">-D6*D23/100</f>
        <v>-125.00280364</v>
      </c>
      <c r="E24" s="0" t="n">
        <f aca="false">-E6*E23/100</f>
        <v>-133.25298868024</v>
      </c>
      <c r="F24" s="0" t="n">
        <f aca="false">-F6*F23/100</f>
        <v>-142.314191910496</v>
      </c>
      <c r="G24" s="0" t="n">
        <f aca="false">-G6*G23/100</f>
        <v>-149.429901506021</v>
      </c>
      <c r="H24" s="0" t="n">
        <f aca="false">-H6*H23/100</f>
        <v>-155.85538727078</v>
      </c>
      <c r="I24" s="0" t="n">
        <f aca="false">-I6*I23/100</f>
        <v>-158.972495016196</v>
      </c>
      <c r="J24" s="0" t="n">
        <f aca="false">-J6*J23/100</f>
        <v>-162.15194491652</v>
      </c>
      <c r="K24" s="0" t="n">
        <f aca="false">-K6*K23/100</f>
        <v>-165.39498381485</v>
      </c>
      <c r="L24" s="0" t="n">
        <f aca="false">-L6*L23/100</f>
        <v>-168.702883491147</v>
      </c>
    </row>
    <row r="26" customFormat="false" ht="15" hidden="false" customHeight="false" outlineLevel="0" collapsed="false">
      <c r="A26" s="2" t="s">
        <v>129</v>
      </c>
    </row>
    <row r="27" customFormat="false" ht="15" hidden="false" customHeight="false" outlineLevel="0" collapsed="false">
      <c r="A27" s="0" t="s">
        <v>107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108</v>
      </c>
      <c r="B28" s="4" t="n">
        <f aca="false">Assumptions!$B$49</f>
        <v>2</v>
      </c>
    </row>
    <row r="29" customFormat="false" ht="15" hidden="false" customHeight="false" outlineLevel="0" collapsed="false">
      <c r="A29" s="0" t="s">
        <v>109</v>
      </c>
      <c r="B29" s="4" t="n">
        <f aca="false">Assumptions!$B$50</f>
        <v>10</v>
      </c>
    </row>
    <row r="30" customFormat="false" ht="15" hidden="false" customHeight="false" outlineLevel="0" collapsed="false">
      <c r="A30" s="0" t="s">
        <v>130</v>
      </c>
      <c r="B30" s="0" t="n">
        <f aca="false">SUM(C21:L21)</f>
        <v>23308.8783640541</v>
      </c>
    </row>
    <row r="31" customFormat="false" ht="15" hidden="false" customHeight="false" outlineLevel="0" collapsed="false">
      <c r="A31" s="0" t="s">
        <v>131</v>
      </c>
      <c r="B31" s="0" t="n">
        <f aca="false">L19</f>
        <v>4673.06325690542</v>
      </c>
    </row>
    <row r="32" customFormat="false" ht="15" hidden="false" customHeight="false" outlineLevel="0" collapsed="false">
      <c r="A32" s="0" t="s">
        <v>132</v>
      </c>
      <c r="B32" s="0" t="n">
        <f aca="false">IF(B27&gt;B28,B31*(1+B28/100)/((B27-B28)/100),B31*B29)</f>
        <v>59581.5565255441</v>
      </c>
    </row>
    <row r="33" customFormat="false" ht="15" hidden="false" customHeight="false" outlineLevel="0" collapsed="false">
      <c r="A33" s="0" t="s">
        <v>133</v>
      </c>
      <c r="B33" s="0" t="n">
        <f aca="false">B31*B29</f>
        <v>46730.6325690542</v>
      </c>
    </row>
    <row r="34" customFormat="false" ht="15" hidden="false" customHeight="false" outlineLevel="0" collapsed="false">
      <c r="A34" s="0" t="s">
        <v>134</v>
      </c>
      <c r="B34" s="0" t="n">
        <f aca="false">MAX(0,MIN(B32,B33))</f>
        <v>46730.6325690542</v>
      </c>
    </row>
    <row r="35" customFormat="false" ht="15" hidden="false" customHeight="false" outlineLevel="0" collapsed="false">
      <c r="A35" s="0" t="s">
        <v>135</v>
      </c>
      <c r="B35" s="0" t="n">
        <f aca="false">B34/(1+B27/100)^L4</f>
        <v>18016.681797796</v>
      </c>
    </row>
    <row r="36" customFormat="false" ht="15" hidden="false" customHeight="false" outlineLevel="0" collapsed="false">
      <c r="A36" s="0" t="s">
        <v>136</v>
      </c>
      <c r="B36" s="0" t="n">
        <f aca="false">B30+B35</f>
        <v>41325.5601618501</v>
      </c>
    </row>
    <row r="37" customFormat="false" ht="15" hidden="false" customHeight="false" outlineLevel="0" collapsed="false">
      <c r="A37" s="0" t="s">
        <v>137</v>
      </c>
      <c r="B37" s="0" t="n">
        <f aca="false">B36+Assumptions!$B$5-Assumptions!$B$4</f>
        <v>43332.5601618501</v>
      </c>
    </row>
    <row r="38" customFormat="false" ht="15" hidden="false" customHeight="false" outlineLevel="0" collapsed="false">
      <c r="A38" s="0" t="s">
        <v>138</v>
      </c>
      <c r="B38" s="0" t="n">
        <f aca="false">B37/Assumptions!$B$3*Assumptions!$B$10</f>
        <v>85.4854215069048</v>
      </c>
    </row>
    <row r="39" customFormat="false" ht="15" hidden="false" customHeight="false" outlineLevel="0" collapsed="false">
      <c r="A39" s="0" t="s">
        <v>139</v>
      </c>
      <c r="B39" s="4" t="n">
        <f aca="false">B38/Assumptions!$B$2-1</f>
        <v>-0.0993950536567126</v>
      </c>
    </row>
    <row r="41" customFormat="false" ht="15" hidden="false" customHeight="false" outlineLevel="0" collapsed="false">
      <c r="A41" s="0" t="s">
        <v>140</v>
      </c>
      <c r="B41" s="0" t="n">
        <f aca="false">SUMPRODUCT(-C10:L10/(1+$B$27/100)^C4:L4)</f>
        <v>353.4789172264</v>
      </c>
    </row>
    <row r="42" customFormat="false" ht="15" hidden="false" customHeight="false" outlineLevel="0" collapsed="false">
      <c r="A42" s="0" t="s">
        <v>141</v>
      </c>
      <c r="B42" s="0" t="n">
        <f aca="false">IF(B27&gt;B28,-L10*(1+B28/100)/((B27-B28)/100),-L10*20)/(1+B27/100)^L4</f>
        <v>331.715549650861</v>
      </c>
    </row>
    <row r="43" customFormat="false" ht="15" hidden="false" customHeight="false" outlineLevel="0" collapsed="false">
      <c r="A43" s="0" t="s">
        <v>142</v>
      </c>
      <c r="B43" s="0" t="n">
        <f aca="false">(B37+B41+B42)/Assumptions!$B$3*Assumptions!$B$10</f>
        <v>86.8371564977852</v>
      </c>
    </row>
    <row r="45" customFormat="false" ht="15" hidden="false" customHeight="false" outlineLevel="0" collapsed="false">
      <c r="A45" s="0" t="s">
        <v>83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143</v>
      </c>
      <c r="B46" s="0" t="n">
        <f aca="false">MAX(0,MIN(IF(B45&gt;B28,B31*(1+B28/100)/((B45-B28)/100),B31*B29),B31*B29))</f>
        <v>36665.5732464887</v>
      </c>
    </row>
    <row r="47" customFormat="false" ht="15" hidden="false" customHeight="false" outlineLevel="0" collapsed="false">
      <c r="A47" s="0" t="s">
        <v>144</v>
      </c>
      <c r="B47" s="0" t="n">
        <f aca="false">(SUMPRODUCT(C19:L19/(1+B45/100)^C4:L4)+B46/(1+B45/100)^L4+Assumptions!$B$5-Assumptions!$B$4)/Assumptions!$B$3*Assumptions!$B$10</f>
        <v>58.5899780337094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2" t="s">
        <v>148</v>
      </c>
      <c r="B3" s="2" t="s">
        <v>149</v>
      </c>
      <c r="C3" s="2" t="s">
        <v>139</v>
      </c>
      <c r="D3" s="2" t="s">
        <v>150</v>
      </c>
      <c r="E3" s="2" t="s">
        <v>142</v>
      </c>
      <c r="F3" s="2" t="s">
        <v>151</v>
      </c>
    </row>
    <row r="4" customFormat="false" ht="15" hidden="false" customHeight="false" outlineLevel="0" collapsed="false">
      <c r="A4" s="0" t="s">
        <v>152</v>
      </c>
      <c r="B4" s="4" t="n">
        <f aca="false">DCF_Bear!$B$38</f>
        <v>30.2269046800405</v>
      </c>
      <c r="C4" s="0" t="n">
        <f aca="false">B4/Assumptions!$B$2-1</f>
        <v>-0.68155389085503</v>
      </c>
      <c r="D4" s="4" t="n">
        <f aca="false">Assumptions!$B$24</f>
        <v>0.25</v>
      </c>
      <c r="E4" s="4" t="n">
        <f aca="false">DCF_Bear!$B$43</f>
        <v>31.0044726897145</v>
      </c>
      <c r="F4" s="4" t="n">
        <f aca="false">DCF_Bear!$B$47</f>
        <v>23.1602136668059</v>
      </c>
    </row>
    <row r="5" customFormat="false" ht="15" hidden="false" customHeight="false" outlineLevel="0" collapsed="false">
      <c r="A5" s="0" t="s">
        <v>153</v>
      </c>
      <c r="B5" s="4" t="n">
        <f aca="false">DCF_Base!$B$38</f>
        <v>51.1718885876251</v>
      </c>
      <c r="C5" s="0" t="n">
        <f aca="false">B5/Assumptions!$B$2-1</f>
        <v>-0.460894557652496</v>
      </c>
      <c r="D5" s="4" t="n">
        <f aca="false">Assumptions!$B$38</f>
        <v>0.5</v>
      </c>
      <c r="E5" s="4" t="n">
        <f aca="false">DCF_Base!$B$43</f>
        <v>52.1821236905666</v>
      </c>
      <c r="F5" s="4" t="n">
        <f aca="false">DCF_Base!$B$47</f>
        <v>36.7306210758245</v>
      </c>
    </row>
    <row r="6" customFormat="false" ht="15" hidden="false" customHeight="false" outlineLevel="0" collapsed="false">
      <c r="A6" s="0" t="s">
        <v>154</v>
      </c>
      <c r="B6" s="4" t="n">
        <f aca="false">DCF_Bull!$B$38</f>
        <v>85.4854215069048</v>
      </c>
      <c r="C6" s="0" t="n">
        <f aca="false">B6/Assumptions!$B$2-1</f>
        <v>-0.0993950536567126</v>
      </c>
      <c r="D6" s="4" t="n">
        <f aca="false">Assumptions!$B$52</f>
        <v>0.25</v>
      </c>
      <c r="E6" s="4" t="n">
        <f aca="false">DCF_Bull!$B$43</f>
        <v>86.8371564977852</v>
      </c>
      <c r="F6" s="4" t="n">
        <f aca="false">DCF_Bull!$B$47</f>
        <v>58.5899780337094</v>
      </c>
    </row>
    <row r="8" customFormat="false" ht="15" hidden="false" customHeight="false" outlineLevel="0" collapsed="false">
      <c r="A8" s="0" t="s">
        <v>155</v>
      </c>
      <c r="B8" s="0" t="n">
        <f aca="false">SUMPRODUCT(B4:B6,D4:D6)</f>
        <v>54.5140258405489</v>
      </c>
    </row>
    <row r="9" customFormat="false" ht="15" hidden="false" customHeight="false" outlineLevel="0" collapsed="false">
      <c r="A9" s="0" t="s">
        <v>156</v>
      </c>
      <c r="B9" s="0" t="n">
        <f aca="false">SUMPRODUCT(E4:E6,D4:D6)</f>
        <v>55.5514691421582</v>
      </c>
    </row>
    <row r="10" customFormat="false" ht="15" hidden="false" customHeight="false" outlineLevel="0" collapsed="false">
      <c r="A10" s="0" t="s">
        <v>157</v>
      </c>
      <c r="B10" s="0" t="n">
        <f aca="false">1-Assumptions!$B$2/B8</f>
        <v>-0.741203269001575</v>
      </c>
    </row>
    <row r="11" customFormat="false" ht="15" hidden="false" customHeight="false" outlineLevel="0" collapsed="false">
      <c r="A11" s="0" t="s">
        <v>158</v>
      </c>
      <c r="B11" s="0" t="n">
        <f aca="false">IF(ABS(B9-B8)&gt;0.01*ABS(B8),(Assumptions!$B$2-B8)/(B9-B8)*100,"n/a")</f>
        <v>3894.76457140072</v>
      </c>
    </row>
    <row r="12" customFormat="false" ht="15" hidden="false" customHeight="false" outlineLevel="0" collapsed="false">
      <c r="A12" s="0" t="s">
        <v>159</v>
      </c>
      <c r="B12" s="0" t="n">
        <f aca="false">SUMPRODUCT(F4:F6,D4:D6)</f>
        <v>38.8028584630411</v>
      </c>
    </row>
    <row r="14" customFormat="false" ht="15" hidden="false" customHeight="false" outlineLevel="0" collapsed="false">
      <c r="A14" s="2" t="s">
        <v>160</v>
      </c>
      <c r="C14" s="0" t="s">
        <v>161</v>
      </c>
    </row>
    <row r="15" customFormat="false" ht="15" hidden="false" customHeight="false" outlineLevel="0" collapsed="false">
      <c r="A15" s="0" t="s">
        <v>162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54.2125692634609</v>
      </c>
      <c r="C15" s="3" t="n">
        <v>9</v>
      </c>
    </row>
    <row r="16" customFormat="false" ht="15" hidden="false" customHeight="false" outlineLevel="0" collapsed="false">
      <c r="A16" s="0" t="s">
        <v>163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51.1718885876251</v>
      </c>
      <c r="C16" s="3" t="n">
        <v>10</v>
      </c>
    </row>
    <row r="17" customFormat="false" ht="15" hidden="false" customHeight="false" outlineLevel="0" collapsed="false">
      <c r="A17" s="0" t="s">
        <v>164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48.3833579732938</v>
      </c>
      <c r="C17" s="3" t="n">
        <v>11</v>
      </c>
    </row>
    <row r="18" customFormat="false" ht="15" hidden="false" customHeight="false" outlineLevel="0" collapsed="false">
      <c r="A18" s="0" t="s">
        <v>165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45.8228217073987</v>
      </c>
      <c r="C18" s="3" t="n">
        <v>12</v>
      </c>
    </row>
    <row r="19" customFormat="false" ht="15" hidden="false" customHeight="false" outlineLevel="0" collapsed="false">
      <c r="A19" s="0" t="s">
        <v>166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36.7306210758245</v>
      </c>
      <c r="C19" s="3" t="n">
        <v>15</v>
      </c>
    </row>
    <row r="21" customFormat="false" ht="15" hidden="false" customHeight="false" outlineLevel="0" collapsed="false">
      <c r="A21" s="2" t="s">
        <v>167</v>
      </c>
    </row>
    <row r="22" customFormat="false" ht="15" hidden="false" customHeight="false" outlineLevel="0" collapsed="false">
      <c r="B22" s="3" t="n">
        <v>1</v>
      </c>
      <c r="C22" s="3" t="n">
        <v>1.5</v>
      </c>
      <c r="D22" s="3" t="n">
        <v>2</v>
      </c>
      <c r="E22" s="3" t="n">
        <v>2.5</v>
      </c>
      <c r="F22" s="3" t="n">
        <v>3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57.5324453759844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57.5324453759844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57.5324453759844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57.5324453759844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57.5324453759844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54.2125692634609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54.2125692634609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54.2125692634609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54.2125692634609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54.2125692634609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51.1718885876251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51.1718885876251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51.1718885876251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51.1718885876251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51.1718885876251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48.3833579732938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48.3833579732938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48.3833579732938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48.3833579732938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48.3833579732938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44.5493880712973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45.3040154112093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45.8228217073987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45.8228217073987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45.8228217073987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2026-10-02T22:21:50Z</dcterms:created>
  <dc:creator>openpyxl</dc:creator>
  <dc:description/>
  <dc:language>en-NZ</dc:language>
  <cp:lastModifiedBy/>
  <dcterms:modified xsi:type="dcterms:W3CDTF">2026-10-02T22:21:50Z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