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<sst xmlns="http://schemas.openxmlformats.org/spreadsheetml/2006/main" count="344" uniqueCount="161">
  <si>
    <t xml:space="preserve">Ticker</t>
  </si>
  <si>
    <t xml:space="preserve">2602.HK</t>
  </si>
  <si>
    <t xml:space="preserve">Company</t>
  </si>
  <si>
    <r>
      <rPr>
        <sz val="11"/>
        <color theme="1"/>
        <rFont val="Calibri"/>
        <family val="2"/>
        <charset val="1"/>
      </rPr>
      <t xml:space="preserve">Onewo Inc. (</t>
    </r>
    <r>
      <rPr>
        <sz val="11"/>
        <color theme="1"/>
        <rFont val="Arial Unicode MS"/>
        <family val="2"/>
      </rPr>
      <t xml:space="preserve">萬物雲</t>
    </r>
    <r>
      <rPr>
        <sz val="11"/>
        <color theme="1"/>
        <rFont val="Calibri"/>
        <family val="2"/>
        <charset val="1"/>
      </rPr>
      <t xml:space="preserve">)</t>
    </r>
  </si>
  <si>
    <t xml:space="preserve">Valuation date</t>
  </si>
  <si>
    <t xml:space="preserve">2026-10-22</t>
  </si>
  <si>
    <t xml:space="preserve">Current price</t>
  </si>
  <si>
    <t xml:space="preserve">Price as of</t>
  </si>
  <si>
    <t xml:space="preserve">2026-10-22T01:45:11Z (HKEX morning session, regular hours)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</si>
  <si>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</si>
  <si>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</si>
  <si>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</si>
  <si>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</si>
  <si>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</si>
  <si>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</si>
  <si>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</si>
  <si>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</si>
  <si>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</si>
  <si>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</si>
  <si>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</si>
  <si>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</si>
  <si>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</si>
  <si>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2026-10-22T02:13:43Z</t>
  </si>
  <si>
    <t xml:space="preserve">Drivers file</t>
  </si>
  <si>
    <t xml:space="preserve">2602.HK_Drivers.json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</si>
  <si>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</si>
  <si>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</si>
  <si>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</si>
  <si>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Onewo as a debt-free, SBC-free fee business whose cash earnings are obscured by non-cash impairments and amortisation: owner FCF (RMB1.4-1.5bn) is roughly double attributable profit (RMB0.69bn FY2025). The valuation is therefore driven by three judgments - how far receivables impairment normalises, whether gross margin has bottomed, and how much of the RMB9.4bn June cash pile and the RMB5bn of non-operating assets (C&amp;W shares, Vanke-sourced parking spaces, JVs) is really surplus. Each is handled explicitly: impairment inside the EBITDA path per scenario, a 12x terminal cap for a structurally slow industry, haircuts on the Vanke-sourced assets and a RMB2.5bn operating float deducted from cash. Vanke counterparty and governance risk is charged once, through the flows and a 30% bear weight, not through the discount rate.
key_risks_to_valuation: Further write-downs of developer receivables (RMB1.5bn net at 50%+ ECL) and of the RMB2.9bn of investment properties taken from Vanke in lieu of cash; Gross margin has fallen from ~17% to ~12% in four years; the base assumes it stabilises near 12%, which the H1 FY2026 decline (13.7% -&gt; 12.7%) does not yet confirm; Capital allocation under a distressed 52% owner: dividends (RMB2.1-2.4bn/yr) exceed FCF and attributable profit, and asset-for-debt swaps convert cash-like receivables into illiquid parking spaces; Change of control: Vanke's entire Onewo stake is pledged to Shenzhen Metro; enforcement would hand control to a state entity with different priorities; Cash-tax rate: ECL provisions and acquired-intangible amortisation are non-deductible; if impairments stay high the effective cash rate stays near 40% on a smaller EBIT; Deferred-fee float: RMB5.0bn of contract liabilities are owner prepayments; a larger operating-cash requirement than the RMB2.5bn assumed would reduce surplus cash one-for-one</t>
  </si>
  <si>
    <t xml:space="preserve">Data sources</t>
  </si>
  <si>
    <t xml:space="preserve">price: Yahoo Finance chart API at inputs.price_as_of (regular session); 52-week range 14.63-23.90 HKD
fx: Yahoo Finance CNYHKD=X, 2026-10-22
financials: research/2602.HK/Reports/2602.HK_Metrics.csv (FY2021-H1 FY2026, RMB m) and the filings in research/2602.HK/Extracted: 2602.HK_Annual_FY2025.txt (income statement line 8110ff, cash flow 8527-8560, D&amp;A note 12525, RoU depreciation 13330, FVOCI note 13731), 2602.HK_HalfYear_H1-2026.txt (segment table 859-885, receivables MD&amp;A 1666-1732, liquidity 1846-1874, balance sheet 3224-3256, cash flow 3511-3550, share capital 4684-4706, related-party note 4764-4830)
qualitative: research/2602.HK/Reports/2602.HK_Analysis.json (2026-10-22)</t>
  </si>
  <si>
    <t xml:space="preserve">Scenario narrative: bear</t>
  </si>
  <si>
    <t xml:space="preserve">The 'Warring States' phase of Chinese property management persists: 10-15 bidders per tender, falling fees per square metre, rising vacancy and a collection rate that has fallen four years running push gross margin toward 11%. Vanke's liquidity does not recover: the remaining RMB0.8bn net related-party and RMB0.7bn non-related developer receivables, plus parking spaces taken in lieu, are progressively written down (impairment 3% of revenue in year 1, still 1.5% in the terminal year) and cash taxes stay high on non-deductible provisions. Growth stalls at 2%; owner FCF margin ~2.5-3%. The business survives (net cash, no debt) but earns a low return; the pledged 52% stake to Shenzhen Metro adds change-of-control uncertainty the DCF cannot price.</t>
  </si>
  <si>
    <t xml:space="preserve">Scenario narrative: base</t>
  </si>
  <si>
    <t xml:space="preserve">Onewo keeps growing the recurring book (residential +6-7%, facility management +8-9%) while it prunes developer-linked and loss-making projects, so group revenue compounds at 5% fading to 2.5%. Gross margin settles around 12% and the AI/hybrid-staffing programme holds the admin ratio, leaving pre-impairment EBITDA near 8%. Receivables impairment, the swing line, falls from 3.1% of revenue (TTM, with the H2 FY2025 RMB0.9bn related-party charge) to ~1% by year 4 as the developer book (now ~5% of revenue) is run off and Vanke's cash flow is bridged by Shenzhen Metro. Cash taxes stay above 25% because ECL provisions and acquired-intangible amortisation are not deductible. The company remains debt-free; the 15x-plus Gordon value is capped at 12x terminal FCF for a structurally price-competitive industry.</t>
  </si>
  <si>
    <t xml:space="preserve">Scenario narrative: bull</t>
  </si>
  <si>
    <t xml:space="preserve">Industry consolidation (management expects providers to fall from the 100,000s to the 10,000s) plays to Onewo's 70% residential win rate; 'Onewo Town' density and the Lingshi/GC AI platform lift pre-impairment EBITDA to 9.5%; home-related asset services (repair +45-67%) and energy management add a growth leg; developer receivables are worked out with limited further loss as Vanke stabilises. Revenue grows 7% fading to 3%, impairment settles below 1% of revenue, and the business converts ~5% of revenue to owner FCF.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</si>
  <si>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</si>
  <si>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</si>
  <si>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</si>
  <si>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</si>
  <si>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</si>
  <si>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</si>
  <si>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</si>
  <si>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</si>
  <si>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</si>
  <si>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</si>
  <si>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</si>
  <si>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</si>
  <si>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</si>
  <si>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</si>
  <si>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</si>
  <si>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</si>
  <si>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</si>
  <si>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</si>
  <si>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</si>
  <si>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</si>
  <si>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</si>
  <si>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</si>
  <si>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</si>
  <si>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</si>
  <si>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</si>
  <si>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</si>
  <si>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</si>
  <si>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</si>
  <si>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</si>
  <si>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</si>
  <si>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</si>
  <si>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</si>
  <si>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</si>
  <si>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</si>
  <si>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</si>
  <si>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</si>
  <si>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</si>
  <si>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</si>
  <si>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</si>
  <si>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</si>
  <si>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</si>
  <si>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TTM Jun-2026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</si>
  <si>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</si>
  <si>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</si>
  <si>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</si>
  <si>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</si>
  <si>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TTM Jun-2027</t>
  </si>
  <si>
    <t xml:space="preserve">TTM Jun-2028</t>
  </si>
  <si>
    <t xml:space="preserve">TTM Jun-2029</t>
  </si>
  <si>
    <t xml:space="preserve">TTM Jun-2030</t>
  </si>
  <si>
    <t xml:space="preserve">TTM Jun-2031</t>
  </si>
  <si>
    <t xml:space="preserve">TTM Jun-2032</t>
  </si>
  <si>
    <t xml:space="preserve">TTM Jun-2033</t>
  </si>
  <si>
    <t xml:space="preserve">TTM Jun-2034</t>
  </si>
  <si>
    <t xml:space="preserve">TTM Jun-2035</t>
  </si>
  <si>
    <t xml:space="preserve">TTM Jun-2036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</si>
  <si>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</si>
  <si>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</si>
  <si>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</si>
  <si>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</si>
  <si>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</si>
  <si>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</si>
  <si>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</si>
  <si>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</si>
  <si>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</si>
  <si>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</si>
  <si>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</si>
  <si>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</si>
  <si>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</si>
  <si>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</si>
  <si>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2602.HK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</si>
  <si>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</si>
  <si>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</si>
  <si>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</si>
  <si>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</si>
  <si>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</si>
  <si>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</si>
  <si>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</si>
  <si>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</si>
  <si>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</si>
  <si>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</si>
  <si>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</si>
  <si>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</si>
  <si>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</si>
  <si>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</si>
  <si>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</si>
  <si>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</si>
  <si>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</si>
  <si>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</si>
  <si>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</si>
  <si>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</si>
  <si>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</si>
  <si>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</si>
  <si>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</si>
  <si>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</si>
  <si>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</si>
  <si>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</si>
  <si>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</si>
  <si>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</si>
  <si>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</si>
  <si>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</si>
  <si>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2602.HK owner-FCF component DCF: base case (millions, CNY)</t>
  </si>
  <si>
    <t xml:space="preserve">2602.HK owner-FCF component DCF: bull case (millions, CNY)</t>
  </si>
  <si>
    <t xml:space="preserve">2602.HK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</si>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</sst>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 Unicode MS"/>
      <family val="2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6.4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19.22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46.2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</row>
    <row r="2" customFormat="false" ht="15" hidden="false" customHeight="false" outlineLevel="0" collapsed="false">
      <c r="A2" s="0" t="s">
        <v>64</v>
      </c>
      <c r="B2" s="0" t="n">
        <v>23704.539</v>
      </c>
      <c r="C2" s="0" t="n">
        <v>19684.527</v>
      </c>
      <c r="D2" s="0" t="n">
        <v>4020.012</v>
      </c>
      <c r="E2" s="0" t="n">
        <v>17</v>
      </c>
      <c r="I2" s="0" t="n">
        <v>1667.642</v>
      </c>
      <c r="J2" s="0" t="n">
        <v>7</v>
      </c>
      <c r="K2" s="0" t="n">
        <v>1.65</v>
      </c>
      <c r="L2" s="0" t="n">
        <v>2833.611</v>
      </c>
      <c r="M2" s="0" t="n">
        <v>274.946</v>
      </c>
      <c r="N2" s="0" t="n">
        <v>2558.665</v>
      </c>
      <c r="O2" s="0" t="n">
        <v>9893.445</v>
      </c>
      <c r="P2" s="0" t="n">
        <v>28724.266</v>
      </c>
      <c r="Q2" s="0" t="n">
        <v>18411.688</v>
      </c>
      <c r="R2" s="0" t="n">
        <v>15.587</v>
      </c>
      <c r="S2" s="0" t="n">
        <v>6430.557</v>
      </c>
      <c r="T2" s="0" t="n">
        <v>1013.261</v>
      </c>
      <c r="AA2" s="0" t="s">
        <v>18</v>
      </c>
      <c r="AB2" s="0" t="s">
        <v>14</v>
      </c>
    </row>
    <row r="3" customFormat="false" ht="15" hidden="false" customHeight="false" outlineLevel="0" collapsed="false">
      <c r="A3" s="0" t="s">
        <v>65</v>
      </c>
      <c r="B3" s="0" t="n">
        <v>30105.803</v>
      </c>
      <c r="C3" s="0" t="n">
        <v>25875.053</v>
      </c>
      <c r="D3" s="0" t="n">
        <v>4230.75</v>
      </c>
      <c r="E3" s="0" t="n">
        <v>14.1</v>
      </c>
      <c r="I3" s="0" t="n">
        <v>1510.49</v>
      </c>
      <c r="J3" s="0" t="n">
        <v>5</v>
      </c>
      <c r="K3" s="0" t="n">
        <v>1.4</v>
      </c>
      <c r="L3" s="0" t="n">
        <v>2756.315</v>
      </c>
      <c r="M3" s="0" t="n">
        <v>458.594</v>
      </c>
      <c r="N3" s="0" t="n">
        <v>2297.721</v>
      </c>
      <c r="O3" s="0" t="n">
        <v>16459.709</v>
      </c>
      <c r="P3" s="0" t="n">
        <v>36909.822</v>
      </c>
      <c r="Q3" s="0" t="n">
        <v>19908.84</v>
      </c>
      <c r="R3" s="0" t="n">
        <v>0</v>
      </c>
      <c r="S3" s="0" t="n">
        <v>13345.063</v>
      </c>
      <c r="T3" s="0" t="n">
        <v>1082.208</v>
      </c>
      <c r="AA3" s="0" t="s">
        <v>18</v>
      </c>
      <c r="AB3" s="0" t="s">
        <v>14</v>
      </c>
    </row>
    <row r="4" customFormat="false" ht="15" hidden="false" customHeight="false" outlineLevel="0" collapsed="false">
      <c r="A4" s="0" t="s">
        <v>66</v>
      </c>
      <c r="B4" s="0" t="n">
        <v>33183.458</v>
      </c>
      <c r="C4" s="0" t="n">
        <v>28371.691</v>
      </c>
      <c r="D4" s="0" t="n">
        <v>4811.767</v>
      </c>
      <c r="E4" s="0" t="n">
        <v>14.5</v>
      </c>
      <c r="I4" s="0" t="n">
        <v>1954.696</v>
      </c>
      <c r="J4" s="0" t="n">
        <v>5.9</v>
      </c>
      <c r="K4" s="0" t="n">
        <v>1.66</v>
      </c>
      <c r="L4" s="0" t="n">
        <v>2586.23</v>
      </c>
      <c r="M4" s="0" t="n">
        <v>364.981</v>
      </c>
      <c r="N4" s="0" t="n">
        <v>2221.249</v>
      </c>
      <c r="O4" s="0" t="n">
        <v>17605.426</v>
      </c>
      <c r="P4" s="0" t="n">
        <v>39383.117</v>
      </c>
      <c r="Q4" s="0" t="n">
        <v>21162.876</v>
      </c>
      <c r="R4" s="0" t="n">
        <v>0</v>
      </c>
      <c r="S4" s="0" t="n">
        <v>15572.483</v>
      </c>
      <c r="T4" s="0" t="n">
        <v>1178.394</v>
      </c>
      <c r="AA4" s="0" t="s">
        <v>18</v>
      </c>
      <c r="AB4" s="0" t="s">
        <v>14</v>
      </c>
    </row>
    <row r="5" customFormat="false" ht="15" hidden="false" customHeight="false" outlineLevel="0" collapsed="false">
      <c r="A5" s="0" t="s">
        <v>67</v>
      </c>
      <c r="B5" s="0" t="n">
        <v>36223.828</v>
      </c>
      <c r="C5" s="0" t="n">
        <v>31526.949</v>
      </c>
      <c r="D5" s="0" t="n">
        <v>4696.879</v>
      </c>
      <c r="E5" s="0" t="n">
        <v>13</v>
      </c>
      <c r="I5" s="0" t="n">
        <v>1149.578</v>
      </c>
      <c r="J5" s="0" t="n">
        <v>3.2</v>
      </c>
      <c r="K5" s="0" t="n">
        <v>0.98</v>
      </c>
      <c r="L5" s="0" t="n">
        <v>1918.766</v>
      </c>
      <c r="M5" s="0" t="n">
        <v>255.227</v>
      </c>
      <c r="N5" s="0" t="n">
        <v>1663.539</v>
      </c>
      <c r="O5" s="0" t="n">
        <v>16422.604</v>
      </c>
      <c r="P5" s="0" t="n">
        <v>38608.225</v>
      </c>
      <c r="Q5" s="0" t="n">
        <v>21448.474</v>
      </c>
      <c r="R5" s="0" t="n">
        <v>0</v>
      </c>
      <c r="S5" s="0" t="n">
        <v>13434.778</v>
      </c>
      <c r="T5" s="0" t="n">
        <v>1173.848</v>
      </c>
      <c r="AA5" s="0" t="s">
        <v>18</v>
      </c>
      <c r="AB5" s="0" t="s">
        <v>14</v>
      </c>
    </row>
    <row r="6" customFormat="false" ht="15" hidden="false" customHeight="false" outlineLevel="0" collapsed="false">
      <c r="A6" s="0" t="s">
        <v>68</v>
      </c>
      <c r="B6" s="0" t="n">
        <v>37271.86</v>
      </c>
      <c r="C6" s="0" t="n">
        <v>32712.291</v>
      </c>
      <c r="D6" s="0" t="n">
        <v>4559.569</v>
      </c>
      <c r="E6" s="0" t="n">
        <v>12.2</v>
      </c>
      <c r="I6" s="0" t="n">
        <v>694.559</v>
      </c>
      <c r="J6" s="0" t="n">
        <v>1.9</v>
      </c>
      <c r="K6" s="0" t="n">
        <v>0.6</v>
      </c>
      <c r="L6" s="0" t="n">
        <v>1689.796</v>
      </c>
      <c r="M6" s="0" t="n">
        <v>155.941</v>
      </c>
      <c r="N6" s="0" t="n">
        <v>1533.855</v>
      </c>
      <c r="O6" s="0" t="n">
        <v>14598.427</v>
      </c>
      <c r="P6" s="0" t="n">
        <v>37040.297</v>
      </c>
      <c r="Q6" s="0" t="n">
        <v>21609.074</v>
      </c>
      <c r="R6" s="0" t="n">
        <v>0</v>
      </c>
      <c r="S6" s="0" t="n">
        <v>11084.838</v>
      </c>
      <c r="T6" s="0" t="n">
        <v>1156.513</v>
      </c>
      <c r="AA6" s="0" t="s">
        <v>18</v>
      </c>
      <c r="AB6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69</v>
      </c>
      <c r="B1" s="2" t="s">
        <v>70</v>
      </c>
    </row>
    <row r="2" customFormat="false" ht="15" hidden="false" customHeight="false" outlineLevel="0" collapsed="false">
      <c r="A2" s="0" t="s">
        <v>71</v>
      </c>
      <c r="B2" s="3" t="n">
        <v>19.22</v>
      </c>
    </row>
    <row r="3" customFormat="false" ht="15" hidden="false" customHeight="false" outlineLevel="0" collapsed="false">
      <c r="A3" s="0" t="s">
        <v>72</v>
      </c>
      <c r="B3" s="3" t="n">
        <v>1137.28</v>
      </c>
    </row>
    <row r="4" customFormat="false" ht="15" hidden="false" customHeight="false" outlineLevel="0" collapsed="false">
      <c r="A4" s="0" t="s">
        <v>73</v>
      </c>
      <c r="B4" s="3" t="n">
        <v>-9368.8</v>
      </c>
    </row>
    <row r="5" customFormat="false" ht="15" hidden="false" customHeight="false" outlineLevel="0" collapsed="false">
      <c r="A5" s="0" t="s">
        <v>74</v>
      </c>
      <c r="B5" s="3" t="n">
        <v>-53.0999999999999</v>
      </c>
    </row>
    <row r="6" customFormat="false" ht="15" hidden="false" customHeight="false" outlineLevel="0" collapsed="false">
      <c r="A6" s="0" t="s">
        <v>75</v>
      </c>
      <c r="B6" s="3" t="n">
        <v>15</v>
      </c>
    </row>
    <row r="7" customFormat="false" ht="15" hidden="false" customHeight="false" outlineLevel="0" collapsed="false">
      <c r="A7" s="0" t="s">
        <v>76</v>
      </c>
      <c r="B7" s="3" t="n">
        <v>38246.8</v>
      </c>
    </row>
    <row r="8" customFormat="false" ht="15" hidden="false" customHeight="false" outlineLevel="0" collapsed="false">
      <c r="A8" s="0" t="s">
        <v>77</v>
      </c>
      <c r="B8" s="3" t="s">
        <v>78</v>
      </c>
    </row>
    <row r="9" customFormat="false" ht="15" hidden="false" customHeight="false" outlineLevel="0" collapsed="false">
      <c r="A9" s="0" t="s">
        <v>79</v>
      </c>
      <c r="B9" s="3" t="s">
        <v>80</v>
      </c>
    </row>
    <row r="10" customFormat="false" ht="15" hidden="false" customHeight="false" outlineLevel="0" collapsed="false">
      <c r="A10" s="0" t="s">
        <v>81</v>
      </c>
      <c r="B10" s="3" t="n">
        <v>1.1749</v>
      </c>
    </row>
    <row r="12" customFormat="false" ht="15" hidden="false" customHeight="false" outlineLevel="0" collapsed="false">
      <c r="A12" s="2" t="s">
        <v>82</v>
      </c>
      <c r="C12" s="2" t="s">
        <v>83</v>
      </c>
      <c r="D12" s="2" t="s">
        <v>84</v>
      </c>
      <c r="E12" s="2" t="s">
        <v>85</v>
      </c>
      <c r="F12" s="2" t="s">
        <v>86</v>
      </c>
      <c r="G12" s="2" t="s">
        <v>87</v>
      </c>
      <c r="H12" s="2" t="s">
        <v>88</v>
      </c>
      <c r="I12" s="2" t="s">
        <v>89</v>
      </c>
      <c r="J12" s="2" t="s">
        <v>90</v>
      </c>
      <c r="K12" s="2" t="s">
        <v>91</v>
      </c>
      <c r="L12" s="2" t="s">
        <v>92</v>
      </c>
    </row>
    <row r="13" customFormat="false" ht="15" hidden="false" customHeight="false" outlineLevel="0" collapsed="false">
      <c r="A13" s="0" t="s">
        <v>93</v>
      </c>
      <c r="C13" s="3" t="n">
        <v>3</v>
      </c>
      <c r="D13" s="3" t="n">
        <v>2</v>
      </c>
      <c r="E13" s="3" t="n">
        <v>2</v>
      </c>
      <c r="F13" s="3" t="n">
        <v>2</v>
      </c>
      <c r="G13" s="3" t="n">
        <v>2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94</v>
      </c>
      <c r="C14" s="3" t="n">
        <v>4.8</v>
      </c>
      <c r="D14" s="3" t="n">
        <v>5</v>
      </c>
      <c r="E14" s="3" t="n">
        <v>5.2</v>
      </c>
      <c r="F14" s="3" t="n">
        <v>5.5</v>
      </c>
      <c r="G14" s="3" t="n">
        <v>5.5</v>
      </c>
      <c r="H14" s="3" t="n">
        <v>5.5</v>
      </c>
      <c r="I14" s="3" t="n">
        <v>5.5</v>
      </c>
      <c r="J14" s="3" t="n">
        <v>5.5</v>
      </c>
      <c r="K14" s="3" t="n">
        <v>5.5</v>
      </c>
      <c r="L14" s="3" t="n">
        <v>5.5</v>
      </c>
    </row>
    <row r="15" customFormat="false" ht="15" hidden="false" customHeight="false" outlineLevel="0" collapsed="false">
      <c r="A15" s="0" t="s">
        <v>95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96</v>
      </c>
      <c r="C16" s="3" t="n">
        <v>0.35</v>
      </c>
      <c r="D16" s="3" t="n">
        <v>0.35</v>
      </c>
      <c r="E16" s="3" t="n">
        <v>0.35</v>
      </c>
      <c r="F16" s="3" t="n">
        <v>0.35</v>
      </c>
      <c r="G16" s="3" t="n">
        <v>0.35</v>
      </c>
      <c r="H16" s="3" t="n">
        <v>0.35</v>
      </c>
      <c r="I16" s="3" t="n">
        <v>0.35</v>
      </c>
      <c r="J16" s="3" t="n">
        <v>0.35</v>
      </c>
      <c r="K16" s="3" t="n">
        <v>0.35</v>
      </c>
      <c r="L16" s="3" t="n">
        <v>0.35</v>
      </c>
    </row>
    <row r="17" customFormat="false" ht="15" hidden="false" customHeight="false" outlineLevel="0" collapsed="false">
      <c r="A17" s="0" t="s">
        <v>97</v>
      </c>
      <c r="C17" s="3" t="n">
        <v>2.4</v>
      </c>
      <c r="D17" s="3" t="n">
        <v>2.3</v>
      </c>
      <c r="E17" s="3" t="n">
        <v>2.2</v>
      </c>
      <c r="F17" s="3" t="n">
        <v>2.1</v>
      </c>
      <c r="G17" s="3" t="n">
        <v>2</v>
      </c>
      <c r="H17" s="3" t="n">
        <v>2</v>
      </c>
      <c r="I17" s="3" t="n">
        <v>1.9</v>
      </c>
      <c r="J17" s="3" t="n">
        <v>1.9</v>
      </c>
      <c r="K17" s="3" t="n">
        <v>1.8</v>
      </c>
      <c r="L17" s="3" t="n">
        <v>1.8</v>
      </c>
    </row>
    <row r="18" customFormat="false" ht="15" hidden="false" customHeight="false" outlineLevel="0" collapsed="false">
      <c r="A18" s="0" t="s">
        <v>98</v>
      </c>
      <c r="C18" s="3" t="n">
        <v>0.6</v>
      </c>
      <c r="D18" s="3" t="n">
        <v>0.6</v>
      </c>
      <c r="E18" s="3" t="n">
        <v>0.6</v>
      </c>
      <c r="F18" s="3" t="n">
        <v>0.7</v>
      </c>
      <c r="G18" s="3" t="n">
        <v>0.7</v>
      </c>
      <c r="H18" s="3" t="n">
        <v>0.7</v>
      </c>
      <c r="I18" s="3" t="n">
        <v>0.7</v>
      </c>
      <c r="J18" s="3" t="n">
        <v>0.7</v>
      </c>
      <c r="K18" s="3" t="n">
        <v>0.7</v>
      </c>
      <c r="L18" s="3" t="n">
        <v>0.7</v>
      </c>
    </row>
    <row r="19" customFormat="false" ht="15" hidden="false" customHeight="false" outlineLevel="0" collapsed="false">
      <c r="A19" s="0" t="s">
        <v>99</v>
      </c>
      <c r="C19" s="3" t="n">
        <v>38</v>
      </c>
      <c r="D19" s="3" t="n">
        <v>37</v>
      </c>
      <c r="E19" s="3" t="n">
        <v>36</v>
      </c>
      <c r="F19" s="3" t="n">
        <v>35</v>
      </c>
      <c r="G19" s="3" t="n">
        <v>34</v>
      </c>
      <c r="H19" s="3" t="n">
        <v>33</v>
      </c>
      <c r="I19" s="3" t="n">
        <v>32</v>
      </c>
      <c r="J19" s="3" t="n">
        <v>32</v>
      </c>
      <c r="K19" s="3" t="n">
        <v>32</v>
      </c>
      <c r="L19" s="3" t="n">
        <v>32</v>
      </c>
    </row>
    <row r="20" customFormat="false" ht="15" hidden="false" customHeight="false" outlineLevel="0" collapsed="false">
      <c r="A20" s="0" t="s">
        <v>100</v>
      </c>
      <c r="B20" s="3" t="n">
        <v>9</v>
      </c>
    </row>
    <row r="21" customFormat="false" ht="15" hidden="false" customHeight="false" outlineLevel="0" collapsed="false">
      <c r="A21" s="0" t="s">
        <v>101</v>
      </c>
      <c r="B21" s="3" t="n">
        <v>2</v>
      </c>
    </row>
    <row r="22" customFormat="false" ht="15" hidden="false" customHeight="false" outlineLevel="0" collapsed="false">
      <c r="A22" s="0" t="s">
        <v>102</v>
      </c>
      <c r="B22" s="3" t="n">
        <v>12</v>
      </c>
    </row>
    <row r="23" customFormat="false" ht="15" hidden="false" customHeight="false" outlineLevel="0" collapsed="false">
      <c r="A23" s="0" t="s">
        <v>103</v>
      </c>
      <c r="B23" s="3" t="n">
        <v>-15</v>
      </c>
    </row>
    <row r="24" customFormat="false" ht="15" hidden="false" customHeight="false" outlineLevel="0" collapsed="false">
      <c r="A24" s="0" t="s">
        <v>104</v>
      </c>
      <c r="B24" s="3" t="n">
        <v>0.3</v>
      </c>
    </row>
    <row r="26" customFormat="false" ht="15" hidden="false" customHeight="false" outlineLevel="0" collapsed="false">
      <c r="A26" s="2" t="s">
        <v>105</v>
      </c>
      <c r="C26" s="2" t="s">
        <v>83</v>
      </c>
      <c r="D26" s="2" t="s">
        <v>84</v>
      </c>
      <c r="E26" s="2" t="s">
        <v>85</v>
      </c>
      <c r="F26" s="2" t="s">
        <v>86</v>
      </c>
      <c r="G26" s="2" t="s">
        <v>87</v>
      </c>
      <c r="H26" s="2" t="s">
        <v>88</v>
      </c>
      <c r="I26" s="2" t="s">
        <v>89</v>
      </c>
      <c r="J26" s="2" t="s">
        <v>90</v>
      </c>
      <c r="K26" s="2" t="s">
        <v>91</v>
      </c>
      <c r="L26" s="2" t="s">
        <v>92</v>
      </c>
    </row>
    <row r="27" customFormat="false" ht="15" hidden="false" customHeight="false" outlineLevel="0" collapsed="false">
      <c r="A27" s="0" t="s">
        <v>93</v>
      </c>
      <c r="C27" s="3" t="n">
        <v>5</v>
      </c>
      <c r="D27" s="3" t="n">
        <v>4.5</v>
      </c>
      <c r="E27" s="3" t="n">
        <v>4</v>
      </c>
      <c r="F27" s="3" t="n">
        <v>4</v>
      </c>
      <c r="G27" s="3" t="n">
        <v>3.5</v>
      </c>
      <c r="H27" s="3" t="n">
        <v>3.5</v>
      </c>
      <c r="I27" s="3" t="n">
        <v>3</v>
      </c>
      <c r="J27" s="3" t="n">
        <v>3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94</v>
      </c>
      <c r="C28" s="3" t="n">
        <v>6.2</v>
      </c>
      <c r="D28" s="3" t="n">
        <v>6.6</v>
      </c>
      <c r="E28" s="3" t="n">
        <v>6.8</v>
      </c>
      <c r="F28" s="3" t="n">
        <v>7</v>
      </c>
      <c r="G28" s="3" t="n">
        <v>7</v>
      </c>
      <c r="H28" s="3" t="n">
        <v>7</v>
      </c>
      <c r="I28" s="3" t="n">
        <v>7</v>
      </c>
      <c r="J28" s="3" t="n">
        <v>7</v>
      </c>
      <c r="K28" s="3" t="n">
        <v>7</v>
      </c>
      <c r="L28" s="3" t="n">
        <v>7</v>
      </c>
    </row>
    <row r="29" customFormat="false" ht="15" hidden="false" customHeight="false" outlineLevel="0" collapsed="false">
      <c r="A29" s="0" t="s">
        <v>95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96</v>
      </c>
      <c r="C30" s="3" t="n">
        <v>0.35</v>
      </c>
      <c r="D30" s="3" t="n">
        <v>0.35</v>
      </c>
      <c r="E30" s="3" t="n">
        <v>0.35</v>
      </c>
      <c r="F30" s="3" t="n">
        <v>0.35</v>
      </c>
      <c r="G30" s="3" t="n">
        <v>0.35</v>
      </c>
      <c r="H30" s="3" t="n">
        <v>0.35</v>
      </c>
      <c r="I30" s="3" t="n">
        <v>0.35</v>
      </c>
      <c r="J30" s="3" t="n">
        <v>0.35</v>
      </c>
      <c r="K30" s="3" t="n">
        <v>0.35</v>
      </c>
      <c r="L30" s="3" t="n">
        <v>0.35</v>
      </c>
    </row>
    <row r="31" customFormat="false" ht="15" hidden="false" customHeight="false" outlineLevel="0" collapsed="false">
      <c r="A31" s="0" t="s">
        <v>97</v>
      </c>
      <c r="C31" s="3" t="n">
        <v>2.4</v>
      </c>
      <c r="D31" s="3" t="n">
        <v>2.3</v>
      </c>
      <c r="E31" s="3" t="n">
        <v>2.2</v>
      </c>
      <c r="F31" s="3" t="n">
        <v>2.1</v>
      </c>
      <c r="G31" s="3" t="n">
        <v>2</v>
      </c>
      <c r="H31" s="3" t="n">
        <v>2</v>
      </c>
      <c r="I31" s="3" t="n">
        <v>1.9</v>
      </c>
      <c r="J31" s="3" t="n">
        <v>1.9</v>
      </c>
      <c r="K31" s="3" t="n">
        <v>1.8</v>
      </c>
      <c r="L31" s="3" t="n">
        <v>1.8</v>
      </c>
    </row>
    <row r="32" customFormat="false" ht="15" hidden="false" customHeight="false" outlineLevel="0" collapsed="false">
      <c r="A32" s="0" t="s">
        <v>98</v>
      </c>
      <c r="C32" s="3" t="n">
        <v>0.5</v>
      </c>
      <c r="D32" s="3" t="n">
        <v>0.5</v>
      </c>
      <c r="E32" s="3" t="n">
        <v>0.6</v>
      </c>
      <c r="F32" s="3" t="n">
        <v>0.6</v>
      </c>
      <c r="G32" s="3" t="n">
        <v>0.6</v>
      </c>
      <c r="H32" s="3" t="n">
        <v>0.7</v>
      </c>
      <c r="I32" s="3" t="n">
        <v>0.7</v>
      </c>
      <c r="J32" s="3" t="n">
        <v>0.7</v>
      </c>
      <c r="K32" s="3" t="n">
        <v>0.7</v>
      </c>
      <c r="L32" s="3" t="n">
        <v>0.7</v>
      </c>
    </row>
    <row r="33" customFormat="false" ht="15" hidden="false" customHeight="false" outlineLevel="0" collapsed="false">
      <c r="A33" s="0" t="s">
        <v>99</v>
      </c>
      <c r="C33" s="3" t="n">
        <v>34</v>
      </c>
      <c r="D33" s="3" t="n">
        <v>33</v>
      </c>
      <c r="E33" s="3" t="n">
        <v>32</v>
      </c>
      <c r="F33" s="3" t="n">
        <v>31</v>
      </c>
      <c r="G33" s="3" t="n">
        <v>30</v>
      </c>
      <c r="H33" s="3" t="n">
        <v>30</v>
      </c>
      <c r="I33" s="3" t="n">
        <v>30</v>
      </c>
      <c r="J33" s="3" t="n">
        <v>30</v>
      </c>
      <c r="K33" s="3" t="n">
        <v>30</v>
      </c>
      <c r="L33" s="3" t="n">
        <v>30</v>
      </c>
    </row>
    <row r="34" customFormat="false" ht="15" hidden="false" customHeight="false" outlineLevel="0" collapsed="false">
      <c r="A34" s="0" t="s">
        <v>100</v>
      </c>
      <c r="B34" s="3" t="n">
        <v>9</v>
      </c>
    </row>
    <row r="35" customFormat="false" ht="15" hidden="false" customHeight="false" outlineLevel="0" collapsed="false">
      <c r="A35" s="0" t="s">
        <v>101</v>
      </c>
      <c r="B35" s="3" t="n">
        <v>2.5</v>
      </c>
    </row>
    <row r="36" customFormat="false" ht="15" hidden="false" customHeight="false" outlineLevel="0" collapsed="false">
      <c r="A36" s="0" t="s">
        <v>102</v>
      </c>
      <c r="B36" s="3" t="n">
        <v>12</v>
      </c>
    </row>
    <row r="37" customFormat="false" ht="15" hidden="false" customHeight="false" outlineLevel="0" collapsed="false">
      <c r="A37" s="0" t="s">
        <v>103</v>
      </c>
      <c r="B37" s="3" t="n">
        <v>-5</v>
      </c>
    </row>
    <row r="38" customFormat="false" ht="15" hidden="false" customHeight="false" outlineLevel="0" collapsed="false">
      <c r="A38" s="0" t="s">
        <v>104</v>
      </c>
      <c r="B38" s="3" t="n">
        <v>0.5</v>
      </c>
    </row>
    <row r="40" customFormat="false" ht="15" hidden="false" customHeight="false" outlineLevel="0" collapsed="false">
      <c r="A40" s="2" t="s">
        <v>106</v>
      </c>
      <c r="C40" s="2" t="s">
        <v>83</v>
      </c>
      <c r="D40" s="2" t="s">
        <v>84</v>
      </c>
      <c r="E40" s="2" t="s">
        <v>85</v>
      </c>
      <c r="F40" s="2" t="s">
        <v>86</v>
      </c>
      <c r="G40" s="2" t="s">
        <v>87</v>
      </c>
      <c r="H40" s="2" t="s">
        <v>88</v>
      </c>
      <c r="I40" s="2" t="s">
        <v>89</v>
      </c>
      <c r="J40" s="2" t="s">
        <v>90</v>
      </c>
      <c r="K40" s="2" t="s">
        <v>91</v>
      </c>
      <c r="L40" s="2" t="s">
        <v>92</v>
      </c>
    </row>
    <row r="41" customFormat="false" ht="15" hidden="false" customHeight="false" outlineLevel="0" collapsed="false">
      <c r="A41" s="0" t="s">
        <v>93</v>
      </c>
      <c r="C41" s="3" t="n">
        <v>7</v>
      </c>
      <c r="D41" s="3" t="n">
        <v>7</v>
      </c>
      <c r="E41" s="3" t="n">
        <v>6</v>
      </c>
      <c r="F41" s="3" t="n">
        <v>6</v>
      </c>
      <c r="G41" s="3" t="n">
        <v>5</v>
      </c>
      <c r="H41" s="3" t="n">
        <v>5</v>
      </c>
      <c r="I41" s="3" t="n">
        <v>4</v>
      </c>
      <c r="J41" s="3" t="n">
        <v>4</v>
      </c>
      <c r="K41" s="3" t="n">
        <v>3.5</v>
      </c>
      <c r="L41" s="3" t="n">
        <v>3</v>
      </c>
    </row>
    <row r="42" customFormat="false" ht="15" hidden="false" customHeight="false" outlineLevel="0" collapsed="false">
      <c r="A42" s="0" t="s">
        <v>94</v>
      </c>
      <c r="C42" s="3" t="n">
        <v>7</v>
      </c>
      <c r="D42" s="3" t="n">
        <v>7.8</v>
      </c>
      <c r="E42" s="3" t="n">
        <v>8.3</v>
      </c>
      <c r="F42" s="3" t="n">
        <v>8.5</v>
      </c>
      <c r="G42" s="3" t="n">
        <v>8.7</v>
      </c>
      <c r="H42" s="3" t="n">
        <v>8.7</v>
      </c>
      <c r="I42" s="3" t="n">
        <v>8.7</v>
      </c>
      <c r="J42" s="3" t="n">
        <v>8.7</v>
      </c>
      <c r="K42" s="3" t="n">
        <v>8.7</v>
      </c>
      <c r="L42" s="3" t="n">
        <v>8.7</v>
      </c>
    </row>
    <row r="43" customFormat="false" ht="15" hidden="false" customHeight="false" outlineLevel="0" collapsed="false">
      <c r="A43" s="0" t="s">
        <v>95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96</v>
      </c>
      <c r="C44" s="3" t="n">
        <v>0.35</v>
      </c>
      <c r="D44" s="3" t="n">
        <v>0.35</v>
      </c>
      <c r="E44" s="3" t="n">
        <v>0.35</v>
      </c>
      <c r="F44" s="3" t="n">
        <v>0.35</v>
      </c>
      <c r="G44" s="3" t="n">
        <v>0.35</v>
      </c>
      <c r="H44" s="3" t="n">
        <v>0.35</v>
      </c>
      <c r="I44" s="3" t="n">
        <v>0.35</v>
      </c>
      <c r="J44" s="3" t="n">
        <v>0.35</v>
      </c>
      <c r="K44" s="3" t="n">
        <v>0.35</v>
      </c>
      <c r="L44" s="3" t="n">
        <v>0.35</v>
      </c>
    </row>
    <row r="45" customFormat="false" ht="15" hidden="false" customHeight="false" outlineLevel="0" collapsed="false">
      <c r="A45" s="0" t="s">
        <v>97</v>
      </c>
      <c r="C45" s="3" t="n">
        <v>2.4</v>
      </c>
      <c r="D45" s="3" t="n">
        <v>2.3</v>
      </c>
      <c r="E45" s="3" t="n">
        <v>2.2</v>
      </c>
      <c r="F45" s="3" t="n">
        <v>2.1</v>
      </c>
      <c r="G45" s="3" t="n">
        <v>2</v>
      </c>
      <c r="H45" s="3" t="n">
        <v>2</v>
      </c>
      <c r="I45" s="3" t="n">
        <v>1.9</v>
      </c>
      <c r="J45" s="3" t="n">
        <v>1.9</v>
      </c>
      <c r="K45" s="3" t="n">
        <v>1.8</v>
      </c>
      <c r="L45" s="3" t="n">
        <v>1.8</v>
      </c>
    </row>
    <row r="46" customFormat="false" ht="15" hidden="false" customHeight="false" outlineLevel="0" collapsed="false">
      <c r="A46" s="0" t="s">
        <v>98</v>
      </c>
      <c r="C46" s="3" t="n">
        <v>0.5</v>
      </c>
      <c r="D46" s="3" t="n">
        <v>0.5</v>
      </c>
      <c r="E46" s="3" t="n">
        <v>0.6</v>
      </c>
      <c r="F46" s="3" t="n">
        <v>0.6</v>
      </c>
      <c r="G46" s="3" t="n">
        <v>0.6</v>
      </c>
      <c r="H46" s="3" t="n">
        <v>0.7</v>
      </c>
      <c r="I46" s="3" t="n">
        <v>0.7</v>
      </c>
      <c r="J46" s="3" t="n">
        <v>0.7</v>
      </c>
      <c r="K46" s="3" t="n">
        <v>0.7</v>
      </c>
      <c r="L46" s="3" t="n">
        <v>0.7</v>
      </c>
    </row>
    <row r="47" customFormat="false" ht="15" hidden="false" customHeight="false" outlineLevel="0" collapsed="false">
      <c r="A47" s="0" t="s">
        <v>99</v>
      </c>
      <c r="C47" s="3" t="n">
        <v>32</v>
      </c>
      <c r="D47" s="3" t="n">
        <v>31</v>
      </c>
      <c r="E47" s="3" t="n">
        <v>30</v>
      </c>
      <c r="F47" s="3" t="n">
        <v>29</v>
      </c>
      <c r="G47" s="3" t="n">
        <v>28</v>
      </c>
      <c r="H47" s="3" t="n">
        <v>28</v>
      </c>
      <c r="I47" s="3" t="n">
        <v>28</v>
      </c>
      <c r="J47" s="3" t="n">
        <v>28</v>
      </c>
      <c r="K47" s="3" t="n">
        <v>28</v>
      </c>
      <c r="L47" s="3" t="n">
        <v>28</v>
      </c>
    </row>
    <row r="48" customFormat="false" ht="15" hidden="false" customHeight="false" outlineLevel="0" collapsed="false">
      <c r="A48" s="0" t="s">
        <v>100</v>
      </c>
      <c r="B48" s="3" t="n">
        <v>9</v>
      </c>
    </row>
    <row r="49" customFormat="false" ht="15" hidden="false" customHeight="false" outlineLevel="0" collapsed="false">
      <c r="A49" s="0" t="s">
        <v>101</v>
      </c>
      <c r="B49" s="3" t="n">
        <v>3</v>
      </c>
    </row>
    <row r="50" customFormat="false" ht="15" hidden="false" customHeight="false" outlineLevel="0" collapsed="false">
      <c r="A50" s="0" t="s">
        <v>102</v>
      </c>
      <c r="B50" s="3" t="n">
        <v>12</v>
      </c>
    </row>
    <row r="51" customFormat="false" ht="15" hidden="false" customHeight="false" outlineLevel="0" collapsed="false">
      <c r="A51" s="0" t="s">
        <v>103</v>
      </c>
      <c r="B51" s="3" t="n">
        <v>0</v>
      </c>
    </row>
    <row r="52" customFormat="false" ht="15" hidden="false" customHeight="false" outlineLevel="0" collapsed="false">
      <c r="A52" s="0" t="s">
        <v>104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107</v>
      </c>
    </row>
    <row r="3" customFormat="false" ht="15" hidden="false" customHeight="false" outlineLevel="0" collapsed="false">
      <c r="A3" s="0" t="s">
        <v>108</v>
      </c>
      <c r="B3" s="0" t="s">
        <v>78</v>
      </c>
      <c r="C3" s="2" t="s">
        <v>83</v>
      </c>
      <c r="D3" s="2" t="s">
        <v>84</v>
      </c>
      <c r="E3" s="2" t="s">
        <v>85</v>
      </c>
      <c r="F3" s="2" t="s">
        <v>86</v>
      </c>
      <c r="G3" s="2" t="s">
        <v>87</v>
      </c>
      <c r="H3" s="2" t="s">
        <v>88</v>
      </c>
      <c r="I3" s="2" t="s">
        <v>89</v>
      </c>
      <c r="J3" s="2" t="s">
        <v>90</v>
      </c>
      <c r="K3" s="2" t="s">
        <v>91</v>
      </c>
      <c r="L3" s="2" t="s">
        <v>92</v>
      </c>
    </row>
    <row r="4" customFormat="false" ht="15" hidden="false" customHeight="false" outlineLevel="0" collapsed="false">
      <c r="A4" s="0" t="s">
        <v>109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93</v>
      </c>
      <c r="C5" s="4" t="n">
        <f aca="false">Assumptions!C13</f>
        <v>3</v>
      </c>
      <c r="D5" s="4" t="n">
        <f aca="false">Assumptions!D13</f>
        <v>2</v>
      </c>
      <c r="E5" s="4" t="n">
        <f aca="false">Assumptions!E13</f>
        <v>2</v>
      </c>
      <c r="F5" s="4" t="n">
        <f aca="false">Assumptions!F13</f>
        <v>2</v>
      </c>
      <c r="G5" s="4" t="n">
        <f aca="false">Assumptions!G13</f>
        <v>2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38</v>
      </c>
      <c r="B6" s="3" t="n">
        <v>38246.8</v>
      </c>
      <c r="C6" s="0" t="n">
        <f aca="false">B6*(1+C5/100)</f>
        <v>39394.204</v>
      </c>
      <c r="D6" s="0" t="n">
        <f aca="false">C6*(1+D5/100)</f>
        <v>40182.08808</v>
      </c>
      <c r="E6" s="0" t="n">
        <f aca="false">D6*(1+E5/100)</f>
        <v>40985.7298416</v>
      </c>
      <c r="F6" s="0" t="n">
        <f aca="false">E6*(1+F5/100)</f>
        <v>41805.444438432</v>
      </c>
      <c r="G6" s="0" t="n">
        <f aca="false">F6*(1+G5/100)</f>
        <v>42641.5533272007</v>
      </c>
      <c r="H6" s="0" t="n">
        <f aca="false">G6*(1+H5/100)</f>
        <v>43494.3843937447</v>
      </c>
      <c r="I6" s="0" t="n">
        <f aca="false">H6*(1+I5/100)</f>
        <v>44364.2720816196</v>
      </c>
      <c r="J6" s="0" t="n">
        <f aca="false">I6*(1+J5/100)</f>
        <v>45251.557523252</v>
      </c>
      <c r="K6" s="0" t="n">
        <f aca="false">J6*(1+K5/100)</f>
        <v>46156.588673717</v>
      </c>
      <c r="L6" s="0" t="n">
        <f aca="false">K6*(1+L5/100)</f>
        <v>47079.7204471913</v>
      </c>
    </row>
    <row r="7" customFormat="false" ht="15" hidden="false" customHeight="false" outlineLevel="0" collapsed="false">
      <c r="A7" s="0" t="s">
        <v>94</v>
      </c>
      <c r="C7" s="4" t="n">
        <f aca="false">Assumptions!C14</f>
        <v>4.8</v>
      </c>
      <c r="D7" s="4" t="n">
        <f aca="false">Assumptions!D14</f>
        <v>5</v>
      </c>
      <c r="E7" s="4" t="n">
        <f aca="false">Assumptions!E14</f>
        <v>5.2</v>
      </c>
      <c r="F7" s="4" t="n">
        <f aca="false">Assumptions!F14</f>
        <v>5.5</v>
      </c>
      <c r="G7" s="4" t="n">
        <f aca="false">Assumptions!G14</f>
        <v>5.5</v>
      </c>
      <c r="H7" s="4" t="n">
        <f aca="false">Assumptions!H14</f>
        <v>5.5</v>
      </c>
      <c r="I7" s="4" t="n">
        <f aca="false">Assumptions!I14</f>
        <v>5.5</v>
      </c>
      <c r="J7" s="4" t="n">
        <f aca="false">Assumptions!J14</f>
        <v>5.5</v>
      </c>
      <c r="K7" s="4" t="n">
        <f aca="false">Assumptions!K14</f>
        <v>5.5</v>
      </c>
      <c r="L7" s="4" t="n">
        <f aca="false">Assumptions!L14</f>
        <v>5.5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1890.921792</v>
      </c>
      <c r="D8" s="0" t="n">
        <f aca="false">D6*D7/100</f>
        <v>2009.104404</v>
      </c>
      <c r="E8" s="0" t="n">
        <f aca="false">E6*E7/100</f>
        <v>2131.2579517632</v>
      </c>
      <c r="F8" s="0" t="n">
        <f aca="false">F6*F7/100</f>
        <v>2299.29944411376</v>
      </c>
      <c r="G8" s="0" t="n">
        <f aca="false">G6*G7/100</f>
        <v>2345.28543299604</v>
      </c>
      <c r="H8" s="0" t="n">
        <f aca="false">H6*H7/100</f>
        <v>2392.19114165596</v>
      </c>
      <c r="I8" s="0" t="n">
        <f aca="false">I6*I7/100</f>
        <v>2440.03496448908</v>
      </c>
      <c r="J8" s="0" t="n">
        <f aca="false">J6*J7/100</f>
        <v>2488.83566377886</v>
      </c>
      <c r="K8" s="0" t="n">
        <f aca="false">K6*K7/100</f>
        <v>2538.61237705443</v>
      </c>
      <c r="L8" s="0" t="n">
        <f aca="false">L6*L7/100</f>
        <v>2589.38462459552</v>
      </c>
    </row>
    <row r="9" customFormat="false" ht="15" hidden="false" customHeight="false" outlineLevel="0" collapsed="false">
      <c r="A9" s="0" t="s">
        <v>95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110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111</v>
      </c>
      <c r="C11" s="0" t="n">
        <f aca="false">C8+C10+C24</f>
        <v>1753.042078</v>
      </c>
      <c r="D11" s="0" t="n">
        <f aca="false">D8+D10+D24</f>
        <v>1868.46709572</v>
      </c>
      <c r="E11" s="0" t="n">
        <f aca="false">E8+E10+E24</f>
        <v>1987.8078973176</v>
      </c>
      <c r="F11" s="0" t="n">
        <f aca="false">F8+F10+F24</f>
        <v>2152.98038857925</v>
      </c>
      <c r="G11" s="0" t="n">
        <f aca="false">G8+G10+G24</f>
        <v>2196.03999635083</v>
      </c>
      <c r="H11" s="0" t="n">
        <f aca="false">H8+H10+H24</f>
        <v>2239.96079627785</v>
      </c>
      <c r="I11" s="0" t="n">
        <f aca="false">I8+I10+I24</f>
        <v>2284.76001220341</v>
      </c>
      <c r="J11" s="0" t="n">
        <f aca="false">J8+J10+J24</f>
        <v>2330.45521244748</v>
      </c>
      <c r="K11" s="0" t="n">
        <f aca="false">K8+K10+K24</f>
        <v>2377.06431669643</v>
      </c>
      <c r="L11" s="0" t="n">
        <f aca="false">L8+L10+L24</f>
        <v>2424.60560303035</v>
      </c>
    </row>
    <row r="12" customFormat="false" ht="15" hidden="false" customHeight="false" outlineLevel="0" collapsed="false">
      <c r="A12" s="0" t="s">
        <v>112</v>
      </c>
      <c r="C12" s="4" t="n">
        <f aca="false">-C6*Assumptions!C17/100</f>
        <v>-945.460896</v>
      </c>
      <c r="D12" s="4" t="n">
        <f aca="false">-D6*Assumptions!D17/100</f>
        <v>-924.18802584</v>
      </c>
      <c r="E12" s="4" t="n">
        <f aca="false">-E6*Assumptions!E17/100</f>
        <v>-901.6860565152</v>
      </c>
      <c r="F12" s="4" t="n">
        <f aca="false">-F6*Assumptions!F17/100</f>
        <v>-877.914333207072</v>
      </c>
      <c r="G12" s="4" t="n">
        <f aca="false">-G6*Assumptions!G17/100</f>
        <v>-852.831066544013</v>
      </c>
      <c r="H12" s="4" t="n">
        <f aca="false">-H6*Assumptions!H17/100</f>
        <v>-869.887687874894</v>
      </c>
      <c r="I12" s="4" t="n">
        <f aca="false">-I6*Assumptions!I17/100</f>
        <v>-842.921169550772</v>
      </c>
      <c r="J12" s="4" t="n">
        <f aca="false">-J6*Assumptions!J17/100</f>
        <v>-859.779592941787</v>
      </c>
      <c r="K12" s="4" t="n">
        <f aca="false">-K6*Assumptions!K17/100</f>
        <v>-830.818596126906</v>
      </c>
      <c r="L12" s="4" t="n">
        <f aca="false">-L6*Assumptions!L17/100</f>
        <v>-847.434968049444</v>
      </c>
    </row>
    <row r="13" customFormat="false" ht="15" hidden="false" customHeight="false" outlineLevel="0" collapsed="false">
      <c r="A13" s="0" t="s">
        <v>113</v>
      </c>
      <c r="C13" s="0" t="n">
        <f aca="false">C11+C12</f>
        <v>807.581182</v>
      </c>
      <c r="D13" s="0" t="n">
        <f aca="false">D11+D12</f>
        <v>944.27906988</v>
      </c>
      <c r="E13" s="0" t="n">
        <f aca="false">E11+E12</f>
        <v>1086.1218408024</v>
      </c>
      <c r="F13" s="0" t="n">
        <f aca="false">F11+F12</f>
        <v>1275.06605537218</v>
      </c>
      <c r="G13" s="0" t="n">
        <f aca="false">G11+G12</f>
        <v>1343.20892980682</v>
      </c>
      <c r="H13" s="0" t="n">
        <f aca="false">H11+H12</f>
        <v>1370.07310840296</v>
      </c>
      <c r="I13" s="0" t="n">
        <f aca="false">I11+I12</f>
        <v>1441.83884265264</v>
      </c>
      <c r="J13" s="0" t="n">
        <f aca="false">J11+J12</f>
        <v>1470.67561950569</v>
      </c>
      <c r="K13" s="0" t="n">
        <f aca="false">K11+K12</f>
        <v>1546.24572056952</v>
      </c>
      <c r="L13" s="0" t="n">
        <f aca="false">L11+L12</f>
        <v>1577.17063498091</v>
      </c>
    </row>
    <row r="14" customFormat="false" ht="15" hidden="false" customHeight="false" outlineLevel="0" collapsed="false">
      <c r="A14" s="0" t="s">
        <v>99</v>
      </c>
      <c r="C14" s="4" t="n">
        <f aca="false">Assumptions!C19</f>
        <v>38</v>
      </c>
      <c r="D14" s="4" t="n">
        <f aca="false">Assumptions!D19</f>
        <v>37</v>
      </c>
      <c r="E14" s="4" t="n">
        <f aca="false">Assumptions!E19</f>
        <v>36</v>
      </c>
      <c r="F14" s="4" t="n">
        <f aca="false">Assumptions!F19</f>
        <v>35</v>
      </c>
      <c r="G14" s="4" t="n">
        <f aca="false">Assumptions!G19</f>
        <v>34</v>
      </c>
      <c r="H14" s="4" t="n">
        <f aca="false">Assumptions!H19</f>
        <v>33</v>
      </c>
      <c r="I14" s="4" t="n">
        <f aca="false">Assumptions!I19</f>
        <v>32</v>
      </c>
      <c r="J14" s="4" t="n">
        <f aca="false">Assumptions!J19</f>
        <v>32</v>
      </c>
      <c r="K14" s="4" t="n">
        <f aca="false">Assumptions!K19</f>
        <v>32</v>
      </c>
      <c r="L14" s="4" t="n">
        <f aca="false">Assumptions!L19</f>
        <v>32</v>
      </c>
    </row>
    <row r="15" customFormat="false" ht="15" hidden="false" customHeight="false" outlineLevel="0" collapsed="false">
      <c r="A15" s="0" t="s">
        <v>114</v>
      </c>
      <c r="C15" s="0" t="n">
        <f aca="false">C13-MAX(0,C13)*C14/100</f>
        <v>500.70033284</v>
      </c>
      <c r="D15" s="0" t="n">
        <f aca="false">D13-MAX(0,D13)*D14/100</f>
        <v>594.8958140244</v>
      </c>
      <c r="E15" s="0" t="n">
        <f aca="false">E13-MAX(0,E13)*E14/100</f>
        <v>695.117978113536</v>
      </c>
      <c r="F15" s="0" t="n">
        <f aca="false">F13-MAX(0,F13)*F14/100</f>
        <v>828.792935991915</v>
      </c>
      <c r="G15" s="0" t="n">
        <f aca="false">G13-MAX(0,G13)*G14/100</f>
        <v>886.517893672502</v>
      </c>
      <c r="H15" s="0" t="n">
        <f aca="false">H13-MAX(0,H13)*H14/100</f>
        <v>917.948982629981</v>
      </c>
      <c r="I15" s="0" t="n">
        <f aca="false">I13-MAX(0,I13)*I14/100</f>
        <v>980.450413003792</v>
      </c>
      <c r="J15" s="0" t="n">
        <f aca="false">J13-MAX(0,J13)*J14/100</f>
        <v>1000.05942126387</v>
      </c>
      <c r="K15" s="0" t="n">
        <f aca="false">K13-MAX(0,K13)*K14/100</f>
        <v>1051.44708998727</v>
      </c>
      <c r="L15" s="0" t="n">
        <f aca="false">L13-MAX(0,L13)*L14/100</f>
        <v>1072.47603178702</v>
      </c>
    </row>
    <row r="16" customFormat="false" ht="15" hidden="false" customHeight="false" outlineLevel="0" collapsed="false">
      <c r="A16" s="0" t="s">
        <v>115</v>
      </c>
      <c r="C16" s="0" t="n">
        <f aca="false">-C12</f>
        <v>945.460896</v>
      </c>
      <c r="D16" s="0" t="n">
        <f aca="false">-D12</f>
        <v>924.18802584</v>
      </c>
      <c r="E16" s="0" t="n">
        <f aca="false">-E12</f>
        <v>901.6860565152</v>
      </c>
      <c r="F16" s="0" t="n">
        <f aca="false">-F12</f>
        <v>877.914333207072</v>
      </c>
      <c r="G16" s="0" t="n">
        <f aca="false">-G12</f>
        <v>852.831066544013</v>
      </c>
      <c r="H16" s="0" t="n">
        <f aca="false">-H12</f>
        <v>869.887687874894</v>
      </c>
      <c r="I16" s="0" t="n">
        <f aca="false">-I12</f>
        <v>842.921169550772</v>
      </c>
      <c r="J16" s="0" t="n">
        <f aca="false">-J12</f>
        <v>859.779592941787</v>
      </c>
      <c r="K16" s="0" t="n">
        <f aca="false">-K12</f>
        <v>830.818596126906</v>
      </c>
      <c r="L16" s="0" t="n">
        <f aca="false">-L12</f>
        <v>847.434968049444</v>
      </c>
    </row>
    <row r="17" customFormat="false" ht="15" hidden="false" customHeight="false" outlineLevel="0" collapsed="false">
      <c r="A17" s="0" t="s">
        <v>116</v>
      </c>
      <c r="C17" s="4" t="n">
        <f aca="false">-C6*Assumptions!C18/100</f>
        <v>-236.365224</v>
      </c>
      <c r="D17" s="4" t="n">
        <f aca="false">-D6*Assumptions!D18/100</f>
        <v>-241.09252848</v>
      </c>
      <c r="E17" s="4" t="n">
        <f aca="false">-E6*Assumptions!E18/100</f>
        <v>-245.9143790496</v>
      </c>
      <c r="F17" s="4" t="n">
        <f aca="false">-F6*Assumptions!F18/100</f>
        <v>-292.638111069024</v>
      </c>
      <c r="G17" s="4" t="n">
        <f aca="false">-G6*Assumptions!G18/100</f>
        <v>-298.490873290405</v>
      </c>
      <c r="H17" s="4" t="n">
        <f aca="false">-H6*Assumptions!H18/100</f>
        <v>-304.460690756213</v>
      </c>
      <c r="I17" s="4" t="n">
        <f aca="false">-I6*Assumptions!I18/100</f>
        <v>-310.549904571337</v>
      </c>
      <c r="J17" s="4" t="n">
        <f aca="false">-J6*Assumptions!J18/100</f>
        <v>-316.760902662764</v>
      </c>
      <c r="K17" s="4" t="n">
        <f aca="false">-K6*Assumptions!K18/100</f>
        <v>-323.096120716019</v>
      </c>
      <c r="L17" s="4" t="n">
        <f aca="false">-L6*Assumptions!L18/100</f>
        <v>-329.558043130339</v>
      </c>
    </row>
    <row r="18" customFormat="false" ht="15" hidden="false" customHeight="false" outlineLevel="0" collapsed="false">
      <c r="A18" s="0" t="s">
        <v>117</v>
      </c>
      <c r="C18" s="4" t="n">
        <f aca="false">(C6-B6)*Assumptions!$B$23/100</f>
        <v>-172.1106</v>
      </c>
      <c r="D18" s="4" t="n">
        <f aca="false">(D6-C6)*Assumptions!$B$23/100</f>
        <v>-118.182612000001</v>
      </c>
      <c r="E18" s="4" t="n">
        <f aca="false">(E6-D6)*Assumptions!$B$23/100</f>
        <v>-120.546264240001</v>
      </c>
      <c r="F18" s="4" t="n">
        <f aca="false">(F6-E6)*Assumptions!$B$23/100</f>
        <v>-122.957189524801</v>
      </c>
      <c r="G18" s="4" t="n">
        <f aca="false">(G6-F6)*Assumptions!$B$23/100</f>
        <v>-125.416333315296</v>
      </c>
      <c r="H18" s="4" t="n">
        <f aca="false">(H6-G6)*Assumptions!$B$23/100</f>
        <v>-127.924659981602</v>
      </c>
      <c r="I18" s="4" t="n">
        <f aca="false">(I6-H6)*Assumptions!$B$23/100</f>
        <v>-130.483153181234</v>
      </c>
      <c r="J18" s="4" t="n">
        <f aca="false">(J6-I6)*Assumptions!$B$23/100</f>
        <v>-133.092816244858</v>
      </c>
      <c r="K18" s="4" t="n">
        <f aca="false">(K6-J6)*Assumptions!$B$23/100</f>
        <v>-135.754672569756</v>
      </c>
      <c r="L18" s="4" t="n">
        <f aca="false">(L6-K6)*Assumptions!$B$23/100</f>
        <v>-138.469766021151</v>
      </c>
    </row>
    <row r="19" customFormat="false" ht="15" hidden="false" customHeight="false" outlineLevel="0" collapsed="false">
      <c r="A19" s="0" t="s">
        <v>118</v>
      </c>
      <c r="C19" s="0" t="n">
        <f aca="false">C15+C16+C17+C18</f>
        <v>1037.68540484</v>
      </c>
      <c r="D19" s="0" t="n">
        <f aca="false">D15+D16+D17+D18</f>
        <v>1159.8086993844</v>
      </c>
      <c r="E19" s="0" t="n">
        <f aca="false">E15+E16+E17+E18</f>
        <v>1230.34339133914</v>
      </c>
      <c r="F19" s="0" t="n">
        <f aca="false">F15+F16+F17+F18</f>
        <v>1291.11196860516</v>
      </c>
      <c r="G19" s="0" t="n">
        <f aca="false">G15+G16+G17+G18</f>
        <v>1315.44175361081</v>
      </c>
      <c r="H19" s="0" t="n">
        <f aca="false">H15+H16+H17+H18</f>
        <v>1355.45131976706</v>
      </c>
      <c r="I19" s="0" t="n">
        <f aca="false">I15+I16+I17+I18</f>
        <v>1382.33852480199</v>
      </c>
      <c r="J19" s="0" t="n">
        <f aca="false">J15+J16+J17+J18</f>
        <v>1409.98529529803</v>
      </c>
      <c r="K19" s="0" t="n">
        <f aca="false">K15+K16+K17+K18</f>
        <v>1423.4148928284</v>
      </c>
      <c r="L19" s="0" t="n">
        <f aca="false">L15+L16+L17+L18</f>
        <v>1451.88319068497</v>
      </c>
    </row>
    <row r="20" customFormat="false" ht="15" hidden="false" customHeight="false" outlineLevel="0" collapsed="false">
      <c r="A20" s="0" t="s">
        <v>119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120</v>
      </c>
      <c r="C21" s="0" t="n">
        <f aca="false">C19*C20</f>
        <v>952.004958568807</v>
      </c>
      <c r="D21" s="0" t="n">
        <f aca="false">D19*D20</f>
        <v>976.187778288359</v>
      </c>
      <c r="E21" s="0" t="n">
        <f aca="false">E19*E20</f>
        <v>950.050841594386</v>
      </c>
      <c r="F21" s="0" t="n">
        <f aca="false">F19*F20</f>
        <v>914.656268867913</v>
      </c>
      <c r="G21" s="0" t="n">
        <f aca="false">G19*G20</f>
        <v>854.946882519003</v>
      </c>
      <c r="H21" s="0" t="n">
        <f aca="false">H19*H20</f>
        <v>808.21133515241</v>
      </c>
      <c r="I21" s="0" t="n">
        <f aca="false">I19*I20</f>
        <v>756.186511032884</v>
      </c>
      <c r="J21" s="0" t="n">
        <f aca="false">J19*J20</f>
        <v>707.624074544533</v>
      </c>
      <c r="K21" s="0" t="n">
        <f aca="false">K19*K20</f>
        <v>655.379758435416</v>
      </c>
      <c r="L21" s="0" t="n">
        <f aca="false">L19*L20</f>
        <v>613.291150095526</v>
      </c>
    </row>
    <row r="23" customFormat="false" ht="15" hidden="false" customHeight="false" outlineLevel="0" collapsed="false">
      <c r="A23" s="0" t="s">
        <v>96</v>
      </c>
      <c r="C23" s="4" t="n">
        <f aca="false">Assumptions!C16</f>
        <v>0.35</v>
      </c>
      <c r="D23" s="4" t="n">
        <f aca="false">Assumptions!D16</f>
        <v>0.35</v>
      </c>
      <c r="E23" s="4" t="n">
        <f aca="false">Assumptions!E16</f>
        <v>0.35</v>
      </c>
      <c r="F23" s="4" t="n">
        <f aca="false">Assumptions!F16</f>
        <v>0.35</v>
      </c>
      <c r="G23" s="4" t="n">
        <f aca="false">Assumptions!G16</f>
        <v>0.35</v>
      </c>
      <c r="H23" s="4" t="n">
        <f aca="false">Assumptions!H16</f>
        <v>0.35</v>
      </c>
      <c r="I23" s="4" t="n">
        <f aca="false">Assumptions!I16</f>
        <v>0.35</v>
      </c>
      <c r="J23" s="4" t="n">
        <f aca="false">Assumptions!J16</f>
        <v>0.35</v>
      </c>
      <c r="K23" s="4" t="n">
        <f aca="false">Assumptions!K16</f>
        <v>0.35</v>
      </c>
      <c r="L23" s="4" t="n">
        <f aca="false">Assumptions!L16</f>
        <v>0.35</v>
      </c>
    </row>
    <row r="24" customFormat="false" ht="15" hidden="false" customHeight="false" outlineLevel="0" collapsed="false">
      <c r="A24" s="0" t="s">
        <v>121</v>
      </c>
      <c r="C24" s="0" t="n">
        <f aca="false">-C6*C23/100</f>
        <v>-137.879714</v>
      </c>
      <c r="D24" s="0" t="n">
        <f aca="false">-D6*D23/100</f>
        <v>-140.63730828</v>
      </c>
      <c r="E24" s="0" t="n">
        <f aca="false">-E6*E23/100</f>
        <v>-143.4500544456</v>
      </c>
      <c r="F24" s="0" t="n">
        <f aca="false">-F6*F23/100</f>
        <v>-146.319055534512</v>
      </c>
      <c r="G24" s="0" t="n">
        <f aca="false">-G6*G23/100</f>
        <v>-149.245436645202</v>
      </c>
      <c r="H24" s="0" t="n">
        <f aca="false">-H6*H23/100</f>
        <v>-152.230345378106</v>
      </c>
      <c r="I24" s="0" t="n">
        <f aca="false">-I6*I23/100</f>
        <v>-155.274952285668</v>
      </c>
      <c r="J24" s="0" t="n">
        <f aca="false">-J6*J23/100</f>
        <v>-158.380451331382</v>
      </c>
      <c r="K24" s="0" t="n">
        <f aca="false">-K6*K23/100</f>
        <v>-161.548060358009</v>
      </c>
      <c r="L24" s="0" t="n">
        <f aca="false">-L6*L23/100</f>
        <v>-164.77902156517</v>
      </c>
    </row>
    <row r="26" customFormat="false" ht="15" hidden="false" customHeight="false" outlineLevel="0" collapsed="false">
      <c r="A26" s="2" t="s">
        <v>122</v>
      </c>
    </row>
    <row r="27" customFormat="false" ht="15" hidden="false" customHeight="false" outlineLevel="0" collapsed="false">
      <c r="A27" s="0" t="s">
        <v>100</v>
      </c>
      <c r="B27" s="4" t="n">
        <f aca="false">Assumptions!$B$20</f>
        <v>9</v>
      </c>
    </row>
    <row r="28" customFormat="false" ht="15" hidden="false" customHeight="false" outlineLevel="0" collapsed="false">
      <c r="A28" s="0" t="s">
        <v>101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102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123</v>
      </c>
      <c r="B30" s="0" t="n">
        <f aca="false">SUM(C21:L21)</f>
        <v>8188.53955909924</v>
      </c>
    </row>
    <row r="31" customFormat="false" ht="15" hidden="false" customHeight="false" outlineLevel="0" collapsed="false">
      <c r="A31" s="0" t="s">
        <v>124</v>
      </c>
      <c r="B31" s="0" t="n">
        <f aca="false">L19</f>
        <v>1451.88319068497</v>
      </c>
    </row>
    <row r="32" customFormat="false" ht="15" hidden="false" customHeight="false" outlineLevel="0" collapsed="false">
      <c r="A32" s="0" t="s">
        <v>125</v>
      </c>
      <c r="B32" s="0" t="n">
        <f aca="false">IF(B27&gt;B28,B31*(1+B28/100)/((B27-B28)/100),B31*B29)</f>
        <v>21156.0122071239</v>
      </c>
    </row>
    <row r="33" customFormat="false" ht="15" hidden="false" customHeight="false" outlineLevel="0" collapsed="false">
      <c r="A33" s="0" t="s">
        <v>126</v>
      </c>
      <c r="B33" s="0" t="n">
        <f aca="false">B31*B29</f>
        <v>17422.5982882197</v>
      </c>
    </row>
    <row r="34" customFormat="false" ht="15" hidden="false" customHeight="false" outlineLevel="0" collapsed="false">
      <c r="A34" s="0" t="s">
        <v>127</v>
      </c>
      <c r="B34" s="0" t="n">
        <f aca="false">MAX(0,MIN(B32,B33))</f>
        <v>17422.5982882197</v>
      </c>
    </row>
    <row r="35" customFormat="false" ht="15" hidden="false" customHeight="false" outlineLevel="0" collapsed="false">
      <c r="A35" s="0" t="s">
        <v>128</v>
      </c>
      <c r="B35" s="0" t="n">
        <f aca="false">B34/(1+B27/100)^L4</f>
        <v>7359.49380114632</v>
      </c>
    </row>
    <row r="36" customFormat="false" ht="15" hidden="false" customHeight="false" outlineLevel="0" collapsed="false">
      <c r="A36" s="0" t="s">
        <v>129</v>
      </c>
      <c r="B36" s="0" t="n">
        <f aca="false">B30+B35</f>
        <v>15548.0333602456</v>
      </c>
    </row>
    <row r="37" customFormat="false" ht="15" hidden="false" customHeight="false" outlineLevel="0" collapsed="false">
      <c r="A37" s="0" t="s">
        <v>130</v>
      </c>
      <c r="B37" s="0" t="n">
        <f aca="false">B36+Assumptions!$B$5-Assumptions!$B$4</f>
        <v>24863.7333602455</v>
      </c>
    </row>
    <row r="38" customFormat="false" ht="15" hidden="false" customHeight="false" outlineLevel="0" collapsed="false">
      <c r="A38" s="0" t="s">
        <v>131</v>
      </c>
      <c r="B38" s="0" t="n">
        <f aca="false">B37/Assumptions!$B$3*Assumptions!$B$10</f>
        <v>25.6861989351369</v>
      </c>
    </row>
    <row r="39" customFormat="false" ht="15" hidden="false" customHeight="false" outlineLevel="0" collapsed="false">
      <c r="A39" s="0" t="s">
        <v>132</v>
      </c>
      <c r="B39" s="4" t="n">
        <f aca="false">B38/Assumptions!$B$2-1</f>
        <v>0.336430745844792</v>
      </c>
    </row>
    <row r="41" customFormat="false" ht="15" hidden="false" customHeight="false" outlineLevel="0" collapsed="false">
      <c r="A41" s="0" t="s">
        <v>133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134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135</v>
      </c>
      <c r="B43" s="0" t="n">
        <f aca="false">(B37+B41+B42)/Assumptions!$B$3*Assumptions!$B$10</f>
        <v>25.6861989351369</v>
      </c>
    </row>
    <row r="45" customFormat="false" ht="15" hidden="false" customHeight="false" outlineLevel="0" collapsed="false">
      <c r="A45" s="0" t="s">
        <v>75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136</v>
      </c>
      <c r="B46" s="0" t="n">
        <f aca="false">MAX(0,MIN(IF(B45&gt;B28,B31*(1+B28/100)/((B45-B28)/100),B31*B29),B31*B29))</f>
        <v>11391.698880759</v>
      </c>
    </row>
    <row r="47" customFormat="false" ht="15" hidden="false" customHeight="false" outlineLevel="0" collapsed="false">
      <c r="A47" s="0" t="s">
        <v>137</v>
      </c>
      <c r="B47" s="0" t="n">
        <f aca="false">(SUMPRODUCT(C19:L19/(1+B45/100)^C4:L4)+B46/(1+B45/100)^L4+Assumptions!$B$5-Assumptions!$B$4)/Assumptions!$B$3*Assumptions!$B$10</f>
        <v>19.0521972770956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138</v>
      </c>
    </row>
    <row r="3" customFormat="false" ht="15" hidden="false" customHeight="false" outlineLevel="0" collapsed="false">
      <c r="A3" s="0" t="s">
        <v>108</v>
      </c>
      <c r="B3" s="0" t="s">
        <v>78</v>
      </c>
      <c r="C3" s="2" t="s">
        <v>83</v>
      </c>
      <c r="D3" s="2" t="s">
        <v>84</v>
      </c>
      <c r="E3" s="2" t="s">
        <v>85</v>
      </c>
      <c r="F3" s="2" t="s">
        <v>86</v>
      </c>
      <c r="G3" s="2" t="s">
        <v>87</v>
      </c>
      <c r="H3" s="2" t="s">
        <v>88</v>
      </c>
      <c r="I3" s="2" t="s">
        <v>89</v>
      </c>
      <c r="J3" s="2" t="s">
        <v>90</v>
      </c>
      <c r="K3" s="2" t="s">
        <v>91</v>
      </c>
      <c r="L3" s="2" t="s">
        <v>92</v>
      </c>
    </row>
    <row r="4" customFormat="false" ht="15" hidden="false" customHeight="false" outlineLevel="0" collapsed="false">
      <c r="A4" s="0" t="s">
        <v>109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93</v>
      </c>
      <c r="C5" s="4" t="n">
        <f aca="false">Assumptions!C27</f>
        <v>5</v>
      </c>
      <c r="D5" s="4" t="n">
        <f aca="false">Assumptions!D27</f>
        <v>4.5</v>
      </c>
      <c r="E5" s="4" t="n">
        <f aca="false">Assumptions!E27</f>
        <v>4</v>
      </c>
      <c r="F5" s="4" t="n">
        <f aca="false">Assumptions!F27</f>
        <v>4</v>
      </c>
      <c r="G5" s="4" t="n">
        <f aca="false">Assumptions!G27</f>
        <v>3.5</v>
      </c>
      <c r="H5" s="4" t="n">
        <f aca="false">Assumptions!H27</f>
        <v>3.5</v>
      </c>
      <c r="I5" s="4" t="n">
        <f aca="false">Assumptions!I27</f>
        <v>3</v>
      </c>
      <c r="J5" s="4" t="n">
        <f aca="false">Assumptions!J27</f>
        <v>3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38</v>
      </c>
      <c r="B6" s="3" t="n">
        <v>38246.8</v>
      </c>
      <c r="C6" s="0" t="n">
        <f aca="false">B6*(1+C5/100)</f>
        <v>40159.14</v>
      </c>
      <c r="D6" s="0" t="n">
        <f aca="false">C6*(1+D5/100)</f>
        <v>41966.3013</v>
      </c>
      <c r="E6" s="0" t="n">
        <f aca="false">D6*(1+E5/100)</f>
        <v>43644.953352</v>
      </c>
      <c r="F6" s="0" t="n">
        <f aca="false">E6*(1+F5/100)</f>
        <v>45390.75148608</v>
      </c>
      <c r="G6" s="0" t="n">
        <f aca="false">F6*(1+G5/100)</f>
        <v>46979.4277880928</v>
      </c>
      <c r="H6" s="0" t="n">
        <f aca="false">G6*(1+H5/100)</f>
        <v>48623.7077606761</v>
      </c>
      <c r="I6" s="0" t="n">
        <f aca="false">H6*(1+I5/100)</f>
        <v>50082.4189934963</v>
      </c>
      <c r="J6" s="0" t="n">
        <f aca="false">I6*(1+J5/100)</f>
        <v>51584.8915633012</v>
      </c>
      <c r="K6" s="0" t="n">
        <f aca="false">J6*(1+K5/100)</f>
        <v>52874.5138523838</v>
      </c>
      <c r="L6" s="0" t="n">
        <f aca="false">K6*(1+L5/100)</f>
        <v>54196.3766986934</v>
      </c>
    </row>
    <row r="7" customFormat="false" ht="15" hidden="false" customHeight="false" outlineLevel="0" collapsed="false">
      <c r="A7" s="0" t="s">
        <v>94</v>
      </c>
      <c r="C7" s="4" t="n">
        <f aca="false">Assumptions!C28</f>
        <v>6.2</v>
      </c>
      <c r="D7" s="4" t="n">
        <f aca="false">Assumptions!D28</f>
        <v>6.6</v>
      </c>
      <c r="E7" s="4" t="n">
        <f aca="false">Assumptions!E28</f>
        <v>6.8</v>
      </c>
      <c r="F7" s="4" t="n">
        <f aca="false">Assumptions!F28</f>
        <v>7</v>
      </c>
      <c r="G7" s="4" t="n">
        <f aca="false">Assumptions!G28</f>
        <v>7</v>
      </c>
      <c r="H7" s="4" t="n">
        <f aca="false">Assumptions!H28</f>
        <v>7</v>
      </c>
      <c r="I7" s="4" t="n">
        <f aca="false">Assumptions!I28</f>
        <v>7</v>
      </c>
      <c r="J7" s="4" t="n">
        <f aca="false">Assumptions!J28</f>
        <v>7</v>
      </c>
      <c r="K7" s="4" t="n">
        <f aca="false">Assumptions!K28</f>
        <v>7</v>
      </c>
      <c r="L7" s="4" t="n">
        <f aca="false">Assumptions!L28</f>
        <v>7</v>
      </c>
    </row>
    <row r="8" customFormat="false" ht="15" hidden="false" customHeight="false" outlineLevel="0" collapsed="false">
      <c r="A8" s="0" t="s">
        <v>44</v>
      </c>
      <c r="C8" s="0" t="n">
        <f aca="false">C6*C7/100</f>
        <v>2489.86668</v>
      </c>
      <c r="D8" s="0" t="n">
        <f aca="false">D6*D7/100</f>
        <v>2769.7758858</v>
      </c>
      <c r="E8" s="0" t="n">
        <f aca="false">E6*E7/100</f>
        <v>2967.856827936</v>
      </c>
      <c r="F8" s="0" t="n">
        <f aca="false">F6*F7/100</f>
        <v>3177.3526040256</v>
      </c>
      <c r="G8" s="0" t="n">
        <f aca="false">G6*G7/100</f>
        <v>3288.5599451665</v>
      </c>
      <c r="H8" s="0" t="n">
        <f aca="false">H6*H7/100</f>
        <v>3403.65954324732</v>
      </c>
      <c r="I8" s="0" t="n">
        <f aca="false">I6*I7/100</f>
        <v>3505.76932954474</v>
      </c>
      <c r="J8" s="0" t="n">
        <f aca="false">J6*J7/100</f>
        <v>3610.94240943109</v>
      </c>
      <c r="K8" s="0" t="n">
        <f aca="false">K6*K7/100</f>
        <v>3701.21596966686</v>
      </c>
      <c r="L8" s="0" t="n">
        <f aca="false">L6*L7/100</f>
        <v>3793.74636890853</v>
      </c>
    </row>
    <row r="9" customFormat="false" ht="15" hidden="false" customHeight="false" outlineLevel="0" collapsed="false">
      <c r="A9" s="0" t="s">
        <v>95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110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111</v>
      </c>
      <c r="C11" s="0" t="n">
        <f aca="false">C8+C10+C24</f>
        <v>2349.30969</v>
      </c>
      <c r="D11" s="0" t="n">
        <f aca="false">D8+D10+D24</f>
        <v>2622.89383125</v>
      </c>
      <c r="E11" s="0" t="n">
        <f aca="false">E8+E10+E24</f>
        <v>2815.099491204</v>
      </c>
      <c r="F11" s="0" t="n">
        <f aca="false">F8+F10+F24</f>
        <v>3018.48497382432</v>
      </c>
      <c r="G11" s="0" t="n">
        <f aca="false">G8+G10+G24</f>
        <v>3124.13194790817</v>
      </c>
      <c r="H11" s="0" t="n">
        <f aca="false">H8+H10+H24</f>
        <v>3233.47656608496</v>
      </c>
      <c r="I11" s="0" t="n">
        <f aca="false">I8+I10+I24</f>
        <v>3330.48086306751</v>
      </c>
      <c r="J11" s="0" t="n">
        <f aca="false">J8+J10+J24</f>
        <v>3430.39528895953</v>
      </c>
      <c r="K11" s="0" t="n">
        <f aca="false">K8+K10+K24</f>
        <v>3516.15517118352</v>
      </c>
      <c r="L11" s="0" t="n">
        <f aca="false">L8+L10+L24</f>
        <v>3604.05905046311</v>
      </c>
    </row>
    <row r="12" customFormat="false" ht="15" hidden="false" customHeight="false" outlineLevel="0" collapsed="false">
      <c r="A12" s="0" t="s">
        <v>112</v>
      </c>
      <c r="C12" s="4" t="n">
        <f aca="false">-C6*Assumptions!C31/100</f>
        <v>-963.81936</v>
      </c>
      <c r="D12" s="4" t="n">
        <f aca="false">-D6*Assumptions!D31/100</f>
        <v>-965.2249299</v>
      </c>
      <c r="E12" s="4" t="n">
        <f aca="false">-E6*Assumptions!E31/100</f>
        <v>-960.188973744</v>
      </c>
      <c r="F12" s="4" t="n">
        <f aca="false">-F6*Assumptions!F31/100</f>
        <v>-953.20578120768</v>
      </c>
      <c r="G12" s="4" t="n">
        <f aca="false">-G6*Assumptions!G31/100</f>
        <v>-939.588555761856</v>
      </c>
      <c r="H12" s="4" t="n">
        <f aca="false">-H6*Assumptions!H31/100</f>
        <v>-972.474155213521</v>
      </c>
      <c r="I12" s="4" t="n">
        <f aca="false">-I6*Assumptions!I31/100</f>
        <v>-951.565960876431</v>
      </c>
      <c r="J12" s="4" t="n">
        <f aca="false">-J6*Assumptions!J31/100</f>
        <v>-980.112939702723</v>
      </c>
      <c r="K12" s="4" t="n">
        <f aca="false">-K6*Assumptions!K31/100</f>
        <v>-951.741249342908</v>
      </c>
      <c r="L12" s="4" t="n">
        <f aca="false">-L6*Assumptions!L31/100</f>
        <v>-975.53478057648</v>
      </c>
    </row>
    <row r="13" customFormat="false" ht="15" hidden="false" customHeight="false" outlineLevel="0" collapsed="false">
      <c r="A13" s="0" t="s">
        <v>113</v>
      </c>
      <c r="C13" s="0" t="n">
        <f aca="false">C11+C12</f>
        <v>1385.49033</v>
      </c>
      <c r="D13" s="0" t="n">
        <f aca="false">D11+D12</f>
        <v>1657.66890135</v>
      </c>
      <c r="E13" s="0" t="n">
        <f aca="false">E11+E12</f>
        <v>1854.91051746</v>
      </c>
      <c r="F13" s="0" t="n">
        <f aca="false">F11+F12</f>
        <v>2065.27919261664</v>
      </c>
      <c r="G13" s="0" t="n">
        <f aca="false">G11+G12</f>
        <v>2184.54339214632</v>
      </c>
      <c r="H13" s="0" t="n">
        <f aca="false">H11+H12</f>
        <v>2261.00241087144</v>
      </c>
      <c r="I13" s="0" t="n">
        <f aca="false">I11+I12</f>
        <v>2378.91490219108</v>
      </c>
      <c r="J13" s="0" t="n">
        <f aca="false">J11+J12</f>
        <v>2450.28234925681</v>
      </c>
      <c r="K13" s="0" t="n">
        <f aca="false">K11+K12</f>
        <v>2564.41392184061</v>
      </c>
      <c r="L13" s="0" t="n">
        <f aca="false">L11+L12</f>
        <v>2628.52426988663</v>
      </c>
    </row>
    <row r="14" customFormat="false" ht="15" hidden="false" customHeight="false" outlineLevel="0" collapsed="false">
      <c r="A14" s="0" t="s">
        <v>99</v>
      </c>
      <c r="C14" s="4" t="n">
        <f aca="false">Assumptions!C33</f>
        <v>34</v>
      </c>
      <c r="D14" s="4" t="n">
        <f aca="false">Assumptions!D33</f>
        <v>33</v>
      </c>
      <c r="E14" s="4" t="n">
        <f aca="false">Assumptions!E33</f>
        <v>32</v>
      </c>
      <c r="F14" s="4" t="n">
        <f aca="false">Assumptions!F33</f>
        <v>31</v>
      </c>
      <c r="G14" s="4" t="n">
        <f aca="false">Assumptions!G33</f>
        <v>30</v>
      </c>
      <c r="H14" s="4" t="n">
        <f aca="false">Assumptions!H33</f>
        <v>30</v>
      </c>
      <c r="I14" s="4" t="n">
        <f aca="false">Assumptions!I33</f>
        <v>30</v>
      </c>
      <c r="J14" s="4" t="n">
        <f aca="false">Assumptions!J33</f>
        <v>30</v>
      </c>
      <c r="K14" s="4" t="n">
        <f aca="false">Assumptions!K33</f>
        <v>30</v>
      </c>
      <c r="L14" s="4" t="n">
        <f aca="false">Assumptions!L33</f>
        <v>30</v>
      </c>
    </row>
    <row r="15" customFormat="false" ht="15" hidden="false" customHeight="false" outlineLevel="0" collapsed="false">
      <c r="A15" s="0" t="s">
        <v>114</v>
      </c>
      <c r="C15" s="0" t="n">
        <f aca="false">C13-MAX(0,C13)*C14/100</f>
        <v>914.4236178</v>
      </c>
      <c r="D15" s="0" t="n">
        <f aca="false">D13-MAX(0,D13)*D14/100</f>
        <v>1110.6381639045</v>
      </c>
      <c r="E15" s="0" t="n">
        <f aca="false">E13-MAX(0,E13)*E14/100</f>
        <v>1261.3391518728</v>
      </c>
      <c r="F15" s="0" t="n">
        <f aca="false">F13-MAX(0,F13)*F14/100</f>
        <v>1425.04264290548</v>
      </c>
      <c r="G15" s="0" t="n">
        <f aca="false">G13-MAX(0,G13)*G14/100</f>
        <v>1529.18037450242</v>
      </c>
      <c r="H15" s="0" t="n">
        <f aca="false">H13-MAX(0,H13)*H14/100</f>
        <v>1582.70168761001</v>
      </c>
      <c r="I15" s="0" t="n">
        <f aca="false">I13-MAX(0,I13)*I14/100</f>
        <v>1665.24043153375</v>
      </c>
      <c r="J15" s="0" t="n">
        <f aca="false">J13-MAX(0,J13)*J14/100</f>
        <v>1715.19764447977</v>
      </c>
      <c r="K15" s="0" t="n">
        <f aca="false">K13-MAX(0,K13)*K14/100</f>
        <v>1795.08974528843</v>
      </c>
      <c r="L15" s="0" t="n">
        <f aca="false">L13-MAX(0,L13)*L14/100</f>
        <v>1839.96698892064</v>
      </c>
    </row>
    <row r="16" customFormat="false" ht="15" hidden="false" customHeight="false" outlineLevel="0" collapsed="false">
      <c r="A16" s="0" t="s">
        <v>115</v>
      </c>
      <c r="C16" s="0" t="n">
        <f aca="false">-C12</f>
        <v>963.81936</v>
      </c>
      <c r="D16" s="0" t="n">
        <f aca="false">-D12</f>
        <v>965.2249299</v>
      </c>
      <c r="E16" s="0" t="n">
        <f aca="false">-E12</f>
        <v>960.188973744</v>
      </c>
      <c r="F16" s="0" t="n">
        <f aca="false">-F12</f>
        <v>953.20578120768</v>
      </c>
      <c r="G16" s="0" t="n">
        <f aca="false">-G12</f>
        <v>939.588555761856</v>
      </c>
      <c r="H16" s="0" t="n">
        <f aca="false">-H12</f>
        <v>972.474155213521</v>
      </c>
      <c r="I16" s="0" t="n">
        <f aca="false">-I12</f>
        <v>951.565960876431</v>
      </c>
      <c r="J16" s="0" t="n">
        <f aca="false">-J12</f>
        <v>980.112939702723</v>
      </c>
      <c r="K16" s="0" t="n">
        <f aca="false">-K12</f>
        <v>951.741249342908</v>
      </c>
      <c r="L16" s="0" t="n">
        <f aca="false">-L12</f>
        <v>975.53478057648</v>
      </c>
    </row>
    <row r="17" customFormat="false" ht="15" hidden="false" customHeight="false" outlineLevel="0" collapsed="false">
      <c r="A17" s="0" t="s">
        <v>116</v>
      </c>
      <c r="C17" s="4" t="n">
        <f aca="false">-C6*Assumptions!C32/100</f>
        <v>-200.7957</v>
      </c>
      <c r="D17" s="4" t="n">
        <f aca="false">-D6*Assumptions!D32/100</f>
        <v>-209.8315065</v>
      </c>
      <c r="E17" s="4" t="n">
        <f aca="false">-E6*Assumptions!E32/100</f>
        <v>-261.869720112</v>
      </c>
      <c r="F17" s="4" t="n">
        <f aca="false">-F6*Assumptions!F32/100</f>
        <v>-272.34450891648</v>
      </c>
      <c r="G17" s="4" t="n">
        <f aca="false">-G6*Assumptions!G32/100</f>
        <v>-281.876566728557</v>
      </c>
      <c r="H17" s="4" t="n">
        <f aca="false">-H6*Assumptions!H32/100</f>
        <v>-340.365954324732</v>
      </c>
      <c r="I17" s="4" t="n">
        <f aca="false">-I6*Assumptions!I32/100</f>
        <v>-350.576932954474</v>
      </c>
      <c r="J17" s="4" t="n">
        <f aca="false">-J6*Assumptions!J32/100</f>
        <v>-361.094240943109</v>
      </c>
      <c r="K17" s="4" t="n">
        <f aca="false">-K6*Assumptions!K32/100</f>
        <v>-370.121596966686</v>
      </c>
      <c r="L17" s="4" t="n">
        <f aca="false">-L6*Assumptions!L32/100</f>
        <v>-379.374636890853</v>
      </c>
    </row>
    <row r="18" customFormat="false" ht="15" hidden="false" customHeight="false" outlineLevel="0" collapsed="false">
      <c r="A18" s="0" t="s">
        <v>117</v>
      </c>
      <c r="C18" s="4" t="n">
        <f aca="false">(C6-B6)*Assumptions!$B$37/100</f>
        <v>-95.6170000000002</v>
      </c>
      <c r="D18" s="4" t="n">
        <f aca="false">(D6-C6)*Assumptions!$B$37/100</f>
        <v>-90.358065</v>
      </c>
      <c r="E18" s="4" t="n">
        <f aca="false">(E6-D6)*Assumptions!$B$37/100</f>
        <v>-83.9326026000003</v>
      </c>
      <c r="F18" s="4" t="n">
        <f aca="false">(F6-E6)*Assumptions!$B$37/100</f>
        <v>-87.2899067040002</v>
      </c>
      <c r="G18" s="4" t="n">
        <f aca="false">(G6-F6)*Assumptions!$B$37/100</f>
        <v>-79.4338151006399</v>
      </c>
      <c r="H18" s="4" t="n">
        <f aca="false">(H6-G6)*Assumptions!$B$37/100</f>
        <v>-82.2139986291622</v>
      </c>
      <c r="I18" s="4" t="n">
        <f aca="false">(I6-H6)*Assumptions!$B$37/100</f>
        <v>-72.9355616410143</v>
      </c>
      <c r="J18" s="4" t="n">
        <f aca="false">(J6-I6)*Assumptions!$B$37/100</f>
        <v>-75.1236284902447</v>
      </c>
      <c r="K18" s="4" t="n">
        <f aca="false">(K6-J6)*Assumptions!$B$37/100</f>
        <v>-64.4811144541261</v>
      </c>
      <c r="L18" s="4" t="n">
        <f aca="false">(L6-K6)*Assumptions!$B$37/100</f>
        <v>-66.0931423154794</v>
      </c>
    </row>
    <row r="19" customFormat="false" ht="15" hidden="false" customHeight="false" outlineLevel="0" collapsed="false">
      <c r="A19" s="0" t="s">
        <v>118</v>
      </c>
      <c r="C19" s="0" t="n">
        <f aca="false">C15+C16+C17+C18</f>
        <v>1581.8302778</v>
      </c>
      <c r="D19" s="0" t="n">
        <f aca="false">D15+D16+D17+D18</f>
        <v>1775.6735223045</v>
      </c>
      <c r="E19" s="0" t="n">
        <f aca="false">E15+E16+E17+E18</f>
        <v>1875.7258029048</v>
      </c>
      <c r="F19" s="0" t="n">
        <f aca="false">F15+F16+F17+F18</f>
        <v>2018.61400849268</v>
      </c>
      <c r="G19" s="0" t="n">
        <f aca="false">G15+G16+G17+G18</f>
        <v>2107.45854843508</v>
      </c>
      <c r="H19" s="0" t="n">
        <f aca="false">H15+H16+H17+H18</f>
        <v>2132.59588986963</v>
      </c>
      <c r="I19" s="0" t="n">
        <f aca="false">I15+I16+I17+I18</f>
        <v>2193.2938978147</v>
      </c>
      <c r="J19" s="0" t="n">
        <f aca="false">J15+J16+J17+J18</f>
        <v>2259.09271474914</v>
      </c>
      <c r="K19" s="0" t="n">
        <f aca="false">K15+K16+K17+K18</f>
        <v>2312.22828321052</v>
      </c>
      <c r="L19" s="0" t="n">
        <f aca="false">L15+L16+L17+L18</f>
        <v>2370.03399029079</v>
      </c>
    </row>
    <row r="20" customFormat="false" ht="15" hidden="false" customHeight="false" outlineLevel="0" collapsed="false">
      <c r="A20" s="0" t="s">
        <v>119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120</v>
      </c>
      <c r="C21" s="0" t="n">
        <f aca="false">C19*C20</f>
        <v>1451.22043834862</v>
      </c>
      <c r="D21" s="0" t="n">
        <f aca="false">D19*D20</f>
        <v>1494.54887829686</v>
      </c>
      <c r="E21" s="0" t="n">
        <f aca="false">E19*E20</f>
        <v>1448.40447812736</v>
      </c>
      <c r="F21" s="0" t="n">
        <f aca="false">F19*F20</f>
        <v>1430.03705502559</v>
      </c>
      <c r="G21" s="0" t="n">
        <f aca="false">G19*G20</f>
        <v>1369.70345595071</v>
      </c>
      <c r="H21" s="0" t="n">
        <f aca="false">H19*H20</f>
        <v>1271.59725056617</v>
      </c>
      <c r="I21" s="0" t="n">
        <f aca="false">I19*I20</f>
        <v>1199.80687111052</v>
      </c>
      <c r="J21" s="0" t="n">
        <f aca="false">J19*J20</f>
        <v>1133.762456187</v>
      </c>
      <c r="K21" s="0" t="n">
        <f aca="false">K19*K20</f>
        <v>1064.61413417341</v>
      </c>
      <c r="L21" s="0" t="n">
        <f aca="false">L19*L20</f>
        <v>1001.12797020894</v>
      </c>
    </row>
    <row r="23" customFormat="false" ht="15" hidden="false" customHeight="false" outlineLevel="0" collapsed="false">
      <c r="A23" s="0" t="s">
        <v>96</v>
      </c>
      <c r="C23" s="4" t="n">
        <f aca="false">Assumptions!C30</f>
        <v>0.35</v>
      </c>
      <c r="D23" s="4" t="n">
        <f aca="false">Assumptions!D30</f>
        <v>0.35</v>
      </c>
      <c r="E23" s="4" t="n">
        <f aca="false">Assumptions!E30</f>
        <v>0.35</v>
      </c>
      <c r="F23" s="4" t="n">
        <f aca="false">Assumptions!F30</f>
        <v>0.35</v>
      </c>
      <c r="G23" s="4" t="n">
        <f aca="false">Assumptions!G30</f>
        <v>0.35</v>
      </c>
      <c r="H23" s="4" t="n">
        <f aca="false">Assumptions!H30</f>
        <v>0.35</v>
      </c>
      <c r="I23" s="4" t="n">
        <f aca="false">Assumptions!I30</f>
        <v>0.35</v>
      </c>
      <c r="J23" s="4" t="n">
        <f aca="false">Assumptions!J30</f>
        <v>0.35</v>
      </c>
      <c r="K23" s="4" t="n">
        <f aca="false">Assumptions!K30</f>
        <v>0.35</v>
      </c>
      <c r="L23" s="4" t="n">
        <f aca="false">Assumptions!L30</f>
        <v>0.35</v>
      </c>
    </row>
    <row r="24" customFormat="false" ht="15" hidden="false" customHeight="false" outlineLevel="0" collapsed="false">
      <c r="A24" s="0" t="s">
        <v>121</v>
      </c>
      <c r="C24" s="0" t="n">
        <f aca="false">-C6*C23/100</f>
        <v>-140.55699</v>
      </c>
      <c r="D24" s="0" t="n">
        <f aca="false">-D6*D23/100</f>
        <v>-146.88205455</v>
      </c>
      <c r="E24" s="0" t="n">
        <f aca="false">-E6*E23/100</f>
        <v>-152.757336732</v>
      </c>
      <c r="F24" s="0" t="n">
        <f aca="false">-F6*F23/100</f>
        <v>-158.86763020128</v>
      </c>
      <c r="G24" s="0" t="n">
        <f aca="false">-G6*G23/100</f>
        <v>-164.427997258325</v>
      </c>
      <c r="H24" s="0" t="n">
        <f aca="false">-H6*H23/100</f>
        <v>-170.182977162366</v>
      </c>
      <c r="I24" s="0" t="n">
        <f aca="false">-I6*I23/100</f>
        <v>-175.288466477237</v>
      </c>
      <c r="J24" s="0" t="n">
        <f aca="false">-J6*J23/100</f>
        <v>-180.547120471554</v>
      </c>
      <c r="K24" s="0" t="n">
        <f aca="false">-K6*K23/100</f>
        <v>-185.060798483343</v>
      </c>
      <c r="L24" s="0" t="n">
        <f aca="false">-L6*L23/100</f>
        <v>-189.687318445427</v>
      </c>
    </row>
    <row r="26" customFormat="false" ht="15" hidden="false" customHeight="false" outlineLevel="0" collapsed="false">
      <c r="A26" s="2" t="s">
        <v>122</v>
      </c>
    </row>
    <row r="27" customFormat="false" ht="15" hidden="false" customHeight="false" outlineLevel="0" collapsed="false">
      <c r="A27" s="0" t="s">
        <v>100</v>
      </c>
      <c r="B27" s="4" t="n">
        <f aca="false">Assumptions!$B$34</f>
        <v>9</v>
      </c>
    </row>
    <row r="28" customFormat="false" ht="15" hidden="false" customHeight="false" outlineLevel="0" collapsed="false">
      <c r="A28" s="0" t="s">
        <v>101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102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123</v>
      </c>
      <c r="B30" s="0" t="n">
        <f aca="false">SUM(C21:L21)</f>
        <v>12864.8229879952</v>
      </c>
    </row>
    <row r="31" customFormat="false" ht="15" hidden="false" customHeight="false" outlineLevel="0" collapsed="false">
      <c r="A31" s="0" t="s">
        <v>124</v>
      </c>
      <c r="B31" s="0" t="n">
        <f aca="false">L19</f>
        <v>2370.03399029079</v>
      </c>
    </row>
    <row r="32" customFormat="false" ht="15" hidden="false" customHeight="false" outlineLevel="0" collapsed="false">
      <c r="A32" s="0" t="s">
        <v>125</v>
      </c>
      <c r="B32" s="0" t="n">
        <f aca="false">IF(B27&gt;B28,B31*(1+B28/100)/((B27-B28)/100),B31*B29)</f>
        <v>37373.6129238163</v>
      </c>
    </row>
    <row r="33" customFormat="false" ht="15" hidden="false" customHeight="false" outlineLevel="0" collapsed="false">
      <c r="A33" s="0" t="s">
        <v>126</v>
      </c>
      <c r="B33" s="0" t="n">
        <f aca="false">B31*B29</f>
        <v>28440.4078834894</v>
      </c>
    </row>
    <row r="34" customFormat="false" ht="15" hidden="false" customHeight="false" outlineLevel="0" collapsed="false">
      <c r="A34" s="0" t="s">
        <v>127</v>
      </c>
      <c r="B34" s="0" t="n">
        <f aca="false">MAX(0,MIN(B32,B33))</f>
        <v>28440.4078834894</v>
      </c>
    </row>
    <row r="35" customFormat="false" ht="15" hidden="false" customHeight="false" outlineLevel="0" collapsed="false">
      <c r="A35" s="0" t="s">
        <v>128</v>
      </c>
      <c r="B35" s="0" t="n">
        <f aca="false">B34/(1+B27/100)^L4</f>
        <v>12013.5356425073</v>
      </c>
    </row>
    <row r="36" customFormat="false" ht="15" hidden="false" customHeight="false" outlineLevel="0" collapsed="false">
      <c r="A36" s="0" t="s">
        <v>129</v>
      </c>
      <c r="B36" s="0" t="n">
        <f aca="false">B30+B35</f>
        <v>24878.3586305025</v>
      </c>
    </row>
    <row r="37" customFormat="false" ht="15" hidden="false" customHeight="false" outlineLevel="0" collapsed="false">
      <c r="A37" s="0" t="s">
        <v>130</v>
      </c>
      <c r="B37" s="0" t="n">
        <f aca="false">B36+Assumptions!$B$5-Assumptions!$B$4</f>
        <v>34194.0586305025</v>
      </c>
    </row>
    <row r="38" customFormat="false" ht="15" hidden="false" customHeight="false" outlineLevel="0" collapsed="false">
      <c r="A38" s="0" t="s">
        <v>131</v>
      </c>
      <c r="B38" s="0" t="n">
        <f aca="false">B37/Assumptions!$B$3*Assumptions!$B$10</f>
        <v>35.3251613366782</v>
      </c>
    </row>
    <row r="39" customFormat="false" ht="15" hidden="false" customHeight="false" outlineLevel="0" collapsed="false">
      <c r="A39" s="0" t="s">
        <v>132</v>
      </c>
      <c r="B39" s="4" t="n">
        <f aca="false">B38/Assumptions!$B$2-1</f>
        <v>0.837937634582632</v>
      </c>
    </row>
    <row r="41" customFormat="false" ht="15" hidden="false" customHeight="false" outlineLevel="0" collapsed="false">
      <c r="A41" s="0" t="s">
        <v>133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134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135</v>
      </c>
      <c r="B43" s="0" t="n">
        <f aca="false">(B37+B41+B42)/Assumptions!$B$3*Assumptions!$B$10</f>
        <v>35.3251613366782</v>
      </c>
    </row>
    <row r="45" customFormat="false" ht="15" hidden="false" customHeight="false" outlineLevel="0" collapsed="false">
      <c r="A45" s="0" t="s">
        <v>75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136</v>
      </c>
      <c r="B46" s="0" t="n">
        <f aca="false">MAX(0,MIN(IF(B45&gt;B28,B31*(1+B28/100)/((B45-B28)/100),B31*B29),B31*B29))</f>
        <v>19434.2787203845</v>
      </c>
    </row>
    <row r="47" customFormat="false" ht="15" hidden="false" customHeight="false" outlineLevel="0" collapsed="false">
      <c r="A47" s="0" t="s">
        <v>137</v>
      </c>
      <c r="B47" s="0" t="n">
        <f aca="false">(SUMPRODUCT(C19:L19/(1+B45/100)^C4:L4)+B46/(1+B45/100)^L4+Assumptions!$B$5-Assumptions!$B$4)/Assumptions!$B$3*Assumptions!$B$10</f>
        <v>24.7950425921624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139</v>
      </c>
    </row>
    <row r="3" customFormat="false" ht="15" hidden="false" customHeight="false" outlineLevel="0" collapsed="false">
      <c r="A3" s="0" t="s">
        <v>108</v>
      </c>
      <c r="B3" s="0" t="s">
        <v>78</v>
      </c>
      <c r="C3" s="2" t="s">
        <v>83</v>
      </c>
      <c r="D3" s="2" t="s">
        <v>84</v>
      </c>
      <c r="E3" s="2" t="s">
        <v>85</v>
      </c>
      <c r="F3" s="2" t="s">
        <v>86</v>
      </c>
      <c r="G3" s="2" t="s">
        <v>87</v>
      </c>
      <c r="H3" s="2" t="s">
        <v>88</v>
      </c>
      <c r="I3" s="2" t="s">
        <v>89</v>
      </c>
      <c r="J3" s="2" t="s">
        <v>90</v>
      </c>
      <c r="K3" s="2" t="s">
        <v>91</v>
      </c>
      <c r="L3" s="2" t="s">
        <v>92</v>
      </c>
    </row>
    <row r="4" customFormat="false" ht="15" hidden="false" customHeight="false" outlineLevel="0" collapsed="false">
      <c r="A4" s="0" t="s">
        <v>109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93</v>
      </c>
      <c r="C5" s="4" t="n">
        <f aca="false">Assumptions!C41</f>
        <v>7</v>
      </c>
      <c r="D5" s="4" t="n">
        <f aca="false">Assumptions!D41</f>
        <v>7</v>
      </c>
      <c r="E5" s="4" t="n">
        <f aca="false">Assumptions!E41</f>
        <v>6</v>
      </c>
      <c r="F5" s="4" t="n">
        <f aca="false">Assumptions!F41</f>
        <v>6</v>
      </c>
      <c r="G5" s="4" t="n">
        <f aca="false">Assumptions!G41</f>
        <v>5</v>
      </c>
      <c r="H5" s="4" t="n">
        <f aca="false">Assumptions!H41</f>
        <v>5</v>
      </c>
      <c r="I5" s="4" t="n">
        <f aca="false">Assumptions!I41</f>
        <v>4</v>
      </c>
      <c r="J5" s="4" t="n">
        <f aca="false">Assumptions!J41</f>
        <v>4</v>
      </c>
      <c r="K5" s="4" t="n">
        <f aca="false">Assumptions!K41</f>
        <v>3.5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38</v>
      </c>
      <c r="B6" s="3" t="n">
        <v>38246.8</v>
      </c>
      <c r="C6" s="0" t="n">
        <f aca="false">B6*(1+C5/100)</f>
        <v>40924.076</v>
      </c>
      <c r="D6" s="0" t="n">
        <f aca="false">C6*(1+D5/100)</f>
        <v>43788.76132</v>
      </c>
      <c r="E6" s="0" t="n">
        <f aca="false">D6*(1+E5/100)</f>
        <v>46416.0869992</v>
      </c>
      <c r="F6" s="0" t="n">
        <f aca="false">E6*(1+F5/100)</f>
        <v>49201.052219152</v>
      </c>
      <c r="G6" s="0" t="n">
        <f aca="false">F6*(1+G5/100)</f>
        <v>51661.1048301096</v>
      </c>
      <c r="H6" s="0" t="n">
        <f aca="false">G6*(1+H5/100)</f>
        <v>54244.1600716151</v>
      </c>
      <c r="I6" s="0" t="n">
        <f aca="false">H6*(1+I5/100)</f>
        <v>56413.9264744797</v>
      </c>
      <c r="J6" s="0" t="n">
        <f aca="false">I6*(1+J5/100)</f>
        <v>58670.4835334589</v>
      </c>
      <c r="K6" s="0" t="n">
        <f aca="false">J6*(1+K5/100)</f>
        <v>60723.95045713</v>
      </c>
      <c r="L6" s="0" t="n">
        <f aca="false">K6*(1+L5/100)</f>
        <v>62545.6689708439</v>
      </c>
    </row>
    <row r="7" customFormat="false" ht="15" hidden="false" customHeight="false" outlineLevel="0" collapsed="false">
      <c r="A7" s="0" t="s">
        <v>94</v>
      </c>
      <c r="C7" s="4" t="n">
        <f aca="false">Assumptions!C42</f>
        <v>7</v>
      </c>
      <c r="D7" s="4" t="n">
        <f aca="false">Assumptions!D42</f>
        <v>7.8</v>
      </c>
      <c r="E7" s="4" t="n">
        <f aca="false">Assumptions!E42</f>
        <v>8.3</v>
      </c>
      <c r="F7" s="4" t="n">
        <f aca="false">Assumptions!F42</f>
        <v>8.5</v>
      </c>
      <c r="G7" s="4" t="n">
        <f aca="false">Assumptions!G42</f>
        <v>8.7</v>
      </c>
      <c r="H7" s="4" t="n">
        <f aca="false">Assumptions!H42</f>
        <v>8.7</v>
      </c>
      <c r="I7" s="4" t="n">
        <f aca="false">Assumptions!I42</f>
        <v>8.7</v>
      </c>
      <c r="J7" s="4" t="n">
        <f aca="false">Assumptions!J42</f>
        <v>8.7</v>
      </c>
      <c r="K7" s="4" t="n">
        <f aca="false">Assumptions!K42</f>
        <v>8.7</v>
      </c>
      <c r="L7" s="4" t="n">
        <f aca="false">Assumptions!L42</f>
        <v>8.7</v>
      </c>
    </row>
    <row r="8" customFormat="false" ht="15" hidden="false" customHeight="false" outlineLevel="0" collapsed="false">
      <c r="A8" s="0" t="s">
        <v>44</v>
      </c>
      <c r="C8" s="0" t="n">
        <f aca="false">C6*C7/100</f>
        <v>2864.68532</v>
      </c>
      <c r="D8" s="0" t="n">
        <f aca="false">D6*D7/100</f>
        <v>3415.52338296</v>
      </c>
      <c r="E8" s="0" t="n">
        <f aca="false">E6*E7/100</f>
        <v>3852.5352209336</v>
      </c>
      <c r="F8" s="0" t="n">
        <f aca="false">F6*F7/100</f>
        <v>4182.08943862792</v>
      </c>
      <c r="G8" s="0" t="n">
        <f aca="false">G6*G7/100</f>
        <v>4494.51612021954</v>
      </c>
      <c r="H8" s="0" t="n">
        <f aca="false">H6*H7/100</f>
        <v>4719.24192623051</v>
      </c>
      <c r="I8" s="0" t="n">
        <f aca="false">I6*I7/100</f>
        <v>4908.01160327973</v>
      </c>
      <c r="J8" s="0" t="n">
        <f aca="false">J6*J7/100</f>
        <v>5104.33206741092</v>
      </c>
      <c r="K8" s="0" t="n">
        <f aca="false">K6*K7/100</f>
        <v>5282.98368977031</v>
      </c>
      <c r="L8" s="0" t="n">
        <f aca="false">L6*L7/100</f>
        <v>5441.47320046342</v>
      </c>
    </row>
    <row r="9" customFormat="false" ht="15" hidden="false" customHeight="false" outlineLevel="0" collapsed="false">
      <c r="A9" s="0" t="s">
        <v>95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110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111</v>
      </c>
      <c r="C11" s="0" t="n">
        <f aca="false">C8+C10+C24</f>
        <v>2721.451054</v>
      </c>
      <c r="D11" s="0" t="n">
        <f aca="false">D8+D10+D24</f>
        <v>3262.26271834</v>
      </c>
      <c r="E11" s="0" t="n">
        <f aca="false">E8+E10+E24</f>
        <v>3690.0789164364</v>
      </c>
      <c r="F11" s="0" t="n">
        <f aca="false">F8+F10+F24</f>
        <v>4009.88575586089</v>
      </c>
      <c r="G11" s="0" t="n">
        <f aca="false">G8+G10+G24</f>
        <v>4313.70225331415</v>
      </c>
      <c r="H11" s="0" t="n">
        <f aca="false">H8+H10+H24</f>
        <v>4529.38736597986</v>
      </c>
      <c r="I11" s="0" t="n">
        <f aca="false">I8+I10+I24</f>
        <v>4710.56286061906</v>
      </c>
      <c r="J11" s="0" t="n">
        <f aca="false">J8+J10+J24</f>
        <v>4898.98537504382</v>
      </c>
      <c r="K11" s="0" t="n">
        <f aca="false">K8+K10+K24</f>
        <v>5070.44986317035</v>
      </c>
      <c r="L11" s="0" t="n">
        <f aca="false">L8+L10+L24</f>
        <v>5222.56335906546</v>
      </c>
    </row>
    <row r="12" customFormat="false" ht="15" hidden="false" customHeight="false" outlineLevel="0" collapsed="false">
      <c r="A12" s="0" t="s">
        <v>112</v>
      </c>
      <c r="C12" s="4" t="n">
        <f aca="false">-C6*Assumptions!C45/100</f>
        <v>-982.177824</v>
      </c>
      <c r="D12" s="4" t="n">
        <f aca="false">-D6*Assumptions!D45/100</f>
        <v>-1007.14151036</v>
      </c>
      <c r="E12" s="4" t="n">
        <f aca="false">-E6*Assumptions!E45/100</f>
        <v>-1021.1539139824</v>
      </c>
      <c r="F12" s="4" t="n">
        <f aca="false">-F6*Assumptions!F45/100</f>
        <v>-1033.22209660219</v>
      </c>
      <c r="G12" s="4" t="n">
        <f aca="false">-G6*Assumptions!G45/100</f>
        <v>-1033.22209660219</v>
      </c>
      <c r="H12" s="4" t="n">
        <f aca="false">-H6*Assumptions!H45/100</f>
        <v>-1084.8832014323</v>
      </c>
      <c r="I12" s="4" t="n">
        <f aca="false">-I6*Assumptions!I45/100</f>
        <v>-1071.86460301511</v>
      </c>
      <c r="J12" s="4" t="n">
        <f aca="false">-J6*Assumptions!J45/100</f>
        <v>-1114.73918713572</v>
      </c>
      <c r="K12" s="4" t="n">
        <f aca="false">-K6*Assumptions!K45/100</f>
        <v>-1093.03110822834</v>
      </c>
      <c r="L12" s="4" t="n">
        <f aca="false">-L6*Assumptions!L45/100</f>
        <v>-1125.82204147519</v>
      </c>
    </row>
    <row r="13" customFormat="false" ht="15" hidden="false" customHeight="false" outlineLevel="0" collapsed="false">
      <c r="A13" s="0" t="s">
        <v>113</v>
      </c>
      <c r="C13" s="0" t="n">
        <f aca="false">C11+C12</f>
        <v>1739.27323</v>
      </c>
      <c r="D13" s="0" t="n">
        <f aca="false">D11+D12</f>
        <v>2255.12120798</v>
      </c>
      <c r="E13" s="0" t="n">
        <f aca="false">E11+E12</f>
        <v>2668.925002454</v>
      </c>
      <c r="F13" s="0" t="n">
        <f aca="false">F11+F12</f>
        <v>2976.6636592587</v>
      </c>
      <c r="G13" s="0" t="n">
        <f aca="false">G11+G12</f>
        <v>3280.48015671196</v>
      </c>
      <c r="H13" s="0" t="n">
        <f aca="false">H11+H12</f>
        <v>3444.50416454756</v>
      </c>
      <c r="I13" s="0" t="n">
        <f aca="false">I11+I12</f>
        <v>3638.69825760394</v>
      </c>
      <c r="J13" s="0" t="n">
        <f aca="false">J11+J12</f>
        <v>3784.2461879081</v>
      </c>
      <c r="K13" s="0" t="n">
        <f aca="false">K11+K12</f>
        <v>3977.41875494201</v>
      </c>
      <c r="L13" s="0" t="n">
        <f aca="false">L11+L12</f>
        <v>4096.74131759027</v>
      </c>
    </row>
    <row r="14" customFormat="false" ht="15" hidden="false" customHeight="false" outlineLevel="0" collapsed="false">
      <c r="A14" s="0" t="s">
        <v>99</v>
      </c>
      <c r="C14" s="4" t="n">
        <f aca="false">Assumptions!C47</f>
        <v>32</v>
      </c>
      <c r="D14" s="4" t="n">
        <f aca="false">Assumptions!D47</f>
        <v>31</v>
      </c>
      <c r="E14" s="4" t="n">
        <f aca="false">Assumptions!E47</f>
        <v>30</v>
      </c>
      <c r="F14" s="4" t="n">
        <f aca="false">Assumptions!F47</f>
        <v>29</v>
      </c>
      <c r="G14" s="4" t="n">
        <f aca="false">Assumptions!G47</f>
        <v>28</v>
      </c>
      <c r="H14" s="4" t="n">
        <f aca="false">Assumptions!H47</f>
        <v>28</v>
      </c>
      <c r="I14" s="4" t="n">
        <f aca="false">Assumptions!I47</f>
        <v>28</v>
      </c>
      <c r="J14" s="4" t="n">
        <f aca="false">Assumptions!J47</f>
        <v>28</v>
      </c>
      <c r="K14" s="4" t="n">
        <f aca="false">Assumptions!K47</f>
        <v>28</v>
      </c>
      <c r="L14" s="4" t="n">
        <f aca="false">Assumptions!L47</f>
        <v>28</v>
      </c>
    </row>
    <row r="15" customFormat="false" ht="15" hidden="false" customHeight="false" outlineLevel="0" collapsed="false">
      <c r="A15" s="0" t="s">
        <v>114</v>
      </c>
      <c r="C15" s="0" t="n">
        <f aca="false">C13-MAX(0,C13)*C14/100</f>
        <v>1182.7057964</v>
      </c>
      <c r="D15" s="0" t="n">
        <f aca="false">D13-MAX(0,D13)*D14/100</f>
        <v>1556.0336335062</v>
      </c>
      <c r="E15" s="0" t="n">
        <f aca="false">E13-MAX(0,E13)*E14/100</f>
        <v>1868.2475017178</v>
      </c>
      <c r="F15" s="0" t="n">
        <f aca="false">F13-MAX(0,F13)*F14/100</f>
        <v>2113.43119807367</v>
      </c>
      <c r="G15" s="0" t="n">
        <f aca="false">G13-MAX(0,G13)*G14/100</f>
        <v>2361.94571283261</v>
      </c>
      <c r="H15" s="0" t="n">
        <f aca="false">H13-MAX(0,H13)*H14/100</f>
        <v>2480.04299847424</v>
      </c>
      <c r="I15" s="0" t="n">
        <f aca="false">I13-MAX(0,I13)*I14/100</f>
        <v>2619.86274547484</v>
      </c>
      <c r="J15" s="0" t="n">
        <f aca="false">J13-MAX(0,J13)*J14/100</f>
        <v>2724.65725529383</v>
      </c>
      <c r="K15" s="0" t="n">
        <f aca="false">K13-MAX(0,K13)*K14/100</f>
        <v>2863.74150355825</v>
      </c>
      <c r="L15" s="0" t="n">
        <f aca="false">L13-MAX(0,L13)*L14/100</f>
        <v>2949.653748665</v>
      </c>
    </row>
    <row r="16" customFormat="false" ht="15" hidden="false" customHeight="false" outlineLevel="0" collapsed="false">
      <c r="A16" s="0" t="s">
        <v>115</v>
      </c>
      <c r="C16" s="0" t="n">
        <f aca="false">-C12</f>
        <v>982.177824</v>
      </c>
      <c r="D16" s="0" t="n">
        <f aca="false">-D12</f>
        <v>1007.14151036</v>
      </c>
      <c r="E16" s="0" t="n">
        <f aca="false">-E12</f>
        <v>1021.1539139824</v>
      </c>
      <c r="F16" s="0" t="n">
        <f aca="false">-F12</f>
        <v>1033.22209660219</v>
      </c>
      <c r="G16" s="0" t="n">
        <f aca="false">-G12</f>
        <v>1033.22209660219</v>
      </c>
      <c r="H16" s="0" t="n">
        <f aca="false">-H12</f>
        <v>1084.8832014323</v>
      </c>
      <c r="I16" s="0" t="n">
        <f aca="false">-I12</f>
        <v>1071.86460301511</v>
      </c>
      <c r="J16" s="0" t="n">
        <f aca="false">-J12</f>
        <v>1114.73918713572</v>
      </c>
      <c r="K16" s="0" t="n">
        <f aca="false">-K12</f>
        <v>1093.03110822834</v>
      </c>
      <c r="L16" s="0" t="n">
        <f aca="false">-L12</f>
        <v>1125.82204147519</v>
      </c>
    </row>
    <row r="17" customFormat="false" ht="15" hidden="false" customHeight="false" outlineLevel="0" collapsed="false">
      <c r="A17" s="0" t="s">
        <v>116</v>
      </c>
      <c r="C17" s="4" t="n">
        <f aca="false">-C6*Assumptions!C46/100</f>
        <v>-204.62038</v>
      </c>
      <c r="D17" s="4" t="n">
        <f aca="false">-D6*Assumptions!D46/100</f>
        <v>-218.9438066</v>
      </c>
      <c r="E17" s="4" t="n">
        <f aca="false">-E6*Assumptions!E46/100</f>
        <v>-278.4965219952</v>
      </c>
      <c r="F17" s="4" t="n">
        <f aca="false">-F6*Assumptions!F46/100</f>
        <v>-295.206313314912</v>
      </c>
      <c r="G17" s="4" t="n">
        <f aca="false">-G6*Assumptions!G46/100</f>
        <v>-309.966628980658</v>
      </c>
      <c r="H17" s="4" t="n">
        <f aca="false">-H6*Assumptions!H46/100</f>
        <v>-379.709120501306</v>
      </c>
      <c r="I17" s="4" t="n">
        <f aca="false">-I6*Assumptions!I46/100</f>
        <v>-394.897485321358</v>
      </c>
      <c r="J17" s="4" t="n">
        <f aca="false">-J6*Assumptions!J46/100</f>
        <v>-410.693384734212</v>
      </c>
      <c r="K17" s="4" t="n">
        <f aca="false">-K6*Assumptions!K46/100</f>
        <v>-425.06765319991</v>
      </c>
      <c r="L17" s="4" t="n">
        <f aca="false">-L6*Assumptions!L46/100</f>
        <v>-437.819682795907</v>
      </c>
    </row>
    <row r="18" customFormat="false" ht="15" hidden="false" customHeight="false" outlineLevel="0" collapsed="false">
      <c r="A18" s="0" t="s">
        <v>117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118</v>
      </c>
      <c r="C19" s="0" t="n">
        <f aca="false">C15+C16+C17+C18</f>
        <v>1960.2632404</v>
      </c>
      <c r="D19" s="0" t="n">
        <f aca="false">D15+D16+D17+D18</f>
        <v>2344.2313372662</v>
      </c>
      <c r="E19" s="0" t="n">
        <f aca="false">E15+E16+E17+E18</f>
        <v>2610.904893705</v>
      </c>
      <c r="F19" s="0" t="n">
        <f aca="false">F15+F16+F17+F18</f>
        <v>2851.44698136096</v>
      </c>
      <c r="G19" s="0" t="n">
        <f aca="false">G15+G16+G17+G18</f>
        <v>3085.20118045415</v>
      </c>
      <c r="H19" s="0" t="n">
        <f aca="false">H15+H16+H17+H18</f>
        <v>3185.21707940524</v>
      </c>
      <c r="I19" s="0" t="n">
        <f aca="false">I15+I16+I17+I18</f>
        <v>3296.82986316859</v>
      </c>
      <c r="J19" s="0" t="n">
        <f aca="false">J15+J16+J17+J18</f>
        <v>3428.70305769534</v>
      </c>
      <c r="K19" s="0" t="n">
        <f aca="false">K15+K16+K17+K18</f>
        <v>3531.70495858668</v>
      </c>
      <c r="L19" s="0" t="n">
        <f aca="false">L15+L16+L17+L18</f>
        <v>3637.65610734428</v>
      </c>
    </row>
    <row r="20" customFormat="false" ht="15" hidden="false" customHeight="false" outlineLevel="0" collapsed="false">
      <c r="A20" s="0" t="s">
        <v>119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120</v>
      </c>
      <c r="C21" s="0" t="n">
        <f aca="false">C19*C20</f>
        <v>1798.40664256881</v>
      </c>
      <c r="D21" s="0" t="n">
        <f aca="false">D19*D20</f>
        <v>1973.09261616547</v>
      </c>
      <c r="E21" s="0" t="n">
        <f aca="false">E19*E20</f>
        <v>2016.09762692959</v>
      </c>
      <c r="F21" s="0" t="n">
        <f aca="false">F19*F20</f>
        <v>2020.03692961185</v>
      </c>
      <c r="G21" s="0" t="n">
        <f aca="false">G19*G20</f>
        <v>2005.16908022185</v>
      </c>
      <c r="H21" s="0" t="n">
        <f aca="false">H19*H20</f>
        <v>1899.24087346698</v>
      </c>
      <c r="I21" s="0" t="n">
        <f aca="false">I19*I20</f>
        <v>1803.47883457533</v>
      </c>
      <c r="J21" s="0" t="n">
        <f aca="false">J19*J20</f>
        <v>1720.7504476682</v>
      </c>
      <c r="K21" s="0" t="n">
        <f aca="false">K19*K20</f>
        <v>1626.09507198877</v>
      </c>
      <c r="L21" s="0" t="n">
        <f aca="false">L19*L20</f>
        <v>1536.58525151233</v>
      </c>
    </row>
    <row r="23" customFormat="false" ht="15" hidden="false" customHeight="false" outlineLevel="0" collapsed="false">
      <c r="A23" s="0" t="s">
        <v>96</v>
      </c>
      <c r="C23" s="4" t="n">
        <f aca="false">Assumptions!C44</f>
        <v>0.35</v>
      </c>
      <c r="D23" s="4" t="n">
        <f aca="false">Assumptions!D44</f>
        <v>0.35</v>
      </c>
      <c r="E23" s="4" t="n">
        <f aca="false">Assumptions!E44</f>
        <v>0.35</v>
      </c>
      <c r="F23" s="4" t="n">
        <f aca="false">Assumptions!F44</f>
        <v>0.35</v>
      </c>
      <c r="G23" s="4" t="n">
        <f aca="false">Assumptions!G44</f>
        <v>0.35</v>
      </c>
      <c r="H23" s="4" t="n">
        <f aca="false">Assumptions!H44</f>
        <v>0.35</v>
      </c>
      <c r="I23" s="4" t="n">
        <f aca="false">Assumptions!I44</f>
        <v>0.35</v>
      </c>
      <c r="J23" s="4" t="n">
        <f aca="false">Assumptions!J44</f>
        <v>0.35</v>
      </c>
      <c r="K23" s="4" t="n">
        <f aca="false">Assumptions!K44</f>
        <v>0.35</v>
      </c>
      <c r="L23" s="4" t="n">
        <f aca="false">Assumptions!L44</f>
        <v>0.35</v>
      </c>
    </row>
    <row r="24" customFormat="false" ht="15" hidden="false" customHeight="false" outlineLevel="0" collapsed="false">
      <c r="A24" s="0" t="s">
        <v>121</v>
      </c>
      <c r="C24" s="0" t="n">
        <f aca="false">-C6*C23/100</f>
        <v>-143.234266</v>
      </c>
      <c r="D24" s="0" t="n">
        <f aca="false">-D6*D23/100</f>
        <v>-153.26066462</v>
      </c>
      <c r="E24" s="0" t="n">
        <f aca="false">-E6*E23/100</f>
        <v>-162.4563044972</v>
      </c>
      <c r="F24" s="0" t="n">
        <f aca="false">-F6*F23/100</f>
        <v>-172.203682767032</v>
      </c>
      <c r="G24" s="0" t="n">
        <f aca="false">-G6*G23/100</f>
        <v>-180.813866905384</v>
      </c>
      <c r="H24" s="0" t="n">
        <f aca="false">-H6*H23/100</f>
        <v>-189.854560250653</v>
      </c>
      <c r="I24" s="0" t="n">
        <f aca="false">-I6*I23/100</f>
        <v>-197.448742660679</v>
      </c>
      <c r="J24" s="0" t="n">
        <f aca="false">-J6*J23/100</f>
        <v>-205.346692367106</v>
      </c>
      <c r="K24" s="0" t="n">
        <f aca="false">-K6*K23/100</f>
        <v>-212.533826599955</v>
      </c>
      <c r="L24" s="0" t="n">
        <f aca="false">-L6*L23/100</f>
        <v>-218.909841397954</v>
      </c>
    </row>
    <row r="26" customFormat="false" ht="15" hidden="false" customHeight="false" outlineLevel="0" collapsed="false">
      <c r="A26" s="2" t="s">
        <v>122</v>
      </c>
    </row>
    <row r="27" customFormat="false" ht="15" hidden="false" customHeight="false" outlineLevel="0" collapsed="false">
      <c r="A27" s="0" t="s">
        <v>100</v>
      </c>
      <c r="B27" s="4" t="n">
        <f aca="false">Assumptions!$B$48</f>
        <v>9</v>
      </c>
    </row>
    <row r="28" customFormat="false" ht="15" hidden="false" customHeight="false" outlineLevel="0" collapsed="false">
      <c r="A28" s="0" t="s">
        <v>101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102</v>
      </c>
      <c r="B29" s="4" t="n">
        <f aca="false">Assumptions!$B$50</f>
        <v>12</v>
      </c>
    </row>
    <row r="30" customFormat="false" ht="15" hidden="false" customHeight="false" outlineLevel="0" collapsed="false">
      <c r="A30" s="0" t="s">
        <v>123</v>
      </c>
      <c r="B30" s="0" t="n">
        <f aca="false">SUM(C21:L21)</f>
        <v>18398.9533747092</v>
      </c>
    </row>
    <row r="31" customFormat="false" ht="15" hidden="false" customHeight="false" outlineLevel="0" collapsed="false">
      <c r="A31" s="0" t="s">
        <v>124</v>
      </c>
      <c r="B31" s="0" t="n">
        <f aca="false">L19</f>
        <v>3637.65610734428</v>
      </c>
    </row>
    <row r="32" customFormat="false" ht="15" hidden="false" customHeight="false" outlineLevel="0" collapsed="false">
      <c r="A32" s="0" t="s">
        <v>125</v>
      </c>
      <c r="B32" s="0" t="n">
        <f aca="false">IF(B27&gt;B28,B31*(1+B28/100)/((B27-B28)/100),B31*B29)</f>
        <v>62446.4298427435</v>
      </c>
    </row>
    <row r="33" customFormat="false" ht="15" hidden="false" customHeight="false" outlineLevel="0" collapsed="false">
      <c r="A33" s="0" t="s">
        <v>126</v>
      </c>
      <c r="B33" s="0" t="n">
        <f aca="false">B31*B29</f>
        <v>43651.8732881313</v>
      </c>
    </row>
    <row r="34" customFormat="false" ht="15" hidden="false" customHeight="false" outlineLevel="0" collapsed="false">
      <c r="A34" s="0" t="s">
        <v>127</v>
      </c>
      <c r="B34" s="0" t="n">
        <f aca="false">MAX(0,MIN(B32,B33))</f>
        <v>43651.8732881313</v>
      </c>
    </row>
    <row r="35" customFormat="false" ht="15" hidden="false" customHeight="false" outlineLevel="0" collapsed="false">
      <c r="A35" s="0" t="s">
        <v>128</v>
      </c>
      <c r="B35" s="0" t="n">
        <f aca="false">B34/(1+B27/100)^L4</f>
        <v>18439.0230181479</v>
      </c>
    </row>
    <row r="36" customFormat="false" ht="15" hidden="false" customHeight="false" outlineLevel="0" collapsed="false">
      <c r="A36" s="0" t="s">
        <v>129</v>
      </c>
      <c r="B36" s="0" t="n">
        <f aca="false">B30+B35</f>
        <v>36837.9763928571</v>
      </c>
    </row>
    <row r="37" customFormat="false" ht="15" hidden="false" customHeight="false" outlineLevel="0" collapsed="false">
      <c r="A37" s="0" t="s">
        <v>130</v>
      </c>
      <c r="B37" s="0" t="n">
        <f aca="false">B36+Assumptions!$B$5-Assumptions!$B$4</f>
        <v>46153.6763928571</v>
      </c>
    </row>
    <row r="38" customFormat="false" ht="15" hidden="false" customHeight="false" outlineLevel="0" collapsed="false">
      <c r="A38" s="0" t="s">
        <v>131</v>
      </c>
      <c r="B38" s="0" t="n">
        <f aca="false">B37/Assumptions!$B$3*Assumptions!$B$10</f>
        <v>47.6803903998732</v>
      </c>
    </row>
    <row r="39" customFormat="false" ht="15" hidden="false" customHeight="false" outlineLevel="0" collapsed="false">
      <c r="A39" s="0" t="s">
        <v>132</v>
      </c>
      <c r="B39" s="4" t="n">
        <f aca="false">B38/Assumptions!$B$2-1</f>
        <v>1.48076953173118</v>
      </c>
    </row>
    <row r="41" customFormat="false" ht="15" hidden="false" customHeight="false" outlineLevel="0" collapsed="false">
      <c r="A41" s="0" t="s">
        <v>133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134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135</v>
      </c>
      <c r="B43" s="0" t="n">
        <f aca="false">(B37+B41+B42)/Assumptions!$B$3*Assumptions!$B$10</f>
        <v>47.6803903998732</v>
      </c>
    </row>
    <row r="45" customFormat="false" ht="15" hidden="false" customHeight="false" outlineLevel="0" collapsed="false">
      <c r="A45" s="0" t="s">
        <v>75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136</v>
      </c>
      <c r="B46" s="0" t="n">
        <f aca="false">MAX(0,MIN(IF(B45&gt;B28,B31*(1+B28/100)/((B45-B28)/100),B31*B29),B31*B29))</f>
        <v>31223.2149213717</v>
      </c>
    </row>
    <row r="47" customFormat="false" ht="15" hidden="false" customHeight="false" outlineLevel="0" collapsed="false">
      <c r="A47" s="0" t="s">
        <v>137</v>
      </c>
      <c r="B47" s="0" t="n">
        <f aca="false">(SUMPRODUCT(C19:L19/(1+B45/100)^C4:L4)+B46/(1+B45/100)^L4+Assumptions!$B$5-Assumptions!$B$4)/Assumptions!$B$3*Assumptions!$B$10</f>
        <v>32.0585992376032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140</v>
      </c>
    </row>
    <row r="3" customFormat="false" ht="15" hidden="false" customHeight="false" outlineLevel="0" collapsed="false">
      <c r="A3" s="2" t="s">
        <v>141</v>
      </c>
      <c r="B3" s="2" t="s">
        <v>142</v>
      </c>
      <c r="C3" s="2" t="s">
        <v>132</v>
      </c>
      <c r="D3" s="2" t="s">
        <v>143</v>
      </c>
      <c r="E3" s="2" t="s">
        <v>135</v>
      </c>
      <c r="F3" s="2" t="s">
        <v>144</v>
      </c>
    </row>
    <row r="4" customFormat="false" ht="15" hidden="false" customHeight="false" outlineLevel="0" collapsed="false">
      <c r="A4" s="0" t="s">
        <v>145</v>
      </c>
      <c r="B4" s="4" t="n">
        <f aca="false">DCF_Bear!$B$38</f>
        <v>25.6861989351369</v>
      </c>
      <c r="C4" s="0" t="n">
        <f aca="false">B4/Assumptions!$B$2-1</f>
        <v>0.336430745844792</v>
      </c>
      <c r="D4" s="4" t="n">
        <f aca="false">Assumptions!$B$24</f>
        <v>0.3</v>
      </c>
      <c r="E4" s="4" t="n">
        <f aca="false">DCF_Bear!$B$43</f>
        <v>25.6861989351369</v>
      </c>
      <c r="F4" s="4" t="n">
        <f aca="false">DCF_Bear!$B$47</f>
        <v>19.0521972770956</v>
      </c>
    </row>
    <row r="5" customFormat="false" ht="15" hidden="false" customHeight="false" outlineLevel="0" collapsed="false">
      <c r="A5" s="0" t="s">
        <v>146</v>
      </c>
      <c r="B5" s="4" t="n">
        <f aca="false">DCF_Base!$B$38</f>
        <v>35.3251613366782</v>
      </c>
      <c r="C5" s="0" t="n">
        <f aca="false">B5/Assumptions!$B$2-1</f>
        <v>0.837937634582632</v>
      </c>
      <c r="D5" s="4" t="n">
        <f aca="false">Assumptions!$B$38</f>
        <v>0.5</v>
      </c>
      <c r="E5" s="4" t="n">
        <f aca="false">DCF_Base!$B$43</f>
        <v>35.3251613366782</v>
      </c>
      <c r="F5" s="4" t="n">
        <f aca="false">DCF_Base!$B$47</f>
        <v>24.7950425921624</v>
      </c>
    </row>
    <row r="6" customFormat="false" ht="15" hidden="false" customHeight="false" outlineLevel="0" collapsed="false">
      <c r="A6" s="0" t="s">
        <v>147</v>
      </c>
      <c r="B6" s="4" t="n">
        <f aca="false">DCF_Bull!$B$38</f>
        <v>47.6803903998732</v>
      </c>
      <c r="C6" s="0" t="n">
        <f aca="false">B6/Assumptions!$B$2-1</f>
        <v>1.48076953173118</v>
      </c>
      <c r="D6" s="4" t="n">
        <f aca="false">Assumptions!$B$52</f>
        <v>0.2</v>
      </c>
      <c r="E6" s="4" t="n">
        <f aca="false">DCF_Bull!$B$43</f>
        <v>47.6803903998732</v>
      </c>
      <c r="F6" s="4" t="n">
        <f aca="false">DCF_Bull!$B$47</f>
        <v>32.0585992376032</v>
      </c>
    </row>
    <row r="8" customFormat="false" ht="15" hidden="false" customHeight="false" outlineLevel="0" collapsed="false">
      <c r="A8" s="0" t="s">
        <v>148</v>
      </c>
      <c r="B8" s="0" t="n">
        <f aca="false">SUMPRODUCT(B4:B6,D4:D6)</f>
        <v>34.9045184288548</v>
      </c>
    </row>
    <row r="9" customFormat="false" ht="15" hidden="false" customHeight="false" outlineLevel="0" collapsed="false">
      <c r="A9" s="0" t="s">
        <v>149</v>
      </c>
      <c r="B9" s="0" t="n">
        <f aca="false">SUMPRODUCT(E4:E6,D4:D6)</f>
        <v>34.9045184288548</v>
      </c>
    </row>
    <row r="10" customFormat="false" ht="15" hidden="false" customHeight="false" outlineLevel="0" collapsed="false">
      <c r="A10" s="0" t="s">
        <v>150</v>
      </c>
      <c r="B10" s="0" t="n">
        <f aca="false">1-Assumptions!$B$2/B8</f>
        <v>0.449354958465456</v>
      </c>
    </row>
    <row r="11" customFormat="false" ht="15" hidden="false" customHeight="false" outlineLevel="0" collapsed="false">
      <c r="A11" s="0" t="s">
        <v>151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152</v>
      </c>
      <c r="B12" s="0" t="n">
        <f aca="false">SUMPRODUCT(F4:F6,D4:D6)</f>
        <v>24.5249003267305</v>
      </c>
    </row>
    <row r="14" customFormat="false" ht="15" hidden="false" customHeight="false" outlineLevel="0" collapsed="false">
      <c r="A14" s="2" t="s">
        <v>153</v>
      </c>
      <c r="C14" s="0" t="s">
        <v>154</v>
      </c>
    </row>
    <row r="15" customFormat="false" ht="15" hidden="false" customHeight="false" outlineLevel="0" collapsed="false">
      <c r="A15" s="0" t="s">
        <v>155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35.3251613366782</v>
      </c>
      <c r="C15" s="3" t="n">
        <v>9</v>
      </c>
    </row>
    <row r="16" customFormat="false" ht="15" hidden="false" customHeight="false" outlineLevel="0" collapsed="false">
      <c r="A16" s="0" t="s">
        <v>156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33.6374090404441</v>
      </c>
      <c r="C16" s="3" t="n">
        <v>10</v>
      </c>
    </row>
    <row r="17" customFormat="false" ht="15" hidden="false" customHeight="false" outlineLevel="0" collapsed="false">
      <c r="A17" s="0" t="s">
        <v>157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32.093215819857</v>
      </c>
      <c r="C17" s="3" t="n">
        <v>11</v>
      </c>
    </row>
    <row r="18" customFormat="false" ht="15" hidden="false" customHeight="false" outlineLevel="0" collapsed="false">
      <c r="A18" s="0" t="s">
        <v>158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29.7243668094669</v>
      </c>
      <c r="C18" s="3" t="n">
        <v>12</v>
      </c>
    </row>
    <row r="19" customFormat="false" ht="15" hidden="false" customHeight="false" outlineLevel="0" collapsed="false">
      <c r="A19" s="0" t="s">
        <v>159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24.7950425921624</v>
      </c>
      <c r="C19" s="3" t="n">
        <v>15</v>
      </c>
    </row>
    <row r="21" customFormat="false" ht="15" hidden="false" customHeight="false" outlineLevel="0" collapsed="false">
      <c r="A21" s="2" t="s">
        <v>160</v>
      </c>
    </row>
    <row r="22" customFormat="false" ht="15" hidden="false" customHeight="false" outlineLevel="0" collapsed="false">
      <c r="B22" s="3" t="n">
        <v>1.5</v>
      </c>
      <c r="C22" s="3" t="n">
        <v>2</v>
      </c>
      <c r="D22" s="3" t="n">
        <v>2.5</v>
      </c>
      <c r="E22" s="3" t="n">
        <v>3</v>
      </c>
      <c r="F22" s="3" t="n">
        <v>3.5</v>
      </c>
    </row>
    <row r="23" customFormat="false" ht="15" hidden="false" customHeight="false" outlineLevel="0" collapsed="false">
      <c r="A23" s="3" t="n">
        <v>7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39.195643125199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39.195643125199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39.195643125199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39.195643125199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39.195643125199</v>
      </c>
    </row>
    <row r="24" customFormat="false" ht="15" hidden="false" customHeight="false" outlineLevel="0" collapsed="false">
      <c r="A24" s="3" t="n">
        <v>8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37.1720723184856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37.1720723184856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37.1720723184856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37.1720723184856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37.1720723184856</v>
      </c>
    </row>
    <row r="25" customFormat="false" ht="15" hidden="false" customHeight="false" outlineLevel="0" collapsed="false">
      <c r="A25" s="3" t="n">
        <v>9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35.3251613366782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35.3251613366782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35.3251613366782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35.3251613366782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35.3251613366782</v>
      </c>
    </row>
    <row r="26" customFormat="false" ht="15" hidden="false" customHeight="false" outlineLevel="0" collapsed="false">
      <c r="A26" s="3" t="n">
        <v>10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33.5818810056373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33.6374090404441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33.6374090404441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33.6374090404441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33.6374090404441</v>
      </c>
    </row>
    <row r="27" customFormat="false" ht="15" hidden="false" customHeight="false" outlineLevel="0" collapsed="false">
      <c r="A27" s="3" t="n">
        <v>11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30.9586108111142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31.518349282094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32.093215819857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32.093215819857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32.093215819857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2026-10-22T02:13:43Z</dcterms:created>
  <dc:creator>openpyxl</dc:creator>
  <dc:description/>
  <dc:language>en-NZ</dc:language>
  <cp:lastModifiedBy/>
  <dcterms:modified xsi:type="dcterms:W3CDTF">2026-10-22T02:13:43Z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