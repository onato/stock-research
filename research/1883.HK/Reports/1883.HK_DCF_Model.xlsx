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<sst xmlns="http://schemas.openxmlformats.org/spreadsheetml/2006/main" count="357" uniqueCount="164">
  <si>
    <t xml:space="preserve">Ticker</t>
  </si>
  <si>
    <t xml:space="preserve">1883.HK</t>
  </si>
  <si>
    <t xml:space="preserve">Company</t>
  </si>
  <si>
    <t xml:space="preserve">CITIC Telecom International Holdings Limited</t>
  </si>
  <si>
    <t xml:space="preserve">Valuation date</t>
  </si>
  <si>
    <t xml:space="preserve">2026-10-17</t>
  </si>
  <si>
    <t xml:space="preserve">Current price</t>
  </si>
  <si>
    <t xml:space="preserve">Price as of</t>
  </si>
  <si>
    <t xml:space="preserve">2026-10-16T08:08:14Z regular close (Yahoo chart API)</t>
  </si>
  <si>
    <t xml:space="preserve">Balance sheet date</t>
  </si>
  <si>
    <t xml:space="preserve">2026-06-30</t>
  </si>
  <si>
    <t xml:space="preserve">Model</t>
  </si>
  <si>
    <t xml:space="preserve">owner_fcf_dcf_component</t>
  </si>
  <si>
    <t xml:space="preserve">Currency (model)</t>
  </si>
  <si>
    <t xml:space="preserve">HKD</t>
  </si>
  <si>
    <t xml:space="preserve">Currency (quote)</t>
  </si>
  <si>
    <t xml:space="preserve">Units</t>
  </si>
  <si>
    <t xml:space="preserve">millions</t>
  </si>
  <si>
    <t xml:space="preserve">Engine</t>
  </si>
  <si>
    <t xml:space="preserve">dcf_engine v1</t>
  </si>
  <si>
    <t xml:space="preserve">Built at</t>
  </si>
  <si>
    <t xml:space="preserve">2026-10-16T22:03:18Z</t>
  </si>
  <si>
    <t xml:space="preserve">Drivers file</t>
  </si>
  <si>
    <t xml:space="preserve">1883.HK_Drivers.json</t>
  </si>
  <si>
    <t xml:space="preserve">Convention</t>
  </si>
  <si>
    <t xml:space="preserve">Percents stored as percents; formulas divide by 100. Blue = input, green = link, black = formula.</t>
  </si>
  <si>
    <t xml:space="preserve">Methodology</t>
  </si>
  <si>
    <t xml:space="preserve">summary: Mature, low-growth Macau/HK telecom and carrier-services cash generator controlled by CITIC Group. Valued on normalised owner FCF after full lease cost, with the terminal value capped at 13x FCF rather than Gordon, because the stock has never been granted a growth multiple. The gap between value and price is mostly the market's discount for SOE control, a flat top line and concession/regulatory risk in Macau.
key_risks_to_valuation: Macau fixed-voice concession ends 30-Sep-2027; renewal terms unknown and concession ducts being opened to competitors; Continued decline of international voice/SMS hubbing (OTT substitution); Macau mobile price competition and government-mandated service discounts; Lumpy enterprise-solutions project revenue in Macau (drove the FY2023-24 EBITDA reset); Controlling-shareholder (CITIC) capital-allocation and minority-holder discount; interim DPS cut in H1 FY2026; FY2025 FCF flattered by working capital; normalised FCF is ~HK$1.25bn, not HK$1.9bn</t>
  </si>
  <si>
    <t xml:space="preserve">Data sources</t>
  </si>
  <si>
    <t xml:space="preserve">price: Yahoo Finance chart API at inputs.price_as_of; 52-week range 2.34-2.86 HKD
financials: 1883.HK_Metrics.csv (FY2017-FY2025, H1 FY2023-FY2026); FY2025 annual report (cash flow statement, financial review, ROU depreciation note); H1 FY2026 interim report (net debt, lease liabilities, NCI, diluted EPS note)
qualitative: 1883.HK_Analysis.json (bull/bear cases, Macau consolidation and concession detail); FY2025 annual report and H1 FY2026 interim outlook</t>
  </si>
  <si>
    <t xml:space="preserve">Scenario narrative: bear</t>
  </si>
  <si>
    <t xml:space="preserve">The structural erosions continue: OTT substitution of international voice/SMS hubbing, enterprise-solutions price competition (down 7.2% in FY2025), and government-mandated Macau service waivers. The fixed-voice concession, extended only to 30 September 2027 with a government termination option from October 2026, concession assets transferred to the government and ducts opened to rivals, is renewed on worse terms or folded into a legislated sector restructuring. Revenue declines ~2%/yr for three years and EBITDA margin slides to 17.5%.</t>
  </si>
  <si>
    <t xml:space="preserve">Scenario narrative: base</t>
  </si>
  <si>
    <t xml:space="preserve">CITIC Telecom stays a flat-revenue, ~20% EBITDA-margin cash generator. Telecom services held flat in H1 FY2026 while low-margin handset sales fell; Macau 5G/enterprise and DataMall roaming growth roughly offset legacy international voice/SMS decline, and growth creeps back to ~1.5%. D&amp;A keeps rolling off toward the ~4% capex run-rate, finance costs fall after the 2025 bond refinancing, and FCF funds a ~75% payout plus slow deleveraging.</t>
  </si>
  <si>
    <t xml:space="preserve">Scenario narrative: bull</t>
  </si>
  <si>
    <t xml:space="preserve">Macau mobile consolidation (SmarTone absorbed, Hutchison 3 Macau acquired and exiting by December 2026) leaves CTM one of only two operators with better pricing power; Macau's visitor economy and 'AI Macau' digitisation bring enterprise solutions back toward FY2022-23 scale; DataMall/IPX carrier services ride 5G SA and IoT/eSIM roaming; the Southeast Asia ICT push adds growth. Revenue grows 2.5-3% for five years and EBITDA margin recovers to ~22%, half-way back to the FY2022 26%.</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</si>
  <si>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</si>
  <si>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</si>
  <si>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</si>
  <si>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</si>
  <si>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</si>
  <si>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</si>
  <si>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</si>
  <si>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</si>
  <si>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</si>
  <si>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</si>
  <si>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</si>
  <si>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</si>
  <si>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</si>
  <si>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</si>
  <si>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</si>
  <si>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</si>
  <si>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</si>
  <si>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</si>
  <si>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</si>
  <si>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</si>
  <si>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</si>
  <si>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</si>
  <si>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</si>
  <si>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</si>
  <si>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</si>
  <si>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</si>
  <si>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</si>
  <si>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</si>
  <si>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</si>
  <si>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</si>
  <si>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</si>
  <si>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</si>
  <si>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</si>
  <si>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</si>
  <si>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</si>
  <si>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</si>
  <si>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</si>
  <si>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</si>
  <si>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</si>
  <si>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</si>
  <si>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</si>
  <si>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</si>
  <si>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</si>
  <si>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</si>
  <si>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</si>
  <si>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</si>
  <si>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HKD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</si>
  <si>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</si>
  <si>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</si>
  <si>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</si>
  <si>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</si>
  <si>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</si>
  <si>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</si>
  <si>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</si>
  <si>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</si>
  <si>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</si>
  <si>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</si>
  <si>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</si>
  <si>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</si>
  <si>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</si>
  <si>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</si>
  <si>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</si>
  <si>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</si>
  <si>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</si>
  <si>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</si>
  <si>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</si>
  <si>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</si>
  <si>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</si>
  <si>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</si>
  <si>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</si>
  <si>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</si>
  <si>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</si>
  <si>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</si>
  <si>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1883.HK owner-FCF component DCF: bear case (millions, HKD)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</si>
  <si>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</si>
  <si>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</si>
  <si>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</si>
  <si>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</si>
  <si>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</si>
  <si>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</si>
  <si>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</si>
  <si>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</si>
  <si>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</si>
  <si>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</si>
  <si>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</si>
  <si>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</si>
  <si>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</si>
  <si>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</si>
  <si>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</si>
  <si>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</si>
  <si>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</si>
  <si>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</si>
  <si>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</si>
  <si>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</si>
  <si>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</si>
  <si>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</si>
  <si>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</si>
  <si>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</si>
  <si>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</si>
  <si>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</si>
  <si>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</si>
  <si>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</si>
  <si>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</si>
  <si>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</si>
  <si>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1883.HK owner-FCF component DCF: base case (millions, HKD)</t>
  </si>
  <si>
    <t xml:space="preserve">1883.HK owner-FCF component DCF: bull case (millions, HKD)</t>
  </si>
  <si>
    <t xml:space="preserve">1883.HK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</si>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</sst>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2.36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7450.76</v>
      </c>
      <c r="C2" s="0" t="n">
        <v>3852.755</v>
      </c>
      <c r="F2" s="0" t="n">
        <v>1386.938</v>
      </c>
      <c r="G2" s="0" t="n">
        <v>18.6</v>
      </c>
      <c r="H2" s="0" t="n">
        <v>2082.584</v>
      </c>
      <c r="I2" s="0" t="n">
        <v>881.338</v>
      </c>
      <c r="J2" s="0" t="n">
        <v>11.8</v>
      </c>
      <c r="K2" s="0" t="n">
        <v>0.248</v>
      </c>
      <c r="L2" s="0" t="n">
        <v>1853.883</v>
      </c>
      <c r="M2" s="0" t="n">
        <v>549.977</v>
      </c>
      <c r="N2" s="0" t="n">
        <v>1303.906</v>
      </c>
      <c r="O2" s="0" t="n">
        <v>8396.407</v>
      </c>
      <c r="P2" s="0" t="n">
        <v>18584.209</v>
      </c>
      <c r="Q2" s="0" t="n">
        <v>10154.011</v>
      </c>
      <c r="R2" s="0" t="n">
        <v>7825.136</v>
      </c>
      <c r="S2" s="0" t="n">
        <v>1635.635</v>
      </c>
      <c r="T2" s="0" t="n">
        <v>3534.58</v>
      </c>
      <c r="U2" s="0" t="n">
        <v>31.98</v>
      </c>
      <c r="AA2" s="0" t="s">
        <v>17</v>
      </c>
      <c r="AB2" s="0" t="s">
        <v>14</v>
      </c>
    </row>
    <row r="3" customFormat="false" ht="15" hidden="false" customHeight="false" outlineLevel="0" collapsed="false">
      <c r="A3" s="0" t="s">
        <v>64</v>
      </c>
      <c r="B3" s="0" t="n">
        <v>9464.013</v>
      </c>
      <c r="C3" s="0" t="n">
        <v>5583.843</v>
      </c>
      <c r="F3" s="0" t="n">
        <v>1475.251</v>
      </c>
      <c r="G3" s="0" t="n">
        <v>15.6</v>
      </c>
      <c r="H3" s="0" t="n">
        <v>2200.691</v>
      </c>
      <c r="I3" s="0" t="n">
        <v>951.039</v>
      </c>
      <c r="J3" s="0" t="n">
        <v>10</v>
      </c>
      <c r="K3" s="0" t="n">
        <v>0.267</v>
      </c>
      <c r="L3" s="0" t="n">
        <v>1815.558</v>
      </c>
      <c r="M3" s="0" t="n">
        <v>603.926</v>
      </c>
      <c r="N3" s="0" t="n">
        <v>1211.632</v>
      </c>
      <c r="O3" s="0" t="n">
        <v>8854.752</v>
      </c>
      <c r="P3" s="0" t="n">
        <v>17965.222</v>
      </c>
      <c r="Q3" s="0" t="n">
        <v>9069.506</v>
      </c>
      <c r="R3" s="0" t="n">
        <v>6857.476</v>
      </c>
      <c r="S3" s="0" t="n">
        <v>1049.109</v>
      </c>
      <c r="T3" s="0" t="n">
        <v>3544.16</v>
      </c>
      <c r="U3" s="0" t="n">
        <v>16.78</v>
      </c>
      <c r="AA3" s="0" t="s">
        <v>17</v>
      </c>
      <c r="AB3" s="0" t="s">
        <v>14</v>
      </c>
    </row>
    <row r="4" customFormat="false" ht="15" hidden="false" customHeight="false" outlineLevel="0" collapsed="false">
      <c r="A4" s="0" t="s">
        <v>65</v>
      </c>
      <c r="B4" s="0" t="n">
        <v>9013.98</v>
      </c>
      <c r="C4" s="0" t="n">
        <v>4961.067</v>
      </c>
      <c r="F4" s="0" t="n">
        <v>1590.725</v>
      </c>
      <c r="G4" s="0" t="n">
        <v>17.6</v>
      </c>
      <c r="H4" s="0" t="n">
        <v>2504.216</v>
      </c>
      <c r="I4" s="0" t="n">
        <v>1002.228</v>
      </c>
      <c r="J4" s="0" t="n">
        <v>11.1</v>
      </c>
      <c r="K4" s="0" t="n">
        <v>0.274</v>
      </c>
      <c r="L4" s="0" t="n">
        <v>2416.762</v>
      </c>
      <c r="M4" s="0" t="n">
        <v>481.569</v>
      </c>
      <c r="N4" s="0" t="n">
        <v>1935.193</v>
      </c>
      <c r="O4" s="0" t="n">
        <v>9376.609</v>
      </c>
      <c r="P4" s="0" t="n">
        <v>18389.287</v>
      </c>
      <c r="Q4" s="0" t="n">
        <v>8963.908</v>
      </c>
      <c r="R4" s="0" t="n">
        <v>6277.906</v>
      </c>
      <c r="S4" s="0" t="n">
        <v>1312.78</v>
      </c>
      <c r="T4" s="0" t="n">
        <v>3587.26</v>
      </c>
      <c r="U4" s="0" t="n">
        <v>5.538</v>
      </c>
      <c r="AA4" s="0" t="s">
        <v>17</v>
      </c>
      <c r="AB4" s="0" t="s">
        <v>14</v>
      </c>
    </row>
    <row r="5" customFormat="false" ht="15" hidden="false" customHeight="false" outlineLevel="0" collapsed="false">
      <c r="A5" s="0" t="s">
        <v>66</v>
      </c>
      <c r="B5" s="0" t="n">
        <v>8923</v>
      </c>
      <c r="C5" s="0" t="n">
        <v>5040</v>
      </c>
      <c r="F5" s="0" t="n">
        <v>1559</v>
      </c>
      <c r="G5" s="0" t="n">
        <v>17.5</v>
      </c>
      <c r="H5" s="0" t="n">
        <v>2474</v>
      </c>
      <c r="I5" s="0" t="n">
        <v>1023</v>
      </c>
      <c r="J5" s="0" t="n">
        <v>11.5</v>
      </c>
      <c r="K5" s="0" t="n">
        <v>0.279</v>
      </c>
      <c r="L5" s="0" t="n">
        <v>2542</v>
      </c>
      <c r="M5" s="0" t="n">
        <v>788</v>
      </c>
      <c r="N5" s="0" t="n">
        <v>1754</v>
      </c>
      <c r="O5" s="0" t="n">
        <v>9751</v>
      </c>
      <c r="P5" s="0" t="n">
        <v>18337</v>
      </c>
      <c r="Q5" s="0" t="n">
        <v>8528</v>
      </c>
      <c r="R5" s="0" t="n">
        <v>5868</v>
      </c>
      <c r="S5" s="0" t="n">
        <v>1519</v>
      </c>
      <c r="T5" s="0" t="n">
        <v>3659</v>
      </c>
      <c r="U5" s="0" t="n">
        <v>0</v>
      </c>
      <c r="AA5" s="0" t="s">
        <v>17</v>
      </c>
      <c r="AB5" s="0" t="s">
        <v>14</v>
      </c>
    </row>
    <row r="6" customFormat="false" ht="15" hidden="false" customHeight="false" outlineLevel="0" collapsed="false">
      <c r="A6" s="0" t="s">
        <v>67</v>
      </c>
      <c r="B6" s="0" t="n">
        <v>9486</v>
      </c>
      <c r="C6" s="0" t="n">
        <v>5459</v>
      </c>
      <c r="F6" s="0" t="n">
        <v>1624</v>
      </c>
      <c r="G6" s="0" t="n">
        <v>17.1</v>
      </c>
      <c r="H6" s="0" t="n">
        <v>2521</v>
      </c>
      <c r="I6" s="0" t="n">
        <v>1076</v>
      </c>
      <c r="J6" s="0" t="n">
        <v>11.3</v>
      </c>
      <c r="K6" s="0" t="n">
        <v>0.292</v>
      </c>
      <c r="L6" s="0" t="n">
        <v>2394</v>
      </c>
      <c r="M6" s="0" t="n">
        <v>532</v>
      </c>
      <c r="N6" s="0" t="n">
        <v>1862</v>
      </c>
      <c r="O6" s="0" t="n">
        <v>10095</v>
      </c>
      <c r="P6" s="0" t="n">
        <v>18382</v>
      </c>
      <c r="Q6" s="0" t="n">
        <v>8206</v>
      </c>
      <c r="R6" s="0" t="n">
        <v>5446</v>
      </c>
      <c r="S6" s="0" t="n">
        <v>1793</v>
      </c>
      <c r="T6" s="0" t="n">
        <v>3665</v>
      </c>
      <c r="U6" s="0" t="n">
        <v>0</v>
      </c>
      <c r="AA6" s="0" t="s">
        <v>17</v>
      </c>
      <c r="AB6" s="0" t="s">
        <v>14</v>
      </c>
    </row>
    <row r="7" customFormat="false" ht="15" hidden="false" customHeight="false" outlineLevel="0" collapsed="false">
      <c r="A7" s="0" t="s">
        <v>68</v>
      </c>
      <c r="B7" s="0" t="n">
        <v>10111</v>
      </c>
      <c r="C7" s="0" t="n">
        <v>5775</v>
      </c>
      <c r="F7" s="0" t="n">
        <v>1765</v>
      </c>
      <c r="G7" s="0" t="n">
        <v>17.5</v>
      </c>
      <c r="H7" s="0" t="n">
        <v>2679</v>
      </c>
      <c r="I7" s="0" t="n">
        <v>1191</v>
      </c>
      <c r="J7" s="0" t="n">
        <v>11.8</v>
      </c>
      <c r="K7" s="0" t="n">
        <v>0.323</v>
      </c>
      <c r="L7" s="0" t="n">
        <v>2723</v>
      </c>
      <c r="M7" s="0" t="n">
        <v>323</v>
      </c>
      <c r="N7" s="0" t="n">
        <v>2400</v>
      </c>
      <c r="O7" s="0" t="n">
        <v>10373</v>
      </c>
      <c r="P7" s="0" t="n">
        <v>18181</v>
      </c>
      <c r="Q7" s="0" t="n">
        <v>7710</v>
      </c>
      <c r="R7" s="0" t="n">
        <v>4520</v>
      </c>
      <c r="S7" s="0" t="n">
        <v>1986</v>
      </c>
      <c r="T7" s="0" t="n">
        <v>3683</v>
      </c>
      <c r="U7" s="0" t="n">
        <v>0</v>
      </c>
      <c r="AA7" s="0" t="s">
        <v>17</v>
      </c>
      <c r="AB7" s="0" t="s">
        <v>14</v>
      </c>
    </row>
    <row r="8" customFormat="false" ht="15" hidden="false" customHeight="false" outlineLevel="0" collapsed="false">
      <c r="A8" s="0" t="s">
        <v>69</v>
      </c>
      <c r="B8" s="0" t="n">
        <v>9987</v>
      </c>
      <c r="C8" s="0" t="n">
        <v>5785</v>
      </c>
      <c r="F8" s="0" t="n">
        <v>1771</v>
      </c>
      <c r="G8" s="0" t="n">
        <v>17.7</v>
      </c>
      <c r="H8" s="0" t="n">
        <v>2641</v>
      </c>
      <c r="I8" s="0" t="n">
        <v>1231</v>
      </c>
      <c r="J8" s="0" t="n">
        <v>12.3</v>
      </c>
      <c r="K8" s="0" t="n">
        <v>0.333</v>
      </c>
      <c r="L8" s="0" t="n">
        <v>1881</v>
      </c>
      <c r="M8" s="0" t="n">
        <v>311</v>
      </c>
      <c r="N8" s="0" t="n">
        <v>1570</v>
      </c>
      <c r="O8" s="0" t="n">
        <v>10756</v>
      </c>
      <c r="P8" s="0" t="n">
        <v>17363</v>
      </c>
      <c r="Q8" s="0" t="n">
        <v>6499</v>
      </c>
      <c r="R8" s="0" t="n">
        <v>3934</v>
      </c>
      <c r="S8" s="0" t="n">
        <v>1726</v>
      </c>
      <c r="T8" s="0" t="n">
        <v>3688</v>
      </c>
      <c r="U8" s="0" t="n">
        <v>0</v>
      </c>
      <c r="AA8" s="0" t="s">
        <v>17</v>
      </c>
      <c r="AB8" s="0" t="s">
        <v>14</v>
      </c>
    </row>
    <row r="9" customFormat="false" ht="15" hidden="false" customHeight="false" outlineLevel="0" collapsed="false">
      <c r="A9" s="0" t="s">
        <v>70</v>
      </c>
      <c r="B9" s="0" t="n">
        <v>9573</v>
      </c>
      <c r="C9" s="0" t="n">
        <v>6022</v>
      </c>
      <c r="F9" s="0" t="n">
        <v>1333</v>
      </c>
      <c r="G9" s="0" t="n">
        <v>13.9</v>
      </c>
      <c r="H9" s="0" t="n">
        <v>2060</v>
      </c>
      <c r="I9" s="0" t="n">
        <v>910</v>
      </c>
      <c r="J9" s="0" t="n">
        <v>9.5</v>
      </c>
      <c r="K9" s="0" t="n">
        <v>0.246</v>
      </c>
      <c r="L9" s="0" t="n">
        <v>1560</v>
      </c>
      <c r="M9" s="0" t="n">
        <v>404</v>
      </c>
      <c r="N9" s="0" t="n">
        <v>1156</v>
      </c>
      <c r="O9" s="0" t="n">
        <v>10717</v>
      </c>
      <c r="P9" s="0" t="n">
        <v>17455</v>
      </c>
      <c r="Q9" s="0" t="n">
        <v>6628</v>
      </c>
      <c r="R9" s="0" t="n">
        <v>3907</v>
      </c>
      <c r="S9" s="0" t="n">
        <v>1611</v>
      </c>
      <c r="T9" s="0" t="n">
        <v>3700</v>
      </c>
      <c r="U9" s="0" t="n">
        <v>0</v>
      </c>
      <c r="AA9" s="0" t="s">
        <v>17</v>
      </c>
      <c r="AB9" s="0" t="s">
        <v>14</v>
      </c>
    </row>
    <row r="10" customFormat="false" ht="15" hidden="false" customHeight="false" outlineLevel="0" collapsed="false">
      <c r="A10" s="0" t="s">
        <v>71</v>
      </c>
      <c r="B10" s="0" t="n">
        <v>9567</v>
      </c>
      <c r="C10" s="0" t="n">
        <v>5968</v>
      </c>
      <c r="F10" s="0" t="n">
        <v>1280</v>
      </c>
      <c r="G10" s="0" t="n">
        <v>13.4</v>
      </c>
      <c r="H10" s="0" t="n">
        <v>1963</v>
      </c>
      <c r="I10" s="0" t="n">
        <v>920</v>
      </c>
      <c r="J10" s="0" t="n">
        <v>9.6</v>
      </c>
      <c r="K10" s="0" t="n">
        <v>0.249</v>
      </c>
      <c r="L10" s="0" t="n">
        <v>2266</v>
      </c>
      <c r="M10" s="0" t="n">
        <v>366</v>
      </c>
      <c r="N10" s="0" t="n">
        <v>1900</v>
      </c>
      <c r="O10" s="0" t="n">
        <v>11023</v>
      </c>
      <c r="P10" s="0" t="n">
        <v>16987</v>
      </c>
      <c r="Q10" s="0" t="n">
        <v>5846</v>
      </c>
      <c r="R10" s="0" t="n">
        <v>3257</v>
      </c>
      <c r="S10" s="0" t="n">
        <v>1945</v>
      </c>
      <c r="T10" s="0" t="n">
        <v>3701</v>
      </c>
      <c r="U10" s="0" t="n">
        <v>0</v>
      </c>
      <c r="AA10" s="0" t="s">
        <v>17</v>
      </c>
      <c r="AB1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2.36</v>
      </c>
    </row>
    <row r="3" customFormat="false" ht="15" hidden="false" customHeight="false" outlineLevel="0" collapsed="false">
      <c r="A3" s="0" t="s">
        <v>75</v>
      </c>
      <c r="B3" s="3" t="n">
        <v>3701</v>
      </c>
    </row>
    <row r="4" customFormat="false" ht="15" hidden="false" customHeight="false" outlineLevel="0" collapsed="false">
      <c r="A4" s="0" t="s">
        <v>76</v>
      </c>
      <c r="B4" s="3" t="n">
        <v>1148</v>
      </c>
    </row>
    <row r="5" customFormat="false" ht="15" hidden="false" customHeight="false" outlineLevel="0" collapsed="false">
      <c r="A5" s="0" t="s">
        <v>77</v>
      </c>
      <c r="B5" s="3" t="n">
        <v>-180</v>
      </c>
    </row>
    <row r="6" customFormat="false" ht="15" hidden="false" customHeight="false" outlineLevel="0" collapsed="false">
      <c r="A6" s="0" t="s">
        <v>78</v>
      </c>
      <c r="B6" s="3" t="n">
        <v>15</v>
      </c>
    </row>
    <row r="7" customFormat="false" ht="15" hidden="false" customHeight="false" outlineLevel="0" collapsed="false">
      <c r="A7" s="0" t="s">
        <v>79</v>
      </c>
      <c r="B7" s="3" t="n">
        <v>9567</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-2</v>
      </c>
      <c r="D13" s="3" t="n">
        <v>-2</v>
      </c>
      <c r="E13" s="3" t="n">
        <v>-1.5</v>
      </c>
      <c r="F13" s="3" t="n">
        <v>-1</v>
      </c>
      <c r="G13" s="3" t="n">
        <v>-0.5</v>
      </c>
      <c r="H13" s="3" t="n">
        <v>0</v>
      </c>
      <c r="I13" s="3" t="n">
        <v>0</v>
      </c>
      <c r="J13" s="3" t="n">
        <v>0.5</v>
      </c>
      <c r="K13" s="3" t="n">
        <v>0.5</v>
      </c>
      <c r="L13" s="3" t="n">
        <v>0.5</v>
      </c>
    </row>
    <row r="14" customFormat="false" ht="15" hidden="false" customHeight="false" outlineLevel="0" collapsed="false">
      <c r="A14" s="0" t="s">
        <v>96</v>
      </c>
      <c r="C14" s="3" t="n">
        <v>19.5</v>
      </c>
      <c r="D14" s="3" t="n">
        <v>19</v>
      </c>
      <c r="E14" s="3" t="n">
        <v>18.5</v>
      </c>
      <c r="F14" s="3" t="n">
        <v>18</v>
      </c>
      <c r="G14" s="3" t="n">
        <v>17.5</v>
      </c>
      <c r="H14" s="3" t="n">
        <v>17.5</v>
      </c>
      <c r="I14" s="3" t="n">
        <v>17.5</v>
      </c>
      <c r="J14" s="3" t="n">
        <v>17.5</v>
      </c>
      <c r="K14" s="3" t="n">
        <v>17.5</v>
      </c>
      <c r="L14" s="3" t="n">
        <v>17.5</v>
      </c>
    </row>
    <row r="15" customFormat="false" ht="15" hidden="false" customHeight="false" outlineLevel="0" collapsed="false">
      <c r="A15" s="0" t="s">
        <v>97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98</v>
      </c>
      <c r="C16" s="3" t="n">
        <v>1.3</v>
      </c>
      <c r="D16" s="3" t="n">
        <v>1.3</v>
      </c>
      <c r="E16" s="3" t="n">
        <v>1.3</v>
      </c>
      <c r="F16" s="3" t="n">
        <v>1.3</v>
      </c>
      <c r="G16" s="3" t="n">
        <v>1.3</v>
      </c>
      <c r="H16" s="3" t="n">
        <v>1.3</v>
      </c>
      <c r="I16" s="3" t="n">
        <v>1.3</v>
      </c>
      <c r="J16" s="3" t="n">
        <v>1.3</v>
      </c>
      <c r="K16" s="3" t="n">
        <v>1.3</v>
      </c>
      <c r="L16" s="3" t="n">
        <v>1.3</v>
      </c>
    </row>
    <row r="17" customFormat="false" ht="15" hidden="false" customHeight="false" outlineLevel="0" collapsed="false">
      <c r="A17" s="0" t="s">
        <v>99</v>
      </c>
      <c r="C17" s="3" t="n">
        <v>5.8</v>
      </c>
      <c r="D17" s="3" t="n">
        <v>5.6</v>
      </c>
      <c r="E17" s="3" t="n">
        <v>5.4</v>
      </c>
      <c r="F17" s="3" t="n">
        <v>5.2</v>
      </c>
      <c r="G17" s="3" t="n">
        <v>5</v>
      </c>
      <c r="H17" s="3" t="n">
        <v>4.8</v>
      </c>
      <c r="I17" s="3" t="n">
        <v>4.6</v>
      </c>
      <c r="J17" s="3" t="n">
        <v>4.5</v>
      </c>
      <c r="K17" s="3" t="n">
        <v>4.5</v>
      </c>
      <c r="L17" s="3" t="n">
        <v>4.5</v>
      </c>
    </row>
    <row r="18" customFormat="false" ht="15" hidden="false" customHeight="false" outlineLevel="0" collapsed="false">
      <c r="A18" s="0" t="s">
        <v>100</v>
      </c>
      <c r="C18" s="3" t="n">
        <v>3.8</v>
      </c>
      <c r="D18" s="3" t="n">
        <v>4</v>
      </c>
      <c r="E18" s="3" t="n">
        <v>4</v>
      </c>
      <c r="F18" s="3" t="n">
        <v>4</v>
      </c>
      <c r="G18" s="3" t="n">
        <v>4</v>
      </c>
      <c r="H18" s="3" t="n">
        <v>4</v>
      </c>
      <c r="I18" s="3" t="n">
        <v>4</v>
      </c>
      <c r="J18" s="3" t="n">
        <v>4</v>
      </c>
      <c r="K18" s="3" t="n">
        <v>4</v>
      </c>
      <c r="L18" s="3" t="n">
        <v>4</v>
      </c>
    </row>
    <row r="19" customFormat="false" ht="15" hidden="false" customHeight="false" outlineLevel="0" collapsed="false">
      <c r="A19" s="0" t="s">
        <v>101</v>
      </c>
      <c r="C19" s="3" t="n">
        <v>15.5</v>
      </c>
      <c r="D19" s="3" t="n">
        <v>15.5</v>
      </c>
      <c r="E19" s="3" t="n">
        <v>16</v>
      </c>
      <c r="F19" s="3" t="n">
        <v>16</v>
      </c>
      <c r="G19" s="3" t="n">
        <v>16</v>
      </c>
      <c r="H19" s="3" t="n">
        <v>16</v>
      </c>
      <c r="I19" s="3" t="n">
        <v>16</v>
      </c>
      <c r="J19" s="3" t="n">
        <v>16</v>
      </c>
      <c r="K19" s="3" t="n">
        <v>16</v>
      </c>
      <c r="L19" s="3" t="n">
        <v>16</v>
      </c>
    </row>
    <row r="20" customFormat="false" ht="15" hidden="false" customHeight="false" outlineLevel="0" collapsed="false">
      <c r="A20" s="0" t="s">
        <v>102</v>
      </c>
      <c r="B20" s="3" t="n">
        <v>7.5</v>
      </c>
    </row>
    <row r="21" customFormat="false" ht="15" hidden="false" customHeight="false" outlineLevel="0" collapsed="false">
      <c r="A21" s="0" t="s">
        <v>103</v>
      </c>
      <c r="B21" s="3" t="n">
        <v>0.5</v>
      </c>
    </row>
    <row r="22" customFormat="false" ht="15" hidden="false" customHeight="false" outlineLevel="0" collapsed="false">
      <c r="A22" s="0" t="s">
        <v>104</v>
      </c>
      <c r="B22" s="3" t="n">
        <v>13</v>
      </c>
    </row>
    <row r="23" customFormat="false" ht="15" hidden="false" customHeight="false" outlineLevel="0" collapsed="false">
      <c r="A23" s="0" t="s">
        <v>105</v>
      </c>
      <c r="B23" s="3" t="n">
        <v>-5</v>
      </c>
    </row>
    <row r="24" customFormat="false" ht="15" hidden="false" customHeight="false" outlineLevel="0" collapsed="false">
      <c r="A24" s="0" t="s">
        <v>106</v>
      </c>
      <c r="B24" s="3" t="n">
        <v>0.25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-0.5</v>
      </c>
      <c r="D27" s="3" t="n">
        <v>0.5</v>
      </c>
      <c r="E27" s="3" t="n">
        <v>1</v>
      </c>
      <c r="F27" s="3" t="n">
        <v>1.5</v>
      </c>
      <c r="G27" s="3" t="n">
        <v>1.5</v>
      </c>
      <c r="H27" s="3" t="n">
        <v>1.5</v>
      </c>
      <c r="I27" s="3" t="n">
        <v>1.5</v>
      </c>
      <c r="J27" s="3" t="n">
        <v>1.5</v>
      </c>
      <c r="K27" s="3" t="n">
        <v>1.5</v>
      </c>
      <c r="L27" s="3" t="n">
        <v>1.5</v>
      </c>
    </row>
    <row r="28" customFormat="false" ht="15" hidden="false" customHeight="false" outlineLevel="0" collapsed="false">
      <c r="A28" s="0" t="s">
        <v>96</v>
      </c>
      <c r="C28" s="3" t="n">
        <v>19.8</v>
      </c>
      <c r="D28" s="3" t="n">
        <v>19.8</v>
      </c>
      <c r="E28" s="3" t="n">
        <v>19.9</v>
      </c>
      <c r="F28" s="3" t="n">
        <v>20</v>
      </c>
      <c r="G28" s="3" t="n">
        <v>20</v>
      </c>
      <c r="H28" s="3" t="n">
        <v>20</v>
      </c>
      <c r="I28" s="3" t="n">
        <v>20</v>
      </c>
      <c r="J28" s="3" t="n">
        <v>20</v>
      </c>
      <c r="K28" s="3" t="n">
        <v>20</v>
      </c>
      <c r="L28" s="3" t="n">
        <v>20</v>
      </c>
    </row>
    <row r="29" customFormat="false" ht="15" hidden="false" customHeight="false" outlineLevel="0" collapsed="false">
      <c r="A29" s="0" t="s">
        <v>97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98</v>
      </c>
      <c r="C30" s="3" t="n">
        <v>1.26</v>
      </c>
      <c r="D30" s="3" t="n">
        <v>1.26</v>
      </c>
      <c r="E30" s="3" t="n">
        <v>1.26</v>
      </c>
      <c r="F30" s="3" t="n">
        <v>1.26</v>
      </c>
      <c r="G30" s="3" t="n">
        <v>1.26</v>
      </c>
      <c r="H30" s="3" t="n">
        <v>1.26</v>
      </c>
      <c r="I30" s="3" t="n">
        <v>1.26</v>
      </c>
      <c r="J30" s="3" t="n">
        <v>1.26</v>
      </c>
      <c r="K30" s="3" t="n">
        <v>1.26</v>
      </c>
      <c r="L30" s="3" t="n">
        <v>1.26</v>
      </c>
    </row>
    <row r="31" customFormat="false" ht="15" hidden="false" customHeight="false" outlineLevel="0" collapsed="false">
      <c r="A31" s="0" t="s">
        <v>99</v>
      </c>
      <c r="C31" s="3" t="n">
        <v>5.8</v>
      </c>
      <c r="D31" s="3" t="n">
        <v>5.6</v>
      </c>
      <c r="E31" s="3" t="n">
        <v>5.4</v>
      </c>
      <c r="F31" s="3" t="n">
        <v>5.2</v>
      </c>
      <c r="G31" s="3" t="n">
        <v>5</v>
      </c>
      <c r="H31" s="3" t="n">
        <v>4.8</v>
      </c>
      <c r="I31" s="3" t="n">
        <v>4.6</v>
      </c>
      <c r="J31" s="3" t="n">
        <v>4.5</v>
      </c>
      <c r="K31" s="3" t="n">
        <v>4.5</v>
      </c>
      <c r="L31" s="3" t="n">
        <v>4.5</v>
      </c>
    </row>
    <row r="32" customFormat="false" ht="15" hidden="false" customHeight="false" outlineLevel="0" collapsed="false">
      <c r="A32" s="0" t="s">
        <v>100</v>
      </c>
      <c r="C32" s="3" t="n">
        <v>3.8</v>
      </c>
      <c r="D32" s="3" t="n">
        <v>3.9</v>
      </c>
      <c r="E32" s="3" t="n">
        <v>4</v>
      </c>
      <c r="F32" s="3" t="n">
        <v>4</v>
      </c>
      <c r="G32" s="3" t="n">
        <v>4</v>
      </c>
      <c r="H32" s="3" t="n">
        <v>4</v>
      </c>
      <c r="I32" s="3" t="n">
        <v>4</v>
      </c>
      <c r="J32" s="3" t="n">
        <v>4</v>
      </c>
      <c r="K32" s="3" t="n">
        <v>4</v>
      </c>
      <c r="L32" s="3" t="n">
        <v>4</v>
      </c>
    </row>
    <row r="33" customFormat="false" ht="15" hidden="false" customHeight="false" outlineLevel="0" collapsed="false">
      <c r="A33" s="0" t="s">
        <v>101</v>
      </c>
      <c r="C33" s="3" t="n">
        <v>15.5</v>
      </c>
      <c r="D33" s="3" t="n">
        <v>15.5</v>
      </c>
      <c r="E33" s="3" t="n">
        <v>16</v>
      </c>
      <c r="F33" s="3" t="n">
        <v>16</v>
      </c>
      <c r="G33" s="3" t="n">
        <v>16</v>
      </c>
      <c r="H33" s="3" t="n">
        <v>16</v>
      </c>
      <c r="I33" s="3" t="n">
        <v>16</v>
      </c>
      <c r="J33" s="3" t="n">
        <v>16</v>
      </c>
      <c r="K33" s="3" t="n">
        <v>16</v>
      </c>
      <c r="L33" s="3" t="n">
        <v>16</v>
      </c>
    </row>
    <row r="34" customFormat="false" ht="15" hidden="false" customHeight="false" outlineLevel="0" collapsed="false">
      <c r="A34" s="0" t="s">
        <v>102</v>
      </c>
      <c r="B34" s="3" t="n">
        <v>7.5</v>
      </c>
    </row>
    <row r="35" customFormat="false" ht="15" hidden="false" customHeight="false" outlineLevel="0" collapsed="false">
      <c r="A35" s="0" t="s">
        <v>103</v>
      </c>
      <c r="B35" s="3" t="n">
        <v>1.5</v>
      </c>
    </row>
    <row r="36" customFormat="false" ht="15" hidden="false" customHeight="false" outlineLevel="0" collapsed="false">
      <c r="A36" s="0" t="s">
        <v>104</v>
      </c>
      <c r="B36" s="3" t="n">
        <v>13</v>
      </c>
    </row>
    <row r="37" customFormat="false" ht="15" hidden="false" customHeight="false" outlineLevel="0" collapsed="false">
      <c r="A37" s="0" t="s">
        <v>105</v>
      </c>
      <c r="B37" s="3" t="n">
        <v>-5</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1</v>
      </c>
      <c r="D41" s="3" t="n">
        <v>2.5</v>
      </c>
      <c r="E41" s="3" t="n">
        <v>3</v>
      </c>
      <c r="F41" s="3" t="n">
        <v>3</v>
      </c>
      <c r="G41" s="3" t="n">
        <v>3</v>
      </c>
      <c r="H41" s="3" t="n">
        <v>2.5</v>
      </c>
      <c r="I41" s="3" t="n">
        <v>2.5</v>
      </c>
      <c r="J41" s="3" t="n">
        <v>2</v>
      </c>
      <c r="K41" s="3" t="n">
        <v>2</v>
      </c>
      <c r="L41" s="3" t="n">
        <v>2</v>
      </c>
    </row>
    <row r="42" customFormat="false" ht="15" hidden="false" customHeight="false" outlineLevel="0" collapsed="false">
      <c r="A42" s="0" t="s">
        <v>96</v>
      </c>
      <c r="C42" s="3" t="n">
        <v>20</v>
      </c>
      <c r="D42" s="3" t="n">
        <v>20.5</v>
      </c>
      <c r="E42" s="3" t="n">
        <v>21</v>
      </c>
      <c r="F42" s="3" t="n">
        <v>21.5</v>
      </c>
      <c r="G42" s="3" t="n">
        <v>22</v>
      </c>
      <c r="H42" s="3" t="n">
        <v>22</v>
      </c>
      <c r="I42" s="3" t="n">
        <v>22</v>
      </c>
      <c r="J42" s="3" t="n">
        <v>22</v>
      </c>
      <c r="K42" s="3" t="n">
        <v>22</v>
      </c>
      <c r="L42" s="3" t="n">
        <v>22</v>
      </c>
    </row>
    <row r="43" customFormat="false" ht="15" hidden="false" customHeight="false" outlineLevel="0" collapsed="false">
      <c r="A43" s="0" t="s">
        <v>97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98</v>
      </c>
      <c r="C44" s="3" t="n">
        <v>1.26</v>
      </c>
      <c r="D44" s="3" t="n">
        <v>1.26</v>
      </c>
      <c r="E44" s="3" t="n">
        <v>1.26</v>
      </c>
      <c r="F44" s="3" t="n">
        <v>1.26</v>
      </c>
      <c r="G44" s="3" t="n">
        <v>1.26</v>
      </c>
      <c r="H44" s="3" t="n">
        <v>1.26</v>
      </c>
      <c r="I44" s="3" t="n">
        <v>1.26</v>
      </c>
      <c r="J44" s="3" t="n">
        <v>1.26</v>
      </c>
      <c r="K44" s="3" t="n">
        <v>1.26</v>
      </c>
      <c r="L44" s="3" t="n">
        <v>1.26</v>
      </c>
    </row>
    <row r="45" customFormat="false" ht="15" hidden="false" customHeight="false" outlineLevel="0" collapsed="false">
      <c r="A45" s="0" t="s">
        <v>99</v>
      </c>
      <c r="C45" s="3" t="n">
        <v>5.8</v>
      </c>
      <c r="D45" s="3" t="n">
        <v>5.6</v>
      </c>
      <c r="E45" s="3" t="n">
        <v>5.4</v>
      </c>
      <c r="F45" s="3" t="n">
        <v>5.2</v>
      </c>
      <c r="G45" s="3" t="n">
        <v>5</v>
      </c>
      <c r="H45" s="3" t="n">
        <v>4.8</v>
      </c>
      <c r="I45" s="3" t="n">
        <v>4.6</v>
      </c>
      <c r="J45" s="3" t="n">
        <v>4.5</v>
      </c>
      <c r="K45" s="3" t="n">
        <v>4.5</v>
      </c>
      <c r="L45" s="3" t="n">
        <v>4.5</v>
      </c>
    </row>
    <row r="46" customFormat="false" ht="15" hidden="false" customHeight="false" outlineLevel="0" collapsed="false">
      <c r="A46" s="0" t="s">
        <v>100</v>
      </c>
      <c r="C46" s="3" t="n">
        <v>3.8</v>
      </c>
      <c r="D46" s="3" t="n">
        <v>4</v>
      </c>
      <c r="E46" s="3" t="n">
        <v>4.2</v>
      </c>
      <c r="F46" s="3" t="n">
        <v>4.2</v>
      </c>
      <c r="G46" s="3" t="n">
        <v>4.2</v>
      </c>
      <c r="H46" s="3" t="n">
        <v>4.2</v>
      </c>
      <c r="I46" s="3" t="n">
        <v>4.2</v>
      </c>
      <c r="J46" s="3" t="n">
        <v>4.2</v>
      </c>
      <c r="K46" s="3" t="n">
        <v>4.2</v>
      </c>
      <c r="L46" s="3" t="n">
        <v>4.2</v>
      </c>
    </row>
    <row r="47" customFormat="false" ht="15" hidden="false" customHeight="false" outlineLevel="0" collapsed="false">
      <c r="A47" s="0" t="s">
        <v>101</v>
      </c>
      <c r="C47" s="3" t="n">
        <v>15.5</v>
      </c>
      <c r="D47" s="3" t="n">
        <v>15.5</v>
      </c>
      <c r="E47" s="3" t="n">
        <v>16</v>
      </c>
      <c r="F47" s="3" t="n">
        <v>16</v>
      </c>
      <c r="G47" s="3" t="n">
        <v>16</v>
      </c>
      <c r="H47" s="3" t="n">
        <v>16</v>
      </c>
      <c r="I47" s="3" t="n">
        <v>16</v>
      </c>
      <c r="J47" s="3" t="n">
        <v>16</v>
      </c>
      <c r="K47" s="3" t="n">
        <v>16</v>
      </c>
      <c r="L47" s="3" t="n">
        <v>16</v>
      </c>
    </row>
    <row r="48" customFormat="false" ht="15" hidden="false" customHeight="false" outlineLevel="0" collapsed="false">
      <c r="A48" s="0" t="s">
        <v>102</v>
      </c>
      <c r="B48" s="3" t="n">
        <v>7.5</v>
      </c>
    </row>
    <row r="49" customFormat="false" ht="15" hidden="false" customHeight="false" outlineLevel="0" collapsed="false">
      <c r="A49" s="0" t="s">
        <v>103</v>
      </c>
      <c r="B49" s="3" t="n">
        <v>2</v>
      </c>
    </row>
    <row r="50" customFormat="false" ht="15" hidden="false" customHeight="false" outlineLevel="0" collapsed="false">
      <c r="A50" s="0" t="s">
        <v>104</v>
      </c>
      <c r="B50" s="3" t="n">
        <v>13</v>
      </c>
    </row>
    <row r="51" customFormat="false" ht="15" hidden="false" customHeight="false" outlineLevel="0" collapsed="false">
      <c r="A51" s="0" t="s">
        <v>105</v>
      </c>
      <c r="B51" s="3" t="n">
        <v>-5</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-2</v>
      </c>
      <c r="D5" s="4" t="n">
        <f aca="false">Assumptions!D13</f>
        <v>-2</v>
      </c>
      <c r="E5" s="4" t="n">
        <f aca="false">Assumptions!E13</f>
        <v>-1.5</v>
      </c>
      <c r="F5" s="4" t="n">
        <f aca="false">Assumptions!F13</f>
        <v>-1</v>
      </c>
      <c r="G5" s="4" t="n">
        <f aca="false">Assumptions!G13</f>
        <v>-0.5</v>
      </c>
      <c r="H5" s="4" t="n">
        <f aca="false">Assumptions!H13</f>
        <v>0</v>
      </c>
      <c r="I5" s="4" t="n">
        <f aca="false">Assumptions!I13</f>
        <v>0</v>
      </c>
      <c r="J5" s="4" t="n">
        <f aca="false">Assumptions!J13</f>
        <v>0.5</v>
      </c>
      <c r="K5" s="4" t="n">
        <f aca="false">Assumptions!K13</f>
        <v>0.5</v>
      </c>
      <c r="L5" s="4" t="n">
        <f aca="false">Assumptions!L13</f>
        <v>0.5</v>
      </c>
    </row>
    <row r="6" customFormat="false" ht="15" hidden="false" customHeight="false" outlineLevel="0" collapsed="false">
      <c r="A6" s="0" t="s">
        <v>37</v>
      </c>
      <c r="B6" s="3" t="n">
        <v>9567</v>
      </c>
      <c r="C6" s="0" t="n">
        <f aca="false">B6*(1+C5/100)</f>
        <v>9375.66</v>
      </c>
      <c r="D6" s="0" t="n">
        <f aca="false">C6*(1+D5/100)</f>
        <v>9188.1468</v>
      </c>
      <c r="E6" s="0" t="n">
        <f aca="false">D6*(1+E5/100)</f>
        <v>9050.324598</v>
      </c>
      <c r="F6" s="0" t="n">
        <f aca="false">E6*(1+F5/100)</f>
        <v>8959.82135202</v>
      </c>
      <c r="G6" s="0" t="n">
        <f aca="false">F6*(1+G5/100)</f>
        <v>8915.0222452599</v>
      </c>
      <c r="H6" s="0" t="n">
        <f aca="false">G6*(1+H5/100)</f>
        <v>8915.0222452599</v>
      </c>
      <c r="I6" s="0" t="n">
        <f aca="false">H6*(1+I5/100)</f>
        <v>8915.0222452599</v>
      </c>
      <c r="J6" s="0" t="n">
        <f aca="false">I6*(1+J5/100)</f>
        <v>8959.5973564862</v>
      </c>
      <c r="K6" s="0" t="n">
        <f aca="false">J6*(1+K5/100)</f>
        <v>9004.39534326863</v>
      </c>
      <c r="L6" s="0" t="n">
        <f aca="false">K6*(1+L5/100)</f>
        <v>9049.41731998497</v>
      </c>
    </row>
    <row r="7" customFormat="false" ht="15" hidden="false" customHeight="false" outlineLevel="0" collapsed="false">
      <c r="A7" s="0" t="s">
        <v>96</v>
      </c>
      <c r="C7" s="4" t="n">
        <f aca="false">Assumptions!C14</f>
        <v>19.5</v>
      </c>
      <c r="D7" s="4" t="n">
        <f aca="false">Assumptions!D14</f>
        <v>19</v>
      </c>
      <c r="E7" s="4" t="n">
        <f aca="false">Assumptions!E14</f>
        <v>18.5</v>
      </c>
      <c r="F7" s="4" t="n">
        <f aca="false">Assumptions!F14</f>
        <v>18</v>
      </c>
      <c r="G7" s="4" t="n">
        <f aca="false">Assumptions!G14</f>
        <v>17.5</v>
      </c>
      <c r="H7" s="4" t="n">
        <f aca="false">Assumptions!H14</f>
        <v>17.5</v>
      </c>
      <c r="I7" s="4" t="n">
        <f aca="false">Assumptions!I14</f>
        <v>17.5</v>
      </c>
      <c r="J7" s="4" t="n">
        <f aca="false">Assumptions!J14</f>
        <v>17.5</v>
      </c>
      <c r="K7" s="4" t="n">
        <f aca="false">Assumptions!K14</f>
        <v>17.5</v>
      </c>
      <c r="L7" s="4" t="n">
        <f aca="false">Assumptions!L14</f>
        <v>17.5</v>
      </c>
    </row>
    <row r="8" customFormat="false" ht="15" hidden="false" customHeight="false" outlineLevel="0" collapsed="false">
      <c r="A8" s="0" t="s">
        <v>43</v>
      </c>
      <c r="C8" s="0" t="n">
        <f aca="false">C6*C7/100</f>
        <v>1828.2537</v>
      </c>
      <c r="D8" s="0" t="n">
        <f aca="false">D6*D7/100</f>
        <v>1745.747892</v>
      </c>
      <c r="E8" s="0" t="n">
        <f aca="false">E6*E7/100</f>
        <v>1674.31005063</v>
      </c>
      <c r="F8" s="0" t="n">
        <f aca="false">F6*F7/100</f>
        <v>1612.7678433636</v>
      </c>
      <c r="G8" s="0" t="n">
        <f aca="false">G6*G7/100</f>
        <v>1560.12889292048</v>
      </c>
      <c r="H8" s="0" t="n">
        <f aca="false">H6*H7/100</f>
        <v>1560.12889292048</v>
      </c>
      <c r="I8" s="0" t="n">
        <f aca="false">I6*I7/100</f>
        <v>1560.12889292048</v>
      </c>
      <c r="J8" s="0" t="n">
        <f aca="false">J6*J7/100</f>
        <v>1567.92953738508</v>
      </c>
      <c r="K8" s="0" t="n">
        <f aca="false">K6*K7/100</f>
        <v>1575.76918507201</v>
      </c>
      <c r="L8" s="0" t="n">
        <f aca="false">L6*L7/100</f>
        <v>1583.64803099737</v>
      </c>
    </row>
    <row r="9" customFormat="false" ht="15" hidden="false" customHeight="false" outlineLevel="0" collapsed="false">
      <c r="A9" s="0" t="s">
        <v>97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1706.37012</v>
      </c>
      <c r="D11" s="0" t="n">
        <f aca="false">D8+D10+D24</f>
        <v>1626.3019836</v>
      </c>
      <c r="E11" s="0" t="n">
        <f aca="false">E8+E10+E24</f>
        <v>1556.655830856</v>
      </c>
      <c r="F11" s="0" t="n">
        <f aca="false">F8+F10+F24</f>
        <v>1496.29016578734</v>
      </c>
      <c r="G11" s="0" t="n">
        <f aca="false">G8+G10+G24</f>
        <v>1444.2336037321</v>
      </c>
      <c r="H11" s="0" t="n">
        <f aca="false">H8+H10+H24</f>
        <v>1444.2336037321</v>
      </c>
      <c r="I11" s="0" t="n">
        <f aca="false">I8+I10+I24</f>
        <v>1444.2336037321</v>
      </c>
      <c r="J11" s="0" t="n">
        <f aca="false">J8+J10+J24</f>
        <v>1451.45477175076</v>
      </c>
      <c r="K11" s="0" t="n">
        <f aca="false">K8+K10+K24</f>
        <v>1458.71204560952</v>
      </c>
      <c r="L11" s="0" t="n">
        <f aca="false">L8+L10+L24</f>
        <v>1466.00560583757</v>
      </c>
    </row>
    <row r="12" customFormat="false" ht="15" hidden="false" customHeight="false" outlineLevel="0" collapsed="false">
      <c r="A12" s="0" t="s">
        <v>114</v>
      </c>
      <c r="C12" s="4" t="n">
        <f aca="false">-C6*Assumptions!C17/100</f>
        <v>-543.78828</v>
      </c>
      <c r="D12" s="4" t="n">
        <f aca="false">-D6*Assumptions!D17/100</f>
        <v>-514.5362208</v>
      </c>
      <c r="E12" s="4" t="n">
        <f aca="false">-E6*Assumptions!E17/100</f>
        <v>-488.717528292</v>
      </c>
      <c r="F12" s="4" t="n">
        <f aca="false">-F6*Assumptions!F17/100</f>
        <v>-465.91071030504</v>
      </c>
      <c r="G12" s="4" t="n">
        <f aca="false">-G6*Assumptions!G17/100</f>
        <v>-445.751112262995</v>
      </c>
      <c r="H12" s="4" t="n">
        <f aca="false">-H6*Assumptions!H17/100</f>
        <v>-427.921067772475</v>
      </c>
      <c r="I12" s="4" t="n">
        <f aca="false">-I6*Assumptions!I17/100</f>
        <v>-410.091023281955</v>
      </c>
      <c r="J12" s="4" t="n">
        <f aca="false">-J6*Assumptions!J17/100</f>
        <v>-403.181881041879</v>
      </c>
      <c r="K12" s="4" t="n">
        <f aca="false">-K6*Assumptions!K17/100</f>
        <v>-405.197790447088</v>
      </c>
      <c r="L12" s="4" t="n">
        <f aca="false">-L6*Assumptions!L17/100</f>
        <v>-407.223779399324</v>
      </c>
    </row>
    <row r="13" customFormat="false" ht="15" hidden="false" customHeight="false" outlineLevel="0" collapsed="false">
      <c r="A13" s="0" t="s">
        <v>115</v>
      </c>
      <c r="C13" s="0" t="n">
        <f aca="false">C11+C12</f>
        <v>1162.58184</v>
      </c>
      <c r="D13" s="0" t="n">
        <f aca="false">D11+D12</f>
        <v>1111.7657628</v>
      </c>
      <c r="E13" s="0" t="n">
        <f aca="false">E11+E12</f>
        <v>1067.938302564</v>
      </c>
      <c r="F13" s="0" t="n">
        <f aca="false">F11+F12</f>
        <v>1030.3794554823</v>
      </c>
      <c r="G13" s="0" t="n">
        <f aca="false">G11+G12</f>
        <v>998.482491469109</v>
      </c>
      <c r="H13" s="0" t="n">
        <f aca="false">H11+H12</f>
        <v>1016.31253595963</v>
      </c>
      <c r="I13" s="0" t="n">
        <f aca="false">I11+I12</f>
        <v>1034.14258045015</v>
      </c>
      <c r="J13" s="0" t="n">
        <f aca="false">J11+J12</f>
        <v>1048.27289070889</v>
      </c>
      <c r="K13" s="0" t="n">
        <f aca="false">K11+K12</f>
        <v>1053.51425516243</v>
      </c>
      <c r="L13" s="0" t="n">
        <f aca="false">L11+L12</f>
        <v>1058.78182643824</v>
      </c>
    </row>
    <row r="14" customFormat="false" ht="15" hidden="false" customHeight="false" outlineLevel="0" collapsed="false">
      <c r="A14" s="0" t="s">
        <v>101</v>
      </c>
      <c r="C14" s="4" t="n">
        <f aca="false">Assumptions!C19</f>
        <v>15.5</v>
      </c>
      <c r="D14" s="4" t="n">
        <f aca="false">Assumptions!D19</f>
        <v>15.5</v>
      </c>
      <c r="E14" s="4" t="n">
        <f aca="false">Assumptions!E19</f>
        <v>16</v>
      </c>
      <c r="F14" s="4" t="n">
        <f aca="false">Assumptions!F19</f>
        <v>16</v>
      </c>
      <c r="G14" s="4" t="n">
        <f aca="false">Assumptions!G19</f>
        <v>16</v>
      </c>
      <c r="H14" s="4" t="n">
        <f aca="false">Assumptions!H19</f>
        <v>16</v>
      </c>
      <c r="I14" s="4" t="n">
        <f aca="false">Assumptions!I19</f>
        <v>16</v>
      </c>
      <c r="J14" s="4" t="n">
        <f aca="false">Assumptions!J19</f>
        <v>16</v>
      </c>
      <c r="K14" s="4" t="n">
        <f aca="false">Assumptions!K19</f>
        <v>16</v>
      </c>
      <c r="L14" s="4" t="n">
        <f aca="false">Assumptions!L19</f>
        <v>16</v>
      </c>
    </row>
    <row r="15" customFormat="false" ht="15" hidden="false" customHeight="false" outlineLevel="0" collapsed="false">
      <c r="A15" s="0" t="s">
        <v>116</v>
      </c>
      <c r="C15" s="0" t="n">
        <f aca="false">C13-MAX(0,C13)*C14/100</f>
        <v>982.3816548</v>
      </c>
      <c r="D15" s="0" t="n">
        <f aca="false">D13-MAX(0,D13)*D14/100</f>
        <v>939.442069566</v>
      </c>
      <c r="E15" s="0" t="n">
        <f aca="false">E13-MAX(0,E13)*E14/100</f>
        <v>897.06817415376</v>
      </c>
      <c r="F15" s="0" t="n">
        <f aca="false">F13-MAX(0,F13)*F14/100</f>
        <v>865.518742605132</v>
      </c>
      <c r="G15" s="0" t="n">
        <f aca="false">G13-MAX(0,G13)*G14/100</f>
        <v>838.725292834052</v>
      </c>
      <c r="H15" s="0" t="n">
        <f aca="false">H13-MAX(0,H13)*H14/100</f>
        <v>853.702530206088</v>
      </c>
      <c r="I15" s="0" t="n">
        <f aca="false">I13-MAX(0,I13)*I14/100</f>
        <v>868.679767578125</v>
      </c>
      <c r="J15" s="0" t="n">
        <f aca="false">J13-MAX(0,J13)*J14/100</f>
        <v>880.549228195464</v>
      </c>
      <c r="K15" s="0" t="n">
        <f aca="false">K13-MAX(0,K13)*K14/100</f>
        <v>884.951974336441</v>
      </c>
      <c r="L15" s="0" t="n">
        <f aca="false">L13-MAX(0,L13)*L14/100</f>
        <v>889.376734208123</v>
      </c>
    </row>
    <row r="16" customFormat="false" ht="15" hidden="false" customHeight="false" outlineLevel="0" collapsed="false">
      <c r="A16" s="0" t="s">
        <v>117</v>
      </c>
      <c r="C16" s="0" t="n">
        <f aca="false">-C12</f>
        <v>543.78828</v>
      </c>
      <c r="D16" s="0" t="n">
        <f aca="false">-D12</f>
        <v>514.5362208</v>
      </c>
      <c r="E16" s="0" t="n">
        <f aca="false">-E12</f>
        <v>488.717528292</v>
      </c>
      <c r="F16" s="0" t="n">
        <f aca="false">-F12</f>
        <v>465.91071030504</v>
      </c>
      <c r="G16" s="0" t="n">
        <f aca="false">-G12</f>
        <v>445.751112262995</v>
      </c>
      <c r="H16" s="0" t="n">
        <f aca="false">-H12</f>
        <v>427.921067772475</v>
      </c>
      <c r="I16" s="0" t="n">
        <f aca="false">-I12</f>
        <v>410.091023281955</v>
      </c>
      <c r="J16" s="0" t="n">
        <f aca="false">-J12</f>
        <v>403.181881041879</v>
      </c>
      <c r="K16" s="0" t="n">
        <f aca="false">-K12</f>
        <v>405.197790447088</v>
      </c>
      <c r="L16" s="0" t="n">
        <f aca="false">-L12</f>
        <v>407.223779399324</v>
      </c>
    </row>
    <row r="17" customFormat="false" ht="15" hidden="false" customHeight="false" outlineLevel="0" collapsed="false">
      <c r="A17" s="0" t="s">
        <v>118</v>
      </c>
      <c r="C17" s="4" t="n">
        <f aca="false">-C6*Assumptions!C18/100</f>
        <v>-356.27508</v>
      </c>
      <c r="D17" s="4" t="n">
        <f aca="false">-D6*Assumptions!D18/100</f>
        <v>-367.525872</v>
      </c>
      <c r="E17" s="4" t="n">
        <f aca="false">-E6*Assumptions!E18/100</f>
        <v>-362.01298392</v>
      </c>
      <c r="F17" s="4" t="n">
        <f aca="false">-F6*Assumptions!F18/100</f>
        <v>-358.3928540808</v>
      </c>
      <c r="G17" s="4" t="n">
        <f aca="false">-G6*Assumptions!G18/100</f>
        <v>-356.600889810396</v>
      </c>
      <c r="H17" s="4" t="n">
        <f aca="false">-H6*Assumptions!H18/100</f>
        <v>-356.600889810396</v>
      </c>
      <c r="I17" s="4" t="n">
        <f aca="false">-I6*Assumptions!I18/100</f>
        <v>-356.600889810396</v>
      </c>
      <c r="J17" s="4" t="n">
        <f aca="false">-J6*Assumptions!J18/100</f>
        <v>-358.383894259448</v>
      </c>
      <c r="K17" s="4" t="n">
        <f aca="false">-K6*Assumptions!K18/100</f>
        <v>-360.175813730745</v>
      </c>
      <c r="L17" s="4" t="n">
        <f aca="false">-L6*Assumptions!L18/100</f>
        <v>-361.976692799399</v>
      </c>
    </row>
    <row r="18" customFormat="false" ht="15" hidden="false" customHeight="false" outlineLevel="0" collapsed="false">
      <c r="A18" s="0" t="s">
        <v>119</v>
      </c>
      <c r="C18" s="4" t="n">
        <f aca="false">(C6-B6)*Assumptions!$B$23/100</f>
        <v>9.56700000000001</v>
      </c>
      <c r="D18" s="4" t="n">
        <f aca="false">(D6-C6)*Assumptions!$B$23/100</f>
        <v>9.37565999999997</v>
      </c>
      <c r="E18" s="4" t="n">
        <f aca="false">(E6-D6)*Assumptions!$B$23/100</f>
        <v>6.89111009999997</v>
      </c>
      <c r="F18" s="4" t="n">
        <f aca="false">(F6-E6)*Assumptions!$B$23/100</f>
        <v>4.52516229900002</v>
      </c>
      <c r="G18" s="4" t="n">
        <f aca="false">(G6-F6)*Assumptions!$B$23/100</f>
        <v>2.23995533800498</v>
      </c>
      <c r="H18" s="4" t="n">
        <f aca="false">(H6-G6)*Assumptions!$B$23/100</f>
        <v>-0</v>
      </c>
      <c r="I18" s="4" t="n">
        <f aca="false">(I6-H6)*Assumptions!$B$23/100</f>
        <v>-0</v>
      </c>
      <c r="J18" s="4" t="n">
        <f aca="false">(J6-I6)*Assumptions!$B$23/100</f>
        <v>-2.22875556131494</v>
      </c>
      <c r="K18" s="4" t="n">
        <f aca="false">(K6-J6)*Assumptions!$B$23/100</f>
        <v>-2.23989933912153</v>
      </c>
      <c r="L18" s="4" t="n">
        <f aca="false">(L6-K6)*Assumptions!$B$23/100</f>
        <v>-2.25109883581708</v>
      </c>
    </row>
    <row r="19" customFormat="false" ht="15" hidden="false" customHeight="false" outlineLevel="0" collapsed="false">
      <c r="A19" s="0" t="s">
        <v>120</v>
      </c>
      <c r="C19" s="0" t="n">
        <f aca="false">C15+C16+C17+C18</f>
        <v>1179.4618548</v>
      </c>
      <c r="D19" s="0" t="n">
        <f aca="false">D15+D16+D17+D18</f>
        <v>1095.828078366</v>
      </c>
      <c r="E19" s="0" t="n">
        <f aca="false">E15+E16+E17+E18</f>
        <v>1030.66382862576</v>
      </c>
      <c r="F19" s="0" t="n">
        <f aca="false">F15+F16+F17+F18</f>
        <v>977.561761128372</v>
      </c>
      <c r="G19" s="0" t="n">
        <f aca="false">G15+G16+G17+G18</f>
        <v>930.115470624656</v>
      </c>
      <c r="H19" s="0" t="n">
        <f aca="false">H15+H16+H17+H18</f>
        <v>925.022708168167</v>
      </c>
      <c r="I19" s="0" t="n">
        <f aca="false">I15+I16+I17+I18</f>
        <v>922.169901049684</v>
      </c>
      <c r="J19" s="0" t="n">
        <f aca="false">J15+J16+J17+J18</f>
        <v>923.11845941658</v>
      </c>
      <c r="K19" s="0" t="n">
        <f aca="false">K15+K16+K17+K18</f>
        <v>927.734051713663</v>
      </c>
      <c r="L19" s="0" t="n">
        <f aca="false">L15+L16+L17+L18</f>
        <v>932.372721972231</v>
      </c>
    </row>
    <row r="20" customFormat="false" ht="15" hidden="false" customHeight="false" outlineLevel="0" collapsed="false">
      <c r="A20" s="0" t="s">
        <v>121</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122</v>
      </c>
      <c r="C21" s="0" t="n">
        <f aca="false">C19*C20</f>
        <v>1097.1738184186</v>
      </c>
      <c r="D21" s="0" t="n">
        <f aca="false">D19*D20</f>
        <v>948.255773599568</v>
      </c>
      <c r="E21" s="0" t="n">
        <f aca="false">E19*E20</f>
        <v>829.64374246354</v>
      </c>
      <c r="F21" s="0" t="n">
        <f aca="false">F19*F20</f>
        <v>731.998764622051</v>
      </c>
      <c r="G21" s="0" t="n">
        <f aca="false">G19*G20</f>
        <v>647.879960145995</v>
      </c>
      <c r="H21" s="0" t="n">
        <f aca="false">H19*H20</f>
        <v>599.37911859946</v>
      </c>
      <c r="I21" s="0" t="n">
        <f aca="false">I19*I20</f>
        <v>555.842427318213</v>
      </c>
      <c r="J21" s="0" t="n">
        <f aca="false">J19*J20</f>
        <v>517.594581881532</v>
      </c>
      <c r="K21" s="0" t="n">
        <f aca="false">K19*K20</f>
        <v>483.890748642735</v>
      </c>
      <c r="L21" s="0" t="n">
        <f aca="false">L19*L20</f>
        <v>452.381583614836</v>
      </c>
    </row>
    <row r="23" customFormat="false" ht="15" hidden="false" customHeight="false" outlineLevel="0" collapsed="false">
      <c r="A23" s="0" t="s">
        <v>98</v>
      </c>
      <c r="C23" s="4" t="n">
        <f aca="false">Assumptions!C16</f>
        <v>1.3</v>
      </c>
      <c r="D23" s="4" t="n">
        <f aca="false">Assumptions!D16</f>
        <v>1.3</v>
      </c>
      <c r="E23" s="4" t="n">
        <f aca="false">Assumptions!E16</f>
        <v>1.3</v>
      </c>
      <c r="F23" s="4" t="n">
        <f aca="false">Assumptions!F16</f>
        <v>1.3</v>
      </c>
      <c r="G23" s="4" t="n">
        <f aca="false">Assumptions!G16</f>
        <v>1.3</v>
      </c>
      <c r="H23" s="4" t="n">
        <f aca="false">Assumptions!H16</f>
        <v>1.3</v>
      </c>
      <c r="I23" s="4" t="n">
        <f aca="false">Assumptions!I16</f>
        <v>1.3</v>
      </c>
      <c r="J23" s="4" t="n">
        <f aca="false">Assumptions!J16</f>
        <v>1.3</v>
      </c>
      <c r="K23" s="4" t="n">
        <f aca="false">Assumptions!K16</f>
        <v>1.3</v>
      </c>
      <c r="L23" s="4" t="n">
        <f aca="false">Assumptions!L16</f>
        <v>1.3</v>
      </c>
    </row>
    <row r="24" customFormat="false" ht="15" hidden="false" customHeight="false" outlineLevel="0" collapsed="false">
      <c r="A24" s="0" t="s">
        <v>123</v>
      </c>
      <c r="C24" s="0" t="n">
        <f aca="false">-C6*C23/100</f>
        <v>-121.88358</v>
      </c>
      <c r="D24" s="0" t="n">
        <f aca="false">-D6*D23/100</f>
        <v>-119.4459084</v>
      </c>
      <c r="E24" s="0" t="n">
        <f aca="false">-E6*E23/100</f>
        <v>-117.654219774</v>
      </c>
      <c r="F24" s="0" t="n">
        <f aca="false">-F6*F23/100</f>
        <v>-116.47767757626</v>
      </c>
      <c r="G24" s="0" t="n">
        <f aca="false">-G6*G23/100</f>
        <v>-115.895289188379</v>
      </c>
      <c r="H24" s="0" t="n">
        <f aca="false">-H6*H23/100</f>
        <v>-115.895289188379</v>
      </c>
      <c r="I24" s="0" t="n">
        <f aca="false">-I6*I23/100</f>
        <v>-115.895289188379</v>
      </c>
      <c r="J24" s="0" t="n">
        <f aca="false">-J6*J23/100</f>
        <v>-116.474765634321</v>
      </c>
      <c r="K24" s="0" t="n">
        <f aca="false">-K6*K23/100</f>
        <v>-117.057139462492</v>
      </c>
      <c r="L24" s="0" t="n">
        <f aca="false">-L6*L23/100</f>
        <v>-117.642425159805</v>
      </c>
    </row>
    <row r="26" customFormat="false" ht="15" hidden="false" customHeight="false" outlineLevel="0" collapsed="false">
      <c r="A26" s="2" t="s">
        <v>124</v>
      </c>
    </row>
    <row r="27" customFormat="false" ht="15" hidden="false" customHeight="false" outlineLevel="0" collapsed="false">
      <c r="A27" s="0" t="s">
        <v>102</v>
      </c>
      <c r="B27" s="4" t="n">
        <f aca="false">Assumptions!$B$20</f>
        <v>7.5</v>
      </c>
    </row>
    <row r="28" customFormat="false" ht="15" hidden="false" customHeight="false" outlineLevel="0" collapsed="false">
      <c r="A28" s="0" t="s">
        <v>103</v>
      </c>
      <c r="B28" s="4" t="n">
        <f aca="false">Assumptions!$B$21</f>
        <v>0.5</v>
      </c>
    </row>
    <row r="29" customFormat="false" ht="15" hidden="false" customHeight="false" outlineLevel="0" collapsed="false">
      <c r="A29" s="0" t="s">
        <v>104</v>
      </c>
      <c r="B29" s="4" t="n">
        <f aca="false">Assumptions!$B$22</f>
        <v>13</v>
      </c>
    </row>
    <row r="30" customFormat="false" ht="15" hidden="false" customHeight="false" outlineLevel="0" collapsed="false">
      <c r="A30" s="0" t="s">
        <v>125</v>
      </c>
      <c r="B30" s="0" t="n">
        <f aca="false">SUM(C21:L21)</f>
        <v>6864.04051930653</v>
      </c>
    </row>
    <row r="31" customFormat="false" ht="15" hidden="false" customHeight="false" outlineLevel="0" collapsed="false">
      <c r="A31" s="0" t="s">
        <v>126</v>
      </c>
      <c r="B31" s="0" t="n">
        <f aca="false">L19</f>
        <v>932.372721972231</v>
      </c>
    </row>
    <row r="32" customFormat="false" ht="15" hidden="false" customHeight="false" outlineLevel="0" collapsed="false">
      <c r="A32" s="0" t="s">
        <v>127</v>
      </c>
      <c r="B32" s="0" t="n">
        <f aca="false">IF(B27&gt;B28,B31*(1+B28/100)/((B27-B28)/100),B31*B29)</f>
        <v>13386.2083654585</v>
      </c>
    </row>
    <row r="33" customFormat="false" ht="15" hidden="false" customHeight="false" outlineLevel="0" collapsed="false">
      <c r="A33" s="0" t="s">
        <v>128</v>
      </c>
      <c r="B33" s="0" t="n">
        <f aca="false">B31*B29</f>
        <v>12120.845385639</v>
      </c>
    </row>
    <row r="34" customFormat="false" ht="15" hidden="false" customHeight="false" outlineLevel="0" collapsed="false">
      <c r="A34" s="0" t="s">
        <v>129</v>
      </c>
      <c r="B34" s="0" t="n">
        <f aca="false">MAX(0,MIN(B32,B33))</f>
        <v>12120.845385639</v>
      </c>
    </row>
    <row r="35" customFormat="false" ht="15" hidden="false" customHeight="false" outlineLevel="0" collapsed="false">
      <c r="A35" s="0" t="s">
        <v>130</v>
      </c>
      <c r="B35" s="0" t="n">
        <f aca="false">B34/(1+B27/100)^L4</f>
        <v>5880.96058699287</v>
      </c>
    </row>
    <row r="36" customFormat="false" ht="15" hidden="false" customHeight="false" outlineLevel="0" collapsed="false">
      <c r="A36" s="0" t="s">
        <v>131</v>
      </c>
      <c r="B36" s="0" t="n">
        <f aca="false">B30+B35</f>
        <v>12745.0011062994</v>
      </c>
    </row>
    <row r="37" customFormat="false" ht="15" hidden="false" customHeight="false" outlineLevel="0" collapsed="false">
      <c r="A37" s="0" t="s">
        <v>132</v>
      </c>
      <c r="B37" s="0" t="n">
        <f aca="false">B36+Assumptions!$B$5-Assumptions!$B$4</f>
        <v>11417.0011062994</v>
      </c>
    </row>
    <row r="38" customFormat="false" ht="15" hidden="false" customHeight="false" outlineLevel="0" collapsed="false">
      <c r="A38" s="0" t="s">
        <v>133</v>
      </c>
      <c r="B38" s="0" t="n">
        <f aca="false">B37/Assumptions!$B$3*Assumptions!$B$10</f>
        <v>3.08484223353132</v>
      </c>
    </row>
    <row r="39" customFormat="false" ht="15" hidden="false" customHeight="false" outlineLevel="0" collapsed="false">
      <c r="A39" s="0" t="s">
        <v>134</v>
      </c>
      <c r="B39" s="4" t="n">
        <f aca="false">B38/Assumptions!$B$2-1</f>
        <v>0.307136539631913</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3.08484223353132</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6462.30748677305</v>
      </c>
    </row>
    <row r="47" customFormat="false" ht="15" hidden="false" customHeight="false" outlineLevel="0" collapsed="false">
      <c r="A47" s="0" t="s">
        <v>139</v>
      </c>
      <c r="B47" s="0" t="n">
        <f aca="false">(SUMPRODUCT(C19:L19/(1+B45/100)^C4:L4)+B46/(1+B45/100)^L4+Assumptions!$B$5-Assumptions!$B$4)/Assumptions!$B$3*Assumptions!$B$10</f>
        <v>1.44965902412554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-0.5</v>
      </c>
      <c r="D5" s="4" t="n">
        <f aca="false">Assumptions!D27</f>
        <v>0.5</v>
      </c>
      <c r="E5" s="4" t="n">
        <f aca="false">Assumptions!E27</f>
        <v>1</v>
      </c>
      <c r="F5" s="4" t="n">
        <f aca="false">Assumptions!F27</f>
        <v>1.5</v>
      </c>
      <c r="G5" s="4" t="n">
        <f aca="false">Assumptions!G27</f>
        <v>1.5</v>
      </c>
      <c r="H5" s="4" t="n">
        <f aca="false">Assumptions!H27</f>
        <v>1.5</v>
      </c>
      <c r="I5" s="4" t="n">
        <f aca="false">Assumptions!I27</f>
        <v>1.5</v>
      </c>
      <c r="J5" s="4" t="n">
        <f aca="false">Assumptions!J27</f>
        <v>1.5</v>
      </c>
      <c r="K5" s="4" t="n">
        <f aca="false">Assumptions!K27</f>
        <v>1.5</v>
      </c>
      <c r="L5" s="4" t="n">
        <f aca="false">Assumptions!L27</f>
        <v>1.5</v>
      </c>
    </row>
    <row r="6" customFormat="false" ht="15" hidden="false" customHeight="false" outlineLevel="0" collapsed="false">
      <c r="A6" s="0" t="s">
        <v>37</v>
      </c>
      <c r="B6" s="3" t="n">
        <v>9567</v>
      </c>
      <c r="C6" s="0" t="n">
        <f aca="false">B6*(1+C5/100)</f>
        <v>9519.165</v>
      </c>
      <c r="D6" s="0" t="n">
        <f aca="false">C6*(1+D5/100)</f>
        <v>9566.760825</v>
      </c>
      <c r="E6" s="0" t="n">
        <f aca="false">D6*(1+E5/100)</f>
        <v>9662.42843325</v>
      </c>
      <c r="F6" s="0" t="n">
        <f aca="false">E6*(1+F5/100)</f>
        <v>9807.36485974875</v>
      </c>
      <c r="G6" s="0" t="n">
        <f aca="false">F6*(1+G5/100)</f>
        <v>9954.47533264498</v>
      </c>
      <c r="H6" s="0" t="n">
        <f aca="false">G6*(1+H5/100)</f>
        <v>10103.7924626347</v>
      </c>
      <c r="I6" s="0" t="n">
        <f aca="false">H6*(1+I5/100)</f>
        <v>10255.3493495742</v>
      </c>
      <c r="J6" s="0" t="n">
        <f aca="false">I6*(1+J5/100)</f>
        <v>10409.1795898178</v>
      </c>
      <c r="K6" s="0" t="n">
        <f aca="false">J6*(1+K5/100)</f>
        <v>10565.317283665</v>
      </c>
      <c r="L6" s="0" t="n">
        <f aca="false">K6*(1+L5/100)</f>
        <v>10723.79704292</v>
      </c>
    </row>
    <row r="7" customFormat="false" ht="15" hidden="false" customHeight="false" outlineLevel="0" collapsed="false">
      <c r="A7" s="0" t="s">
        <v>96</v>
      </c>
      <c r="C7" s="4" t="n">
        <f aca="false">Assumptions!C28</f>
        <v>19.8</v>
      </c>
      <c r="D7" s="4" t="n">
        <f aca="false">Assumptions!D28</f>
        <v>19.8</v>
      </c>
      <c r="E7" s="4" t="n">
        <f aca="false">Assumptions!E28</f>
        <v>19.9</v>
      </c>
      <c r="F7" s="4" t="n">
        <f aca="false">Assumptions!F28</f>
        <v>20</v>
      </c>
      <c r="G7" s="4" t="n">
        <f aca="false">Assumptions!G28</f>
        <v>20</v>
      </c>
      <c r="H7" s="4" t="n">
        <f aca="false">Assumptions!H28</f>
        <v>20</v>
      </c>
      <c r="I7" s="4" t="n">
        <f aca="false">Assumptions!I28</f>
        <v>20</v>
      </c>
      <c r="J7" s="4" t="n">
        <f aca="false">Assumptions!J28</f>
        <v>20</v>
      </c>
      <c r="K7" s="4" t="n">
        <f aca="false">Assumptions!K28</f>
        <v>20</v>
      </c>
      <c r="L7" s="4" t="n">
        <f aca="false">Assumptions!L28</f>
        <v>20</v>
      </c>
    </row>
    <row r="8" customFormat="false" ht="15" hidden="false" customHeight="false" outlineLevel="0" collapsed="false">
      <c r="A8" s="0" t="s">
        <v>43</v>
      </c>
      <c r="C8" s="0" t="n">
        <f aca="false">C6*C7/100</f>
        <v>1884.79467</v>
      </c>
      <c r="D8" s="0" t="n">
        <f aca="false">D6*D7/100</f>
        <v>1894.21864335</v>
      </c>
      <c r="E8" s="0" t="n">
        <f aca="false">E6*E7/100</f>
        <v>1922.82325821675</v>
      </c>
      <c r="F8" s="0" t="n">
        <f aca="false">F6*F7/100</f>
        <v>1961.47297194975</v>
      </c>
      <c r="G8" s="0" t="n">
        <f aca="false">G6*G7/100</f>
        <v>1990.895066529</v>
      </c>
      <c r="H8" s="0" t="n">
        <f aca="false">H6*H7/100</f>
        <v>2020.75849252693</v>
      </c>
      <c r="I8" s="0" t="n">
        <f aca="false">I6*I7/100</f>
        <v>2051.06986991483</v>
      </c>
      <c r="J8" s="0" t="n">
        <f aca="false">J6*J7/100</f>
        <v>2081.83591796356</v>
      </c>
      <c r="K8" s="0" t="n">
        <f aca="false">K6*K7/100</f>
        <v>2113.06345673301</v>
      </c>
      <c r="L8" s="0" t="n">
        <f aca="false">L6*L7/100</f>
        <v>2144.759408584</v>
      </c>
    </row>
    <row r="9" customFormat="false" ht="15" hidden="false" customHeight="false" outlineLevel="0" collapsed="false">
      <c r="A9" s="0" t="s">
        <v>97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1764.853191</v>
      </c>
      <c r="D11" s="0" t="n">
        <f aca="false">D8+D10+D24</f>
        <v>1773.677456955</v>
      </c>
      <c r="E11" s="0" t="n">
        <f aca="false">E8+E10+E24</f>
        <v>1801.0766599578</v>
      </c>
      <c r="F11" s="0" t="n">
        <f aca="false">F8+F10+F24</f>
        <v>1837.90017471692</v>
      </c>
      <c r="G11" s="0" t="n">
        <f aca="false">G8+G10+G24</f>
        <v>1865.46867733767</v>
      </c>
      <c r="H11" s="0" t="n">
        <f aca="false">H8+H10+H24</f>
        <v>1893.45070749773</v>
      </c>
      <c r="I11" s="0" t="n">
        <f aca="false">I8+I10+I24</f>
        <v>1921.8524681102</v>
      </c>
      <c r="J11" s="0" t="n">
        <f aca="false">J8+J10+J24</f>
        <v>1950.68025513185</v>
      </c>
      <c r="K11" s="0" t="n">
        <f aca="false">K8+K10+K24</f>
        <v>1979.94045895883</v>
      </c>
      <c r="L11" s="0" t="n">
        <f aca="false">L8+L10+L24</f>
        <v>2009.63956584321</v>
      </c>
    </row>
    <row r="12" customFormat="false" ht="15" hidden="false" customHeight="false" outlineLevel="0" collapsed="false">
      <c r="A12" s="0" t="s">
        <v>114</v>
      </c>
      <c r="C12" s="4" t="n">
        <f aca="false">-C6*Assumptions!C31/100</f>
        <v>-552.11157</v>
      </c>
      <c r="D12" s="4" t="n">
        <f aca="false">-D6*Assumptions!D31/100</f>
        <v>-535.7386062</v>
      </c>
      <c r="E12" s="4" t="n">
        <f aca="false">-E6*Assumptions!E31/100</f>
        <v>-521.7711353955</v>
      </c>
      <c r="F12" s="4" t="n">
        <f aca="false">-F6*Assumptions!F31/100</f>
        <v>-509.982972706935</v>
      </c>
      <c r="G12" s="4" t="n">
        <f aca="false">-G6*Assumptions!G31/100</f>
        <v>-497.723766632249</v>
      </c>
      <c r="H12" s="4" t="n">
        <f aca="false">-H6*Assumptions!H31/100</f>
        <v>-484.982038206463</v>
      </c>
      <c r="I12" s="4" t="n">
        <f aca="false">-I6*Assumptions!I31/100</f>
        <v>-471.746070080412</v>
      </c>
      <c r="J12" s="4" t="n">
        <f aca="false">-J6*Assumptions!J31/100</f>
        <v>-468.4130815418</v>
      </c>
      <c r="K12" s="4" t="n">
        <f aca="false">-K6*Assumptions!K31/100</f>
        <v>-475.439277764927</v>
      </c>
      <c r="L12" s="4" t="n">
        <f aca="false">-L6*Assumptions!L31/100</f>
        <v>-482.570866931401</v>
      </c>
    </row>
    <row r="13" customFormat="false" ht="15" hidden="false" customHeight="false" outlineLevel="0" collapsed="false">
      <c r="A13" s="0" t="s">
        <v>115</v>
      </c>
      <c r="C13" s="0" t="n">
        <f aca="false">C11+C12</f>
        <v>1212.741621</v>
      </c>
      <c r="D13" s="0" t="n">
        <f aca="false">D11+D12</f>
        <v>1237.938850755</v>
      </c>
      <c r="E13" s="0" t="n">
        <f aca="false">E11+E12</f>
        <v>1279.3055245623</v>
      </c>
      <c r="F13" s="0" t="n">
        <f aca="false">F11+F12</f>
        <v>1327.91720200998</v>
      </c>
      <c r="G13" s="0" t="n">
        <f aca="false">G11+G12</f>
        <v>1367.74491070542</v>
      </c>
      <c r="H13" s="0" t="n">
        <f aca="false">H11+H12</f>
        <v>1408.46866929127</v>
      </c>
      <c r="I13" s="0" t="n">
        <f aca="false">I11+I12</f>
        <v>1450.10639802979</v>
      </c>
      <c r="J13" s="0" t="n">
        <f aca="false">J11+J12</f>
        <v>1482.26717359005</v>
      </c>
      <c r="K13" s="0" t="n">
        <f aca="false">K11+K12</f>
        <v>1504.5011811939</v>
      </c>
      <c r="L13" s="0" t="n">
        <f aca="false">L11+L12</f>
        <v>1527.06869891181</v>
      </c>
    </row>
    <row r="14" customFormat="false" ht="15" hidden="false" customHeight="false" outlineLevel="0" collapsed="false">
      <c r="A14" s="0" t="s">
        <v>101</v>
      </c>
      <c r="C14" s="4" t="n">
        <f aca="false">Assumptions!C33</f>
        <v>15.5</v>
      </c>
      <c r="D14" s="4" t="n">
        <f aca="false">Assumptions!D33</f>
        <v>15.5</v>
      </c>
      <c r="E14" s="4" t="n">
        <f aca="false">Assumptions!E33</f>
        <v>16</v>
      </c>
      <c r="F14" s="4" t="n">
        <f aca="false">Assumptions!F33</f>
        <v>16</v>
      </c>
      <c r="G14" s="4" t="n">
        <f aca="false">Assumptions!G33</f>
        <v>16</v>
      </c>
      <c r="H14" s="4" t="n">
        <f aca="false">Assumptions!H33</f>
        <v>16</v>
      </c>
      <c r="I14" s="4" t="n">
        <f aca="false">Assumptions!I33</f>
        <v>16</v>
      </c>
      <c r="J14" s="4" t="n">
        <f aca="false">Assumptions!J33</f>
        <v>16</v>
      </c>
      <c r="K14" s="4" t="n">
        <f aca="false">Assumptions!K33</f>
        <v>16</v>
      </c>
      <c r="L14" s="4" t="n">
        <f aca="false">Assumptions!L33</f>
        <v>16</v>
      </c>
    </row>
    <row r="15" customFormat="false" ht="15" hidden="false" customHeight="false" outlineLevel="0" collapsed="false">
      <c r="A15" s="0" t="s">
        <v>116</v>
      </c>
      <c r="C15" s="0" t="n">
        <f aca="false">C13-MAX(0,C13)*C14/100</f>
        <v>1024.766669745</v>
      </c>
      <c r="D15" s="0" t="n">
        <f aca="false">D13-MAX(0,D13)*D14/100</f>
        <v>1046.05832888797</v>
      </c>
      <c r="E15" s="0" t="n">
        <f aca="false">E13-MAX(0,E13)*E14/100</f>
        <v>1074.61664063233</v>
      </c>
      <c r="F15" s="0" t="n">
        <f aca="false">F13-MAX(0,F13)*F14/100</f>
        <v>1115.45044968838</v>
      </c>
      <c r="G15" s="0" t="n">
        <f aca="false">G13-MAX(0,G13)*G14/100</f>
        <v>1148.90572499255</v>
      </c>
      <c r="H15" s="0" t="n">
        <f aca="false">H13-MAX(0,H13)*H14/100</f>
        <v>1183.11368220467</v>
      </c>
      <c r="I15" s="0" t="n">
        <f aca="false">I13-MAX(0,I13)*I14/100</f>
        <v>1218.08937434502</v>
      </c>
      <c r="J15" s="0" t="n">
        <f aca="false">J13-MAX(0,J13)*J14/100</f>
        <v>1245.10442581564</v>
      </c>
      <c r="K15" s="0" t="n">
        <f aca="false">K13-MAX(0,K13)*K14/100</f>
        <v>1263.78099220288</v>
      </c>
      <c r="L15" s="0" t="n">
        <f aca="false">L13-MAX(0,L13)*L14/100</f>
        <v>1282.73770708592</v>
      </c>
    </row>
    <row r="16" customFormat="false" ht="15" hidden="false" customHeight="false" outlineLevel="0" collapsed="false">
      <c r="A16" s="0" t="s">
        <v>117</v>
      </c>
      <c r="C16" s="0" t="n">
        <f aca="false">-C12</f>
        <v>552.11157</v>
      </c>
      <c r="D16" s="0" t="n">
        <f aca="false">-D12</f>
        <v>535.7386062</v>
      </c>
      <c r="E16" s="0" t="n">
        <f aca="false">-E12</f>
        <v>521.7711353955</v>
      </c>
      <c r="F16" s="0" t="n">
        <f aca="false">-F12</f>
        <v>509.982972706935</v>
      </c>
      <c r="G16" s="0" t="n">
        <f aca="false">-G12</f>
        <v>497.723766632249</v>
      </c>
      <c r="H16" s="0" t="n">
        <f aca="false">-H12</f>
        <v>484.982038206463</v>
      </c>
      <c r="I16" s="0" t="n">
        <f aca="false">-I12</f>
        <v>471.746070080412</v>
      </c>
      <c r="J16" s="0" t="n">
        <f aca="false">-J12</f>
        <v>468.4130815418</v>
      </c>
      <c r="K16" s="0" t="n">
        <f aca="false">-K12</f>
        <v>475.439277764927</v>
      </c>
      <c r="L16" s="0" t="n">
        <f aca="false">-L12</f>
        <v>482.570866931401</v>
      </c>
    </row>
    <row r="17" customFormat="false" ht="15" hidden="false" customHeight="false" outlineLevel="0" collapsed="false">
      <c r="A17" s="0" t="s">
        <v>118</v>
      </c>
      <c r="C17" s="4" t="n">
        <f aca="false">-C6*Assumptions!C32/100</f>
        <v>-361.72827</v>
      </c>
      <c r="D17" s="4" t="n">
        <f aca="false">-D6*Assumptions!D32/100</f>
        <v>-373.103672175</v>
      </c>
      <c r="E17" s="4" t="n">
        <f aca="false">-E6*Assumptions!E32/100</f>
        <v>-386.49713733</v>
      </c>
      <c r="F17" s="4" t="n">
        <f aca="false">-F6*Assumptions!F32/100</f>
        <v>-392.29459438995</v>
      </c>
      <c r="G17" s="4" t="n">
        <f aca="false">-G6*Assumptions!G32/100</f>
        <v>-398.179013305799</v>
      </c>
      <c r="H17" s="4" t="n">
        <f aca="false">-H6*Assumptions!H32/100</f>
        <v>-404.151698505386</v>
      </c>
      <c r="I17" s="4" t="n">
        <f aca="false">-I6*Assumptions!I32/100</f>
        <v>-410.213973982967</v>
      </c>
      <c r="J17" s="4" t="n">
        <f aca="false">-J6*Assumptions!J32/100</f>
        <v>-416.367183592711</v>
      </c>
      <c r="K17" s="4" t="n">
        <f aca="false">-K6*Assumptions!K32/100</f>
        <v>-422.612691346602</v>
      </c>
      <c r="L17" s="4" t="n">
        <f aca="false">-L6*Assumptions!L32/100</f>
        <v>-428.951881716801</v>
      </c>
    </row>
    <row r="18" customFormat="false" ht="15" hidden="false" customHeight="false" outlineLevel="0" collapsed="false">
      <c r="A18" s="0" t="s">
        <v>119</v>
      </c>
      <c r="C18" s="4" t="n">
        <f aca="false">(C6-B6)*Assumptions!$B$37/100</f>
        <v>2.39175000000005</v>
      </c>
      <c r="D18" s="4" t="n">
        <f aca="false">(D6-C6)*Assumptions!$B$37/100</f>
        <v>-2.37979124999993</v>
      </c>
      <c r="E18" s="4" t="n">
        <f aca="false">(E6-D6)*Assumptions!$B$37/100</f>
        <v>-4.78338041249999</v>
      </c>
      <c r="F18" s="4" t="n">
        <f aca="false">(F6-E6)*Assumptions!$B$37/100</f>
        <v>-7.24682132493745</v>
      </c>
      <c r="G18" s="4" t="n">
        <f aca="false">(G6-F6)*Assumptions!$B$37/100</f>
        <v>-7.35552364481155</v>
      </c>
      <c r="H18" s="4" t="n">
        <f aca="false">(H6-G6)*Assumptions!$B$37/100</f>
        <v>-7.46585649948365</v>
      </c>
      <c r="I18" s="4" t="n">
        <f aca="false">(I6-H6)*Assumptions!$B$37/100</f>
        <v>-7.57784434697596</v>
      </c>
      <c r="J18" s="4" t="n">
        <f aca="false">(J6-I6)*Assumptions!$B$37/100</f>
        <v>-7.69151201218056</v>
      </c>
      <c r="K18" s="4" t="n">
        <f aca="false">(K6-J6)*Assumptions!$B$37/100</f>
        <v>-7.80688469236329</v>
      </c>
      <c r="L18" s="4" t="n">
        <f aca="false">(L6-K6)*Assumptions!$B$37/100</f>
        <v>-7.92398796274874</v>
      </c>
    </row>
    <row r="19" customFormat="false" ht="15" hidden="false" customHeight="false" outlineLevel="0" collapsed="false">
      <c r="A19" s="0" t="s">
        <v>120</v>
      </c>
      <c r="C19" s="0" t="n">
        <f aca="false">C15+C16+C17+C18</f>
        <v>1217.541719745</v>
      </c>
      <c r="D19" s="0" t="n">
        <f aca="false">D15+D16+D17+D18</f>
        <v>1206.31347166297</v>
      </c>
      <c r="E19" s="0" t="n">
        <f aca="false">E15+E16+E17+E18</f>
        <v>1205.10725828533</v>
      </c>
      <c r="F19" s="0" t="n">
        <f aca="false">F15+F16+F17+F18</f>
        <v>1225.89200668043</v>
      </c>
      <c r="G19" s="0" t="n">
        <f aca="false">G15+G16+G17+G18</f>
        <v>1241.09495467419</v>
      </c>
      <c r="H19" s="0" t="n">
        <f aca="false">H15+H16+H17+H18</f>
        <v>1256.47816540626</v>
      </c>
      <c r="I19" s="0" t="n">
        <f aca="false">I15+I16+I17+I18</f>
        <v>1272.04362609549</v>
      </c>
      <c r="J19" s="0" t="n">
        <f aca="false">J15+J16+J17+J18</f>
        <v>1289.45881175255</v>
      </c>
      <c r="K19" s="0" t="n">
        <f aca="false">K15+K16+K17+K18</f>
        <v>1308.80069392884</v>
      </c>
      <c r="L19" s="0" t="n">
        <f aca="false">L15+L16+L17+L18</f>
        <v>1328.43270433777</v>
      </c>
    </row>
    <row r="20" customFormat="false" ht="15" hidden="false" customHeight="false" outlineLevel="0" collapsed="false">
      <c r="A20" s="0" t="s">
        <v>121</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122</v>
      </c>
      <c r="C21" s="0" t="n">
        <f aca="false">C19*C20</f>
        <v>1132.5969486</v>
      </c>
      <c r="D21" s="0" t="n">
        <f aca="false">D19*D20</f>
        <v>1043.8623875937</v>
      </c>
      <c r="E21" s="0" t="n">
        <f aca="false">E19*E20</f>
        <v>970.063824949517</v>
      </c>
      <c r="F21" s="0" t="n">
        <f aca="false">F19*F20</f>
        <v>917.94858405093</v>
      </c>
      <c r="G21" s="0" t="n">
        <f aca="false">G19*G20</f>
        <v>864.495404244484</v>
      </c>
      <c r="H21" s="0" t="n">
        <f aca="false">H19*H20</f>
        <v>814.14949997504</v>
      </c>
      <c r="I21" s="0" t="n">
        <f aca="false">I19*I20</f>
        <v>766.730529784971</v>
      </c>
      <c r="J21" s="0" t="n">
        <f aca="false">J19*J20</f>
        <v>723.00243561843</v>
      </c>
      <c r="K21" s="0" t="n">
        <f aca="false">K19*K20</f>
        <v>682.648811304843</v>
      </c>
      <c r="L21" s="0" t="n">
        <f aca="false">L19*L20</f>
        <v>644.547482301782</v>
      </c>
    </row>
    <row r="23" customFormat="false" ht="15" hidden="false" customHeight="false" outlineLevel="0" collapsed="false">
      <c r="A23" s="0" t="s">
        <v>98</v>
      </c>
      <c r="C23" s="4" t="n">
        <f aca="false">Assumptions!C30</f>
        <v>1.26</v>
      </c>
      <c r="D23" s="4" t="n">
        <f aca="false">Assumptions!D30</f>
        <v>1.26</v>
      </c>
      <c r="E23" s="4" t="n">
        <f aca="false">Assumptions!E30</f>
        <v>1.26</v>
      </c>
      <c r="F23" s="4" t="n">
        <f aca="false">Assumptions!F30</f>
        <v>1.26</v>
      </c>
      <c r="G23" s="4" t="n">
        <f aca="false">Assumptions!G30</f>
        <v>1.26</v>
      </c>
      <c r="H23" s="4" t="n">
        <f aca="false">Assumptions!H30</f>
        <v>1.26</v>
      </c>
      <c r="I23" s="4" t="n">
        <f aca="false">Assumptions!I30</f>
        <v>1.26</v>
      </c>
      <c r="J23" s="4" t="n">
        <f aca="false">Assumptions!J30</f>
        <v>1.26</v>
      </c>
      <c r="K23" s="4" t="n">
        <f aca="false">Assumptions!K30</f>
        <v>1.26</v>
      </c>
      <c r="L23" s="4" t="n">
        <f aca="false">Assumptions!L30</f>
        <v>1.26</v>
      </c>
    </row>
    <row r="24" customFormat="false" ht="15" hidden="false" customHeight="false" outlineLevel="0" collapsed="false">
      <c r="A24" s="0" t="s">
        <v>123</v>
      </c>
      <c r="C24" s="0" t="n">
        <f aca="false">-C6*C23/100</f>
        <v>-119.941479</v>
      </c>
      <c r="D24" s="0" t="n">
        <f aca="false">-D6*D23/100</f>
        <v>-120.541186395</v>
      </c>
      <c r="E24" s="0" t="n">
        <f aca="false">-E6*E23/100</f>
        <v>-121.74659825895</v>
      </c>
      <c r="F24" s="0" t="n">
        <f aca="false">-F6*F23/100</f>
        <v>-123.572797232834</v>
      </c>
      <c r="G24" s="0" t="n">
        <f aca="false">-G6*G23/100</f>
        <v>-125.426389191327</v>
      </c>
      <c r="H24" s="0" t="n">
        <f aca="false">-H6*H23/100</f>
        <v>-127.307785029197</v>
      </c>
      <c r="I24" s="0" t="n">
        <f aca="false">-I6*I23/100</f>
        <v>-129.217401804635</v>
      </c>
      <c r="J24" s="0" t="n">
        <f aca="false">-J6*J23/100</f>
        <v>-131.155662831704</v>
      </c>
      <c r="K24" s="0" t="n">
        <f aca="false">-K6*K23/100</f>
        <v>-133.12299777418</v>
      </c>
      <c r="L24" s="0" t="n">
        <f aca="false">-L6*L23/100</f>
        <v>-135.119842740792</v>
      </c>
    </row>
    <row r="26" customFormat="false" ht="15" hidden="false" customHeight="false" outlineLevel="0" collapsed="false">
      <c r="A26" s="2" t="s">
        <v>124</v>
      </c>
    </row>
    <row r="27" customFormat="false" ht="15" hidden="false" customHeight="false" outlineLevel="0" collapsed="false">
      <c r="A27" s="0" t="s">
        <v>102</v>
      </c>
      <c r="B27" s="4" t="n">
        <f aca="false">Assumptions!$B$34</f>
        <v>7.5</v>
      </c>
    </row>
    <row r="28" customFormat="false" ht="15" hidden="false" customHeight="false" outlineLevel="0" collapsed="false">
      <c r="A28" s="0" t="s">
        <v>103</v>
      </c>
      <c r="B28" s="4" t="n">
        <f aca="false">Assumptions!$B$35</f>
        <v>1.5</v>
      </c>
    </row>
    <row r="29" customFormat="false" ht="15" hidden="false" customHeight="false" outlineLevel="0" collapsed="false">
      <c r="A29" s="0" t="s">
        <v>104</v>
      </c>
      <c r="B29" s="4" t="n">
        <f aca="false">Assumptions!$B$36</f>
        <v>13</v>
      </c>
    </row>
    <row r="30" customFormat="false" ht="15" hidden="false" customHeight="false" outlineLevel="0" collapsed="false">
      <c r="A30" s="0" t="s">
        <v>125</v>
      </c>
      <c r="B30" s="0" t="n">
        <f aca="false">SUM(C21:L21)</f>
        <v>8560.0459084237</v>
      </c>
    </row>
    <row r="31" customFormat="false" ht="15" hidden="false" customHeight="false" outlineLevel="0" collapsed="false">
      <c r="A31" s="0" t="s">
        <v>126</v>
      </c>
      <c r="B31" s="0" t="n">
        <f aca="false">L19</f>
        <v>1328.43270433777</v>
      </c>
    </row>
    <row r="32" customFormat="false" ht="15" hidden="false" customHeight="false" outlineLevel="0" collapsed="false">
      <c r="A32" s="0" t="s">
        <v>127</v>
      </c>
      <c r="B32" s="0" t="n">
        <f aca="false">IF(B27&gt;B28,B31*(1+B28/100)/((B27-B28)/100),B31*B29)</f>
        <v>22472.6532483807</v>
      </c>
    </row>
    <row r="33" customFormat="false" ht="15" hidden="false" customHeight="false" outlineLevel="0" collapsed="false">
      <c r="A33" s="0" t="s">
        <v>128</v>
      </c>
      <c r="B33" s="0" t="n">
        <f aca="false">B31*B29</f>
        <v>17269.625156391</v>
      </c>
    </row>
    <row r="34" customFormat="false" ht="15" hidden="false" customHeight="false" outlineLevel="0" collapsed="false">
      <c r="A34" s="0" t="s">
        <v>129</v>
      </c>
      <c r="B34" s="0" t="n">
        <f aca="false">MAX(0,MIN(B32,B33))</f>
        <v>17269.625156391</v>
      </c>
    </row>
    <row r="35" customFormat="false" ht="15" hidden="false" customHeight="false" outlineLevel="0" collapsed="false">
      <c r="A35" s="0" t="s">
        <v>130</v>
      </c>
      <c r="B35" s="0" t="n">
        <f aca="false">B34/(1+B27/100)^L4</f>
        <v>8379.11726992316</v>
      </c>
    </row>
    <row r="36" customFormat="false" ht="15" hidden="false" customHeight="false" outlineLevel="0" collapsed="false">
      <c r="A36" s="0" t="s">
        <v>131</v>
      </c>
      <c r="B36" s="0" t="n">
        <f aca="false">B30+B35</f>
        <v>16939.1631783469</v>
      </c>
    </row>
    <row r="37" customFormat="false" ht="15" hidden="false" customHeight="false" outlineLevel="0" collapsed="false">
      <c r="A37" s="0" t="s">
        <v>132</v>
      </c>
      <c r="B37" s="0" t="n">
        <f aca="false">B36+Assumptions!$B$5-Assumptions!$B$4</f>
        <v>15611.1631783469</v>
      </c>
    </row>
    <row r="38" customFormat="false" ht="15" hidden="false" customHeight="false" outlineLevel="0" collapsed="false">
      <c r="A38" s="0" t="s">
        <v>133</v>
      </c>
      <c r="B38" s="0" t="n">
        <f aca="false">B37/Assumptions!$B$3*Assumptions!$B$10</f>
        <v>4.21809326623801</v>
      </c>
    </row>
    <row r="39" customFormat="false" ht="15" hidden="false" customHeight="false" outlineLevel="0" collapsed="false">
      <c r="A39" s="0" t="s">
        <v>134</v>
      </c>
      <c r="B39" s="4" t="n">
        <f aca="false">B38/Assumptions!$B$2-1</f>
        <v>0.787327655185596</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4.21809326623801</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9987.84588816918</v>
      </c>
    </row>
    <row r="47" customFormat="false" ht="15" hidden="false" customHeight="false" outlineLevel="0" collapsed="false">
      <c r="A47" s="0" t="s">
        <v>139</v>
      </c>
      <c r="B47" s="0" t="n">
        <f aca="false">(SUMPRODUCT(C19:L19/(1+B45/100)^C4:L4)+B46/(1+B45/100)^L4+Assumptions!$B$5-Assumptions!$B$4)/Assumptions!$B$3*Assumptions!$B$10</f>
        <v>1.99011234567699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1</v>
      </c>
      <c r="D5" s="4" t="n">
        <f aca="false">Assumptions!D41</f>
        <v>2.5</v>
      </c>
      <c r="E5" s="4" t="n">
        <f aca="false">Assumptions!E41</f>
        <v>3</v>
      </c>
      <c r="F5" s="4" t="n">
        <f aca="false">Assumptions!F41</f>
        <v>3</v>
      </c>
      <c r="G5" s="4" t="n">
        <f aca="false">Assumptions!G41</f>
        <v>3</v>
      </c>
      <c r="H5" s="4" t="n">
        <f aca="false">Assumptions!H41</f>
        <v>2.5</v>
      </c>
      <c r="I5" s="4" t="n">
        <f aca="false">Assumptions!I41</f>
        <v>2.5</v>
      </c>
      <c r="J5" s="4" t="n">
        <f aca="false">Assumptions!J41</f>
        <v>2</v>
      </c>
      <c r="K5" s="4" t="n">
        <f aca="false">Assumptions!K41</f>
        <v>2</v>
      </c>
      <c r="L5" s="4" t="n">
        <f aca="false">Assumptions!L41</f>
        <v>2</v>
      </c>
    </row>
    <row r="6" customFormat="false" ht="15" hidden="false" customHeight="false" outlineLevel="0" collapsed="false">
      <c r="A6" s="0" t="s">
        <v>37</v>
      </c>
      <c r="B6" s="3" t="n">
        <v>9567</v>
      </c>
      <c r="C6" s="0" t="n">
        <f aca="false">B6*(1+C5/100)</f>
        <v>9662.67</v>
      </c>
      <c r="D6" s="0" t="n">
        <f aca="false">C6*(1+D5/100)</f>
        <v>9904.23675</v>
      </c>
      <c r="E6" s="0" t="n">
        <f aca="false">D6*(1+E5/100)</f>
        <v>10201.3638525</v>
      </c>
      <c r="F6" s="0" t="n">
        <f aca="false">E6*(1+F5/100)</f>
        <v>10507.404768075</v>
      </c>
      <c r="G6" s="0" t="n">
        <f aca="false">F6*(1+G5/100)</f>
        <v>10822.6269111173</v>
      </c>
      <c r="H6" s="0" t="n">
        <f aca="false">G6*(1+H5/100)</f>
        <v>11093.1925838952</v>
      </c>
      <c r="I6" s="0" t="n">
        <f aca="false">H6*(1+I5/100)</f>
        <v>11370.5223984926</v>
      </c>
      <c r="J6" s="0" t="n">
        <f aca="false">I6*(1+J5/100)</f>
        <v>11597.9328464624</v>
      </c>
      <c r="K6" s="0" t="n">
        <f aca="false">J6*(1+K5/100)</f>
        <v>11829.8915033917</v>
      </c>
      <c r="L6" s="0" t="n">
        <f aca="false">K6*(1+L5/100)</f>
        <v>12066.4893334595</v>
      </c>
    </row>
    <row r="7" customFormat="false" ht="15" hidden="false" customHeight="false" outlineLevel="0" collapsed="false">
      <c r="A7" s="0" t="s">
        <v>96</v>
      </c>
      <c r="C7" s="4" t="n">
        <f aca="false">Assumptions!C42</f>
        <v>20</v>
      </c>
      <c r="D7" s="4" t="n">
        <f aca="false">Assumptions!D42</f>
        <v>20.5</v>
      </c>
      <c r="E7" s="4" t="n">
        <f aca="false">Assumptions!E42</f>
        <v>21</v>
      </c>
      <c r="F7" s="4" t="n">
        <f aca="false">Assumptions!F42</f>
        <v>21.5</v>
      </c>
      <c r="G7" s="4" t="n">
        <f aca="false">Assumptions!G42</f>
        <v>22</v>
      </c>
      <c r="H7" s="4" t="n">
        <f aca="false">Assumptions!H42</f>
        <v>22</v>
      </c>
      <c r="I7" s="4" t="n">
        <f aca="false">Assumptions!I42</f>
        <v>22</v>
      </c>
      <c r="J7" s="4" t="n">
        <f aca="false">Assumptions!J42</f>
        <v>22</v>
      </c>
      <c r="K7" s="4" t="n">
        <f aca="false">Assumptions!K42</f>
        <v>22</v>
      </c>
      <c r="L7" s="4" t="n">
        <f aca="false">Assumptions!L42</f>
        <v>22</v>
      </c>
    </row>
    <row r="8" customFormat="false" ht="15" hidden="false" customHeight="false" outlineLevel="0" collapsed="false">
      <c r="A8" s="0" t="s">
        <v>43</v>
      </c>
      <c r="C8" s="0" t="n">
        <f aca="false">C6*C7/100</f>
        <v>1932.534</v>
      </c>
      <c r="D8" s="0" t="n">
        <f aca="false">D6*D7/100</f>
        <v>2030.36853375</v>
      </c>
      <c r="E8" s="0" t="n">
        <f aca="false">E6*E7/100</f>
        <v>2142.286409025</v>
      </c>
      <c r="F8" s="0" t="n">
        <f aca="false">F6*F7/100</f>
        <v>2259.09202513613</v>
      </c>
      <c r="G8" s="0" t="n">
        <f aca="false">G6*G7/100</f>
        <v>2380.9779204458</v>
      </c>
      <c r="H8" s="0" t="n">
        <f aca="false">H6*H7/100</f>
        <v>2440.50236845694</v>
      </c>
      <c r="I8" s="0" t="n">
        <f aca="false">I6*I7/100</f>
        <v>2501.51492766836</v>
      </c>
      <c r="J8" s="0" t="n">
        <f aca="false">J6*J7/100</f>
        <v>2551.54522622173</v>
      </c>
      <c r="K8" s="0" t="n">
        <f aca="false">K6*K7/100</f>
        <v>2602.57613074617</v>
      </c>
      <c r="L8" s="0" t="n">
        <f aca="false">L6*L7/100</f>
        <v>2654.62765336109</v>
      </c>
    </row>
    <row r="9" customFormat="false" ht="15" hidden="false" customHeight="false" outlineLevel="0" collapsed="false">
      <c r="A9" s="0" t="s">
        <v>97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1810.784358</v>
      </c>
      <c r="D11" s="0" t="n">
        <f aca="false">D8+D10+D24</f>
        <v>1905.5751507</v>
      </c>
      <c r="E11" s="0" t="n">
        <f aca="false">E8+E10+E24</f>
        <v>2013.7492244835</v>
      </c>
      <c r="F11" s="0" t="n">
        <f aca="false">F8+F10+F24</f>
        <v>2126.69872505838</v>
      </c>
      <c r="G11" s="0" t="n">
        <f aca="false">G8+G10+G24</f>
        <v>2244.61282136572</v>
      </c>
      <c r="H11" s="0" t="n">
        <f aca="false">H8+H10+H24</f>
        <v>2300.72814189986</v>
      </c>
      <c r="I11" s="0" t="n">
        <f aca="false">I8+I10+I24</f>
        <v>2358.24634544736</v>
      </c>
      <c r="J11" s="0" t="n">
        <f aca="false">J8+J10+J24</f>
        <v>2405.4112723563</v>
      </c>
      <c r="K11" s="0" t="n">
        <f aca="false">K8+K10+K24</f>
        <v>2453.51949780343</v>
      </c>
      <c r="L11" s="0" t="n">
        <f aca="false">L8+L10+L24</f>
        <v>2502.5898877595</v>
      </c>
    </row>
    <row r="12" customFormat="false" ht="15" hidden="false" customHeight="false" outlineLevel="0" collapsed="false">
      <c r="A12" s="0" t="s">
        <v>114</v>
      </c>
      <c r="C12" s="4" t="n">
        <f aca="false">-C6*Assumptions!C45/100</f>
        <v>-560.43486</v>
      </c>
      <c r="D12" s="4" t="n">
        <f aca="false">-D6*Assumptions!D45/100</f>
        <v>-554.637258</v>
      </c>
      <c r="E12" s="4" t="n">
        <f aca="false">-E6*Assumptions!E45/100</f>
        <v>-550.873648035</v>
      </c>
      <c r="F12" s="4" t="n">
        <f aca="false">-F6*Assumptions!F45/100</f>
        <v>-546.3850479399</v>
      </c>
      <c r="G12" s="4" t="n">
        <f aca="false">-G6*Assumptions!G45/100</f>
        <v>-541.131345555863</v>
      </c>
      <c r="H12" s="4" t="n">
        <f aca="false">-H6*Assumptions!H45/100</f>
        <v>-532.473244026969</v>
      </c>
      <c r="I12" s="4" t="n">
        <f aca="false">-I6*Assumptions!I45/100</f>
        <v>-523.044030330658</v>
      </c>
      <c r="J12" s="4" t="n">
        <f aca="false">-J6*Assumptions!J45/100</f>
        <v>-521.906978090809</v>
      </c>
      <c r="K12" s="4" t="n">
        <f aca="false">-K6*Assumptions!K45/100</f>
        <v>-532.345117652625</v>
      </c>
      <c r="L12" s="4" t="n">
        <f aca="false">-L6*Assumptions!L45/100</f>
        <v>-542.992020005677</v>
      </c>
    </row>
    <row r="13" customFormat="false" ht="15" hidden="false" customHeight="false" outlineLevel="0" collapsed="false">
      <c r="A13" s="0" t="s">
        <v>115</v>
      </c>
      <c r="C13" s="0" t="n">
        <f aca="false">C11+C12</f>
        <v>1250.349498</v>
      </c>
      <c r="D13" s="0" t="n">
        <f aca="false">D11+D12</f>
        <v>1350.9378927</v>
      </c>
      <c r="E13" s="0" t="n">
        <f aca="false">E11+E12</f>
        <v>1462.8755764485</v>
      </c>
      <c r="F13" s="0" t="n">
        <f aca="false">F11+F12</f>
        <v>1580.31367711848</v>
      </c>
      <c r="G13" s="0" t="n">
        <f aca="false">G11+G12</f>
        <v>1703.48147580986</v>
      </c>
      <c r="H13" s="0" t="n">
        <f aca="false">H11+H12</f>
        <v>1768.25489787289</v>
      </c>
      <c r="I13" s="0" t="n">
        <f aca="false">I11+I12</f>
        <v>1835.2023151167</v>
      </c>
      <c r="J13" s="0" t="n">
        <f aca="false">J11+J12</f>
        <v>1883.5042942655</v>
      </c>
      <c r="K13" s="0" t="n">
        <f aca="false">K11+K12</f>
        <v>1921.17438015081</v>
      </c>
      <c r="L13" s="0" t="n">
        <f aca="false">L11+L12</f>
        <v>1959.59786775382</v>
      </c>
    </row>
    <row r="14" customFormat="false" ht="15" hidden="false" customHeight="false" outlineLevel="0" collapsed="false">
      <c r="A14" s="0" t="s">
        <v>101</v>
      </c>
      <c r="C14" s="4" t="n">
        <f aca="false">Assumptions!C47</f>
        <v>15.5</v>
      </c>
      <c r="D14" s="4" t="n">
        <f aca="false">Assumptions!D47</f>
        <v>15.5</v>
      </c>
      <c r="E14" s="4" t="n">
        <f aca="false">Assumptions!E47</f>
        <v>16</v>
      </c>
      <c r="F14" s="4" t="n">
        <f aca="false">Assumptions!F47</f>
        <v>16</v>
      </c>
      <c r="G14" s="4" t="n">
        <f aca="false">Assumptions!G47</f>
        <v>16</v>
      </c>
      <c r="H14" s="4" t="n">
        <f aca="false">Assumptions!H47</f>
        <v>16</v>
      </c>
      <c r="I14" s="4" t="n">
        <f aca="false">Assumptions!I47</f>
        <v>16</v>
      </c>
      <c r="J14" s="4" t="n">
        <f aca="false">Assumptions!J47</f>
        <v>16</v>
      </c>
      <c r="K14" s="4" t="n">
        <f aca="false">Assumptions!K47</f>
        <v>16</v>
      </c>
      <c r="L14" s="4" t="n">
        <f aca="false">Assumptions!L47</f>
        <v>16</v>
      </c>
    </row>
    <row r="15" customFormat="false" ht="15" hidden="false" customHeight="false" outlineLevel="0" collapsed="false">
      <c r="A15" s="0" t="s">
        <v>116</v>
      </c>
      <c r="C15" s="0" t="n">
        <f aca="false">C13-MAX(0,C13)*C14/100</f>
        <v>1056.54532581</v>
      </c>
      <c r="D15" s="0" t="n">
        <f aca="false">D13-MAX(0,D13)*D14/100</f>
        <v>1141.5425193315</v>
      </c>
      <c r="E15" s="0" t="n">
        <f aca="false">E13-MAX(0,E13)*E14/100</f>
        <v>1228.81548421674</v>
      </c>
      <c r="F15" s="0" t="n">
        <f aca="false">F13-MAX(0,F13)*F14/100</f>
        <v>1327.46348877952</v>
      </c>
      <c r="G15" s="0" t="n">
        <f aca="false">G13-MAX(0,G13)*G14/100</f>
        <v>1430.92443968028</v>
      </c>
      <c r="H15" s="0" t="n">
        <f aca="false">H13-MAX(0,H13)*H14/100</f>
        <v>1485.33411421323</v>
      </c>
      <c r="I15" s="0" t="n">
        <f aca="false">I13-MAX(0,I13)*I14/100</f>
        <v>1541.56994469803</v>
      </c>
      <c r="J15" s="0" t="n">
        <f aca="false">J13-MAX(0,J13)*J14/100</f>
        <v>1582.14360718302</v>
      </c>
      <c r="K15" s="0" t="n">
        <f aca="false">K13-MAX(0,K13)*K14/100</f>
        <v>1613.78647932668</v>
      </c>
      <c r="L15" s="0" t="n">
        <f aca="false">L13-MAX(0,L13)*L14/100</f>
        <v>1646.06220891321</v>
      </c>
    </row>
    <row r="16" customFormat="false" ht="15" hidden="false" customHeight="false" outlineLevel="0" collapsed="false">
      <c r="A16" s="0" t="s">
        <v>117</v>
      </c>
      <c r="C16" s="0" t="n">
        <f aca="false">-C12</f>
        <v>560.43486</v>
      </c>
      <c r="D16" s="0" t="n">
        <f aca="false">-D12</f>
        <v>554.637258</v>
      </c>
      <c r="E16" s="0" t="n">
        <f aca="false">-E12</f>
        <v>550.873648035</v>
      </c>
      <c r="F16" s="0" t="n">
        <f aca="false">-F12</f>
        <v>546.3850479399</v>
      </c>
      <c r="G16" s="0" t="n">
        <f aca="false">-G12</f>
        <v>541.131345555863</v>
      </c>
      <c r="H16" s="0" t="n">
        <f aca="false">-H12</f>
        <v>532.473244026969</v>
      </c>
      <c r="I16" s="0" t="n">
        <f aca="false">-I12</f>
        <v>523.044030330658</v>
      </c>
      <c r="J16" s="0" t="n">
        <f aca="false">-J12</f>
        <v>521.906978090809</v>
      </c>
      <c r="K16" s="0" t="n">
        <f aca="false">-K12</f>
        <v>532.345117652625</v>
      </c>
      <c r="L16" s="0" t="n">
        <f aca="false">-L12</f>
        <v>542.992020005677</v>
      </c>
    </row>
    <row r="17" customFormat="false" ht="15" hidden="false" customHeight="false" outlineLevel="0" collapsed="false">
      <c r="A17" s="0" t="s">
        <v>118</v>
      </c>
      <c r="C17" s="4" t="n">
        <f aca="false">-C6*Assumptions!C46/100</f>
        <v>-367.18146</v>
      </c>
      <c r="D17" s="4" t="n">
        <f aca="false">-D6*Assumptions!D46/100</f>
        <v>-396.16947</v>
      </c>
      <c r="E17" s="4" t="n">
        <f aca="false">-E6*Assumptions!E46/100</f>
        <v>-428.457281805</v>
      </c>
      <c r="F17" s="4" t="n">
        <f aca="false">-F6*Assumptions!F46/100</f>
        <v>-441.31100025915</v>
      </c>
      <c r="G17" s="4" t="n">
        <f aca="false">-G6*Assumptions!G46/100</f>
        <v>-454.550330266925</v>
      </c>
      <c r="H17" s="4" t="n">
        <f aca="false">-H6*Assumptions!H46/100</f>
        <v>-465.914088523598</v>
      </c>
      <c r="I17" s="4" t="n">
        <f aca="false">-I6*Assumptions!I46/100</f>
        <v>-477.561940736688</v>
      </c>
      <c r="J17" s="4" t="n">
        <f aca="false">-J6*Assumptions!J46/100</f>
        <v>-487.113179551421</v>
      </c>
      <c r="K17" s="4" t="n">
        <f aca="false">-K6*Assumptions!K46/100</f>
        <v>-496.85544314245</v>
      </c>
      <c r="L17" s="4" t="n">
        <f aca="false">-L6*Assumptions!L46/100</f>
        <v>-506.792552005299</v>
      </c>
    </row>
    <row r="18" customFormat="false" ht="15" hidden="false" customHeight="false" outlineLevel="0" collapsed="false">
      <c r="A18" s="0" t="s">
        <v>119</v>
      </c>
      <c r="C18" s="4" t="n">
        <f aca="false">(C6-B6)*Assumptions!$B$51/100</f>
        <v>-4.7835</v>
      </c>
      <c r="D18" s="4" t="n">
        <f aca="false">(D6-C6)*Assumptions!$B$51/100</f>
        <v>-12.0783375</v>
      </c>
      <c r="E18" s="4" t="n">
        <f aca="false">(E6-D6)*Assumptions!$B$51/100</f>
        <v>-14.856355125</v>
      </c>
      <c r="F18" s="4" t="n">
        <f aca="false">(F6-E6)*Assumptions!$B$51/100</f>
        <v>-15.30204577875</v>
      </c>
      <c r="G18" s="4" t="n">
        <f aca="false">(G6-F6)*Assumptions!$B$51/100</f>
        <v>-15.7611071521125</v>
      </c>
      <c r="H18" s="4" t="n">
        <f aca="false">(H6-G6)*Assumptions!$B$51/100</f>
        <v>-13.5282836388965</v>
      </c>
      <c r="I18" s="4" t="n">
        <f aca="false">(I6-H6)*Assumptions!$B$51/100</f>
        <v>-13.8664907298689</v>
      </c>
      <c r="J18" s="4" t="n">
        <f aca="false">(J6-I6)*Assumptions!$B$51/100</f>
        <v>-11.3705223984925</v>
      </c>
      <c r="K18" s="4" t="n">
        <f aca="false">(K6-J6)*Assumptions!$B$51/100</f>
        <v>-11.5979328464624</v>
      </c>
      <c r="L18" s="4" t="n">
        <f aca="false">(L6-K6)*Assumptions!$B$51/100</f>
        <v>-11.8298915033916</v>
      </c>
    </row>
    <row r="19" customFormat="false" ht="15" hidden="false" customHeight="false" outlineLevel="0" collapsed="false">
      <c r="A19" s="0" t="s">
        <v>120</v>
      </c>
      <c r="C19" s="0" t="n">
        <f aca="false">C15+C16+C17+C18</f>
        <v>1245.01522581</v>
      </c>
      <c r="D19" s="0" t="n">
        <f aca="false">D15+D16+D17+D18</f>
        <v>1287.9319698315</v>
      </c>
      <c r="E19" s="0" t="n">
        <f aca="false">E15+E16+E17+E18</f>
        <v>1336.37549532174</v>
      </c>
      <c r="F19" s="0" t="n">
        <f aca="false">F15+F16+F17+F18</f>
        <v>1417.23549068152</v>
      </c>
      <c r="G19" s="0" t="n">
        <f aca="false">G15+G16+G17+G18</f>
        <v>1501.7443478171</v>
      </c>
      <c r="H19" s="0" t="n">
        <f aca="false">H15+H16+H17+H18</f>
        <v>1538.3649860777</v>
      </c>
      <c r="I19" s="0" t="n">
        <f aca="false">I15+I16+I17+I18</f>
        <v>1573.18554356213</v>
      </c>
      <c r="J19" s="0" t="n">
        <f aca="false">J15+J16+J17+J18</f>
        <v>1605.56688332391</v>
      </c>
      <c r="K19" s="0" t="n">
        <f aca="false">K15+K16+K17+K18</f>
        <v>1637.67822099039</v>
      </c>
      <c r="L19" s="0" t="n">
        <f aca="false">L15+L16+L17+L18</f>
        <v>1670.4317854102</v>
      </c>
    </row>
    <row r="20" customFormat="false" ht="15" hidden="false" customHeight="false" outlineLevel="0" collapsed="false">
      <c r="A20" s="0" t="s">
        <v>121</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122</v>
      </c>
      <c r="C21" s="0" t="n">
        <f aca="false">C19*C20</f>
        <v>1158.15369842791</v>
      </c>
      <c r="D21" s="0" t="n">
        <f aca="false">D19*D20</f>
        <v>1114.48953581958</v>
      </c>
      <c r="E21" s="0" t="n">
        <f aca="false">E19*E20</f>
        <v>1075.72957979287</v>
      </c>
      <c r="F21" s="0" t="n">
        <f aca="false">F19*F20</f>
        <v>1061.22668624021</v>
      </c>
      <c r="G21" s="0" t="n">
        <f aca="false">G19*G20</f>
        <v>1046.052989055</v>
      </c>
      <c r="H21" s="0" t="n">
        <f aca="false">H19*H20</f>
        <v>996.801312332643</v>
      </c>
      <c r="I21" s="0" t="n">
        <f aca="false">I19*I20</f>
        <v>948.245296403773</v>
      </c>
      <c r="J21" s="0" t="n">
        <f aca="false">J19*J20</f>
        <v>900.244937342165</v>
      </c>
      <c r="K21" s="0" t="n">
        <f aca="false">K19*K20</f>
        <v>854.185894036287</v>
      </c>
      <c r="L21" s="0" t="n">
        <f aca="false">L19*L20</f>
        <v>810.483359922802</v>
      </c>
    </row>
    <row r="23" customFormat="false" ht="15" hidden="false" customHeight="false" outlineLevel="0" collapsed="false">
      <c r="A23" s="0" t="s">
        <v>98</v>
      </c>
      <c r="C23" s="4" t="n">
        <f aca="false">Assumptions!C44</f>
        <v>1.26</v>
      </c>
      <c r="D23" s="4" t="n">
        <f aca="false">Assumptions!D44</f>
        <v>1.26</v>
      </c>
      <c r="E23" s="4" t="n">
        <f aca="false">Assumptions!E44</f>
        <v>1.26</v>
      </c>
      <c r="F23" s="4" t="n">
        <f aca="false">Assumptions!F44</f>
        <v>1.26</v>
      </c>
      <c r="G23" s="4" t="n">
        <f aca="false">Assumptions!G44</f>
        <v>1.26</v>
      </c>
      <c r="H23" s="4" t="n">
        <f aca="false">Assumptions!H44</f>
        <v>1.26</v>
      </c>
      <c r="I23" s="4" t="n">
        <f aca="false">Assumptions!I44</f>
        <v>1.26</v>
      </c>
      <c r="J23" s="4" t="n">
        <f aca="false">Assumptions!J44</f>
        <v>1.26</v>
      </c>
      <c r="K23" s="4" t="n">
        <f aca="false">Assumptions!K44</f>
        <v>1.26</v>
      </c>
      <c r="L23" s="4" t="n">
        <f aca="false">Assumptions!L44</f>
        <v>1.26</v>
      </c>
    </row>
    <row r="24" customFormat="false" ht="15" hidden="false" customHeight="false" outlineLevel="0" collapsed="false">
      <c r="A24" s="0" t="s">
        <v>123</v>
      </c>
      <c r="C24" s="0" t="n">
        <f aca="false">-C6*C23/100</f>
        <v>-121.749642</v>
      </c>
      <c r="D24" s="0" t="n">
        <f aca="false">-D6*D23/100</f>
        <v>-124.79338305</v>
      </c>
      <c r="E24" s="0" t="n">
        <f aca="false">-E6*E23/100</f>
        <v>-128.5371845415</v>
      </c>
      <c r="F24" s="0" t="n">
        <f aca="false">-F6*F23/100</f>
        <v>-132.393300077745</v>
      </c>
      <c r="G24" s="0" t="n">
        <f aca="false">-G6*G23/100</f>
        <v>-136.365099080077</v>
      </c>
      <c r="H24" s="0" t="n">
        <f aca="false">-H6*H23/100</f>
        <v>-139.774226557079</v>
      </c>
      <c r="I24" s="0" t="n">
        <f aca="false">-I6*I23/100</f>
        <v>-143.268582221006</v>
      </c>
      <c r="J24" s="0" t="n">
        <f aca="false">-J6*J23/100</f>
        <v>-146.133953865426</v>
      </c>
      <c r="K24" s="0" t="n">
        <f aca="false">-K6*K23/100</f>
        <v>-149.056632942735</v>
      </c>
      <c r="L24" s="0" t="n">
        <f aca="false">-L6*L23/100</f>
        <v>-152.03776560159</v>
      </c>
    </row>
    <row r="26" customFormat="false" ht="15" hidden="false" customHeight="false" outlineLevel="0" collapsed="false">
      <c r="A26" s="2" t="s">
        <v>124</v>
      </c>
    </row>
    <row r="27" customFormat="false" ht="15" hidden="false" customHeight="false" outlineLevel="0" collapsed="false">
      <c r="A27" s="0" t="s">
        <v>102</v>
      </c>
      <c r="B27" s="4" t="n">
        <f aca="false">Assumptions!$B$48</f>
        <v>7.5</v>
      </c>
    </row>
    <row r="28" customFormat="false" ht="15" hidden="false" customHeight="false" outlineLevel="0" collapsed="false">
      <c r="A28" s="0" t="s">
        <v>103</v>
      </c>
      <c r="B28" s="4" t="n">
        <f aca="false">Assumptions!$B$49</f>
        <v>2</v>
      </c>
    </row>
    <row r="29" customFormat="false" ht="15" hidden="false" customHeight="false" outlineLevel="0" collapsed="false">
      <c r="A29" s="0" t="s">
        <v>104</v>
      </c>
      <c r="B29" s="4" t="n">
        <f aca="false">Assumptions!$B$50</f>
        <v>13</v>
      </c>
    </row>
    <row r="30" customFormat="false" ht="15" hidden="false" customHeight="false" outlineLevel="0" collapsed="false">
      <c r="A30" s="0" t="s">
        <v>125</v>
      </c>
      <c r="B30" s="0" t="n">
        <f aca="false">SUM(C21:L21)</f>
        <v>9965.61328937323</v>
      </c>
    </row>
    <row r="31" customFormat="false" ht="15" hidden="false" customHeight="false" outlineLevel="0" collapsed="false">
      <c r="A31" s="0" t="s">
        <v>126</v>
      </c>
      <c r="B31" s="0" t="n">
        <f aca="false">L19</f>
        <v>1670.4317854102</v>
      </c>
    </row>
    <row r="32" customFormat="false" ht="15" hidden="false" customHeight="false" outlineLevel="0" collapsed="false">
      <c r="A32" s="0" t="s">
        <v>127</v>
      </c>
      <c r="B32" s="0" t="n">
        <f aca="false">IF(B27&gt;B28,B31*(1+B28/100)/((B27-B28)/100),B31*B29)</f>
        <v>30978.9167476073</v>
      </c>
    </row>
    <row r="33" customFormat="false" ht="15" hidden="false" customHeight="false" outlineLevel="0" collapsed="false">
      <c r="A33" s="0" t="s">
        <v>128</v>
      </c>
      <c r="B33" s="0" t="n">
        <f aca="false">B31*B29</f>
        <v>21715.6132103326</v>
      </c>
    </row>
    <row r="34" customFormat="false" ht="15" hidden="false" customHeight="false" outlineLevel="0" collapsed="false">
      <c r="A34" s="0" t="s">
        <v>129</v>
      </c>
      <c r="B34" s="0" t="n">
        <f aca="false">MAX(0,MIN(B32,B33))</f>
        <v>21715.6132103326</v>
      </c>
    </row>
    <row r="35" customFormat="false" ht="15" hidden="false" customHeight="false" outlineLevel="0" collapsed="false">
      <c r="A35" s="0" t="s">
        <v>130</v>
      </c>
      <c r="B35" s="0" t="n">
        <f aca="false">B34/(1+B27/100)^L4</f>
        <v>10536.2836789964</v>
      </c>
    </row>
    <row r="36" customFormat="false" ht="15" hidden="false" customHeight="false" outlineLevel="0" collapsed="false">
      <c r="A36" s="0" t="s">
        <v>131</v>
      </c>
      <c r="B36" s="0" t="n">
        <f aca="false">B30+B35</f>
        <v>20501.8969683697</v>
      </c>
    </row>
    <row r="37" customFormat="false" ht="15" hidden="false" customHeight="false" outlineLevel="0" collapsed="false">
      <c r="A37" s="0" t="s">
        <v>132</v>
      </c>
      <c r="B37" s="0" t="n">
        <f aca="false">B36+Assumptions!$B$5-Assumptions!$B$4</f>
        <v>19173.8969683697</v>
      </c>
    </row>
    <row r="38" customFormat="false" ht="15" hidden="false" customHeight="false" outlineLevel="0" collapsed="false">
      <c r="A38" s="0" t="s">
        <v>133</v>
      </c>
      <c r="B38" s="0" t="n">
        <f aca="false">B37/Assumptions!$B$3*Assumptions!$B$10</f>
        <v>5.18073411736548</v>
      </c>
    </row>
    <row r="39" customFormat="false" ht="15" hidden="false" customHeight="false" outlineLevel="0" collapsed="false">
      <c r="A39" s="0" t="s">
        <v>134</v>
      </c>
      <c r="B39" s="4" t="n">
        <f aca="false">B38/Assumptions!$B$2-1</f>
        <v>1.19522632091758</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5.18073411736548</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13106.4647778339</v>
      </c>
    </row>
    <row r="47" customFormat="false" ht="15" hidden="false" customHeight="false" outlineLevel="0" collapsed="false">
      <c r="A47" s="0" t="s">
        <v>139</v>
      </c>
      <c r="B47" s="0" t="n">
        <f aca="false">(SUMPRODUCT(C19:L19/(1+B45/100)^C4:L4)+B46/(1+B45/100)^L4+Assumptions!$B$5-Assumptions!$B$4)/Assumptions!$B$3*Assumptions!$B$10</f>
        <v>2.44896667744447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3.08484223353132</v>
      </c>
      <c r="C4" s="0" t="n">
        <f aca="false">B4/Assumptions!$B$2-1</f>
        <v>0.307136539631913</v>
      </c>
      <c r="D4" s="4" t="n">
        <f aca="false">Assumptions!$B$24</f>
        <v>0.25</v>
      </c>
      <c r="E4" s="4" t="n">
        <f aca="false">DCF_Bear!$B$43</f>
        <v>3.08484223353132</v>
      </c>
      <c r="F4" s="4" t="n">
        <f aca="false">DCF_Bear!$B$47</f>
        <v>1.44965902412554</v>
      </c>
    </row>
    <row r="5" customFormat="false" ht="15" hidden="false" customHeight="false" outlineLevel="0" collapsed="false">
      <c r="A5" s="0" t="s">
        <v>148</v>
      </c>
      <c r="B5" s="4" t="n">
        <f aca="false">DCF_Base!$B$38</f>
        <v>4.21809326623801</v>
      </c>
      <c r="C5" s="0" t="n">
        <f aca="false">B5/Assumptions!$B$2-1</f>
        <v>0.787327655185596</v>
      </c>
      <c r="D5" s="4" t="n">
        <f aca="false">Assumptions!$B$38</f>
        <v>0.5</v>
      </c>
      <c r="E5" s="4" t="n">
        <f aca="false">DCF_Base!$B$43</f>
        <v>4.21809326623801</v>
      </c>
      <c r="F5" s="4" t="n">
        <f aca="false">DCF_Base!$B$47</f>
        <v>1.99011234567699</v>
      </c>
    </row>
    <row r="6" customFormat="false" ht="15" hidden="false" customHeight="false" outlineLevel="0" collapsed="false">
      <c r="A6" s="0" t="s">
        <v>149</v>
      </c>
      <c r="B6" s="4" t="n">
        <f aca="false">DCF_Bull!$B$38</f>
        <v>5.18073411736548</v>
      </c>
      <c r="C6" s="0" t="n">
        <f aca="false">B6/Assumptions!$B$2-1</f>
        <v>1.19522632091758</v>
      </c>
      <c r="D6" s="4" t="n">
        <f aca="false">Assumptions!$B$52</f>
        <v>0.25</v>
      </c>
      <c r="E6" s="4" t="n">
        <f aca="false">DCF_Bull!$B$43</f>
        <v>5.18073411736548</v>
      </c>
      <c r="F6" s="4" t="n">
        <f aca="false">DCF_Bull!$B$47</f>
        <v>2.44896667744447</v>
      </c>
    </row>
    <row r="8" customFormat="false" ht="15" hidden="false" customHeight="false" outlineLevel="0" collapsed="false">
      <c r="A8" s="0" t="s">
        <v>150</v>
      </c>
      <c r="B8" s="0" t="n">
        <f aca="false">SUMPRODUCT(B4:B6,D4:D6)</f>
        <v>4.1754407208432</v>
      </c>
    </row>
    <row r="9" customFormat="false" ht="15" hidden="false" customHeight="false" outlineLevel="0" collapsed="false">
      <c r="A9" s="0" t="s">
        <v>151</v>
      </c>
      <c r="B9" s="0" t="n">
        <f aca="false">SUMPRODUCT(E4:E6,D4:D6)</f>
        <v>4.1754407208432</v>
      </c>
    </row>
    <row r="10" customFormat="false" ht="15" hidden="false" customHeight="false" outlineLevel="0" collapsed="false">
      <c r="A10" s="0" t="s">
        <v>152</v>
      </c>
      <c r="B10" s="0" t="n">
        <f aca="false">1-Assumptions!$B$2/B8</f>
        <v>0.434790203530081</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1.969712598231</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4.21809326623801</v>
      </c>
      <c r="C15" s="3" t="n">
        <v>7.5</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3.77216886633678</v>
      </c>
      <c r="C16" s="3" t="n">
        <v>9</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3.36012372351594</v>
      </c>
      <c r="C17" s="3" t="n">
        <v>10</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2.97090176171554</v>
      </c>
      <c r="C18" s="3" t="n">
        <v>11</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2.65574596776553</v>
      </c>
      <c r="C19" s="3" t="n">
        <v>12</v>
      </c>
    </row>
    <row r="20" customFormat="false" ht="15" hidden="false" customHeight="false" outlineLevel="0" collapsed="false">
      <c r="A20" s="0" t="s">
        <v>162</v>
      </c>
      <c r="B20" s="0" t="n">
        <f aca="false">(SUMPRODUCT(DCF_Base!$C$19:$L$19/(1+$C$20/100)^DCF_Base!$C$4:$L$4)+MAX(0,MIN(IF($C$20&gt;DCF_Base!$B$28,DCF_Base!$L$19*(1+DCF_Base!$B$28/100)/(($C$20-DCF_Base!$B$28)/100),DCF_Base!$L$19*DCF_Base!$B$29),DCF_Base!$L$19*DCF_Base!$B$29))/(1+$C$20/100)^DCF_Base!$L$4+Assumptions!$B$5-Assumptions!$B$4)/Assumptions!$B$3*Assumptions!$B$10</f>
        <v>1.99011234567699</v>
      </c>
      <c r="C20" s="3" t="n">
        <v>15</v>
      </c>
    </row>
    <row r="22" customFormat="false" ht="15" hidden="false" customHeight="false" outlineLevel="0" collapsed="false">
      <c r="A22" s="2" t="s">
        <v>163</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4.91690744293224</v>
      </c>
      <c r="C24" s="0" t="n">
        <f aca="false">(SUMPRODUCT(DCF_Base!$C$19:$L$19/(1+$A$24/100)^DCF_Base!$C$4:$L$4)+MAX(0,MIN(IF($A$24&gt;$C$23,DCF_Base!$L$19*(1+$C$23/100)/(($A$24-$C$23)/100),DCF_Base!$L$19*DCF_Base!$B$29),DCF_Base!$L$19*DCF_Base!$B$29))/(1+$A$24/100)^DCF_Base!$L$4+Assumptions!$B$5-Assumptions!$B$4)/Assumptions!$B$3*Assumptions!$B$10</f>
        <v>4.91690744293224</v>
      </c>
      <c r="D24" s="0" t="n">
        <f aca="false">(SUMPRODUCT(DCF_Base!$C$19:$L$19/(1+$A$24/100)^DCF_Base!$C$4:$L$4)+MAX(0,MIN(IF($A$24&gt;$D$23,DCF_Base!$L$19*(1+$D$23/100)/(($A$24-$D$23)/100),DCF_Base!$L$19*DCF_Base!$B$29),DCF_Base!$L$19*DCF_Base!$B$29))/(1+$A$24/100)^DCF_Base!$L$4+Assumptions!$B$5-Assumptions!$B$4)/Assumptions!$B$3*Assumptions!$B$10</f>
        <v>4.91690744293224</v>
      </c>
      <c r="E24" s="0" t="n">
        <f aca="false">(SUMPRODUCT(DCF_Base!$C$19:$L$19/(1+$A$24/100)^DCF_Base!$C$4:$L$4)+MAX(0,MIN(IF($A$24&gt;$E$23,DCF_Base!$L$19*(1+$E$23/100)/(($A$24-$E$23)/100),DCF_Base!$L$19*DCF_Base!$B$29),DCF_Base!$L$19*DCF_Base!$B$29))/(1+$A$24/100)^DCF_Base!$L$4+Assumptions!$B$5-Assumptions!$B$4)/Assumptions!$B$3*Assumptions!$B$10</f>
        <v>4.91690744293224</v>
      </c>
      <c r="F24" s="0" t="n">
        <f aca="false">(SUMPRODUCT(DCF_Base!$C$19:$L$19/(1+$A$24/100)^DCF_Base!$C$4:$L$4)+MAX(0,MIN(IF($A$24&gt;$F$23,DCF_Base!$L$19*(1+$F$23/100)/(($A$24-$F$23)/100),DCF_Base!$L$19*DCF_Base!$B$29),DCF_Base!$L$19*DCF_Base!$B$29))/(1+$A$24/100)^DCF_Base!$L$4+Assumptions!$B$5-Assumptions!$B$4)/Assumptions!$B$3*Assumptions!$B$10</f>
        <v>4.91690744293224</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4.55126456740572</v>
      </c>
      <c r="C25" s="0" t="n">
        <f aca="false">(SUMPRODUCT(DCF_Base!$C$19:$L$19/(1+$A$25/100)^DCF_Base!$C$4:$L$4)+MAX(0,MIN(IF($A$25&gt;$C$23,DCF_Base!$L$19*(1+$C$23/100)/(($A$25-$C$23)/100),DCF_Base!$L$19*DCF_Base!$B$29),DCF_Base!$L$19*DCF_Base!$B$29))/(1+$A$25/100)^DCF_Base!$L$4+Assumptions!$B$5-Assumptions!$B$4)/Assumptions!$B$3*Assumptions!$B$10</f>
        <v>4.55126456740572</v>
      </c>
      <c r="D25" s="0" t="n">
        <f aca="false">(SUMPRODUCT(DCF_Base!$C$19:$L$19/(1+$A$25/100)^DCF_Base!$C$4:$L$4)+MAX(0,MIN(IF($A$25&gt;$D$23,DCF_Base!$L$19*(1+$D$23/100)/(($A$25-$D$23)/100),DCF_Base!$L$19*DCF_Base!$B$29),DCF_Base!$L$19*DCF_Base!$B$29))/(1+$A$25/100)^DCF_Base!$L$4+Assumptions!$B$5-Assumptions!$B$4)/Assumptions!$B$3*Assumptions!$B$10</f>
        <v>4.55126456740572</v>
      </c>
      <c r="E25" s="0" t="n">
        <f aca="false">(SUMPRODUCT(DCF_Base!$C$19:$L$19/(1+$A$25/100)^DCF_Base!$C$4:$L$4)+MAX(0,MIN(IF($A$25&gt;$E$23,DCF_Base!$L$19*(1+$E$23/100)/(($A$25-$E$23)/100),DCF_Base!$L$19*DCF_Base!$B$29),DCF_Base!$L$19*DCF_Base!$B$29))/(1+$A$25/100)^DCF_Base!$L$4+Assumptions!$B$5-Assumptions!$B$4)/Assumptions!$B$3*Assumptions!$B$10</f>
        <v>4.55126456740572</v>
      </c>
      <c r="F25" s="0" t="n">
        <f aca="false">(SUMPRODUCT(DCF_Base!$C$19:$L$19/(1+$A$25/100)^DCF_Base!$C$4:$L$4)+MAX(0,MIN(IF($A$25&gt;$F$23,DCF_Base!$L$19*(1+$F$23/100)/(($A$25-$F$23)/100),DCF_Base!$L$19*DCF_Base!$B$29),DCF_Base!$L$19*DCF_Base!$B$29))/(1+$A$25/100)^DCF_Base!$L$4+Assumptions!$B$5-Assumptions!$B$4)/Assumptions!$B$3*Assumptions!$B$10</f>
        <v>4.55126456740572</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4.21809326623801</v>
      </c>
      <c r="C26" s="0" t="n">
        <f aca="false">(SUMPRODUCT(DCF_Base!$C$19:$L$19/(1+$A$26/100)^DCF_Base!$C$4:$L$4)+MAX(0,MIN(IF($A$26&gt;$C$23,DCF_Base!$L$19*(1+$C$23/100)/(($A$26-$C$23)/100),DCF_Base!$L$19*DCF_Base!$B$29),DCF_Base!$L$19*DCF_Base!$B$29))/(1+$A$26/100)^DCF_Base!$L$4+Assumptions!$B$5-Assumptions!$B$4)/Assumptions!$B$3*Assumptions!$B$10</f>
        <v>4.21809326623801</v>
      </c>
      <c r="D26" s="0" t="n">
        <f aca="false">(SUMPRODUCT(DCF_Base!$C$19:$L$19/(1+$A$26/100)^DCF_Base!$C$4:$L$4)+MAX(0,MIN(IF($A$26&gt;$D$23,DCF_Base!$L$19*(1+$D$23/100)/(($A$26-$D$23)/100),DCF_Base!$L$19*DCF_Base!$B$29),DCF_Base!$L$19*DCF_Base!$B$29))/(1+$A$26/100)^DCF_Base!$L$4+Assumptions!$B$5-Assumptions!$B$4)/Assumptions!$B$3*Assumptions!$B$10</f>
        <v>4.21809326623801</v>
      </c>
      <c r="E26" s="0" t="n">
        <f aca="false">(SUMPRODUCT(DCF_Base!$C$19:$L$19/(1+$A$26/100)^DCF_Base!$C$4:$L$4)+MAX(0,MIN(IF($A$26&gt;$E$23,DCF_Base!$L$19*(1+$E$23/100)/(($A$26-$E$23)/100),DCF_Base!$L$19*DCF_Base!$B$29),DCF_Base!$L$19*DCF_Base!$B$29))/(1+$A$26/100)^DCF_Base!$L$4+Assumptions!$B$5-Assumptions!$B$4)/Assumptions!$B$3*Assumptions!$B$10</f>
        <v>4.21809326623801</v>
      </c>
      <c r="F26" s="0" t="n">
        <f aca="false">(SUMPRODUCT(DCF_Base!$C$19:$L$19/(1+$A$26/100)^DCF_Base!$C$4:$L$4)+MAX(0,MIN(IF($A$26&gt;$F$23,DCF_Base!$L$19*(1+$F$23/100)/(($A$26-$F$23)/100),DCF_Base!$L$19*DCF_Base!$B$29),DCF_Base!$L$19*DCF_Base!$B$29))/(1+$A$26/100)^DCF_Base!$L$4+Assumptions!$B$5-Assumptions!$B$4)/Assumptions!$B$3*Assumptions!$B$10</f>
        <v>4.21809326623801</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3.84466967126589</v>
      </c>
      <c r="C27" s="0" t="n">
        <f aca="false">(SUMPRODUCT(DCF_Base!$C$19:$L$19/(1+$A$27/100)^DCF_Base!$C$4:$L$4)+MAX(0,MIN(IF($A$27&gt;$C$23,DCF_Base!$L$19*(1+$C$23/100)/(($A$27-$C$23)/100),DCF_Base!$L$19*DCF_Base!$B$29),DCF_Base!$L$19*DCF_Base!$B$29))/(1+$A$27/100)^DCF_Base!$L$4+Assumptions!$B$5-Assumptions!$B$4)/Assumptions!$B$3*Assumptions!$B$10</f>
        <v>3.91412429281929</v>
      </c>
      <c r="D27" s="0" t="n">
        <f aca="false">(SUMPRODUCT(DCF_Base!$C$19:$L$19/(1+$A$27/100)^DCF_Base!$C$4:$L$4)+MAX(0,MIN(IF($A$27&gt;$D$23,DCF_Base!$L$19*(1+$D$23/100)/(($A$27-$D$23)/100),DCF_Base!$L$19*DCF_Base!$B$29),DCF_Base!$L$19*DCF_Base!$B$29))/(1+$A$27/100)^DCF_Base!$L$4+Assumptions!$B$5-Assumptions!$B$4)/Assumptions!$B$3*Assumptions!$B$10</f>
        <v>3.91412429281929</v>
      </c>
      <c r="E27" s="0" t="n">
        <f aca="false">(SUMPRODUCT(DCF_Base!$C$19:$L$19/(1+$A$27/100)^DCF_Base!$C$4:$L$4)+MAX(0,MIN(IF($A$27&gt;$E$23,DCF_Base!$L$19*(1+$E$23/100)/(($A$27-$E$23)/100),DCF_Base!$L$19*DCF_Base!$B$29),DCF_Base!$L$19*DCF_Base!$B$29))/(1+$A$27/100)^DCF_Base!$L$4+Assumptions!$B$5-Assumptions!$B$4)/Assumptions!$B$3*Assumptions!$B$10</f>
        <v>3.91412429281929</v>
      </c>
      <c r="F27" s="0" t="n">
        <f aca="false">(SUMPRODUCT(DCF_Base!$C$19:$L$19/(1+$A$27/100)^DCF_Base!$C$4:$L$4)+MAX(0,MIN(IF($A$27&gt;$F$23,DCF_Base!$L$19*(1+$F$23/100)/(($A$27-$F$23)/100),DCF_Base!$L$19*DCF_Base!$B$29),DCF_Base!$L$19*DCF_Base!$B$29))/(1+$A$27/100)^DCF_Base!$L$4+Assumptions!$B$5-Assumptions!$B$4)/Assumptions!$B$3*Assumptions!$B$10</f>
        <v>3.91412429281929</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3.37091469260041</v>
      </c>
      <c r="C28" s="0" t="n">
        <f aca="false">(SUMPRODUCT(DCF_Base!$C$19:$L$19/(1+$A$28/100)^DCF_Base!$C$4:$L$4)+MAX(0,MIN(IF($A$28&gt;$C$23,DCF_Base!$L$19*(1+$C$23/100)/(($A$28-$C$23)/100),DCF_Base!$L$19*DCF_Base!$B$29),DCF_Base!$L$19*DCF_Base!$B$29))/(1+$A$28/100)^DCF_Base!$L$4+Assumptions!$B$5-Assumptions!$B$4)/Assumptions!$B$3*Assumptions!$B$10</f>
        <v>3.47457248855914</v>
      </c>
      <c r="D28" s="0" t="n">
        <f aca="false">(SUMPRODUCT(DCF_Base!$C$19:$L$19/(1+$A$28/100)^DCF_Base!$C$4:$L$4)+MAX(0,MIN(IF($A$28&gt;$D$23,DCF_Base!$L$19*(1+$D$23/100)/(($A$28-$D$23)/100),DCF_Base!$L$19*DCF_Base!$B$29),DCF_Base!$L$19*DCF_Base!$B$29))/(1+$A$28/100)^DCF_Base!$L$4+Assumptions!$B$5-Assumptions!$B$4)/Assumptions!$B$3*Assumptions!$B$10</f>
        <v>3.59118750901271</v>
      </c>
      <c r="E28" s="0" t="n">
        <f aca="false">(SUMPRODUCT(DCF_Base!$C$19:$L$19/(1+$A$28/100)^DCF_Base!$C$4:$L$4)+MAX(0,MIN(IF($A$28&gt;$E$23,DCF_Base!$L$19*(1+$E$23/100)/(($A$28-$E$23)/100),DCF_Base!$L$19*DCF_Base!$B$29),DCF_Base!$L$19*DCF_Base!$B$29))/(1+$A$28/100)^DCF_Base!$L$4+Assumptions!$B$5-Assumptions!$B$4)/Assumptions!$B$3*Assumptions!$B$10</f>
        <v>3.63644904663168</v>
      </c>
      <c r="F28" s="0" t="n">
        <f aca="false">(SUMPRODUCT(DCF_Base!$C$19:$L$19/(1+$A$28/100)^DCF_Base!$C$4:$L$4)+MAX(0,MIN(IF($A$28&gt;$F$23,DCF_Base!$L$19*(1+$F$23/100)/(($A$28-$F$23)/100),DCF_Base!$L$19*DCF_Base!$B$29),DCF_Base!$L$19*DCF_Base!$B$29))/(1+$A$28/100)^DCF_Base!$L$4+Assumptions!$B$5-Assumptions!$B$4)/Assumptions!$B$3*Assumptions!$B$10</f>
        <v>3.63644904663168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2026-10-16T22:03:18Z</dcterms:created>
  <dc:creator>openpyxl</dc:creator>
  <dc:description/>
  <dc:language>en-NZ</dc:language>
  <cp:lastModifiedBy/>
  <dcterms:modified xsi:type="dcterms:W3CDTF">2026-10-16T22:03:18Z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