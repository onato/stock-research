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<sst xmlns="http://schemas.openxmlformats.org/spreadsheetml/2006/main" count="390" uniqueCount="175">
  <si>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</si>
  <si>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DOV</t>
  </si>
  <si>
    <t xml:space="preserve">Company</t>
  </si>
  <si>
    <t xml:space="preserve">Dover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</si>
  <si>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</si>
  <si>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</si>
  <si>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</si>
  <si>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</si>
  <si>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</si>
  <si>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</si>
  <si>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</si>
  <si>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</si>
  <si>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</si>
  <si>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</si>
  <si>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</si>
  <si>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</si>
  <si>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</si>
  <si>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</si>
  <si>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</si>
  <si>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</si>
  <si>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</si>
  <si>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2026-09-26T01:32:22Z</t>
  </si>
  <si>
    <t xml:space="preserve">Drivers file</t>
  </si>
  <si>
    <t xml:space="preserve">DOV_Drivers.json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</si>
  <si>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</si>
  <si>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</si>
  <si>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</si>
  <si>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an unlevered component build: SBC and equity-award withholding taxes expensed, share count held flat (Dover funds the flat count with buybacks), organic growth only (acquired growth excluded because acquisition spend sits outside owner FCF), acquired-intangible amortization allowed to roll off so the terminal year carries no phantom tax shield, and cyclicality priced in a recession bear case rather than in the discount rate.
key_risks_to_valuation: Industrial-cycle timing: the bear path's 2027 revenue decline is a real possibility with bookings at a peak; a 2008-style drawdown (-29% revenue in FY2009) is worse than the bear case.; M&amp;A: Dover spends ~$600M/yr on bolt-ons; if those earn above WACC the organic-only projection undervalues the capital-allocation engine, and if below, the base case is generous.; Terminal value is ~56% of base-case enterprise value (61% bull); each 1x of terminal FCF multiple is worth ~$6 per share in the base case, and the 16x cap binds in base (Gordon at 8.75%/2.5% would give ~16.4x).; Margin basis: the path is GAAP-EBITDA (restructuring and corporate cost included). Reading management's 25% adjusted segment EBITDA margin into the model instead would overstate value by roughly $25-30/share.; Secular-platform execution (refrigeration and cryogenic plant consolidations) and tariff/FX translation exposure.</t>
  </si>
  <si>
    <t xml:space="preserve">Data sources</t>
  </si>
  <si>
    <t xml:space="preserve">price: Yahoo Finance chart API at inputs.price_as_of; 52-week range 158.97-237.54
financials: SEC XBRL companyfacts (CIK 29905): FY2025 10-K and Q2 2026 10-Q (OCF continuing, capex, SBC, equity-award withholding, buybacks, LongTermDebt, cash incl. restricted, diluted shares, interest income, cash taxes); Q2 2026 earnings release (8-K Ex. 99.1, 2026-07-23) for FY2026 guidance, segment EBITDA and FCF reconciliation; DOV_Metrics.csv for revenue/EBITDA/NI/equity history
qualitative: DOV_Analysis.json (bull/bear cases, risks, Q2 2026 developments)</t>
  </si>
  <si>
    <t xml:space="preserve">Scenario narrative: bear</t>
  </si>
  <si>
    <t xml:space="preserve">The industrial cycle turns in 2027: fueling and vehicle-wash capex, polymer processing and engineered products fall with customer capex, revenue drops ~3% and decremental margins take pre-SBC EBITDA to 20.5%. The refrigeration and cryogenic footprint consolidations (9 to 4 plants) keep slipping, tariffs and renminbi/euro translation dent reported results, and the secular platforms prove smaller and lumpier than the ~25% claim. Margin recovers only to 22%, growth settles at 2-2.5%, and the stock exits at a cyclical 13x FCF.</t>
  </si>
  <si>
    <t xml:space="preserve">Scenario narrative: base</t>
  </si>
  <si>
    <t xml:space="preserve">Dover delivers FY2026 guidance (revenue +7%, GAAP EPS ~$9.04) on the record order book, then grows organically 3-4.5% a year: the secular platforms (CO2 refrigeration, cryogenic and data-centre thermal components, biopharma fluid handling, ~25% of the portfolio) grow high single digits while fueling, polymer processing and vehicle aftermarket track industrial production. The refrigeration facility consolidation that cost 1-1.5pp of Q2 growth is fixed within a year. GAAP EBITDA margin (pre-SBC) steps from 22.2% to 24% through mix and productivity, and owner-FCF margin settles near 15-16%, in line with the 14-16% FCF margin management guides. Bolt-on M&amp;A continues but is treated as value-neutral and excluded.</t>
  </si>
  <si>
    <t xml:space="preserve">Scenario narrative: bull</t>
  </si>
  <si>
    <t xml:space="preserve">The secular platforms scale faster than the market expects: data-centre and LNG/hydrogen cryogenic demand, natural-refrigerant regulation in retail refrigeration and single-use biopharma connectors lift organic growth to 6-7% for several years, with 35-40% incrementals (Q2 2026 printed 38%) carrying the pre-SBC EBITDA margin to 26%. Europe (organic -5% in Q2 2026) recovers and China stabilises. The market re-rates Dover from a diversified cyclical toward a growth-industrial multiple (18x terminal FCF).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</si>
  <si>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</si>
  <si>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</si>
  <si>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</si>
  <si>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</si>
  <si>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</si>
  <si>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</si>
  <si>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</si>
  <si>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</si>
  <si>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</si>
  <si>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</si>
  <si>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</si>
  <si>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</si>
  <si>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</si>
  <si>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</si>
  <si>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</si>
  <si>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</si>
  <si>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</si>
  <si>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</si>
  <si>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</si>
  <si>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</si>
  <si>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</si>
  <si>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</si>
  <si>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</si>
  <si>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</si>
  <si>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</si>
  <si>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</si>
  <si>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</si>
  <si>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</si>
  <si>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</si>
  <si>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</si>
  <si>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</si>
  <si>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</si>
  <si>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</si>
  <si>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</si>
  <si>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</si>
  <si>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</si>
  <si>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</si>
  <si>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</si>
  <si>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</si>
  <si>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</si>
  <si>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</si>
  <si>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</si>
  <si>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</si>
  <si>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</si>
  <si>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</si>
  <si>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</si>
  <si>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</si>
  <si>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</si>
  <si>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</si>
  <si>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</si>
  <si>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</si>
  <si>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</si>
  <si>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</si>
  <si>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</si>
  <si>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</si>
  <si>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</si>
  <si>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</si>
  <si>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</si>
  <si>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</si>
  <si>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</si>
  <si>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</si>
  <si>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</si>
  <si>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</si>
  <si>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</si>
  <si>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</si>
  <si>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</si>
  <si>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</si>
  <si>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</si>
  <si>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</si>
  <si>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</si>
  <si>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</si>
  <si>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</si>
  <si>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</si>
  <si>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</si>
  <si>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</si>
  <si>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</si>
  <si>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</si>
  <si>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</si>
  <si>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</si>
  <si>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</si>
  <si>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</si>
  <si>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</si>
  <si>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</si>
  <si>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</si>
  <si>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DOV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</si>
  <si>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</si>
  <si>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</si>
  <si>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</si>
  <si>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</si>
  <si>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</si>
  <si>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</si>
  <si>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</si>
  <si>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</si>
  <si>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</si>
  <si>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</si>
  <si>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</si>
  <si>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</si>
  <si>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</si>
  <si>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</si>
  <si>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</si>
  <si>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</si>
  <si>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</si>
  <si>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</si>
  <si>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</si>
  <si>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</si>
  <si>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</si>
  <si>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</si>
  <si>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</si>
  <si>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</si>
  <si>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</si>
  <si>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</si>
  <si>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</si>
  <si>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</si>
  <si>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</si>
  <si>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</si>
  <si>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DOV owner-FCF component DCF: base case (millions, USD)</t>
  </si>
  <si>
    <t xml:space="preserve">DOV owner-FCF component DCF: bull case (millions, USD)</t>
  </si>
  <si>
    <t xml:space="preserve">DOV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</si>
  <si>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</si>
  <si>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</si>
  <si>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</si>
  <si>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</si>
  <si>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</si>
  <si>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</si>
  <si>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</si>
  <si>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</si>
  <si>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</si>
  <si>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</si>
  <si>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</si>
  <si>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</si>
  <si>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</si>
  <si>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</si>
  <si>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8.75%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</si>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</sst>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191.88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3811.022</v>
      </c>
      <c r="S2" s="0" t="n">
        <v>372.721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7317.27</v>
      </c>
      <c r="C3" s="0" t="n">
        <v>4697.768</v>
      </c>
      <c r="D3" s="0" t="n">
        <v>2619.502</v>
      </c>
      <c r="E3" s="0" t="n">
        <v>35.7988976763192</v>
      </c>
      <c r="F3" s="0" t="n">
        <v>1005.497</v>
      </c>
      <c r="G3" s="0" t="n">
        <v>13.741422689063</v>
      </c>
      <c r="H3" s="0" t="n">
        <v>1249.273</v>
      </c>
      <c r="I3" s="0" t="n">
        <v>661.08</v>
      </c>
      <c r="J3" s="0" t="n">
        <v>9.03451697149347</v>
      </c>
      <c r="K3" s="0" t="n">
        <v>3.28</v>
      </c>
      <c r="M3" s="0" t="n">
        <v>173.653</v>
      </c>
      <c r="O3" s="0" t="n">
        <v>3946.173</v>
      </c>
      <c r="S3" s="0" t="n">
        <v>606.105</v>
      </c>
      <c r="T3" s="0" t="n">
        <v>202.918</v>
      </c>
      <c r="U3" s="0" t="n">
        <v>26.292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7568.888</v>
      </c>
      <c r="C4" s="0" t="n">
        <v>4838.881</v>
      </c>
      <c r="D4" s="0" t="n">
        <v>2730.007</v>
      </c>
      <c r="E4" s="0" t="n">
        <v>36.0687990098413</v>
      </c>
      <c r="F4" s="0" t="n">
        <v>1029.33</v>
      </c>
      <c r="G4" s="0" t="n">
        <v>13.5994877979434</v>
      </c>
      <c r="H4" s="0" t="n">
        <v>1290.484</v>
      </c>
      <c r="I4" s="0" t="n">
        <v>590.831</v>
      </c>
      <c r="J4" s="0" t="n">
        <v>7.80604759906607</v>
      </c>
      <c r="K4" s="0" t="n">
        <v>3.13</v>
      </c>
      <c r="M4" s="0" t="n">
        <v>175.795</v>
      </c>
      <c r="O4" s="0" t="n">
        <v>3792.866</v>
      </c>
      <c r="P4" s="0" t="n">
        <v>7883.238</v>
      </c>
      <c r="Q4" s="0" t="n">
        <v>4090.372</v>
      </c>
      <c r="R4" s="0" t="n">
        <v>2085.673</v>
      </c>
      <c r="S4" s="0" t="n">
        <v>549.889</v>
      </c>
      <c r="T4" s="0" t="n">
        <v>189.269</v>
      </c>
      <c r="U4" s="0" t="n">
        <v>25.246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5344.331</v>
      </c>
      <c r="C5" s="0" t="n">
        <v>3331.187</v>
      </c>
      <c r="D5" s="0" t="n">
        <v>2013.144</v>
      </c>
      <c r="E5" s="0" t="n">
        <v>37.6687746324096</v>
      </c>
      <c r="F5" s="0" t="n">
        <v>591.129</v>
      </c>
      <c r="G5" s="0" t="n">
        <v>11.0608605642128</v>
      </c>
      <c r="H5" s="0" t="n">
        <v>822.492</v>
      </c>
      <c r="I5" s="0" t="n">
        <v>356.438</v>
      </c>
      <c r="J5" s="0" t="n">
        <v>6.66945965734533</v>
      </c>
      <c r="K5" s="0" t="n">
        <v>1.91</v>
      </c>
      <c r="M5" s="0" t="n">
        <v>112.972</v>
      </c>
      <c r="O5" s="0" t="n">
        <v>4083.608</v>
      </c>
      <c r="P5" s="0" t="n">
        <v>7882.402</v>
      </c>
      <c r="R5" s="0" t="n">
        <v>1896.508</v>
      </c>
      <c r="S5" s="0" t="n">
        <v>718.188</v>
      </c>
      <c r="T5" s="0" t="n">
        <v>186.736</v>
      </c>
      <c r="U5" s="0" t="n">
        <v>17.158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6109.507</v>
      </c>
      <c r="C6" s="0" t="n">
        <v>3686.861</v>
      </c>
      <c r="D6" s="0" t="n">
        <v>2422.646</v>
      </c>
      <c r="E6" s="0" t="n">
        <v>39.6537069193963</v>
      </c>
      <c r="F6" s="0" t="n">
        <v>923.049</v>
      </c>
      <c r="G6" s="0" t="n">
        <v>15.1084040005192</v>
      </c>
      <c r="H6" s="0" t="n">
        <v>1152.286</v>
      </c>
      <c r="I6" s="0" t="n">
        <v>700.104</v>
      </c>
      <c r="J6" s="0" t="n">
        <v>11.4592552230483</v>
      </c>
      <c r="K6" s="0" t="n">
        <v>3.75</v>
      </c>
      <c r="M6" s="0" t="n">
        <v>169.297</v>
      </c>
      <c r="O6" s="0" t="n">
        <v>4526.562</v>
      </c>
      <c r="P6" s="0" t="n">
        <v>8558.743</v>
      </c>
      <c r="R6" s="0" t="n">
        <v>1807.476</v>
      </c>
      <c r="S6" s="0" t="n">
        <v>1187.361</v>
      </c>
      <c r="T6" s="0" t="n">
        <v>189.17</v>
      </c>
      <c r="U6" s="0" t="n">
        <v>20.407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7369.154</v>
      </c>
      <c r="C7" s="0" t="n">
        <v>4524.351</v>
      </c>
      <c r="D7" s="0" t="n">
        <v>2844.803</v>
      </c>
      <c r="E7" s="0" t="n">
        <v>38.6042006992933</v>
      </c>
      <c r="F7" s="0" t="n">
        <v>1123.849</v>
      </c>
      <c r="G7" s="0" t="n">
        <v>15.2507194177242</v>
      </c>
      <c r="H7" s="0" t="n">
        <v>1414.326</v>
      </c>
      <c r="I7" s="0" t="n">
        <v>895.243</v>
      </c>
      <c r="J7" s="0" t="n">
        <v>12.1485179981311</v>
      </c>
      <c r="K7" s="0" t="n">
        <v>4.82</v>
      </c>
      <c r="M7" s="0" t="n">
        <v>262.676</v>
      </c>
      <c r="O7" s="0" t="n">
        <v>4930.555</v>
      </c>
      <c r="P7" s="0" t="n">
        <v>9500.552</v>
      </c>
      <c r="R7" s="0" t="n">
        <v>2188.274</v>
      </c>
      <c r="S7" s="0" t="n">
        <v>1206.755</v>
      </c>
      <c r="T7" s="0" t="n">
        <v>188.887</v>
      </c>
      <c r="U7" s="0" t="n">
        <v>25.13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6626.648</v>
      </c>
      <c r="C8" s="0" t="n">
        <v>4046.659</v>
      </c>
      <c r="D8" s="0" t="n">
        <v>2579.989</v>
      </c>
      <c r="E8" s="0" t="n">
        <v>38.9335452856406</v>
      </c>
      <c r="F8" s="0" t="n">
        <v>1059.028</v>
      </c>
      <c r="G8" s="0" t="n">
        <v>15.9813528649779</v>
      </c>
      <c r="H8" s="0" t="n">
        <v>1288.962</v>
      </c>
      <c r="I8" s="0" t="n">
        <v>811.07</v>
      </c>
      <c r="J8" s="0" t="n">
        <v>12.2395213990542</v>
      </c>
      <c r="K8" s="0" t="n">
        <v>4.47</v>
      </c>
      <c r="M8" s="0" t="n">
        <v>146.502</v>
      </c>
      <c r="O8" s="0" t="n">
        <v>4919.23</v>
      </c>
      <c r="P8" s="0" t="n">
        <v>10443.943</v>
      </c>
      <c r="R8" s="0" t="n">
        <v>2803.382</v>
      </c>
      <c r="S8" s="0" t="n">
        <v>800.076</v>
      </c>
      <c r="T8" s="0" t="n">
        <v>183.993</v>
      </c>
      <c r="U8" s="0" t="n">
        <v>30.884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7155.096</v>
      </c>
      <c r="C9" s="0" t="n">
        <v>4376.505</v>
      </c>
      <c r="D9" s="0" t="n">
        <v>2778.591</v>
      </c>
      <c r="E9" s="0" t="n">
        <v>38.8337347255718</v>
      </c>
      <c r="F9" s="0" t="n">
        <v>1161.67</v>
      </c>
      <c r="G9" s="0" t="n">
        <v>16.235561339778</v>
      </c>
      <c r="H9" s="0" t="n">
        <v>1439.703</v>
      </c>
      <c r="I9" s="0" t="n">
        <v>1003.129</v>
      </c>
      <c r="J9" s="0" t="n">
        <v>14.0197839414034</v>
      </c>
      <c r="K9" s="0" t="n">
        <v>5.86</v>
      </c>
      <c r="M9" s="0" t="n">
        <v>141.694</v>
      </c>
      <c r="O9" s="0" t="n">
        <v>5377.396</v>
      </c>
      <c r="P9" s="0" t="n">
        <v>10855.181</v>
      </c>
      <c r="R9" s="0" t="n">
        <v>2831.257</v>
      </c>
      <c r="S9" s="0" t="n">
        <v>803.882</v>
      </c>
      <c r="T9" s="0" t="n">
        <v>173.547</v>
      </c>
      <c r="U9" s="0" t="n">
        <v>30.48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7752.728</v>
      </c>
      <c r="C10" s="0" t="n">
        <v>4778.479</v>
      </c>
      <c r="D10" s="0" t="n">
        <v>2974.249</v>
      </c>
      <c r="E10" s="0" t="n">
        <v>38.3639023579829</v>
      </c>
      <c r="F10" s="0" t="n">
        <v>1215.484</v>
      </c>
      <c r="G10" s="0" t="n">
        <v>15.6781458088043</v>
      </c>
      <c r="H10" s="0" t="n">
        <v>1522.672</v>
      </c>
      <c r="I10" s="0" t="n">
        <v>775.235</v>
      </c>
      <c r="J10" s="0" t="n">
        <v>9.99951242968927</v>
      </c>
      <c r="K10" s="0" t="n">
        <v>4.65</v>
      </c>
      <c r="M10" s="0" t="n">
        <v>166.033</v>
      </c>
      <c r="O10" s="0" t="n">
        <v>3700.725</v>
      </c>
      <c r="P10" s="0" t="n">
        <v>9030.291</v>
      </c>
      <c r="R10" s="0" t="n">
        <v>3330.953</v>
      </c>
      <c r="S10" s="0" t="n">
        <v>681.581</v>
      </c>
      <c r="T10" s="0" t="n">
        <v>168.842</v>
      </c>
      <c r="U10" s="0" t="n">
        <v>31.628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6956.311</v>
      </c>
      <c r="C11" s="0" t="n">
        <v>4388.167</v>
      </c>
      <c r="D11" s="0" t="n">
        <v>2568.144</v>
      </c>
      <c r="E11" s="0" t="n">
        <v>36.9181883903696</v>
      </c>
      <c r="F11" s="0" t="n">
        <v>920.762</v>
      </c>
      <c r="G11" s="0" t="n">
        <v>13.2363547288211</v>
      </c>
      <c r="H11" s="0" t="n">
        <v>1247.851</v>
      </c>
      <c r="I11" s="0" t="n">
        <v>869.829</v>
      </c>
      <c r="J11" s="0" t="n">
        <v>12.5041706732203</v>
      </c>
      <c r="K11" s="0" t="n">
        <v>5.52</v>
      </c>
      <c r="M11" s="0" t="n">
        <v>154.251</v>
      </c>
      <c r="O11" s="0" t="n">
        <v>3644.575</v>
      </c>
      <c r="P11" s="0" t="n">
        <v>8606.076</v>
      </c>
      <c r="R11" s="0" t="n">
        <v>2768.464</v>
      </c>
      <c r="S11" s="0" t="n">
        <v>362.185</v>
      </c>
      <c r="T11" s="0" t="n">
        <v>159.172</v>
      </c>
      <c r="U11" s="0" t="n">
        <v>30.697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6043.224</v>
      </c>
      <c r="C12" s="0" t="n">
        <v>3815.672</v>
      </c>
      <c r="D12" s="0" t="n">
        <v>2227.552</v>
      </c>
      <c r="E12" s="0" t="n">
        <v>36.8603248861866</v>
      </c>
      <c r="F12" s="0" t="n">
        <v>708.972</v>
      </c>
      <c r="G12" s="0" t="n">
        <v>11.7316849416801</v>
      </c>
      <c r="H12" s="0" t="n">
        <v>958.644</v>
      </c>
      <c r="I12" s="0" t="n">
        <v>508.892</v>
      </c>
      <c r="J12" s="0" t="n">
        <v>8.420869390246</v>
      </c>
      <c r="K12" s="0" t="n">
        <v>3.28</v>
      </c>
      <c r="M12" s="0" t="n">
        <v>139.578</v>
      </c>
      <c r="O12" s="0" t="n">
        <v>3799.746</v>
      </c>
      <c r="P12" s="0" t="n">
        <v>10115.991</v>
      </c>
      <c r="R12" s="0" t="n">
        <v>3622.327</v>
      </c>
      <c r="S12" s="0" t="n">
        <v>349.146</v>
      </c>
      <c r="T12" s="0" t="n">
        <v>156.636</v>
      </c>
      <c r="U12" s="0" t="n">
        <v>18.65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6820.886</v>
      </c>
      <c r="C13" s="0" t="n">
        <v>4291.839</v>
      </c>
      <c r="D13" s="0" t="n">
        <v>2529.047</v>
      </c>
      <c r="E13" s="0" t="n">
        <v>37.0779837106206</v>
      </c>
      <c r="F13" s="0" t="n">
        <v>806.886</v>
      </c>
      <c r="G13" s="0" t="n">
        <v>11.8296362085512</v>
      </c>
      <c r="H13" s="0" t="n">
        <v>1090.164</v>
      </c>
      <c r="I13" s="0" t="n">
        <v>811.665</v>
      </c>
      <c r="J13" s="0" t="n">
        <v>11.8997004201507</v>
      </c>
      <c r="K13" s="0" t="n">
        <v>5.21</v>
      </c>
      <c r="M13" s="0" t="n">
        <v>170.068</v>
      </c>
      <c r="O13" s="0" t="n">
        <v>4383.18</v>
      </c>
      <c r="P13" s="0" t="n">
        <v>10658.359</v>
      </c>
      <c r="R13" s="0" t="n">
        <v>3917.815</v>
      </c>
      <c r="S13" s="0" t="n">
        <v>753.964</v>
      </c>
      <c r="T13" s="0" t="n">
        <v>157.744</v>
      </c>
      <c r="U13" s="0" t="n">
        <v>24.073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6992.118</v>
      </c>
      <c r="C14" s="0" t="n">
        <v>4432.562</v>
      </c>
      <c r="D14" s="0" t="n">
        <v>2559.556</v>
      </c>
      <c r="E14" s="0" t="n">
        <v>36.6063044130548</v>
      </c>
      <c r="F14" s="0" t="n">
        <v>843.112</v>
      </c>
      <c r="G14" s="0" t="n">
        <v>12.0580344896925</v>
      </c>
      <c r="H14" s="0" t="n">
        <v>1125.692</v>
      </c>
      <c r="I14" s="0" t="n">
        <v>570.267</v>
      </c>
      <c r="J14" s="0" t="n">
        <v>8.15585492121272</v>
      </c>
      <c r="K14" s="0" t="n">
        <v>3.8</v>
      </c>
      <c r="M14" s="0" t="n">
        <v>170.994</v>
      </c>
      <c r="O14" s="0" t="n">
        <v>2768.666</v>
      </c>
      <c r="P14" s="0" t="n">
        <v>8365.771</v>
      </c>
      <c r="R14" s="0" t="n">
        <v>3163.978</v>
      </c>
      <c r="S14" s="0" t="n">
        <v>396.221</v>
      </c>
      <c r="T14" s="0" t="n">
        <v>152.133</v>
      </c>
      <c r="U14" s="0" t="n">
        <v>23.698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7136.397</v>
      </c>
      <c r="C15" s="0" t="n">
        <v>4515.459</v>
      </c>
      <c r="D15" s="0" t="n">
        <v>2620.938</v>
      </c>
      <c r="E15" s="0" t="n">
        <v>36.7263480436977</v>
      </c>
      <c r="F15" s="0" t="n">
        <v>974.894</v>
      </c>
      <c r="G15" s="0" t="n">
        <v>13.6608711650991</v>
      </c>
      <c r="H15" s="0" t="n">
        <v>1247.181</v>
      </c>
      <c r="I15" s="0" t="n">
        <v>677.918</v>
      </c>
      <c r="J15" s="0" t="n">
        <v>9.49944348667822</v>
      </c>
      <c r="K15" s="0" t="n">
        <v>4.67</v>
      </c>
      <c r="L15" s="0" t="n">
        <v>945.306</v>
      </c>
      <c r="M15" s="0" t="n">
        <v>186.804</v>
      </c>
      <c r="N15" s="0" t="n">
        <v>758.502</v>
      </c>
      <c r="O15" s="0" t="n">
        <v>3032.66</v>
      </c>
      <c r="P15" s="0" t="n">
        <v>8669.477</v>
      </c>
      <c r="R15" s="0" t="n">
        <v>3070.416</v>
      </c>
      <c r="S15" s="0" t="n">
        <v>397.253</v>
      </c>
      <c r="T15" s="0" t="n">
        <v>146.992</v>
      </c>
      <c r="U15" s="0" t="n">
        <v>29.702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6683.76</v>
      </c>
      <c r="C16" s="0" t="n">
        <v>4209.741</v>
      </c>
      <c r="D16" s="0" t="n">
        <v>2474.019</v>
      </c>
      <c r="E16" s="0" t="n">
        <v>37.0153775719056</v>
      </c>
      <c r="F16" s="0" t="n">
        <v>932.987</v>
      </c>
      <c r="G16" s="0" t="n">
        <v>13.9590140878787</v>
      </c>
      <c r="H16" s="0" t="n">
        <v>1212.038</v>
      </c>
      <c r="I16" s="0" t="n">
        <v>683.451</v>
      </c>
      <c r="J16" s="0" t="n">
        <v>10.2255466982657</v>
      </c>
      <c r="K16" s="0" t="n">
        <v>4.74</v>
      </c>
      <c r="L16" s="0" t="n">
        <v>1104.81</v>
      </c>
      <c r="M16" s="0" t="n">
        <v>165.692</v>
      </c>
      <c r="N16" s="0" t="n">
        <v>939.118</v>
      </c>
      <c r="O16" s="0" t="n">
        <v>3385.773</v>
      </c>
      <c r="P16" s="0" t="n">
        <v>9152.074</v>
      </c>
      <c r="R16" s="0" t="n">
        <v>3108.829</v>
      </c>
      <c r="S16" s="0" t="n">
        <v>513.075</v>
      </c>
      <c r="T16" s="0" t="n">
        <v>145.393</v>
      </c>
      <c r="U16" s="0" t="n">
        <v>25.026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7907.081</v>
      </c>
      <c r="C17" s="0" t="n">
        <v>4937.295</v>
      </c>
      <c r="D17" s="0" t="n">
        <v>2969.786</v>
      </c>
      <c r="E17" s="0" t="n">
        <v>37.5585630145941</v>
      </c>
      <c r="F17" s="0" t="n">
        <v>1281.508</v>
      </c>
      <c r="G17" s="0" t="n">
        <v>16.2070933635307</v>
      </c>
      <c r="H17" s="0" t="n">
        <v>1571.631</v>
      </c>
      <c r="I17" s="0" t="n">
        <v>1123.818</v>
      </c>
      <c r="J17" s="0" t="n">
        <v>14.2128049529276</v>
      </c>
      <c r="K17" s="0" t="n">
        <v>7.81</v>
      </c>
      <c r="L17" s="0" t="n">
        <v>1115.865</v>
      </c>
      <c r="M17" s="0" t="n">
        <v>171.465</v>
      </c>
      <c r="N17" s="0" t="n">
        <v>944.4</v>
      </c>
      <c r="O17" s="0" t="n">
        <v>4189.528</v>
      </c>
      <c r="P17" s="0" t="n">
        <v>10403.627</v>
      </c>
      <c r="R17" s="0" t="n">
        <v>3124.416</v>
      </c>
      <c r="T17" s="0" t="n">
        <v>145.273</v>
      </c>
      <c r="U17" s="0" t="n">
        <v>31.111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7844.174</v>
      </c>
      <c r="C18" s="0" t="n">
        <v>4939.221</v>
      </c>
      <c r="D18" s="0" t="n">
        <v>2904.953</v>
      </c>
      <c r="E18" s="0" t="n">
        <v>37.0332555091205</v>
      </c>
      <c r="F18" s="0" t="n">
        <v>1279.641</v>
      </c>
      <c r="G18" s="0" t="n">
        <v>16.3132663808834</v>
      </c>
      <c r="H18" s="0" t="n">
        <v>1575.301</v>
      </c>
      <c r="I18" s="0" t="n">
        <v>1065.376</v>
      </c>
      <c r="J18" s="0" t="n">
        <v>13.5817486965486</v>
      </c>
      <c r="K18" s="0" t="n">
        <v>7.47</v>
      </c>
      <c r="L18" s="0" t="n">
        <v>805.724</v>
      </c>
      <c r="M18" s="0" t="n">
        <v>211.082</v>
      </c>
      <c r="N18" s="0" t="n">
        <v>594.642</v>
      </c>
      <c r="O18" s="0" t="n">
        <v>4286.366</v>
      </c>
      <c r="P18" s="0" t="n">
        <v>10896.519</v>
      </c>
      <c r="R18" s="0" t="n">
        <v>3678.285</v>
      </c>
      <c r="T18" s="0" t="n">
        <v>143.595</v>
      </c>
      <c r="U18" s="0" t="n">
        <v>30.075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7684.476</v>
      </c>
      <c r="C19" s="0" t="n">
        <v>4816.932</v>
      </c>
      <c r="D19" s="0" t="n">
        <v>2867.544</v>
      </c>
      <c r="E19" s="0" t="n">
        <v>37.3160642313152</v>
      </c>
      <c r="F19" s="0" t="n">
        <v>1219.34</v>
      </c>
      <c r="G19" s="0" t="n">
        <v>15.8675750955563</v>
      </c>
      <c r="H19" s="0" t="n">
        <v>1524.386</v>
      </c>
      <c r="I19" s="0" t="n">
        <v>1056.828</v>
      </c>
      <c r="J19" s="0" t="n">
        <v>13.7527659660854</v>
      </c>
      <c r="K19" s="0" t="n">
        <v>7.56</v>
      </c>
      <c r="L19" s="0" t="n">
        <v>1336.345</v>
      </c>
      <c r="M19" s="0" t="n">
        <v>183.406</v>
      </c>
      <c r="N19" s="0" t="n">
        <v>1152.939</v>
      </c>
      <c r="O19" s="0" t="n">
        <v>5106.605</v>
      </c>
      <c r="P19" s="0" t="n">
        <v>11348.513</v>
      </c>
      <c r="R19" s="0" t="n">
        <v>2991.759</v>
      </c>
      <c r="T19" s="0" t="n">
        <v>140.599</v>
      </c>
      <c r="U19" s="0" t="n">
        <v>30.766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7745.909</v>
      </c>
      <c r="C20" s="0" t="n">
        <v>4787.288</v>
      </c>
      <c r="D20" s="0" t="n">
        <v>2958.621</v>
      </c>
      <c r="E20" s="0" t="n">
        <v>38.1959173545674</v>
      </c>
      <c r="F20" s="0" t="n">
        <v>1206.355</v>
      </c>
      <c r="G20" s="0" t="n">
        <v>15.5740920787993</v>
      </c>
      <c r="H20" s="0" t="n">
        <v>1544.197</v>
      </c>
      <c r="I20" s="0" t="n">
        <v>2697.126</v>
      </c>
      <c r="J20" s="0" t="n">
        <v>34.8200062768618</v>
      </c>
      <c r="K20" s="0" t="n">
        <v>19.58</v>
      </c>
      <c r="M20" s="0" t="n">
        <v>167.533</v>
      </c>
      <c r="O20" s="0" t="n">
        <v>6953.996</v>
      </c>
      <c r="P20" s="0" t="n">
        <v>12509.16</v>
      </c>
      <c r="R20" s="0" t="n">
        <v>3328.168</v>
      </c>
      <c r="T20" s="0" t="n">
        <v>138.696</v>
      </c>
      <c r="U20" s="0" t="n">
        <v>40.359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8092.571</v>
      </c>
      <c r="C21" s="0" t="n">
        <v>4874.402</v>
      </c>
      <c r="D21" s="0" t="n">
        <v>3218.169</v>
      </c>
      <c r="E21" s="0" t="n">
        <v>39.7669541607976</v>
      </c>
      <c r="F21" s="0" t="n">
        <v>1373.361</v>
      </c>
      <c r="G21" s="0" t="n">
        <v>16.970638873604</v>
      </c>
      <c r="H21" s="0" t="n">
        <v>1752.938</v>
      </c>
      <c r="I21" s="0" t="n">
        <v>1093.956</v>
      </c>
      <c r="J21" s="0" t="n">
        <v>13.5180278307104</v>
      </c>
      <c r="K21" s="0" t="n">
        <v>7.99</v>
      </c>
      <c r="M21" s="0" t="n">
        <v>220.263</v>
      </c>
      <c r="O21" s="0" t="n">
        <v>7405.206</v>
      </c>
      <c r="P21" s="0" t="n">
        <v>13422.423</v>
      </c>
      <c r="R21" s="0" t="n">
        <v>4034.649</v>
      </c>
      <c r="T21" s="0" t="n">
        <v>137.777</v>
      </c>
      <c r="U21" s="0" t="n">
        <v>43.981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191.88</v>
      </c>
    </row>
    <row r="3" customFormat="false" ht="15" hidden="false" customHeight="false" outlineLevel="0" collapsed="false">
      <c r="A3" s="0" t="s">
        <v>86</v>
      </c>
      <c r="B3" s="3" t="n">
        <v>135.553</v>
      </c>
    </row>
    <row r="4" customFormat="false" ht="15" hidden="false" customHeight="false" outlineLevel="0" collapsed="false">
      <c r="A4" s="0" t="s">
        <v>87</v>
      </c>
      <c r="B4" s="3" t="n">
        <v>1504.017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8092.571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5.5</v>
      </c>
      <c r="D13" s="3" t="n">
        <v>-3</v>
      </c>
      <c r="E13" s="3" t="n">
        <v>1.5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22.3</v>
      </c>
      <c r="D14" s="3" t="n">
        <v>20.5</v>
      </c>
      <c r="E14" s="3" t="n">
        <v>21</v>
      </c>
      <c r="F14" s="3" t="n">
        <v>21.5</v>
      </c>
      <c r="G14" s="3" t="n">
        <v>21.8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108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4.6</v>
      </c>
      <c r="D17" s="3" t="n">
        <v>4.5</v>
      </c>
      <c r="E17" s="3" t="n">
        <v>4.3</v>
      </c>
      <c r="F17" s="3" t="n">
        <v>4.1</v>
      </c>
      <c r="G17" s="3" t="n">
        <v>3.8</v>
      </c>
      <c r="H17" s="3" t="n">
        <v>3.5</v>
      </c>
      <c r="I17" s="3" t="n">
        <v>3.2</v>
      </c>
      <c r="J17" s="3" t="n">
        <v>2.9</v>
      </c>
      <c r="K17" s="3" t="n">
        <v>2.7</v>
      </c>
      <c r="L17" s="3" t="n">
        <v>2.6</v>
      </c>
    </row>
    <row r="18" customFormat="false" ht="15" hidden="false" customHeight="false" outlineLevel="0" collapsed="false">
      <c r="A18" s="0" t="s">
        <v>111</v>
      </c>
      <c r="C18" s="3" t="n">
        <v>2.7</v>
      </c>
      <c r="D18" s="3" t="n">
        <v>2.5</v>
      </c>
      <c r="E18" s="3" t="n">
        <v>2.5</v>
      </c>
      <c r="F18" s="3" t="n">
        <v>2.6</v>
      </c>
      <c r="G18" s="3" t="n">
        <v>2.6</v>
      </c>
      <c r="H18" s="3" t="n">
        <v>2.6</v>
      </c>
      <c r="I18" s="3" t="n">
        <v>2.6</v>
      </c>
      <c r="J18" s="3" t="n">
        <v>2.6</v>
      </c>
      <c r="K18" s="3" t="n">
        <v>2.6</v>
      </c>
      <c r="L18" s="3" t="n">
        <v>2.6</v>
      </c>
    </row>
    <row r="19" customFormat="false" ht="15" hidden="false" customHeight="false" outlineLevel="0" collapsed="false">
      <c r="A19" s="0" t="s">
        <v>112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8.75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4.5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22.8</v>
      </c>
      <c r="D28" s="3" t="n">
        <v>23.2</v>
      </c>
      <c r="E28" s="3" t="n">
        <v>23.5</v>
      </c>
      <c r="F28" s="3" t="n">
        <v>23.8</v>
      </c>
      <c r="G28" s="3" t="n">
        <v>24</v>
      </c>
      <c r="H28" s="3" t="n">
        <v>24</v>
      </c>
      <c r="I28" s="3" t="n">
        <v>24</v>
      </c>
      <c r="J28" s="3" t="n">
        <v>24</v>
      </c>
      <c r="K28" s="3" t="n">
        <v>24</v>
      </c>
      <c r="L28" s="3" t="n">
        <v>24</v>
      </c>
    </row>
    <row r="29" customFormat="false" ht="15" hidden="false" customHeight="false" outlineLevel="0" collapsed="false">
      <c r="A29" s="0" t="s">
        <v>108</v>
      </c>
      <c r="C29" s="3" t="n">
        <v>0.7</v>
      </c>
      <c r="D29" s="3" t="n">
        <v>0.7</v>
      </c>
      <c r="E29" s="3" t="n">
        <v>0.7</v>
      </c>
      <c r="F29" s="3" t="n">
        <v>0.7</v>
      </c>
      <c r="G29" s="3" t="n">
        <v>0.7</v>
      </c>
      <c r="H29" s="3" t="n">
        <v>0.7</v>
      </c>
      <c r="I29" s="3" t="n">
        <v>0.7</v>
      </c>
      <c r="J29" s="3" t="n">
        <v>0.7</v>
      </c>
      <c r="K29" s="3" t="n">
        <v>0.7</v>
      </c>
      <c r="L29" s="3" t="n">
        <v>0.7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4.6</v>
      </c>
      <c r="D31" s="3" t="n">
        <v>4.4</v>
      </c>
      <c r="E31" s="3" t="n">
        <v>4.2</v>
      </c>
      <c r="F31" s="3" t="n">
        <v>4</v>
      </c>
      <c r="G31" s="3" t="n">
        <v>3.7</v>
      </c>
      <c r="H31" s="3" t="n">
        <v>3.4</v>
      </c>
      <c r="I31" s="3" t="n">
        <v>3.1</v>
      </c>
      <c r="J31" s="3" t="n">
        <v>2.9</v>
      </c>
      <c r="K31" s="3" t="n">
        <v>2.7</v>
      </c>
      <c r="L31" s="3" t="n">
        <v>2.6</v>
      </c>
    </row>
    <row r="32" customFormat="false" ht="15" hidden="false" customHeight="false" outlineLevel="0" collapsed="false">
      <c r="A32" s="0" t="s">
        <v>111</v>
      </c>
      <c r="C32" s="3" t="n">
        <v>2.7</v>
      </c>
      <c r="D32" s="3" t="n">
        <v>2.7</v>
      </c>
      <c r="E32" s="3" t="n">
        <v>2.6</v>
      </c>
      <c r="F32" s="3" t="n">
        <v>2.6</v>
      </c>
      <c r="G32" s="3" t="n">
        <v>2.6</v>
      </c>
      <c r="H32" s="3" t="n">
        <v>2.6</v>
      </c>
      <c r="I32" s="3" t="n">
        <v>2.6</v>
      </c>
      <c r="J32" s="3" t="n">
        <v>2.6</v>
      </c>
      <c r="K32" s="3" t="n">
        <v>2.6</v>
      </c>
      <c r="L32" s="3" t="n">
        <v>2.6</v>
      </c>
    </row>
    <row r="33" customFormat="false" ht="15" hidden="false" customHeight="false" outlineLevel="0" collapsed="false">
      <c r="A33" s="0" t="s">
        <v>112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8.75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8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23</v>
      </c>
      <c r="D42" s="3" t="n">
        <v>23.8</v>
      </c>
      <c r="E42" s="3" t="n">
        <v>24.4</v>
      </c>
      <c r="F42" s="3" t="n">
        <v>25</v>
      </c>
      <c r="G42" s="3" t="n">
        <v>25.4</v>
      </c>
      <c r="H42" s="3" t="n">
        <v>25.6</v>
      </c>
      <c r="I42" s="3" t="n">
        <v>25.8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108</v>
      </c>
      <c r="C43" s="3" t="n">
        <v>0.7</v>
      </c>
      <c r="D43" s="3" t="n">
        <v>0.7</v>
      </c>
      <c r="E43" s="3" t="n">
        <v>0.7</v>
      </c>
      <c r="F43" s="3" t="n">
        <v>0.7</v>
      </c>
      <c r="G43" s="3" t="n">
        <v>0.7</v>
      </c>
      <c r="H43" s="3" t="n">
        <v>0.7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4.6</v>
      </c>
      <c r="D45" s="3" t="n">
        <v>4.4</v>
      </c>
      <c r="E45" s="3" t="n">
        <v>4.2</v>
      </c>
      <c r="F45" s="3" t="n">
        <v>4</v>
      </c>
      <c r="G45" s="3" t="n">
        <v>3.7</v>
      </c>
      <c r="H45" s="3" t="n">
        <v>3.4</v>
      </c>
      <c r="I45" s="3" t="n">
        <v>3.1</v>
      </c>
      <c r="J45" s="3" t="n">
        <v>2.9</v>
      </c>
      <c r="K45" s="3" t="n">
        <v>2.7</v>
      </c>
      <c r="L45" s="3" t="n">
        <v>2.6</v>
      </c>
    </row>
    <row r="46" customFormat="false" ht="15" hidden="false" customHeight="false" outlineLevel="0" collapsed="false">
      <c r="A46" s="0" t="s">
        <v>111</v>
      </c>
      <c r="C46" s="3" t="n">
        <v>2.7</v>
      </c>
      <c r="D46" s="3" t="n">
        <v>2.8</v>
      </c>
      <c r="E46" s="3" t="n">
        <v>2.8</v>
      </c>
      <c r="F46" s="3" t="n">
        <v>2.7</v>
      </c>
      <c r="G46" s="3" t="n">
        <v>2.7</v>
      </c>
      <c r="H46" s="3" t="n">
        <v>2.6</v>
      </c>
      <c r="I46" s="3" t="n">
        <v>2.6</v>
      </c>
      <c r="J46" s="3" t="n">
        <v>2.6</v>
      </c>
      <c r="K46" s="3" t="n">
        <v>2.6</v>
      </c>
      <c r="L46" s="3" t="n">
        <v>2.6</v>
      </c>
    </row>
    <row r="47" customFormat="false" ht="15" hidden="false" customHeight="false" outlineLevel="0" collapsed="false">
      <c r="A47" s="0" t="s">
        <v>112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8.75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5.5</v>
      </c>
      <c r="D5" s="4" t="n">
        <f aca="false">Assumptions!D13</f>
        <v>-3</v>
      </c>
      <c r="E5" s="4" t="n">
        <f aca="false">Assumptions!E13</f>
        <v>1.5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8092.571</v>
      </c>
      <c r="C6" s="0" t="n">
        <f aca="false">B6*(1+C5/100)</f>
        <v>8537.662405</v>
      </c>
      <c r="D6" s="0" t="n">
        <f aca="false">C6*(1+D5/100)</f>
        <v>8281.53253285</v>
      </c>
      <c r="E6" s="0" t="n">
        <f aca="false">D6*(1+E5/100)</f>
        <v>8405.75552084275</v>
      </c>
      <c r="F6" s="0" t="n">
        <f aca="false">E6*(1+F5/100)</f>
        <v>8657.92818646803</v>
      </c>
      <c r="G6" s="0" t="n">
        <f aca="false">F6*(1+G5/100)</f>
        <v>8917.66603206207</v>
      </c>
      <c r="H6" s="0" t="n">
        <f aca="false">G6*(1+H5/100)</f>
        <v>9140.60768286362</v>
      </c>
      <c r="I6" s="0" t="n">
        <f aca="false">H6*(1+I5/100)</f>
        <v>9369.12287493521</v>
      </c>
      <c r="J6" s="0" t="n">
        <f aca="false">I6*(1+J5/100)</f>
        <v>9603.35094680859</v>
      </c>
      <c r="K6" s="0" t="n">
        <f aca="false">J6*(1+K5/100)</f>
        <v>9795.41796574476</v>
      </c>
      <c r="L6" s="0" t="n">
        <f aca="false">K6*(1+L5/100)</f>
        <v>9991.32632505966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22.3</v>
      </c>
      <c r="D7" s="4" t="n">
        <f aca="false">Assumptions!D14</f>
        <v>20.5</v>
      </c>
      <c r="E7" s="4" t="n">
        <f aca="false">Assumptions!E14</f>
        <v>21</v>
      </c>
      <c r="F7" s="4" t="n">
        <f aca="false">Assumptions!F14</f>
        <v>21.5</v>
      </c>
      <c r="G7" s="4" t="n">
        <f aca="false">Assumptions!G14</f>
        <v>21.8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1903.898716315</v>
      </c>
      <c r="D8" s="0" t="n">
        <f aca="false">D6*D7/100</f>
        <v>1697.71416923425</v>
      </c>
      <c r="E8" s="0" t="n">
        <f aca="false">E6*E7/100</f>
        <v>1765.20865937698</v>
      </c>
      <c r="F8" s="0" t="n">
        <f aca="false">F6*F7/100</f>
        <v>1861.45456009063</v>
      </c>
      <c r="G8" s="0" t="n">
        <f aca="false">G6*G7/100</f>
        <v>1944.05119498953</v>
      </c>
      <c r="H8" s="0" t="n">
        <f aca="false">H6*H7/100</f>
        <v>2010.93369023</v>
      </c>
      <c r="I8" s="0" t="n">
        <f aca="false">I6*I7/100</f>
        <v>2061.20703248575</v>
      </c>
      <c r="J8" s="0" t="n">
        <f aca="false">J6*J7/100</f>
        <v>2112.73720829789</v>
      </c>
      <c r="K8" s="0" t="n">
        <f aca="false">K6*K7/100</f>
        <v>2154.99195246385</v>
      </c>
      <c r="L8" s="0" t="n">
        <f aca="false">L6*L7/100</f>
        <v>2198.09179151313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-59.763636835</v>
      </c>
      <c r="D10" s="0" t="n">
        <f aca="false">-D6*D9/100</f>
        <v>-57.97072772995</v>
      </c>
      <c r="E10" s="0" t="n">
        <f aca="false">-E6*E9/100</f>
        <v>-58.8402886458992</v>
      </c>
      <c r="F10" s="0" t="n">
        <f aca="false">-F6*F9/100</f>
        <v>-60.6054973052762</v>
      </c>
      <c r="G10" s="0" t="n">
        <f aca="false">-G6*G9/100</f>
        <v>-62.4236622244345</v>
      </c>
      <c r="H10" s="0" t="n">
        <f aca="false">-H6*H9/100</f>
        <v>-63.9842537800454</v>
      </c>
      <c r="I10" s="0" t="n">
        <f aca="false">-I6*I9/100</f>
        <v>-65.5838601245465</v>
      </c>
      <c r="J10" s="0" t="n">
        <f aca="false">-J6*J9/100</f>
        <v>-67.2234566276601</v>
      </c>
      <c r="K10" s="0" t="n">
        <f aca="false">-K6*K9/100</f>
        <v>-68.5679257602133</v>
      </c>
      <c r="L10" s="0" t="n">
        <f aca="false">-L6*L9/100</f>
        <v>-69.9392842754176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1844.13507948</v>
      </c>
      <c r="D11" s="0" t="n">
        <f aca="false">D8+D10+D24</f>
        <v>1639.7434415043</v>
      </c>
      <c r="E11" s="0" t="n">
        <f aca="false">E8+E10+E24</f>
        <v>1706.36837073108</v>
      </c>
      <c r="F11" s="0" t="n">
        <f aca="false">F8+F10+F24</f>
        <v>1800.84906278535</v>
      </c>
      <c r="G11" s="0" t="n">
        <f aca="false">G8+G10+G24</f>
        <v>1881.6275327651</v>
      </c>
      <c r="H11" s="0" t="n">
        <f aca="false">H8+H10+H24</f>
        <v>1946.94943644995</v>
      </c>
      <c r="I11" s="0" t="n">
        <f aca="false">I8+I10+I24</f>
        <v>1995.6231723612</v>
      </c>
      <c r="J11" s="0" t="n">
        <f aca="false">J8+J10+J24</f>
        <v>2045.51375167023</v>
      </c>
      <c r="K11" s="0" t="n">
        <f aca="false">K8+K10+K24</f>
        <v>2086.42402670364</v>
      </c>
      <c r="L11" s="0" t="n">
        <f aca="false">L8+L10+L24</f>
        <v>2128.15250723771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-392.73247063</v>
      </c>
      <c r="D12" s="4" t="n">
        <f aca="false">-D6*Assumptions!D17/100</f>
        <v>-372.66896397825</v>
      </c>
      <c r="E12" s="4" t="n">
        <f aca="false">-E6*Assumptions!E17/100</f>
        <v>-361.447487396238</v>
      </c>
      <c r="F12" s="4" t="n">
        <f aca="false">-F6*Assumptions!F17/100</f>
        <v>-354.975055645189</v>
      </c>
      <c r="G12" s="4" t="n">
        <f aca="false">-G6*Assumptions!G17/100</f>
        <v>-338.871309218359</v>
      </c>
      <c r="H12" s="4" t="n">
        <f aca="false">-H6*Assumptions!H17/100</f>
        <v>-319.921268900227</v>
      </c>
      <c r="I12" s="4" t="n">
        <f aca="false">-I6*Assumptions!I17/100</f>
        <v>-299.811931997927</v>
      </c>
      <c r="J12" s="4" t="n">
        <f aca="false">-J6*Assumptions!J17/100</f>
        <v>-278.497177457449</v>
      </c>
      <c r="K12" s="4" t="n">
        <f aca="false">-K6*Assumptions!K17/100</f>
        <v>-264.476285075109</v>
      </c>
      <c r="L12" s="4" t="n">
        <f aca="false">-L6*Assumptions!L17/100</f>
        <v>-259.774484451551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1451.40260885</v>
      </c>
      <c r="D13" s="0" t="n">
        <f aca="false">D11+D12</f>
        <v>1267.07447752605</v>
      </c>
      <c r="E13" s="0" t="n">
        <f aca="false">E11+E12</f>
        <v>1344.92088333484</v>
      </c>
      <c r="F13" s="0" t="n">
        <f aca="false">F11+F12</f>
        <v>1445.87400714016</v>
      </c>
      <c r="G13" s="0" t="n">
        <f aca="false">G11+G12</f>
        <v>1542.75622354674</v>
      </c>
      <c r="H13" s="0" t="n">
        <f aca="false">H11+H12</f>
        <v>1627.02816754973</v>
      </c>
      <c r="I13" s="0" t="n">
        <f aca="false">I11+I12</f>
        <v>1695.81124036327</v>
      </c>
      <c r="J13" s="0" t="n">
        <f aca="false">J11+J12</f>
        <v>1767.01657421278</v>
      </c>
      <c r="K13" s="0" t="n">
        <f aca="false">K11+K12</f>
        <v>1821.94774162853</v>
      </c>
      <c r="L13" s="0" t="n">
        <f aca="false">L11+L12</f>
        <v>1868.37802278616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1132.094034903</v>
      </c>
      <c r="D15" s="0" t="n">
        <f aca="false">D13-MAX(0,D13)*D14/100</f>
        <v>988.318092470319</v>
      </c>
      <c r="E15" s="0" t="n">
        <f aca="false">E13-MAX(0,E13)*E14/100</f>
        <v>1049.03828900118</v>
      </c>
      <c r="F15" s="0" t="n">
        <f aca="false">F13-MAX(0,F13)*F14/100</f>
        <v>1127.78172556933</v>
      </c>
      <c r="G15" s="0" t="n">
        <f aca="false">G13-MAX(0,G13)*G14/100</f>
        <v>1203.34985436646</v>
      </c>
      <c r="H15" s="0" t="n">
        <f aca="false">H13-MAX(0,H13)*H14/100</f>
        <v>1269.08197068879</v>
      </c>
      <c r="I15" s="0" t="n">
        <f aca="false">I13-MAX(0,I13)*I14/100</f>
        <v>1322.73276748335</v>
      </c>
      <c r="J15" s="0" t="n">
        <f aca="false">J13-MAX(0,J13)*J14/100</f>
        <v>1378.27292788597</v>
      </c>
      <c r="K15" s="0" t="n">
        <f aca="false">K13-MAX(0,K13)*K14/100</f>
        <v>1421.11923847025</v>
      </c>
      <c r="L15" s="0" t="n">
        <f aca="false">L13-MAX(0,L13)*L14/100</f>
        <v>1457.3348577732</v>
      </c>
    </row>
    <row r="16" customFormat="false" ht="15" hidden="false" customHeight="false" outlineLevel="0" collapsed="false">
      <c r="A16" s="0" t="s">
        <v>128</v>
      </c>
      <c r="C16" s="0" t="n">
        <f aca="false">-C12</f>
        <v>392.73247063</v>
      </c>
      <c r="D16" s="0" t="n">
        <f aca="false">-D12</f>
        <v>372.66896397825</v>
      </c>
      <c r="E16" s="0" t="n">
        <f aca="false">-E12</f>
        <v>361.447487396238</v>
      </c>
      <c r="F16" s="0" t="n">
        <f aca="false">-F12</f>
        <v>354.975055645189</v>
      </c>
      <c r="G16" s="0" t="n">
        <f aca="false">-G12</f>
        <v>338.871309218359</v>
      </c>
      <c r="H16" s="0" t="n">
        <f aca="false">-H12</f>
        <v>319.921268900227</v>
      </c>
      <c r="I16" s="0" t="n">
        <f aca="false">-I12</f>
        <v>299.811931997927</v>
      </c>
      <c r="J16" s="0" t="n">
        <f aca="false">-J12</f>
        <v>278.497177457449</v>
      </c>
      <c r="K16" s="0" t="n">
        <f aca="false">-K12</f>
        <v>264.476285075109</v>
      </c>
      <c r="L16" s="0" t="n">
        <f aca="false">-L12</f>
        <v>259.774484451551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-230.516884935</v>
      </c>
      <c r="D17" s="4" t="n">
        <f aca="false">-D6*Assumptions!D18/100</f>
        <v>-207.03831332125</v>
      </c>
      <c r="E17" s="4" t="n">
        <f aca="false">-E6*Assumptions!E18/100</f>
        <v>-210.143888021069</v>
      </c>
      <c r="F17" s="4" t="n">
        <f aca="false">-F6*Assumptions!F18/100</f>
        <v>-225.106132848169</v>
      </c>
      <c r="G17" s="4" t="n">
        <f aca="false">-G6*Assumptions!G18/100</f>
        <v>-231.859316833614</v>
      </c>
      <c r="H17" s="4" t="n">
        <f aca="false">-H6*Assumptions!H18/100</f>
        <v>-237.655799754454</v>
      </c>
      <c r="I17" s="4" t="n">
        <f aca="false">-I6*Assumptions!I18/100</f>
        <v>-243.597194748316</v>
      </c>
      <c r="J17" s="4" t="n">
        <f aca="false">-J6*Assumptions!J18/100</f>
        <v>-249.687124617023</v>
      </c>
      <c r="K17" s="4" t="n">
        <f aca="false">-K6*Assumptions!K18/100</f>
        <v>-254.680867109364</v>
      </c>
      <c r="L17" s="4" t="n">
        <f aca="false">-L6*Assumptions!L18/100</f>
        <v>-259.774484451551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-66.7637107499999</v>
      </c>
      <c r="D18" s="4" t="n">
        <f aca="false">(D6-C6)*Assumptions!$B$23/100</f>
        <v>38.4194808225001</v>
      </c>
      <c r="E18" s="4" t="n">
        <f aca="false">(E6-D6)*Assumptions!$B$23/100</f>
        <v>-18.6334481989124</v>
      </c>
      <c r="F18" s="4" t="n">
        <f aca="false">(F6-E6)*Assumptions!$B$23/100</f>
        <v>-37.8258998437925</v>
      </c>
      <c r="G18" s="4" t="n">
        <f aca="false">(G6-F6)*Assumptions!$B$23/100</f>
        <v>-38.9606768391062</v>
      </c>
      <c r="H18" s="4" t="n">
        <f aca="false">(H6-G6)*Assumptions!$B$23/100</f>
        <v>-33.4412476202327</v>
      </c>
      <c r="I18" s="4" t="n">
        <f aca="false">(I6-H6)*Assumptions!$B$23/100</f>
        <v>-34.2772788107383</v>
      </c>
      <c r="J18" s="4" t="n">
        <f aca="false">(J6-I6)*Assumptions!$B$23/100</f>
        <v>-35.134210781007</v>
      </c>
      <c r="K18" s="4" t="n">
        <f aca="false">(K6-J6)*Assumptions!$B$23/100</f>
        <v>-28.8100528404258</v>
      </c>
      <c r="L18" s="4" t="n">
        <f aca="false">(L6-K6)*Assumptions!$B$23/100</f>
        <v>-29.3862538972343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1227.545909848</v>
      </c>
      <c r="D19" s="0" t="n">
        <f aca="false">D15+D16+D17+D18</f>
        <v>1192.36822394982</v>
      </c>
      <c r="E19" s="0" t="n">
        <f aca="false">E15+E16+E17+E18</f>
        <v>1181.70844017743</v>
      </c>
      <c r="F19" s="0" t="n">
        <f aca="false">F15+F16+F17+F18</f>
        <v>1219.82474852255</v>
      </c>
      <c r="G19" s="0" t="n">
        <f aca="false">G15+G16+G17+G18</f>
        <v>1271.40116991209</v>
      </c>
      <c r="H19" s="0" t="n">
        <f aca="false">H15+H16+H17+H18</f>
        <v>1317.90619221433</v>
      </c>
      <c r="I19" s="0" t="n">
        <f aca="false">I15+I16+I17+I18</f>
        <v>1344.67022592223</v>
      </c>
      <c r="J19" s="0" t="n">
        <f aca="false">J15+J16+J17+J18</f>
        <v>1371.94876994539</v>
      </c>
      <c r="K19" s="0" t="n">
        <f aca="false">K15+K16+K17+K18</f>
        <v>1402.10460359557</v>
      </c>
      <c r="L19" s="0" t="n">
        <f aca="false">L15+L16+L17+L18</f>
        <v>1427.94860387597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1128.77784813609</v>
      </c>
      <c r="D21" s="0" t="n">
        <f aca="false">D19*D20</f>
        <v>1008.21200069743</v>
      </c>
      <c r="E21" s="0" t="n">
        <f aca="false">E19*E20</f>
        <v>918.803287715994</v>
      </c>
      <c r="F21" s="0" t="n">
        <f aca="false">F19*F20</f>
        <v>872.128297052659</v>
      </c>
      <c r="G21" s="0" t="n">
        <f aca="false">G19*G20</f>
        <v>835.865265791191</v>
      </c>
      <c r="H21" s="0" t="n">
        <f aca="false">H19*H20</f>
        <v>796.725843705791</v>
      </c>
      <c r="I21" s="0" t="n">
        <f aca="false">I19*I20</f>
        <v>747.499539282588</v>
      </c>
      <c r="J21" s="0" t="n">
        <f aca="false">J19*J20</f>
        <v>701.299888149851</v>
      </c>
      <c r="K21" s="0" t="n">
        <f aca="false">K19*K20</f>
        <v>659.047966896111</v>
      </c>
      <c r="L21" s="0" t="n">
        <f aca="false">L19*L20</f>
        <v>617.191476694911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8.75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8285.55141412262</v>
      </c>
    </row>
    <row r="31" customFormat="false" ht="15" hidden="false" customHeight="false" outlineLevel="0" collapsed="false">
      <c r="A31" s="0" t="s">
        <v>137</v>
      </c>
      <c r="B31" s="0" t="n">
        <f aca="false">L19</f>
        <v>1427.94860387597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21577.8900141257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18563.3318503876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18563.3318503876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8023.48919703384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16309.0406111565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14805.0236111565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109.219446350553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-0.430792962525784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406.052946542554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456.798770490421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115.584865906246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11203.9044304114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56.1868479058553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8092.571</v>
      </c>
      <c r="C6" s="0" t="n">
        <f aca="false">B6*(1+C5/100)</f>
        <v>8659.05097</v>
      </c>
      <c r="D6" s="0" t="n">
        <f aca="false">C6*(1+D5/100)</f>
        <v>9048.70826365</v>
      </c>
      <c r="E6" s="0" t="n">
        <f aca="false">D6*(1+E5/100)</f>
        <v>9455.90013551425</v>
      </c>
      <c r="F6" s="0" t="n">
        <f aca="false">E6*(1+F5/100)</f>
        <v>9834.13614093482</v>
      </c>
      <c r="G6" s="0" t="n">
        <f aca="false">F6*(1+G5/100)</f>
        <v>10227.5015865722</v>
      </c>
      <c r="H6" s="0" t="n">
        <f aca="false">G6*(1+H5/100)</f>
        <v>10585.4641421022</v>
      </c>
      <c r="I6" s="0" t="n">
        <f aca="false">H6*(1+I5/100)</f>
        <v>10955.9553870758</v>
      </c>
      <c r="J6" s="0" t="n">
        <f aca="false">I6*(1+J5/100)</f>
        <v>11284.6340486881</v>
      </c>
      <c r="K6" s="0" t="n">
        <f aca="false">J6*(1+K5/100)</f>
        <v>11623.1730701487</v>
      </c>
      <c r="L6" s="0" t="n">
        <f aca="false">K6*(1+L5/100)</f>
        <v>11971.8682622532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22.8</v>
      </c>
      <c r="D7" s="4" t="n">
        <f aca="false">Assumptions!D28</f>
        <v>23.2</v>
      </c>
      <c r="E7" s="4" t="n">
        <f aca="false">Assumptions!E28</f>
        <v>23.5</v>
      </c>
      <c r="F7" s="4" t="n">
        <f aca="false">Assumptions!F28</f>
        <v>23.8</v>
      </c>
      <c r="G7" s="4" t="n">
        <f aca="false">Assumptions!G28</f>
        <v>24</v>
      </c>
      <c r="H7" s="4" t="n">
        <f aca="false">Assumptions!H28</f>
        <v>24</v>
      </c>
      <c r="I7" s="4" t="n">
        <f aca="false">Assumptions!I28</f>
        <v>24</v>
      </c>
      <c r="J7" s="4" t="n">
        <f aca="false">Assumptions!J28</f>
        <v>24</v>
      </c>
      <c r="K7" s="4" t="n">
        <f aca="false">Assumptions!K28</f>
        <v>24</v>
      </c>
      <c r="L7" s="4" t="n">
        <f aca="false">Assumptions!L28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1974.26362116</v>
      </c>
      <c r="D8" s="0" t="n">
        <f aca="false">D6*D7/100</f>
        <v>2099.3003171668</v>
      </c>
      <c r="E8" s="0" t="n">
        <f aca="false">E6*E7/100</f>
        <v>2222.13653184585</v>
      </c>
      <c r="F8" s="0" t="n">
        <f aca="false">F6*F7/100</f>
        <v>2340.52440154249</v>
      </c>
      <c r="G8" s="0" t="n">
        <f aca="false">G6*G7/100</f>
        <v>2454.60038077733</v>
      </c>
      <c r="H8" s="0" t="n">
        <f aca="false">H6*H7/100</f>
        <v>2540.51139410454</v>
      </c>
      <c r="I8" s="0" t="n">
        <f aca="false">I6*I7/100</f>
        <v>2629.4292928982</v>
      </c>
      <c r="J8" s="0" t="n">
        <f aca="false">J6*J7/100</f>
        <v>2708.31217168514</v>
      </c>
      <c r="K8" s="0" t="n">
        <f aca="false">K6*K7/100</f>
        <v>2789.5615368357</v>
      </c>
      <c r="L8" s="0" t="n">
        <f aca="false">L6*L7/100</f>
        <v>2873.24838294077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0.7</v>
      </c>
      <c r="F9" s="4" t="n">
        <f aca="false">Assumptions!F29</f>
        <v>0.7</v>
      </c>
      <c r="G9" s="4" t="n">
        <f aca="false">Assumptions!G29</f>
        <v>0.7</v>
      </c>
      <c r="H9" s="4" t="n">
        <f aca="false">Assumptions!H29</f>
        <v>0.7</v>
      </c>
      <c r="I9" s="4" t="n">
        <f aca="false">Assumptions!I29</f>
        <v>0.7</v>
      </c>
      <c r="J9" s="4" t="n">
        <f aca="false">Assumptions!J29</f>
        <v>0.7</v>
      </c>
      <c r="K9" s="4" t="n">
        <f aca="false">Assumptions!K29</f>
        <v>0.7</v>
      </c>
      <c r="L9" s="4" t="n">
        <f aca="false">Assumptions!L29</f>
        <v>0.7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-60.61335679</v>
      </c>
      <c r="D10" s="0" t="n">
        <f aca="false">-D6*D9/100</f>
        <v>-63.34095784555</v>
      </c>
      <c r="E10" s="0" t="n">
        <f aca="false">-E6*E9/100</f>
        <v>-66.1913009485998</v>
      </c>
      <c r="F10" s="0" t="n">
        <f aca="false">-F6*F9/100</f>
        <v>-68.8389529865438</v>
      </c>
      <c r="G10" s="0" t="n">
        <f aca="false">-G6*G9/100</f>
        <v>-71.5925111060055</v>
      </c>
      <c r="H10" s="0" t="n">
        <f aca="false">-H6*H9/100</f>
        <v>-74.0982489947157</v>
      </c>
      <c r="I10" s="0" t="n">
        <f aca="false">-I6*I9/100</f>
        <v>-76.6916877095307</v>
      </c>
      <c r="J10" s="0" t="n">
        <f aca="false">-J6*J9/100</f>
        <v>-78.9924383408167</v>
      </c>
      <c r="K10" s="0" t="n">
        <f aca="false">-K6*K9/100</f>
        <v>-81.3622114910412</v>
      </c>
      <c r="L10" s="0" t="n">
        <f aca="false">-L6*L9/100</f>
        <v>-83.8030778357724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1913.65026437</v>
      </c>
      <c r="D11" s="0" t="n">
        <f aca="false">D8+D10+D24</f>
        <v>2035.95935932125</v>
      </c>
      <c r="E11" s="0" t="n">
        <f aca="false">E8+E10+E24</f>
        <v>2155.94523089725</v>
      </c>
      <c r="F11" s="0" t="n">
        <f aca="false">F8+F10+F24</f>
        <v>2271.68544855594</v>
      </c>
      <c r="G11" s="0" t="n">
        <f aca="false">G8+G10+G24</f>
        <v>2383.00786967133</v>
      </c>
      <c r="H11" s="0" t="n">
        <f aca="false">H8+H10+H24</f>
        <v>2466.41314510982</v>
      </c>
      <c r="I11" s="0" t="n">
        <f aca="false">I8+I10+I24</f>
        <v>2552.73760518867</v>
      </c>
      <c r="J11" s="0" t="n">
        <f aca="false">J8+J10+J24</f>
        <v>2629.31973334433</v>
      </c>
      <c r="K11" s="0" t="n">
        <f aca="false">K8+K10+K24</f>
        <v>2708.19932534466</v>
      </c>
      <c r="L11" s="0" t="n">
        <f aca="false">L8+L10+L24</f>
        <v>2789.445305105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-398.31634462</v>
      </c>
      <c r="D12" s="4" t="n">
        <f aca="false">-D6*Assumptions!D31/100</f>
        <v>-398.1431636006</v>
      </c>
      <c r="E12" s="4" t="n">
        <f aca="false">-E6*Assumptions!E31/100</f>
        <v>-397.147805691599</v>
      </c>
      <c r="F12" s="4" t="n">
        <f aca="false">-F6*Assumptions!F31/100</f>
        <v>-393.365445637393</v>
      </c>
      <c r="G12" s="4" t="n">
        <f aca="false">-G6*Assumptions!G31/100</f>
        <v>-378.417558703172</v>
      </c>
      <c r="H12" s="4" t="n">
        <f aca="false">-H6*Assumptions!H31/100</f>
        <v>-359.905780831476</v>
      </c>
      <c r="I12" s="4" t="n">
        <f aca="false">-I6*Assumptions!I31/100</f>
        <v>-339.63461699935</v>
      </c>
      <c r="J12" s="4" t="n">
        <f aca="false">-J6*Assumptions!J31/100</f>
        <v>-327.254387411955</v>
      </c>
      <c r="K12" s="4" t="n">
        <f aca="false">-K6*Assumptions!K31/100</f>
        <v>-313.825672894016</v>
      </c>
      <c r="L12" s="4" t="n">
        <f aca="false">-L6*Assumptions!L31/100</f>
        <v>-311.268574818583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1515.33391975</v>
      </c>
      <c r="D13" s="0" t="n">
        <f aca="false">D11+D12</f>
        <v>1637.81619572065</v>
      </c>
      <c r="E13" s="0" t="n">
        <f aca="false">E11+E12</f>
        <v>1758.79742520565</v>
      </c>
      <c r="F13" s="0" t="n">
        <f aca="false">F11+F12</f>
        <v>1878.32000291855</v>
      </c>
      <c r="G13" s="0" t="n">
        <f aca="false">G11+G12</f>
        <v>2004.59031096815</v>
      </c>
      <c r="H13" s="0" t="n">
        <f aca="false">H11+H12</f>
        <v>2106.50736427835</v>
      </c>
      <c r="I13" s="0" t="n">
        <f aca="false">I11+I12</f>
        <v>2213.10298818932</v>
      </c>
      <c r="J13" s="0" t="n">
        <f aca="false">J11+J12</f>
        <v>2302.06534593237</v>
      </c>
      <c r="K13" s="0" t="n">
        <f aca="false">K11+K12</f>
        <v>2394.37365245064</v>
      </c>
      <c r="L13" s="0" t="n">
        <f aca="false">L11+L12</f>
        <v>2478.17673028641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1181.960457405</v>
      </c>
      <c r="D15" s="0" t="n">
        <f aca="false">D13-MAX(0,D13)*D14/100</f>
        <v>1277.49663266211</v>
      </c>
      <c r="E15" s="0" t="n">
        <f aca="false">E13-MAX(0,E13)*E14/100</f>
        <v>1371.86199166041</v>
      </c>
      <c r="F15" s="0" t="n">
        <f aca="false">F13-MAX(0,F13)*F14/100</f>
        <v>1465.08960227647</v>
      </c>
      <c r="G15" s="0" t="n">
        <f aca="false">G13-MAX(0,G13)*G14/100</f>
        <v>1563.58044255516</v>
      </c>
      <c r="H15" s="0" t="n">
        <f aca="false">H13-MAX(0,H13)*H14/100</f>
        <v>1643.07574413711</v>
      </c>
      <c r="I15" s="0" t="n">
        <f aca="false">I13-MAX(0,I13)*I14/100</f>
        <v>1726.22033078767</v>
      </c>
      <c r="J15" s="0" t="n">
        <f aca="false">J13-MAX(0,J13)*J14/100</f>
        <v>1795.61096982725</v>
      </c>
      <c r="K15" s="0" t="n">
        <f aca="false">K13-MAX(0,K13)*K14/100</f>
        <v>1867.6114489115</v>
      </c>
      <c r="L15" s="0" t="n">
        <f aca="false">L13-MAX(0,L13)*L14/100</f>
        <v>1932.9778496234</v>
      </c>
    </row>
    <row r="16" customFormat="false" ht="15" hidden="false" customHeight="false" outlineLevel="0" collapsed="false">
      <c r="A16" s="0" t="s">
        <v>128</v>
      </c>
      <c r="C16" s="0" t="n">
        <f aca="false">-C12</f>
        <v>398.31634462</v>
      </c>
      <c r="D16" s="0" t="n">
        <f aca="false">-D12</f>
        <v>398.1431636006</v>
      </c>
      <c r="E16" s="0" t="n">
        <f aca="false">-E12</f>
        <v>397.147805691599</v>
      </c>
      <c r="F16" s="0" t="n">
        <f aca="false">-F12</f>
        <v>393.365445637393</v>
      </c>
      <c r="G16" s="0" t="n">
        <f aca="false">-G12</f>
        <v>378.417558703172</v>
      </c>
      <c r="H16" s="0" t="n">
        <f aca="false">-H12</f>
        <v>359.905780831476</v>
      </c>
      <c r="I16" s="0" t="n">
        <f aca="false">-I12</f>
        <v>339.63461699935</v>
      </c>
      <c r="J16" s="0" t="n">
        <f aca="false">-J12</f>
        <v>327.254387411955</v>
      </c>
      <c r="K16" s="0" t="n">
        <f aca="false">-K12</f>
        <v>313.825672894016</v>
      </c>
      <c r="L16" s="0" t="n">
        <f aca="false">-L12</f>
        <v>311.268574818583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-233.79437619</v>
      </c>
      <c r="D17" s="4" t="n">
        <f aca="false">-D6*Assumptions!D32/100</f>
        <v>-244.31512311855</v>
      </c>
      <c r="E17" s="4" t="n">
        <f aca="false">-E6*Assumptions!E32/100</f>
        <v>-245.853403523371</v>
      </c>
      <c r="F17" s="4" t="n">
        <f aca="false">-F6*Assumptions!F32/100</f>
        <v>-255.687539664305</v>
      </c>
      <c r="G17" s="4" t="n">
        <f aca="false">-G6*Assumptions!G32/100</f>
        <v>-265.915041250878</v>
      </c>
      <c r="H17" s="4" t="n">
        <f aca="false">-H6*Assumptions!H32/100</f>
        <v>-275.222067694658</v>
      </c>
      <c r="I17" s="4" t="n">
        <f aca="false">-I6*Assumptions!I32/100</f>
        <v>-284.854840063971</v>
      </c>
      <c r="J17" s="4" t="n">
        <f aca="false">-J6*Assumptions!J32/100</f>
        <v>-293.40048526589</v>
      </c>
      <c r="K17" s="4" t="n">
        <f aca="false">-K6*Assumptions!K32/100</f>
        <v>-302.202499823867</v>
      </c>
      <c r="L17" s="4" t="n">
        <f aca="false">-L6*Assumptions!L32/100</f>
        <v>-311.268574818583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-84.9719955000001</v>
      </c>
      <c r="D18" s="4" t="n">
        <f aca="false">(D6-C6)*Assumptions!$B$37/100</f>
        <v>-58.4485940475</v>
      </c>
      <c r="E18" s="4" t="n">
        <f aca="false">(E6-D6)*Assumptions!$B$37/100</f>
        <v>-61.0787807796375</v>
      </c>
      <c r="F18" s="4" t="n">
        <f aca="false">(F6-E6)*Assumptions!$B$37/100</f>
        <v>-56.7354008130857</v>
      </c>
      <c r="G18" s="4" t="n">
        <f aca="false">(G6-F6)*Assumptions!$B$37/100</f>
        <v>-59.004816845609</v>
      </c>
      <c r="H18" s="4" t="n">
        <f aca="false">(H6-G6)*Assumptions!$B$37/100</f>
        <v>-53.6943833295039</v>
      </c>
      <c r="I18" s="4" t="n">
        <f aca="false">(I6-H6)*Assumptions!$B$37/100</f>
        <v>-55.5736867460368</v>
      </c>
      <c r="J18" s="4" t="n">
        <f aca="false">(J6-I6)*Assumptions!$B$37/100</f>
        <v>-49.3017992418413</v>
      </c>
      <c r="K18" s="4" t="n">
        <f aca="false">(K6-J6)*Assumptions!$B$37/100</f>
        <v>-50.7808532190965</v>
      </c>
      <c r="L18" s="4" t="n">
        <f aca="false">(L6-K6)*Assumptions!$B$37/100</f>
        <v>-52.3042788156693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1261.510430335</v>
      </c>
      <c r="D19" s="0" t="n">
        <f aca="false">D15+D16+D17+D18</f>
        <v>1372.87607909666</v>
      </c>
      <c r="E19" s="0" t="n">
        <f aca="false">E15+E16+E17+E18</f>
        <v>1462.077613049</v>
      </c>
      <c r="F19" s="0" t="n">
        <f aca="false">F15+F16+F17+F18</f>
        <v>1546.03210743647</v>
      </c>
      <c r="G19" s="0" t="n">
        <f aca="false">G15+G16+G17+G18</f>
        <v>1617.07814316185</v>
      </c>
      <c r="H19" s="0" t="n">
        <f aca="false">H15+H16+H17+H18</f>
        <v>1674.06507394442</v>
      </c>
      <c r="I19" s="0" t="n">
        <f aca="false">I15+I16+I17+I18</f>
        <v>1725.42642097701</v>
      </c>
      <c r="J19" s="0" t="n">
        <f aca="false">J15+J16+J17+J18</f>
        <v>1780.16307273147</v>
      </c>
      <c r="K19" s="0" t="n">
        <f aca="false">K15+K16+K17+K18</f>
        <v>1828.45376876255</v>
      </c>
      <c r="L19" s="0" t="n">
        <f aca="false">L15+L16+L17+L18</f>
        <v>1880.67357080773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1160.00959111264</v>
      </c>
      <c r="D21" s="0" t="n">
        <f aca="false">D19*D20</f>
        <v>1160.84118195516</v>
      </c>
      <c r="E21" s="0" t="n">
        <f aca="false">E19*E20</f>
        <v>1136.79624524275</v>
      </c>
      <c r="F21" s="0" t="n">
        <f aca="false">F19*F20</f>
        <v>1105.35415081585</v>
      </c>
      <c r="G21" s="0" t="n">
        <f aca="false">G19*G20</f>
        <v>1063.12585195478</v>
      </c>
      <c r="H21" s="0" t="n">
        <f aca="false">H19*H20</f>
        <v>1012.03781903156</v>
      </c>
      <c r="I21" s="0" t="n">
        <f aca="false">I19*I20</f>
        <v>959.161160768436</v>
      </c>
      <c r="J21" s="0" t="n">
        <f aca="false">J19*J20</f>
        <v>909.96704187779</v>
      </c>
      <c r="K21" s="0" t="n">
        <f aca="false">K19*K20</f>
        <v>859.449955285989</v>
      </c>
      <c r="L21" s="0" t="n">
        <f aca="false">L19*L20</f>
        <v>812.869381430998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8.75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10179.612379476</v>
      </c>
    </row>
    <row r="31" customFormat="false" ht="15" hidden="false" customHeight="false" outlineLevel="0" collapsed="false">
      <c r="A31" s="0" t="s">
        <v>137</v>
      </c>
      <c r="B31" s="0" t="n">
        <f aca="false">L19</f>
        <v>1880.67357080773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30843.0465612468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30090.7771329237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30090.7771329237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13005.910102896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23185.5224823719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21681.5054823719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159.948547670446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-0.166413656084815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459.316404915441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594.033805991744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167.719310478404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15421.5232806234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74.002318167305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8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8092.571</v>
      </c>
      <c r="C6" s="0" t="n">
        <f aca="false">B6*(1+C5/100)</f>
        <v>8739.97668</v>
      </c>
      <c r="D6" s="0" t="n">
        <f aca="false">C6*(1+D5/100)</f>
        <v>9351.7750476</v>
      </c>
      <c r="E6" s="0" t="n">
        <f aca="false">D6*(1+E5/100)</f>
        <v>9959.640425694</v>
      </c>
      <c r="F6" s="0" t="n">
        <f aca="false">E6*(1+F5/100)</f>
        <v>10557.2188512356</v>
      </c>
      <c r="G6" s="0" t="n">
        <f aca="false">F6*(1+G5/100)</f>
        <v>11137.8658880536</v>
      </c>
      <c r="H6" s="0" t="n">
        <f aca="false">G6*(1+H5/100)</f>
        <v>11694.7591824563</v>
      </c>
      <c r="I6" s="0" t="n">
        <f aca="false">H6*(1+I5/100)</f>
        <v>12221.0233456668</v>
      </c>
      <c r="J6" s="0" t="n">
        <f aca="false">I6*(1+J5/100)</f>
        <v>12709.8642794935</v>
      </c>
      <c r="K6" s="0" t="n">
        <f aca="false">J6*(1+K5/100)</f>
        <v>13154.7095292758</v>
      </c>
      <c r="L6" s="0" t="n">
        <f aca="false">K6*(1+L5/100)</f>
        <v>13549.350815154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23</v>
      </c>
      <c r="D7" s="4" t="n">
        <f aca="false">Assumptions!D42</f>
        <v>23.8</v>
      </c>
      <c r="E7" s="4" t="n">
        <f aca="false">Assumptions!E42</f>
        <v>24.4</v>
      </c>
      <c r="F7" s="4" t="n">
        <f aca="false">Assumptions!F42</f>
        <v>25</v>
      </c>
      <c r="G7" s="4" t="n">
        <f aca="false">Assumptions!G42</f>
        <v>25.4</v>
      </c>
      <c r="H7" s="4" t="n">
        <f aca="false">Assumptions!H42</f>
        <v>25.6</v>
      </c>
      <c r="I7" s="4" t="n">
        <f aca="false">Assumptions!I42</f>
        <v>25.8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2010.1946364</v>
      </c>
      <c r="D8" s="0" t="n">
        <f aca="false">D6*D7/100</f>
        <v>2225.7224613288</v>
      </c>
      <c r="E8" s="0" t="n">
        <f aca="false">E6*E7/100</f>
        <v>2430.15226386934</v>
      </c>
      <c r="F8" s="0" t="n">
        <f aca="false">F6*F7/100</f>
        <v>2639.30471280891</v>
      </c>
      <c r="G8" s="0" t="n">
        <f aca="false">G6*G7/100</f>
        <v>2829.01793556561</v>
      </c>
      <c r="H8" s="0" t="n">
        <f aca="false">H6*H7/100</f>
        <v>2993.85835070881</v>
      </c>
      <c r="I8" s="0" t="n">
        <f aca="false">I6*I7/100</f>
        <v>3153.02402318204</v>
      </c>
      <c r="J8" s="0" t="n">
        <f aca="false">J6*J7/100</f>
        <v>3304.56471266831</v>
      </c>
      <c r="K8" s="0" t="n">
        <f aca="false">K6*K7/100</f>
        <v>3420.2244776117</v>
      </c>
      <c r="L8" s="0" t="n">
        <f aca="false">L6*L7/100</f>
        <v>3522.83121194005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0.7</v>
      </c>
      <c r="F9" s="4" t="n">
        <f aca="false">Assumptions!F43</f>
        <v>0.7</v>
      </c>
      <c r="G9" s="4" t="n">
        <f aca="false">Assumptions!G43</f>
        <v>0.7</v>
      </c>
      <c r="H9" s="4" t="n">
        <f aca="false">Assumptions!H43</f>
        <v>0.7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-61.17983676</v>
      </c>
      <c r="D10" s="0" t="n">
        <f aca="false">-D6*D9/100</f>
        <v>-65.4624253332</v>
      </c>
      <c r="E10" s="0" t="n">
        <f aca="false">-E6*E9/100</f>
        <v>-69.717482979858</v>
      </c>
      <c r="F10" s="0" t="n">
        <f aca="false">-F6*F9/100</f>
        <v>-73.9005319586495</v>
      </c>
      <c r="G10" s="0" t="n">
        <f aca="false">-G6*G9/100</f>
        <v>-77.9650612163752</v>
      </c>
      <c r="H10" s="0" t="n">
        <f aca="false">-H6*H9/100</f>
        <v>-81.863314277194</v>
      </c>
      <c r="I10" s="0" t="n">
        <f aca="false">-I6*I9/100</f>
        <v>-85.5471634196677</v>
      </c>
      <c r="J10" s="0" t="n">
        <f aca="false">-J6*J9/100</f>
        <v>-88.9690499564544</v>
      </c>
      <c r="K10" s="0" t="n">
        <f aca="false">-K6*K9/100</f>
        <v>-92.0829667049303</v>
      </c>
      <c r="L10" s="0" t="n">
        <f aca="false">-L6*L9/100</f>
        <v>-94.8454557060782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1949.01479964</v>
      </c>
      <c r="D11" s="0" t="n">
        <f aca="false">D8+D10+D24</f>
        <v>2160.2600359956</v>
      </c>
      <c r="E11" s="0" t="n">
        <f aca="false">E8+E10+E24</f>
        <v>2360.43478088948</v>
      </c>
      <c r="F11" s="0" t="n">
        <f aca="false">F8+F10+F24</f>
        <v>2565.40418085026</v>
      </c>
      <c r="G11" s="0" t="n">
        <f aca="false">G8+G10+G24</f>
        <v>2751.05287434924</v>
      </c>
      <c r="H11" s="0" t="n">
        <f aca="false">H8+H10+H24</f>
        <v>2911.99503643161</v>
      </c>
      <c r="I11" s="0" t="n">
        <f aca="false">I8+I10+I24</f>
        <v>3067.47685976237</v>
      </c>
      <c r="J11" s="0" t="n">
        <f aca="false">J8+J10+J24</f>
        <v>3215.59566271185</v>
      </c>
      <c r="K11" s="0" t="n">
        <f aca="false">K8+K10+K24</f>
        <v>3328.14151090677</v>
      </c>
      <c r="L11" s="0" t="n">
        <f aca="false">L8+L10+L24</f>
        <v>3427.98575623397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-402.03892728</v>
      </c>
      <c r="D12" s="4" t="n">
        <f aca="false">-D6*Assumptions!D45/100</f>
        <v>-411.4781020944</v>
      </c>
      <c r="E12" s="4" t="n">
        <f aca="false">-E6*Assumptions!E45/100</f>
        <v>-418.304897879148</v>
      </c>
      <c r="F12" s="4" t="n">
        <f aca="false">-F6*Assumptions!F45/100</f>
        <v>-422.288754049426</v>
      </c>
      <c r="G12" s="4" t="n">
        <f aca="false">-G6*Assumptions!G45/100</f>
        <v>-412.101037857983</v>
      </c>
      <c r="H12" s="4" t="n">
        <f aca="false">-H6*Assumptions!H45/100</f>
        <v>-397.621812203514</v>
      </c>
      <c r="I12" s="4" t="n">
        <f aca="false">-I6*Assumptions!I45/100</f>
        <v>-378.851723715671</v>
      </c>
      <c r="J12" s="4" t="n">
        <f aca="false">-J6*Assumptions!J45/100</f>
        <v>-368.586064105311</v>
      </c>
      <c r="K12" s="4" t="n">
        <f aca="false">-K6*Assumptions!K45/100</f>
        <v>-355.177157290445</v>
      </c>
      <c r="L12" s="4" t="n">
        <f aca="false">-L6*Assumptions!L45/100</f>
        <v>-352.283121194005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1546.97587236</v>
      </c>
      <c r="D13" s="0" t="n">
        <f aca="false">D11+D12</f>
        <v>1748.7819339012</v>
      </c>
      <c r="E13" s="0" t="n">
        <f aca="false">E11+E12</f>
        <v>1942.12988301033</v>
      </c>
      <c r="F13" s="0" t="n">
        <f aca="false">F11+F12</f>
        <v>2143.11542680084</v>
      </c>
      <c r="G13" s="0" t="n">
        <f aca="false">G11+G12</f>
        <v>2338.95183649126</v>
      </c>
      <c r="H13" s="0" t="n">
        <f aca="false">H11+H12</f>
        <v>2514.3732242281</v>
      </c>
      <c r="I13" s="0" t="n">
        <f aca="false">I11+I12</f>
        <v>2688.6251360467</v>
      </c>
      <c r="J13" s="0" t="n">
        <f aca="false">J11+J12</f>
        <v>2847.00959860654</v>
      </c>
      <c r="K13" s="0" t="n">
        <f aca="false">K11+K12</f>
        <v>2972.96435361632</v>
      </c>
      <c r="L13" s="0" t="n">
        <f aca="false">L11+L12</f>
        <v>3075.70263503997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1206.6411804408</v>
      </c>
      <c r="D15" s="0" t="n">
        <f aca="false">D13-MAX(0,D13)*D14/100</f>
        <v>1364.04990844294</v>
      </c>
      <c r="E15" s="0" t="n">
        <f aca="false">E13-MAX(0,E13)*E14/100</f>
        <v>1514.86130874806</v>
      </c>
      <c r="F15" s="0" t="n">
        <f aca="false">F13-MAX(0,F13)*F14/100</f>
        <v>1671.63003290465</v>
      </c>
      <c r="G15" s="0" t="n">
        <f aca="false">G13-MAX(0,G13)*G14/100</f>
        <v>1824.38243246318</v>
      </c>
      <c r="H15" s="0" t="n">
        <f aca="false">H13-MAX(0,H13)*H14/100</f>
        <v>1961.21111489792</v>
      </c>
      <c r="I15" s="0" t="n">
        <f aca="false">I13-MAX(0,I13)*I14/100</f>
        <v>2097.12760611643</v>
      </c>
      <c r="J15" s="0" t="n">
        <f aca="false">J13-MAX(0,J13)*J14/100</f>
        <v>2220.6674869131</v>
      </c>
      <c r="K15" s="0" t="n">
        <f aca="false">K13-MAX(0,K13)*K14/100</f>
        <v>2318.91219582073</v>
      </c>
      <c r="L15" s="0" t="n">
        <f aca="false">L13-MAX(0,L13)*L14/100</f>
        <v>2399.04805533117</v>
      </c>
    </row>
    <row r="16" customFormat="false" ht="15" hidden="false" customHeight="false" outlineLevel="0" collapsed="false">
      <c r="A16" s="0" t="s">
        <v>128</v>
      </c>
      <c r="C16" s="0" t="n">
        <f aca="false">-C12</f>
        <v>402.03892728</v>
      </c>
      <c r="D16" s="0" t="n">
        <f aca="false">-D12</f>
        <v>411.4781020944</v>
      </c>
      <c r="E16" s="0" t="n">
        <f aca="false">-E12</f>
        <v>418.304897879148</v>
      </c>
      <c r="F16" s="0" t="n">
        <f aca="false">-F12</f>
        <v>422.288754049426</v>
      </c>
      <c r="G16" s="0" t="n">
        <f aca="false">-G12</f>
        <v>412.101037857983</v>
      </c>
      <c r="H16" s="0" t="n">
        <f aca="false">-H12</f>
        <v>397.621812203514</v>
      </c>
      <c r="I16" s="0" t="n">
        <f aca="false">-I12</f>
        <v>378.851723715671</v>
      </c>
      <c r="J16" s="0" t="n">
        <f aca="false">-J12</f>
        <v>368.586064105311</v>
      </c>
      <c r="K16" s="0" t="n">
        <f aca="false">-K12</f>
        <v>355.177157290445</v>
      </c>
      <c r="L16" s="0" t="n">
        <f aca="false">-L12</f>
        <v>352.283121194005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-235.97937036</v>
      </c>
      <c r="D17" s="4" t="n">
        <f aca="false">-D6*Assumptions!D46/100</f>
        <v>-261.8497013328</v>
      </c>
      <c r="E17" s="4" t="n">
        <f aca="false">-E6*Assumptions!E46/100</f>
        <v>-278.869931919432</v>
      </c>
      <c r="F17" s="4" t="n">
        <f aca="false">-F6*Assumptions!F46/100</f>
        <v>-285.044908983362</v>
      </c>
      <c r="G17" s="4" t="n">
        <f aca="false">-G6*Assumptions!G46/100</f>
        <v>-300.722378977447</v>
      </c>
      <c r="H17" s="4" t="n">
        <f aca="false">-H6*Assumptions!H46/100</f>
        <v>-304.063738743863</v>
      </c>
      <c r="I17" s="4" t="n">
        <f aca="false">-I6*Assumptions!I46/100</f>
        <v>-317.746606987337</v>
      </c>
      <c r="J17" s="4" t="n">
        <f aca="false">-J6*Assumptions!J46/100</f>
        <v>-330.456471266831</v>
      </c>
      <c r="K17" s="4" t="n">
        <f aca="false">-K6*Assumptions!K46/100</f>
        <v>-342.02244776117</v>
      </c>
      <c r="L17" s="4" t="n">
        <f aca="false">-L6*Assumptions!L46/100</f>
        <v>-352.283121194005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-97.110852</v>
      </c>
      <c r="D18" s="4" t="n">
        <f aca="false">(D6-C6)*Assumptions!$B$51/100</f>
        <v>-91.7697551400001</v>
      </c>
      <c r="E18" s="4" t="n">
        <f aca="false">(E6-D6)*Assumptions!$B$51/100</f>
        <v>-91.1798067141001</v>
      </c>
      <c r="F18" s="4" t="n">
        <f aca="false">(F6-E6)*Assumptions!$B$51/100</f>
        <v>-89.636763831246</v>
      </c>
      <c r="G18" s="4" t="n">
        <f aca="false">(G6-F6)*Assumptions!$B$51/100</f>
        <v>-87.097055522694</v>
      </c>
      <c r="H18" s="4" t="n">
        <f aca="false">(H6-G6)*Assumptions!$B$51/100</f>
        <v>-83.533994160402</v>
      </c>
      <c r="I18" s="4" t="n">
        <f aca="false">(I6-H6)*Assumptions!$B$51/100</f>
        <v>-78.9396244815797</v>
      </c>
      <c r="J18" s="4" t="n">
        <f aca="false">(J6-I6)*Assumptions!$B$51/100</f>
        <v>-73.3261400740011</v>
      </c>
      <c r="K18" s="4" t="n">
        <f aca="false">(K6-J6)*Assumptions!$B$51/100</f>
        <v>-66.7267874673406</v>
      </c>
      <c r="L18" s="4" t="n">
        <f aca="false">(L6-K6)*Assumptions!$B$51/100</f>
        <v>-59.196192881741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1275.5898853608</v>
      </c>
      <c r="D19" s="0" t="n">
        <f aca="false">D15+D16+D17+D18</f>
        <v>1421.90855406454</v>
      </c>
      <c r="E19" s="0" t="n">
        <f aca="false">E15+E16+E17+E18</f>
        <v>1563.11646799367</v>
      </c>
      <c r="F19" s="0" t="n">
        <f aca="false">F15+F16+F17+F18</f>
        <v>1719.23711413947</v>
      </c>
      <c r="G19" s="0" t="n">
        <f aca="false">G15+G16+G17+G18</f>
        <v>1848.66403582102</v>
      </c>
      <c r="H19" s="0" t="n">
        <f aca="false">H15+H16+H17+H18</f>
        <v>1971.23519419717</v>
      </c>
      <c r="I19" s="0" t="n">
        <f aca="false">I15+I16+I17+I18</f>
        <v>2079.29309836318</v>
      </c>
      <c r="J19" s="0" t="n">
        <f aca="false">J15+J16+J17+J18</f>
        <v>2185.47093967758</v>
      </c>
      <c r="K19" s="0" t="n">
        <f aca="false">K15+K16+K17+K18</f>
        <v>2265.34011788267</v>
      </c>
      <c r="L19" s="0" t="n">
        <f aca="false">L15+L16+L17+L18</f>
        <v>2339.85186244943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1172.95621642372</v>
      </c>
      <c r="D21" s="0" t="n">
        <f aca="false">D19*D20</f>
        <v>1202.30079878624</v>
      </c>
      <c r="E21" s="0" t="n">
        <f aca="false">E19*E20</f>
        <v>1215.35609042443</v>
      </c>
      <c r="F21" s="0" t="n">
        <f aca="false">F19*F20</f>
        <v>1229.18914245693</v>
      </c>
      <c r="G21" s="0" t="n">
        <f aca="false">G19*G20</f>
        <v>1215.37882159334</v>
      </c>
      <c r="H21" s="0" t="n">
        <f aca="false">H19*H20</f>
        <v>1191.68878067148</v>
      </c>
      <c r="I21" s="0" t="n">
        <f aca="false">I19*I20</f>
        <v>1155.87495216083</v>
      </c>
      <c r="J21" s="0" t="n">
        <f aca="false">J19*J20</f>
        <v>1117.1485110276</v>
      </c>
      <c r="K21" s="0" t="n">
        <f aca="false">K19*K20</f>
        <v>1064.80486205536</v>
      </c>
      <c r="L21" s="0" t="n">
        <f aca="false">L19*L20</f>
        <v>1011.33655813143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8.75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11576.0347337314</v>
      </c>
    </row>
    <row r="31" customFormat="false" ht="15" hidden="false" customHeight="false" outlineLevel="0" collapsed="false">
      <c r="A31" s="0" t="s">
        <v>137</v>
      </c>
      <c r="B31" s="0" t="n">
        <f aca="false">L19</f>
        <v>2339.85186244943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41913.8681447463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42117.3335240898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41913.8681447463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18116.115736963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29692.1504706944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28188.1334706944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207.949167268112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0.0837459207218674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496.709931377293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734.33334830762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217.030805296668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20083.7284860243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89.598013337612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109.219446350553</v>
      </c>
      <c r="C4" s="0" t="n">
        <f aca="false">B4/Assumptions!$B$2-1</f>
        <v>-0.430792962525784</v>
      </c>
      <c r="D4" s="4" t="n">
        <f aca="false">Assumptions!$B$24</f>
        <v>0.2</v>
      </c>
      <c r="E4" s="4" t="n">
        <f aca="false">DCF_Bear!$B$43</f>
        <v>115.584865906246</v>
      </c>
      <c r="F4" s="4" t="n">
        <f aca="false">DCF_Bear!$B$47</f>
        <v>56.1868479058553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159.948547670446</v>
      </c>
      <c r="C5" s="0" t="n">
        <f aca="false">B5/Assumptions!$B$2-1</f>
        <v>-0.166413656084815</v>
      </c>
      <c r="D5" s="4" t="n">
        <f aca="false">Assumptions!$B$38</f>
        <v>0.5</v>
      </c>
      <c r="E5" s="4" t="n">
        <f aca="false">DCF_Base!$B$43</f>
        <v>167.719310478404</v>
      </c>
      <c r="F5" s="4" t="n">
        <f aca="false">DCF_Base!$B$47</f>
        <v>74.002318167305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207.949167268112</v>
      </c>
      <c r="C6" s="0" t="n">
        <f aca="false">B6/Assumptions!$B$2-1</f>
        <v>0.0837459207218674</v>
      </c>
      <c r="D6" s="4" t="n">
        <f aca="false">Assumptions!$B$52</f>
        <v>0.3</v>
      </c>
      <c r="E6" s="4" t="n">
        <f aca="false">DCF_Bull!$B$43</f>
        <v>217.030805296668</v>
      </c>
      <c r="F6" s="4" t="n">
        <f aca="false">DCF_Bull!$B$47</f>
        <v>89.598013337612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164.202913285767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172.085870009452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-0.168554175808476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351.100325479084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75.1179326661072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159.948547670446</v>
      </c>
      <c r="C15" s="3" t="n">
        <v>8.75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155.534559823042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132.839153498469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115.501997820944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101.830042961046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74.002318167305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187.186075615545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187.186075615545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187.186075615545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187.186075615545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187.186075615545</v>
      </c>
    </row>
    <row r="25" customFormat="false" ht="15" hidden="false" customHeight="false" outlineLevel="0" collapsed="false">
      <c r="A25" s="3" t="n">
        <v>7.75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172.930024488051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172.930024488051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172.930024488051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172.930024488051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172.930024488051</v>
      </c>
    </row>
    <row r="26" customFormat="false" ht="15" hidden="false" customHeight="false" outlineLevel="0" collapsed="false">
      <c r="A26" s="3" t="n">
        <v>8.75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147.955166757725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154.618156153681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159.948547670446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159.948547670446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159.948547670446</v>
      </c>
    </row>
    <row r="27" customFormat="false" ht="15" hidden="false" customHeight="false" outlineLevel="0" collapsed="false">
      <c r="A27" s="3" t="n">
        <v>9.75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127.883132263474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132.579670698874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137.924007539156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144.060097985407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148.113551810948</v>
      </c>
    </row>
    <row r="28" customFormat="false" ht="15" hidden="false" customHeight="false" outlineLevel="0" collapsed="false">
      <c r="A28" s="3" t="n">
        <v>10.75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112.187614309207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115.606864598362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119.44056946802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123.768945933764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128.694339843058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2026-09-26T01:32:22Z</dcterms:created>
  <dc:creator>openpyxl</dc:creator>
  <dc:description/>
  <dc:language>en-NZ</dc:language>
  <cp:lastModifiedBy/>
  <dcterms:modified xsi:type="dcterms:W3CDTF">2026-09-26T01:32:22Z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