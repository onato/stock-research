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 Data" sheetId="4" r:id="rId4"/>
  </sheets>
  <calcPr calcId="124519" fullCalcOnLoad="1"/>
</workbook>
</file>

<file path=xl/sharedStrings.xml><?xml version="1.0" encoding="utf-8"?>
<sst xmlns="http://schemas.openxmlformats.org/spreadsheetml/2006/main" count="204" uniqueCount="177">
  <si>
    <t>DELL Technologies - DCF Valuation Model</t>
  </si>
  <si>
    <t>Valuation date: 2026-06-27 | Yellow cells are INPUTS - adjust to see valuation update automatically</t>
  </si>
  <si>
    <t>Live price fetched from Yahoo Finance: $399.49  |  Sanity check: CONDITIONAL_PASS</t>
  </si>
  <si>
    <t>CAUTION: Current price ($399.49) requires bull-case assumptions to be supported by DCF. Base case intrinsic value is $232 (-42%). Market multiples (P/E 23x, EV/EBIT 21x) are not stretched for the growth trajectory, but the DCF margin of safety is negative at current price. Only the bull scenario ($424) implies meaningful upside. Key risk: AI server FCF margins staying compressed at 4-5% would make current price difficult to justify.</t>
  </si>
  <si>
    <t>KEY INPUTS</t>
  </si>
  <si>
    <t>Current Stock Price ($)</t>
  </si>
  <si>
    <t>Live from Yahoo Finance</t>
  </si>
  <si>
    <t>Shares Outstanding (M)</t>
  </si>
  <si>
    <t>Q1 FY2027 diluted shares</t>
  </si>
  <si>
    <t>Cash &amp; Equivalents ($M)</t>
  </si>
  <si>
    <t>FY2026 year-end (Jan 30 2026)</t>
  </si>
  <si>
    <t>Total Debt ($M)</t>
  </si>
  <si>
    <t>FY2026 year-end</t>
  </si>
  <si>
    <t>Net Debt ($M)</t>
  </si>
  <si>
    <t>Formula: Total Debt minus Cash</t>
  </si>
  <si>
    <t>Base Year FCF ($M)</t>
  </si>
  <si>
    <t>FY2026 actual FCF ($8,552M = OCF $11,185M - CapEx $2,633M)</t>
  </si>
  <si>
    <t>Base Year Revenue ($M)</t>
  </si>
  <si>
    <t>FY2026 actual revenue</t>
  </si>
  <si>
    <t>WACC</t>
  </si>
  <si>
    <t>Base case; adjust for sensitivity</t>
  </si>
  <si>
    <t>Terminal Growth Rate</t>
  </si>
  <si>
    <t>Base case (long-run nominal GDP)</t>
  </si>
  <si>
    <t>FCF Margin (% of Revenue)</t>
  </si>
  <si>
    <t>Base: 5.5% (FY2026 actual was 7.5%; reduced for AI mix compression)</t>
  </si>
  <si>
    <t>REVENUE GROWTH RATES (Yellow = editable)</t>
  </si>
  <si>
    <t>Growth Rate</t>
  </si>
  <si>
    <t>Year 1</t>
  </si>
  <si>
    <t>Year 2</t>
  </si>
  <si>
    <t>Year 3</t>
  </si>
  <si>
    <t>Year 4</t>
  </si>
  <si>
    <t>Year 5</t>
  </si>
  <si>
    <t>FY2026 Base</t>
  </si>
  <si>
    <t>PROJECTIONS (All formula-driven)</t>
  </si>
  <si>
    <t>Revenue ($M)</t>
  </si>
  <si>
    <t>FCF ($M)</t>
  </si>
  <si>
    <t>Discount Factor (1/(1+WACC)^t)</t>
  </si>
  <si>
    <t>PV of FCF ($M)</t>
  </si>
  <si>
    <t>FCF Growth YoY (%)</t>
  </si>
  <si>
    <t>VALUATION BRIDGE</t>
  </si>
  <si>
    <t>Sum of PV of FCF ($M)</t>
  </si>
  <si>
    <t>Terminal FCF = Year 5 FCF x (1 + Terminal Growth)</t>
  </si>
  <si>
    <t>Terminal Value = Terminal FCF / (WACC - Terminal Growth)</t>
  </si>
  <si>
    <t>PV of Terminal Value</t>
  </si>
  <si>
    <t>Enterprise Value ($M)</t>
  </si>
  <si>
    <t>Less: Net Debt ($M)</t>
  </si>
  <si>
    <t>Equity Value ($M)</t>
  </si>
  <si>
    <t>INTRINSIC VALUE PER SHARE</t>
  </si>
  <si>
    <t>Current Price</t>
  </si>
  <si>
    <t>Upside / (Downside)</t>
  </si>
  <si>
    <t>ENTRY PRICE FOR 15% CAGR TARGET</t>
  </si>
  <si>
    <t>Terminal Value per Share ($)</t>
  </si>
  <si>
    <t>Entry Price (15% CAGR over 5 years)</t>
  </si>
  <si>
    <t>Premium/(Discount) to Entry Price</t>
  </si>
  <si>
    <t>VALUATION MULTIPLES (Sanity Check)</t>
  </si>
  <si>
    <t>Metric</t>
  </si>
  <si>
    <t>Value</t>
  </si>
  <si>
    <t>Threshold</t>
  </si>
  <si>
    <t>Status</t>
  </si>
  <si>
    <t>P / FY2027 GAAP EPS ($17.31)</t>
  </si>
  <si>
    <t>&lt; 40x</t>
  </si>
  <si>
    <t>PASS</t>
  </si>
  <si>
    <t>P / FY2027 Non-GAAP EPS ($17.90)</t>
  </si>
  <si>
    <t>EV / FY2027e EBIT (8% margin on $167B)</t>
  </si>
  <si>
    <t>&lt; 50x</t>
  </si>
  <si>
    <t>P / FY2027e FCF (6% margin on $167B)</t>
  </si>
  <si>
    <t>EV / FY2026 Revenue (trailing)</t>
  </si>
  <si>
    <t>&lt; 5.0x</t>
  </si>
  <si>
    <t>DCF Base IV vs Current Price</t>
  </si>
  <si>
    <t>&gt; -30%</t>
  </si>
  <si>
    <t>TRIP</t>
  </si>
  <si>
    <t>DELL - Scenario Comparison: Base / Bull / Bear</t>
  </si>
  <si>
    <t>Current price: $399.49 | Valuation date: 2026-06-27</t>
  </si>
  <si>
    <t>Assumption / Output</t>
  </si>
  <si>
    <t>BASE CASE</t>
  </si>
  <si>
    <t>BULL CASE</t>
  </si>
  <si>
    <t>BEAR CASE</t>
  </si>
  <si>
    <t>ASSUMPTIONS</t>
  </si>
  <si>
    <t>FCF Margin</t>
  </si>
  <si>
    <t>Year 1 Revenue Growth</t>
  </si>
  <si>
    <t>Year 5 Revenue Growth</t>
  </si>
  <si>
    <t>REVENUE PROJECTIONS ($M)</t>
  </si>
  <si>
    <t>Year 1 (FY2027)</t>
  </si>
  <si>
    <t>Year 2 (FY2028)</t>
  </si>
  <si>
    <t>Year 3 (FY2029)</t>
  </si>
  <si>
    <t>Year 4 (FY2030)</t>
  </si>
  <si>
    <t>Year 5 (FY2031)</t>
  </si>
  <si>
    <t>FREE CASH FLOW PROJECTIONS ($M)</t>
  </si>
  <si>
    <t>VALUATION OUTPUTS</t>
  </si>
  <si>
    <t>Sum of PV FCF ($M)</t>
  </si>
  <si>
    <t>Terminal Value ($M)</t>
  </si>
  <si>
    <t>PV of Terminal Value ($M)</t>
  </si>
  <si>
    <t>Upside / (Downside) to Current</t>
  </si>
  <si>
    <t>Entry Price (15% CAGR)</t>
  </si>
  <si>
    <t>PROBABILITY WEIGHTED</t>
  </si>
  <si>
    <t>Bull Weight</t>
  </si>
  <si>
    <t>Base Weight</t>
  </si>
  <si>
    <t>Bear Weight</t>
  </si>
  <si>
    <t>Weighted Intrinsic Value</t>
  </si>
  <si>
    <t>Weighted Upside / (Downside)</t>
  </si>
  <si>
    <t>Sensitivity Analysis - Intrinsic Value per Share (Base Case FCF)</t>
  </si>
  <si>
    <t>WACC (rows) vs Terminal Growth Rate (columns) | Shares=656M, Net Debt=$19,975M</t>
  </si>
  <si>
    <t>Values calculated using base case revenue projections x 5.5% FCF margin</t>
  </si>
  <si>
    <t>Live matrix (recalculates from DCF Model inputs):</t>
  </si>
  <si>
    <t>WACC \ TG</t>
  </si>
  <si>
    <t>2.0%</t>
  </si>
  <si>
    <t>2.5%</t>
  </si>
  <si>
    <t>3.0%</t>
  </si>
  <si>
    <t>3.5%</t>
  </si>
  <si>
    <t>4.0%</t>
  </si>
  <si>
    <t>8%</t>
  </si>
  <si>
    <t>9%</t>
  </si>
  <si>
    <t>10%</t>
  </si>
  <si>
    <t>11%</t>
  </si>
  <si>
    <t>12%</t>
  </si>
  <si>
    <t>Legend:</t>
  </si>
  <si>
    <t>Green = IV &gt;= current price ($399.49)</t>
  </si>
  <si>
    <t>Yellow = IV within 15% of current price</t>
  </si>
  <si>
    <t>White = IV more than 15% below current price</t>
  </si>
  <si>
    <t>Current Price (reference):</t>
  </si>
  <si>
    <t>Base case (WACC=10%, TG=3%): highlighted row/col</t>
  </si>
  <si>
    <t>Note: FCF margin is live from DCF Model sheet (cell B16, currently 5.5%). Change it there and this table updates.</t>
  </si>
  <si>
    <t>DELL - Historical Financial Data (Post-VMware Spinoff)</t>
  </si>
  <si>
    <t>VMware spun off Nov 1 2021. FY2022+ is the clean post-spinoff comparison base.</t>
  </si>
  <si>
    <t>Period</t>
  </si>
  <si>
    <t>Gross Margin</t>
  </si>
  <si>
    <t>Oper. Margin</t>
  </si>
  <si>
    <t>Net Income ($M)</t>
  </si>
  <si>
    <t>GAAP EPS</t>
  </si>
  <si>
    <t>OCF ($M)</t>
  </si>
  <si>
    <t>FY2022</t>
  </si>
  <si>
    <t>FY2023</t>
  </si>
  <si>
    <t>FY2024</t>
  </si>
  <si>
    <t>FY2025</t>
  </si>
  <si>
    <t>FY2026</t>
  </si>
  <si>
    <t>Q1 FY2027</t>
  </si>
  <si>
    <t>HISTORICAL GROWTH RATES</t>
  </si>
  <si>
    <t>3yr CAGR (FY23-FY26)</t>
  </si>
  <si>
    <t>4yr CAGR (FY22-FY26)</t>
  </si>
  <si>
    <t>Note</t>
  </si>
  <si>
    <t>Revenue</t>
  </si>
  <si>
    <t>2.9%</t>
  </si>
  <si>
    <t>Suppressed by PC market weakness in FY2024; pre-spinoff comparable issues</t>
  </si>
  <si>
    <t>38.9%</t>
  </si>
  <si>
    <t>5.4%</t>
  </si>
  <si>
    <t>FY2023 depressed by restructuring; FY2026 record earnings</t>
  </si>
  <si>
    <t>FCF</t>
  </si>
  <si>
    <t>20.2% (2yr)</t>
  </si>
  <si>
    <t>N/A</t>
  </si>
  <si>
    <t>FY2023 ($562M) distorted; 2yr FY2024-FY2026 CAGR most reliable</t>
  </si>
  <si>
    <t>Equity/Book Value</t>
  </si>
  <si>
    <t>UNUSABLE: Dell has sustained negative shareholders equity since 2016 EMC acquisition</t>
  </si>
  <si>
    <t>Selected Rate</t>
  </si>
  <si>
    <t>forward_revenue_guidance_fy2027</t>
  </si>
  <si>
    <t>FY2027 guidance: +47%</t>
  </si>
  <si>
    <t>Forward-anchored to mgmt guidance; AI supercycle inflection</t>
  </si>
  <si>
    <t>Q1 FY2027 KEY METRICS (Quarter ended May 1 2026)</t>
  </si>
  <si>
    <t>Total Revenue</t>
  </si>
  <si>
    <t>$43.8B</t>
  </si>
  <si>
    <t>+88% YoY, beat consensus by $8.1B</t>
  </si>
  <si>
    <t>ISG Revenue</t>
  </si>
  <si>
    <t>$29.0B</t>
  </si>
  <si>
    <t>+181% YoY; AI-optimized servers $16.1B (+757% YoY)</t>
  </si>
  <si>
    <t>CSG Revenue</t>
  </si>
  <si>
    <t>$14.6B</t>
  </si>
  <si>
    <t>+17% YoY; commercial record $13B; AI PCs driving ASP expansion</t>
  </si>
  <si>
    <t>AI Server Orders</t>
  </si>
  <si>
    <t>$24.4B booked in Q1</t>
  </si>
  <si>
    <t>AI backlog reached record $51.3B</t>
  </si>
  <si>
    <t>$5.24</t>
  </si>
  <si>
    <t>+282% YoY; Q1 alone represents 30% of full FY2026 GAAP EPS</t>
  </si>
  <si>
    <t>Operating Cash Flow</t>
  </si>
  <si>
    <t>$4.1B</t>
  </si>
  <si>
    <t>Q1 FCF $3.1B (7.1% margin); annualizes to $12.5B</t>
  </si>
  <si>
    <t>FY2027 Guidance Raised</t>
  </si>
  <si>
    <t>Revenue $165-169B</t>
  </si>
  <si>
    <t>AI servers ~$60B; non-GAAP EPS ~$17.90</t>
  </si>
</sst>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"/>
    <numFmt numFmtId="166" formatCode="0.0%"/>
    <numFmt numFmtId="167" formatCode="#,##0"/>
  </numFmts>
  <fonts count="11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B89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DCB6E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/>
    <xf numFmtId="0" fontId="5" fillId="0" borderId="3" xfId="0" applyFont="1" applyBorder="1"/>
    <xf numFmtId="164" fontId="0" fillId="4" borderId="3" xfId="0" applyNumberFormat="1" applyFill="1" applyBorder="1" applyAlignment="1">
      <alignment horizontal="right"/>
    </xf>
    <xf numFmtId="0" fontId="6" fillId="0" borderId="0" xfId="0" applyFont="1" applyAlignment="1">
      <alignment wrapText="1"/>
    </xf>
    <xf numFmtId="165" fontId="0" fillId="4" borderId="3" xfId="0" applyNumberFormat="1" applyFill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6" fontId="0" fillId="4" borderId="3" xfId="0" applyNumberFormat="1" applyFill="1" applyBorder="1" applyAlignment="1">
      <alignment horizontal="right"/>
    </xf>
    <xf numFmtId="0" fontId="7" fillId="5" borderId="3" xfId="0" applyFont="1" applyFill="1" applyBorder="1" applyAlignment="1">
      <alignment horizontal="center"/>
    </xf>
    <xf numFmtId="167" fontId="0" fillId="0" borderId="3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164" fontId="7" fillId="6" borderId="3" xfId="0" applyNumberFormat="1" applyFont="1" applyFill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6" fontId="8" fillId="0" borderId="3" xfId="0" applyNumberFormat="1" applyFont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6" fontId="5" fillId="0" borderId="3" xfId="0" applyNumberFormat="1" applyFont="1" applyBorder="1" applyAlignment="1">
      <alignment horizontal="right"/>
    </xf>
    <xf numFmtId="0" fontId="0" fillId="0" borderId="3" xfId="0" applyBorder="1"/>
    <xf numFmtId="0" fontId="7" fillId="6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164" fontId="7" fillId="8" borderId="3" xfId="0" applyNumberFormat="1" applyFont="1" applyFill="1" applyBorder="1" applyAlignment="1">
      <alignment horizontal="right"/>
    </xf>
    <xf numFmtId="0" fontId="9" fillId="0" borderId="0" xfId="0" applyFont="1"/>
    <xf numFmtId="0" fontId="5" fillId="0" borderId="0" xfId="0" applyFont="1"/>
    <xf numFmtId="0" fontId="10" fillId="6" borderId="3" xfId="0" applyFont="1" applyFill="1" applyBorder="1"/>
    <xf numFmtId="0" fontId="0" fillId="4" borderId="3" xfId="0" applyFill="1" applyBorder="1"/>
    <xf numFmtId="0" fontId="0" fillId="9" borderId="3" xfId="0" applyFill="1" applyBorder="1"/>
    <xf numFmtId="167" fontId="0" fillId="9" borderId="3" xfId="0" applyNumberFormat="1" applyFill="1" applyBorder="1" applyAlignment="1">
      <alignment horizontal="right"/>
    </xf>
    <xf numFmtId="166" fontId="0" fillId="9" borderId="3" xfId="0" applyNumberFormat="1" applyFill="1" applyBorder="1" applyAlignment="1">
      <alignment horizontal="right"/>
    </xf>
    <xf numFmtId="164" fontId="0" fillId="9" borderId="3" xfId="0" applyNumberFormat="1" applyFill="1" applyBorder="1" applyAlignment="1">
      <alignment horizontal="right"/>
    </xf>
    <xf numFmtId="0" fontId="0" fillId="3" borderId="3" xfId="0" applyFill="1" applyBorder="1"/>
    <xf numFmtId="167" fontId="0" fillId="3" borderId="3" xfId="0" applyNumberFormat="1" applyFill="1" applyBorder="1" applyAlignment="1">
      <alignment horizontal="right"/>
    </xf>
    <xf numFmtId="166" fontId="0" fillId="3" borderId="3" xfId="0" applyNumberFormat="1" applyFill="1" applyBorder="1" applyAlignment="1">
      <alignment horizontal="right"/>
    </xf>
    <xf numFmtId="164" fontId="0" fillId="3" borderId="3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zoomScale="90" zoomScaleNormal="90" workbookViewId="0"/>
  </sheetViews>
  <sheetFormatPr defaultRowHeight="15"/>
  <cols>
    <col min="1" max="1" width="32.7109375" customWidth="1"/>
    <col min="2" max="2" width="16.7109375" customWidth="1"/>
    <col min="3" max="7" width="14.7109375" customWidth="1"/>
    <col min="8" max="8" width="2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2" t="s">
        <v>2</v>
      </c>
    </row>
    <row r="4" spans="1:7" ht="30" customHeight="1">
      <c r="A4" s="3" t="s">
        <v>3</v>
      </c>
      <c r="B4" s="3"/>
      <c r="C4" s="3"/>
      <c r="D4" s="3"/>
      <c r="E4" s="3"/>
      <c r="F4" s="3"/>
      <c r="G4" s="3"/>
    </row>
    <row r="6" spans="1:7">
      <c r="A6" s="4" t="s">
        <v>4</v>
      </c>
      <c r="B6" s="4"/>
      <c r="C6" s="4"/>
      <c r="D6" s="4"/>
      <c r="E6" s="4"/>
      <c r="F6" s="4"/>
      <c r="G6" s="4"/>
    </row>
    <row r="7" spans="1:7">
      <c r="A7" s="5" t="s">
        <v>5</v>
      </c>
      <c r="B7" s="6">
        <v>399.49</v>
      </c>
      <c r="C7" s="7" t="s">
        <v>6</v>
      </c>
    </row>
    <row r="8" spans="1:7">
      <c r="A8" s="5" t="s">
        <v>7</v>
      </c>
      <c r="B8" s="8">
        <v>656</v>
      </c>
      <c r="C8" s="7" t="s">
        <v>8</v>
      </c>
    </row>
    <row r="9" spans="1:7">
      <c r="A9" s="5" t="s">
        <v>9</v>
      </c>
      <c r="B9" s="8">
        <v>11528</v>
      </c>
      <c r="C9" s="7" t="s">
        <v>10</v>
      </c>
    </row>
    <row r="10" spans="1:7">
      <c r="A10" s="5" t="s">
        <v>11</v>
      </c>
      <c r="B10" s="8">
        <v>31503</v>
      </c>
      <c r="C10" s="7" t="s">
        <v>12</v>
      </c>
    </row>
    <row r="11" spans="1:7">
      <c r="A11" s="5" t="s">
        <v>13</v>
      </c>
      <c r="B11" s="9">
        <f>B10-B9</f>
        <v>0</v>
      </c>
      <c r="C11" s="7" t="s">
        <v>14</v>
      </c>
    </row>
    <row r="12" spans="1:7">
      <c r="A12" s="5" t="s">
        <v>15</v>
      </c>
      <c r="B12" s="8">
        <v>8552</v>
      </c>
      <c r="C12" s="7" t="s">
        <v>16</v>
      </c>
    </row>
    <row r="13" spans="1:7">
      <c r="A13" s="5" t="s">
        <v>17</v>
      </c>
      <c r="B13" s="8">
        <v>113538</v>
      </c>
      <c r="C13" s="7" t="s">
        <v>18</v>
      </c>
    </row>
    <row r="14" spans="1:7">
      <c r="A14" s="5" t="s">
        <v>19</v>
      </c>
      <c r="B14" s="10">
        <v>0.1</v>
      </c>
      <c r="C14" s="7" t="s">
        <v>20</v>
      </c>
    </row>
    <row r="15" spans="1:7">
      <c r="A15" s="5" t="s">
        <v>21</v>
      </c>
      <c r="B15" s="10">
        <v>0.03</v>
      </c>
      <c r="C15" s="7" t="s">
        <v>22</v>
      </c>
    </row>
    <row r="16" spans="1:7">
      <c r="A16" s="5" t="s">
        <v>23</v>
      </c>
      <c r="B16" s="10">
        <v>0.055</v>
      </c>
      <c r="C16" s="7" t="s">
        <v>24</v>
      </c>
    </row>
    <row r="18" spans="1:7">
      <c r="A18" s="4" t="s">
        <v>25</v>
      </c>
      <c r="B18" s="4"/>
      <c r="C18" s="4"/>
      <c r="D18" s="4"/>
      <c r="E18" s="4"/>
      <c r="F18" s="4"/>
      <c r="G18" s="4"/>
    </row>
    <row r="19" spans="1:7">
      <c r="A19" s="5" t="s">
        <v>26</v>
      </c>
      <c r="B19" s="11" t="s">
        <v>32</v>
      </c>
      <c r="C19" s="11" t="s">
        <v>27</v>
      </c>
      <c r="D19" s="11" t="s">
        <v>28</v>
      </c>
      <c r="E19" s="11" t="s">
        <v>29</v>
      </c>
      <c r="F19" s="11" t="s">
        <v>30</v>
      </c>
      <c r="G19" s="11" t="s">
        <v>31</v>
      </c>
    </row>
    <row r="20" spans="1:7">
      <c r="C20" s="10">
        <v>0.47</v>
      </c>
      <c r="D20" s="10">
        <v>0.2</v>
      </c>
      <c r="E20" s="10">
        <v>0.12</v>
      </c>
      <c r="F20" s="10">
        <v>0.08</v>
      </c>
      <c r="G20" s="10">
        <v>0.05</v>
      </c>
    </row>
    <row r="22" spans="1:7">
      <c r="A22" s="4" t="s">
        <v>33</v>
      </c>
      <c r="B22" s="4"/>
      <c r="C22" s="4"/>
      <c r="D22" s="4"/>
      <c r="E22" s="4"/>
      <c r="F22" s="4"/>
      <c r="G22" s="4"/>
    </row>
    <row r="23" spans="1:7">
      <c r="A23" s="5" t="s">
        <v>34</v>
      </c>
      <c r="B23" s="12">
        <f>B13</f>
        <v>0</v>
      </c>
      <c r="C23" s="12">
        <f>B23*(1+C20)</f>
        <v>0</v>
      </c>
      <c r="D23" s="12">
        <f>C23*(1+D20)</f>
        <v>0</v>
      </c>
      <c r="E23" s="12">
        <f>D23*(1+E20)</f>
        <v>0</v>
      </c>
      <c r="F23" s="12">
        <f>E23*(1+F20)</f>
        <v>0</v>
      </c>
      <c r="G23" s="12">
        <f>F23*(1+G20)</f>
        <v>0</v>
      </c>
    </row>
    <row r="24" spans="1:7">
      <c r="A24" s="5" t="s">
        <v>35</v>
      </c>
      <c r="B24" s="12">
        <f>B12</f>
        <v>0</v>
      </c>
      <c r="C24" s="12">
        <f>C23*$B$16</f>
        <v>0</v>
      </c>
      <c r="D24" s="12">
        <f>D23*$B$16</f>
        <v>0</v>
      </c>
      <c r="E24" s="12">
        <f>E23*$B$16</f>
        <v>0</v>
      </c>
      <c r="F24" s="12">
        <f>F23*$B$16</f>
        <v>0</v>
      </c>
      <c r="G24" s="12">
        <f>G23*$B$16</f>
        <v>0</v>
      </c>
    </row>
    <row r="25" spans="1:7">
      <c r="A25" s="5" t="s">
        <v>36</v>
      </c>
      <c r="C25" s="9">
        <f>1/(1+$B$14)^1</f>
        <v>0</v>
      </c>
      <c r="D25" s="9">
        <f>1/(1+$B$14)^2</f>
        <v>0</v>
      </c>
      <c r="E25" s="9">
        <f>1/(1+$B$14)^3</f>
        <v>0</v>
      </c>
      <c r="F25" s="9">
        <f>1/(1+$B$14)^4</f>
        <v>0</v>
      </c>
      <c r="G25" s="9">
        <f>1/(1+$B$14)^5</f>
        <v>0</v>
      </c>
    </row>
    <row r="26" spans="1:7">
      <c r="A26" s="5" t="s">
        <v>37</v>
      </c>
      <c r="C26" s="12">
        <f>C24*C25</f>
        <v>0</v>
      </c>
      <c r="D26" s="12">
        <f>D24*D25</f>
        <v>0</v>
      </c>
      <c r="E26" s="12">
        <f>E24*E25</f>
        <v>0</v>
      </c>
      <c r="F26" s="12">
        <f>F24*F25</f>
        <v>0</v>
      </c>
      <c r="G26" s="12">
        <f>G24*G25</f>
        <v>0</v>
      </c>
    </row>
    <row r="27" spans="1:7">
      <c r="A27" s="5" t="s">
        <v>38</v>
      </c>
      <c r="C27" s="13">
        <f>(C24-B24)/B24</f>
        <v>0</v>
      </c>
      <c r="D27" s="13">
        <f>(D24-C24)/C24</f>
        <v>0</v>
      </c>
      <c r="E27" s="13">
        <f>(E24-D24)/D24</f>
        <v>0</v>
      </c>
      <c r="F27" s="13">
        <f>(F24-E24)/E24</f>
        <v>0</v>
      </c>
      <c r="G27" s="13">
        <f>(G24-F24)/F24</f>
        <v>0</v>
      </c>
    </row>
    <row r="29" spans="1:7">
      <c r="A29" s="4" t="s">
        <v>39</v>
      </c>
      <c r="B29" s="4"/>
      <c r="C29" s="4"/>
      <c r="D29" s="4"/>
      <c r="E29" s="4"/>
      <c r="F29" s="4"/>
      <c r="G29" s="4"/>
    </row>
    <row r="30" spans="1:7">
      <c r="A30" s="5" t="s">
        <v>40</v>
      </c>
      <c r="B30" s="12">
        <f>SUM(C26:G26)</f>
        <v>0</v>
      </c>
    </row>
    <row r="31" spans="1:7">
      <c r="A31" s="5" t="s">
        <v>41</v>
      </c>
      <c r="B31" s="12">
        <f>G24*(1+$B$15)</f>
        <v>0</v>
      </c>
    </row>
    <row r="32" spans="1:7">
      <c r="A32" s="5" t="s">
        <v>42</v>
      </c>
      <c r="B32" s="12">
        <f>B31/($B$14-$B$15)</f>
        <v>0</v>
      </c>
    </row>
    <row r="33" spans="1:7">
      <c r="A33" s="5" t="s">
        <v>43</v>
      </c>
      <c r="B33" s="12">
        <f>B32*G25</f>
        <v>0</v>
      </c>
    </row>
    <row r="34" spans="1:7">
      <c r="A34" s="5" t="s">
        <v>44</v>
      </c>
      <c r="B34" s="12">
        <f>B30+B33</f>
        <v>0</v>
      </c>
    </row>
    <row r="35" spans="1:7">
      <c r="A35" s="5" t="s">
        <v>45</v>
      </c>
      <c r="B35" s="12">
        <f>B11</f>
        <v>0</v>
      </c>
    </row>
    <row r="36" spans="1:7">
      <c r="A36" s="5" t="s">
        <v>46</v>
      </c>
      <c r="B36" s="12">
        <f>B34-B35</f>
        <v>0</v>
      </c>
    </row>
    <row r="37" spans="1:7">
      <c r="A37" s="5" t="s">
        <v>47</v>
      </c>
      <c r="B37" s="14">
        <f>IF(B36&gt;0,B36/B8,0)</f>
        <v>0</v>
      </c>
    </row>
    <row r="38" spans="1:7">
      <c r="A38" s="5" t="s">
        <v>48</v>
      </c>
      <c r="B38" s="15">
        <f>B7</f>
        <v>0</v>
      </c>
    </row>
    <row r="39" spans="1:7">
      <c r="A39" s="5" t="s">
        <v>49</v>
      </c>
      <c r="B39" s="16">
        <f>(B37-B7)/B7</f>
        <v>0</v>
      </c>
    </row>
    <row r="41" spans="1:7">
      <c r="A41" s="4" t="s">
        <v>50</v>
      </c>
      <c r="B41" s="4"/>
      <c r="C41" s="4"/>
      <c r="D41" s="4"/>
      <c r="E41" s="4"/>
      <c r="F41" s="4"/>
      <c r="G41" s="4"/>
    </row>
    <row r="42" spans="1:7">
      <c r="A42" s="5" t="s">
        <v>51</v>
      </c>
      <c r="B42" s="15">
        <f>B32/B8</f>
        <v>0</v>
      </c>
    </row>
    <row r="43" spans="1:7">
      <c r="A43" s="5" t="s">
        <v>52</v>
      </c>
      <c r="B43" s="17">
        <f>B37/(1.15^5)</f>
        <v>0</v>
      </c>
    </row>
    <row r="44" spans="1:7">
      <c r="A44" s="5" t="s">
        <v>53</v>
      </c>
      <c r="B44" s="18">
        <f>(B7-B43)/B43</f>
        <v>0</v>
      </c>
    </row>
    <row r="46" spans="1:7">
      <c r="A46" s="4" t="s">
        <v>54</v>
      </c>
      <c r="B46" s="4"/>
      <c r="C46" s="4"/>
      <c r="D46" s="4"/>
      <c r="E46" s="4"/>
      <c r="F46" s="4"/>
      <c r="G46" s="4"/>
    </row>
    <row r="47" spans="1:7">
      <c r="A47" s="11" t="s">
        <v>55</v>
      </c>
      <c r="B47" s="11" t="s">
        <v>56</v>
      </c>
      <c r="C47" s="11" t="s">
        <v>57</v>
      </c>
      <c r="D47" s="11" t="s">
        <v>58</v>
      </c>
    </row>
    <row r="48" spans="1:7">
      <c r="A48" s="5" t="s">
        <v>59</v>
      </c>
      <c r="B48" s="9">
        <v>23.1</v>
      </c>
      <c r="C48" s="19" t="s">
        <v>60</v>
      </c>
      <c r="D48" s="20" t="s">
        <v>61</v>
      </c>
    </row>
    <row r="49" spans="1:4">
      <c r="A49" s="5" t="s">
        <v>62</v>
      </c>
      <c r="B49" s="9">
        <v>22.3</v>
      </c>
      <c r="C49" s="19" t="s">
        <v>60</v>
      </c>
      <c r="D49" s="20" t="s">
        <v>61</v>
      </c>
    </row>
    <row r="50" spans="1:4">
      <c r="A50" s="5" t="s">
        <v>63</v>
      </c>
      <c r="B50" s="9">
        <v>21.1</v>
      </c>
      <c r="C50" s="19" t="s">
        <v>64</v>
      </c>
      <c r="D50" s="20" t="s">
        <v>61</v>
      </c>
    </row>
    <row r="51" spans="1:4">
      <c r="A51" s="5" t="s">
        <v>65</v>
      </c>
      <c r="B51" s="9">
        <v>26.2</v>
      </c>
      <c r="C51" s="19" t="s">
        <v>64</v>
      </c>
      <c r="D51" s="20" t="s">
        <v>61</v>
      </c>
    </row>
    <row r="52" spans="1:4">
      <c r="A52" s="5" t="s">
        <v>66</v>
      </c>
      <c r="B52" s="9">
        <v>2.48</v>
      </c>
      <c r="C52" s="19" t="s">
        <v>67</v>
      </c>
      <c r="D52" s="20" t="s">
        <v>61</v>
      </c>
    </row>
    <row r="53" spans="1:4">
      <c r="A53" s="5" t="s">
        <v>68</v>
      </c>
      <c r="B53" s="13">
        <v>-41.8</v>
      </c>
      <c r="C53" s="19" t="s">
        <v>69</v>
      </c>
      <c r="D53" s="21" t="s">
        <v>70</v>
      </c>
    </row>
  </sheetData>
  <mergeCells count="7">
    <mergeCell ref="A4:G4"/>
    <mergeCell ref="A6:G6"/>
    <mergeCell ref="A18:G18"/>
    <mergeCell ref="A22:G22"/>
    <mergeCell ref="A29:G29"/>
    <mergeCell ref="A41:G41"/>
    <mergeCell ref="A46:G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zoomScale="90" zoomScaleNormal="90" workbookViewId="0"/>
  </sheetViews>
  <sheetFormatPr defaultRowHeight="15"/>
  <cols>
    <col min="1" max="1" width="32.7109375" customWidth="1"/>
    <col min="2" max="4" width="18.7109375" customWidth="1"/>
  </cols>
  <sheetData>
    <row r="1" spans="1:4">
      <c r="A1" s="1" t="s">
        <v>71</v>
      </c>
    </row>
    <row r="2" spans="1:4">
      <c r="A2" s="2" t="s">
        <v>72</v>
      </c>
    </row>
    <row r="4" spans="1:4">
      <c r="A4" s="11" t="s">
        <v>73</v>
      </c>
      <c r="B4" s="22" t="s">
        <v>74</v>
      </c>
      <c r="C4" s="20" t="s">
        <v>75</v>
      </c>
      <c r="D4" s="23" t="s">
        <v>76</v>
      </c>
    </row>
    <row r="6" spans="1:4">
      <c r="A6" s="4" t="s">
        <v>77</v>
      </c>
      <c r="B6" s="4"/>
      <c r="C6" s="4"/>
      <c r="D6" s="4"/>
    </row>
    <row r="7" spans="1:4">
      <c r="A7" s="5" t="s">
        <v>19</v>
      </c>
      <c r="B7" s="10">
        <v>0.1</v>
      </c>
      <c r="C7" s="10">
        <v>0.09</v>
      </c>
      <c r="D7" s="10">
        <v>0.12</v>
      </c>
    </row>
    <row r="8" spans="1:4">
      <c r="A8" s="5" t="s">
        <v>21</v>
      </c>
      <c r="B8" s="10">
        <v>0.03</v>
      </c>
      <c r="C8" s="10">
        <v>0.035</v>
      </c>
      <c r="D8" s="10">
        <v>0.02</v>
      </c>
    </row>
    <row r="9" spans="1:4">
      <c r="A9" s="5" t="s">
        <v>78</v>
      </c>
      <c r="B9" s="10">
        <v>0.055</v>
      </c>
      <c r="C9" s="10">
        <v>0.065</v>
      </c>
      <c r="D9" s="10">
        <v>0.04</v>
      </c>
    </row>
    <row r="10" spans="1:4">
      <c r="A10" s="5" t="s">
        <v>79</v>
      </c>
      <c r="B10" s="13">
        <v>0.47</v>
      </c>
      <c r="C10" s="13">
        <v>0.54</v>
      </c>
      <c r="D10" s="13">
        <v>0.23</v>
      </c>
    </row>
    <row r="11" spans="1:4">
      <c r="A11" s="5" t="s">
        <v>80</v>
      </c>
      <c r="B11" s="13">
        <v>0.05</v>
      </c>
      <c r="C11" s="13">
        <v>0.07000000000000001</v>
      </c>
      <c r="D11" s="13">
        <v>0.02</v>
      </c>
    </row>
    <row r="12" spans="1:4">
      <c r="A12" s="4" t="s">
        <v>81</v>
      </c>
      <c r="B12" s="4"/>
      <c r="C12" s="4"/>
      <c r="D12" s="4"/>
    </row>
    <row r="13" spans="1:4">
      <c r="A13" s="5" t="s">
        <v>82</v>
      </c>
      <c r="B13" s="12">
        <v>167000</v>
      </c>
      <c r="C13" s="12">
        <v>175000</v>
      </c>
      <c r="D13" s="12">
        <v>140000</v>
      </c>
    </row>
    <row r="14" spans="1:4">
      <c r="A14" s="5" t="s">
        <v>83</v>
      </c>
      <c r="B14" s="12">
        <v>200400</v>
      </c>
      <c r="C14" s="12">
        <v>218750</v>
      </c>
      <c r="D14" s="12">
        <v>148400</v>
      </c>
    </row>
    <row r="15" spans="1:4">
      <c r="A15" s="5" t="s">
        <v>84</v>
      </c>
      <c r="B15" s="12">
        <v>224448</v>
      </c>
      <c r="C15" s="12">
        <v>252563</v>
      </c>
      <c r="D15" s="12">
        <v>153854</v>
      </c>
    </row>
    <row r="16" spans="1:4">
      <c r="A16" s="5" t="s">
        <v>85</v>
      </c>
      <c r="B16" s="12">
        <v>242404</v>
      </c>
      <c r="C16" s="12">
        <v>278219</v>
      </c>
      <c r="D16" s="12">
        <v>157316</v>
      </c>
    </row>
    <row r="17" spans="1:4">
      <c r="A17" s="5" t="s">
        <v>86</v>
      </c>
      <c r="B17" s="12">
        <v>254524</v>
      </c>
      <c r="C17" s="12">
        <v>299085</v>
      </c>
      <c r="D17" s="12">
        <v>159777</v>
      </c>
    </row>
    <row r="18" spans="1:4">
      <c r="A18" s="4" t="s">
        <v>87</v>
      </c>
      <c r="B18" s="4"/>
      <c r="C18" s="4"/>
      <c r="D18" s="4"/>
    </row>
    <row r="19" spans="1:4">
      <c r="A19" s="5" t="s">
        <v>82</v>
      </c>
      <c r="B19" s="12">
        <v>9185</v>
      </c>
      <c r="C19" s="12">
        <v>11375</v>
      </c>
      <c r="D19" s="12">
        <v>5600</v>
      </c>
    </row>
    <row r="20" spans="1:4">
      <c r="A20" s="5" t="s">
        <v>83</v>
      </c>
      <c r="B20" s="12">
        <v>11022</v>
      </c>
      <c r="C20" s="12">
        <v>14219</v>
      </c>
      <c r="D20" s="12">
        <v>5936</v>
      </c>
    </row>
    <row r="21" spans="1:4">
      <c r="A21" s="5" t="s">
        <v>84</v>
      </c>
      <c r="B21" s="12">
        <v>12345</v>
      </c>
      <c r="C21" s="12">
        <v>16417</v>
      </c>
      <c r="D21" s="12">
        <v>6154</v>
      </c>
    </row>
    <row r="22" spans="1:4">
      <c r="A22" s="5" t="s">
        <v>85</v>
      </c>
      <c r="B22" s="12">
        <v>13332</v>
      </c>
      <c r="C22" s="12">
        <v>18084</v>
      </c>
      <c r="D22" s="12">
        <v>6293</v>
      </c>
    </row>
    <row r="23" spans="1:4">
      <c r="A23" s="5" t="s">
        <v>86</v>
      </c>
      <c r="B23" s="12">
        <v>13999</v>
      </c>
      <c r="C23" s="12">
        <v>19441</v>
      </c>
      <c r="D23" s="12">
        <v>6391</v>
      </c>
    </row>
    <row r="24" spans="1:4">
      <c r="A24" s="4" t="s">
        <v>88</v>
      </c>
      <c r="B24" s="4"/>
      <c r="C24" s="4"/>
      <c r="D24" s="4"/>
    </row>
    <row r="25" spans="1:4">
      <c r="A25" s="5" t="s">
        <v>89</v>
      </c>
      <c r="B25" s="12">
        <v>44532</v>
      </c>
      <c r="C25" s="12">
        <v>60527</v>
      </c>
      <c r="D25" s="12">
        <v>21737</v>
      </c>
    </row>
    <row r="26" spans="1:4">
      <c r="A26" s="5" t="s">
        <v>90</v>
      </c>
      <c r="B26" s="12">
        <v>205983</v>
      </c>
      <c r="C26" s="12">
        <v>365835</v>
      </c>
      <c r="D26" s="12">
        <v>65189</v>
      </c>
    </row>
    <row r="27" spans="1:4">
      <c r="A27" s="5" t="s">
        <v>91</v>
      </c>
      <c r="B27" s="12">
        <v>127899</v>
      </c>
      <c r="C27" s="12">
        <v>237768</v>
      </c>
      <c r="D27" s="12">
        <v>36990</v>
      </c>
    </row>
    <row r="28" spans="1:4">
      <c r="A28" s="5" t="s">
        <v>44</v>
      </c>
      <c r="B28" s="12">
        <v>172431</v>
      </c>
      <c r="C28" s="12">
        <v>298295</v>
      </c>
      <c r="D28" s="12">
        <v>58727</v>
      </c>
    </row>
    <row r="29" spans="1:4">
      <c r="A29" s="5" t="s">
        <v>45</v>
      </c>
      <c r="B29" s="12">
        <v>19975</v>
      </c>
      <c r="C29" s="12">
        <v>19975</v>
      </c>
      <c r="D29" s="12">
        <v>19975</v>
      </c>
    </row>
    <row r="30" spans="1:4">
      <c r="A30" s="5" t="s">
        <v>46</v>
      </c>
      <c r="B30" s="12">
        <v>152456</v>
      </c>
      <c r="C30" s="12">
        <v>278320</v>
      </c>
      <c r="D30" s="12">
        <v>38752</v>
      </c>
    </row>
    <row r="31" spans="1:4">
      <c r="A31" s="5" t="s">
        <v>47</v>
      </c>
      <c r="B31" s="17">
        <v>232.4</v>
      </c>
      <c r="C31" s="14">
        <v>424.27</v>
      </c>
      <c r="D31" s="24">
        <v>59.07</v>
      </c>
    </row>
    <row r="32" spans="1:4">
      <c r="A32" s="5" t="s">
        <v>48</v>
      </c>
      <c r="B32" s="15">
        <v>399.49</v>
      </c>
      <c r="C32" s="15">
        <v>399.49</v>
      </c>
      <c r="D32" s="15">
        <v>399.49</v>
      </c>
    </row>
    <row r="33" spans="1:4">
      <c r="A33" s="5" t="s">
        <v>92</v>
      </c>
      <c r="B33" s="24">
        <v>-0.418</v>
      </c>
      <c r="C33" s="14">
        <v>0.062</v>
      </c>
      <c r="D33" s="24">
        <v>-0.852</v>
      </c>
    </row>
    <row r="34" spans="1:4">
      <c r="A34" s="5" t="s">
        <v>93</v>
      </c>
      <c r="B34" s="15">
        <v>115.55</v>
      </c>
      <c r="C34" s="15">
        <v>210.94</v>
      </c>
      <c r="D34" s="15">
        <v>29.37</v>
      </c>
    </row>
    <row r="36" spans="1:4">
      <c r="A36" s="4" t="s">
        <v>94</v>
      </c>
      <c r="B36" s="4"/>
      <c r="C36" s="4"/>
      <c r="D36" s="4"/>
    </row>
    <row r="37" spans="1:4">
      <c r="A37" s="5" t="s">
        <v>95</v>
      </c>
      <c r="B37" s="10">
        <v>0.25</v>
      </c>
    </row>
    <row r="38" spans="1:4">
      <c r="A38" s="5" t="s">
        <v>96</v>
      </c>
      <c r="B38" s="10">
        <v>0.5</v>
      </c>
    </row>
    <row r="39" spans="1:4">
      <c r="A39" s="5" t="s">
        <v>97</v>
      </c>
      <c r="B39" s="10">
        <v>0.25</v>
      </c>
    </row>
    <row r="40" spans="1:4">
      <c r="A40" s="5" t="s">
        <v>98</v>
      </c>
      <c r="B40" s="17">
        <f>B37*424.27+B38*232.4+B39*59.07</f>
        <v>0</v>
      </c>
    </row>
    <row r="41" spans="1:4">
      <c r="A41" s="5" t="s">
        <v>99</v>
      </c>
      <c r="B41" s="18">
        <f>(B40-399.49)/399.49</f>
        <v>0</v>
      </c>
    </row>
  </sheetData>
  <mergeCells count="5">
    <mergeCell ref="A6:D6"/>
    <mergeCell ref="A12:D12"/>
    <mergeCell ref="A18:D18"/>
    <mergeCell ref="A24:D24"/>
    <mergeCell ref="A36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zoomScale="90" zoomScaleNormal="90" workbookViewId="0"/>
  </sheetViews>
  <sheetFormatPr defaultRowHeight="15"/>
  <cols>
    <col min="1" max="1" width="14.7109375" customWidth="1"/>
    <col min="2" max="6" width="13.7109375" customWidth="1"/>
  </cols>
  <sheetData>
    <row r="1" spans="1:6">
      <c r="A1" s="1" t="s">
        <v>100</v>
      </c>
    </row>
    <row r="2" spans="1:6">
      <c r="A2" s="2" t="s">
        <v>101</v>
      </c>
    </row>
    <row r="3" spans="1:6">
      <c r="A3" s="2" t="s">
        <v>102</v>
      </c>
    </row>
    <row r="5" spans="1:6">
      <c r="A5" s="25" t="s">
        <v>103</v>
      </c>
    </row>
    <row r="7" spans="1:6">
      <c r="A7" s="11" t="s">
        <v>104</v>
      </c>
      <c r="B7" s="11" t="s">
        <v>105</v>
      </c>
      <c r="C7" s="11" t="s">
        <v>106</v>
      </c>
      <c r="D7" s="11" t="s">
        <v>107</v>
      </c>
      <c r="E7" s="11" t="s">
        <v>108</v>
      </c>
      <c r="F7" s="11" t="s">
        <v>109</v>
      </c>
    </row>
    <row r="8" spans="1:6">
      <c r="A8" s="11" t="s">
        <v>110</v>
      </c>
      <c r="B8" s="15">
        <f>((167000*'DCF Model'!$B$16/(1+0.08)^1+200400*'DCF Model'!$B$16/(1+0.08)^2+224448*'DCF Model'!$B$16/(1+0.08)^3+242404*'DCF Model'!$B$16/(1+0.08)^4+254524*'DCF Model'!$B$16/(1+0.08)^5+254524*'DCF Model'!$B$16*(1+0.02)/(0.08-0.02)/(1+0.08)^5)-'DCF Model'!$B$11)/'DCF Model'!$B$8</f>
        <v>0</v>
      </c>
      <c r="C8" s="15">
        <f>((167000*'DCF Model'!$B$16/(1+0.08)^1+200400*'DCF Model'!$B$16/(1+0.08)^2+224448*'DCF Model'!$B$16/(1+0.08)^3+242404*'DCF Model'!$B$16/(1+0.08)^4+254524*'DCF Model'!$B$16/(1+0.08)^5+254524*'DCF Model'!$B$16*(1+0.025)/(0.08-0.025)/(1+0.08)^5)-'DCF Model'!$B$11)/'DCF Model'!$B$8</f>
        <v>0</v>
      </c>
      <c r="D8" s="6">
        <f>((167000*'DCF Model'!$B$16/(1+0.08)^1+200400*'DCF Model'!$B$16/(1+0.08)^2+224448*'DCF Model'!$B$16/(1+0.08)^3+242404*'DCF Model'!$B$16/(1+0.08)^4+254524*'DCF Model'!$B$16/(1+0.08)^5+254524*'DCF Model'!$B$16*(1+0.03)/(0.08-0.03)/(1+0.08)^5)-'DCF Model'!$B$11)/'DCF Model'!$B$8</f>
        <v>0</v>
      </c>
      <c r="E8" s="6">
        <f>((167000*'DCF Model'!$B$16/(1+0.08)^1+200400*'DCF Model'!$B$16/(1+0.08)^2+224448*'DCF Model'!$B$16/(1+0.08)^3+242404*'DCF Model'!$B$16/(1+0.08)^4+254524*'DCF Model'!$B$16/(1+0.08)^5+254524*'DCF Model'!$B$16*(1+0.035)/(0.08-0.035)/(1+0.08)^5)-'DCF Model'!$B$11)/'DCF Model'!$B$8</f>
        <v>0</v>
      </c>
      <c r="F8" s="14">
        <f>((167000*'DCF Model'!$B$16/(1+0.08)^1+200400*'DCF Model'!$B$16/(1+0.08)^2+224448*'DCF Model'!$B$16/(1+0.08)^3+242404*'DCF Model'!$B$16/(1+0.08)^4+254524*'DCF Model'!$B$16/(1+0.08)^5+254524*'DCF Model'!$B$16*(1+0.04)/(0.08-0.04)/(1+0.08)^5)-'DCF Model'!$B$11)/'DCF Model'!$B$8</f>
        <v>0</v>
      </c>
    </row>
    <row r="9" spans="1:6">
      <c r="A9" s="11" t="s">
        <v>111</v>
      </c>
      <c r="B9" s="15">
        <f>((167000*'DCF Model'!$B$16/(1+0.09)^1+200400*'DCF Model'!$B$16/(1+0.09)^2+224448*'DCF Model'!$B$16/(1+0.09)^3+242404*'DCF Model'!$B$16/(1+0.09)^4+254524*'DCF Model'!$B$16/(1+0.09)^5+254524*'DCF Model'!$B$16*(1+0.02)/(0.09-0.02)/(1+0.09)^5)-'DCF Model'!$B$11)/'DCF Model'!$B$8</f>
        <v>0</v>
      </c>
      <c r="C9" s="15">
        <f>((167000*'DCF Model'!$B$16/(1+0.09)^1+200400*'DCF Model'!$B$16/(1+0.09)^2+224448*'DCF Model'!$B$16/(1+0.09)^3+242404*'DCF Model'!$B$16/(1+0.09)^4+254524*'DCF Model'!$B$16/(1+0.09)^5+254524*'DCF Model'!$B$16*(1+0.025)/(0.09-0.025)/(1+0.09)^5)-'DCF Model'!$B$11)/'DCF Model'!$B$8</f>
        <v>0</v>
      </c>
      <c r="D9" s="15">
        <f>((167000*'DCF Model'!$B$16/(1+0.09)^1+200400*'DCF Model'!$B$16/(1+0.09)^2+224448*'DCF Model'!$B$16/(1+0.09)^3+242404*'DCF Model'!$B$16/(1+0.09)^4+254524*'DCF Model'!$B$16/(1+0.09)^5+254524*'DCF Model'!$B$16*(1+0.03)/(0.09-0.03)/(1+0.09)^5)-'DCF Model'!$B$11)/'DCF Model'!$B$8</f>
        <v>0</v>
      </c>
      <c r="E9" s="15">
        <f>((167000*'DCF Model'!$B$16/(1+0.09)^1+200400*'DCF Model'!$B$16/(1+0.09)^2+224448*'DCF Model'!$B$16/(1+0.09)^3+242404*'DCF Model'!$B$16/(1+0.09)^4+254524*'DCF Model'!$B$16/(1+0.09)^5+254524*'DCF Model'!$B$16*(1+0.035)/(0.09-0.035)/(1+0.09)^5)-'DCF Model'!$B$11)/'DCF Model'!$B$8</f>
        <v>0</v>
      </c>
      <c r="F9" s="15">
        <f>((167000*'DCF Model'!$B$16/(1+0.09)^1+200400*'DCF Model'!$B$16/(1+0.09)^2+224448*'DCF Model'!$B$16/(1+0.09)^3+242404*'DCF Model'!$B$16/(1+0.09)^4+254524*'DCF Model'!$B$16/(1+0.09)^5+254524*'DCF Model'!$B$16*(1+0.04)/(0.09-0.04)/(1+0.09)^5)-'DCF Model'!$B$11)/'DCF Model'!$B$8</f>
        <v>0</v>
      </c>
    </row>
    <row r="10" spans="1:6">
      <c r="A10" s="11" t="s">
        <v>112</v>
      </c>
      <c r="B10" s="15">
        <f>((167000*'DCF Model'!$B$16/(1+0.1)^1+200400*'DCF Model'!$B$16/(1+0.1)^2+224448*'DCF Model'!$B$16/(1+0.1)^3+242404*'DCF Model'!$B$16/(1+0.1)^4+254524*'DCF Model'!$B$16/(1+0.1)^5+254524*'DCF Model'!$B$16*(1+0.02)/(0.1-0.02)/(1+0.1)^5)-'DCF Model'!$B$11)/'DCF Model'!$B$8</f>
        <v>0</v>
      </c>
      <c r="C10" s="15">
        <f>((167000*'DCF Model'!$B$16/(1+0.1)^1+200400*'DCF Model'!$B$16/(1+0.1)^2+224448*'DCF Model'!$B$16/(1+0.1)^3+242404*'DCF Model'!$B$16/(1+0.1)^4+254524*'DCF Model'!$B$16/(1+0.1)^5+254524*'DCF Model'!$B$16*(1+0.025)/(0.1-0.025)/(1+0.1)^5)-'DCF Model'!$B$11)/'DCF Model'!$B$8</f>
        <v>0</v>
      </c>
      <c r="D10" s="15">
        <f>((167000*'DCF Model'!$B$16/(1+0.1)^1+200400*'DCF Model'!$B$16/(1+0.1)^2+224448*'DCF Model'!$B$16/(1+0.1)^3+242404*'DCF Model'!$B$16/(1+0.1)^4+254524*'DCF Model'!$B$16/(1+0.1)^5+254524*'DCF Model'!$B$16*(1+0.03)/(0.1-0.03)/(1+0.1)^5)-'DCF Model'!$B$11)/'DCF Model'!$B$8</f>
        <v>0</v>
      </c>
      <c r="E10" s="15">
        <f>((167000*'DCF Model'!$B$16/(1+0.1)^1+200400*'DCF Model'!$B$16/(1+0.1)^2+224448*'DCF Model'!$B$16/(1+0.1)^3+242404*'DCF Model'!$B$16/(1+0.1)^4+254524*'DCF Model'!$B$16/(1+0.1)^5+254524*'DCF Model'!$B$16*(1+0.035)/(0.1-0.035)/(1+0.1)^5)-'DCF Model'!$B$11)/'DCF Model'!$B$8</f>
        <v>0</v>
      </c>
      <c r="F10" s="15">
        <f>((167000*'DCF Model'!$B$16/(1+0.1)^1+200400*'DCF Model'!$B$16/(1+0.1)^2+224448*'DCF Model'!$B$16/(1+0.1)^3+242404*'DCF Model'!$B$16/(1+0.1)^4+254524*'DCF Model'!$B$16/(1+0.1)^5+254524*'DCF Model'!$B$16*(1+0.04)/(0.1-0.04)/(1+0.1)^5)-'DCF Model'!$B$11)/'DCF Model'!$B$8</f>
        <v>0</v>
      </c>
    </row>
    <row r="11" spans="1:6">
      <c r="A11" s="11" t="s">
        <v>113</v>
      </c>
      <c r="B11" s="15">
        <f>((167000*'DCF Model'!$B$16/(1+0.11)^1+200400*'DCF Model'!$B$16/(1+0.11)^2+224448*'DCF Model'!$B$16/(1+0.11)^3+242404*'DCF Model'!$B$16/(1+0.11)^4+254524*'DCF Model'!$B$16/(1+0.11)^5+254524*'DCF Model'!$B$16*(1+0.02)/(0.11-0.02)/(1+0.11)^5)-'DCF Model'!$B$11)/'DCF Model'!$B$8</f>
        <v>0</v>
      </c>
      <c r="C11" s="15">
        <f>((167000*'DCF Model'!$B$16/(1+0.11)^1+200400*'DCF Model'!$B$16/(1+0.11)^2+224448*'DCF Model'!$B$16/(1+0.11)^3+242404*'DCF Model'!$B$16/(1+0.11)^4+254524*'DCF Model'!$B$16/(1+0.11)^5+254524*'DCF Model'!$B$16*(1+0.025)/(0.11-0.025)/(1+0.11)^5)-'DCF Model'!$B$11)/'DCF Model'!$B$8</f>
        <v>0</v>
      </c>
      <c r="D11" s="15">
        <f>((167000*'DCF Model'!$B$16/(1+0.11)^1+200400*'DCF Model'!$B$16/(1+0.11)^2+224448*'DCF Model'!$B$16/(1+0.11)^3+242404*'DCF Model'!$B$16/(1+0.11)^4+254524*'DCF Model'!$B$16/(1+0.11)^5+254524*'DCF Model'!$B$16*(1+0.03)/(0.11-0.03)/(1+0.11)^5)-'DCF Model'!$B$11)/'DCF Model'!$B$8</f>
        <v>0</v>
      </c>
      <c r="E11" s="15">
        <f>((167000*'DCF Model'!$B$16/(1+0.11)^1+200400*'DCF Model'!$B$16/(1+0.11)^2+224448*'DCF Model'!$B$16/(1+0.11)^3+242404*'DCF Model'!$B$16/(1+0.11)^4+254524*'DCF Model'!$B$16/(1+0.11)^5+254524*'DCF Model'!$B$16*(1+0.035)/(0.11-0.035)/(1+0.11)^5)-'DCF Model'!$B$11)/'DCF Model'!$B$8</f>
        <v>0</v>
      </c>
      <c r="F11" s="15">
        <f>((167000*'DCF Model'!$B$16/(1+0.11)^1+200400*'DCF Model'!$B$16/(1+0.11)^2+224448*'DCF Model'!$B$16/(1+0.11)^3+242404*'DCF Model'!$B$16/(1+0.11)^4+254524*'DCF Model'!$B$16/(1+0.11)^5+254524*'DCF Model'!$B$16*(1+0.04)/(0.11-0.04)/(1+0.11)^5)-'DCF Model'!$B$11)/'DCF Model'!$B$8</f>
        <v>0</v>
      </c>
    </row>
    <row r="12" spans="1:6">
      <c r="A12" s="11" t="s">
        <v>114</v>
      </c>
      <c r="B12" s="15">
        <f>((167000*'DCF Model'!$B$16/(1+0.12)^1+200400*'DCF Model'!$B$16/(1+0.12)^2+224448*'DCF Model'!$B$16/(1+0.12)^3+242404*'DCF Model'!$B$16/(1+0.12)^4+254524*'DCF Model'!$B$16/(1+0.12)^5+254524*'DCF Model'!$B$16*(1+0.02)/(0.12-0.02)/(1+0.12)^5)-'DCF Model'!$B$11)/'DCF Model'!$B$8</f>
        <v>0</v>
      </c>
      <c r="C12" s="15">
        <f>((167000*'DCF Model'!$B$16/(1+0.12)^1+200400*'DCF Model'!$B$16/(1+0.12)^2+224448*'DCF Model'!$B$16/(1+0.12)^3+242404*'DCF Model'!$B$16/(1+0.12)^4+254524*'DCF Model'!$B$16/(1+0.12)^5+254524*'DCF Model'!$B$16*(1+0.025)/(0.12-0.025)/(1+0.12)^5)-'DCF Model'!$B$11)/'DCF Model'!$B$8</f>
        <v>0</v>
      </c>
      <c r="D12" s="15">
        <f>((167000*'DCF Model'!$B$16/(1+0.12)^1+200400*'DCF Model'!$B$16/(1+0.12)^2+224448*'DCF Model'!$B$16/(1+0.12)^3+242404*'DCF Model'!$B$16/(1+0.12)^4+254524*'DCF Model'!$B$16/(1+0.12)^5+254524*'DCF Model'!$B$16*(1+0.03)/(0.12-0.03)/(1+0.12)^5)-'DCF Model'!$B$11)/'DCF Model'!$B$8</f>
        <v>0</v>
      </c>
      <c r="E12" s="15">
        <f>((167000*'DCF Model'!$B$16/(1+0.12)^1+200400*'DCF Model'!$B$16/(1+0.12)^2+224448*'DCF Model'!$B$16/(1+0.12)^3+242404*'DCF Model'!$B$16/(1+0.12)^4+254524*'DCF Model'!$B$16/(1+0.12)^5+254524*'DCF Model'!$B$16*(1+0.035)/(0.12-0.035)/(1+0.12)^5)-'DCF Model'!$B$11)/'DCF Model'!$B$8</f>
        <v>0</v>
      </c>
      <c r="F12" s="15">
        <f>((167000*'DCF Model'!$B$16/(1+0.12)^1+200400*'DCF Model'!$B$16/(1+0.12)^2+224448*'DCF Model'!$B$16/(1+0.12)^3+242404*'DCF Model'!$B$16/(1+0.12)^4+254524*'DCF Model'!$B$16/(1+0.12)^5+254524*'DCF Model'!$B$16*(1+0.04)/(0.12-0.04)/(1+0.12)^5)-'DCF Model'!$B$11)/'DCF Model'!$B$8</f>
        <v>0</v>
      </c>
    </row>
    <row r="14" spans="1:6">
      <c r="A14" s="26" t="s">
        <v>115</v>
      </c>
      <c r="B14" s="27" t="s">
        <v>116</v>
      </c>
      <c r="C14" s="28" t="s">
        <v>117</v>
      </c>
      <c r="D14" s="19" t="s">
        <v>118</v>
      </c>
    </row>
    <row r="16" spans="1:6">
      <c r="A16" s="26" t="s">
        <v>119</v>
      </c>
      <c r="B16" s="15">
        <f>'DCF Model'!B7</f>
        <v>0</v>
      </c>
    </row>
    <row r="17" spans="1:1">
      <c r="A17" s="2" t="s">
        <v>120</v>
      </c>
    </row>
    <row r="18" spans="1:1">
      <c r="A18" s="7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zoomScale="90" zoomScaleNormal="90" workbookViewId="0"/>
  </sheetViews>
  <sheetFormatPr defaultRowHeight="15"/>
  <cols>
    <col min="1" max="1" width="18.7109375" customWidth="1"/>
    <col min="2" max="9" width="14.7109375" customWidth="1"/>
  </cols>
  <sheetData>
    <row r="1" spans="1:9">
      <c r="A1" s="1" t="s">
        <v>122</v>
      </c>
    </row>
    <row r="2" spans="1:9">
      <c r="A2" s="2" t="s">
        <v>123</v>
      </c>
    </row>
    <row r="4" spans="1:9">
      <c r="A4" s="11" t="s">
        <v>124</v>
      </c>
      <c r="B4" s="11" t="s">
        <v>34</v>
      </c>
      <c r="C4" s="11" t="s">
        <v>125</v>
      </c>
      <c r="D4" s="11" t="s">
        <v>126</v>
      </c>
      <c r="E4" s="11" t="s">
        <v>127</v>
      </c>
      <c r="F4" s="11" t="s">
        <v>128</v>
      </c>
      <c r="G4" s="11" t="s">
        <v>129</v>
      </c>
      <c r="H4" s="11" t="s">
        <v>35</v>
      </c>
      <c r="I4" s="11" t="s">
        <v>78</v>
      </c>
    </row>
    <row r="5" spans="1:9">
      <c r="A5" s="29" t="s">
        <v>130</v>
      </c>
      <c r="B5" s="30">
        <v>101197</v>
      </c>
      <c r="C5" s="31">
        <v>0.216</v>
      </c>
      <c r="D5" s="31">
        <v>0.046</v>
      </c>
      <c r="E5" s="30">
        <v>5563</v>
      </c>
      <c r="F5" s="32">
        <v>7.02</v>
      </c>
      <c r="G5" s="30">
        <v>10307</v>
      </c>
      <c r="H5" s="30">
        <v>7511</v>
      </c>
      <c r="I5" s="31">
        <v>0.07400000000000001</v>
      </c>
    </row>
    <row r="6" spans="1:9">
      <c r="A6" s="29" t="s">
        <v>131</v>
      </c>
      <c r="B6" s="30">
        <v>102301</v>
      </c>
      <c r="C6" s="31">
        <v>0.222</v>
      </c>
      <c r="D6" s="31">
        <v>0.05599999999999999</v>
      </c>
      <c r="E6" s="30">
        <v>2442</v>
      </c>
      <c r="F6" s="32">
        <v>3.24</v>
      </c>
      <c r="G6" s="30">
        <v>3565</v>
      </c>
      <c r="H6" s="30">
        <v>562</v>
      </c>
      <c r="I6" s="31">
        <v>0.005</v>
      </c>
    </row>
    <row r="7" spans="1:9">
      <c r="A7" s="29" t="s">
        <v>132</v>
      </c>
      <c r="B7" s="30">
        <v>88425</v>
      </c>
      <c r="C7" s="31">
        <v>0.238</v>
      </c>
      <c r="D7" s="31">
        <v>0.061</v>
      </c>
      <c r="E7" s="30">
        <v>3388</v>
      </c>
      <c r="F7" s="32">
        <v>4.6</v>
      </c>
      <c r="G7" s="30">
        <v>8676</v>
      </c>
      <c r="H7" s="30">
        <v>5920</v>
      </c>
      <c r="I7" s="31">
        <v>0.067</v>
      </c>
    </row>
    <row r="8" spans="1:9">
      <c r="A8" s="29" t="s">
        <v>133</v>
      </c>
      <c r="B8" s="30">
        <v>95567</v>
      </c>
      <c r="C8" s="31">
        <v>0.222</v>
      </c>
      <c r="D8" s="31">
        <v>0.065</v>
      </c>
      <c r="E8" s="30">
        <v>4592</v>
      </c>
      <c r="F8" s="32">
        <v>6.38</v>
      </c>
      <c r="G8" s="30">
        <v>4521</v>
      </c>
      <c r="H8" s="30">
        <v>1869</v>
      </c>
      <c r="I8" s="31">
        <v>0.02</v>
      </c>
    </row>
    <row r="9" spans="1:9">
      <c r="A9" s="33" t="s">
        <v>134</v>
      </c>
      <c r="B9" s="34">
        <v>113538</v>
      </c>
      <c r="C9" s="35">
        <v>0.2</v>
      </c>
      <c r="D9" s="35">
        <v>0.07200000000000001</v>
      </c>
      <c r="E9" s="34">
        <v>5936</v>
      </c>
      <c r="F9" s="36">
        <v>8.68</v>
      </c>
      <c r="G9" s="34">
        <v>11185</v>
      </c>
      <c r="H9" s="34">
        <v>8552</v>
      </c>
      <c r="I9" s="35">
        <v>0.075</v>
      </c>
    </row>
    <row r="10" spans="1:9">
      <c r="A10" s="33" t="s">
        <v>135</v>
      </c>
      <c r="B10" s="34">
        <v>43842</v>
      </c>
      <c r="C10" s="35">
        <v>0.178</v>
      </c>
      <c r="D10" s="35">
        <v>0.083</v>
      </c>
      <c r="E10" s="34">
        <v>3438</v>
      </c>
      <c r="F10" s="36">
        <v>5.24</v>
      </c>
      <c r="G10" s="34">
        <v>4081</v>
      </c>
      <c r="H10" s="34">
        <v>3118</v>
      </c>
      <c r="I10" s="35">
        <v>0.07099999999999999</v>
      </c>
    </row>
    <row r="12" spans="1:9">
      <c r="A12" s="4" t="s">
        <v>136</v>
      </c>
      <c r="B12" s="4"/>
      <c r="C12" s="4"/>
      <c r="D12" s="4"/>
      <c r="E12" s="4"/>
      <c r="F12" s="4"/>
      <c r="G12" s="4"/>
      <c r="H12" s="4"/>
      <c r="I12" s="4"/>
    </row>
    <row r="13" spans="1:9">
      <c r="A13" s="11" t="s">
        <v>55</v>
      </c>
      <c r="B13" s="11" t="s">
        <v>137</v>
      </c>
      <c r="C13" s="11" t="s">
        <v>138</v>
      </c>
      <c r="D13" s="11" t="s">
        <v>139</v>
      </c>
    </row>
    <row r="14" spans="1:9">
      <c r="A14" s="5" t="s">
        <v>140</v>
      </c>
      <c r="B14" s="19" t="s">
        <v>108</v>
      </c>
      <c r="C14" s="19" t="s">
        <v>141</v>
      </c>
      <c r="D14" s="7" t="s">
        <v>142</v>
      </c>
    </row>
    <row r="15" spans="1:9">
      <c r="A15" s="5" t="s">
        <v>128</v>
      </c>
      <c r="B15" s="19" t="s">
        <v>143</v>
      </c>
      <c r="C15" s="19" t="s">
        <v>144</v>
      </c>
      <c r="D15" s="7" t="s">
        <v>145</v>
      </c>
    </row>
    <row r="16" spans="1:9">
      <c r="A16" s="5" t="s">
        <v>146</v>
      </c>
      <c r="B16" s="19" t="s">
        <v>147</v>
      </c>
      <c r="C16" s="19" t="s">
        <v>148</v>
      </c>
      <c r="D16" s="7" t="s">
        <v>149</v>
      </c>
    </row>
    <row r="17" spans="1:9">
      <c r="A17" s="5" t="s">
        <v>150</v>
      </c>
      <c r="B17" s="19" t="s">
        <v>148</v>
      </c>
      <c r="C17" s="19" t="s">
        <v>148</v>
      </c>
      <c r="D17" s="7" t="s">
        <v>151</v>
      </c>
    </row>
    <row r="18" spans="1:9">
      <c r="A18" s="5" t="s">
        <v>152</v>
      </c>
      <c r="B18" s="19" t="s">
        <v>153</v>
      </c>
      <c r="C18" s="19" t="s">
        <v>154</v>
      </c>
      <c r="D18" s="7" t="s">
        <v>155</v>
      </c>
    </row>
    <row r="20" spans="1:9">
      <c r="A20" s="4" t="s">
        <v>156</v>
      </c>
      <c r="B20" s="4"/>
      <c r="C20" s="4"/>
      <c r="D20" s="4"/>
      <c r="E20" s="4"/>
      <c r="F20" s="4"/>
      <c r="G20" s="4"/>
      <c r="H20" s="4"/>
      <c r="I20" s="4"/>
    </row>
    <row r="21" spans="1:9">
      <c r="A21" s="5" t="s">
        <v>157</v>
      </c>
      <c r="B21" s="19" t="s">
        <v>158</v>
      </c>
      <c r="C21" s="7" t="s">
        <v>159</v>
      </c>
    </row>
    <row r="22" spans="1:9">
      <c r="A22" s="5" t="s">
        <v>160</v>
      </c>
      <c r="B22" s="19" t="s">
        <v>161</v>
      </c>
      <c r="C22" s="7" t="s">
        <v>162</v>
      </c>
    </row>
    <row r="23" spans="1:9">
      <c r="A23" s="5" t="s">
        <v>163</v>
      </c>
      <c r="B23" s="19" t="s">
        <v>164</v>
      </c>
      <c r="C23" s="7" t="s">
        <v>165</v>
      </c>
    </row>
    <row r="24" spans="1:9">
      <c r="A24" s="5" t="s">
        <v>166</v>
      </c>
      <c r="B24" s="19" t="s">
        <v>167</v>
      </c>
      <c r="C24" s="7" t="s">
        <v>168</v>
      </c>
    </row>
    <row r="25" spans="1:9">
      <c r="A25" s="5" t="s">
        <v>128</v>
      </c>
      <c r="B25" s="19" t="s">
        <v>169</v>
      </c>
      <c r="C25" s="7" t="s">
        <v>170</v>
      </c>
    </row>
    <row r="26" spans="1:9">
      <c r="A26" s="5" t="s">
        <v>171</v>
      </c>
      <c r="B26" s="19" t="s">
        <v>172</v>
      </c>
      <c r="C26" s="7" t="s">
        <v>173</v>
      </c>
    </row>
    <row r="27" spans="1:9">
      <c r="A27" s="5" t="s">
        <v>174</v>
      </c>
      <c r="B27" s="19" t="s">
        <v>175</v>
      </c>
      <c r="C27" s="7" t="s">
        <v>176</v>
      </c>
    </row>
  </sheetData>
  <mergeCells count="2">
    <mergeCell ref="A12:I12"/>
    <mergeCell ref="A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2026-06-27T07:13:26Z</dcterms:created>
  <dcterms:modified xsi:type="dcterms:W3CDTF">2026-06-27T07:13:26Z</dcterms:modified>
</cp:coreProperties>
</file>