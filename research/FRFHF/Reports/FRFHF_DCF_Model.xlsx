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Bull-Bear 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0.00&quot;x&quot;"/>
    <numFmt numFmtId="167" formatCode="0.0000"/>
    <numFmt numFmtId="168" formatCode="0.0&quot;x&quot;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sz val="12"/>
      <u val="singl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fe6e9"/>
        <bgColor rgb="00dfe6e9"/>
      </patternFill>
    </fill>
    <fill>
      <patternFill patternType="solid">
        <fgColor rgb="002d3436"/>
        <bgColor rgb="002d3436"/>
      </patternFill>
    </fill>
    <fill>
      <patternFill patternType="solid">
        <fgColor rgb="0000b894"/>
        <bgColor rgb="0000b894"/>
      </patternFill>
    </fill>
  </fills>
  <borders count="2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1" pivotButton="0" quotePrefix="0" xfId="0"/>
    <xf numFmtId="4" fontId="0" fillId="0" borderId="1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164" fontId="4" fillId="4" borderId="1" pivotButton="0" quotePrefix="0" xfId="0"/>
    <xf numFmtId="165" fontId="0" fillId="0" borderId="1" pivotButton="0" quotePrefix="0" xfId="0"/>
    <xf numFmtId="0" fontId="4" fillId="3" borderId="1" pivotButton="0" quotePrefix="0" xfId="0"/>
    <xf numFmtId="166" fontId="4" fillId="3" borderId="1" applyAlignment="1" pivotButton="0" quotePrefix="0" xfId="0">
      <alignment horizontal="center"/>
    </xf>
    <xf numFmtId="165" fontId="4" fillId="3" borderId="1" pivotButton="0" quotePrefix="0" xfId="0"/>
    <xf numFmtId="0" fontId="0" fillId="0" borderId="0" applyAlignment="1" pivotButton="0" quotePrefix="0" xfId="0">
      <alignment wrapText="1"/>
    </xf>
    <xf numFmtId="168" fontId="0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FRFHF - Fairfax Financial Holdings — Book Value Compounding Model (Base Case)</t>
        </is>
      </c>
    </row>
    <row r="2">
      <c r="A2" s="2" t="inlineStr">
        <is>
          <t>Gray cells are INPUTS - adjust to see valuation change. Insurer model: BVPS compounding + exit P/B, NOT free-cash-flow DCF.</t>
        </is>
      </c>
    </row>
    <row r="4">
      <c r="A4" s="3" t="inlineStr">
        <is>
          <t>KEY INPUTS</t>
        </is>
      </c>
    </row>
    <row r="5">
      <c r="A5" t="inlineStr">
        <is>
          <t>Current Stock Price</t>
        </is>
      </c>
      <c r="B5" s="4" t="n">
        <v>1652</v>
      </c>
    </row>
    <row r="6">
      <c r="A6" t="inlineStr">
        <is>
          <t>Shares Outstanding (M)</t>
        </is>
      </c>
      <c r="B6" s="4" t="n">
        <v>20.6</v>
      </c>
    </row>
    <row r="7">
      <c r="A7" t="inlineStr">
        <is>
          <t>Cash &amp; Equivalents (US$M)</t>
        </is>
      </c>
      <c r="B7" s="4" t="n">
        <v>9492.200000000001</v>
      </c>
    </row>
    <row r="8">
      <c r="A8" t="inlineStr">
        <is>
          <t>Total Debt (US$M)</t>
        </is>
      </c>
      <c r="B8" s="4" t="n">
        <v>14048.8</v>
      </c>
    </row>
    <row r="9">
      <c r="A9" t="inlineStr">
        <is>
          <t>Net Debt (US$M)</t>
        </is>
      </c>
      <c r="B9" s="5">
        <f>B8-B7</f>
        <v/>
      </c>
    </row>
    <row r="10">
      <c r="A10" t="inlineStr">
        <is>
          <t>Starting BVPS (Q1 2026)</t>
        </is>
      </c>
      <c r="B10" s="6" t="n">
        <v>1250.14</v>
      </c>
    </row>
    <row r="11">
      <c r="A11" t="inlineStr">
        <is>
          <t>Annual Dividend per Share</t>
        </is>
      </c>
      <c r="B11" s="6" t="n">
        <v>15</v>
      </c>
    </row>
    <row r="13">
      <c r="A13" t="inlineStr">
        <is>
          <t>Cost of Equity (Base)</t>
        </is>
      </c>
      <c r="B13" s="7" t="n">
        <v>0.095</v>
      </c>
    </row>
    <row r="14">
      <c r="A14" t="inlineStr">
        <is>
          <t>Exit Price-to-Book (Base)</t>
        </is>
      </c>
      <c r="B14" s="8" t="n">
        <v>1.1</v>
      </c>
    </row>
    <row r="16">
      <c r="A16" s="3" t="inlineStr">
        <is>
          <t>GROWTH ASSUMPTIONS (BVPS growth, net of dividend already added back)</t>
        </is>
      </c>
    </row>
    <row r="17">
      <c r="B17" s="9" t="inlineStr">
        <is>
          <t>Year 1</t>
        </is>
      </c>
      <c r="C17" s="9" t="inlineStr">
        <is>
          <t>Year 2</t>
        </is>
      </c>
      <c r="D17" s="9" t="inlineStr">
        <is>
          <t>Year 3</t>
        </is>
      </c>
      <c r="E17" s="9" t="inlineStr">
        <is>
          <t>Year 4</t>
        </is>
      </c>
      <c r="F17" s="9" t="inlineStr">
        <is>
          <t>Year 5</t>
        </is>
      </c>
    </row>
    <row r="18">
      <c r="A18" t="inlineStr">
        <is>
          <t>BVPS Growth Rate</t>
        </is>
      </c>
      <c r="B18" s="7" t="n">
        <v>0.12</v>
      </c>
      <c r="C18" s="7" t="n">
        <v>0.115</v>
      </c>
      <c r="D18" s="7" t="n">
        <v>0.115</v>
      </c>
      <c r="E18" s="7" t="n">
        <v>0.11</v>
      </c>
      <c r="F18" s="7" t="n">
        <v>0.11</v>
      </c>
    </row>
    <row r="20">
      <c r="A20" s="3" t="inlineStr">
        <is>
          <t>PROJECTIONS</t>
        </is>
      </c>
    </row>
    <row r="21">
      <c r="A21" t="inlineStr"/>
      <c r="B21" s="9" t="inlineStr">
        <is>
          <t>Base Yr</t>
        </is>
      </c>
      <c r="C21" s="9" t="inlineStr">
        <is>
          <t>Year 1</t>
        </is>
      </c>
      <c r="D21" s="9" t="inlineStr">
        <is>
          <t>Year 2</t>
        </is>
      </c>
      <c r="E21" s="9" t="inlineStr">
        <is>
          <t>Year 3</t>
        </is>
      </c>
      <c r="F21" s="9" t="inlineStr">
        <is>
          <t>Year 4</t>
        </is>
      </c>
      <c r="G21" s="9" t="inlineStr">
        <is>
          <t>Year 5</t>
        </is>
      </c>
    </row>
    <row r="22">
      <c r="A22" t="inlineStr">
        <is>
          <t>Book Value per Share</t>
        </is>
      </c>
      <c r="B22" s="10">
        <f>B10</f>
        <v/>
      </c>
      <c r="C22" s="10">
        <f>B22*(1+B18)-$B$11</f>
        <v/>
      </c>
      <c r="D22" s="10">
        <f>C22*(1+C18)-$B$11</f>
        <v/>
      </c>
      <c r="E22" s="10">
        <f>D22*(1+D18)-$B$11</f>
        <v/>
      </c>
      <c r="F22" s="10">
        <f>E22*(1+E18)-$B$11</f>
        <v/>
      </c>
      <c r="G22" s="10">
        <f>F22*(1+F18)-$B$11</f>
        <v/>
      </c>
    </row>
    <row r="23">
      <c r="A23" t="inlineStr">
        <is>
          <t>Dividend per Share</t>
        </is>
      </c>
      <c r="C23" s="10">
        <f>$B$11</f>
        <v/>
      </c>
      <c r="D23" s="10">
        <f>$B$11</f>
        <v/>
      </c>
      <c r="E23" s="10">
        <f>$B$11</f>
        <v/>
      </c>
      <c r="F23" s="10">
        <f>$B$11</f>
        <v/>
      </c>
      <c r="G23" s="10">
        <f>$B$11</f>
        <v/>
      </c>
    </row>
    <row r="24">
      <c r="A24" t="inlineStr">
        <is>
          <t>Discount Factor (Cost of Equity)</t>
        </is>
      </c>
      <c r="C24" s="11">
        <f>1/(1+$B$13)^1</f>
        <v/>
      </c>
      <c r="D24" s="11">
        <f>1/(1+$B$13)^2</f>
        <v/>
      </c>
      <c r="E24" s="11">
        <f>1/(1+$B$13)^3</f>
        <v/>
      </c>
      <c r="F24" s="11">
        <f>1/(1+$B$13)^4</f>
        <v/>
      </c>
      <c r="G24" s="11">
        <f>1/(1+$B$13)^5</f>
        <v/>
      </c>
    </row>
    <row r="25">
      <c r="A25" t="inlineStr">
        <is>
          <t>PV of Dividend</t>
        </is>
      </c>
      <c r="C25" s="10">
        <f>C23*C24</f>
        <v/>
      </c>
      <c r="D25" s="10">
        <f>D23*D24</f>
        <v/>
      </c>
      <c r="E25" s="10">
        <f>E23*E24</f>
        <v/>
      </c>
      <c r="F25" s="10">
        <f>F23*F24</f>
        <v/>
      </c>
      <c r="G25" s="10">
        <f>G23*G24</f>
        <v/>
      </c>
    </row>
    <row r="27">
      <c r="A27" s="3" t="inlineStr">
        <is>
          <t>VALUATION</t>
        </is>
      </c>
    </row>
    <row r="28">
      <c r="A28" t="inlineStr">
        <is>
          <t>Sum of PV of Dividends</t>
        </is>
      </c>
      <c r="B28" s="10">
        <f>SUM(C25:G25)</f>
        <v/>
      </c>
    </row>
    <row r="29">
      <c r="A29" t="inlineStr">
        <is>
          <t>Terminal BVPS (Year 5)</t>
        </is>
      </c>
      <c r="B29" s="10">
        <f>G22</f>
        <v/>
      </c>
    </row>
    <row r="30">
      <c r="A30" t="inlineStr">
        <is>
          <t>Exit Price-to-Book Multiple</t>
        </is>
      </c>
      <c r="B30" s="12">
        <f>B14</f>
        <v/>
      </c>
    </row>
    <row r="31">
      <c r="A31" t="inlineStr">
        <is>
          <t>Terminal Value per Share</t>
        </is>
      </c>
      <c r="B31" s="10">
        <f>B29*B30</f>
        <v/>
      </c>
    </row>
    <row r="32">
      <c r="A32" t="inlineStr">
        <is>
          <t>PV of Terminal Value</t>
        </is>
      </c>
      <c r="B32" s="10">
        <f>B31*G24</f>
        <v/>
      </c>
    </row>
    <row r="33">
      <c r="A33" s="13" t="inlineStr">
        <is>
          <t>INTRINSIC VALUE / SHARE</t>
        </is>
      </c>
      <c r="B33" s="14">
        <f>B28+B32</f>
        <v/>
      </c>
    </row>
    <row r="34">
      <c r="A34" t="inlineStr">
        <is>
          <t>Upside / (Downside) vs Current Price</t>
        </is>
      </c>
      <c r="B34" s="15">
        <f>(B33-B5)/B5</f>
        <v/>
      </c>
    </row>
    <row r="36">
      <c r="A36" s="3" t="inlineStr">
        <is>
          <t>ENTRY PRICE (15% CAGR Target)</t>
        </is>
      </c>
    </row>
    <row r="37">
      <c r="A37" t="inlineStr">
        <is>
          <t>Target CAGR</t>
        </is>
      </c>
      <c r="B37" s="7" t="n">
        <v>0.15</v>
      </c>
    </row>
    <row r="38">
      <c r="A38" t="inlineStr">
        <is>
          <t>Reinvested Dividends FV (at target CAGR, to Yr 5)</t>
        </is>
      </c>
      <c r="B38" s="10">
        <f>C23*(1+$B$37)^4+D23*(1+$B$37)^3+E23*(1+$B$37)^2+F23*(1+$B$37)^1+G23*(1+$B$37)^0</f>
        <v/>
      </c>
    </row>
    <row r="39">
      <c r="A39" t="inlineStr">
        <is>
          <t>Total Year-5 Value (Terminal Value + Reinvested Divs)</t>
        </is>
      </c>
      <c r="B39" s="10">
        <f>B31+B38</f>
        <v/>
      </c>
    </row>
    <row r="40">
      <c r="A40" t="inlineStr">
        <is>
          <t>Entry Price (15% CAGR)</t>
        </is>
      </c>
      <c r="B40" s="14">
        <f>B39/(1+$B$37)^5</f>
        <v/>
      </c>
    </row>
    <row r="41">
      <c r="A41" t="inlineStr">
        <is>
          <t>Current Price vs Entry Price</t>
        </is>
      </c>
      <c r="B41" s="15">
        <f>(B5-B40)/B5</f>
        <v/>
      </c>
    </row>
    <row r="43">
      <c r="A43" s="2" t="inlineStr">
        <is>
          <t>Note: BVPS growth rate is net-of-dividend total value creation (dividend added back before compounding,</t>
        </is>
      </c>
    </row>
    <row r="44">
      <c r="A44" s="2" t="inlineStr">
        <is>
          <t>consistent with management's own 'BVPS growth adjusted for dividend' convention). Discounting uses</t>
        </is>
      </c>
    </row>
    <row r="45">
      <c r="A45" s="2" t="inlineStr">
        <is>
          <t>COST OF EQUITY (equity-holder view), not WACC — this is a per-share valuation, not enterprise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Bull / Bear Scenario Detail</t>
        </is>
      </c>
    </row>
    <row r="3">
      <c r="A3" s="3" t="inlineStr">
        <is>
          <t>BULL CASE</t>
        </is>
      </c>
    </row>
    <row r="4">
      <c r="A4" t="inlineStr">
        <is>
          <t>Cost of Equity</t>
        </is>
      </c>
      <c r="B4" s="7" t="n">
        <v>0.09</v>
      </c>
    </row>
    <row r="5">
      <c r="A5" t="inlineStr">
        <is>
          <t>Exit Price-to-Book</t>
        </is>
      </c>
      <c r="B5" s="8" t="n">
        <v>1.3</v>
      </c>
    </row>
    <row r="6">
      <c r="B6" s="9" t="inlineStr">
        <is>
          <t>Year 1</t>
        </is>
      </c>
      <c r="C6" s="9" t="inlineStr">
        <is>
          <t>Year 2</t>
        </is>
      </c>
      <c r="D6" s="9" t="inlineStr">
        <is>
          <t>Year 3</t>
        </is>
      </c>
      <c r="E6" s="9" t="inlineStr">
        <is>
          <t>Year 4</t>
        </is>
      </c>
      <c r="F6" s="9" t="inlineStr">
        <is>
          <t>Year 5</t>
        </is>
      </c>
    </row>
    <row r="7">
      <c r="A7" t="inlineStr">
        <is>
          <t>BVPS Growth Rate</t>
        </is>
      </c>
      <c r="B7" s="7" t="n">
        <v>0.15</v>
      </c>
      <c r="C7" s="7" t="n">
        <v>0.145</v>
      </c>
      <c r="D7" s="7" t="n">
        <v>0.14</v>
      </c>
      <c r="E7" s="7" t="n">
        <v>0.14</v>
      </c>
      <c r="F7" s="7" t="n">
        <v>0.135</v>
      </c>
    </row>
    <row r="8">
      <c r="A8" t="inlineStr">
        <is>
          <t>BVPS</t>
        </is>
      </c>
      <c r="B8" s="10">
        <f>'DCF Model'!$B$10</f>
        <v/>
      </c>
      <c r="C8" s="10">
        <f>B8*(1+B7)-'DCF Model'!$B$11</f>
        <v/>
      </c>
      <c r="D8" s="10">
        <f>C8*(1+C7)-'DCF Model'!$B$11</f>
        <v/>
      </c>
      <c r="E8" s="10">
        <f>D8*(1+D7)-'DCF Model'!$B$11</f>
        <v/>
      </c>
      <c r="F8" s="10">
        <f>E8*(1+E7)-'DCF Model'!$B$11</f>
        <v/>
      </c>
      <c r="G8" s="10">
        <f>F8*(1+F7)-'DCF Model'!$B$11</f>
        <v/>
      </c>
    </row>
    <row r="9">
      <c r="A9" t="inlineStr">
        <is>
          <t>Dividend per Share</t>
        </is>
      </c>
      <c r="C9" s="10">
        <f>'DCF Model'!$B$11</f>
        <v/>
      </c>
      <c r="D9" s="10">
        <f>'DCF Model'!$B$11</f>
        <v/>
      </c>
      <c r="E9" s="10">
        <f>'DCF Model'!$B$11</f>
        <v/>
      </c>
      <c r="F9" s="10">
        <f>'DCF Model'!$B$11</f>
        <v/>
      </c>
      <c r="G9" s="10">
        <f>'DCF Model'!$B$11</f>
        <v/>
      </c>
    </row>
    <row r="10">
      <c r="A10" t="inlineStr">
        <is>
          <t>Discount Factor</t>
        </is>
      </c>
      <c r="C10" s="11">
        <f>1/(1+B4)^1</f>
        <v/>
      </c>
      <c r="D10" s="11">
        <f>1/(1+B4)^2</f>
        <v/>
      </c>
      <c r="E10" s="11">
        <f>1/(1+B4)^3</f>
        <v/>
      </c>
      <c r="F10" s="11">
        <f>1/(1+B4)^4</f>
        <v/>
      </c>
      <c r="G10" s="11">
        <f>1/(1+B4)^5</f>
        <v/>
      </c>
    </row>
    <row r="11">
      <c r="A11" t="inlineStr">
        <is>
          <t>PV of Dividend</t>
        </is>
      </c>
      <c r="C11" s="10">
        <f>C9*C10</f>
        <v/>
      </c>
      <c r="D11" s="10">
        <f>D9*D10</f>
        <v/>
      </c>
      <c r="E11" s="10">
        <f>E9*E10</f>
        <v/>
      </c>
      <c r="F11" s="10">
        <f>F9*F10</f>
        <v/>
      </c>
      <c r="G11" s="10">
        <f>G9*G10</f>
        <v/>
      </c>
    </row>
    <row r="13">
      <c r="A13" t="inlineStr">
        <is>
          <t>Sum PV of Dividends</t>
        </is>
      </c>
      <c r="B13" s="10">
        <f>SUM(C11:G11)</f>
        <v/>
      </c>
    </row>
    <row r="14">
      <c r="A14" t="inlineStr">
        <is>
          <t>Terminal BVPS (Yr 5)</t>
        </is>
      </c>
      <c r="B14" s="10">
        <f>G8</f>
        <v/>
      </c>
    </row>
    <row r="15">
      <c r="A15" t="inlineStr">
        <is>
          <t>Terminal Value per Share</t>
        </is>
      </c>
      <c r="B15" s="10">
        <f>B14*B5</f>
        <v/>
      </c>
    </row>
    <row r="16">
      <c r="A16" t="inlineStr">
        <is>
          <t>PV of Terminal Value</t>
        </is>
      </c>
      <c r="B16" s="10">
        <f>B15*G10</f>
        <v/>
      </c>
    </row>
    <row r="17">
      <c r="A17" s="13" t="inlineStr">
        <is>
          <t>INTRINSIC VALUE / SHARE</t>
        </is>
      </c>
      <c r="B17" s="14">
        <f>B13+B16</f>
        <v/>
      </c>
    </row>
    <row r="18">
      <c r="A18" t="inlineStr">
        <is>
          <t>Upside / (Downside)</t>
        </is>
      </c>
      <c r="B18" s="15">
        <f>(B17-'DCF Model'!$B$5)/'DCF Model'!$B$5</f>
        <v/>
      </c>
    </row>
    <row r="20">
      <c r="A20" s="3" t="inlineStr">
        <is>
          <t>BEAR CASE</t>
        </is>
      </c>
    </row>
    <row r="21">
      <c r="A21" t="inlineStr">
        <is>
          <t>Cost of Equity</t>
        </is>
      </c>
      <c r="B21" s="7" t="n">
        <v>0.105</v>
      </c>
    </row>
    <row r="22">
      <c r="A22" t="inlineStr">
        <is>
          <t>Exit Price-to-Book</t>
        </is>
      </c>
      <c r="B22" s="8" t="n">
        <v>0.9</v>
      </c>
    </row>
    <row r="23">
      <c r="B23" s="9" t="inlineStr">
        <is>
          <t>Year 1</t>
        </is>
      </c>
      <c r="C23" s="9" t="inlineStr">
        <is>
          <t>Year 2</t>
        </is>
      </c>
      <c r="D23" s="9" t="inlineStr">
        <is>
          <t>Year 3</t>
        </is>
      </c>
      <c r="E23" s="9" t="inlineStr">
        <is>
          <t>Year 4</t>
        </is>
      </c>
      <c r="F23" s="9" t="inlineStr">
        <is>
          <t>Year 5</t>
        </is>
      </c>
    </row>
    <row r="24">
      <c r="A24" t="inlineStr">
        <is>
          <t>BVPS Growth Rate</t>
        </is>
      </c>
      <c r="B24" s="7" t="n">
        <v>0.08</v>
      </c>
      <c r="C24" s="7" t="n">
        <v>0.075</v>
      </c>
      <c r="D24" s="7" t="n">
        <v>0.075</v>
      </c>
      <c r="E24" s="7" t="n">
        <v>0.07000000000000001</v>
      </c>
      <c r="F24" s="7" t="n">
        <v>0.07000000000000001</v>
      </c>
    </row>
    <row r="25">
      <c r="A25" t="inlineStr">
        <is>
          <t>BVPS</t>
        </is>
      </c>
      <c r="B25" s="10">
        <f>'DCF Model'!$B$10</f>
        <v/>
      </c>
      <c r="C25" s="10">
        <f>B25*(1+B24)-'DCF Model'!$B$11</f>
        <v/>
      </c>
      <c r="D25" s="10">
        <f>C25*(1+C24)-'DCF Model'!$B$11</f>
        <v/>
      </c>
      <c r="E25" s="10">
        <f>D25*(1+D24)-'DCF Model'!$B$11</f>
        <v/>
      </c>
      <c r="F25" s="10">
        <f>E25*(1+E24)-'DCF Model'!$B$11</f>
        <v/>
      </c>
      <c r="G25" s="10">
        <f>F25*(1+F24)-'DCF Model'!$B$11</f>
        <v/>
      </c>
    </row>
    <row r="26">
      <c r="A26" t="inlineStr">
        <is>
          <t>Dividend per Share</t>
        </is>
      </c>
      <c r="C26" s="10">
        <f>'DCF Model'!$B$11</f>
        <v/>
      </c>
      <c r="D26" s="10">
        <f>'DCF Model'!$B$11</f>
        <v/>
      </c>
      <c r="E26" s="10">
        <f>'DCF Model'!$B$11</f>
        <v/>
      </c>
      <c r="F26" s="10">
        <f>'DCF Model'!$B$11</f>
        <v/>
      </c>
      <c r="G26" s="10">
        <f>'DCF Model'!$B$11</f>
        <v/>
      </c>
    </row>
    <row r="27">
      <c r="A27" t="inlineStr">
        <is>
          <t>Discount Factor</t>
        </is>
      </c>
      <c r="C27" s="11">
        <f>1/(1+B21)^1</f>
        <v/>
      </c>
      <c r="D27" s="11">
        <f>1/(1+B21)^2</f>
        <v/>
      </c>
      <c r="E27" s="11">
        <f>1/(1+B21)^3</f>
        <v/>
      </c>
      <c r="F27" s="11">
        <f>1/(1+B21)^4</f>
        <v/>
      </c>
      <c r="G27" s="11">
        <f>1/(1+B21)^5</f>
        <v/>
      </c>
    </row>
    <row r="28">
      <c r="A28" t="inlineStr">
        <is>
          <t>PV of Dividend</t>
        </is>
      </c>
      <c r="C28" s="10">
        <f>C26*C27</f>
        <v/>
      </c>
      <c r="D28" s="10">
        <f>D26*D27</f>
        <v/>
      </c>
      <c r="E28" s="10">
        <f>E26*E27</f>
        <v/>
      </c>
      <c r="F28" s="10">
        <f>F26*F27</f>
        <v/>
      </c>
      <c r="G28" s="10">
        <f>G26*G27</f>
        <v/>
      </c>
    </row>
    <row r="30">
      <c r="A30" t="inlineStr">
        <is>
          <t>Sum PV of Dividends</t>
        </is>
      </c>
      <c r="B30" s="10">
        <f>SUM(C28:G28)</f>
        <v/>
      </c>
    </row>
    <row r="31">
      <c r="A31" t="inlineStr">
        <is>
          <t>Terminal BVPS (Yr 5)</t>
        </is>
      </c>
      <c r="B31" s="10">
        <f>G25</f>
        <v/>
      </c>
    </row>
    <row r="32">
      <c r="A32" t="inlineStr">
        <is>
          <t>Terminal Value per Share</t>
        </is>
      </c>
      <c r="B32" s="10">
        <f>B31*B22</f>
        <v/>
      </c>
    </row>
    <row r="33">
      <c r="A33" t="inlineStr">
        <is>
          <t>PV of Terminal Value</t>
        </is>
      </c>
      <c r="B33" s="10">
        <f>B32*G27</f>
        <v/>
      </c>
    </row>
    <row r="34">
      <c r="A34" s="13" t="inlineStr">
        <is>
          <t>INTRINSIC VALUE / SHARE</t>
        </is>
      </c>
      <c r="B34" s="14">
        <f>B30+B33</f>
        <v/>
      </c>
    </row>
    <row r="35">
      <c r="A35" t="inlineStr">
        <is>
          <t>Upside / (Downside)</t>
        </is>
      </c>
      <c r="B35" s="15">
        <f>(B34-'DCF Model'!$B$5)/'DCF Model'!$B$5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Analysis</t>
        </is>
      </c>
    </row>
    <row r="2">
      <c r="A2" s="2" t="inlineStr">
        <is>
          <t>Intrinsic Value/Share by BVPS Growth Rate (avg, base 5yr path shifted uniformly) &amp; Exit Price-to-Book</t>
        </is>
      </c>
    </row>
    <row r="4">
      <c r="A4" s="16" t="inlineStr">
        <is>
          <t>Growth \ Exit P/B</t>
        </is>
      </c>
      <c r="B4" s="17" t="n">
        <v>0.9</v>
      </c>
      <c r="C4" s="17" t="n">
        <v>1</v>
      </c>
      <c r="D4" s="17" t="n">
        <v>1.1</v>
      </c>
      <c r="E4" s="17" t="n">
        <v>1.2</v>
      </c>
      <c r="F4" s="17" t="n">
        <v>1.3</v>
      </c>
    </row>
    <row r="5">
      <c r="A5" s="18" t="n">
        <v>0.07400000000000001</v>
      </c>
      <c r="B5" s="10">
        <f>('DCF Model'!$B$11*(1/(1+0.095)^1)+'DCF Model'!$B$11*(1/(1+0.095)^2)+'DCF Model'!$B$11*(1/(1+0.095)^3)+'DCF Model'!$B$11*(1/(1+0.095)^4)+'DCF Model'!$B$11*(1/(1+0.095)^5))+((((('DCF Model'!$B$10*(1+0.08)-'DCF Model'!$B$11)*(1+0.075)-'DCF Model'!$B$11)*(1+0.075)-'DCF Model'!$B$11)*(1+0.07)-'DCF Model'!$B$11)*(1+0.07)-'DCF Model'!$B$11)*0.9*(1/(1+0.095)^5)</f>
        <v/>
      </c>
      <c r="C5" s="10">
        <f>('DCF Model'!$B$11*(1/(1+0.095)^1)+'DCF Model'!$B$11*(1/(1+0.095)^2)+'DCF Model'!$B$11*(1/(1+0.095)^3)+'DCF Model'!$B$11*(1/(1+0.095)^4)+'DCF Model'!$B$11*(1/(1+0.095)^5))+((((('DCF Model'!$B$10*(1+0.08)-'DCF Model'!$B$11)*(1+0.075)-'DCF Model'!$B$11)*(1+0.075)-'DCF Model'!$B$11)*(1+0.07)-'DCF Model'!$B$11)*(1+0.07)-'DCF Model'!$B$11)*1.0*(1/(1+0.095)^5)</f>
        <v/>
      </c>
      <c r="D5" s="10">
        <f>('DCF Model'!$B$11*(1/(1+0.095)^1)+'DCF Model'!$B$11*(1/(1+0.095)^2)+'DCF Model'!$B$11*(1/(1+0.095)^3)+'DCF Model'!$B$11*(1/(1+0.095)^4)+'DCF Model'!$B$11*(1/(1+0.095)^5))+((((('DCF Model'!$B$10*(1+0.08)-'DCF Model'!$B$11)*(1+0.075)-'DCF Model'!$B$11)*(1+0.075)-'DCF Model'!$B$11)*(1+0.07)-'DCF Model'!$B$11)*(1+0.07)-'DCF Model'!$B$11)*1.1*(1/(1+0.095)^5)</f>
        <v/>
      </c>
      <c r="E5" s="10">
        <f>('DCF Model'!$B$11*(1/(1+0.095)^1)+'DCF Model'!$B$11*(1/(1+0.095)^2)+'DCF Model'!$B$11*(1/(1+0.095)^3)+'DCF Model'!$B$11*(1/(1+0.095)^4)+'DCF Model'!$B$11*(1/(1+0.095)^5))+((((('DCF Model'!$B$10*(1+0.08)-'DCF Model'!$B$11)*(1+0.075)-'DCF Model'!$B$11)*(1+0.075)-'DCF Model'!$B$11)*(1+0.07)-'DCF Model'!$B$11)*(1+0.07)-'DCF Model'!$B$11)*1.2*(1/(1+0.095)^5)</f>
        <v/>
      </c>
      <c r="F5" s="10">
        <f>('DCF Model'!$B$11*(1/(1+0.095)^1)+'DCF Model'!$B$11*(1/(1+0.095)^2)+'DCF Model'!$B$11*(1/(1+0.095)^3)+'DCF Model'!$B$11*(1/(1+0.095)^4)+'DCF Model'!$B$11*(1/(1+0.095)^5))+((((('DCF Model'!$B$10*(1+0.08)-'DCF Model'!$B$11)*(1+0.075)-'DCF Model'!$B$11)*(1+0.075)-'DCF Model'!$B$11)*(1+0.07)-'DCF Model'!$B$11)*(1+0.07)-'DCF Model'!$B$11)*1.3*(1/(1+0.095)^5)</f>
        <v/>
      </c>
    </row>
    <row r="6">
      <c r="A6" s="18" t="n">
        <v>0.094</v>
      </c>
      <c r="B6" s="10">
        <f>('DCF Model'!$B$11*(1/(1+0.095)^1)+'DCF Model'!$B$11*(1/(1+0.095)^2)+'DCF Model'!$B$11*(1/(1+0.095)^3)+'DCF Model'!$B$11*(1/(1+0.095)^4)+'DCF Model'!$B$11*(1/(1+0.095)^5))+((((('DCF Model'!$B$10*(1+0.1)-'DCF Model'!$B$11)*(1+0.095)-'DCF Model'!$B$11)*(1+0.095)-'DCF Model'!$B$11)*(1+0.09)-'DCF Model'!$B$11)*(1+0.09)-'DCF Model'!$B$11)*0.9*(1/(1+0.095)^5)</f>
        <v/>
      </c>
      <c r="C6" s="10">
        <f>('DCF Model'!$B$11*(1/(1+0.095)^1)+'DCF Model'!$B$11*(1/(1+0.095)^2)+'DCF Model'!$B$11*(1/(1+0.095)^3)+'DCF Model'!$B$11*(1/(1+0.095)^4)+'DCF Model'!$B$11*(1/(1+0.095)^5))+((((('DCF Model'!$B$10*(1+0.1)-'DCF Model'!$B$11)*(1+0.095)-'DCF Model'!$B$11)*(1+0.095)-'DCF Model'!$B$11)*(1+0.09)-'DCF Model'!$B$11)*(1+0.09)-'DCF Model'!$B$11)*1.0*(1/(1+0.095)^5)</f>
        <v/>
      </c>
      <c r="D6" s="10">
        <f>('DCF Model'!$B$11*(1/(1+0.095)^1)+'DCF Model'!$B$11*(1/(1+0.095)^2)+'DCF Model'!$B$11*(1/(1+0.095)^3)+'DCF Model'!$B$11*(1/(1+0.095)^4)+'DCF Model'!$B$11*(1/(1+0.095)^5))+((((('DCF Model'!$B$10*(1+0.1)-'DCF Model'!$B$11)*(1+0.095)-'DCF Model'!$B$11)*(1+0.095)-'DCF Model'!$B$11)*(1+0.09)-'DCF Model'!$B$11)*(1+0.09)-'DCF Model'!$B$11)*1.1*(1/(1+0.095)^5)</f>
        <v/>
      </c>
      <c r="E6" s="10">
        <f>('DCF Model'!$B$11*(1/(1+0.095)^1)+'DCF Model'!$B$11*(1/(1+0.095)^2)+'DCF Model'!$B$11*(1/(1+0.095)^3)+'DCF Model'!$B$11*(1/(1+0.095)^4)+'DCF Model'!$B$11*(1/(1+0.095)^5))+((((('DCF Model'!$B$10*(1+0.1)-'DCF Model'!$B$11)*(1+0.095)-'DCF Model'!$B$11)*(1+0.095)-'DCF Model'!$B$11)*(1+0.09)-'DCF Model'!$B$11)*(1+0.09)-'DCF Model'!$B$11)*1.2*(1/(1+0.095)^5)</f>
        <v/>
      </c>
      <c r="F6" s="10">
        <f>('DCF Model'!$B$11*(1/(1+0.095)^1)+'DCF Model'!$B$11*(1/(1+0.095)^2)+'DCF Model'!$B$11*(1/(1+0.095)^3)+'DCF Model'!$B$11*(1/(1+0.095)^4)+'DCF Model'!$B$11*(1/(1+0.095)^5))+((((('DCF Model'!$B$10*(1+0.1)-'DCF Model'!$B$11)*(1+0.095)-'DCF Model'!$B$11)*(1+0.095)-'DCF Model'!$B$11)*(1+0.09)-'DCF Model'!$B$11)*(1+0.09)-'DCF Model'!$B$11)*1.3*(1/(1+0.095)^5)</f>
        <v/>
      </c>
    </row>
    <row r="7">
      <c r="A7" s="18" t="n">
        <v>0.114</v>
      </c>
      <c r="B7" s="10">
        <f>('DCF Model'!$B$11*(1/(1+0.095)^1)+'DCF Model'!$B$11*(1/(1+0.095)^2)+'DCF Model'!$B$11*(1/(1+0.095)^3)+'DCF Model'!$B$11*(1/(1+0.095)^4)+'DCF Model'!$B$11*(1/(1+0.095)^5))+((((('DCF Model'!$B$10*(1+0.12)-'DCF Model'!$B$11)*(1+0.115)-'DCF Model'!$B$11)*(1+0.115)-'DCF Model'!$B$11)*(1+0.11)-'DCF Model'!$B$11)*(1+0.11)-'DCF Model'!$B$11)*0.9*(1/(1+0.095)^5)</f>
        <v/>
      </c>
      <c r="C7" s="10">
        <f>('DCF Model'!$B$11*(1/(1+0.095)^1)+'DCF Model'!$B$11*(1/(1+0.095)^2)+'DCF Model'!$B$11*(1/(1+0.095)^3)+'DCF Model'!$B$11*(1/(1+0.095)^4)+'DCF Model'!$B$11*(1/(1+0.095)^5))+((((('DCF Model'!$B$10*(1+0.12)-'DCF Model'!$B$11)*(1+0.115)-'DCF Model'!$B$11)*(1+0.115)-'DCF Model'!$B$11)*(1+0.11)-'DCF Model'!$B$11)*(1+0.11)-'DCF Model'!$B$11)*1.0*(1/(1+0.095)^5)</f>
        <v/>
      </c>
      <c r="D7" s="10">
        <f>('DCF Model'!$B$11*(1/(1+0.095)^1)+'DCF Model'!$B$11*(1/(1+0.095)^2)+'DCF Model'!$B$11*(1/(1+0.095)^3)+'DCF Model'!$B$11*(1/(1+0.095)^4)+'DCF Model'!$B$11*(1/(1+0.095)^5))+((((('DCF Model'!$B$10*(1+0.12)-'DCF Model'!$B$11)*(1+0.115)-'DCF Model'!$B$11)*(1+0.115)-'DCF Model'!$B$11)*(1+0.11)-'DCF Model'!$B$11)*(1+0.11)-'DCF Model'!$B$11)*1.1*(1/(1+0.095)^5)</f>
        <v/>
      </c>
      <c r="E7" s="10">
        <f>('DCF Model'!$B$11*(1/(1+0.095)^1)+'DCF Model'!$B$11*(1/(1+0.095)^2)+'DCF Model'!$B$11*(1/(1+0.095)^3)+'DCF Model'!$B$11*(1/(1+0.095)^4)+'DCF Model'!$B$11*(1/(1+0.095)^5))+((((('DCF Model'!$B$10*(1+0.12)-'DCF Model'!$B$11)*(1+0.115)-'DCF Model'!$B$11)*(1+0.115)-'DCF Model'!$B$11)*(1+0.11)-'DCF Model'!$B$11)*(1+0.11)-'DCF Model'!$B$11)*1.2*(1/(1+0.095)^5)</f>
        <v/>
      </c>
      <c r="F7" s="10">
        <f>('DCF Model'!$B$11*(1/(1+0.095)^1)+'DCF Model'!$B$11*(1/(1+0.095)^2)+'DCF Model'!$B$11*(1/(1+0.095)^3)+'DCF Model'!$B$11*(1/(1+0.095)^4)+'DCF Model'!$B$11*(1/(1+0.095)^5))+((((('DCF Model'!$B$10*(1+0.12)-'DCF Model'!$B$11)*(1+0.115)-'DCF Model'!$B$11)*(1+0.115)-'DCF Model'!$B$11)*(1+0.11)-'DCF Model'!$B$11)*(1+0.11)-'DCF Model'!$B$11)*1.3*(1/(1+0.095)^5)</f>
        <v/>
      </c>
    </row>
    <row r="8">
      <c r="A8" s="18" t="n">
        <v>0.134</v>
      </c>
      <c r="B8" s="10">
        <f>('DCF Model'!$B$11*(1/(1+0.095)^1)+'DCF Model'!$B$11*(1/(1+0.095)^2)+'DCF Model'!$B$11*(1/(1+0.095)^3)+'DCF Model'!$B$11*(1/(1+0.095)^4)+'DCF Model'!$B$11*(1/(1+0.095)^5))+((((('DCF Model'!$B$10*(1+0.14)-'DCF Model'!$B$11)*(1+0.135)-'DCF Model'!$B$11)*(1+0.135)-'DCF Model'!$B$11)*(1+0.13)-'DCF Model'!$B$11)*(1+0.13)-'DCF Model'!$B$11)*0.9*(1/(1+0.095)^5)</f>
        <v/>
      </c>
      <c r="C8" s="10">
        <f>('DCF Model'!$B$11*(1/(1+0.095)^1)+'DCF Model'!$B$11*(1/(1+0.095)^2)+'DCF Model'!$B$11*(1/(1+0.095)^3)+'DCF Model'!$B$11*(1/(1+0.095)^4)+'DCF Model'!$B$11*(1/(1+0.095)^5))+((((('DCF Model'!$B$10*(1+0.14)-'DCF Model'!$B$11)*(1+0.135)-'DCF Model'!$B$11)*(1+0.135)-'DCF Model'!$B$11)*(1+0.13)-'DCF Model'!$B$11)*(1+0.13)-'DCF Model'!$B$11)*1.0*(1/(1+0.095)^5)</f>
        <v/>
      </c>
      <c r="D8" s="10">
        <f>('DCF Model'!$B$11*(1/(1+0.095)^1)+'DCF Model'!$B$11*(1/(1+0.095)^2)+'DCF Model'!$B$11*(1/(1+0.095)^3)+'DCF Model'!$B$11*(1/(1+0.095)^4)+'DCF Model'!$B$11*(1/(1+0.095)^5))+((((('DCF Model'!$B$10*(1+0.14)-'DCF Model'!$B$11)*(1+0.135)-'DCF Model'!$B$11)*(1+0.135)-'DCF Model'!$B$11)*(1+0.13)-'DCF Model'!$B$11)*(1+0.13)-'DCF Model'!$B$11)*1.1*(1/(1+0.095)^5)</f>
        <v/>
      </c>
      <c r="E8" s="10">
        <f>('DCF Model'!$B$11*(1/(1+0.095)^1)+'DCF Model'!$B$11*(1/(1+0.095)^2)+'DCF Model'!$B$11*(1/(1+0.095)^3)+'DCF Model'!$B$11*(1/(1+0.095)^4)+'DCF Model'!$B$11*(1/(1+0.095)^5))+((((('DCF Model'!$B$10*(1+0.14)-'DCF Model'!$B$11)*(1+0.135)-'DCF Model'!$B$11)*(1+0.135)-'DCF Model'!$B$11)*(1+0.13)-'DCF Model'!$B$11)*(1+0.13)-'DCF Model'!$B$11)*1.2*(1/(1+0.095)^5)</f>
        <v/>
      </c>
      <c r="F8" s="10">
        <f>('DCF Model'!$B$11*(1/(1+0.095)^1)+'DCF Model'!$B$11*(1/(1+0.095)^2)+'DCF Model'!$B$11*(1/(1+0.095)^3)+'DCF Model'!$B$11*(1/(1+0.095)^4)+'DCF Model'!$B$11*(1/(1+0.095)^5))+((((('DCF Model'!$B$10*(1+0.14)-'DCF Model'!$B$11)*(1+0.135)-'DCF Model'!$B$11)*(1+0.135)-'DCF Model'!$B$11)*(1+0.13)-'DCF Model'!$B$11)*(1+0.13)-'DCF Model'!$B$11)*1.3*(1/(1+0.095)^5)</f>
        <v/>
      </c>
    </row>
    <row r="9">
      <c r="A9" s="18" t="n">
        <v>0.154</v>
      </c>
      <c r="B9" s="10">
        <f>('DCF Model'!$B$11*(1/(1+0.095)^1)+'DCF Model'!$B$11*(1/(1+0.095)^2)+'DCF Model'!$B$11*(1/(1+0.095)^3)+'DCF Model'!$B$11*(1/(1+0.095)^4)+'DCF Model'!$B$11*(1/(1+0.095)^5))+((((('DCF Model'!$B$10*(1+0.16)-'DCF Model'!$B$11)*(1+0.155)-'DCF Model'!$B$11)*(1+0.155)-'DCF Model'!$B$11)*(1+0.15)-'DCF Model'!$B$11)*(1+0.15)-'DCF Model'!$B$11)*0.9*(1/(1+0.095)^5)</f>
        <v/>
      </c>
      <c r="C9" s="10">
        <f>('DCF Model'!$B$11*(1/(1+0.095)^1)+'DCF Model'!$B$11*(1/(1+0.095)^2)+'DCF Model'!$B$11*(1/(1+0.095)^3)+'DCF Model'!$B$11*(1/(1+0.095)^4)+'DCF Model'!$B$11*(1/(1+0.095)^5))+((((('DCF Model'!$B$10*(1+0.16)-'DCF Model'!$B$11)*(1+0.155)-'DCF Model'!$B$11)*(1+0.155)-'DCF Model'!$B$11)*(1+0.15)-'DCF Model'!$B$11)*(1+0.15)-'DCF Model'!$B$11)*1.0*(1/(1+0.095)^5)</f>
        <v/>
      </c>
      <c r="D9" s="10">
        <f>('DCF Model'!$B$11*(1/(1+0.095)^1)+'DCF Model'!$B$11*(1/(1+0.095)^2)+'DCF Model'!$B$11*(1/(1+0.095)^3)+'DCF Model'!$B$11*(1/(1+0.095)^4)+'DCF Model'!$B$11*(1/(1+0.095)^5))+((((('DCF Model'!$B$10*(1+0.16)-'DCF Model'!$B$11)*(1+0.155)-'DCF Model'!$B$11)*(1+0.155)-'DCF Model'!$B$11)*(1+0.15)-'DCF Model'!$B$11)*(1+0.15)-'DCF Model'!$B$11)*1.1*(1/(1+0.095)^5)</f>
        <v/>
      </c>
      <c r="E9" s="10">
        <f>('DCF Model'!$B$11*(1/(1+0.095)^1)+'DCF Model'!$B$11*(1/(1+0.095)^2)+'DCF Model'!$B$11*(1/(1+0.095)^3)+'DCF Model'!$B$11*(1/(1+0.095)^4)+'DCF Model'!$B$11*(1/(1+0.095)^5))+((((('DCF Model'!$B$10*(1+0.16)-'DCF Model'!$B$11)*(1+0.155)-'DCF Model'!$B$11)*(1+0.155)-'DCF Model'!$B$11)*(1+0.15)-'DCF Model'!$B$11)*(1+0.15)-'DCF Model'!$B$11)*1.2*(1/(1+0.095)^5)</f>
        <v/>
      </c>
      <c r="F9" s="10">
        <f>('DCF Model'!$B$11*(1/(1+0.095)^1)+'DCF Model'!$B$11*(1/(1+0.095)^2)+'DCF Model'!$B$11*(1/(1+0.095)^3)+'DCF Model'!$B$11*(1/(1+0.095)^4)+'DCF Model'!$B$11*(1/(1+0.095)^5))+((((('DCF Model'!$B$10*(1+0.16)-'DCF Model'!$B$11)*(1+0.155)-'DCF Model'!$B$11)*(1+0.155)-'DCF Model'!$B$11)*(1+0.15)-'DCF Model'!$B$11)*(1+0.15)-'DCF Model'!$B$11)*1.3*(1/(1+0.095)^5)</f>
        <v/>
      </c>
    </row>
    <row r="11">
      <c r="A11" s="2" t="inlineStr">
        <is>
          <t>Note: Cost of equity held at base case (9.5%). Rows = average annual BVPS growth rate over the 5-yr</t>
        </is>
      </c>
    </row>
    <row r="12">
      <c r="A12" s="2" t="inlineStr">
        <is>
          <t>path (base path shifted uniformly -4pp to +4pp). Columns = exit price-to-book multiple applied to Year-5 BVPS.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Historical Growth Rates</t>
        </is>
      </c>
    </row>
    <row r="3">
      <c r="A3" s="16" t="inlineStr">
        <is>
          <t>Metric</t>
        </is>
      </c>
      <c r="B3" s="16" t="inlineStr">
        <is>
          <t>3-Year CAGR</t>
        </is>
      </c>
      <c r="C3" s="16" t="inlineStr">
        <is>
          <t>5-Year CAGR / Other</t>
        </is>
      </c>
    </row>
    <row r="4">
      <c r="A4" t="inlineStr">
        <is>
          <t>BVPS</t>
        </is>
      </c>
      <c r="B4" s="15" t="n">
        <v>0.2421</v>
      </c>
      <c r="C4" s="15" t="n">
        <v>0.2138</v>
      </c>
    </row>
    <row r="5">
      <c r="A5" t="inlineStr">
        <is>
          <t>BVPS (10yr)</t>
        </is>
      </c>
      <c r="C5" s="15" t="n">
        <v>0.1208</v>
      </c>
    </row>
    <row r="6">
      <c r="A6" t="inlineStr">
        <is>
          <t>BVPS (since 1985, co-stated)</t>
        </is>
      </c>
      <c r="C6" s="15" t="n">
        <v>0.187</v>
      </c>
    </row>
    <row r="7">
      <c r="A7" t="inlineStr">
        <is>
          <t>EPS (misleading - see warning)</t>
        </is>
      </c>
      <c r="B7" s="15" t="n">
        <v>0.7003</v>
      </c>
      <c r="C7" s="15" t="n">
        <v>1.0242</v>
      </c>
    </row>
    <row r="8">
      <c r="A8" t="inlineStr">
        <is>
          <t>Revenue</t>
        </is>
      </c>
      <c r="B8" s="15" t="n">
        <v>0.185</v>
      </c>
      <c r="C8" s="15" t="n">
        <v>0.1871</v>
      </c>
    </row>
    <row r="9">
      <c r="A9" t="inlineStr">
        <is>
          <t>Shareholders' Equity (total)</t>
        </is>
      </c>
      <c r="B9" s="15" t="n">
        <v>0.1966</v>
      </c>
      <c r="C9" s="15" t="n">
        <v>0.1599</v>
      </c>
    </row>
    <row r="11">
      <c r="A11" s="13" t="inlineStr">
        <is>
          <t>Selected Growth Rate (base anchor):</t>
        </is>
      </c>
      <c r="B11" s="15" t="n">
        <v>0.1208</v>
      </c>
    </row>
    <row r="12">
      <c r="A12" t="inlineStr">
        <is>
          <t>Source:</t>
        </is>
      </c>
      <c r="B12" t="inlineStr">
        <is>
          <t>bvps_10yr_cagr</t>
        </is>
      </c>
    </row>
    <row r="14">
      <c r="A14" s="13" t="inlineStr">
        <is>
          <t>Growth Divergence Warning:</t>
        </is>
      </c>
    </row>
    <row r="15" ht="90" customHeight="1">
      <c r="A15" s="19" t="inlineStr">
        <is>
          <t>EPS 3yr/5yr CAGRs (70%/102%) and OCF are highly misleading for FRFHF: EPS growth off a depressed FY2020 base ($6.29) and OCF swinging from -$4.4bn (FY2022) to +$6.6bn (FY2021) purely on investment mark-to-market noise are not representative growth signals. BVPS 5yr CAGR (21.4%) is rate-cycle boosted (2023-2025 record interest income + underwriting hard market) and should NOT be extrapolated forward; the 10-year BVPS CAGR (12.1%) and the softening-cycle guidance in the analysis JSON are used to anchor the base case instead, consistent with management's own long-run 15% target and cautious 2026 cycle commentary.</t>
        </is>
      </c>
    </row>
    <row r="17">
      <c r="A17" s="3" t="inlineStr">
        <is>
          <t>BVPS by Fiscal Year</t>
        </is>
      </c>
    </row>
    <row r="18">
      <c r="A18" s="16" t="inlineStr">
        <is>
          <t>Period</t>
        </is>
      </c>
      <c r="B18" s="16" t="inlineStr">
        <is>
          <t>BVPS (US$)</t>
        </is>
      </c>
    </row>
    <row r="19">
      <c r="A19" t="inlineStr">
        <is>
          <t>FY2015</t>
        </is>
      </c>
      <c r="B19" s="10" t="n">
        <v>403.01</v>
      </c>
    </row>
    <row r="20">
      <c r="A20" t="inlineStr">
        <is>
          <t>FY2016</t>
        </is>
      </c>
      <c r="B20" s="10" t="n">
        <v>367.4</v>
      </c>
    </row>
    <row r="21">
      <c r="A21" t="inlineStr">
        <is>
          <t>FY2017</t>
        </is>
      </c>
      <c r="B21" s="10" t="n">
        <v>449.55</v>
      </c>
    </row>
    <row r="22">
      <c r="A22" t="inlineStr">
        <is>
          <t>FY2018</t>
        </is>
      </c>
      <c r="B22" s="10" t="n">
        <v>432.46</v>
      </c>
    </row>
    <row r="23">
      <c r="A23" t="inlineStr">
        <is>
          <t>FY2019</t>
        </is>
      </c>
      <c r="B23" s="10" t="n">
        <v>486.1</v>
      </c>
    </row>
    <row r="24">
      <c r="A24" t="inlineStr">
        <is>
          <t>FY2020</t>
        </is>
      </c>
      <c r="B24" s="10" t="n">
        <v>478.33</v>
      </c>
    </row>
    <row r="25">
      <c r="A25" t="inlineStr">
        <is>
          <t>FY2021</t>
        </is>
      </c>
      <c r="B25" s="10" t="n">
        <v>630.6</v>
      </c>
    </row>
    <row r="26">
      <c r="A26" t="inlineStr">
        <is>
          <t>FY2022</t>
        </is>
      </c>
      <c r="B26" s="10" t="n">
        <v>657.6799999999999</v>
      </c>
    </row>
    <row r="27">
      <c r="A27" t="inlineStr">
        <is>
          <t>FY2023</t>
        </is>
      </c>
      <c r="B27" s="10" t="n">
        <v>939.65</v>
      </c>
    </row>
    <row r="28">
      <c r="A28" t="inlineStr">
        <is>
          <t>FY2024</t>
        </is>
      </c>
      <c r="B28" s="10" t="n">
        <v>1059.6</v>
      </c>
    </row>
    <row r="29">
      <c r="A29" t="inlineStr">
        <is>
          <t>FY2025</t>
        </is>
      </c>
      <c r="B29" s="10" t="n">
        <v>1260.19</v>
      </c>
    </row>
    <row r="30">
      <c r="A30" t="inlineStr">
        <is>
          <t>Q1 2026</t>
        </is>
      </c>
      <c r="B30" s="10" t="n">
        <v>1250.14</v>
      </c>
    </row>
  </sheetData>
  <mergeCells count="1"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Sanity Check — Historical P/B Cross-Reference</t>
        </is>
      </c>
    </row>
    <row r="3">
      <c r="A3" t="inlineStr">
        <is>
          <t>Base Intrinsic Value / Share</t>
        </is>
      </c>
      <c r="B3" s="10">
        <f>'DCF Model'!B33</f>
        <v/>
      </c>
    </row>
    <row r="4">
      <c r="A4" t="inlineStr">
        <is>
          <t>Implied P/B (Base IV / Q1-2026 BVPS)</t>
        </is>
      </c>
      <c r="B4" s="12">
        <f>B3/'DCF Model'!B10</f>
        <v/>
      </c>
    </row>
    <row r="5">
      <c r="A5" t="inlineStr">
        <is>
          <t>Normalized EPS Estimate (mid-cycle)</t>
        </is>
      </c>
      <c r="B5" s="4" t="n">
        <v>200</v>
      </c>
    </row>
    <row r="6">
      <c r="A6" t="inlineStr">
        <is>
          <t>Implied P/E (Base IV / Normalized EPS)</t>
        </is>
      </c>
      <c r="B6" s="20">
        <f>B3/B5</f>
        <v/>
      </c>
    </row>
    <row r="8">
      <c r="A8" s="3" t="inlineStr">
        <is>
          <t>Historical 10yr P/B Range</t>
        </is>
      </c>
    </row>
    <row r="9">
      <c r="A9" t="inlineStr">
        <is>
          <t>Min (2020)</t>
        </is>
      </c>
      <c r="B9" s="12" t="n">
        <v>0.71</v>
      </c>
    </row>
    <row r="10">
      <c r="A10" t="inlineStr">
        <is>
          <t>Average (10yr)</t>
        </is>
      </c>
      <c r="B10" s="12" t="n">
        <v>1.07</v>
      </c>
    </row>
    <row r="11">
      <c r="A11" t="inlineStr">
        <is>
          <t>Max (2025)</t>
        </is>
      </c>
      <c r="B11" s="12" t="n">
        <v>1.51</v>
      </c>
    </row>
    <row r="12">
      <c r="A12" t="inlineStr">
        <is>
          <t>Current (Q1 2026)</t>
        </is>
      </c>
      <c r="B12" s="12" t="n">
        <v>1.32</v>
      </c>
    </row>
    <row r="14">
      <c r="A14" s="13" t="inlineStr">
        <is>
          <t>Sanity Check Passed:</t>
        </is>
      </c>
      <c r="B14" s="21" t="inlineStr">
        <is>
          <t>YES</t>
        </is>
      </c>
    </row>
    <row r="16">
      <c r="A16" s="13" t="inlineStr">
        <is>
          <t>Diagnosis:</t>
        </is>
      </c>
    </row>
    <row r="17" ht="150" customHeight="1">
      <c r="A17" s="19" t="inlineStr">
        <is>
          <t>Base-case intrinsic value of $1,490.68 implies a P/B of 1.19x on Q1-2026 BVPS ($1,250.14) and roughly 7.5x normalized EPS (~$200/share mid-cycle) - both comfortably inside the 10-year historical P/B band (0.71x-1.51x, avg 1.07x) and well below the peak multiple the stock has ever traded at. No FCF-DCF distortion risk exists here because the model is BV-compounding based, not OCF-based (OCF is negative in several periods and was explicitly excluded per methodology). Current price ($1,652, 1.32x BVPS) sits above the base case's implied fair multiple, consistent with a modest single-digit downside (-9.8%) in the base scenario and supports treating FRFHF as fairly-to-fully valued rather than deeply undervalued at current levels.</t>
        </is>
      </c>
    </row>
    <row r="18"/>
    <row r="19"/>
    <row r="20"/>
    <row r="21"/>
    <row r="22"/>
    <row r="23"/>
    <row r="24"/>
  </sheetData>
  <mergeCells count="1">
    <mergeCell ref="A17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2026-07-18T00:11:47Z</dcterms:created>
  <dcterms:modified xsi:type="dcterms:W3CDTF">2026-07-18T00:11:47Z</dcterms:modified>
</cp:coreProperties>
</file>