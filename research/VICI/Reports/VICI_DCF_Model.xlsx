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<sst xmlns="http://schemas.openxmlformats.org/spreadsheetml/2006/main" count="360" uniqueCount="166">
  <si>
    <t xml:space="preserve">Ticker</t>
  </si>
  <si>
    <t xml:space="preserve">VICI</t>
  </si>
  <si>
    <t xml:space="preserve">Company</t>
  </si>
  <si>
    <t xml:space="preserve">VICI Properties Inc.</t>
  </si>
  <si>
    <t xml:space="preserve">Valuation date</t>
  </si>
  <si>
    <t xml:space="preserve">2026-10-03</t>
  </si>
  <si>
    <t xml:space="preserve">Current price</t>
  </si>
  <si>
    <t xml:space="preserve">Price as of</t>
  </si>
  <si>
    <t xml:space="preserve">2026-10-02T20:00:03Z regular close (Yahoo chart API)</t>
  </si>
  <si>
    <t xml:space="preserve">Balance sheet date</t>
  </si>
  <si>
    <t xml:space="preserve">2026-06-30</t>
  </si>
  <si>
    <t xml:space="preserve">Model</t>
  </si>
  <si>
    <t xml:space="preserve">REIT AFFO capitalisation at cost of equity (engine route)</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</si>
  <si>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</si>
  <si>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</si>
  <si>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</si>
  <si>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</si>
  <si>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</si>
  <si>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</si>
  <si>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</si>
  <si>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</si>
  <si>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2026-10-02T21:24:17Z</t>
  </si>
  <si>
    <t xml:space="preserve">Drivers file</t>
  </si>
  <si>
    <t xml:space="preserve">VICI_Drivers.json</t>
  </si>
  <si>
    <t xml:space="preserve">Convention</t>
  </si>
  <si>
    <t xml:space="preserve">Percents stored as percents; formulas divide by 100. Blue = input, green = link, black = formula.</t>
  </si>
  <si>
    <t xml:space="preserve">Methodology</t>
  </si>
  <si>
    <t xml:space="preserve">summary: VICI is valued as a stream of levered, post-interest cash rent: AFFO attributable to common, less the stock compensation AFFO adds back, capitalised at the cost of equity with growth limited to what the existing leases contract for, net of refinancing drag. Net debt is never subtracted, because AFFO is already after interest. Acquisitions are assumed to earn their cost of capital (zero-NPV) except in the bull case, because the AFFO being capitalised is the same money that funds them. On these terms the shares price in a ~13% cost of equity or a substantial Caesars rent cut; the valuation question is mostly about tenant credit, not growth.
key_risks_to_valuation: Tenant concentration: Caesars ~38% and MGM ~32% of rent. A Caesars Regional Master Lease restructuring is the single largest swing factor (~$730M/yr of rent).; Interest rates: 10-year UST ~5.1% (up ~50bp in September 2026); $7.25bn of notes mature 2027-2030 at ~4.6% average coupons and refinance ~1pp higher.; CECL allowance ($1.93bn at 2026-06-30) is non-cash, but a rising long-term PD for a major tenant is an early sign of real rent risk.; Loan book growth (mezzanine/preferred equity, One Beverly Hills) adds credit exposure: one $80.7M golf-resort loan is on non-accrual and one $90M loan was modified in H1-2026.; Regional gaming exposure to consumer weakness and to iGaming/prediction-market cannibalisation of land-based casino EBITDAR, which drives rent coverage.</t>
  </si>
  <si>
    <t xml:space="preserve">Data sources</t>
  </si>
  <si>
    <t xml:space="preserve">price: Yahoo Finance chart API at inputs.price_as_of; 52-week range 22.54-33.01 (at the 52-week low after a ~10% September slide on rates and a JPMorgan downgrade).
financials: SEC EDGAR: Q2-2026 10-Q (filed 2026-07-29) and earnings release ex99.1 (AFFO reconciliation, debt table, share roll, FY2026 guidance); Q4 FY2025/FY2023/FY2021 earnings releases for AFFO history and guidance; 8-Ks 2026-08-06 and 2026-08-14 (notes offering). Revenue/equity/EPS history from VICI_Metrics.csv (XBRL).
qualitative: VICI_Analysis.json was not present at build time. Market context from Yahoo Finance news (2026-09-25 to 2026-10-03): dividend raised to $0.46 on 2026-09-03; JPMorgan downgrade and Baird target cut to $28 on 2026-09-25; 10-year Treasury 5.17% on 2026-09-25; Century Mile/Downs lease agreements 2026-09-29.</t>
  </si>
  <si>
    <t xml:space="preserve">Scenario narrative: bear</t>
  </si>
  <si>
    <t xml:space="preserve">Caesars, the ~38%-of-rent tenant now issuing lower-rated secured debt, forces a rent reset on the regional master lease (the Las Vegas lease and the MGM/Venetian leases are untouched). Rent is cut ~30% (~$220M/yr), AFFO falls ~5.5% in FY2027, the dividend is held flat, and the stock settles on a 12x AFFO multiple with a 11% cost of equity as rates stay ~5%.</t>
  </si>
  <si>
    <t xml:space="preserve">Scenario narrative: base</t>
  </si>
  <si>
    <t xml:space="preserve">Contractual cash rent compounds at ~2.2% with ~100% occupancy, all tenants paying. Rate headwinds absorb ~0.6pp/yr of AFFO growth as the 2027-2030 ladder refinances at ~5.5-6%. External growth continues but creates no value above the cost of equity. Cost of equity 9.5% against a ~5.1% 10-year Treasury.</t>
  </si>
  <si>
    <t xml:space="preserve">Scenario narrative: bull</t>
  </si>
  <si>
    <t xml:space="preserve">Long rates retreat ~75bp, CPI stays above the escalator floors, and VICI keeps placing capital at 8-9% yields with a positive spread - including the Club Med, Lucky Strike and loan-book partnerships broadening the tenant base. AFFO/share grows ~3%/yr and the market re-rates toward 16x AFFO.</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</si>
  <si>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</si>
  <si>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</si>
  <si>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</si>
  <si>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</si>
  <si>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</si>
  <si>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</si>
  <si>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</si>
  <si>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</si>
  <si>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</si>
  <si>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</si>
  <si>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</si>
  <si>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</si>
  <si>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</si>
  <si>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</si>
  <si>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</si>
  <si>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</si>
  <si>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</si>
  <si>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</si>
  <si>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</si>
  <si>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</si>
  <si>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</si>
  <si>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</si>
  <si>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</si>
  <si>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</si>
  <si>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</si>
  <si>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</si>
  <si>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</si>
  <si>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</si>
  <si>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</si>
  <si>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</si>
  <si>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</si>
  <si>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</si>
  <si>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</si>
  <si>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</si>
  <si>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</si>
  <si>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</si>
  <si>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</si>
  <si>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</si>
  <si>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</si>
  <si>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</si>
  <si>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</si>
  <si>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</si>
  <si>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</si>
  <si>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</si>
  <si>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</si>
  <si>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</si>
  <si>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(AFFO guidance midpoint)</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</si>
  <si>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</si>
  <si>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</si>
  <si>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</si>
  <si>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</si>
  <si>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</si>
  <si>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</si>
  <si>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</si>
  <si>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</si>
  <si>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</si>
  <si>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</si>
  <si>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</si>
  <si>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</si>
  <si>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</si>
  <si>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</si>
  <si>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</si>
  <si>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</si>
  <si>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</si>
  <si>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</si>
  <si>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</si>
  <si>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</si>
  <si>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</si>
  <si>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</si>
  <si>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</si>
  <si>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</si>
  <si>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</si>
  <si>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</si>
  <si>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</si>
  <si>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</si>
  <si>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VICI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</si>
  <si>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</si>
  <si>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</si>
  <si>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</si>
  <si>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</si>
  <si>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</si>
  <si>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</si>
  <si>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</si>
  <si>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</si>
  <si>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</si>
  <si>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</si>
  <si>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</si>
  <si>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</si>
  <si>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</si>
  <si>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</si>
  <si>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</si>
  <si>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</si>
  <si>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</si>
  <si>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</si>
  <si>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</si>
  <si>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</si>
  <si>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</si>
  <si>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</si>
  <si>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</si>
  <si>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</si>
  <si>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</si>
  <si>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</si>
  <si>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</si>
  <si>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</si>
  <si>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</si>
  <si>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</si>
  <si>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VICI owner-FCF component DCF: base case (millions, USD)</t>
  </si>
  <si>
    <t xml:space="preserve">VICI owner-FCF component DCF: bull case (millions, USD)</t>
  </si>
  <si>
    <t xml:space="preserve">VICI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</si>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</sst>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0</v>
      </c>
      <c r="P2" s="0" t="n">
        <v>4856.6</v>
      </c>
      <c r="AA2" s="0" t="s">
        <v>17</v>
      </c>
      <c r="AB2" s="0" t="s">
        <v>14</v>
      </c>
    </row>
    <row r="3" customFormat="false" ht="15" hidden="false" customHeight="false" outlineLevel="0" collapsed="false">
      <c r="A3" s="0" t="s">
        <v>64</v>
      </c>
      <c r="B3" s="0" t="n">
        <v>187.609</v>
      </c>
      <c r="F3" s="0" t="n">
        <v>144.196</v>
      </c>
      <c r="G3" s="0" t="n">
        <v>76.8598521392897</v>
      </c>
      <c r="I3" s="0" t="n">
        <v>44.537</v>
      </c>
      <c r="J3" s="0" t="n">
        <v>23.7392662398925</v>
      </c>
      <c r="O3" s="0" t="n">
        <v>4776.364</v>
      </c>
      <c r="P3" s="0" t="n">
        <v>9739.712</v>
      </c>
      <c r="Q3" s="0" t="n">
        <v>4963.348</v>
      </c>
      <c r="R3" s="0" t="n">
        <v>4122.264</v>
      </c>
      <c r="S3" s="0" t="n">
        <v>183.646</v>
      </c>
      <c r="T3" s="0" t="n">
        <v>300.278938</v>
      </c>
      <c r="AA3" s="0" t="s">
        <v>17</v>
      </c>
      <c r="AB3" s="0" t="s">
        <v>14</v>
      </c>
    </row>
    <row r="4" customFormat="false" ht="15" hidden="false" customHeight="false" outlineLevel="0" collapsed="false">
      <c r="A4" s="0" t="s">
        <v>65</v>
      </c>
      <c r="B4" s="0" t="n">
        <v>897.977</v>
      </c>
      <c r="C4" s="0" t="n">
        <v>17.371</v>
      </c>
      <c r="F4" s="0" t="n">
        <v>140.023</v>
      </c>
      <c r="G4" s="0" t="n">
        <v>15.5931610720542</v>
      </c>
      <c r="I4" s="0" t="n">
        <v>532.117</v>
      </c>
      <c r="J4" s="0" t="n">
        <v>59.2573083720407</v>
      </c>
      <c r="K4" s="0" t="n">
        <v>1.43</v>
      </c>
      <c r="L4" s="0" t="n">
        <v>504.082</v>
      </c>
      <c r="M4" s="0" t="n">
        <v>0.899</v>
      </c>
      <c r="N4" s="0" t="n">
        <v>503.183</v>
      </c>
      <c r="O4" s="0" t="n">
        <v>6901.022</v>
      </c>
      <c r="P4" s="0" t="n">
        <v>11333.368</v>
      </c>
      <c r="Q4" s="0" t="n">
        <v>4432.346</v>
      </c>
      <c r="R4" s="0" t="n">
        <v>4122.264</v>
      </c>
      <c r="S4" s="0" t="n">
        <v>577.883</v>
      </c>
      <c r="T4" s="0" t="n">
        <v>404.729616</v>
      </c>
      <c r="U4" s="0" t="n">
        <v>2.342</v>
      </c>
      <c r="V4" s="0" t="n">
        <v>0.9975</v>
      </c>
      <c r="AA4" s="0" t="s">
        <v>17</v>
      </c>
      <c r="AB4" s="0" t="s">
        <v>14</v>
      </c>
    </row>
    <row r="5" customFormat="false" ht="15" hidden="false" customHeight="false" outlineLevel="0" collapsed="false">
      <c r="A5" s="0" t="s">
        <v>66</v>
      </c>
      <c r="B5" s="0" t="n">
        <v>894.798</v>
      </c>
      <c r="C5" s="0" t="n">
        <v>18.901</v>
      </c>
      <c r="F5" s="0" t="n">
        <v>52.299</v>
      </c>
      <c r="G5" s="0" t="n">
        <v>5.84478284484319</v>
      </c>
      <c r="I5" s="0" t="n">
        <v>554.281</v>
      </c>
      <c r="J5" s="0" t="n">
        <v>61.9448188306188</v>
      </c>
      <c r="K5" s="0" t="n">
        <v>1.25</v>
      </c>
      <c r="L5" s="0" t="n">
        <v>682.159</v>
      </c>
      <c r="M5" s="0" t="n">
        <v>2.724</v>
      </c>
      <c r="N5" s="0" t="n">
        <v>679.435</v>
      </c>
      <c r="O5" s="0" t="n">
        <v>8048.989</v>
      </c>
      <c r="P5" s="0" t="n">
        <v>13265.619</v>
      </c>
      <c r="Q5" s="0" t="n">
        <v>5216.63</v>
      </c>
      <c r="R5" s="0" t="n">
        <v>4791.563</v>
      </c>
      <c r="S5" s="0" t="n">
        <v>1101.893</v>
      </c>
      <c r="T5" s="0" t="n">
        <v>461.004742</v>
      </c>
      <c r="U5" s="0" t="n">
        <v>5.223</v>
      </c>
      <c r="V5" s="0" t="n">
        <v>1.17</v>
      </c>
      <c r="AA5" s="0" t="s">
        <v>17</v>
      </c>
      <c r="AB5" s="0" t="s">
        <v>14</v>
      </c>
    </row>
    <row r="6" customFormat="false" ht="15" hidden="false" customHeight="false" outlineLevel="0" collapsed="false">
      <c r="A6" s="0" t="s">
        <v>67</v>
      </c>
      <c r="B6" s="0" t="n">
        <v>1225.574</v>
      </c>
      <c r="C6" s="0" t="n">
        <v>17.632</v>
      </c>
      <c r="F6" s="0" t="n">
        <v>321.018</v>
      </c>
      <c r="G6" s="0" t="n">
        <v>26.1932775989047</v>
      </c>
      <c r="I6" s="0" t="n">
        <v>896.208</v>
      </c>
      <c r="J6" s="0" t="n">
        <v>73.125572180872</v>
      </c>
      <c r="K6" s="0" t="n">
        <v>1.76</v>
      </c>
      <c r="L6" s="0" t="n">
        <v>883.64</v>
      </c>
      <c r="O6" s="0" t="n">
        <v>9493.745</v>
      </c>
      <c r="P6" s="0" t="n">
        <v>17063.613</v>
      </c>
      <c r="Q6" s="0" t="n">
        <v>7569.868</v>
      </c>
      <c r="R6" s="0" t="n">
        <v>6765.532</v>
      </c>
      <c r="S6" s="0" t="n">
        <v>315.993</v>
      </c>
      <c r="T6" s="0" t="n">
        <v>536.669722</v>
      </c>
      <c r="U6" s="0" t="n">
        <v>7.388</v>
      </c>
      <c r="V6" s="0" t="n">
        <v>1.255</v>
      </c>
      <c r="AA6" s="0" t="s">
        <v>17</v>
      </c>
      <c r="AB6" s="0" t="s">
        <v>14</v>
      </c>
    </row>
    <row r="7" customFormat="false" ht="15" hidden="false" customHeight="false" outlineLevel="0" collapsed="false">
      <c r="A7" s="0" t="s">
        <v>68</v>
      </c>
      <c r="B7" s="0" t="n">
        <v>1509.568</v>
      </c>
      <c r="C7" s="0" t="n">
        <v>20.762</v>
      </c>
      <c r="I7" s="0" t="n">
        <v>1023.158</v>
      </c>
      <c r="J7" s="0" t="n">
        <v>67.7781987959469</v>
      </c>
      <c r="K7" s="0" t="n">
        <v>1.8</v>
      </c>
      <c r="L7" s="0" t="n">
        <v>896.35</v>
      </c>
      <c r="O7" s="0" t="n">
        <v>12187.174</v>
      </c>
      <c r="P7" s="0" t="n">
        <v>17597.373</v>
      </c>
      <c r="Q7" s="0" t="n">
        <v>5410.199</v>
      </c>
      <c r="R7" s="0" t="n">
        <v>4694.523</v>
      </c>
      <c r="S7" s="0" t="n">
        <v>739.614</v>
      </c>
      <c r="T7" s="0" t="n">
        <v>628.942092</v>
      </c>
      <c r="U7" s="0" t="n">
        <v>9.371</v>
      </c>
      <c r="V7" s="0" t="n">
        <v>1.38</v>
      </c>
      <c r="AA7" s="0" t="s">
        <v>17</v>
      </c>
      <c r="AB7" s="0" t="s">
        <v>14</v>
      </c>
    </row>
    <row r="8" customFormat="false" ht="15" hidden="false" customHeight="false" outlineLevel="0" collapsed="false">
      <c r="A8" s="0" t="s">
        <v>69</v>
      </c>
      <c r="B8" s="0" t="n">
        <v>2600.697</v>
      </c>
      <c r="C8" s="0" t="n">
        <v>22.602</v>
      </c>
      <c r="I8" s="0" t="n">
        <v>1136.267</v>
      </c>
      <c r="J8" s="0" t="n">
        <v>43.6908644105792</v>
      </c>
      <c r="K8" s="0" t="n">
        <v>1.27</v>
      </c>
      <c r="L8" s="0" t="n">
        <v>1943.396</v>
      </c>
      <c r="O8" s="0" t="n">
        <v>22290.113</v>
      </c>
      <c r="P8" s="0" t="n">
        <v>37575.826</v>
      </c>
      <c r="Q8" s="0" t="n">
        <v>15285.713</v>
      </c>
      <c r="R8" s="0" t="n">
        <v>13739.675</v>
      </c>
      <c r="S8" s="0" t="n">
        <v>208.933</v>
      </c>
      <c r="T8" s="0" t="n">
        <v>963.096563</v>
      </c>
      <c r="U8" s="0" t="n">
        <v>12.986</v>
      </c>
      <c r="V8" s="0" t="n">
        <v>1.5</v>
      </c>
      <c r="AA8" s="0" t="s">
        <v>17</v>
      </c>
      <c r="AB8" s="0" t="s">
        <v>14</v>
      </c>
    </row>
    <row r="9" customFormat="false" ht="15" hidden="false" customHeight="false" outlineLevel="0" collapsed="false">
      <c r="A9" s="0" t="s">
        <v>70</v>
      </c>
      <c r="B9" s="0" t="n">
        <v>3611.988</v>
      </c>
      <c r="C9" s="0" t="n">
        <v>27.089</v>
      </c>
      <c r="I9" s="0" t="n">
        <v>2554.622</v>
      </c>
      <c r="J9" s="0" t="n">
        <v>70.7262039630253</v>
      </c>
      <c r="K9" s="0" t="n">
        <v>2.48</v>
      </c>
      <c r="L9" s="0" t="n">
        <v>2181.009</v>
      </c>
      <c r="O9" s="0" t="n">
        <v>25657.774</v>
      </c>
      <c r="P9" s="0" t="n">
        <v>44059.841</v>
      </c>
      <c r="Q9" s="0" t="n">
        <v>18402.067</v>
      </c>
      <c r="R9" s="0" t="n">
        <v>16724.125</v>
      </c>
      <c r="S9" s="0" t="n">
        <v>522.574</v>
      </c>
      <c r="T9" s="0" t="n">
        <v>1042.702763</v>
      </c>
      <c r="U9" s="0" t="n">
        <v>15.536</v>
      </c>
      <c r="V9" s="0" t="n">
        <v>1.61</v>
      </c>
      <c r="AA9" s="0" t="s">
        <v>17</v>
      </c>
      <c r="AB9" s="0" t="s">
        <v>14</v>
      </c>
    </row>
    <row r="10" customFormat="false" ht="15" hidden="false" customHeight="false" outlineLevel="0" collapsed="false">
      <c r="A10" s="0" t="s">
        <v>71</v>
      </c>
      <c r="B10" s="0" t="n">
        <v>3849.205</v>
      </c>
      <c r="C10" s="0" t="n">
        <v>26.895</v>
      </c>
      <c r="I10" s="0" t="n">
        <v>2721.242</v>
      </c>
      <c r="J10" s="0" t="n">
        <v>70.6962086976402</v>
      </c>
      <c r="K10" s="0" t="n">
        <v>2.56</v>
      </c>
      <c r="L10" s="0" t="n">
        <v>2381.498</v>
      </c>
      <c r="O10" s="0" t="n">
        <v>26951.801</v>
      </c>
      <c r="P10" s="0" t="n">
        <v>45368.94</v>
      </c>
      <c r="Q10" s="0" t="n">
        <v>18417.139</v>
      </c>
      <c r="R10" s="0" t="n">
        <v>16732.889</v>
      </c>
      <c r="S10" s="0" t="n">
        <v>524.615</v>
      </c>
      <c r="T10" s="0" t="n">
        <v>1056.366685</v>
      </c>
      <c r="U10" s="0" t="n">
        <v>17.511</v>
      </c>
      <c r="V10" s="0" t="n">
        <v>1.695</v>
      </c>
      <c r="AA10" s="0" t="s">
        <v>17</v>
      </c>
      <c r="AB10" s="0" t="s">
        <v>14</v>
      </c>
    </row>
    <row r="11" customFormat="false" ht="15" hidden="false" customHeight="false" outlineLevel="0" collapsed="false">
      <c r="A11" s="0" t="s">
        <v>72</v>
      </c>
      <c r="B11" s="0" t="n">
        <v>4006.116</v>
      </c>
      <c r="C11" s="0" t="n">
        <v>26.73</v>
      </c>
      <c r="I11" s="0" t="n">
        <v>2818.544</v>
      </c>
      <c r="J11" s="0" t="n">
        <v>70.3560256368013</v>
      </c>
      <c r="K11" s="0" t="n">
        <v>2.61</v>
      </c>
      <c r="L11" s="0" t="n">
        <v>2509.991</v>
      </c>
      <c r="O11" s="0" t="n">
        <v>28222.587</v>
      </c>
      <c r="P11" s="0" t="n">
        <v>46724.168</v>
      </c>
      <c r="Q11" s="0" t="n">
        <v>18501.581</v>
      </c>
      <c r="R11" s="0" t="n">
        <v>16773.241</v>
      </c>
      <c r="S11" s="0" t="n">
        <v>563.479</v>
      </c>
      <c r="T11" s="0" t="n">
        <v>1068.811371</v>
      </c>
      <c r="U11" s="0" t="n">
        <v>16.195</v>
      </c>
      <c r="V11" s="0" t="n">
        <v>1.765</v>
      </c>
      <c r="AA11" s="0" t="s">
        <v>17</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22.65</v>
      </c>
    </row>
    <row r="3" customFormat="false" ht="15" hidden="false" customHeight="false" outlineLevel="0" collapsed="false">
      <c r="A3" s="0" t="s">
        <v>76</v>
      </c>
      <c r="B3" s="3" t="n">
        <v>1101.1</v>
      </c>
    </row>
    <row r="4" customFormat="false" ht="15" hidden="false" customHeight="false" outlineLevel="0" collapsed="false">
      <c r="A4" s="0" t="s">
        <v>77</v>
      </c>
      <c r="B4" s="3" t="n">
        <v>0</v>
      </c>
    </row>
    <row r="5" customFormat="false" ht="15" hidden="false" customHeight="false" outlineLevel="0" collapsed="false">
      <c r="A5" s="0" t="s">
        <v>78</v>
      </c>
      <c r="B5" s="3" t="n">
        <v>0</v>
      </c>
    </row>
    <row r="6" customFormat="false" ht="15" hidden="false" customHeight="false" outlineLevel="0" collapsed="false">
      <c r="A6" s="0" t="s">
        <v>79</v>
      </c>
      <c r="B6" s="3" t="n">
        <v>15</v>
      </c>
    </row>
    <row r="7" customFormat="false" ht="15" hidden="false" customHeight="false" outlineLevel="0" collapsed="false">
      <c r="A7" s="0" t="s">
        <v>80</v>
      </c>
      <c r="B7" s="3" t="n">
        <v>2685</v>
      </c>
    </row>
    <row r="8" customFormat="false" ht="15" hidden="false" customHeight="false" outlineLevel="0" collapsed="false">
      <c r="A8" s="0" t="s">
        <v>81</v>
      </c>
      <c r="B8" s="3" t="s">
        <v>82</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-5.5</v>
      </c>
      <c r="D13" s="3" t="n">
        <v>1.8</v>
      </c>
      <c r="E13" s="3" t="n">
        <v>1.8</v>
      </c>
      <c r="F13" s="3" t="n">
        <v>1.8</v>
      </c>
      <c r="G13" s="3" t="n">
        <v>1.7</v>
      </c>
      <c r="H13" s="3" t="n">
        <v>1.7</v>
      </c>
      <c r="I13" s="3" t="n">
        <v>1.6</v>
      </c>
      <c r="J13" s="3" t="n">
        <v>1.6</v>
      </c>
      <c r="K13" s="3" t="n">
        <v>1.5</v>
      </c>
      <c r="L13" s="3" t="n">
        <v>1.5</v>
      </c>
    </row>
    <row r="14" customFormat="false" ht="15" hidden="false" customHeight="false" outlineLevel="0" collapsed="false">
      <c r="A14" s="0" t="s">
        <v>98</v>
      </c>
      <c r="C14" s="3" t="n">
        <v>100</v>
      </c>
      <c r="D14" s="3" t="n">
        <v>100</v>
      </c>
      <c r="E14" s="3" t="n">
        <v>100</v>
      </c>
      <c r="F14" s="3" t="n">
        <v>100</v>
      </c>
      <c r="G14" s="3" t="n">
        <v>100</v>
      </c>
      <c r="H14" s="3" t="n">
        <v>100</v>
      </c>
      <c r="I14" s="3" t="n">
        <v>100</v>
      </c>
      <c r="J14" s="3" t="n">
        <v>100</v>
      </c>
      <c r="K14" s="3" t="n">
        <v>100</v>
      </c>
      <c r="L14" s="3" t="n">
        <v>100</v>
      </c>
    </row>
    <row r="15" customFormat="false" ht="15" hidden="false" customHeight="false" outlineLevel="0" collapsed="false">
      <c r="A15" s="0" t="s">
        <v>99</v>
      </c>
      <c r="C15" s="3" t="n">
        <v>0.76</v>
      </c>
      <c r="D15" s="3" t="n">
        <v>0.76</v>
      </c>
      <c r="E15" s="3" t="n">
        <v>0.76</v>
      </c>
      <c r="F15" s="3" t="n">
        <v>0.76</v>
      </c>
      <c r="G15" s="3" t="n">
        <v>0.76</v>
      </c>
      <c r="H15" s="3" t="n">
        <v>0.76</v>
      </c>
      <c r="I15" s="3" t="n">
        <v>0.76</v>
      </c>
      <c r="J15" s="3" t="n">
        <v>0.76</v>
      </c>
      <c r="K15" s="3" t="n">
        <v>0.76</v>
      </c>
      <c r="L15" s="3" t="n">
        <v>0.76</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102</v>
      </c>
      <c r="C18" s="3" t="n">
        <v>0</v>
      </c>
      <c r="D18" s="3" t="n">
        <v>0</v>
      </c>
      <c r="E18" s="3" t="n">
        <v>0</v>
      </c>
      <c r="F18" s="3" t="n">
        <v>0</v>
      </c>
      <c r="G18" s="3" t="n">
        <v>0</v>
      </c>
      <c r="H18" s="3" t="n">
        <v>0</v>
      </c>
      <c r="I18" s="3" t="n">
        <v>0</v>
      </c>
      <c r="J18" s="3" t="n">
        <v>0</v>
      </c>
      <c r="K18" s="3" t="n">
        <v>0</v>
      </c>
      <c r="L18" s="3" t="n">
        <v>0</v>
      </c>
    </row>
    <row r="19" customFormat="false" ht="15" hidden="false" customHeight="false" outlineLevel="0" collapsed="false">
      <c r="A19" s="0" t="s">
        <v>103</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104</v>
      </c>
      <c r="B20" s="3" t="n">
        <v>11</v>
      </c>
    </row>
    <row r="21" customFormat="false" ht="15" hidden="false" customHeight="false" outlineLevel="0" collapsed="false">
      <c r="A21" s="0" t="s">
        <v>105</v>
      </c>
      <c r="B21" s="3" t="n">
        <v>1.5</v>
      </c>
    </row>
    <row r="22" customFormat="false" ht="15" hidden="false" customHeight="false" outlineLevel="0" collapsed="false">
      <c r="A22" s="0" t="s">
        <v>106</v>
      </c>
      <c r="B22" s="3" t="n">
        <v>12</v>
      </c>
    </row>
    <row r="23" customFormat="false" ht="15" hidden="false" customHeight="false" outlineLevel="0" collapsed="false">
      <c r="A23" s="0" t="s">
        <v>107</v>
      </c>
      <c r="B23" s="3" t="n">
        <v>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2.7</v>
      </c>
      <c r="D27" s="3" t="n">
        <v>2.4</v>
      </c>
      <c r="E27" s="3" t="n">
        <v>2.3</v>
      </c>
      <c r="F27" s="3" t="n">
        <v>2.3</v>
      </c>
      <c r="G27" s="3" t="n">
        <v>2.2</v>
      </c>
      <c r="H27" s="3" t="n">
        <v>2.2</v>
      </c>
      <c r="I27" s="3" t="n">
        <v>2.1</v>
      </c>
      <c r="J27" s="3" t="n">
        <v>2.1</v>
      </c>
      <c r="K27" s="3" t="n">
        <v>2</v>
      </c>
      <c r="L27" s="3" t="n">
        <v>2</v>
      </c>
    </row>
    <row r="28" customFormat="false" ht="15" hidden="false" customHeight="false" outlineLevel="0" collapsed="false">
      <c r="A28" s="0" t="s">
        <v>98</v>
      </c>
      <c r="C28" s="3" t="n">
        <v>100</v>
      </c>
      <c r="D28" s="3" t="n">
        <v>100</v>
      </c>
      <c r="E28" s="3" t="n">
        <v>100</v>
      </c>
      <c r="F28" s="3" t="n">
        <v>100</v>
      </c>
      <c r="G28" s="3" t="n">
        <v>100</v>
      </c>
      <c r="H28" s="3" t="n">
        <v>100</v>
      </c>
      <c r="I28" s="3" t="n">
        <v>100</v>
      </c>
      <c r="J28" s="3" t="n">
        <v>100</v>
      </c>
      <c r="K28" s="3" t="n">
        <v>100</v>
      </c>
      <c r="L28" s="3" t="n">
        <v>100</v>
      </c>
    </row>
    <row r="29" customFormat="false" ht="15" hidden="false" customHeight="false" outlineLevel="0" collapsed="false">
      <c r="A29" s="0" t="s">
        <v>99</v>
      </c>
      <c r="C29" s="3" t="n">
        <v>0.76</v>
      </c>
      <c r="D29" s="3" t="n">
        <v>0.76</v>
      </c>
      <c r="E29" s="3" t="n">
        <v>0.76</v>
      </c>
      <c r="F29" s="3" t="n">
        <v>0.76</v>
      </c>
      <c r="G29" s="3" t="n">
        <v>0.76</v>
      </c>
      <c r="H29" s="3" t="n">
        <v>0.76</v>
      </c>
      <c r="I29" s="3" t="n">
        <v>0.76</v>
      </c>
      <c r="J29" s="3" t="n">
        <v>0.76</v>
      </c>
      <c r="K29" s="3" t="n">
        <v>0.76</v>
      </c>
      <c r="L29" s="3" t="n">
        <v>0.76</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102</v>
      </c>
      <c r="C32" s="3" t="n">
        <v>0</v>
      </c>
      <c r="D32" s="3" t="n">
        <v>0</v>
      </c>
      <c r="E32" s="3" t="n">
        <v>0</v>
      </c>
      <c r="F32" s="3" t="n">
        <v>0</v>
      </c>
      <c r="G32" s="3" t="n">
        <v>0</v>
      </c>
      <c r="H32" s="3" t="n">
        <v>0</v>
      </c>
      <c r="I32" s="3" t="n">
        <v>0</v>
      </c>
      <c r="J32" s="3" t="n">
        <v>0</v>
      </c>
      <c r="K32" s="3" t="n">
        <v>0</v>
      </c>
      <c r="L32" s="3" t="n">
        <v>0</v>
      </c>
    </row>
    <row r="33" customFormat="false" ht="15" hidden="false" customHeight="false" outlineLevel="0" collapsed="false">
      <c r="A33" s="0" t="s">
        <v>103</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104</v>
      </c>
      <c r="B34" s="3" t="n">
        <v>9.5</v>
      </c>
    </row>
    <row r="35" customFormat="false" ht="15" hidden="false" customHeight="false" outlineLevel="0" collapsed="false">
      <c r="A35" s="0" t="s">
        <v>105</v>
      </c>
      <c r="B35" s="3" t="n">
        <v>2</v>
      </c>
    </row>
    <row r="36" customFormat="false" ht="15" hidden="false" customHeight="false" outlineLevel="0" collapsed="false">
      <c r="A36" s="0" t="s">
        <v>106</v>
      </c>
      <c r="B36" s="3" t="n">
        <v>14</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3.2</v>
      </c>
      <c r="D41" s="3" t="n">
        <v>3</v>
      </c>
      <c r="E41" s="3" t="n">
        <v>3</v>
      </c>
      <c r="F41" s="3" t="n">
        <v>2.9</v>
      </c>
      <c r="G41" s="3" t="n">
        <v>2.8</v>
      </c>
      <c r="H41" s="3" t="n">
        <v>2.7</v>
      </c>
      <c r="I41" s="3" t="n">
        <v>2.6</v>
      </c>
      <c r="J41" s="3" t="n">
        <v>2.5</v>
      </c>
      <c r="K41" s="3" t="n">
        <v>2.5</v>
      </c>
      <c r="L41" s="3" t="n">
        <v>2.5</v>
      </c>
    </row>
    <row r="42" customFormat="false" ht="15" hidden="false" customHeight="false" outlineLevel="0" collapsed="false">
      <c r="A42" s="0" t="s">
        <v>98</v>
      </c>
      <c r="C42" s="3" t="n">
        <v>100</v>
      </c>
      <c r="D42" s="3" t="n">
        <v>100</v>
      </c>
      <c r="E42" s="3" t="n">
        <v>100</v>
      </c>
      <c r="F42" s="3" t="n">
        <v>100</v>
      </c>
      <c r="G42" s="3" t="n">
        <v>100</v>
      </c>
      <c r="H42" s="3" t="n">
        <v>100</v>
      </c>
      <c r="I42" s="3" t="n">
        <v>100</v>
      </c>
      <c r="J42" s="3" t="n">
        <v>100</v>
      </c>
      <c r="K42" s="3" t="n">
        <v>100</v>
      </c>
      <c r="L42" s="3" t="n">
        <v>100</v>
      </c>
    </row>
    <row r="43" customFormat="false" ht="15" hidden="false" customHeight="false" outlineLevel="0" collapsed="false">
      <c r="A43" s="0" t="s">
        <v>99</v>
      </c>
      <c r="C43" s="3" t="n">
        <v>0.76</v>
      </c>
      <c r="D43" s="3" t="n">
        <v>0.76</v>
      </c>
      <c r="E43" s="3" t="n">
        <v>0.76</v>
      </c>
      <c r="F43" s="3" t="n">
        <v>0.76</v>
      </c>
      <c r="G43" s="3" t="n">
        <v>0.76</v>
      </c>
      <c r="H43" s="3" t="n">
        <v>0.76</v>
      </c>
      <c r="I43" s="3" t="n">
        <v>0.76</v>
      </c>
      <c r="J43" s="3" t="n">
        <v>0.76</v>
      </c>
      <c r="K43" s="3" t="n">
        <v>0.76</v>
      </c>
      <c r="L43" s="3" t="n">
        <v>0.76</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102</v>
      </c>
      <c r="C46" s="3" t="n">
        <v>0</v>
      </c>
      <c r="D46" s="3" t="n">
        <v>0</v>
      </c>
      <c r="E46" s="3" t="n">
        <v>0</v>
      </c>
      <c r="F46" s="3" t="n">
        <v>0</v>
      </c>
      <c r="G46" s="3" t="n">
        <v>0</v>
      </c>
      <c r="H46" s="3" t="n">
        <v>0</v>
      </c>
      <c r="I46" s="3" t="n">
        <v>0</v>
      </c>
      <c r="J46" s="3" t="n">
        <v>0</v>
      </c>
      <c r="K46" s="3" t="n">
        <v>0</v>
      </c>
      <c r="L46" s="3" t="n">
        <v>0</v>
      </c>
    </row>
    <row r="47" customFormat="false" ht="15" hidden="false" customHeight="false" outlineLevel="0" collapsed="false">
      <c r="A47" s="0" t="s">
        <v>103</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104</v>
      </c>
      <c r="B48" s="3" t="n">
        <v>8.5</v>
      </c>
    </row>
    <row r="49" customFormat="false" ht="15" hidden="false" customHeight="false" outlineLevel="0" collapsed="false">
      <c r="A49" s="0" t="s">
        <v>105</v>
      </c>
      <c r="B49" s="3" t="n">
        <v>2.25</v>
      </c>
    </row>
    <row r="50" customFormat="false" ht="15" hidden="false" customHeight="false" outlineLevel="0" collapsed="false">
      <c r="A50" s="0" t="s">
        <v>106</v>
      </c>
      <c r="B50" s="3" t="n">
        <v>16</v>
      </c>
    </row>
    <row r="51" customFormat="false" ht="15" hidden="false" customHeight="false" outlineLevel="0" collapsed="false">
      <c r="A51" s="0" t="s">
        <v>107</v>
      </c>
      <c r="B51" s="3" t="n">
        <v>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82</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-5.5</v>
      </c>
      <c r="D5" s="4" t="n">
        <f aca="false">Assumptions!D13</f>
        <v>1.8</v>
      </c>
      <c r="E5" s="4" t="n">
        <f aca="false">Assumptions!E13</f>
        <v>1.8</v>
      </c>
      <c r="F5" s="4" t="n">
        <f aca="false">Assumptions!F13</f>
        <v>1.8</v>
      </c>
      <c r="G5" s="4" t="n">
        <f aca="false">Assumptions!G13</f>
        <v>1.7</v>
      </c>
      <c r="H5" s="4" t="n">
        <f aca="false">Assumptions!H13</f>
        <v>1.7</v>
      </c>
      <c r="I5" s="4" t="n">
        <f aca="false">Assumptions!I13</f>
        <v>1.6</v>
      </c>
      <c r="J5" s="4" t="n">
        <f aca="false">Assumptions!J13</f>
        <v>1.6</v>
      </c>
      <c r="K5" s="4" t="n">
        <f aca="false">Assumptions!K13</f>
        <v>1.5</v>
      </c>
      <c r="L5" s="4" t="n">
        <f aca="false">Assumptions!L13</f>
        <v>1.5</v>
      </c>
    </row>
    <row r="6" customFormat="false" ht="15" hidden="false" customHeight="false" outlineLevel="0" collapsed="false">
      <c r="A6" s="0" t="s">
        <v>37</v>
      </c>
      <c r="B6" s="3" t="n">
        <v>2685</v>
      </c>
      <c r="C6" s="0" t="n">
        <f aca="false">B6*(1+C5/100)</f>
        <v>2537.325</v>
      </c>
      <c r="D6" s="0" t="n">
        <f aca="false">C6*(1+D5/100)</f>
        <v>2582.99685</v>
      </c>
      <c r="E6" s="0" t="n">
        <f aca="false">D6*(1+E5/100)</f>
        <v>2629.4907933</v>
      </c>
      <c r="F6" s="0" t="n">
        <f aca="false">E6*(1+F5/100)</f>
        <v>2676.8216275794</v>
      </c>
      <c r="G6" s="0" t="n">
        <f aca="false">F6*(1+G5/100)</f>
        <v>2722.32759524825</v>
      </c>
      <c r="H6" s="0" t="n">
        <f aca="false">G6*(1+H5/100)</f>
        <v>2768.60716436747</v>
      </c>
      <c r="I6" s="0" t="n">
        <f aca="false">H6*(1+I5/100)</f>
        <v>2812.90487899735</v>
      </c>
      <c r="J6" s="0" t="n">
        <f aca="false">I6*(1+J5/100)</f>
        <v>2857.91135706131</v>
      </c>
      <c r="K6" s="0" t="n">
        <f aca="false">J6*(1+K5/100)</f>
        <v>2900.78002741723</v>
      </c>
      <c r="L6" s="0" t="n">
        <f aca="false">K6*(1+L5/100)</f>
        <v>2944.29172782848</v>
      </c>
    </row>
    <row r="7" customFormat="false" ht="15" hidden="false" customHeight="false" outlineLevel="0" collapsed="false">
      <c r="A7" s="0" t="s">
        <v>98</v>
      </c>
      <c r="C7" s="4" t="n">
        <f aca="false">Assumptions!C14</f>
        <v>100</v>
      </c>
      <c r="D7" s="4" t="n">
        <f aca="false">Assumptions!D14</f>
        <v>100</v>
      </c>
      <c r="E7" s="4" t="n">
        <f aca="false">Assumptions!E14</f>
        <v>100</v>
      </c>
      <c r="F7" s="4" t="n">
        <f aca="false">Assumptions!F14</f>
        <v>100</v>
      </c>
      <c r="G7" s="4" t="n">
        <f aca="false">Assumptions!G14</f>
        <v>100</v>
      </c>
      <c r="H7" s="4" t="n">
        <f aca="false">Assumptions!H14</f>
        <v>100</v>
      </c>
      <c r="I7" s="4" t="n">
        <f aca="false">Assumptions!I14</f>
        <v>100</v>
      </c>
      <c r="J7" s="4" t="n">
        <f aca="false">Assumptions!J14</f>
        <v>100</v>
      </c>
      <c r="K7" s="4" t="n">
        <f aca="false">Assumptions!K14</f>
        <v>100</v>
      </c>
      <c r="L7" s="4" t="n">
        <f aca="false">Assumptions!L14</f>
        <v>100</v>
      </c>
    </row>
    <row r="8" customFormat="false" ht="15" hidden="false" customHeight="false" outlineLevel="0" collapsed="false">
      <c r="A8" s="0" t="s">
        <v>43</v>
      </c>
      <c r="C8" s="0" t="n">
        <f aca="false">C6*C7/100</f>
        <v>2537.325</v>
      </c>
      <c r="D8" s="0" t="n">
        <f aca="false">D6*D7/100</f>
        <v>2582.99685</v>
      </c>
      <c r="E8" s="0" t="n">
        <f aca="false">E6*E7/100</f>
        <v>2629.4907933</v>
      </c>
      <c r="F8" s="0" t="n">
        <f aca="false">F6*F7/100</f>
        <v>2676.8216275794</v>
      </c>
      <c r="G8" s="0" t="n">
        <f aca="false">G6*G7/100</f>
        <v>2722.32759524825</v>
      </c>
      <c r="H8" s="0" t="n">
        <f aca="false">H6*H7/100</f>
        <v>2768.60716436747</v>
      </c>
      <c r="I8" s="0" t="n">
        <f aca="false">I6*I7/100</f>
        <v>2812.90487899735</v>
      </c>
      <c r="J8" s="0" t="n">
        <f aca="false">J6*J7/100</f>
        <v>2857.91135706131</v>
      </c>
      <c r="K8" s="0" t="n">
        <f aca="false">K6*K7/100</f>
        <v>2900.78002741723</v>
      </c>
      <c r="L8" s="0" t="n">
        <f aca="false">L6*L7/100</f>
        <v>2944.29172782848</v>
      </c>
    </row>
    <row r="9" customFormat="false" ht="15" hidden="false" customHeight="false" outlineLevel="0" collapsed="false">
      <c r="A9" s="0" t="s">
        <v>99</v>
      </c>
      <c r="C9" s="4" t="n">
        <f aca="false">Assumptions!C15</f>
        <v>0.76</v>
      </c>
      <c r="D9" s="4" t="n">
        <f aca="false">Assumptions!D15</f>
        <v>0.76</v>
      </c>
      <c r="E9" s="4" t="n">
        <f aca="false">Assumptions!E15</f>
        <v>0.76</v>
      </c>
      <c r="F9" s="4" t="n">
        <f aca="false">Assumptions!F15</f>
        <v>0.76</v>
      </c>
      <c r="G9" s="4" t="n">
        <f aca="false">Assumptions!G15</f>
        <v>0.76</v>
      </c>
      <c r="H9" s="4" t="n">
        <f aca="false">Assumptions!H15</f>
        <v>0.76</v>
      </c>
      <c r="I9" s="4" t="n">
        <f aca="false">Assumptions!I15</f>
        <v>0.76</v>
      </c>
      <c r="J9" s="4" t="n">
        <f aca="false">Assumptions!J15</f>
        <v>0.76</v>
      </c>
      <c r="K9" s="4" t="n">
        <f aca="false">Assumptions!K15</f>
        <v>0.76</v>
      </c>
      <c r="L9" s="4" t="n">
        <f aca="false">Assumptions!L15</f>
        <v>0.76</v>
      </c>
    </row>
    <row r="10" customFormat="false" ht="15" hidden="false" customHeight="false" outlineLevel="0" collapsed="false">
      <c r="A10" s="0" t="s">
        <v>114</v>
      </c>
      <c r="C10" s="0" t="n">
        <f aca="false">-C6*C9/100</f>
        <v>-19.28367</v>
      </c>
      <c r="D10" s="0" t="n">
        <f aca="false">-D6*D9/100</f>
        <v>-19.63077606</v>
      </c>
      <c r="E10" s="0" t="n">
        <f aca="false">-E6*E9/100</f>
        <v>-19.98413002908</v>
      </c>
      <c r="F10" s="0" t="n">
        <f aca="false">-F6*F9/100</f>
        <v>-20.3438443696034</v>
      </c>
      <c r="G10" s="0" t="n">
        <f aca="false">-G6*G9/100</f>
        <v>-20.6896897238867</v>
      </c>
      <c r="H10" s="0" t="n">
        <f aca="false">-H6*H9/100</f>
        <v>-21.0414144491928</v>
      </c>
      <c r="I10" s="0" t="n">
        <f aca="false">-I6*I9/100</f>
        <v>-21.3780770803799</v>
      </c>
      <c r="J10" s="0" t="n">
        <f aca="false">-J6*J9/100</f>
        <v>-21.7201263136659</v>
      </c>
      <c r="K10" s="0" t="n">
        <f aca="false">-K6*K9/100</f>
        <v>-22.0459282083709</v>
      </c>
      <c r="L10" s="0" t="n">
        <f aca="false">-L6*L9/100</f>
        <v>-22.3766171314965</v>
      </c>
    </row>
    <row r="11" customFormat="false" ht="15" hidden="false" customHeight="false" outlineLevel="0" collapsed="false">
      <c r="A11" s="0" t="s">
        <v>115</v>
      </c>
      <c r="C11" s="0" t="n">
        <f aca="false">C8+C10+C24</f>
        <v>2518.04133</v>
      </c>
      <c r="D11" s="0" t="n">
        <f aca="false">D8+D10+D24</f>
        <v>2563.36607394</v>
      </c>
      <c r="E11" s="0" t="n">
        <f aca="false">E8+E10+E24</f>
        <v>2609.50666327092</v>
      </c>
      <c r="F11" s="0" t="n">
        <f aca="false">F8+F10+F24</f>
        <v>2656.4777832098</v>
      </c>
      <c r="G11" s="0" t="n">
        <f aca="false">G8+G10+G24</f>
        <v>2701.63790552436</v>
      </c>
      <c r="H11" s="0" t="n">
        <f aca="false">H8+H10+H24</f>
        <v>2747.56574991828</v>
      </c>
      <c r="I11" s="0" t="n">
        <f aca="false">I8+I10+I24</f>
        <v>2791.52680191697</v>
      </c>
      <c r="J11" s="0" t="n">
        <f aca="false">J8+J10+J24</f>
        <v>2836.19123074764</v>
      </c>
      <c r="K11" s="0" t="n">
        <f aca="false">K8+K10+K24</f>
        <v>2878.73409920886</v>
      </c>
      <c r="L11" s="0" t="n">
        <f aca="false">L8+L10+L24</f>
        <v>2921.91511069699</v>
      </c>
    </row>
    <row r="12" customFormat="false" ht="15" hidden="false" customHeight="false" outlineLevel="0" collapsed="false">
      <c r="A12" s="0" t="s">
        <v>116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117</v>
      </c>
      <c r="C13" s="0" t="n">
        <f aca="false">C11+C12</f>
        <v>2518.04133</v>
      </c>
      <c r="D13" s="0" t="n">
        <f aca="false">D11+D12</f>
        <v>2563.36607394</v>
      </c>
      <c r="E13" s="0" t="n">
        <f aca="false">E11+E12</f>
        <v>2609.50666327092</v>
      </c>
      <c r="F13" s="0" t="n">
        <f aca="false">F11+F12</f>
        <v>2656.4777832098</v>
      </c>
      <c r="G13" s="0" t="n">
        <f aca="false">G11+G12</f>
        <v>2701.63790552436</v>
      </c>
      <c r="H13" s="0" t="n">
        <f aca="false">H11+H12</f>
        <v>2747.56574991828</v>
      </c>
      <c r="I13" s="0" t="n">
        <f aca="false">I11+I12</f>
        <v>2791.52680191697</v>
      </c>
      <c r="J13" s="0" t="n">
        <f aca="false">J11+J12</f>
        <v>2836.19123074764</v>
      </c>
      <c r="K13" s="0" t="n">
        <f aca="false">K11+K12</f>
        <v>2878.73409920886</v>
      </c>
      <c r="L13" s="0" t="n">
        <f aca="false">L11+L12</f>
        <v>2921.91511069699</v>
      </c>
    </row>
    <row r="14" customFormat="false" ht="15" hidden="false" customHeight="false" outlineLevel="0" collapsed="false">
      <c r="A14" s="0" t="s">
        <v>103</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118</v>
      </c>
      <c r="C15" s="0" t="n">
        <f aca="false">C13-MAX(0,C13)*C14/100</f>
        <v>2518.04133</v>
      </c>
      <c r="D15" s="0" t="n">
        <f aca="false">D13-MAX(0,D13)*D14/100</f>
        <v>2563.36607394</v>
      </c>
      <c r="E15" s="0" t="n">
        <f aca="false">E13-MAX(0,E13)*E14/100</f>
        <v>2609.50666327092</v>
      </c>
      <c r="F15" s="0" t="n">
        <f aca="false">F13-MAX(0,F13)*F14/100</f>
        <v>2656.4777832098</v>
      </c>
      <c r="G15" s="0" t="n">
        <f aca="false">G13-MAX(0,G13)*G14/100</f>
        <v>2701.63790552436</v>
      </c>
      <c r="H15" s="0" t="n">
        <f aca="false">H13-MAX(0,H13)*H14/100</f>
        <v>2747.56574991828</v>
      </c>
      <c r="I15" s="0" t="n">
        <f aca="false">I13-MAX(0,I13)*I14/100</f>
        <v>2791.52680191697</v>
      </c>
      <c r="J15" s="0" t="n">
        <f aca="false">J13-MAX(0,J13)*J14/100</f>
        <v>2836.19123074764</v>
      </c>
      <c r="K15" s="0" t="n">
        <f aca="false">K13-MAX(0,K13)*K14/100</f>
        <v>2878.73409920886</v>
      </c>
      <c r="L15" s="0" t="n">
        <f aca="false">L13-MAX(0,L13)*L14/100</f>
        <v>2921.91511069699</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-C6*Assumptions!C18/100</f>
        <v>-0</v>
      </c>
      <c r="D17" s="4" t="n">
        <f aca="false">-D6*Assumptions!D18/100</f>
        <v>-0</v>
      </c>
      <c r="E17" s="4" t="n">
        <f aca="false">-E6*Assumptions!E18/100</f>
        <v>-0</v>
      </c>
      <c r="F17" s="4" t="n">
        <f aca="false">-F6*Assumptions!F18/100</f>
        <v>-0</v>
      </c>
      <c r="G17" s="4" t="n">
        <f aca="false">-G6*Assumptions!G18/100</f>
        <v>-0</v>
      </c>
      <c r="H17" s="4" t="n">
        <f aca="false">-H6*Assumptions!H18/100</f>
        <v>-0</v>
      </c>
      <c r="I17" s="4" t="n">
        <f aca="false">-I6*Assumptions!I18/100</f>
        <v>-0</v>
      </c>
      <c r="J17" s="4" t="n">
        <f aca="false">-J6*Assumptions!J18/100</f>
        <v>-0</v>
      </c>
      <c r="K17" s="4" t="n">
        <f aca="false">-K6*Assumptions!K18/100</f>
        <v>-0</v>
      </c>
      <c r="L17" s="4" t="n">
        <f aca="false">-L6*Assumptions!L18/100</f>
        <v>-0</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2518.04133</v>
      </c>
      <c r="D19" s="0" t="n">
        <f aca="false">D15+D16+D17+D18</f>
        <v>2563.36607394</v>
      </c>
      <c r="E19" s="0" t="n">
        <f aca="false">E15+E16+E17+E18</f>
        <v>2609.50666327092</v>
      </c>
      <c r="F19" s="0" t="n">
        <f aca="false">F15+F16+F17+F18</f>
        <v>2656.4777832098</v>
      </c>
      <c r="G19" s="0" t="n">
        <f aca="false">G15+G16+G17+G18</f>
        <v>2701.63790552436</v>
      </c>
      <c r="H19" s="0" t="n">
        <f aca="false">H15+H16+H17+H18</f>
        <v>2747.56574991828</v>
      </c>
      <c r="I19" s="0" t="n">
        <f aca="false">I15+I16+I17+I18</f>
        <v>2791.52680191697</v>
      </c>
      <c r="J19" s="0" t="n">
        <f aca="false">J15+J16+J17+J18</f>
        <v>2836.19123074764</v>
      </c>
      <c r="K19" s="0" t="n">
        <f aca="false">K15+K16+K17+K18</f>
        <v>2878.73409920886</v>
      </c>
      <c r="L19" s="0" t="n">
        <f aca="false">L15+L16+L17+L18</f>
        <v>2921.91511069699</v>
      </c>
    </row>
    <row r="20" customFormat="false" ht="15" hidden="false" customHeight="false" outlineLevel="0" collapsed="false">
      <c r="A20" s="0" t="s">
        <v>123</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124</v>
      </c>
      <c r="C21" s="0" t="n">
        <f aca="false">C19*C20</f>
        <v>2268.5057027027</v>
      </c>
      <c r="D21" s="0" t="n">
        <f aca="false">D19*D20</f>
        <v>2080.48541022644</v>
      </c>
      <c r="E21" s="0" t="n">
        <f aca="false">E19*E20</f>
        <v>1908.0487816311</v>
      </c>
      <c r="F21" s="0" t="n">
        <f aca="false">F19*F20</f>
        <v>1749.90419792834</v>
      </c>
      <c r="G21" s="0" t="n">
        <f aca="false">G19*G20</f>
        <v>1603.29060296678</v>
      </c>
      <c r="H21" s="0" t="n">
        <f aca="false">H19*H20</f>
        <v>1468.96084974523</v>
      </c>
      <c r="I21" s="0" t="n">
        <f aca="false">I19*I20</f>
        <v>1344.56236337041</v>
      </c>
      <c r="J21" s="0" t="n">
        <f aca="false">J19*J20</f>
        <v>1230.6985235895</v>
      </c>
      <c r="K21" s="0" t="n">
        <f aca="false">K19*K20</f>
        <v>1125.36846976877</v>
      </c>
      <c r="L21" s="0" t="n">
        <f aca="false">L19*L20</f>
        <v>1029.05315028406</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11</v>
      </c>
    </row>
    <row r="28" customFormat="false" ht="15" hidden="false" customHeight="false" outlineLevel="0" collapsed="false">
      <c r="A28" s="0" t="s">
        <v>105</v>
      </c>
      <c r="B28" s="4" t="n">
        <f aca="false">Assumptions!$B$21</f>
        <v>1.5</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15808.8780522133</v>
      </c>
    </row>
    <row r="31" customFormat="false" ht="15" hidden="false" customHeight="false" outlineLevel="0" collapsed="false">
      <c r="A31" s="0" t="s">
        <v>128</v>
      </c>
      <c r="B31" s="0" t="n">
        <f aca="false">L19</f>
        <v>2921.91511069699</v>
      </c>
    </row>
    <row r="32" customFormat="false" ht="15" hidden="false" customHeight="false" outlineLevel="0" collapsed="false">
      <c r="A32" s="0" t="s">
        <v>129</v>
      </c>
      <c r="B32" s="0" t="n">
        <f aca="false">IF(B27&gt;B28,B31*(1+B28/100)/((B27-B28)/100),B31*B29)</f>
        <v>31218.3561827099</v>
      </c>
    </row>
    <row r="33" customFormat="false" ht="15" hidden="false" customHeight="false" outlineLevel="0" collapsed="false">
      <c r="A33" s="0" t="s">
        <v>130</v>
      </c>
      <c r="B33" s="0" t="n">
        <f aca="false">B31*B29</f>
        <v>35062.9813283639</v>
      </c>
    </row>
    <row r="34" customFormat="false" ht="15" hidden="false" customHeight="false" outlineLevel="0" collapsed="false">
      <c r="A34" s="0" t="s">
        <v>131</v>
      </c>
      <c r="B34" s="0" t="n">
        <f aca="false">MAX(0,MIN(B32,B33))</f>
        <v>31218.3561827099</v>
      </c>
    </row>
    <row r="35" customFormat="false" ht="15" hidden="false" customHeight="false" outlineLevel="0" collapsed="false">
      <c r="A35" s="0" t="s">
        <v>132</v>
      </c>
      <c r="B35" s="0" t="n">
        <f aca="false">B34/(1+B27/100)^L4</f>
        <v>10994.6205004033</v>
      </c>
    </row>
    <row r="36" customFormat="false" ht="15" hidden="false" customHeight="false" outlineLevel="0" collapsed="false">
      <c r="A36" s="0" t="s">
        <v>133</v>
      </c>
      <c r="B36" s="0" t="n">
        <f aca="false">B30+B35</f>
        <v>26803.4985526167</v>
      </c>
    </row>
    <row r="37" customFormat="false" ht="15" hidden="false" customHeight="false" outlineLevel="0" collapsed="false">
      <c r="A37" s="0" t="s">
        <v>134</v>
      </c>
      <c r="B37" s="0" t="n">
        <f aca="false">B36+Assumptions!$B$5-Assumptions!$B$4</f>
        <v>26803.4985526167</v>
      </c>
    </row>
    <row r="38" customFormat="false" ht="15" hidden="false" customHeight="false" outlineLevel="0" collapsed="false">
      <c r="A38" s="0" t="s">
        <v>135</v>
      </c>
      <c r="B38" s="0" t="n">
        <f aca="false">B37/Assumptions!$B$3*Assumptions!$B$10</f>
        <v>24.3424743916235</v>
      </c>
    </row>
    <row r="39" customFormat="false" ht="15" hidden="false" customHeight="false" outlineLevel="0" collapsed="false">
      <c r="A39" s="0" t="s">
        <v>136</v>
      </c>
      <c r="B39" s="4" t="n">
        <f aca="false">B38/Assumptions!$B$2-1</f>
        <v>0.0747229311975073</v>
      </c>
    </row>
    <row r="41" customFormat="false" ht="15" hidden="false" customHeight="false" outlineLevel="0" collapsed="false">
      <c r="A41" s="0" t="s">
        <v>137</v>
      </c>
      <c r="B41" s="0" t="n">
        <f aca="false">SUMPRODUCT(-C10:L10/(1+$B$27/100)^C4:L4)</f>
        <v>121.067586856934</v>
      </c>
    </row>
    <row r="42" customFormat="false" ht="15" hidden="false" customHeight="false" outlineLevel="0" collapsed="false">
      <c r="A42" s="0" t="s">
        <v>138</v>
      </c>
      <c r="B42" s="0" t="n">
        <f aca="false">IF(B27&gt;B28,-L10*(1+B28/100)/((B27-B28)/100),-L10*20)/(1+B27/100)^L4</f>
        <v>84.1990284190502</v>
      </c>
    </row>
    <row r="43" customFormat="false" ht="15" hidden="false" customHeight="false" outlineLevel="0" collapsed="false">
      <c r="A43" s="0" t="s">
        <v>139</v>
      </c>
      <c r="B43" s="0" t="n">
        <f aca="false">(B37+B41+B42)/Assumptions!$B$3*Assumptions!$B$10</f>
        <v>24.5288939859165</v>
      </c>
    </row>
    <row r="45" customFormat="false" ht="15" hidden="false" customHeight="false" outlineLevel="0" collapsed="false">
      <c r="A45" s="0" t="s">
        <v>79</v>
      </c>
      <c r="B45" s="4" t="n">
        <f aca="false">Assumptions!$B$6</f>
        <v>15</v>
      </c>
    </row>
    <row r="46" customFormat="false" ht="15" hidden="false" customHeight="false" outlineLevel="0" collapsed="false">
      <c r="A46" s="0" t="s">
        <v>140</v>
      </c>
      <c r="B46" s="0" t="n">
        <f aca="false">MAX(0,MIN(IF(B45&gt;B28,B31*(1+B28/100)/((B45-B28)/100),B31*B29),B31*B29))</f>
        <v>21968.4728693144</v>
      </c>
    </row>
    <row r="47" customFormat="false" ht="15" hidden="false" customHeight="false" outlineLevel="0" collapsed="false">
      <c r="A47" s="0" t="s">
        <v>141</v>
      </c>
      <c r="B47" s="0" t="n">
        <f aca="false">(SUMPRODUCT(C19:L19/(1+B45/100)^C4:L4)+B46/(1+B45/100)^L4+Assumptions!$B$5-Assumptions!$B$4)/Assumptions!$B$3*Assumptions!$B$10</f>
        <v>17.1110620083257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82</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2.7</v>
      </c>
      <c r="D5" s="4" t="n">
        <f aca="false">Assumptions!D27</f>
        <v>2.4</v>
      </c>
      <c r="E5" s="4" t="n">
        <f aca="false">Assumptions!E27</f>
        <v>2.3</v>
      </c>
      <c r="F5" s="4" t="n">
        <f aca="false">Assumptions!F27</f>
        <v>2.3</v>
      </c>
      <c r="G5" s="4" t="n">
        <f aca="false">Assumptions!G27</f>
        <v>2.2</v>
      </c>
      <c r="H5" s="4" t="n">
        <f aca="false">Assumptions!H27</f>
        <v>2.2</v>
      </c>
      <c r="I5" s="4" t="n">
        <f aca="false">Assumptions!I27</f>
        <v>2.1</v>
      </c>
      <c r="J5" s="4" t="n">
        <f aca="false">Assumptions!J27</f>
        <v>2.1</v>
      </c>
      <c r="K5" s="4" t="n">
        <f aca="false">Assumptions!K27</f>
        <v>2</v>
      </c>
      <c r="L5" s="4" t="n">
        <f aca="false">Assumptions!L27</f>
        <v>2</v>
      </c>
    </row>
    <row r="6" customFormat="false" ht="15" hidden="false" customHeight="false" outlineLevel="0" collapsed="false">
      <c r="A6" s="0" t="s">
        <v>37</v>
      </c>
      <c r="B6" s="3" t="n">
        <v>2685</v>
      </c>
      <c r="C6" s="0" t="n">
        <f aca="false">B6*(1+C5/100)</f>
        <v>2757.495</v>
      </c>
      <c r="D6" s="0" t="n">
        <f aca="false">C6*(1+D5/100)</f>
        <v>2823.67488</v>
      </c>
      <c r="E6" s="0" t="n">
        <f aca="false">D6*(1+E5/100)</f>
        <v>2888.61940224</v>
      </c>
      <c r="F6" s="0" t="n">
        <f aca="false">E6*(1+F5/100)</f>
        <v>2955.05764849152</v>
      </c>
      <c r="G6" s="0" t="n">
        <f aca="false">F6*(1+G5/100)</f>
        <v>3020.06891675833</v>
      </c>
      <c r="H6" s="0" t="n">
        <f aca="false">G6*(1+H5/100)</f>
        <v>3086.51043292702</v>
      </c>
      <c r="I6" s="0" t="n">
        <f aca="false">H6*(1+I5/100)</f>
        <v>3151.32715201848</v>
      </c>
      <c r="J6" s="0" t="n">
        <f aca="false">I6*(1+J5/100)</f>
        <v>3217.50502221087</v>
      </c>
      <c r="K6" s="0" t="n">
        <f aca="false">J6*(1+K5/100)</f>
        <v>3281.85512265509</v>
      </c>
      <c r="L6" s="0" t="n">
        <f aca="false">K6*(1+L5/100)</f>
        <v>3347.49222510819</v>
      </c>
    </row>
    <row r="7" customFormat="false" ht="15" hidden="false" customHeight="false" outlineLevel="0" collapsed="false">
      <c r="A7" s="0" t="s">
        <v>98</v>
      </c>
      <c r="C7" s="4" t="n">
        <f aca="false">Assumptions!C28</f>
        <v>100</v>
      </c>
      <c r="D7" s="4" t="n">
        <f aca="false">Assumptions!D28</f>
        <v>100</v>
      </c>
      <c r="E7" s="4" t="n">
        <f aca="false">Assumptions!E28</f>
        <v>100</v>
      </c>
      <c r="F7" s="4" t="n">
        <f aca="false">Assumptions!F28</f>
        <v>100</v>
      </c>
      <c r="G7" s="4" t="n">
        <f aca="false">Assumptions!G28</f>
        <v>100</v>
      </c>
      <c r="H7" s="4" t="n">
        <f aca="false">Assumptions!H28</f>
        <v>100</v>
      </c>
      <c r="I7" s="4" t="n">
        <f aca="false">Assumptions!I28</f>
        <v>100</v>
      </c>
      <c r="J7" s="4" t="n">
        <f aca="false">Assumptions!J28</f>
        <v>100</v>
      </c>
      <c r="K7" s="4" t="n">
        <f aca="false">Assumptions!K28</f>
        <v>100</v>
      </c>
      <c r="L7" s="4" t="n">
        <f aca="false">Assumptions!L28</f>
        <v>100</v>
      </c>
    </row>
    <row r="8" customFormat="false" ht="15" hidden="false" customHeight="false" outlineLevel="0" collapsed="false">
      <c r="A8" s="0" t="s">
        <v>43</v>
      </c>
      <c r="C8" s="0" t="n">
        <f aca="false">C6*C7/100</f>
        <v>2757.495</v>
      </c>
      <c r="D8" s="0" t="n">
        <f aca="false">D6*D7/100</f>
        <v>2823.67488</v>
      </c>
      <c r="E8" s="0" t="n">
        <f aca="false">E6*E7/100</f>
        <v>2888.61940224</v>
      </c>
      <c r="F8" s="0" t="n">
        <f aca="false">F6*F7/100</f>
        <v>2955.05764849152</v>
      </c>
      <c r="G8" s="0" t="n">
        <f aca="false">G6*G7/100</f>
        <v>3020.06891675833</v>
      </c>
      <c r="H8" s="0" t="n">
        <f aca="false">H6*H7/100</f>
        <v>3086.51043292702</v>
      </c>
      <c r="I8" s="0" t="n">
        <f aca="false">I6*I7/100</f>
        <v>3151.32715201848</v>
      </c>
      <c r="J8" s="0" t="n">
        <f aca="false">J6*J7/100</f>
        <v>3217.50502221087</v>
      </c>
      <c r="K8" s="0" t="n">
        <f aca="false">K6*K7/100</f>
        <v>3281.85512265509</v>
      </c>
      <c r="L8" s="0" t="n">
        <f aca="false">L6*L7/100</f>
        <v>3347.49222510819</v>
      </c>
    </row>
    <row r="9" customFormat="false" ht="15" hidden="false" customHeight="false" outlineLevel="0" collapsed="false">
      <c r="A9" s="0" t="s">
        <v>99</v>
      </c>
      <c r="C9" s="4" t="n">
        <f aca="false">Assumptions!C29</f>
        <v>0.76</v>
      </c>
      <c r="D9" s="4" t="n">
        <f aca="false">Assumptions!D29</f>
        <v>0.76</v>
      </c>
      <c r="E9" s="4" t="n">
        <f aca="false">Assumptions!E29</f>
        <v>0.76</v>
      </c>
      <c r="F9" s="4" t="n">
        <f aca="false">Assumptions!F29</f>
        <v>0.76</v>
      </c>
      <c r="G9" s="4" t="n">
        <f aca="false">Assumptions!G29</f>
        <v>0.76</v>
      </c>
      <c r="H9" s="4" t="n">
        <f aca="false">Assumptions!H29</f>
        <v>0.76</v>
      </c>
      <c r="I9" s="4" t="n">
        <f aca="false">Assumptions!I29</f>
        <v>0.76</v>
      </c>
      <c r="J9" s="4" t="n">
        <f aca="false">Assumptions!J29</f>
        <v>0.76</v>
      </c>
      <c r="K9" s="4" t="n">
        <f aca="false">Assumptions!K29</f>
        <v>0.76</v>
      </c>
      <c r="L9" s="4" t="n">
        <f aca="false">Assumptions!L29</f>
        <v>0.76</v>
      </c>
    </row>
    <row r="10" customFormat="false" ht="15" hidden="false" customHeight="false" outlineLevel="0" collapsed="false">
      <c r="A10" s="0" t="s">
        <v>114</v>
      </c>
      <c r="C10" s="0" t="n">
        <f aca="false">-C6*C9/100</f>
        <v>-20.956962</v>
      </c>
      <c r="D10" s="0" t="n">
        <f aca="false">-D6*D9/100</f>
        <v>-21.459929088</v>
      </c>
      <c r="E10" s="0" t="n">
        <f aca="false">-E6*E9/100</f>
        <v>-21.953507457024</v>
      </c>
      <c r="F10" s="0" t="n">
        <f aca="false">-F6*F9/100</f>
        <v>-22.4584381285355</v>
      </c>
      <c r="G10" s="0" t="n">
        <f aca="false">-G6*G9/100</f>
        <v>-22.9525237673633</v>
      </c>
      <c r="H10" s="0" t="n">
        <f aca="false">-H6*H9/100</f>
        <v>-23.4574792902453</v>
      </c>
      <c r="I10" s="0" t="n">
        <f aca="false">-I6*I9/100</f>
        <v>-23.9500863553405</v>
      </c>
      <c r="J10" s="0" t="n">
        <f aca="false">-J6*J9/100</f>
        <v>-24.4530381688026</v>
      </c>
      <c r="K10" s="0" t="n">
        <f aca="false">-K6*K9/100</f>
        <v>-24.9420989321787</v>
      </c>
      <c r="L10" s="0" t="n">
        <f aca="false">-L6*L9/100</f>
        <v>-25.4409409108222</v>
      </c>
    </row>
    <row r="11" customFormat="false" ht="15" hidden="false" customHeight="false" outlineLevel="0" collapsed="false">
      <c r="A11" s="0" t="s">
        <v>115</v>
      </c>
      <c r="C11" s="0" t="n">
        <f aca="false">C8+C10+C24</f>
        <v>2736.538038</v>
      </c>
      <c r="D11" s="0" t="n">
        <f aca="false">D8+D10+D24</f>
        <v>2802.214950912</v>
      </c>
      <c r="E11" s="0" t="n">
        <f aca="false">E8+E10+E24</f>
        <v>2866.66589478298</v>
      </c>
      <c r="F11" s="0" t="n">
        <f aca="false">F8+F10+F24</f>
        <v>2932.59921036298</v>
      </c>
      <c r="G11" s="0" t="n">
        <f aca="false">G8+G10+G24</f>
        <v>2997.11639299097</v>
      </c>
      <c r="H11" s="0" t="n">
        <f aca="false">H8+H10+H24</f>
        <v>3063.05295363677</v>
      </c>
      <c r="I11" s="0" t="n">
        <f aca="false">I8+I10+I24</f>
        <v>3127.37706566314</v>
      </c>
      <c r="J11" s="0" t="n">
        <f aca="false">J8+J10+J24</f>
        <v>3193.05198404207</v>
      </c>
      <c r="K11" s="0" t="n">
        <f aca="false">K8+K10+K24</f>
        <v>3256.91302372291</v>
      </c>
      <c r="L11" s="0" t="n">
        <f aca="false">L8+L10+L24</f>
        <v>3322.05128419737</v>
      </c>
    </row>
    <row r="12" customFormat="false" ht="15" hidden="false" customHeight="false" outlineLevel="0" collapsed="false">
      <c r="A12" s="0" t="s">
        <v>116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117</v>
      </c>
      <c r="C13" s="0" t="n">
        <f aca="false">C11+C12</f>
        <v>2736.538038</v>
      </c>
      <c r="D13" s="0" t="n">
        <f aca="false">D11+D12</f>
        <v>2802.214950912</v>
      </c>
      <c r="E13" s="0" t="n">
        <f aca="false">E11+E12</f>
        <v>2866.66589478298</v>
      </c>
      <c r="F13" s="0" t="n">
        <f aca="false">F11+F12</f>
        <v>2932.59921036298</v>
      </c>
      <c r="G13" s="0" t="n">
        <f aca="false">G11+G12</f>
        <v>2997.11639299097</v>
      </c>
      <c r="H13" s="0" t="n">
        <f aca="false">H11+H12</f>
        <v>3063.05295363677</v>
      </c>
      <c r="I13" s="0" t="n">
        <f aca="false">I11+I12</f>
        <v>3127.37706566314</v>
      </c>
      <c r="J13" s="0" t="n">
        <f aca="false">J11+J12</f>
        <v>3193.05198404207</v>
      </c>
      <c r="K13" s="0" t="n">
        <f aca="false">K11+K12</f>
        <v>3256.91302372291</v>
      </c>
      <c r="L13" s="0" t="n">
        <f aca="false">L11+L12</f>
        <v>3322.05128419737</v>
      </c>
    </row>
    <row r="14" customFormat="false" ht="15" hidden="false" customHeight="false" outlineLevel="0" collapsed="false">
      <c r="A14" s="0" t="s">
        <v>103</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118</v>
      </c>
      <c r="C15" s="0" t="n">
        <f aca="false">C13-MAX(0,C13)*C14/100</f>
        <v>2736.538038</v>
      </c>
      <c r="D15" s="0" t="n">
        <f aca="false">D13-MAX(0,D13)*D14/100</f>
        <v>2802.214950912</v>
      </c>
      <c r="E15" s="0" t="n">
        <f aca="false">E13-MAX(0,E13)*E14/100</f>
        <v>2866.66589478298</v>
      </c>
      <c r="F15" s="0" t="n">
        <f aca="false">F13-MAX(0,F13)*F14/100</f>
        <v>2932.59921036298</v>
      </c>
      <c r="G15" s="0" t="n">
        <f aca="false">G13-MAX(0,G13)*G14/100</f>
        <v>2997.11639299097</v>
      </c>
      <c r="H15" s="0" t="n">
        <f aca="false">H13-MAX(0,H13)*H14/100</f>
        <v>3063.05295363677</v>
      </c>
      <c r="I15" s="0" t="n">
        <f aca="false">I13-MAX(0,I13)*I14/100</f>
        <v>3127.37706566314</v>
      </c>
      <c r="J15" s="0" t="n">
        <f aca="false">J13-MAX(0,J13)*J14/100</f>
        <v>3193.05198404207</v>
      </c>
      <c r="K15" s="0" t="n">
        <f aca="false">K13-MAX(0,K13)*K14/100</f>
        <v>3256.91302372291</v>
      </c>
      <c r="L15" s="0" t="n">
        <f aca="false">L13-MAX(0,L13)*L14/100</f>
        <v>3322.05128419737</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-C6*Assumptions!C32/100</f>
        <v>-0</v>
      </c>
      <c r="D17" s="4" t="n">
        <f aca="false">-D6*Assumptions!D32/100</f>
        <v>-0</v>
      </c>
      <c r="E17" s="4" t="n">
        <f aca="false">-E6*Assumptions!E32/100</f>
        <v>-0</v>
      </c>
      <c r="F17" s="4" t="n">
        <f aca="false">-F6*Assumptions!F32/100</f>
        <v>-0</v>
      </c>
      <c r="G17" s="4" t="n">
        <f aca="false">-G6*Assumptions!G32/100</f>
        <v>-0</v>
      </c>
      <c r="H17" s="4" t="n">
        <f aca="false">-H6*Assumptions!H32/100</f>
        <v>-0</v>
      </c>
      <c r="I17" s="4" t="n">
        <f aca="false">-I6*Assumptions!I32/100</f>
        <v>-0</v>
      </c>
      <c r="J17" s="4" t="n">
        <f aca="false">-J6*Assumptions!J32/100</f>
        <v>-0</v>
      </c>
      <c r="K17" s="4" t="n">
        <f aca="false">-K6*Assumptions!K32/100</f>
        <v>-0</v>
      </c>
      <c r="L17" s="4" t="n">
        <f aca="false">-L6*Assumptions!L32/100</f>
        <v>-0</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2736.538038</v>
      </c>
      <c r="D19" s="0" t="n">
        <f aca="false">D15+D16+D17+D18</f>
        <v>2802.214950912</v>
      </c>
      <c r="E19" s="0" t="n">
        <f aca="false">E15+E16+E17+E18</f>
        <v>2866.66589478298</v>
      </c>
      <c r="F19" s="0" t="n">
        <f aca="false">F15+F16+F17+F18</f>
        <v>2932.59921036298</v>
      </c>
      <c r="G19" s="0" t="n">
        <f aca="false">G15+G16+G17+G18</f>
        <v>2997.11639299097</v>
      </c>
      <c r="H19" s="0" t="n">
        <f aca="false">H15+H16+H17+H18</f>
        <v>3063.05295363677</v>
      </c>
      <c r="I19" s="0" t="n">
        <f aca="false">I15+I16+I17+I18</f>
        <v>3127.37706566314</v>
      </c>
      <c r="J19" s="0" t="n">
        <f aca="false">J15+J16+J17+J18</f>
        <v>3193.05198404207</v>
      </c>
      <c r="K19" s="0" t="n">
        <f aca="false">K15+K16+K17+K18</f>
        <v>3256.91302372291</v>
      </c>
      <c r="L19" s="0" t="n">
        <f aca="false">L15+L16+L17+L18</f>
        <v>3322.05128419737</v>
      </c>
    </row>
    <row r="20" customFormat="false" ht="15" hidden="false" customHeight="false" outlineLevel="0" collapsed="false">
      <c r="A20" s="0" t="s">
        <v>123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124</v>
      </c>
      <c r="C21" s="0" t="n">
        <f aca="false">C19*C20</f>
        <v>2499.12149589041</v>
      </c>
      <c r="D21" s="0" t="n">
        <f aca="false">D19*D20</f>
        <v>2337.07800163633</v>
      </c>
      <c r="E21" s="0" t="n">
        <f aca="false">E19*E20</f>
        <v>2183.40711933695</v>
      </c>
      <c r="F21" s="0" t="n">
        <f aca="false">F19*F20</f>
        <v>2039.84062381891</v>
      </c>
      <c r="G21" s="0" t="n">
        <f aca="false">G19*G20</f>
        <v>1903.85124889765</v>
      </c>
      <c r="H21" s="0" t="n">
        <f aca="false">H19*H20</f>
        <v>1776.92783230447</v>
      </c>
      <c r="I21" s="0" t="n">
        <f aca="false">I19*I20</f>
        <v>1656.84321167385</v>
      </c>
      <c r="J21" s="0" t="n">
        <f aca="false">J19*J20</f>
        <v>1544.87389873881</v>
      </c>
      <c r="K21" s="0" t="n">
        <f aca="false">K19*K20</f>
        <v>1439.06061800328</v>
      </c>
      <c r="L21" s="0" t="n">
        <f aca="false">L19*L20</f>
        <v>1340.49482224963</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9.5</v>
      </c>
    </row>
    <row r="28" customFormat="false" ht="15" hidden="false" customHeight="false" outlineLevel="0" collapsed="false">
      <c r="A28" s="0" t="s">
        <v>105</v>
      </c>
      <c r="B28" s="4" t="n">
        <f aca="false">Assumptions!$B$35</f>
        <v>2</v>
      </c>
    </row>
    <row r="29" customFormat="false" ht="15" hidden="false" customHeight="false" outlineLevel="0" collapsed="false">
      <c r="A29" s="0" t="s">
        <v>106</v>
      </c>
      <c r="B29" s="4" t="n">
        <f aca="false">Assumptions!$B$36</f>
        <v>14</v>
      </c>
    </row>
    <row r="30" customFormat="false" ht="15" hidden="false" customHeight="false" outlineLevel="0" collapsed="false">
      <c r="A30" s="0" t="s">
        <v>127</v>
      </c>
      <c r="B30" s="0" t="n">
        <f aca="false">SUM(C21:L21)</f>
        <v>18721.4988725503</v>
      </c>
    </row>
    <row r="31" customFormat="false" ht="15" hidden="false" customHeight="false" outlineLevel="0" collapsed="false">
      <c r="A31" s="0" t="s">
        <v>128</v>
      </c>
      <c r="B31" s="0" t="n">
        <f aca="false">L19</f>
        <v>3322.05128419737</v>
      </c>
    </row>
    <row r="32" customFormat="false" ht="15" hidden="false" customHeight="false" outlineLevel="0" collapsed="false">
      <c r="A32" s="0" t="s">
        <v>129</v>
      </c>
      <c r="B32" s="0" t="n">
        <f aca="false">IF(B27&gt;B28,B31*(1+B28/100)/((B27-B28)/100),B31*B29)</f>
        <v>45179.8974650842</v>
      </c>
    </row>
    <row r="33" customFormat="false" ht="15" hidden="false" customHeight="false" outlineLevel="0" collapsed="false">
      <c r="A33" s="0" t="s">
        <v>130</v>
      </c>
      <c r="B33" s="0" t="n">
        <f aca="false">B31*B29</f>
        <v>46508.7179787632</v>
      </c>
    </row>
    <row r="34" customFormat="false" ht="15" hidden="false" customHeight="false" outlineLevel="0" collapsed="false">
      <c r="A34" s="0" t="s">
        <v>131</v>
      </c>
      <c r="B34" s="0" t="n">
        <f aca="false">MAX(0,MIN(B32,B33))</f>
        <v>45179.8974650842</v>
      </c>
    </row>
    <row r="35" customFormat="false" ht="15" hidden="false" customHeight="false" outlineLevel="0" collapsed="false">
      <c r="A35" s="0" t="s">
        <v>132</v>
      </c>
      <c r="B35" s="0" t="n">
        <f aca="false">B34/(1+B27/100)^L4</f>
        <v>18230.7295825949</v>
      </c>
    </row>
    <row r="36" customFormat="false" ht="15" hidden="false" customHeight="false" outlineLevel="0" collapsed="false">
      <c r="A36" s="0" t="s">
        <v>133</v>
      </c>
      <c r="B36" s="0" t="n">
        <f aca="false">B30+B35</f>
        <v>36952.2284551452</v>
      </c>
    </row>
    <row r="37" customFormat="false" ht="15" hidden="false" customHeight="false" outlineLevel="0" collapsed="false">
      <c r="A37" s="0" t="s">
        <v>134</v>
      </c>
      <c r="B37" s="0" t="n">
        <f aca="false">B36+Assumptions!$B$5-Assumptions!$B$4</f>
        <v>36952.2284551452</v>
      </c>
    </row>
    <row r="38" customFormat="false" ht="15" hidden="false" customHeight="false" outlineLevel="0" collapsed="false">
      <c r="A38" s="0" t="s">
        <v>135</v>
      </c>
      <c r="B38" s="0" t="n">
        <f aca="false">B37/Assumptions!$B$3*Assumptions!$B$10</f>
        <v>33.5593755836393</v>
      </c>
    </row>
    <row r="39" customFormat="false" ht="15" hidden="false" customHeight="false" outlineLevel="0" collapsed="false">
      <c r="A39" s="0" t="s">
        <v>136</v>
      </c>
      <c r="B39" s="4" t="n">
        <f aca="false">B38/Assumptions!$B$2-1</f>
        <v>0.481650136143016</v>
      </c>
    </row>
    <row r="41" customFormat="false" ht="15" hidden="false" customHeight="false" outlineLevel="0" collapsed="false">
      <c r="A41" s="0" t="s">
        <v>137</v>
      </c>
      <c r="B41" s="0" t="n">
        <f aca="false">SUMPRODUCT(-C10:L10/(1+$B$27/100)^C4:L4)</f>
        <v>143.373026432267</v>
      </c>
    </row>
    <row r="42" customFormat="false" ht="15" hidden="false" customHeight="false" outlineLevel="0" collapsed="false">
      <c r="A42" s="0" t="s">
        <v>138</v>
      </c>
      <c r="B42" s="0" t="n">
        <f aca="false">IF(B27&gt;B28,-L10*(1+B28/100)/((B27-B28)/100),-L10*20)/(1+B27/100)^L4</f>
        <v>139.614615908627</v>
      </c>
    </row>
    <row r="43" customFormat="false" ht="15" hidden="false" customHeight="false" outlineLevel="0" collapsed="false">
      <c r="A43" s="0" t="s">
        <v>139</v>
      </c>
      <c r="B43" s="0" t="n">
        <f aca="false">(B37+B41+B42)/Assumptions!$B$3*Assumptions!$B$10</f>
        <v>33.8163800721879</v>
      </c>
    </row>
    <row r="45" customFormat="false" ht="15" hidden="false" customHeight="false" outlineLevel="0" collapsed="false">
      <c r="A45" s="0" t="s">
        <v>79</v>
      </c>
      <c r="B45" s="4" t="n">
        <f aca="false">Assumptions!$B$6</f>
        <v>15</v>
      </c>
    </row>
    <row r="46" customFormat="false" ht="15" hidden="false" customHeight="false" outlineLevel="0" collapsed="false">
      <c r="A46" s="0" t="s">
        <v>140</v>
      </c>
      <c r="B46" s="0" t="n">
        <f aca="false">MAX(0,MIN(IF(B45&gt;B28,B31*(1+B28/100)/((B45-B28)/100),B31*B29),B31*B29))</f>
        <v>26065.3254606255</v>
      </c>
    </row>
    <row r="47" customFormat="false" ht="15" hidden="false" customHeight="false" outlineLevel="0" collapsed="false">
      <c r="A47" s="0" t="s">
        <v>141</v>
      </c>
      <c r="B47" s="0" t="n">
        <f aca="false">(SUMPRODUCT(C19:L19/(1+B45/100)^C4:L4)+B46/(1+B45/100)^L4+Assumptions!$B$5-Assumptions!$B$4)/Assumptions!$B$3*Assumptions!$B$10</f>
        <v>19.3296303629045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82</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3.2</v>
      </c>
      <c r="D5" s="4" t="n">
        <f aca="false">Assumptions!D41</f>
        <v>3</v>
      </c>
      <c r="E5" s="4" t="n">
        <f aca="false">Assumptions!E41</f>
        <v>3</v>
      </c>
      <c r="F5" s="4" t="n">
        <f aca="false">Assumptions!F41</f>
        <v>2.9</v>
      </c>
      <c r="G5" s="4" t="n">
        <f aca="false">Assumptions!G41</f>
        <v>2.8</v>
      </c>
      <c r="H5" s="4" t="n">
        <f aca="false">Assumptions!H41</f>
        <v>2.7</v>
      </c>
      <c r="I5" s="4" t="n">
        <f aca="false">Assumptions!I41</f>
        <v>2.6</v>
      </c>
      <c r="J5" s="4" t="n">
        <f aca="false">Assumptions!J41</f>
        <v>2.5</v>
      </c>
      <c r="K5" s="4" t="n">
        <f aca="false">Assumptions!K41</f>
        <v>2.5</v>
      </c>
      <c r="L5" s="4" t="n">
        <f aca="false">Assumptions!L41</f>
        <v>2.5</v>
      </c>
    </row>
    <row r="6" customFormat="false" ht="15" hidden="false" customHeight="false" outlineLevel="0" collapsed="false">
      <c r="A6" s="0" t="s">
        <v>37</v>
      </c>
      <c r="B6" s="3" t="n">
        <v>2685</v>
      </c>
      <c r="C6" s="0" t="n">
        <f aca="false">B6*(1+C5/100)</f>
        <v>2770.92</v>
      </c>
      <c r="D6" s="0" t="n">
        <f aca="false">C6*(1+D5/100)</f>
        <v>2854.0476</v>
      </c>
      <c r="E6" s="0" t="n">
        <f aca="false">D6*(1+E5/100)</f>
        <v>2939.669028</v>
      </c>
      <c r="F6" s="0" t="n">
        <f aca="false">E6*(1+F5/100)</f>
        <v>3024.919429812</v>
      </c>
      <c r="G6" s="0" t="n">
        <f aca="false">F6*(1+G5/100)</f>
        <v>3109.61717384674</v>
      </c>
      <c r="H6" s="0" t="n">
        <f aca="false">G6*(1+H5/100)</f>
        <v>3193.5768375406</v>
      </c>
      <c r="I6" s="0" t="n">
        <f aca="false">H6*(1+I5/100)</f>
        <v>3276.60983531665</v>
      </c>
      <c r="J6" s="0" t="n">
        <f aca="false">I6*(1+J5/100)</f>
        <v>3358.52508119957</v>
      </c>
      <c r="K6" s="0" t="n">
        <f aca="false">J6*(1+K5/100)</f>
        <v>3442.48820822956</v>
      </c>
      <c r="L6" s="0" t="n">
        <f aca="false">K6*(1+L5/100)</f>
        <v>3528.5504134353</v>
      </c>
    </row>
    <row r="7" customFormat="false" ht="15" hidden="false" customHeight="false" outlineLevel="0" collapsed="false">
      <c r="A7" s="0" t="s">
        <v>98</v>
      </c>
      <c r="C7" s="4" t="n">
        <f aca="false">Assumptions!C42</f>
        <v>100</v>
      </c>
      <c r="D7" s="4" t="n">
        <f aca="false">Assumptions!D42</f>
        <v>100</v>
      </c>
      <c r="E7" s="4" t="n">
        <f aca="false">Assumptions!E42</f>
        <v>100</v>
      </c>
      <c r="F7" s="4" t="n">
        <f aca="false">Assumptions!F42</f>
        <v>100</v>
      </c>
      <c r="G7" s="4" t="n">
        <f aca="false">Assumptions!G42</f>
        <v>100</v>
      </c>
      <c r="H7" s="4" t="n">
        <f aca="false">Assumptions!H42</f>
        <v>100</v>
      </c>
      <c r="I7" s="4" t="n">
        <f aca="false">Assumptions!I42</f>
        <v>100</v>
      </c>
      <c r="J7" s="4" t="n">
        <f aca="false">Assumptions!J42</f>
        <v>100</v>
      </c>
      <c r="K7" s="4" t="n">
        <f aca="false">Assumptions!K42</f>
        <v>100</v>
      </c>
      <c r="L7" s="4" t="n">
        <f aca="false">Assumptions!L42</f>
        <v>100</v>
      </c>
    </row>
    <row r="8" customFormat="false" ht="15" hidden="false" customHeight="false" outlineLevel="0" collapsed="false">
      <c r="A8" s="0" t="s">
        <v>43</v>
      </c>
      <c r="C8" s="0" t="n">
        <f aca="false">C6*C7/100</f>
        <v>2770.92</v>
      </c>
      <c r="D8" s="0" t="n">
        <f aca="false">D6*D7/100</f>
        <v>2854.0476</v>
      </c>
      <c r="E8" s="0" t="n">
        <f aca="false">E6*E7/100</f>
        <v>2939.669028</v>
      </c>
      <c r="F8" s="0" t="n">
        <f aca="false">F6*F7/100</f>
        <v>3024.919429812</v>
      </c>
      <c r="G8" s="0" t="n">
        <f aca="false">G6*G7/100</f>
        <v>3109.61717384674</v>
      </c>
      <c r="H8" s="0" t="n">
        <f aca="false">H6*H7/100</f>
        <v>3193.5768375406</v>
      </c>
      <c r="I8" s="0" t="n">
        <f aca="false">I6*I7/100</f>
        <v>3276.60983531665</v>
      </c>
      <c r="J8" s="0" t="n">
        <f aca="false">J6*J7/100</f>
        <v>3358.52508119957</v>
      </c>
      <c r="K8" s="0" t="n">
        <f aca="false">K6*K7/100</f>
        <v>3442.48820822956</v>
      </c>
      <c r="L8" s="0" t="n">
        <f aca="false">L6*L7/100</f>
        <v>3528.5504134353</v>
      </c>
    </row>
    <row r="9" customFormat="false" ht="15" hidden="false" customHeight="false" outlineLevel="0" collapsed="false">
      <c r="A9" s="0" t="s">
        <v>99</v>
      </c>
      <c r="C9" s="4" t="n">
        <f aca="false">Assumptions!C43</f>
        <v>0.76</v>
      </c>
      <c r="D9" s="4" t="n">
        <f aca="false">Assumptions!D43</f>
        <v>0.76</v>
      </c>
      <c r="E9" s="4" t="n">
        <f aca="false">Assumptions!E43</f>
        <v>0.76</v>
      </c>
      <c r="F9" s="4" t="n">
        <f aca="false">Assumptions!F43</f>
        <v>0.76</v>
      </c>
      <c r="G9" s="4" t="n">
        <f aca="false">Assumptions!G43</f>
        <v>0.76</v>
      </c>
      <c r="H9" s="4" t="n">
        <f aca="false">Assumptions!H43</f>
        <v>0.76</v>
      </c>
      <c r="I9" s="4" t="n">
        <f aca="false">Assumptions!I43</f>
        <v>0.76</v>
      </c>
      <c r="J9" s="4" t="n">
        <f aca="false">Assumptions!J43</f>
        <v>0.76</v>
      </c>
      <c r="K9" s="4" t="n">
        <f aca="false">Assumptions!K43</f>
        <v>0.76</v>
      </c>
      <c r="L9" s="4" t="n">
        <f aca="false">Assumptions!L43</f>
        <v>0.76</v>
      </c>
    </row>
    <row r="10" customFormat="false" ht="15" hidden="false" customHeight="false" outlineLevel="0" collapsed="false">
      <c r="A10" s="0" t="s">
        <v>114</v>
      </c>
      <c r="C10" s="0" t="n">
        <f aca="false">-C6*C9/100</f>
        <v>-21.058992</v>
      </c>
      <c r="D10" s="0" t="n">
        <f aca="false">-D6*D9/100</f>
        <v>-21.69076176</v>
      </c>
      <c r="E10" s="0" t="n">
        <f aca="false">-E6*E9/100</f>
        <v>-22.3414846128</v>
      </c>
      <c r="F10" s="0" t="n">
        <f aca="false">-F6*F9/100</f>
        <v>-22.9893876665712</v>
      </c>
      <c r="G10" s="0" t="n">
        <f aca="false">-G6*G9/100</f>
        <v>-23.6330905212352</v>
      </c>
      <c r="H10" s="0" t="n">
        <f aca="false">-H6*H9/100</f>
        <v>-24.2711839653085</v>
      </c>
      <c r="I10" s="0" t="n">
        <f aca="false">-I6*I9/100</f>
        <v>-24.9022347484066</v>
      </c>
      <c r="J10" s="0" t="n">
        <f aca="false">-J6*J9/100</f>
        <v>-25.5247906171167</v>
      </c>
      <c r="K10" s="0" t="n">
        <f aca="false">-K6*K9/100</f>
        <v>-26.1629103825446</v>
      </c>
      <c r="L10" s="0" t="n">
        <f aca="false">-L6*L9/100</f>
        <v>-26.8169831421083</v>
      </c>
    </row>
    <row r="11" customFormat="false" ht="15" hidden="false" customHeight="false" outlineLevel="0" collapsed="false">
      <c r="A11" s="0" t="s">
        <v>115</v>
      </c>
      <c r="C11" s="0" t="n">
        <f aca="false">C8+C10+C24</f>
        <v>2749.861008</v>
      </c>
      <c r="D11" s="0" t="n">
        <f aca="false">D8+D10+D24</f>
        <v>2832.35683824</v>
      </c>
      <c r="E11" s="0" t="n">
        <f aca="false">E8+E10+E24</f>
        <v>2917.3275433872</v>
      </c>
      <c r="F11" s="0" t="n">
        <f aca="false">F8+F10+F24</f>
        <v>3001.93004214543</v>
      </c>
      <c r="G11" s="0" t="n">
        <f aca="false">G8+G10+G24</f>
        <v>3085.9840833255</v>
      </c>
      <c r="H11" s="0" t="n">
        <f aca="false">H8+H10+H24</f>
        <v>3169.30565357529</v>
      </c>
      <c r="I11" s="0" t="n">
        <f aca="false">I8+I10+I24</f>
        <v>3251.70760056825</v>
      </c>
      <c r="J11" s="0" t="n">
        <f aca="false">J8+J10+J24</f>
        <v>3333.00029058245</v>
      </c>
      <c r="K11" s="0" t="n">
        <f aca="false">K8+K10+K24</f>
        <v>3416.32529784701</v>
      </c>
      <c r="L11" s="0" t="n">
        <f aca="false">L8+L10+L24</f>
        <v>3501.73343029319</v>
      </c>
    </row>
    <row r="12" customFormat="false" ht="15" hidden="false" customHeight="false" outlineLevel="0" collapsed="false">
      <c r="A12" s="0" t="s">
        <v>116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117</v>
      </c>
      <c r="C13" s="0" t="n">
        <f aca="false">C11+C12</f>
        <v>2749.861008</v>
      </c>
      <c r="D13" s="0" t="n">
        <f aca="false">D11+D12</f>
        <v>2832.35683824</v>
      </c>
      <c r="E13" s="0" t="n">
        <f aca="false">E11+E12</f>
        <v>2917.3275433872</v>
      </c>
      <c r="F13" s="0" t="n">
        <f aca="false">F11+F12</f>
        <v>3001.93004214543</v>
      </c>
      <c r="G13" s="0" t="n">
        <f aca="false">G11+G12</f>
        <v>3085.9840833255</v>
      </c>
      <c r="H13" s="0" t="n">
        <f aca="false">H11+H12</f>
        <v>3169.30565357529</v>
      </c>
      <c r="I13" s="0" t="n">
        <f aca="false">I11+I12</f>
        <v>3251.70760056825</v>
      </c>
      <c r="J13" s="0" t="n">
        <f aca="false">J11+J12</f>
        <v>3333.00029058245</v>
      </c>
      <c r="K13" s="0" t="n">
        <f aca="false">K11+K12</f>
        <v>3416.32529784701</v>
      </c>
      <c r="L13" s="0" t="n">
        <f aca="false">L11+L12</f>
        <v>3501.73343029319</v>
      </c>
    </row>
    <row r="14" customFormat="false" ht="15" hidden="false" customHeight="false" outlineLevel="0" collapsed="false">
      <c r="A14" s="0" t="s">
        <v>103</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118</v>
      </c>
      <c r="C15" s="0" t="n">
        <f aca="false">C13-MAX(0,C13)*C14/100</f>
        <v>2749.861008</v>
      </c>
      <c r="D15" s="0" t="n">
        <f aca="false">D13-MAX(0,D13)*D14/100</f>
        <v>2832.35683824</v>
      </c>
      <c r="E15" s="0" t="n">
        <f aca="false">E13-MAX(0,E13)*E14/100</f>
        <v>2917.3275433872</v>
      </c>
      <c r="F15" s="0" t="n">
        <f aca="false">F13-MAX(0,F13)*F14/100</f>
        <v>3001.93004214543</v>
      </c>
      <c r="G15" s="0" t="n">
        <f aca="false">G13-MAX(0,G13)*G14/100</f>
        <v>3085.9840833255</v>
      </c>
      <c r="H15" s="0" t="n">
        <f aca="false">H13-MAX(0,H13)*H14/100</f>
        <v>3169.30565357529</v>
      </c>
      <c r="I15" s="0" t="n">
        <f aca="false">I13-MAX(0,I13)*I14/100</f>
        <v>3251.70760056825</v>
      </c>
      <c r="J15" s="0" t="n">
        <f aca="false">J13-MAX(0,J13)*J14/100</f>
        <v>3333.00029058245</v>
      </c>
      <c r="K15" s="0" t="n">
        <f aca="false">K13-MAX(0,K13)*K14/100</f>
        <v>3416.32529784701</v>
      </c>
      <c r="L15" s="0" t="n">
        <f aca="false">L13-MAX(0,L13)*L14/100</f>
        <v>3501.73343029319</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-C6*Assumptions!C46/100</f>
        <v>-0</v>
      </c>
      <c r="D17" s="4" t="n">
        <f aca="false">-D6*Assumptions!D46/100</f>
        <v>-0</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2749.861008</v>
      </c>
      <c r="D19" s="0" t="n">
        <f aca="false">D15+D16+D17+D18</f>
        <v>2832.35683824</v>
      </c>
      <c r="E19" s="0" t="n">
        <f aca="false">E15+E16+E17+E18</f>
        <v>2917.3275433872</v>
      </c>
      <c r="F19" s="0" t="n">
        <f aca="false">F15+F16+F17+F18</f>
        <v>3001.93004214543</v>
      </c>
      <c r="G19" s="0" t="n">
        <f aca="false">G15+G16+G17+G18</f>
        <v>3085.9840833255</v>
      </c>
      <c r="H19" s="0" t="n">
        <f aca="false">H15+H16+H17+H18</f>
        <v>3169.30565357529</v>
      </c>
      <c r="I19" s="0" t="n">
        <f aca="false">I15+I16+I17+I18</f>
        <v>3251.70760056825</v>
      </c>
      <c r="J19" s="0" t="n">
        <f aca="false">J15+J16+J17+J18</f>
        <v>3333.00029058245</v>
      </c>
      <c r="K19" s="0" t="n">
        <f aca="false">K15+K16+K17+K18</f>
        <v>3416.32529784701</v>
      </c>
      <c r="L19" s="0" t="n">
        <f aca="false">L15+L16+L17+L18</f>
        <v>3501.73343029319</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2534.43410875576</v>
      </c>
      <c r="D21" s="0" t="n">
        <f aca="false">D19*D20</f>
        <v>2405.96049033957</v>
      </c>
      <c r="E21" s="0" t="n">
        <f aca="false">E19*E20</f>
        <v>2283.99935949286</v>
      </c>
      <c r="F21" s="0" t="n">
        <f aca="false">F19*F20</f>
        <v>2166.11552158356</v>
      </c>
      <c r="G21" s="0" t="n">
        <f aca="false">G19*G20</f>
        <v>2052.31959095658</v>
      </c>
      <c r="H21" s="0" t="n">
        <f aca="false">H19*H20</f>
        <v>1942.6103409331</v>
      </c>
      <c r="I21" s="0" t="n">
        <f aca="false">I19*I20</f>
        <v>1836.975308569</v>
      </c>
      <c r="J21" s="0" t="n">
        <f aca="false">J19*J20</f>
        <v>1735.39142053753</v>
      </c>
      <c r="K21" s="0" t="n">
        <f aca="false">K19*K20</f>
        <v>1639.42507470135</v>
      </c>
      <c r="L21" s="0" t="n">
        <f aca="false">L19*L20</f>
        <v>1548.76562356579</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8.5</v>
      </c>
    </row>
    <row r="28" customFormat="false" ht="15" hidden="false" customHeight="false" outlineLevel="0" collapsed="false">
      <c r="A28" s="0" t="s">
        <v>105</v>
      </c>
      <c r="B28" s="4" t="n">
        <f aca="false">Assumptions!$B$49</f>
        <v>2.25</v>
      </c>
    </row>
    <row r="29" customFormat="false" ht="15" hidden="false" customHeight="false" outlineLevel="0" collapsed="false">
      <c r="A29" s="0" t="s">
        <v>106</v>
      </c>
      <c r="B29" s="4" t="n">
        <f aca="false">Assumptions!$B$50</f>
        <v>16</v>
      </c>
    </row>
    <row r="30" customFormat="false" ht="15" hidden="false" customHeight="false" outlineLevel="0" collapsed="false">
      <c r="A30" s="0" t="s">
        <v>127</v>
      </c>
      <c r="B30" s="0" t="n">
        <f aca="false">SUM(C21:L21)</f>
        <v>20145.9968394351</v>
      </c>
    </row>
    <row r="31" customFormat="false" ht="15" hidden="false" customHeight="false" outlineLevel="0" collapsed="false">
      <c r="A31" s="0" t="s">
        <v>128</v>
      </c>
      <c r="B31" s="0" t="n">
        <f aca="false">L19</f>
        <v>3501.73343029319</v>
      </c>
    </row>
    <row r="32" customFormat="false" ht="15" hidden="false" customHeight="false" outlineLevel="0" collapsed="false">
      <c r="A32" s="0" t="s">
        <v>129</v>
      </c>
      <c r="B32" s="0" t="n">
        <f aca="false">IF(B27&gt;B28,B31*(1+B28/100)/((B27-B28)/100),B31*B29)</f>
        <v>57288.3589195966</v>
      </c>
    </row>
    <row r="33" customFormat="false" ht="15" hidden="false" customHeight="false" outlineLevel="0" collapsed="false">
      <c r="A33" s="0" t="s">
        <v>130</v>
      </c>
      <c r="B33" s="0" t="n">
        <f aca="false">B31*B29</f>
        <v>56027.734884691</v>
      </c>
    </row>
    <row r="34" customFormat="false" ht="15" hidden="false" customHeight="false" outlineLevel="0" collapsed="false">
      <c r="A34" s="0" t="s">
        <v>131</v>
      </c>
      <c r="B34" s="0" t="n">
        <f aca="false">MAX(0,MIN(B32,B33))</f>
        <v>56027.734884691</v>
      </c>
    </row>
    <row r="35" customFormat="false" ht="15" hidden="false" customHeight="false" outlineLevel="0" collapsed="false">
      <c r="A35" s="0" t="s">
        <v>132</v>
      </c>
      <c r="B35" s="0" t="n">
        <f aca="false">B34/(1+B27/100)^L4</f>
        <v>24780.2499770527</v>
      </c>
    </row>
    <row r="36" customFormat="false" ht="15" hidden="false" customHeight="false" outlineLevel="0" collapsed="false">
      <c r="A36" s="0" t="s">
        <v>133</v>
      </c>
      <c r="B36" s="0" t="n">
        <f aca="false">B30+B35</f>
        <v>44926.2468164878</v>
      </c>
    </row>
    <row r="37" customFormat="false" ht="15" hidden="false" customHeight="false" outlineLevel="0" collapsed="false">
      <c r="A37" s="0" t="s">
        <v>134</v>
      </c>
      <c r="B37" s="0" t="n">
        <f aca="false">B36+Assumptions!$B$5-Assumptions!$B$4</f>
        <v>44926.2468164878</v>
      </c>
    </row>
    <row r="38" customFormat="false" ht="15" hidden="false" customHeight="false" outlineLevel="0" collapsed="false">
      <c r="A38" s="0" t="s">
        <v>135</v>
      </c>
      <c r="B38" s="0" t="n">
        <f aca="false">B37/Assumptions!$B$3*Assumptions!$B$10</f>
        <v>40.8012413191244</v>
      </c>
    </row>
    <row r="39" customFormat="false" ht="15" hidden="false" customHeight="false" outlineLevel="0" collapsed="false">
      <c r="A39" s="0" t="s">
        <v>136</v>
      </c>
      <c r="B39" s="4" t="n">
        <f aca="false">B38/Assumptions!$B$2-1</f>
        <v>0.80137930768761</v>
      </c>
    </row>
    <row r="41" customFormat="false" ht="15" hidden="false" customHeight="false" outlineLevel="0" collapsed="false">
      <c r="A41" s="0" t="s">
        <v>137</v>
      </c>
      <c r="B41" s="0" t="n">
        <f aca="false">SUMPRODUCT(-C10:L10/(1+$B$27/100)^C4:L4)</f>
        <v>154.282120092409</v>
      </c>
    </row>
    <row r="42" customFormat="false" ht="15" hidden="false" customHeight="false" outlineLevel="0" collapsed="false">
      <c r="A42" s="0" t="s">
        <v>138</v>
      </c>
      <c r="B42" s="0" t="n">
        <f aca="false">IF(B27&gt;B28,-L10*(1+B28/100)/((B27-B28)/100),-L10*20)/(1+B27/100)^L4</f>
        <v>194.042042091573</v>
      </c>
    </row>
    <row r="43" customFormat="false" ht="15" hidden="false" customHeight="false" outlineLevel="0" collapsed="false">
      <c r="A43" s="0" t="s">
        <v>139</v>
      </c>
      <c r="B43" s="0" t="n">
        <f aca="false">(B37+B41+B42)/Assumptions!$B$3*Assumptions!$B$10</f>
        <v>41.1175833063953</v>
      </c>
    </row>
    <row r="45" customFormat="false" ht="15" hidden="false" customHeight="false" outlineLevel="0" collapsed="false">
      <c r="A45" s="0" t="s">
        <v>79</v>
      </c>
      <c r="B45" s="4" t="n">
        <f aca="false">Assumptions!$B$6</f>
        <v>15</v>
      </c>
    </row>
    <row r="46" customFormat="false" ht="15" hidden="false" customHeight="false" outlineLevel="0" collapsed="false">
      <c r="A46" s="0" t="s">
        <v>140</v>
      </c>
      <c r="B46" s="0" t="n">
        <f aca="false">MAX(0,MIN(IF(B45&gt;B28,B31*(1+B28/100)/((B45-B28)/100),B31*B29),B31*B29))</f>
        <v>28082.5288821552</v>
      </c>
    </row>
    <row r="47" customFormat="false" ht="15" hidden="false" customHeight="false" outlineLevel="0" collapsed="false">
      <c r="A47" s="0" t="s">
        <v>141</v>
      </c>
      <c r="B47" s="0" t="n">
        <f aca="false">(SUMPRODUCT(C19:L19/(1+B45/100)^C4:L4)+B46/(1+B45/100)^L4+Assumptions!$B$5-Assumptions!$B$4)/Assumptions!$B$3*Assumptions!$B$10</f>
        <v>20.1272762890719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24.3424743916235</v>
      </c>
      <c r="C4" s="0" t="n">
        <f aca="false">B4/Assumptions!$B$2-1</f>
        <v>0.0747229311975073</v>
      </c>
      <c r="D4" s="4" t="n">
        <f aca="false">Assumptions!$B$24</f>
        <v>0.25</v>
      </c>
      <c r="E4" s="4" t="n">
        <f aca="false">DCF_Bear!$B$43</f>
        <v>24.5288939859165</v>
      </c>
      <c r="F4" s="4" t="n">
        <f aca="false">DCF_Bear!$B$47</f>
        <v>17.1110620083257</v>
      </c>
    </row>
    <row r="5" customFormat="false" ht="15" hidden="false" customHeight="false" outlineLevel="0" collapsed="false">
      <c r="A5" s="0" t="s">
        <v>150</v>
      </c>
      <c r="B5" s="4" t="n">
        <f aca="false">DCF_Base!$B$38</f>
        <v>33.5593755836393</v>
      </c>
      <c r="C5" s="0" t="n">
        <f aca="false">B5/Assumptions!$B$2-1</f>
        <v>0.481650136143016</v>
      </c>
      <c r="D5" s="4" t="n">
        <f aca="false">Assumptions!$B$38</f>
        <v>0.5</v>
      </c>
      <c r="E5" s="4" t="n">
        <f aca="false">DCF_Base!$B$43</f>
        <v>33.8163800721879</v>
      </c>
      <c r="F5" s="4" t="n">
        <f aca="false">DCF_Base!$B$47</f>
        <v>19.3296303629045</v>
      </c>
    </row>
    <row r="6" customFormat="false" ht="15" hidden="false" customHeight="false" outlineLevel="0" collapsed="false">
      <c r="A6" s="0" t="s">
        <v>151</v>
      </c>
      <c r="B6" s="4" t="n">
        <f aca="false">DCF_Bull!$B$38</f>
        <v>40.8012413191244</v>
      </c>
      <c r="C6" s="0" t="n">
        <f aca="false">B6/Assumptions!$B$2-1</f>
        <v>0.80137930768761</v>
      </c>
      <c r="D6" s="4" t="n">
        <f aca="false">Assumptions!$B$52</f>
        <v>0.25</v>
      </c>
      <c r="E6" s="4" t="n">
        <f aca="false">DCF_Bull!$B$43</f>
        <v>41.1175833063953</v>
      </c>
      <c r="F6" s="4" t="n">
        <f aca="false">DCF_Bull!$B$47</f>
        <v>20.1272762890719</v>
      </c>
    </row>
    <row r="8" customFormat="false" ht="15" hidden="false" customHeight="false" outlineLevel="0" collapsed="false">
      <c r="A8" s="0" t="s">
        <v>152</v>
      </c>
      <c r="B8" s="0" t="n">
        <f aca="false">SUMPRODUCT(B4:B6,D4:D6)</f>
        <v>33.0656167195066</v>
      </c>
    </row>
    <row r="9" customFormat="false" ht="15" hidden="false" customHeight="false" outlineLevel="0" collapsed="false">
      <c r="A9" s="0" t="s">
        <v>153</v>
      </c>
      <c r="B9" s="0" t="n">
        <f aca="false">SUMPRODUCT(E4:E6,D4:D6)</f>
        <v>33.3198093591719</v>
      </c>
    </row>
    <row r="10" customFormat="false" ht="15" hidden="false" customHeight="false" outlineLevel="0" collapsed="false">
      <c r="A10" s="0" t="s">
        <v>154</v>
      </c>
      <c r="B10" s="0" t="n">
        <f aca="false">1-Assumptions!$B$2/B8</f>
        <v>0.314998410822384</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18.9743997558016</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35.2342997393358</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33.5593755836393</v>
      </c>
      <c r="C16" s="3" t="n">
        <v>9.5</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31.4567232789221</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27.9526083614217</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25.1496653821802</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19.3296303629045</v>
      </c>
      <c r="C20" s="3" t="n">
        <v>15</v>
      </c>
    </row>
    <row r="22" customFormat="false" ht="15" hidden="false" customHeight="false" outlineLevel="0" collapsed="false">
      <c r="A22" s="2" t="s">
        <v>165</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39.1409402254776</v>
      </c>
      <c r="C24" s="0" t="n">
        <f aca="false">(SUMPRODUCT(DCF_Base!$C$19:$L$19/(1+$A$24/100)^DCF_Base!$C$4:$L$4)+MAX(0,MIN(IF($A$24&gt;$C$23,DCF_Base!$L$19*(1+$C$23/100)/(($A$24-$C$23)/100),DCF_Base!$L$19*DCF_Base!$B$29),DCF_Base!$L$19*DCF_Base!$B$29))/(1+$A$24/100)^DCF_Base!$L$4+Assumptions!$B$5-Assumptions!$B$4)/Assumptions!$B$3*Assumptions!$B$10</f>
        <v>39.1409402254776</v>
      </c>
      <c r="D24" s="0" t="n">
        <f aca="false">(SUMPRODUCT(DCF_Base!$C$19:$L$19/(1+$A$24/100)^DCF_Base!$C$4:$L$4)+MAX(0,MIN(IF($A$24&gt;$D$23,DCF_Base!$L$19*(1+$D$23/100)/(($A$24-$D$23)/100),DCF_Base!$L$19*DCF_Base!$B$29),DCF_Base!$L$19*DCF_Base!$B$29))/(1+$A$24/100)^DCF_Base!$L$4+Assumptions!$B$5-Assumptions!$B$4)/Assumptions!$B$3*Assumptions!$B$10</f>
        <v>39.1409402254776</v>
      </c>
      <c r="E24" s="0" t="n">
        <f aca="false">(SUMPRODUCT(DCF_Base!$C$19:$L$19/(1+$A$24/100)^DCF_Base!$C$4:$L$4)+MAX(0,MIN(IF($A$24&gt;$E$23,DCF_Base!$L$19*(1+$E$23/100)/(($A$24-$E$23)/100),DCF_Base!$L$19*DCF_Base!$B$29),DCF_Base!$L$19*DCF_Base!$B$29))/(1+$A$24/100)^DCF_Base!$L$4+Assumptions!$B$5-Assumptions!$B$4)/Assumptions!$B$3*Assumptions!$B$10</f>
        <v>39.1409402254776</v>
      </c>
      <c r="F24" s="0" t="n">
        <f aca="false">(SUMPRODUCT(DCF_Base!$C$19:$L$19/(1+$A$24/100)^DCF_Base!$C$4:$L$4)+MAX(0,MIN(IF($A$24&gt;$F$23,DCF_Base!$L$19*(1+$F$23/100)/(($A$24-$F$23)/100),DCF_Base!$L$19*DCF_Base!$B$29),DCF_Base!$L$19*DCF_Base!$B$29))/(1+$A$24/100)^DCF_Base!$L$4+Assumptions!$B$5-Assumptions!$B$4)/Assumptions!$B$3*Assumptions!$B$10</f>
        <v>39.1409402254776</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35.765710975837</v>
      </c>
      <c r="C25" s="0" t="n">
        <f aca="false">(SUMPRODUCT(DCF_Base!$C$19:$L$19/(1+$A$25/100)^DCF_Base!$C$4:$L$4)+MAX(0,MIN(IF($A$25&gt;$C$23,DCF_Base!$L$19*(1+$C$23/100)/(($A$25-$C$23)/100),DCF_Base!$L$19*DCF_Base!$B$29),DCF_Base!$L$19*DCF_Base!$B$29))/(1+$A$25/100)^DCF_Base!$L$4+Assumptions!$B$5-Assumptions!$B$4)/Assumptions!$B$3*Assumptions!$B$10</f>
        <v>36.4773846747466</v>
      </c>
      <c r="D25" s="0" t="n">
        <f aca="false">(SUMPRODUCT(DCF_Base!$C$19:$L$19/(1+$A$25/100)^DCF_Base!$C$4:$L$4)+MAX(0,MIN(IF($A$25&gt;$D$23,DCF_Base!$L$19*(1+$D$23/100)/(($A$25-$D$23)/100),DCF_Base!$L$19*DCF_Base!$B$29),DCF_Base!$L$19*DCF_Base!$B$29))/(1+$A$25/100)^DCF_Base!$L$4+Assumptions!$B$5-Assumptions!$B$4)/Assumptions!$B$3*Assumptions!$B$10</f>
        <v>36.4773846747466</v>
      </c>
      <c r="E25" s="0" t="n">
        <f aca="false">(SUMPRODUCT(DCF_Base!$C$19:$L$19/(1+$A$25/100)^DCF_Base!$C$4:$L$4)+MAX(0,MIN(IF($A$25&gt;$E$23,DCF_Base!$L$19*(1+$E$23/100)/(($A$25-$E$23)/100),DCF_Base!$L$19*DCF_Base!$B$29),DCF_Base!$L$19*DCF_Base!$B$29))/(1+$A$25/100)^DCF_Base!$L$4+Assumptions!$B$5-Assumptions!$B$4)/Assumptions!$B$3*Assumptions!$B$10</f>
        <v>36.4773846747466</v>
      </c>
      <c r="F25" s="0" t="n">
        <f aca="false">(SUMPRODUCT(DCF_Base!$C$19:$L$19/(1+$A$25/100)^DCF_Base!$C$4:$L$4)+MAX(0,MIN(IF($A$25&gt;$F$23,DCF_Base!$L$19*(1+$F$23/100)/(($A$25-$F$23)/100),DCF_Base!$L$19*DCF_Base!$B$29),DCF_Base!$L$19*DCF_Base!$B$29))/(1+$A$25/100)^DCF_Base!$L$4+Assumptions!$B$5-Assumptions!$B$4)/Assumptions!$B$3*Assumptions!$B$10</f>
        <v>36.4773846747466</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31.4682875909</v>
      </c>
      <c r="C26" s="0" t="n">
        <f aca="false">(SUMPRODUCT(DCF_Base!$C$19:$L$19/(1+$A$26/100)^DCF_Base!$C$4:$L$4)+MAX(0,MIN(IF($A$26&gt;$C$23,DCF_Base!$L$19*(1+$C$23/100)/(($A$26-$C$23)/100),DCF_Base!$L$19*DCF_Base!$B$29),DCF_Base!$L$19*DCF_Base!$B$29))/(1+$A$26/100)^DCF_Base!$L$4+Assumptions!$B$5-Assumptions!$B$4)/Assumptions!$B$3*Assumptions!$B$10</f>
        <v>32.4484850874966</v>
      </c>
      <c r="D26" s="0" t="n">
        <f aca="false">(SUMPRODUCT(DCF_Base!$C$19:$L$19/(1+$A$26/100)^DCF_Base!$C$4:$L$4)+MAX(0,MIN(IF($A$26&gt;$D$23,DCF_Base!$L$19*(1+$D$23/100)/(($A$26-$D$23)/100),DCF_Base!$L$19*DCF_Base!$B$29),DCF_Base!$L$19*DCF_Base!$B$29))/(1+$A$26/100)^DCF_Base!$L$4+Assumptions!$B$5-Assumptions!$B$4)/Assumptions!$B$3*Assumptions!$B$10</f>
        <v>33.5593755836393</v>
      </c>
      <c r="E26" s="0" t="n">
        <f aca="false">(SUMPRODUCT(DCF_Base!$C$19:$L$19/(1+$A$26/100)^DCF_Base!$C$4:$L$4)+MAX(0,MIN(IF($A$26&gt;$E$23,DCF_Base!$L$19*(1+$E$23/100)/(($A$26-$E$23)/100),DCF_Base!$L$19*DCF_Base!$B$29),DCF_Base!$L$19*DCF_Base!$B$29))/(1+$A$26/100)^DCF_Base!$L$4+Assumptions!$B$5-Assumptions!$B$4)/Assumptions!$B$3*Assumptions!$B$10</f>
        <v>34.0463412805786</v>
      </c>
      <c r="F26" s="0" t="n">
        <f aca="false">(SUMPRODUCT(DCF_Base!$C$19:$L$19/(1+$A$26/100)^DCF_Base!$C$4:$L$4)+MAX(0,MIN(IF($A$26&gt;$F$23,DCF_Base!$L$19*(1+$F$23/100)/(($A$26-$F$23)/100),DCF_Base!$L$19*DCF_Base!$B$29),DCF_Base!$L$19*DCF_Base!$B$29))/(1+$A$26/100)^DCF_Base!$L$4+Assumptions!$B$5-Assumptions!$B$4)/Assumptions!$B$3*Assumptions!$B$10</f>
        <v>34.0463412805786</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28.0803850177579</v>
      </c>
      <c r="C27" s="0" t="n">
        <f aca="false">(SUMPRODUCT(DCF_Base!$C$19:$L$19/(1+$A$27/100)^DCF_Base!$C$4:$L$4)+MAX(0,MIN(IF($A$27&gt;$C$23,DCF_Base!$L$19*(1+$C$23/100)/(($A$27-$C$23)/100),DCF_Base!$L$19*DCF_Base!$B$29),DCF_Base!$L$19*DCF_Base!$B$29))/(1+$A$27/100)^DCF_Base!$L$4+Assumptions!$B$5-Assumptions!$B$4)/Assumptions!$B$3*Assumptions!$B$10</f>
        <v>28.7987132858193</v>
      </c>
      <c r="D27" s="0" t="n">
        <f aca="false">(SUMPRODUCT(DCF_Base!$C$19:$L$19/(1+$A$27/100)^DCF_Base!$C$4:$L$4)+MAX(0,MIN(IF($A$27&gt;$D$23,DCF_Base!$L$19*(1+$D$23/100)/(($A$27-$D$23)/100),DCF_Base!$L$19*DCF_Base!$B$29),DCF_Base!$L$19*DCF_Base!$B$29))/(1+$A$27/100)^DCF_Base!$L$4+Assumptions!$B$5-Assumptions!$B$4)/Assumptions!$B$3*Assumptions!$B$10</f>
        <v>29.6015507618879</v>
      </c>
      <c r="E27" s="0" t="n">
        <f aca="false">(SUMPRODUCT(DCF_Base!$C$19:$L$19/(1+$A$27/100)^DCF_Base!$C$4:$L$4)+MAX(0,MIN(IF($A$27&gt;$E$23,DCF_Base!$L$19*(1+$E$23/100)/(($A$27-$E$23)/100),DCF_Base!$L$19*DCF_Base!$B$29),DCF_Base!$L$19*DCF_Base!$B$29))/(1+$A$27/100)^DCF_Base!$L$4+Assumptions!$B$5-Assumptions!$B$4)/Assumptions!$B$3*Assumptions!$B$10</f>
        <v>30.5047429224651</v>
      </c>
      <c r="F27" s="0" t="n">
        <f aca="false">(SUMPRODUCT(DCF_Base!$C$19:$L$19/(1+$A$27/100)^DCF_Base!$C$4:$L$4)+MAX(0,MIN(IF($A$27&gt;$F$23,DCF_Base!$L$19*(1+$F$23/100)/(($A$27-$F$23)/100),DCF_Base!$L$19*DCF_Base!$B$29),DCF_Base!$L$19*DCF_Base!$B$29))/(1+$A$27/100)^DCF_Base!$L$4+Assumptions!$B$5-Assumptions!$B$4)/Assumptions!$B$3*Assumptions!$B$10</f>
        <v>31.5283607044526</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25.3418156936741</v>
      </c>
      <c r="C28" s="0" t="n">
        <f aca="false">(SUMPRODUCT(DCF_Base!$C$19:$L$19/(1+$A$28/100)^DCF_Base!$C$4:$L$4)+MAX(0,MIN(IF($A$28&gt;$C$23,DCF_Base!$L$19*(1+$C$23/100)/(($A$28-$C$23)/100),DCF_Base!$L$19*DCF_Base!$B$29),DCF_Base!$L$19*DCF_Base!$B$29))/(1+$A$28/100)^DCF_Base!$L$4+Assumptions!$B$5-Assumptions!$B$4)/Assumptions!$B$3*Assumptions!$B$10</f>
        <v>25.8811852982727</v>
      </c>
      <c r="D28" s="0" t="n">
        <f aca="false">(SUMPRODUCT(DCF_Base!$C$19:$L$19/(1+$A$28/100)^DCF_Base!$C$4:$L$4)+MAX(0,MIN(IF($A$28&gt;$D$23,DCF_Base!$L$19*(1+$D$23/100)/(($A$28-$D$23)/100),DCF_Base!$L$19*DCF_Base!$B$29),DCF_Base!$L$19*DCF_Base!$B$29))/(1+$A$28/100)^DCF_Base!$L$4+Assumptions!$B$5-Assumptions!$B$4)/Assumptions!$B$3*Assumptions!$B$10</f>
        <v>26.4773306507239</v>
      </c>
      <c r="E28" s="0" t="n">
        <f aca="false">(SUMPRODUCT(DCF_Base!$C$19:$L$19/(1+$A$28/100)^DCF_Base!$C$4:$L$4)+MAX(0,MIN(IF($A$28&gt;$E$23,DCF_Base!$L$19*(1+$E$23/100)/(($A$28-$E$23)/100),DCF_Base!$L$19*DCF_Base!$B$29),DCF_Base!$L$19*DCF_Base!$B$29))/(1+$A$28/100)^DCF_Base!$L$4+Assumptions!$B$5-Assumptions!$B$4)/Assumptions!$B$3*Assumptions!$B$10</f>
        <v>27.1397143756696</v>
      </c>
      <c r="F28" s="0" t="n">
        <f aca="false">(SUMPRODUCT(DCF_Base!$C$19:$L$19/(1+$A$28/100)^DCF_Base!$C$4:$L$4)+MAX(0,MIN(IF($A$28&gt;$F$23,DCF_Base!$L$19*(1+$F$23/100)/(($A$28-$F$23)/100),DCF_Base!$L$19*DCF_Base!$B$29),DCF_Base!$L$19*DCF_Base!$B$29))/(1+$A$28/100)^DCF_Base!$L$4+Assumptions!$B$5-Assumptions!$B$4)/Assumptions!$B$3*Assumptions!$B$10</f>
        <v>27.8800255976678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2026-10-02T21:24:17Z</dcterms:created>
  <dc:creator>openpyxl</dc:creator>
  <dc:description/>
  <dc:language>en-NZ</dc:language>
  <cp:lastModifiedBy/>
  <dcterms:modified xsi:type="dcterms:W3CDTF">2026-10-02T21:24:17Z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