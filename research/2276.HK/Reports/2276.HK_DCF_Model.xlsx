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5.xml" ContentType="application/vnd.openxmlformats-officedocument.spreadsheetml.worksheet+xml"/>
  <Override PartName="/xl/worksheets/sheet3.xml" ContentType="application/vnd.openxmlformats-officedocument.spreadsheetml.worksheet+xml"/>
  <Override PartName="/xl/worksheets/sheet6.xml" ContentType="application/vnd.openxmlformats-officedocument.spreadsheetml.worksheet+xml"/>
  <Override PartName="/xl/worksheets/sheet4.xml" ContentType="application/vnd.openxmlformats-officedocument.spreadsheetml.worksheet+xml"/>
  <Override PartName="/xl/worksheets/sheet7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Model_Info" sheetId="1" state="visible" r:id="rId3"/>
    <sheet name="Actuals" sheetId="2" state="visible" r:id="rId4"/>
    <sheet name="Assumptions" sheetId="3" state="visible" r:id="rId5"/>
    <sheet name="DCF_Bear" sheetId="4" state="visible" r:id="rId6"/>
    <sheet name="DCF_Base" sheetId="5" state="visible" r:id="rId7"/>
    <sheet name="DCF_Bull" sheetId="6" state="visible" r:id="rId8"/>
    <sheet name="Valuation" sheetId="7" state="visible" r:id="rId9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<sst xmlns="http://schemas.openxmlformats.org/spreadsheetml/2006/main" count="347" uniqueCount="161">
  <si>
    <t xml:space="preserve">Ticker</t>
  </si>
  <si>
    <t xml:space="preserve">2276.HK</t>
  </si>
  <si>
    <t xml:space="preserve">Company</t>
  </si>
  <si>
    <t xml:space="preserve">Shanghai Conant Optical Co., Ltd.</t>
  </si>
  <si>
    <t xml:space="preserve">Valuation date</t>
  </si>
  <si>
    <t xml:space="preserve">2026-10-18</t>
  </si>
  <si>
    <t xml:space="preserve">Current price</t>
  </si>
  <si>
    <t xml:space="preserve">Price as of</t>
  </si>
  <si>
    <t xml:space="preserve">2026-10-16T08:08:14Z (HKEX regular close, Friday)</t>
  </si>
  <si>
    <t xml:space="preserve">Balance sheet date</t>
  </si>
  <si>
    <t xml:space="preserve">2026-06-30</t>
  </si>
  <si>
    <t xml:space="preserve">Model</t>
  </si>
  <si>
    <t xml:space="preserve">owner_fcf_dcf_component</t>
  </si>
  <si>
    <t xml:space="preserve">Currency (model)</t>
  </si>
  <si>
    <t xml:space="preserve">CNY</t>
  </si>
  <si>
    <t xml:space="preserve">Currency (quote)</t>
  </si>
  <si>
    <t xml:space="preserve">HKD</t>
  </si>
  <si>
    <t xml:space="preserve">Units</t>
  </si>
  <si>
    <t xml:space="preserve">millions</t>
  </si>
  <si>
    <t xml:space="preserve">Engine</t>
  </si>
  <si>
    <t xml:space="preserve">dcf_engine v1</t>
  </si>
  <si>
    <t xml:space="preserve">Built at</t>
  </si>
  <si>
    <t xml:space="preserve">2026-10-17T23:45:33Z</t>
  </si>
  <si>
    <t xml:space="preserve">Drivers file</t>
  </si>
  <si>
    <t xml:space="preserve">2276.HK_Drivers.json</t>
  </si>
  <si>
    <t xml:space="preserve">Convention</t>
  </si>
  <si>
    <t xml:space="preserve">Percents stored as percents; formulas divide by 100. Blue = input, green = link, black = formula.</t>
  </si>
  <si>
    <t xml:space="preserve">Methodology</t>
  </si>
  <si>
    <t xml:space="preserve">summary: Value the core lens franchise on its own cash flows and treat XR as an explicitly modelled, deliberately haircut second leg rather than capitalising the January-2026 narrative. The wealth-management book and cash are added at book in the bridge with their income stripped from the flows; the Rokid stake at cost. Risk is charged once, in the scenario flows and weights, at a single RMB-built 9% discount rate.
key_risks_to_valuation: XR revenue is a ~RMB50m half-year line with 15x growth; base-case extrapolation to ~RMB480m by FY2030 is a judgment with no management number behind it; Customer concentration in XR (Quark, GoerView JV, Rokid-linked programmes) and partners that are also competitors; US tariffs on the ODM book; core ex-XR growth already slowed to ~3% in H1 FY2026; Capex wave: if XR demand ramps slower than capacity, elevated D&amp;A and under-utilisation compress margins (the bear case); FX: RMB strength against USD/JPY hits a ~65%-overseas revenue base (RMB57m FX loss in H1 FY2026); CNYHKD rate in the conversion also moves the HKD value; Repeated equity placements (Jan-2025, Feb-2026) -- future XR funding raises would dilute the flat share count; RMB1.0bn FVTPL wealth-management book carried at book in net cash; counterparty/mark risk</t>
  </si>
  <si>
    <t xml:space="preserve">Data sources</t>
  </si>
  <si>
    <t xml:space="preserve">price: Yahoo Finance chart API at inputs.price_as_of (HKEX regular close); 52-week range HK$27.26-66.50. FX Yahoo CNYHKD=X at 2026-10-16 close.
financials: 2276.HK_Metrics.csv / core_metrics (FY2020-FY2025, H1 FY2023-FY2026); FY2025 annual report income statement (lines 3465-3500), cash flow (3712-3785) and D&amp;A note (5869-5875); H1 FY2026 interim report statement of financial position (1715-1800), cash flow (1897-1973), share-capital and placing notes (1265-1330), revenue disaggregation (2256-2300).
qualitative: 2276.HK_Analysis.json (2026-10-18): business model, XR programme detail (GoerView JV, Rokid stake, Quark supply), guidance, bull/bear points.</t>
  </si>
  <si>
    <t xml:space="preserve">Scenario narrative: bear</t>
  </si>
  <si>
    <t xml:space="preserve">XR proves to be a 2026 subsidy-fuelled spike concentrated in a handful of programmes: partners-cum-competitors (Goertek, Sunny Optical, Crystal-Optech, Luxshare) internalise lens and waveguide work, Quark volumes disappoint, and XR stalls around RMB150-200m. US tariffs keep shrinking the lower-margin ODM book, 1.74-index raw-material disruption and price competition from Chinese standardised-lens makers erode gross margin, and the capacity built in 2025-26 sits under-utilised, taking EBITDA margin back to ~30%. Growth settles at ~2-2.5% and further placements to fund XR remain a dilution risk not captured in the flat share count.</t>
  </si>
  <si>
    <t xml:space="preserve">Scenario narrative: base</t>
  </si>
  <si>
    <t xml:space="preserve">Conant stays the world's #2 resin-lens maker by volume and keeps shifting mix toward own-brand, functional (myopia-control, photochromic) and customised lenses, but the core grows only ~4% a year: H1 FY2026 core ex-XR grew ~3.3% with standardised lenses down and the ODM/US book tariff-constrained. XR becomes a real but modest second leg -- ~RMB140m in FY2026 off the RMB50.5m H1 print, ~RMB480m by FY2030 (~15% of revenue) as the Quark prescription-lens supply and one or two international programmes reach mass production. The 2024-26 capex wave (Thailand, Neo Vision XR line, Blue Optics, Japan) depresses FCF through FY2027 and then normalises. This is not the sell-side extrapolation that took the stock to HK$64-88 in Jan-2026.</t>
  </si>
  <si>
    <t xml:space="preserve">Scenario narrative: bull</t>
  </si>
  <si>
    <t xml:space="preserve">Smart glasses become a mainstream category (Alibaba Quark, Meta, Xiaomi, Rokid) and Conant converts its first-mover position -- ~20 programme relationships, the GoerView waveguide JV with Goertek and the Rokid stake -- into a ~RMB1.1-1.2bn XR business by FY2030 at better-than-group margins, while own-brand and customised mix lifts the core lens business to ~6% growth. EBITDA margin climbs to 37.5%; the Thailand base de-risks US tariffs.</t>
  </si>
  <si>
    <t xml:space="preserve">Period</t>
  </si>
  <si>
    <t xml:space="preserve">Revenue</t>
  </si>
  <si>
    <t xml:space="preserve">CostOfRevenue</t>
  </si>
  <si>
    <t xml:space="preserve">GrossProfit</t>
  </si>
  <si>
    <t xml:space="preserve">GrossMargin</t>
  </si>
  <si>
    <t xml:space="preserve">OperatingIncome</t>
  </si>
  <si>
    <t xml:space="preserve">OperatingMargin</t>
  </si>
  <si>
    <t xml:space="preserve">EBITDA</t>
  </si>
  <si>
    <t xml:space="preserve">NetIncome</t>
  </si>
  <si>
    <t xml:space="preserve">NetMargin</t>
  </si>
  <si>
    <t xml:space="preserve">EPS</t>
  </si>
  <si>
    <t xml:space="preserve">OperatingCashFlow</t>
  </si>
  <si>
    <t xml:space="preserve">CapEx</t>
  </si>
  <si>
    <t xml:space="preserve">FreeCashFlow</t>
  </si>
  <si>
    <t xml:space="preserve">ShareholdersEquity</t>
  </si>
  <si>
    <t xml:space="preserve">TotalAssets</t>
  </si>
  <si>
    <t xml:space="preserve">TotalLiabilities</t>
  </si>
  <si>
    <t xml:space="preserve">TotalDebt</t>
  </si>
  <si>
    <t xml:space="preserve">CashAndEquivalents</t>
  </si>
  <si>
    <t xml:space="preserve">SharesOutstanding</t>
  </si>
  <si>
    <t xml:space="preserve">StockBasedComp</t>
  </si>
  <si>
    <t xml:space="preserve">DividendPerShare</t>
  </si>
  <si>
    <t xml:space="preserve">EBITDABeforeSignificant</t>
  </si>
  <si>
    <t xml:space="preserve">RevenueContinuing</t>
  </si>
  <si>
    <t xml:space="preserve">EBITDAContinuingBeforeSignificant</t>
  </si>
  <si>
    <t xml:space="preserve">EBITContinuingBeforeSignificant</t>
  </si>
  <si>
    <t xml:space="preserve">Currency</t>
  </si>
  <si>
    <t xml:space="preserve">FY2020</t>
  </si>
  <si>
    <t xml:space="preserve">FY2021</t>
  </si>
  <si>
    <t xml:space="preserve">FY2022</t>
  </si>
  <si>
    <t xml:space="preserve">FY2023</t>
  </si>
  <si>
    <t xml:space="preserve">FY2024</t>
  </si>
  <si>
    <t xml:space="preserve">FY2025</t>
  </si>
  <si>
    <t xml:space="preserve">Input</t>
  </si>
  <si>
    <t xml:space="preserve">Value</t>
  </si>
  <si>
    <t xml:space="preserve">Current price (quote currency)</t>
  </si>
  <si>
    <t xml:space="preserve">Shares, final projected (m)</t>
  </si>
  <si>
    <t xml:space="preserve">Net debt (m, model currency)</t>
  </si>
  <si>
    <t xml:space="preserve">Equity bridge total (m, + adds)</t>
  </si>
  <si>
    <t xml:space="preserve">Hurdle rate (%)</t>
  </si>
  <si>
    <t xml:space="preserve">Base revenue FY0 (m)</t>
  </si>
  <si>
    <t xml:space="preserve">FY0</t>
  </si>
  <si>
    <t xml:space="preserve">Currency / units</t>
  </si>
  <si>
    <t xml:space="preserve">CNY millions</t>
  </si>
  <si>
    <t xml:space="preserve">FX rate (model -&gt; quote)</t>
  </si>
  <si>
    <t xml:space="preserve">BEAR</t>
  </si>
  <si>
    <t xml:space="preserve">FY2026</t>
  </si>
  <si>
    <t xml:space="preserve">FY2027</t>
  </si>
  <si>
    <t xml:space="preserve">FY2028</t>
  </si>
  <si>
    <t xml:space="preserve">FY2029</t>
  </si>
  <si>
    <t xml:space="preserve">FY2030</t>
  </si>
  <si>
    <t xml:space="preserve">FY2031</t>
  </si>
  <si>
    <t xml:space="preserve">FY2032</t>
  </si>
  <si>
    <t xml:space="preserve">FY2033</t>
  </si>
  <si>
    <t xml:space="preserve">FY2034</t>
  </si>
  <si>
    <t xml:space="preserve">FY2035</t>
  </si>
  <si>
    <t xml:space="preserve">Revenue growth (%)</t>
  </si>
  <si>
    <t xml:space="preserve">EBITDA margin (%)</t>
  </si>
  <si>
    <t xml:space="preserve">SBC (% of revenue)</t>
  </si>
  <si>
    <t xml:space="preserve">Lease cost (% of revenue)</t>
  </si>
  <si>
    <t xml:space="preserve">D&amp;A (% of revenue)</t>
  </si>
  <si>
    <t xml:space="preserve">Capex (% of revenue)</t>
  </si>
  <si>
    <t xml:space="preserve">Cash tax rate (%)</t>
  </si>
  <si>
    <t xml:space="preserve">WACC (%)</t>
  </si>
  <si>
    <t xml:space="preserve">Terminal growth (%)</t>
  </si>
  <si>
    <t xml:space="preserve">Terminal cap multiple (x FCF)</t>
  </si>
  <si>
    <t xml:space="preserve">Working-capital capture (% of revenue change)</t>
  </si>
  <si>
    <t xml:space="preserve">Scenario weight</t>
  </si>
  <si>
    <t xml:space="preserve">BASE</t>
  </si>
  <si>
    <t xml:space="preserve">BULL</t>
  </si>
  <si>
    <t xml:space="preserve">2276.HK owner-FCF component DCF: bear case (millions, CNY)</t>
  </si>
  <si>
    <t xml:space="preserve">Line</t>
  </si>
  <si>
    <t xml:space="preserve">Year index (discount exponent)</t>
  </si>
  <si>
    <t xml:space="preserve">SBC charge</t>
  </si>
  <si>
    <t xml:space="preserve">Owner EBITDA (after SBC and leases)</t>
  </si>
  <si>
    <t xml:space="preserve">D&amp;A</t>
  </si>
  <si>
    <t xml:space="preserve">EBIT</t>
  </si>
  <si>
    <t xml:space="preserve">NOPAT</t>
  </si>
  <si>
    <t xml:space="preserve">D&amp;A add-back</t>
  </si>
  <si>
    <t xml:space="preserve">Capex</t>
  </si>
  <si>
    <t xml:space="preserve">Working capital</t>
  </si>
  <si>
    <t xml:space="preserve">Unlevered owner FCF</t>
  </si>
  <si>
    <t xml:space="preserve">Discount factor</t>
  </si>
  <si>
    <t xml:space="preserve">PV of FCF</t>
  </si>
  <si>
    <t xml:space="preserve">Lease cost</t>
  </si>
  <si>
    <t xml:space="preserve">Valuation</t>
  </si>
  <si>
    <t xml:space="preserve">Sum of PV of FCF</t>
  </si>
  <si>
    <t xml:space="preserve">Terminal-year FCF</t>
  </si>
  <si>
    <t xml:space="preserve">Gordon terminal value</t>
  </si>
  <si>
    <t xml:space="preserve">Cap terminal value</t>
  </si>
  <si>
    <t xml:space="preserve">Terminal value used: MAX(0,MIN(Gordon,cap))</t>
  </si>
  <si>
    <t xml:space="preserve">PV of terminal value</t>
  </si>
  <si>
    <t xml:space="preserve">Enterprise value</t>
  </si>
  <si>
    <t xml:space="preserve">Equity value (EV + bridge - net debt)</t>
  </si>
  <si>
    <t xml:space="preserve">Value per share (quote currency)</t>
  </si>
  <si>
    <t xml:space="preserve">Upside vs price</t>
  </si>
  <si>
    <t xml:space="preserve">Street memo: PV of explicit-period SBC</t>
  </si>
  <si>
    <t xml:space="preserve">Street memo: PV of terminal SBC (Gordon)</t>
  </si>
  <si>
    <t xml:space="preserve">Street value per share</t>
  </si>
  <si>
    <t xml:space="preserve">Terminal value at hurdle: MAX(0,MIN(Gordon@hurdle,cap))</t>
  </si>
  <si>
    <t xml:space="preserve">Hurdle entry price (quote currency)</t>
  </si>
  <si>
    <t xml:space="preserve">2276.HK owner-FCF component DCF: base case (millions, CNY)</t>
  </si>
  <si>
    <t xml:space="preserve">2276.HK owner-FCF component DCF: bull case (millions, CNY)</t>
  </si>
  <si>
    <t xml:space="preserve">2276.HK valuation summary</t>
  </si>
  <si>
    <t xml:space="preserve">Scenario</t>
  </si>
  <si>
    <t xml:space="preserve">Value per share</t>
  </si>
  <si>
    <t xml:space="preserve">Weight</t>
  </si>
  <si>
    <t xml:space="preserve">Hurdle entry price</t>
  </si>
  <si>
    <t xml:space="preserve">Bear</t>
  </si>
  <si>
    <t xml:space="preserve">Base</t>
  </si>
  <si>
    <t xml:space="preserve">Bull</t>
  </si>
  <si>
    <t xml:space="preserve">Probability-weighted value per share</t>
  </si>
  <si>
    <t xml:space="preserve">Street weighted value per share</t>
  </si>
  <si>
    <t xml:space="preserve">Margin of safety (1 - price/weighted)</t>
  </si>
  <si>
    <t xml:space="preserve">Band position (%; 0 = house, 100 = street)</t>
  </si>
  <si>
    <t xml:space="preserve">Weighted 15% hurdle entry price</t>
  </si>
  <si>
    <t xml:space="preserve">Required-return table (base case; each row rebuilds its own terminal value)</t>
  </si>
  <si>
    <t xml:space="preserve">Rate (%)</t>
  </si>
  <si>
    <t xml:space="preserve">Value per share at 9% (WACC)</t>
  </si>
  <si>
    <t xml:space="preserve">Value per share at 10%</t>
  </si>
  <si>
    <t xml:space="preserve">Value per share at 11%</t>
  </si>
  <si>
    <t xml:space="preserve">Value per share at 12%</t>
  </si>
  <si>
    <t xml:space="preserve">Value per share at 15%</t>
  </si>
  <si>
    <t xml:space="preserve">Sensitivity: value per share, rows WACC (%) x columns terminal growth (%)</t>
  </si>
</sst>
</file>

<file path=xl/styles.xml><?xml version="1.0" encoding="utf-8"?>
<styleSheet xmlns="http://schemas.openxmlformats.org/spreadsheetml/2006/main">
  <numFmts count="1">
    <numFmt numFmtId="164" formatCode="General"/>
  </numFmts>
  <fonts count="7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name val="Cambria"/>
      <family val="0"/>
      <charset val="1"/>
    </font>
    <font>
      <sz val="11"/>
      <color rgb="FF0000FF"/>
      <name val="Cambria"/>
      <family val="0"/>
      <charset val="1"/>
    </font>
    <font>
      <sz val="11"/>
      <color rgb="FF008000"/>
      <name val="Cambria"/>
      <family val="0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6"/>
    <col collapsed="false" customWidth="true" hidden="false" outlineLevel="0" max="2" min="2" style="0" width="100"/>
  </cols>
  <sheetData>
    <row r="1" customFormat="false" ht="15" hidden="false" customHeight="false" outlineLevel="0" collapsed="false">
      <c r="A1" s="0" t="s">
        <v>0</v>
      </c>
      <c r="B1" s="0" t="s">
        <v>1</v>
      </c>
    </row>
    <row r="2" customFormat="false" ht="15" hidden="false" customHeight="false" outlineLevel="0" collapsed="false">
      <c r="A2" s="0" t="s">
        <v>2</v>
      </c>
      <c r="B2" s="0" t="s">
        <v>3</v>
      </c>
    </row>
    <row r="3" customFormat="false" ht="15" hidden="false" customHeight="false" outlineLevel="0" collapsed="false">
      <c r="A3" s="0" t="s">
        <v>4</v>
      </c>
      <c r="B3" s="0" t="s">
        <v>5</v>
      </c>
    </row>
    <row r="4" customFormat="false" ht="15" hidden="false" customHeight="false" outlineLevel="0" collapsed="false">
      <c r="A4" s="0" t="s">
        <v>6</v>
      </c>
      <c r="B4" s="0" t="n">
        <v>35.16</v>
      </c>
    </row>
    <row r="5" customFormat="false" ht="15" hidden="false" customHeight="false" outlineLevel="0" collapsed="false">
      <c r="A5" s="0" t="s">
        <v>7</v>
      </c>
      <c r="B5" s="0" t="s">
        <v>8</v>
      </c>
    </row>
    <row r="6" customFormat="false" ht="15" hidden="false" customHeight="false" outlineLevel="0" collapsed="false">
      <c r="A6" s="0" t="s">
        <v>9</v>
      </c>
      <c r="B6" s="0" t="s">
        <v>10</v>
      </c>
    </row>
    <row r="7" customFormat="false" ht="15" hidden="false" customHeight="false" outlineLevel="0" collapsed="false">
      <c r="A7" s="0" t="s">
        <v>11</v>
      </c>
      <c r="B7" s="0" t="s">
        <v>12</v>
      </c>
    </row>
    <row r="8" customFormat="false" ht="15" hidden="false" customHeight="false" outlineLevel="0" collapsed="false">
      <c r="A8" s="0" t="s">
        <v>13</v>
      </c>
      <c r="B8" s="0" t="s">
        <v>14</v>
      </c>
    </row>
    <row r="9" customFormat="false" ht="15" hidden="false" customHeight="false" outlineLevel="0" collapsed="false">
      <c r="A9" s="0" t="s">
        <v>15</v>
      </c>
      <c r="B9" s="0" t="s">
        <v>16</v>
      </c>
    </row>
    <row r="10" customFormat="false" ht="15" hidden="false" customHeight="false" outlineLevel="0" collapsed="false">
      <c r="A10" s="0" t="s">
        <v>17</v>
      </c>
      <c r="B10" s="0" t="s">
        <v>18</v>
      </c>
    </row>
    <row r="11" customFormat="false" ht="15" hidden="false" customHeight="false" outlineLevel="0" collapsed="false">
      <c r="A11" s="0" t="s">
        <v>19</v>
      </c>
      <c r="B11" s="0" t="s">
        <v>20</v>
      </c>
    </row>
    <row r="12" customFormat="false" ht="15" hidden="false" customHeight="false" outlineLevel="0" collapsed="false">
      <c r="A12" s="0" t="s">
        <v>21</v>
      </c>
      <c r="B12" s="0" t="s">
        <v>22</v>
      </c>
    </row>
    <row r="13" customFormat="false" ht="15" hidden="false" customHeight="false" outlineLevel="0" collapsed="false">
      <c r="A13" s="0" t="s">
        <v>23</v>
      </c>
      <c r="B13" s="0" t="s">
        <v>24</v>
      </c>
    </row>
    <row r="14" customFormat="false" ht="15" hidden="false" customHeight="false" outlineLevel="0" collapsed="false">
      <c r="A14" s="0" t="s">
        <v>25</v>
      </c>
      <c r="B14" s="0" t="s">
        <v>26</v>
      </c>
    </row>
    <row r="15" customFormat="false" ht="23.85" hidden="false" customHeight="false" outlineLevel="0" collapsed="false">
      <c r="A15" s="0" t="s">
        <v>27</v>
      </c>
      <c r="B15" s="1" t="s">
        <v>28</v>
      </c>
    </row>
    <row r="16" customFormat="false" ht="35.05" hidden="false" customHeight="false" outlineLevel="0" collapsed="false">
      <c r="A16" s="0" t="s">
        <v>29</v>
      </c>
      <c r="B16" s="1" t="s">
        <v>30</v>
      </c>
    </row>
    <row r="17" customFormat="false" ht="15" hidden="false" customHeight="false" outlineLevel="0" collapsed="false">
      <c r="A17" s="0" t="s">
        <v>31</v>
      </c>
      <c r="B17" s="0" t="s">
        <v>32</v>
      </c>
    </row>
    <row r="18" customFormat="false" ht="15" hidden="false" customHeight="false" outlineLevel="0" collapsed="false">
      <c r="A18" s="0" t="s">
        <v>33</v>
      </c>
      <c r="B18" s="0" t="s">
        <v>34</v>
      </c>
    </row>
    <row r="19" customFormat="false" ht="15" hidden="false" customHeight="false" outlineLevel="0" collapsed="false">
      <c r="A19" s="0" t="s">
        <v>35</v>
      </c>
      <c r="B19" s="0" t="s">
        <v>36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B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sheetData>
    <row r="1" customFormat="false" ht="15" hidden="false" customHeight="false" outlineLevel="0" collapsed="false">
      <c r="A1" s="2" t="s">
        <v>37</v>
      </c>
      <c r="B1" s="2" t="s">
        <v>38</v>
      </c>
      <c r="C1" s="2" t="s">
        <v>39</v>
      </c>
      <c r="D1" s="2" t="s">
        <v>40</v>
      </c>
      <c r="E1" s="2" t="s">
        <v>41</v>
      </c>
      <c r="F1" s="2" t="s">
        <v>42</v>
      </c>
      <c r="G1" s="2" t="s">
        <v>43</v>
      </c>
      <c r="H1" s="2" t="s">
        <v>44</v>
      </c>
      <c r="I1" s="2" t="s">
        <v>45</v>
      </c>
      <c r="J1" s="2" t="s">
        <v>46</v>
      </c>
      <c r="K1" s="2" t="s">
        <v>47</v>
      </c>
      <c r="L1" s="2" t="s">
        <v>48</v>
      </c>
      <c r="M1" s="2" t="s">
        <v>49</v>
      </c>
      <c r="N1" s="2" t="s">
        <v>50</v>
      </c>
      <c r="O1" s="2" t="s">
        <v>51</v>
      </c>
      <c r="P1" s="2" t="s">
        <v>52</v>
      </c>
      <c r="Q1" s="2" t="s">
        <v>53</v>
      </c>
      <c r="R1" s="2" t="s">
        <v>54</v>
      </c>
      <c r="S1" s="2" t="s">
        <v>55</v>
      </c>
      <c r="T1" s="2" t="s">
        <v>56</v>
      </c>
      <c r="U1" s="2" t="s">
        <v>57</v>
      </c>
      <c r="V1" s="2" t="s">
        <v>58</v>
      </c>
      <c r="W1" s="2" t="s">
        <v>59</v>
      </c>
      <c r="X1" s="2" t="s">
        <v>60</v>
      </c>
      <c r="Y1" s="2" t="s">
        <v>61</v>
      </c>
      <c r="Z1" s="2" t="s">
        <v>62</v>
      </c>
      <c r="AA1" s="2" t="s">
        <v>17</v>
      </c>
      <c r="AB1" s="2" t="s">
        <v>63</v>
      </c>
    </row>
    <row r="2" customFormat="false" ht="15" hidden="false" customHeight="false" outlineLevel="0" collapsed="false">
      <c r="A2" s="0" t="s">
        <v>64</v>
      </c>
      <c r="B2" s="0" t="n">
        <v>1093.164</v>
      </c>
      <c r="C2" s="0" t="n">
        <v>711.113</v>
      </c>
      <c r="D2" s="0" t="n">
        <v>382.051</v>
      </c>
      <c r="E2" s="0" t="n">
        <v>34.9491</v>
      </c>
      <c r="F2" s="0" t="n">
        <v>202.342</v>
      </c>
      <c r="G2" s="0" t="n">
        <v>18.5098</v>
      </c>
      <c r="H2" s="0" t="n">
        <v>248.039</v>
      </c>
      <c r="I2" s="0" t="n">
        <v>128.462</v>
      </c>
      <c r="J2" s="0" t="n">
        <v>11.7514</v>
      </c>
      <c r="K2" s="0" t="n">
        <v>0.42</v>
      </c>
      <c r="L2" s="0" t="n">
        <v>243.09</v>
      </c>
      <c r="M2" s="0" t="n">
        <v>50.748</v>
      </c>
      <c r="N2" s="0" t="n">
        <v>192.342</v>
      </c>
      <c r="O2" s="0" t="n">
        <v>504.534</v>
      </c>
      <c r="P2" s="0" t="n">
        <v>1444.2</v>
      </c>
      <c r="Q2" s="0" t="n">
        <v>939.666</v>
      </c>
      <c r="R2" s="0" t="n">
        <v>674.27</v>
      </c>
      <c r="S2" s="0" t="n">
        <v>201.85</v>
      </c>
      <c r="AA2" s="0" t="s">
        <v>18</v>
      </c>
      <c r="AB2" s="0" t="s">
        <v>14</v>
      </c>
    </row>
    <row r="3" customFormat="false" ht="15" hidden="false" customHeight="false" outlineLevel="0" collapsed="false">
      <c r="A3" s="0" t="s">
        <v>65</v>
      </c>
      <c r="B3" s="0" t="n">
        <v>1356.082</v>
      </c>
      <c r="C3" s="0" t="n">
        <v>895.923</v>
      </c>
      <c r="D3" s="0" t="n">
        <v>460.159</v>
      </c>
      <c r="E3" s="0" t="n">
        <v>33.933</v>
      </c>
      <c r="F3" s="0" t="n">
        <v>250.056</v>
      </c>
      <c r="G3" s="0" t="n">
        <v>18.4396</v>
      </c>
      <c r="H3" s="0" t="n">
        <v>296.89</v>
      </c>
      <c r="I3" s="0" t="n">
        <v>183.522</v>
      </c>
      <c r="J3" s="0" t="n">
        <v>13.5333</v>
      </c>
      <c r="K3" s="0" t="n">
        <v>0.59</v>
      </c>
      <c r="L3" s="0" t="n">
        <v>58.277</v>
      </c>
      <c r="M3" s="0" t="n">
        <v>37.646</v>
      </c>
      <c r="N3" s="0" t="n">
        <v>20.631</v>
      </c>
      <c r="O3" s="0" t="n">
        <v>937.398</v>
      </c>
      <c r="P3" s="0" t="n">
        <v>1811.349</v>
      </c>
      <c r="Q3" s="0" t="n">
        <v>873.951</v>
      </c>
      <c r="R3" s="0" t="n">
        <v>596.665</v>
      </c>
      <c r="S3" s="0" t="n">
        <v>589.836</v>
      </c>
      <c r="U3" s="0" t="n">
        <v>0</v>
      </c>
      <c r="AA3" s="0" t="s">
        <v>18</v>
      </c>
      <c r="AB3" s="0" t="s">
        <v>14</v>
      </c>
    </row>
    <row r="4" customFormat="false" ht="15" hidden="false" customHeight="false" outlineLevel="0" collapsed="false">
      <c r="A4" s="0" t="s">
        <v>66</v>
      </c>
      <c r="B4" s="0" t="n">
        <v>1561.317</v>
      </c>
      <c r="C4" s="0" t="n">
        <v>1023.447</v>
      </c>
      <c r="D4" s="0" t="n">
        <v>537.87</v>
      </c>
      <c r="E4" s="0" t="n">
        <v>34.4498</v>
      </c>
      <c r="F4" s="0" t="n">
        <v>307.28</v>
      </c>
      <c r="G4" s="0" t="n">
        <v>19.6808</v>
      </c>
      <c r="H4" s="0" t="n">
        <v>354.973</v>
      </c>
      <c r="I4" s="0" t="n">
        <v>248.566</v>
      </c>
      <c r="J4" s="0" t="n">
        <v>15.9203</v>
      </c>
      <c r="K4" s="0" t="n">
        <v>0.58</v>
      </c>
      <c r="L4" s="0" t="n">
        <v>185.116</v>
      </c>
      <c r="M4" s="0" t="n">
        <v>119.478</v>
      </c>
      <c r="N4" s="0" t="n">
        <v>65.638</v>
      </c>
      <c r="O4" s="0" t="n">
        <v>1145.614</v>
      </c>
      <c r="P4" s="0" t="n">
        <v>1788.632</v>
      </c>
      <c r="Q4" s="0" t="n">
        <v>643.018</v>
      </c>
      <c r="R4" s="0" t="n">
        <v>352.43</v>
      </c>
      <c r="S4" s="0" t="n">
        <v>335.618</v>
      </c>
      <c r="T4" s="0" t="n">
        <v>426.6</v>
      </c>
      <c r="U4" s="0" t="n">
        <v>0</v>
      </c>
      <c r="AA4" s="0" t="s">
        <v>18</v>
      </c>
      <c r="AB4" s="0" t="s">
        <v>14</v>
      </c>
    </row>
    <row r="5" customFormat="false" ht="15" hidden="false" customHeight="false" outlineLevel="0" collapsed="false">
      <c r="A5" s="0" t="s">
        <v>67</v>
      </c>
      <c r="B5" s="0" t="n">
        <v>1759.641</v>
      </c>
      <c r="C5" s="0" t="n">
        <v>1101.507</v>
      </c>
      <c r="D5" s="0" t="n">
        <v>658.134</v>
      </c>
      <c r="E5" s="0" t="n">
        <v>37.4016</v>
      </c>
      <c r="F5" s="0" t="n">
        <v>406.659</v>
      </c>
      <c r="G5" s="0" t="n">
        <v>23.1103</v>
      </c>
      <c r="H5" s="0" t="n">
        <v>465.77</v>
      </c>
      <c r="I5" s="0" t="n">
        <v>327.022</v>
      </c>
      <c r="J5" s="0" t="n">
        <v>18.5846</v>
      </c>
      <c r="K5" s="0" t="n">
        <v>0.77</v>
      </c>
      <c r="L5" s="0" t="n">
        <v>480.679</v>
      </c>
      <c r="M5" s="0" t="n">
        <v>126.458</v>
      </c>
      <c r="N5" s="0" t="n">
        <v>354.221</v>
      </c>
      <c r="O5" s="0" t="n">
        <v>1394.9</v>
      </c>
      <c r="P5" s="0" t="n">
        <v>1984.313</v>
      </c>
      <c r="Q5" s="0" t="n">
        <v>589.413</v>
      </c>
      <c r="R5" s="0" t="n">
        <v>205.247</v>
      </c>
      <c r="S5" s="0" t="n">
        <v>330.521</v>
      </c>
      <c r="T5" s="0" t="n">
        <v>426.6</v>
      </c>
      <c r="U5" s="0" t="n">
        <v>0</v>
      </c>
      <c r="AA5" s="0" t="s">
        <v>18</v>
      </c>
      <c r="AB5" s="0" t="s">
        <v>14</v>
      </c>
    </row>
    <row r="6" customFormat="false" ht="15" hidden="false" customHeight="false" outlineLevel="0" collapsed="false">
      <c r="A6" s="0" t="s">
        <v>68</v>
      </c>
      <c r="B6" s="0" t="n">
        <v>2060.767</v>
      </c>
      <c r="C6" s="0" t="n">
        <v>1265.667</v>
      </c>
      <c r="D6" s="0" t="n">
        <v>795.1</v>
      </c>
      <c r="E6" s="0" t="n">
        <v>38.5827</v>
      </c>
      <c r="F6" s="0" t="n">
        <v>507.59</v>
      </c>
      <c r="G6" s="0" t="n">
        <v>24.6311</v>
      </c>
      <c r="H6" s="0" t="n">
        <v>582.025</v>
      </c>
      <c r="I6" s="0" t="n">
        <v>428.284</v>
      </c>
      <c r="J6" s="0" t="n">
        <v>20.7827</v>
      </c>
      <c r="K6" s="0" t="n">
        <v>1.03</v>
      </c>
      <c r="L6" s="0" t="n">
        <v>477.809</v>
      </c>
      <c r="M6" s="0" t="n">
        <v>224.802</v>
      </c>
      <c r="N6" s="0" t="n">
        <v>253.007</v>
      </c>
      <c r="O6" s="0" t="n">
        <v>1585.557</v>
      </c>
      <c r="P6" s="0" t="n">
        <v>2388.784</v>
      </c>
      <c r="Q6" s="0" t="n">
        <v>803.227</v>
      </c>
      <c r="R6" s="0" t="n">
        <v>289.623</v>
      </c>
      <c r="S6" s="0" t="n">
        <v>499.07</v>
      </c>
      <c r="T6" s="0" t="n">
        <v>416.841</v>
      </c>
      <c r="U6" s="0" t="n">
        <v>0</v>
      </c>
      <c r="AA6" s="0" t="s">
        <v>18</v>
      </c>
      <c r="AB6" s="0" t="s">
        <v>14</v>
      </c>
    </row>
    <row r="7" customFormat="false" ht="15" hidden="false" customHeight="false" outlineLevel="0" collapsed="false">
      <c r="A7" s="0" t="s">
        <v>69</v>
      </c>
      <c r="B7" s="0" t="n">
        <v>2185.97</v>
      </c>
      <c r="C7" s="0" t="n">
        <v>1268.512</v>
      </c>
      <c r="D7" s="0" t="n">
        <v>917.458</v>
      </c>
      <c r="E7" s="0" t="n">
        <v>41.9703</v>
      </c>
      <c r="F7" s="0" t="n">
        <v>644.283</v>
      </c>
      <c r="G7" s="0" t="n">
        <v>29.4736</v>
      </c>
      <c r="H7" s="0" t="n">
        <v>728.762</v>
      </c>
      <c r="I7" s="0" t="n">
        <v>557.723</v>
      </c>
      <c r="J7" s="0" t="n">
        <v>25.5138</v>
      </c>
      <c r="K7" s="0" t="n">
        <v>1.2</v>
      </c>
      <c r="L7" s="0" t="n">
        <v>536.627</v>
      </c>
      <c r="M7" s="0" t="n">
        <v>291.403</v>
      </c>
      <c r="N7" s="0" t="n">
        <v>245.224</v>
      </c>
      <c r="O7" s="0" t="n">
        <v>2743.249</v>
      </c>
      <c r="P7" s="0" t="n">
        <v>3545.011</v>
      </c>
      <c r="Q7" s="0" t="n">
        <v>801.762</v>
      </c>
      <c r="R7" s="0" t="n">
        <v>261.602</v>
      </c>
      <c r="S7" s="0" t="n">
        <v>629.996</v>
      </c>
      <c r="T7" s="0" t="n">
        <v>465.883</v>
      </c>
      <c r="U7" s="0" t="n">
        <v>23.604</v>
      </c>
      <c r="AA7" s="0" t="s">
        <v>18</v>
      </c>
      <c r="AB7" s="0" t="s">
        <v>14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5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44"/>
  </cols>
  <sheetData>
    <row r="1" customFormat="false" ht="15" hidden="false" customHeight="false" outlineLevel="0" collapsed="false">
      <c r="A1" s="2" t="s">
        <v>70</v>
      </c>
      <c r="B1" s="2" t="s">
        <v>71</v>
      </c>
    </row>
    <row r="2" customFormat="false" ht="15" hidden="false" customHeight="false" outlineLevel="0" collapsed="false">
      <c r="A2" s="0" t="s">
        <v>72</v>
      </c>
      <c r="B2" s="3" t="n">
        <v>35.16</v>
      </c>
    </row>
    <row r="3" customFormat="false" ht="15" hidden="false" customHeight="false" outlineLevel="0" collapsed="false">
      <c r="A3" s="0" t="s">
        <v>73</v>
      </c>
      <c r="B3" s="3" t="n">
        <v>498.27</v>
      </c>
    </row>
    <row r="4" customFormat="false" ht="15" hidden="false" customHeight="false" outlineLevel="0" collapsed="false">
      <c r="A4" s="0" t="s">
        <v>74</v>
      </c>
      <c r="B4" s="3" t="n">
        <v>-1717.7</v>
      </c>
    </row>
    <row r="5" customFormat="false" ht="15" hidden="false" customHeight="false" outlineLevel="0" collapsed="false">
      <c r="A5" s="0" t="s">
        <v>75</v>
      </c>
      <c r="B5" s="3" t="n">
        <v>80.3</v>
      </c>
    </row>
    <row r="6" customFormat="false" ht="15" hidden="false" customHeight="false" outlineLevel="0" collapsed="false">
      <c r="A6" s="0" t="s">
        <v>76</v>
      </c>
      <c r="B6" s="3" t="n">
        <v>15</v>
      </c>
    </row>
    <row r="7" customFormat="false" ht="15" hidden="false" customHeight="false" outlineLevel="0" collapsed="false">
      <c r="A7" s="0" t="s">
        <v>77</v>
      </c>
      <c r="B7" s="3" t="n">
        <v>2185.97</v>
      </c>
    </row>
    <row r="8" customFormat="false" ht="15" hidden="false" customHeight="false" outlineLevel="0" collapsed="false">
      <c r="A8" s="0" t="s">
        <v>78</v>
      </c>
      <c r="B8" s="3" t="s">
        <v>69</v>
      </c>
    </row>
    <row r="9" customFormat="false" ht="15" hidden="false" customHeight="false" outlineLevel="0" collapsed="false">
      <c r="A9" s="0" t="s">
        <v>79</v>
      </c>
      <c r="B9" s="3" t="s">
        <v>80</v>
      </c>
    </row>
    <row r="10" customFormat="false" ht="15" hidden="false" customHeight="false" outlineLevel="0" collapsed="false">
      <c r="A10" s="0" t="s">
        <v>81</v>
      </c>
      <c r="B10" s="3" t="n">
        <v>1.1724</v>
      </c>
    </row>
    <row r="12" customFormat="false" ht="15" hidden="false" customHeight="false" outlineLevel="0" collapsed="false">
      <c r="A12" s="2" t="s">
        <v>82</v>
      </c>
      <c r="C12" s="2" t="s">
        <v>83</v>
      </c>
      <c r="D12" s="2" t="s">
        <v>84</v>
      </c>
      <c r="E12" s="2" t="s">
        <v>85</v>
      </c>
      <c r="F12" s="2" t="s">
        <v>86</v>
      </c>
      <c r="G12" s="2" t="s">
        <v>87</v>
      </c>
      <c r="H12" s="2" t="s">
        <v>88</v>
      </c>
      <c r="I12" s="2" t="s">
        <v>89</v>
      </c>
      <c r="J12" s="2" t="s">
        <v>90</v>
      </c>
      <c r="K12" s="2" t="s">
        <v>91</v>
      </c>
      <c r="L12" s="2" t="s">
        <v>92</v>
      </c>
    </row>
    <row r="13" customFormat="false" ht="15" hidden="false" customHeight="false" outlineLevel="0" collapsed="false">
      <c r="A13" s="0" t="s">
        <v>93</v>
      </c>
      <c r="C13" s="3" t="n">
        <v>5</v>
      </c>
      <c r="D13" s="3" t="n">
        <v>2</v>
      </c>
      <c r="E13" s="3" t="n">
        <v>2</v>
      </c>
      <c r="F13" s="3" t="n">
        <v>2.5</v>
      </c>
      <c r="G13" s="3" t="n">
        <v>2.5</v>
      </c>
      <c r="H13" s="3" t="n">
        <v>2.5</v>
      </c>
      <c r="I13" s="3" t="n">
        <v>2.5</v>
      </c>
      <c r="J13" s="3" t="n">
        <v>2.5</v>
      </c>
      <c r="K13" s="3" t="n">
        <v>2.5</v>
      </c>
      <c r="L13" s="3" t="n">
        <v>2.5</v>
      </c>
    </row>
    <row r="14" customFormat="false" ht="15" hidden="false" customHeight="false" outlineLevel="0" collapsed="false">
      <c r="A14" s="0" t="s">
        <v>94</v>
      </c>
      <c r="C14" s="3" t="n">
        <v>33</v>
      </c>
      <c r="D14" s="3" t="n">
        <v>32</v>
      </c>
      <c r="E14" s="3" t="n">
        <v>31</v>
      </c>
      <c r="F14" s="3" t="n">
        <v>30.5</v>
      </c>
      <c r="G14" s="3" t="n">
        <v>30</v>
      </c>
      <c r="H14" s="3" t="n">
        <v>30</v>
      </c>
      <c r="I14" s="3" t="n">
        <v>30</v>
      </c>
      <c r="J14" s="3" t="n">
        <v>30</v>
      </c>
      <c r="K14" s="3" t="n">
        <v>30</v>
      </c>
      <c r="L14" s="3" t="n">
        <v>30</v>
      </c>
    </row>
    <row r="15" customFormat="false" ht="15" hidden="false" customHeight="false" outlineLevel="0" collapsed="false">
      <c r="A15" s="0" t="s">
        <v>95</v>
      </c>
      <c r="C15" s="3" t="n">
        <v>0.6</v>
      </c>
      <c r="D15" s="3" t="n">
        <v>0.6</v>
      </c>
      <c r="E15" s="3" t="n">
        <v>0.6</v>
      </c>
      <c r="F15" s="3" t="n">
        <v>0.55</v>
      </c>
      <c r="G15" s="3" t="n">
        <v>0.55</v>
      </c>
      <c r="H15" s="3" t="n">
        <v>0.5</v>
      </c>
      <c r="I15" s="3" t="n">
        <v>0.5</v>
      </c>
      <c r="J15" s="3" t="n">
        <v>0.5</v>
      </c>
      <c r="K15" s="3" t="n">
        <v>0.5</v>
      </c>
      <c r="L15" s="3" t="n">
        <v>0.5</v>
      </c>
    </row>
    <row r="16" customFormat="false" ht="15" hidden="false" customHeight="false" outlineLevel="0" collapsed="false">
      <c r="A16" s="0" t="s">
        <v>96</v>
      </c>
      <c r="C16" s="3" t="n">
        <v>0</v>
      </c>
      <c r="D16" s="3" t="n">
        <v>0</v>
      </c>
      <c r="E16" s="3" t="n">
        <v>0</v>
      </c>
      <c r="F16" s="3" t="n">
        <v>0</v>
      </c>
      <c r="G16" s="3" t="n">
        <v>0</v>
      </c>
      <c r="H16" s="3" t="n">
        <v>0</v>
      </c>
      <c r="I16" s="3" t="n">
        <v>0</v>
      </c>
      <c r="J16" s="3" t="n">
        <v>0</v>
      </c>
      <c r="K16" s="3" t="n">
        <v>0</v>
      </c>
      <c r="L16" s="3" t="n">
        <v>0</v>
      </c>
    </row>
    <row r="17" customFormat="false" ht="15" hidden="false" customHeight="false" outlineLevel="0" collapsed="false">
      <c r="A17" s="0" t="s">
        <v>97</v>
      </c>
      <c r="C17" s="3" t="n">
        <v>6</v>
      </c>
      <c r="D17" s="3" t="n">
        <v>6.7</v>
      </c>
      <c r="E17" s="3" t="n">
        <v>6.8</v>
      </c>
      <c r="F17" s="3" t="n">
        <v>6.6</v>
      </c>
      <c r="G17" s="3" t="n">
        <v>6.3</v>
      </c>
      <c r="H17" s="3" t="n">
        <v>6</v>
      </c>
      <c r="I17" s="3" t="n">
        <v>5.8</v>
      </c>
      <c r="J17" s="3" t="n">
        <v>5.5</v>
      </c>
      <c r="K17" s="3" t="n">
        <v>5.5</v>
      </c>
      <c r="L17" s="3" t="n">
        <v>5.5</v>
      </c>
    </row>
    <row r="18" customFormat="false" ht="15" hidden="false" customHeight="false" outlineLevel="0" collapsed="false">
      <c r="A18" s="0" t="s">
        <v>98</v>
      </c>
      <c r="C18" s="3" t="n">
        <v>17</v>
      </c>
      <c r="D18" s="3" t="n">
        <v>11</v>
      </c>
      <c r="E18" s="3" t="n">
        <v>8</v>
      </c>
      <c r="F18" s="3" t="n">
        <v>6.5</v>
      </c>
      <c r="G18" s="3" t="n">
        <v>6</v>
      </c>
      <c r="H18" s="3" t="n">
        <v>5.5</v>
      </c>
      <c r="I18" s="3" t="n">
        <v>5.5</v>
      </c>
      <c r="J18" s="3" t="n">
        <v>5.5</v>
      </c>
      <c r="K18" s="3" t="n">
        <v>5.5</v>
      </c>
      <c r="L18" s="3" t="n">
        <v>5.5</v>
      </c>
    </row>
    <row r="19" customFormat="false" ht="15" hidden="false" customHeight="false" outlineLevel="0" collapsed="false">
      <c r="A19" s="0" t="s">
        <v>99</v>
      </c>
      <c r="C19" s="3" t="n">
        <v>14</v>
      </c>
      <c r="D19" s="3" t="n">
        <v>14.5</v>
      </c>
      <c r="E19" s="3" t="n">
        <v>15</v>
      </c>
      <c r="F19" s="3" t="n">
        <v>15.5</v>
      </c>
      <c r="G19" s="3" t="n">
        <v>16</v>
      </c>
      <c r="H19" s="3" t="n">
        <v>16</v>
      </c>
      <c r="I19" s="3" t="n">
        <v>16</v>
      </c>
      <c r="J19" s="3" t="n">
        <v>16</v>
      </c>
      <c r="K19" s="3" t="n">
        <v>16</v>
      </c>
      <c r="L19" s="3" t="n">
        <v>16</v>
      </c>
    </row>
    <row r="20" customFormat="false" ht="15" hidden="false" customHeight="false" outlineLevel="0" collapsed="false">
      <c r="A20" s="0" t="s">
        <v>100</v>
      </c>
      <c r="B20" s="3" t="n">
        <v>9</v>
      </c>
    </row>
    <row r="21" customFormat="false" ht="15" hidden="false" customHeight="false" outlineLevel="0" collapsed="false">
      <c r="A21" s="0" t="s">
        <v>101</v>
      </c>
      <c r="B21" s="3" t="n">
        <v>2</v>
      </c>
    </row>
    <row r="22" customFormat="false" ht="15" hidden="false" customHeight="false" outlineLevel="0" collapsed="false">
      <c r="A22" s="0" t="s">
        <v>102</v>
      </c>
      <c r="B22" s="3" t="n">
        <v>15</v>
      </c>
    </row>
    <row r="23" customFormat="false" ht="15" hidden="false" customHeight="false" outlineLevel="0" collapsed="false">
      <c r="A23" s="0" t="s">
        <v>103</v>
      </c>
      <c r="B23" s="3" t="n">
        <v>-25</v>
      </c>
    </row>
    <row r="24" customFormat="false" ht="15" hidden="false" customHeight="false" outlineLevel="0" collapsed="false">
      <c r="A24" s="0" t="s">
        <v>104</v>
      </c>
      <c r="B24" s="3" t="n">
        <v>0.25</v>
      </c>
    </row>
    <row r="26" customFormat="false" ht="15" hidden="false" customHeight="false" outlineLevel="0" collapsed="false">
      <c r="A26" s="2" t="s">
        <v>105</v>
      </c>
      <c r="C26" s="2" t="s">
        <v>83</v>
      </c>
      <c r="D26" s="2" t="s">
        <v>84</v>
      </c>
      <c r="E26" s="2" t="s">
        <v>85</v>
      </c>
      <c r="F26" s="2" t="s">
        <v>86</v>
      </c>
      <c r="G26" s="2" t="s">
        <v>87</v>
      </c>
      <c r="H26" s="2" t="s">
        <v>88</v>
      </c>
      <c r="I26" s="2" t="s">
        <v>89</v>
      </c>
      <c r="J26" s="2" t="s">
        <v>90</v>
      </c>
      <c r="K26" s="2" t="s">
        <v>91</v>
      </c>
      <c r="L26" s="2" t="s">
        <v>92</v>
      </c>
    </row>
    <row r="27" customFormat="false" ht="15" hidden="false" customHeight="false" outlineLevel="0" collapsed="false">
      <c r="A27" s="0" t="s">
        <v>93</v>
      </c>
      <c r="C27" s="3" t="n">
        <v>7</v>
      </c>
      <c r="D27" s="3" t="n">
        <v>8</v>
      </c>
      <c r="E27" s="3" t="n">
        <v>7.5</v>
      </c>
      <c r="F27" s="3" t="n">
        <v>6.5</v>
      </c>
      <c r="G27" s="3" t="n">
        <v>5.5</v>
      </c>
      <c r="H27" s="3" t="n">
        <v>5</v>
      </c>
      <c r="I27" s="3" t="n">
        <v>4.5</v>
      </c>
      <c r="J27" s="3" t="n">
        <v>4</v>
      </c>
      <c r="K27" s="3" t="n">
        <v>3.5</v>
      </c>
      <c r="L27" s="3" t="n">
        <v>3</v>
      </c>
    </row>
    <row r="28" customFormat="false" ht="15" hidden="false" customHeight="false" outlineLevel="0" collapsed="false">
      <c r="A28" s="0" t="s">
        <v>94</v>
      </c>
      <c r="C28" s="3" t="n">
        <v>34</v>
      </c>
      <c r="D28" s="3" t="n">
        <v>34.5</v>
      </c>
      <c r="E28" s="3" t="n">
        <v>34.8</v>
      </c>
      <c r="F28" s="3" t="n">
        <v>35</v>
      </c>
      <c r="G28" s="3" t="n">
        <v>35</v>
      </c>
      <c r="H28" s="3" t="n">
        <v>35</v>
      </c>
      <c r="I28" s="3" t="n">
        <v>35</v>
      </c>
      <c r="J28" s="3" t="n">
        <v>35</v>
      </c>
      <c r="K28" s="3" t="n">
        <v>35</v>
      </c>
      <c r="L28" s="3" t="n">
        <v>35</v>
      </c>
    </row>
    <row r="29" customFormat="false" ht="15" hidden="false" customHeight="false" outlineLevel="0" collapsed="false">
      <c r="A29" s="0" t="s">
        <v>95</v>
      </c>
      <c r="C29" s="3" t="n">
        <v>0.6</v>
      </c>
      <c r="D29" s="3" t="n">
        <v>0.6</v>
      </c>
      <c r="E29" s="3" t="n">
        <v>0.6</v>
      </c>
      <c r="F29" s="3" t="n">
        <v>0.55</v>
      </c>
      <c r="G29" s="3" t="n">
        <v>0.55</v>
      </c>
      <c r="H29" s="3" t="n">
        <v>0.5</v>
      </c>
      <c r="I29" s="3" t="n">
        <v>0.5</v>
      </c>
      <c r="J29" s="3" t="n">
        <v>0.5</v>
      </c>
      <c r="K29" s="3" t="n">
        <v>0.5</v>
      </c>
      <c r="L29" s="3" t="n">
        <v>0.5</v>
      </c>
    </row>
    <row r="30" customFormat="false" ht="15" hidden="false" customHeight="false" outlineLevel="0" collapsed="false">
      <c r="A30" s="0" t="s">
        <v>96</v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</row>
    <row r="31" customFormat="false" ht="15" hidden="false" customHeight="false" outlineLevel="0" collapsed="false">
      <c r="A31" s="0" t="s">
        <v>97</v>
      </c>
      <c r="C31" s="3" t="n">
        <v>6</v>
      </c>
      <c r="D31" s="3" t="n">
        <v>6.5</v>
      </c>
      <c r="E31" s="3" t="n">
        <v>6.5</v>
      </c>
      <c r="F31" s="3" t="n">
        <v>6.3</v>
      </c>
      <c r="G31" s="3" t="n">
        <v>6</v>
      </c>
      <c r="H31" s="3" t="n">
        <v>5.8</v>
      </c>
      <c r="I31" s="3" t="n">
        <v>5.6</v>
      </c>
      <c r="J31" s="3" t="n">
        <v>5.5</v>
      </c>
      <c r="K31" s="3" t="n">
        <v>5.5</v>
      </c>
      <c r="L31" s="3" t="n">
        <v>5.5</v>
      </c>
    </row>
    <row r="32" customFormat="false" ht="15" hidden="false" customHeight="false" outlineLevel="0" collapsed="false">
      <c r="A32" s="0" t="s">
        <v>98</v>
      </c>
      <c r="C32" s="3" t="n">
        <v>17</v>
      </c>
      <c r="D32" s="3" t="n">
        <v>13</v>
      </c>
      <c r="E32" s="3" t="n">
        <v>10</v>
      </c>
      <c r="F32" s="3" t="n">
        <v>8</v>
      </c>
      <c r="G32" s="3" t="n">
        <v>7</v>
      </c>
      <c r="H32" s="3" t="n">
        <v>6.5</v>
      </c>
      <c r="I32" s="3" t="n">
        <v>6</v>
      </c>
      <c r="J32" s="3" t="n">
        <v>6</v>
      </c>
      <c r="K32" s="3" t="n">
        <v>6</v>
      </c>
      <c r="L32" s="3" t="n">
        <v>6</v>
      </c>
    </row>
    <row r="33" customFormat="false" ht="15" hidden="false" customHeight="false" outlineLevel="0" collapsed="false">
      <c r="A33" s="0" t="s">
        <v>99</v>
      </c>
      <c r="C33" s="3" t="n">
        <v>13</v>
      </c>
      <c r="D33" s="3" t="n">
        <v>13</v>
      </c>
      <c r="E33" s="3" t="n">
        <v>13</v>
      </c>
      <c r="F33" s="3" t="n">
        <v>13.5</v>
      </c>
      <c r="G33" s="3" t="n">
        <v>14</v>
      </c>
      <c r="H33" s="3" t="n">
        <v>14.5</v>
      </c>
      <c r="I33" s="3" t="n">
        <v>15</v>
      </c>
      <c r="J33" s="3" t="n">
        <v>15</v>
      </c>
      <c r="K33" s="3" t="n">
        <v>15</v>
      </c>
      <c r="L33" s="3" t="n">
        <v>15</v>
      </c>
    </row>
    <row r="34" customFormat="false" ht="15" hidden="false" customHeight="false" outlineLevel="0" collapsed="false">
      <c r="A34" s="0" t="s">
        <v>100</v>
      </c>
      <c r="B34" s="3" t="n">
        <v>9</v>
      </c>
    </row>
    <row r="35" customFormat="false" ht="15" hidden="false" customHeight="false" outlineLevel="0" collapsed="false">
      <c r="A35" s="0" t="s">
        <v>101</v>
      </c>
      <c r="B35" s="3" t="n">
        <v>2.5</v>
      </c>
    </row>
    <row r="36" customFormat="false" ht="15" hidden="false" customHeight="false" outlineLevel="0" collapsed="false">
      <c r="A36" s="0" t="s">
        <v>102</v>
      </c>
      <c r="B36" s="3" t="n">
        <v>15</v>
      </c>
    </row>
    <row r="37" customFormat="false" ht="15" hidden="false" customHeight="false" outlineLevel="0" collapsed="false">
      <c r="A37" s="0" t="s">
        <v>103</v>
      </c>
      <c r="B37" s="3" t="n">
        <v>-25</v>
      </c>
    </row>
    <row r="38" customFormat="false" ht="15" hidden="false" customHeight="false" outlineLevel="0" collapsed="false">
      <c r="A38" s="0" t="s">
        <v>104</v>
      </c>
      <c r="B38" s="3" t="n">
        <v>0.5</v>
      </c>
    </row>
    <row r="40" customFormat="false" ht="15" hidden="false" customHeight="false" outlineLevel="0" collapsed="false">
      <c r="A40" s="2" t="s">
        <v>106</v>
      </c>
      <c r="C40" s="2" t="s">
        <v>83</v>
      </c>
      <c r="D40" s="2" t="s">
        <v>84</v>
      </c>
      <c r="E40" s="2" t="s">
        <v>85</v>
      </c>
      <c r="F40" s="2" t="s">
        <v>86</v>
      </c>
      <c r="G40" s="2" t="s">
        <v>87</v>
      </c>
      <c r="H40" s="2" t="s">
        <v>88</v>
      </c>
      <c r="I40" s="2" t="s">
        <v>89</v>
      </c>
      <c r="J40" s="2" t="s">
        <v>90</v>
      </c>
      <c r="K40" s="2" t="s">
        <v>91</v>
      </c>
      <c r="L40" s="2" t="s">
        <v>92</v>
      </c>
    </row>
    <row r="41" customFormat="false" ht="15" hidden="false" customHeight="false" outlineLevel="0" collapsed="false">
      <c r="A41" s="0" t="s">
        <v>93</v>
      </c>
      <c r="C41" s="3" t="n">
        <v>9</v>
      </c>
      <c r="D41" s="3" t="n">
        <v>14</v>
      </c>
      <c r="E41" s="3" t="n">
        <v>13</v>
      </c>
      <c r="F41" s="3" t="n">
        <v>11</v>
      </c>
      <c r="G41" s="3" t="n">
        <v>9</v>
      </c>
      <c r="H41" s="3" t="n">
        <v>7.5</v>
      </c>
      <c r="I41" s="3" t="n">
        <v>6</v>
      </c>
      <c r="J41" s="3" t="n">
        <v>5</v>
      </c>
      <c r="K41" s="3" t="n">
        <v>4</v>
      </c>
      <c r="L41" s="3" t="n">
        <v>3.5</v>
      </c>
    </row>
    <row r="42" customFormat="false" ht="15" hidden="false" customHeight="false" outlineLevel="0" collapsed="false">
      <c r="A42" s="0" t="s">
        <v>94</v>
      </c>
      <c r="C42" s="3" t="n">
        <v>34.5</v>
      </c>
      <c r="D42" s="3" t="n">
        <v>35.5</v>
      </c>
      <c r="E42" s="3" t="n">
        <v>36.5</v>
      </c>
      <c r="F42" s="3" t="n">
        <v>37</v>
      </c>
      <c r="G42" s="3" t="n">
        <v>37.5</v>
      </c>
      <c r="H42" s="3" t="n">
        <v>37.5</v>
      </c>
      <c r="I42" s="3" t="n">
        <v>37.5</v>
      </c>
      <c r="J42" s="3" t="n">
        <v>37.5</v>
      </c>
      <c r="K42" s="3" t="n">
        <v>37.5</v>
      </c>
      <c r="L42" s="3" t="n">
        <v>37.5</v>
      </c>
    </row>
    <row r="43" customFormat="false" ht="15" hidden="false" customHeight="false" outlineLevel="0" collapsed="false">
      <c r="A43" s="0" t="s">
        <v>95</v>
      </c>
      <c r="C43" s="3" t="n">
        <v>0.6</v>
      </c>
      <c r="D43" s="3" t="n">
        <v>0.6</v>
      </c>
      <c r="E43" s="3" t="n">
        <v>0.6</v>
      </c>
      <c r="F43" s="3" t="n">
        <v>0.55</v>
      </c>
      <c r="G43" s="3" t="n">
        <v>0.55</v>
      </c>
      <c r="H43" s="3" t="n">
        <v>0.5</v>
      </c>
      <c r="I43" s="3" t="n">
        <v>0.5</v>
      </c>
      <c r="J43" s="3" t="n">
        <v>0.5</v>
      </c>
      <c r="K43" s="3" t="n">
        <v>0.5</v>
      </c>
      <c r="L43" s="3" t="n">
        <v>0.5</v>
      </c>
    </row>
    <row r="44" customFormat="false" ht="15" hidden="false" customHeight="false" outlineLevel="0" collapsed="false">
      <c r="A44" s="0" t="s">
        <v>96</v>
      </c>
      <c r="C44" s="3" t="n">
        <v>0</v>
      </c>
      <c r="D44" s="3" t="n">
        <v>0</v>
      </c>
      <c r="E44" s="3" t="n">
        <v>0</v>
      </c>
      <c r="F44" s="3" t="n">
        <v>0</v>
      </c>
      <c r="G44" s="3" t="n">
        <v>0</v>
      </c>
      <c r="H44" s="3" t="n">
        <v>0</v>
      </c>
      <c r="I44" s="3" t="n">
        <v>0</v>
      </c>
      <c r="J44" s="3" t="n">
        <v>0</v>
      </c>
      <c r="K44" s="3" t="n">
        <v>0</v>
      </c>
      <c r="L44" s="3" t="n">
        <v>0</v>
      </c>
    </row>
    <row r="45" customFormat="false" ht="15" hidden="false" customHeight="false" outlineLevel="0" collapsed="false">
      <c r="A45" s="0" t="s">
        <v>97</v>
      </c>
      <c r="C45" s="3" t="n">
        <v>6</v>
      </c>
      <c r="D45" s="3" t="n">
        <v>6.5</v>
      </c>
      <c r="E45" s="3" t="n">
        <v>6.8</v>
      </c>
      <c r="F45" s="3" t="n">
        <v>6.8</v>
      </c>
      <c r="G45" s="3" t="n">
        <v>6.5</v>
      </c>
      <c r="H45" s="3" t="n">
        <v>6.2</v>
      </c>
      <c r="I45" s="3" t="n">
        <v>6</v>
      </c>
      <c r="J45" s="3" t="n">
        <v>5.8</v>
      </c>
      <c r="K45" s="3" t="n">
        <v>5.8</v>
      </c>
      <c r="L45" s="3" t="n">
        <v>5.8</v>
      </c>
    </row>
    <row r="46" customFormat="false" ht="15" hidden="false" customHeight="false" outlineLevel="0" collapsed="false">
      <c r="A46" s="0" t="s">
        <v>98</v>
      </c>
      <c r="C46" s="3" t="n">
        <v>18</v>
      </c>
      <c r="D46" s="3" t="n">
        <v>15</v>
      </c>
      <c r="E46" s="3" t="n">
        <v>12</v>
      </c>
      <c r="F46" s="3" t="n">
        <v>10</v>
      </c>
      <c r="G46" s="3" t="n">
        <v>8</v>
      </c>
      <c r="H46" s="3" t="n">
        <v>7</v>
      </c>
      <c r="I46" s="3" t="n">
        <v>6.5</v>
      </c>
      <c r="J46" s="3" t="n">
        <v>6.5</v>
      </c>
      <c r="K46" s="3" t="n">
        <v>6.5</v>
      </c>
      <c r="L46" s="3" t="n">
        <v>6.5</v>
      </c>
    </row>
    <row r="47" customFormat="false" ht="15" hidden="false" customHeight="false" outlineLevel="0" collapsed="false">
      <c r="A47" s="0" t="s">
        <v>99</v>
      </c>
      <c r="C47" s="3" t="n">
        <v>12.5</v>
      </c>
      <c r="D47" s="3" t="n">
        <v>12.5</v>
      </c>
      <c r="E47" s="3" t="n">
        <v>12.5</v>
      </c>
      <c r="F47" s="3" t="n">
        <v>13</v>
      </c>
      <c r="G47" s="3" t="n">
        <v>13.5</v>
      </c>
      <c r="H47" s="3" t="n">
        <v>14</v>
      </c>
      <c r="I47" s="3" t="n">
        <v>14.5</v>
      </c>
      <c r="J47" s="3" t="n">
        <v>14.5</v>
      </c>
      <c r="K47" s="3" t="n">
        <v>14.5</v>
      </c>
      <c r="L47" s="3" t="n">
        <v>14.5</v>
      </c>
    </row>
    <row r="48" customFormat="false" ht="15" hidden="false" customHeight="false" outlineLevel="0" collapsed="false">
      <c r="A48" s="0" t="s">
        <v>100</v>
      </c>
      <c r="B48" s="3" t="n">
        <v>9</v>
      </c>
    </row>
    <row r="49" customFormat="false" ht="15" hidden="false" customHeight="false" outlineLevel="0" collapsed="false">
      <c r="A49" s="0" t="s">
        <v>101</v>
      </c>
      <c r="B49" s="3" t="n">
        <v>3</v>
      </c>
    </row>
    <row r="50" customFormat="false" ht="15" hidden="false" customHeight="false" outlineLevel="0" collapsed="false">
      <c r="A50" s="0" t="s">
        <v>102</v>
      </c>
      <c r="B50" s="3" t="n">
        <v>15</v>
      </c>
    </row>
    <row r="51" customFormat="false" ht="15" hidden="false" customHeight="false" outlineLevel="0" collapsed="false">
      <c r="A51" s="0" t="s">
        <v>103</v>
      </c>
      <c r="B51" s="3" t="n">
        <v>-25</v>
      </c>
    </row>
    <row r="52" customFormat="false" ht="15" hidden="false" customHeight="false" outlineLevel="0" collapsed="false">
      <c r="A52" s="0" t="s">
        <v>104</v>
      </c>
      <c r="B52" s="3" t="n">
        <v>0.25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4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52"/>
  </cols>
  <sheetData>
    <row r="1" customFormat="false" ht="15" hidden="false" customHeight="false" outlineLevel="0" collapsed="false">
      <c r="A1" s="2" t="s">
        <v>107</v>
      </c>
    </row>
    <row r="3" customFormat="false" ht="15" hidden="false" customHeight="false" outlineLevel="0" collapsed="false">
      <c r="A3" s="0" t="s">
        <v>108</v>
      </c>
      <c r="B3" s="0" t="s">
        <v>69</v>
      </c>
      <c r="C3" s="2" t="s">
        <v>83</v>
      </c>
      <c r="D3" s="2" t="s">
        <v>84</v>
      </c>
      <c r="E3" s="2" t="s">
        <v>85</v>
      </c>
      <c r="F3" s="2" t="s">
        <v>86</v>
      </c>
      <c r="G3" s="2" t="s">
        <v>87</v>
      </c>
      <c r="H3" s="2" t="s">
        <v>88</v>
      </c>
      <c r="I3" s="2" t="s">
        <v>89</v>
      </c>
      <c r="J3" s="2" t="s">
        <v>90</v>
      </c>
      <c r="K3" s="2" t="s">
        <v>91</v>
      </c>
      <c r="L3" s="2" t="s">
        <v>92</v>
      </c>
    </row>
    <row r="4" customFormat="false" ht="15" hidden="false" customHeight="false" outlineLevel="0" collapsed="false">
      <c r="A4" s="0" t="s">
        <v>109</v>
      </c>
      <c r="B4" s="0" t="n">
        <v>0</v>
      </c>
      <c r="C4" s="0" t="n">
        <f aca="false">B4+1</f>
        <v>1</v>
      </c>
      <c r="D4" s="0" t="n">
        <f aca="false">C4+1</f>
        <v>2</v>
      </c>
      <c r="E4" s="0" t="n">
        <f aca="false">D4+1</f>
        <v>3</v>
      </c>
      <c r="F4" s="0" t="n">
        <f aca="false">E4+1</f>
        <v>4</v>
      </c>
      <c r="G4" s="0" t="n">
        <f aca="false">F4+1</f>
        <v>5</v>
      </c>
      <c r="H4" s="0" t="n">
        <f aca="false">G4+1</f>
        <v>6</v>
      </c>
      <c r="I4" s="0" t="n">
        <f aca="false">H4+1</f>
        <v>7</v>
      </c>
      <c r="J4" s="0" t="n">
        <f aca="false">I4+1</f>
        <v>8</v>
      </c>
      <c r="K4" s="0" t="n">
        <f aca="false">J4+1</f>
        <v>9</v>
      </c>
      <c r="L4" s="0" t="n">
        <f aca="false">K4+1</f>
        <v>10</v>
      </c>
    </row>
    <row r="5" customFormat="false" ht="15" hidden="false" customHeight="false" outlineLevel="0" collapsed="false">
      <c r="A5" s="0" t="s">
        <v>93</v>
      </c>
      <c r="C5" s="4" t="n">
        <f aca="false">Assumptions!C13</f>
        <v>5</v>
      </c>
      <c r="D5" s="4" t="n">
        <f aca="false">Assumptions!D13</f>
        <v>2</v>
      </c>
      <c r="E5" s="4" t="n">
        <f aca="false">Assumptions!E13</f>
        <v>2</v>
      </c>
      <c r="F5" s="4" t="n">
        <f aca="false">Assumptions!F13</f>
        <v>2.5</v>
      </c>
      <c r="G5" s="4" t="n">
        <f aca="false">Assumptions!G13</f>
        <v>2.5</v>
      </c>
      <c r="H5" s="4" t="n">
        <f aca="false">Assumptions!H13</f>
        <v>2.5</v>
      </c>
      <c r="I5" s="4" t="n">
        <f aca="false">Assumptions!I13</f>
        <v>2.5</v>
      </c>
      <c r="J5" s="4" t="n">
        <f aca="false">Assumptions!J13</f>
        <v>2.5</v>
      </c>
      <c r="K5" s="4" t="n">
        <f aca="false">Assumptions!K13</f>
        <v>2.5</v>
      </c>
      <c r="L5" s="4" t="n">
        <f aca="false">Assumptions!L13</f>
        <v>2.5</v>
      </c>
    </row>
    <row r="6" customFormat="false" ht="15" hidden="false" customHeight="false" outlineLevel="0" collapsed="false">
      <c r="A6" s="0" t="s">
        <v>38</v>
      </c>
      <c r="B6" s="3" t="n">
        <v>2185.97</v>
      </c>
      <c r="C6" s="0" t="n">
        <f aca="false">B6*(1+C5/100)</f>
        <v>2295.2685</v>
      </c>
      <c r="D6" s="0" t="n">
        <f aca="false">C6*(1+D5/100)</f>
        <v>2341.17387</v>
      </c>
      <c r="E6" s="0" t="n">
        <f aca="false">D6*(1+E5/100)</f>
        <v>2387.9973474</v>
      </c>
      <c r="F6" s="0" t="n">
        <f aca="false">E6*(1+F5/100)</f>
        <v>2447.697281085</v>
      </c>
      <c r="G6" s="0" t="n">
        <f aca="false">F6*(1+G5/100)</f>
        <v>2508.88971311212</v>
      </c>
      <c r="H6" s="0" t="n">
        <f aca="false">G6*(1+H5/100)</f>
        <v>2571.61195593993</v>
      </c>
      <c r="I6" s="0" t="n">
        <f aca="false">H6*(1+I5/100)</f>
        <v>2635.90225483843</v>
      </c>
      <c r="J6" s="0" t="n">
        <f aca="false">I6*(1+J5/100)</f>
        <v>2701.79981120939</v>
      </c>
      <c r="K6" s="0" t="n">
        <f aca="false">J6*(1+K5/100)</f>
        <v>2769.34480648962</v>
      </c>
      <c r="L6" s="0" t="n">
        <f aca="false">K6*(1+L5/100)</f>
        <v>2838.57842665186</v>
      </c>
    </row>
    <row r="7" customFormat="false" ht="15" hidden="false" customHeight="false" outlineLevel="0" collapsed="false">
      <c r="A7" s="0" t="s">
        <v>94</v>
      </c>
      <c r="C7" s="4" t="n">
        <f aca="false">Assumptions!C14</f>
        <v>33</v>
      </c>
      <c r="D7" s="4" t="n">
        <f aca="false">Assumptions!D14</f>
        <v>32</v>
      </c>
      <c r="E7" s="4" t="n">
        <f aca="false">Assumptions!E14</f>
        <v>31</v>
      </c>
      <c r="F7" s="4" t="n">
        <f aca="false">Assumptions!F14</f>
        <v>30.5</v>
      </c>
      <c r="G7" s="4" t="n">
        <f aca="false">Assumptions!G14</f>
        <v>30</v>
      </c>
      <c r="H7" s="4" t="n">
        <f aca="false">Assumptions!H14</f>
        <v>30</v>
      </c>
      <c r="I7" s="4" t="n">
        <f aca="false">Assumptions!I14</f>
        <v>30</v>
      </c>
      <c r="J7" s="4" t="n">
        <f aca="false">Assumptions!J14</f>
        <v>30</v>
      </c>
      <c r="K7" s="4" t="n">
        <f aca="false">Assumptions!K14</f>
        <v>30</v>
      </c>
      <c r="L7" s="4" t="n">
        <f aca="false">Assumptions!L14</f>
        <v>30</v>
      </c>
    </row>
    <row r="8" customFormat="false" ht="15" hidden="false" customHeight="false" outlineLevel="0" collapsed="false">
      <c r="A8" s="0" t="s">
        <v>44</v>
      </c>
      <c r="C8" s="0" t="n">
        <f aca="false">C6*C7/100</f>
        <v>757.438605</v>
      </c>
      <c r="D8" s="0" t="n">
        <f aca="false">D6*D7/100</f>
        <v>749.1756384</v>
      </c>
      <c r="E8" s="0" t="n">
        <f aca="false">E6*E7/100</f>
        <v>740.279177694</v>
      </c>
      <c r="F8" s="0" t="n">
        <f aca="false">F6*F7/100</f>
        <v>746.547670730925</v>
      </c>
      <c r="G8" s="0" t="n">
        <f aca="false">G6*G7/100</f>
        <v>752.666913933637</v>
      </c>
      <c r="H8" s="0" t="n">
        <f aca="false">H6*H7/100</f>
        <v>771.483586781978</v>
      </c>
      <c r="I8" s="0" t="n">
        <f aca="false">I6*I7/100</f>
        <v>790.770676451528</v>
      </c>
      <c r="J8" s="0" t="n">
        <f aca="false">J6*J7/100</f>
        <v>810.539943362816</v>
      </c>
      <c r="K8" s="0" t="n">
        <f aca="false">K6*K7/100</f>
        <v>830.803441946886</v>
      </c>
      <c r="L8" s="0" t="n">
        <f aca="false">L6*L7/100</f>
        <v>851.573527995558</v>
      </c>
    </row>
    <row r="9" customFormat="false" ht="15" hidden="false" customHeight="false" outlineLevel="0" collapsed="false">
      <c r="A9" s="0" t="s">
        <v>95</v>
      </c>
      <c r="C9" s="4" t="n">
        <f aca="false">Assumptions!C15</f>
        <v>0.6</v>
      </c>
      <c r="D9" s="4" t="n">
        <f aca="false">Assumptions!D15</f>
        <v>0.6</v>
      </c>
      <c r="E9" s="4" t="n">
        <f aca="false">Assumptions!E15</f>
        <v>0.6</v>
      </c>
      <c r="F9" s="4" t="n">
        <f aca="false">Assumptions!F15</f>
        <v>0.55</v>
      </c>
      <c r="G9" s="4" t="n">
        <f aca="false">Assumptions!G15</f>
        <v>0.55</v>
      </c>
      <c r="H9" s="4" t="n">
        <f aca="false">Assumptions!H15</f>
        <v>0.5</v>
      </c>
      <c r="I9" s="4" t="n">
        <f aca="false">Assumptions!I15</f>
        <v>0.5</v>
      </c>
      <c r="J9" s="4" t="n">
        <f aca="false">Assumptions!J15</f>
        <v>0.5</v>
      </c>
      <c r="K9" s="4" t="n">
        <f aca="false">Assumptions!K15</f>
        <v>0.5</v>
      </c>
      <c r="L9" s="4" t="n">
        <f aca="false">Assumptions!L15</f>
        <v>0.5</v>
      </c>
    </row>
    <row r="10" customFormat="false" ht="15" hidden="false" customHeight="false" outlineLevel="0" collapsed="false">
      <c r="A10" s="0" t="s">
        <v>110</v>
      </c>
      <c r="C10" s="0" t="n">
        <f aca="false">-C6*C9/100</f>
        <v>-13.771611</v>
      </c>
      <c r="D10" s="0" t="n">
        <f aca="false">-D6*D9/100</f>
        <v>-14.04704322</v>
      </c>
      <c r="E10" s="0" t="n">
        <f aca="false">-E6*E9/100</f>
        <v>-14.3279840844</v>
      </c>
      <c r="F10" s="0" t="n">
        <f aca="false">-F6*F9/100</f>
        <v>-13.4623350459675</v>
      </c>
      <c r="G10" s="0" t="n">
        <f aca="false">-G6*G9/100</f>
        <v>-13.7988934221167</v>
      </c>
      <c r="H10" s="0" t="n">
        <f aca="false">-H6*H9/100</f>
        <v>-12.8580597796996</v>
      </c>
      <c r="I10" s="0" t="n">
        <f aca="false">-I6*I9/100</f>
        <v>-13.1795112741921</v>
      </c>
      <c r="J10" s="0" t="n">
        <f aca="false">-J6*J9/100</f>
        <v>-13.5089990560469</v>
      </c>
      <c r="K10" s="0" t="n">
        <f aca="false">-K6*K9/100</f>
        <v>-13.8467240324481</v>
      </c>
      <c r="L10" s="0" t="n">
        <f aca="false">-L6*L9/100</f>
        <v>-14.1928921332593</v>
      </c>
    </row>
    <row r="11" customFormat="false" ht="15" hidden="false" customHeight="false" outlineLevel="0" collapsed="false">
      <c r="A11" s="0" t="s">
        <v>111</v>
      </c>
      <c r="C11" s="0" t="n">
        <f aca="false">C8+C10+C24</f>
        <v>743.666994</v>
      </c>
      <c r="D11" s="0" t="n">
        <f aca="false">D8+D10+D24</f>
        <v>735.12859518</v>
      </c>
      <c r="E11" s="0" t="n">
        <f aca="false">E8+E10+E24</f>
        <v>725.9511936096</v>
      </c>
      <c r="F11" s="0" t="n">
        <f aca="false">F8+F10+F24</f>
        <v>733.085335684957</v>
      </c>
      <c r="G11" s="0" t="n">
        <f aca="false">G8+G10+G24</f>
        <v>738.868020511521</v>
      </c>
      <c r="H11" s="0" t="n">
        <f aca="false">H8+H10+H24</f>
        <v>758.625527002278</v>
      </c>
      <c r="I11" s="0" t="n">
        <f aca="false">I8+I10+I24</f>
        <v>777.591165177335</v>
      </c>
      <c r="J11" s="0" t="n">
        <f aca="false">J8+J10+J24</f>
        <v>797.030944306769</v>
      </c>
      <c r="K11" s="0" t="n">
        <f aca="false">K8+K10+K24</f>
        <v>816.956717914438</v>
      </c>
      <c r="L11" s="0" t="n">
        <f aca="false">L8+L10+L24</f>
        <v>837.380635862299</v>
      </c>
    </row>
    <row r="12" customFormat="false" ht="15" hidden="false" customHeight="false" outlineLevel="0" collapsed="false">
      <c r="A12" s="0" t="s">
        <v>112</v>
      </c>
      <c r="C12" s="4" t="n">
        <f aca="false">-C6*Assumptions!C17/100</f>
        <v>-137.71611</v>
      </c>
      <c r="D12" s="4" t="n">
        <f aca="false">-D6*Assumptions!D17/100</f>
        <v>-156.85864929</v>
      </c>
      <c r="E12" s="4" t="n">
        <f aca="false">-E6*Assumptions!E17/100</f>
        <v>-162.3838196232</v>
      </c>
      <c r="F12" s="4" t="n">
        <f aca="false">-F6*Assumptions!F17/100</f>
        <v>-161.54802055161</v>
      </c>
      <c r="G12" s="4" t="n">
        <f aca="false">-G6*Assumptions!G17/100</f>
        <v>-158.060051926064</v>
      </c>
      <c r="H12" s="4" t="n">
        <f aca="false">-H6*Assumptions!H17/100</f>
        <v>-154.296717356396</v>
      </c>
      <c r="I12" s="4" t="n">
        <f aca="false">-I6*Assumptions!I17/100</f>
        <v>-152.882330780629</v>
      </c>
      <c r="J12" s="4" t="n">
        <f aca="false">-J6*Assumptions!J17/100</f>
        <v>-148.598989616516</v>
      </c>
      <c r="K12" s="4" t="n">
        <f aca="false">-K6*Assumptions!K17/100</f>
        <v>-152.313964356929</v>
      </c>
      <c r="L12" s="4" t="n">
        <f aca="false">-L6*Assumptions!L17/100</f>
        <v>-156.121813465852</v>
      </c>
    </row>
    <row r="13" customFormat="false" ht="15" hidden="false" customHeight="false" outlineLevel="0" collapsed="false">
      <c r="A13" s="0" t="s">
        <v>113</v>
      </c>
      <c r="C13" s="0" t="n">
        <f aca="false">C11+C12</f>
        <v>605.950884</v>
      </c>
      <c r="D13" s="0" t="n">
        <f aca="false">D11+D12</f>
        <v>578.26994589</v>
      </c>
      <c r="E13" s="0" t="n">
        <f aca="false">E11+E12</f>
        <v>563.5673739864</v>
      </c>
      <c r="F13" s="0" t="n">
        <f aca="false">F11+F12</f>
        <v>571.537315133347</v>
      </c>
      <c r="G13" s="0" t="n">
        <f aca="false">G11+G12</f>
        <v>580.807968585457</v>
      </c>
      <c r="H13" s="0" t="n">
        <f aca="false">H11+H12</f>
        <v>604.328809645883</v>
      </c>
      <c r="I13" s="0" t="n">
        <f aca="false">I11+I12</f>
        <v>624.708834396707</v>
      </c>
      <c r="J13" s="0" t="n">
        <f aca="false">J11+J12</f>
        <v>648.431954690253</v>
      </c>
      <c r="K13" s="0" t="n">
        <f aca="false">K11+K12</f>
        <v>664.642753557509</v>
      </c>
      <c r="L13" s="0" t="n">
        <f aca="false">L11+L12</f>
        <v>681.258822396447</v>
      </c>
    </row>
    <row r="14" customFormat="false" ht="15" hidden="false" customHeight="false" outlineLevel="0" collapsed="false">
      <c r="A14" s="0" t="s">
        <v>99</v>
      </c>
      <c r="C14" s="4" t="n">
        <f aca="false">Assumptions!C19</f>
        <v>14</v>
      </c>
      <c r="D14" s="4" t="n">
        <f aca="false">Assumptions!D19</f>
        <v>14.5</v>
      </c>
      <c r="E14" s="4" t="n">
        <f aca="false">Assumptions!E19</f>
        <v>15</v>
      </c>
      <c r="F14" s="4" t="n">
        <f aca="false">Assumptions!F19</f>
        <v>15.5</v>
      </c>
      <c r="G14" s="4" t="n">
        <f aca="false">Assumptions!G19</f>
        <v>16</v>
      </c>
      <c r="H14" s="4" t="n">
        <f aca="false">Assumptions!H19</f>
        <v>16</v>
      </c>
      <c r="I14" s="4" t="n">
        <f aca="false">Assumptions!I19</f>
        <v>16</v>
      </c>
      <c r="J14" s="4" t="n">
        <f aca="false">Assumptions!J19</f>
        <v>16</v>
      </c>
      <c r="K14" s="4" t="n">
        <f aca="false">Assumptions!K19</f>
        <v>16</v>
      </c>
      <c r="L14" s="4" t="n">
        <f aca="false">Assumptions!L19</f>
        <v>16</v>
      </c>
    </row>
    <row r="15" customFormat="false" ht="15" hidden="false" customHeight="false" outlineLevel="0" collapsed="false">
      <c r="A15" s="0" t="s">
        <v>114</v>
      </c>
      <c r="C15" s="0" t="n">
        <f aca="false">C13-MAX(0,C13)*C14/100</f>
        <v>521.11776024</v>
      </c>
      <c r="D15" s="0" t="n">
        <f aca="false">D13-MAX(0,D13)*D14/100</f>
        <v>494.42080373595</v>
      </c>
      <c r="E15" s="0" t="n">
        <f aca="false">E13-MAX(0,E13)*E14/100</f>
        <v>479.03226788844</v>
      </c>
      <c r="F15" s="0" t="n">
        <f aca="false">F13-MAX(0,F13)*F14/100</f>
        <v>482.949031287679</v>
      </c>
      <c r="G15" s="0" t="n">
        <f aca="false">G13-MAX(0,G13)*G14/100</f>
        <v>487.878693611784</v>
      </c>
      <c r="H15" s="0" t="n">
        <f aca="false">H13-MAX(0,H13)*H14/100</f>
        <v>507.636200102542</v>
      </c>
      <c r="I15" s="0" t="n">
        <f aca="false">I13-MAX(0,I13)*I14/100</f>
        <v>524.755420893234</v>
      </c>
      <c r="J15" s="0" t="n">
        <f aca="false">J13-MAX(0,J13)*J14/100</f>
        <v>544.682841939812</v>
      </c>
      <c r="K15" s="0" t="n">
        <f aca="false">K13-MAX(0,K13)*K14/100</f>
        <v>558.299912988307</v>
      </c>
      <c r="L15" s="0" t="n">
        <f aca="false">L13-MAX(0,L13)*L14/100</f>
        <v>572.257410813015</v>
      </c>
    </row>
    <row r="16" customFormat="false" ht="15" hidden="false" customHeight="false" outlineLevel="0" collapsed="false">
      <c r="A16" s="0" t="s">
        <v>115</v>
      </c>
      <c r="C16" s="0" t="n">
        <f aca="false">-C12</f>
        <v>137.71611</v>
      </c>
      <c r="D16" s="0" t="n">
        <f aca="false">-D12</f>
        <v>156.85864929</v>
      </c>
      <c r="E16" s="0" t="n">
        <f aca="false">-E12</f>
        <v>162.3838196232</v>
      </c>
      <c r="F16" s="0" t="n">
        <f aca="false">-F12</f>
        <v>161.54802055161</v>
      </c>
      <c r="G16" s="0" t="n">
        <f aca="false">-G12</f>
        <v>158.060051926064</v>
      </c>
      <c r="H16" s="0" t="n">
        <f aca="false">-H12</f>
        <v>154.296717356396</v>
      </c>
      <c r="I16" s="0" t="n">
        <f aca="false">-I12</f>
        <v>152.882330780629</v>
      </c>
      <c r="J16" s="0" t="n">
        <f aca="false">-J12</f>
        <v>148.598989616516</v>
      </c>
      <c r="K16" s="0" t="n">
        <f aca="false">-K12</f>
        <v>152.313964356929</v>
      </c>
      <c r="L16" s="0" t="n">
        <f aca="false">-L12</f>
        <v>156.121813465852</v>
      </c>
    </row>
    <row r="17" customFormat="false" ht="15" hidden="false" customHeight="false" outlineLevel="0" collapsed="false">
      <c r="A17" s="0" t="s">
        <v>116</v>
      </c>
      <c r="C17" s="4" t="n">
        <f aca="false">-C6*Assumptions!C18/100</f>
        <v>-390.195645</v>
      </c>
      <c r="D17" s="4" t="n">
        <f aca="false">-D6*Assumptions!D18/100</f>
        <v>-257.5291257</v>
      </c>
      <c r="E17" s="4" t="n">
        <f aca="false">-E6*Assumptions!E18/100</f>
        <v>-191.039787792</v>
      </c>
      <c r="F17" s="4" t="n">
        <f aca="false">-F6*Assumptions!F18/100</f>
        <v>-159.100323270525</v>
      </c>
      <c r="G17" s="4" t="n">
        <f aca="false">-G6*Assumptions!G18/100</f>
        <v>-150.533382786727</v>
      </c>
      <c r="H17" s="4" t="n">
        <f aca="false">-H6*Assumptions!H18/100</f>
        <v>-141.438657576696</v>
      </c>
      <c r="I17" s="4" t="n">
        <f aca="false">-I6*Assumptions!I18/100</f>
        <v>-144.974624016113</v>
      </c>
      <c r="J17" s="4" t="n">
        <f aca="false">-J6*Assumptions!J18/100</f>
        <v>-148.598989616516</v>
      </c>
      <c r="K17" s="4" t="n">
        <f aca="false">-K6*Assumptions!K18/100</f>
        <v>-152.313964356929</v>
      </c>
      <c r="L17" s="4" t="n">
        <f aca="false">-L6*Assumptions!L18/100</f>
        <v>-156.121813465852</v>
      </c>
    </row>
    <row r="18" customFormat="false" ht="15" hidden="false" customHeight="false" outlineLevel="0" collapsed="false">
      <c r="A18" s="0" t="s">
        <v>117</v>
      </c>
      <c r="C18" s="4" t="n">
        <f aca="false">(C6-B6)*Assumptions!$B$23/100</f>
        <v>-27.324625</v>
      </c>
      <c r="D18" s="4" t="n">
        <f aca="false">(D6-C6)*Assumptions!$B$23/100</f>
        <v>-11.4763425</v>
      </c>
      <c r="E18" s="4" t="n">
        <f aca="false">(E6-D6)*Assumptions!$B$23/100</f>
        <v>-11.7058693500001</v>
      </c>
      <c r="F18" s="4" t="n">
        <f aca="false">(F6-E6)*Assumptions!$B$23/100</f>
        <v>-14.92498342125</v>
      </c>
      <c r="G18" s="4" t="n">
        <f aca="false">(G6-F6)*Assumptions!$B$23/100</f>
        <v>-15.2981080067811</v>
      </c>
      <c r="H18" s="4" t="n">
        <f aca="false">(H6-G6)*Assumptions!$B$23/100</f>
        <v>-15.6805607069507</v>
      </c>
      <c r="I18" s="4" t="n">
        <f aca="false">(I6-H6)*Assumptions!$B$23/100</f>
        <v>-16.0725747246245</v>
      </c>
      <c r="J18" s="4" t="n">
        <f aca="false">(J6-I6)*Assumptions!$B$23/100</f>
        <v>-16.4743890927401</v>
      </c>
      <c r="K18" s="4" t="n">
        <f aca="false">(K6-J6)*Assumptions!$B$23/100</f>
        <v>-16.8862488200587</v>
      </c>
      <c r="L18" s="4" t="n">
        <f aca="false">(L6-K6)*Assumptions!$B$23/100</f>
        <v>-17.30840504056</v>
      </c>
    </row>
    <row r="19" customFormat="false" ht="15" hidden="false" customHeight="false" outlineLevel="0" collapsed="false">
      <c r="A19" s="0" t="s">
        <v>118</v>
      </c>
      <c r="C19" s="0" t="n">
        <f aca="false">C15+C16+C17+C18</f>
        <v>241.31360024</v>
      </c>
      <c r="D19" s="0" t="n">
        <f aca="false">D15+D16+D17+D18</f>
        <v>382.27398482595</v>
      </c>
      <c r="E19" s="0" t="n">
        <f aca="false">E15+E16+E17+E18</f>
        <v>438.67043036964</v>
      </c>
      <c r="F19" s="0" t="n">
        <f aca="false">F15+F16+F17+F18</f>
        <v>470.471745147514</v>
      </c>
      <c r="G19" s="0" t="n">
        <f aca="false">G15+G16+G17+G18</f>
        <v>480.107254744339</v>
      </c>
      <c r="H19" s="0" t="n">
        <f aca="false">H15+H16+H17+H18</f>
        <v>504.813699175291</v>
      </c>
      <c r="I19" s="0" t="n">
        <f aca="false">I15+I16+I17+I18</f>
        <v>516.590552933125</v>
      </c>
      <c r="J19" s="0" t="n">
        <f aca="false">J15+J16+J17+J18</f>
        <v>528.208452847072</v>
      </c>
      <c r="K19" s="0" t="n">
        <f aca="false">K15+K16+K17+K18</f>
        <v>541.413664168249</v>
      </c>
      <c r="L19" s="0" t="n">
        <f aca="false">L15+L16+L17+L18</f>
        <v>554.949005772455</v>
      </c>
    </row>
    <row r="20" customFormat="false" ht="15" hidden="false" customHeight="false" outlineLevel="0" collapsed="false">
      <c r="A20" s="0" t="s">
        <v>119</v>
      </c>
      <c r="C20" s="0" t="n">
        <f aca="false">1/(1+$B$27/100)^C4</f>
        <v>0.91743119266055</v>
      </c>
      <c r="D20" s="0" t="n">
        <f aca="false">1/(1+$B$27/100)^D4</f>
        <v>0.84167999326656</v>
      </c>
      <c r="E20" s="0" t="n">
        <f aca="false">1/(1+$B$27/100)^E4</f>
        <v>0.772183480061064</v>
      </c>
      <c r="F20" s="0" t="n">
        <f aca="false">1/(1+$B$27/100)^F4</f>
        <v>0.708425211065196</v>
      </c>
      <c r="G20" s="0" t="n">
        <f aca="false">1/(1+$B$27/100)^G4</f>
        <v>0.649931386298345</v>
      </c>
      <c r="H20" s="0" t="n">
        <f aca="false">1/(1+$B$27/100)^H4</f>
        <v>0.596267326879216</v>
      </c>
      <c r="I20" s="0" t="n">
        <f aca="false">1/(1+$B$27/100)^I4</f>
        <v>0.547034244843317</v>
      </c>
      <c r="J20" s="0" t="n">
        <f aca="false">1/(1+$B$27/100)^J4</f>
        <v>0.501866279672768</v>
      </c>
      <c r="K20" s="0" t="n">
        <f aca="false">1/(1+$B$27/100)^K4</f>
        <v>0.460427779516301</v>
      </c>
      <c r="L20" s="0" t="n">
        <f aca="false">1/(1+$B$27/100)^L4</f>
        <v>0.422410806895689</v>
      </c>
    </row>
    <row r="21" customFormat="false" ht="15" hidden="false" customHeight="false" outlineLevel="0" collapsed="false">
      <c r="A21" s="0" t="s">
        <v>120</v>
      </c>
      <c r="C21" s="0" t="n">
        <f aca="false">C19*C20</f>
        <v>221.388624073394</v>
      </c>
      <c r="D21" s="0" t="n">
        <f aca="false">D19*D20</f>
        <v>321.752364974287</v>
      </c>
      <c r="E21" s="0" t="n">
        <f aca="false">E19*E20</f>
        <v>338.734059522713</v>
      </c>
      <c r="F21" s="0" t="n">
        <f aca="false">F19*F20</f>
        <v>333.294045356339</v>
      </c>
      <c r="G21" s="0" t="n">
        <f aca="false">G19*G20</f>
        <v>312.036773647881</v>
      </c>
      <c r="H21" s="0" t="n">
        <f aca="false">H19*H20</f>
        <v>301.003914979259</v>
      </c>
      <c r="I21" s="0" t="n">
        <f aca="false">I19*I20</f>
        <v>282.592723016964</v>
      </c>
      <c r="J21" s="0" t="n">
        <f aca="false">J19*J20</f>
        <v>265.090011122069</v>
      </c>
      <c r="K21" s="0" t="n">
        <f aca="false">K19*K20</f>
        <v>249.281891192771</v>
      </c>
      <c r="L21" s="0" t="n">
        <f aca="false">L19*L20</f>
        <v>234.416457314303</v>
      </c>
    </row>
    <row r="23" customFormat="false" ht="15" hidden="false" customHeight="false" outlineLevel="0" collapsed="false">
      <c r="A23" s="0" t="s">
        <v>96</v>
      </c>
      <c r="C23" s="4" t="n">
        <f aca="false">Assumptions!C16</f>
        <v>0</v>
      </c>
      <c r="D23" s="4" t="n">
        <f aca="false">Assumptions!D16</f>
        <v>0</v>
      </c>
      <c r="E23" s="4" t="n">
        <f aca="false">Assumptions!E16</f>
        <v>0</v>
      </c>
      <c r="F23" s="4" t="n">
        <f aca="false">Assumptions!F16</f>
        <v>0</v>
      </c>
      <c r="G23" s="4" t="n">
        <f aca="false">Assumptions!G16</f>
        <v>0</v>
      </c>
      <c r="H23" s="4" t="n">
        <f aca="false">Assumptions!H16</f>
        <v>0</v>
      </c>
      <c r="I23" s="4" t="n">
        <f aca="false">Assumptions!I16</f>
        <v>0</v>
      </c>
      <c r="J23" s="4" t="n">
        <f aca="false">Assumptions!J16</f>
        <v>0</v>
      </c>
      <c r="K23" s="4" t="n">
        <f aca="false">Assumptions!K16</f>
        <v>0</v>
      </c>
      <c r="L23" s="4" t="n">
        <f aca="false">Assumptions!L16</f>
        <v>0</v>
      </c>
    </row>
    <row r="24" customFormat="false" ht="15" hidden="false" customHeight="false" outlineLevel="0" collapsed="false">
      <c r="A24" s="0" t="s">
        <v>121</v>
      </c>
      <c r="C24" s="0" t="n">
        <f aca="false">-C6*C23/100</f>
        <v>-0</v>
      </c>
      <c r="D24" s="0" t="n">
        <f aca="false">-D6*D23/100</f>
        <v>-0</v>
      </c>
      <c r="E24" s="0" t="n">
        <f aca="false">-E6*E23/100</f>
        <v>-0</v>
      </c>
      <c r="F24" s="0" t="n">
        <f aca="false">-F6*F23/100</f>
        <v>-0</v>
      </c>
      <c r="G24" s="0" t="n">
        <f aca="false">-G6*G23/100</f>
        <v>-0</v>
      </c>
      <c r="H24" s="0" t="n">
        <f aca="false">-H6*H23/100</f>
        <v>-0</v>
      </c>
      <c r="I24" s="0" t="n">
        <f aca="false">-I6*I23/100</f>
        <v>-0</v>
      </c>
      <c r="J24" s="0" t="n">
        <f aca="false">-J6*J23/100</f>
        <v>-0</v>
      </c>
      <c r="K24" s="0" t="n">
        <f aca="false">-K6*K23/100</f>
        <v>-0</v>
      </c>
      <c r="L24" s="0" t="n">
        <f aca="false">-L6*L23/100</f>
        <v>-0</v>
      </c>
    </row>
    <row r="26" customFormat="false" ht="15" hidden="false" customHeight="false" outlineLevel="0" collapsed="false">
      <c r="A26" s="2" t="s">
        <v>122</v>
      </c>
    </row>
    <row r="27" customFormat="false" ht="15" hidden="false" customHeight="false" outlineLevel="0" collapsed="false">
      <c r="A27" s="0" t="s">
        <v>100</v>
      </c>
      <c r="B27" s="4" t="n">
        <f aca="false">Assumptions!$B$20</f>
        <v>9</v>
      </c>
    </row>
    <row r="28" customFormat="false" ht="15" hidden="false" customHeight="false" outlineLevel="0" collapsed="false">
      <c r="A28" s="0" t="s">
        <v>101</v>
      </c>
      <c r="B28" s="4" t="n">
        <f aca="false">Assumptions!$B$21</f>
        <v>2</v>
      </c>
    </row>
    <row r="29" customFormat="false" ht="15" hidden="false" customHeight="false" outlineLevel="0" collapsed="false">
      <c r="A29" s="0" t="s">
        <v>102</v>
      </c>
      <c r="B29" s="4" t="n">
        <f aca="false">Assumptions!$B$22</f>
        <v>15</v>
      </c>
    </row>
    <row r="30" customFormat="false" ht="15" hidden="false" customHeight="false" outlineLevel="0" collapsed="false">
      <c r="A30" s="0" t="s">
        <v>123</v>
      </c>
      <c r="B30" s="0" t="n">
        <f aca="false">SUM(C21:L21)</f>
        <v>2859.59086519998</v>
      </c>
    </row>
    <row r="31" customFormat="false" ht="15" hidden="false" customHeight="false" outlineLevel="0" collapsed="false">
      <c r="A31" s="0" t="s">
        <v>124</v>
      </c>
      <c r="B31" s="0" t="n">
        <f aca="false">L19</f>
        <v>554.949005772455</v>
      </c>
    </row>
    <row r="32" customFormat="false" ht="15" hidden="false" customHeight="false" outlineLevel="0" collapsed="false">
      <c r="A32" s="0" t="s">
        <v>125</v>
      </c>
      <c r="B32" s="0" t="n">
        <f aca="false">IF(B27&gt;B28,B31*(1+B28/100)/((B27-B28)/100),B31*B29)</f>
        <v>8086.39979839863</v>
      </c>
    </row>
    <row r="33" customFormat="false" ht="15" hidden="false" customHeight="false" outlineLevel="0" collapsed="false">
      <c r="A33" s="0" t="s">
        <v>126</v>
      </c>
      <c r="B33" s="0" t="n">
        <f aca="false">B31*B29</f>
        <v>8324.23508658683</v>
      </c>
    </row>
    <row r="34" customFormat="false" ht="15" hidden="false" customHeight="false" outlineLevel="0" collapsed="false">
      <c r="A34" s="0" t="s">
        <v>127</v>
      </c>
      <c r="B34" s="0" t="n">
        <f aca="false">MAX(0,MIN(B32,B33))</f>
        <v>8086.39979839863</v>
      </c>
    </row>
    <row r="35" customFormat="false" ht="15" hidden="false" customHeight="false" outlineLevel="0" collapsed="false">
      <c r="A35" s="0" t="s">
        <v>128</v>
      </c>
      <c r="B35" s="0" t="n">
        <f aca="false">B34/(1+B27/100)^L4</f>
        <v>3415.7826637227</v>
      </c>
    </row>
    <row r="36" customFormat="false" ht="15" hidden="false" customHeight="false" outlineLevel="0" collapsed="false">
      <c r="A36" s="0" t="s">
        <v>129</v>
      </c>
      <c r="B36" s="0" t="n">
        <f aca="false">B30+B35</f>
        <v>6275.37352892268</v>
      </c>
    </row>
    <row r="37" customFormat="false" ht="15" hidden="false" customHeight="false" outlineLevel="0" collapsed="false">
      <c r="A37" s="0" t="s">
        <v>130</v>
      </c>
      <c r="B37" s="0" t="n">
        <f aca="false">B36+Assumptions!$B$5-Assumptions!$B$4</f>
        <v>8073.37352892268</v>
      </c>
    </row>
    <row r="38" customFormat="false" ht="15" hidden="false" customHeight="false" outlineLevel="0" collapsed="false">
      <c r="A38" s="0" t="s">
        <v>131</v>
      </c>
      <c r="B38" s="0" t="n">
        <f aca="false">B37/Assumptions!$B$3*Assumptions!$B$10</f>
        <v>18.9961730092298</v>
      </c>
    </row>
    <row r="39" customFormat="false" ht="15" hidden="false" customHeight="false" outlineLevel="0" collapsed="false">
      <c r="A39" s="0" t="s">
        <v>132</v>
      </c>
      <c r="B39" s="4" t="n">
        <f aca="false">B38/Assumptions!$B$2-1</f>
        <v>-0.459722041830778</v>
      </c>
    </row>
    <row r="41" customFormat="false" ht="15" hidden="false" customHeight="false" outlineLevel="0" collapsed="false">
      <c r="A41" s="0" t="s">
        <v>133</v>
      </c>
      <c r="B41" s="0" t="n">
        <f aca="false">SUMPRODUCT(-C10:L10/(1+$B$27/100)^C4:L4)</f>
        <v>88.0536882849189</v>
      </c>
    </row>
    <row r="42" customFormat="false" ht="15" hidden="false" customHeight="false" outlineLevel="0" collapsed="false">
      <c r="A42" s="0" t="s">
        <v>134</v>
      </c>
      <c r="B42" s="0" t="n">
        <f aca="false">IF(B27&gt;B28,-L10*(1+B28/100)/((B27-B28)/100),-L10*20)/(1+B27/100)^L4</f>
        <v>87.3590805508201</v>
      </c>
    </row>
    <row r="43" customFormat="false" ht="15" hidden="false" customHeight="false" outlineLevel="0" collapsed="false">
      <c r="A43" s="0" t="s">
        <v>135</v>
      </c>
      <c r="B43" s="0" t="n">
        <f aca="false">(B37+B41+B42)/Assumptions!$B$3*Assumptions!$B$10</f>
        <v>19.4089089359022</v>
      </c>
    </row>
    <row r="45" customFormat="false" ht="15" hidden="false" customHeight="false" outlineLevel="0" collapsed="false">
      <c r="A45" s="0" t="s">
        <v>76</v>
      </c>
      <c r="B45" s="4" t="n">
        <f aca="false">Assumptions!$B$6</f>
        <v>15</v>
      </c>
    </row>
    <row r="46" customFormat="false" ht="15" hidden="false" customHeight="false" outlineLevel="0" collapsed="false">
      <c r="A46" s="0" t="s">
        <v>136</v>
      </c>
      <c r="B46" s="0" t="n">
        <f aca="false">MAX(0,MIN(IF(B45&gt;B28,B31*(1+B28/100)/((B45-B28)/100),B31*B29),B31*B29))</f>
        <v>4354.2152760608</v>
      </c>
    </row>
    <row r="47" customFormat="false" ht="15" hidden="false" customHeight="false" outlineLevel="0" collapsed="false">
      <c r="A47" s="0" t="s">
        <v>137</v>
      </c>
      <c r="B47" s="0" t="n">
        <f aca="false">(SUMPRODUCT(C19:L19/(1+B45/100)^C4:L4)+B46/(1+B45/100)^L4+Assumptions!$B$5-Assumptions!$B$4)/Assumptions!$B$3*Assumptions!$B$10</f>
        <v>11.8717961889977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4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52"/>
  </cols>
  <sheetData>
    <row r="1" customFormat="false" ht="15" hidden="false" customHeight="false" outlineLevel="0" collapsed="false">
      <c r="A1" s="2" t="s">
        <v>138</v>
      </c>
    </row>
    <row r="3" customFormat="false" ht="15" hidden="false" customHeight="false" outlineLevel="0" collapsed="false">
      <c r="A3" s="0" t="s">
        <v>108</v>
      </c>
      <c r="B3" s="0" t="s">
        <v>69</v>
      </c>
      <c r="C3" s="2" t="s">
        <v>83</v>
      </c>
      <c r="D3" s="2" t="s">
        <v>84</v>
      </c>
      <c r="E3" s="2" t="s">
        <v>85</v>
      </c>
      <c r="F3" s="2" t="s">
        <v>86</v>
      </c>
      <c r="G3" s="2" t="s">
        <v>87</v>
      </c>
      <c r="H3" s="2" t="s">
        <v>88</v>
      </c>
      <c r="I3" s="2" t="s">
        <v>89</v>
      </c>
      <c r="J3" s="2" t="s">
        <v>90</v>
      </c>
      <c r="K3" s="2" t="s">
        <v>91</v>
      </c>
      <c r="L3" s="2" t="s">
        <v>92</v>
      </c>
    </row>
    <row r="4" customFormat="false" ht="15" hidden="false" customHeight="false" outlineLevel="0" collapsed="false">
      <c r="A4" s="0" t="s">
        <v>109</v>
      </c>
      <c r="B4" s="0" t="n">
        <v>0</v>
      </c>
      <c r="C4" s="0" t="n">
        <f aca="false">B4+1</f>
        <v>1</v>
      </c>
      <c r="D4" s="0" t="n">
        <f aca="false">C4+1</f>
        <v>2</v>
      </c>
      <c r="E4" s="0" t="n">
        <f aca="false">D4+1</f>
        <v>3</v>
      </c>
      <c r="F4" s="0" t="n">
        <f aca="false">E4+1</f>
        <v>4</v>
      </c>
      <c r="G4" s="0" t="n">
        <f aca="false">F4+1</f>
        <v>5</v>
      </c>
      <c r="H4" s="0" t="n">
        <f aca="false">G4+1</f>
        <v>6</v>
      </c>
      <c r="I4" s="0" t="n">
        <f aca="false">H4+1</f>
        <v>7</v>
      </c>
      <c r="J4" s="0" t="n">
        <f aca="false">I4+1</f>
        <v>8</v>
      </c>
      <c r="K4" s="0" t="n">
        <f aca="false">J4+1</f>
        <v>9</v>
      </c>
      <c r="L4" s="0" t="n">
        <f aca="false">K4+1</f>
        <v>10</v>
      </c>
    </row>
    <row r="5" customFormat="false" ht="15" hidden="false" customHeight="false" outlineLevel="0" collapsed="false">
      <c r="A5" s="0" t="s">
        <v>93</v>
      </c>
      <c r="C5" s="4" t="n">
        <f aca="false">Assumptions!C27</f>
        <v>7</v>
      </c>
      <c r="D5" s="4" t="n">
        <f aca="false">Assumptions!D27</f>
        <v>8</v>
      </c>
      <c r="E5" s="4" t="n">
        <f aca="false">Assumptions!E27</f>
        <v>7.5</v>
      </c>
      <c r="F5" s="4" t="n">
        <f aca="false">Assumptions!F27</f>
        <v>6.5</v>
      </c>
      <c r="G5" s="4" t="n">
        <f aca="false">Assumptions!G27</f>
        <v>5.5</v>
      </c>
      <c r="H5" s="4" t="n">
        <f aca="false">Assumptions!H27</f>
        <v>5</v>
      </c>
      <c r="I5" s="4" t="n">
        <f aca="false">Assumptions!I27</f>
        <v>4.5</v>
      </c>
      <c r="J5" s="4" t="n">
        <f aca="false">Assumptions!J27</f>
        <v>4</v>
      </c>
      <c r="K5" s="4" t="n">
        <f aca="false">Assumptions!K27</f>
        <v>3.5</v>
      </c>
      <c r="L5" s="4" t="n">
        <f aca="false">Assumptions!L27</f>
        <v>3</v>
      </c>
    </row>
    <row r="6" customFormat="false" ht="15" hidden="false" customHeight="false" outlineLevel="0" collapsed="false">
      <c r="A6" s="0" t="s">
        <v>38</v>
      </c>
      <c r="B6" s="3" t="n">
        <v>2185.97</v>
      </c>
      <c r="C6" s="0" t="n">
        <f aca="false">B6*(1+C5/100)</f>
        <v>2338.9879</v>
      </c>
      <c r="D6" s="0" t="n">
        <f aca="false">C6*(1+D5/100)</f>
        <v>2526.106932</v>
      </c>
      <c r="E6" s="0" t="n">
        <f aca="false">D6*(1+E5/100)</f>
        <v>2715.5649519</v>
      </c>
      <c r="F6" s="0" t="n">
        <f aca="false">E6*(1+F5/100)</f>
        <v>2892.0766737735</v>
      </c>
      <c r="G6" s="0" t="n">
        <f aca="false">F6*(1+G5/100)</f>
        <v>3051.14089083104</v>
      </c>
      <c r="H6" s="0" t="n">
        <f aca="false">G6*(1+H5/100)</f>
        <v>3203.69793537259</v>
      </c>
      <c r="I6" s="0" t="n">
        <f aca="false">H6*(1+I5/100)</f>
        <v>3347.86434246436</v>
      </c>
      <c r="J6" s="0" t="n">
        <f aca="false">I6*(1+J5/100)</f>
        <v>3481.77891616294</v>
      </c>
      <c r="K6" s="0" t="n">
        <f aca="false">J6*(1+K5/100)</f>
        <v>3603.64117822864</v>
      </c>
      <c r="L6" s="0" t="n">
        <f aca="false">K6*(1+L5/100)</f>
        <v>3711.7504135755</v>
      </c>
    </row>
    <row r="7" customFormat="false" ht="15" hidden="false" customHeight="false" outlineLevel="0" collapsed="false">
      <c r="A7" s="0" t="s">
        <v>94</v>
      </c>
      <c r="C7" s="4" t="n">
        <f aca="false">Assumptions!C28</f>
        <v>34</v>
      </c>
      <c r="D7" s="4" t="n">
        <f aca="false">Assumptions!D28</f>
        <v>34.5</v>
      </c>
      <c r="E7" s="4" t="n">
        <f aca="false">Assumptions!E28</f>
        <v>34.8</v>
      </c>
      <c r="F7" s="4" t="n">
        <f aca="false">Assumptions!F28</f>
        <v>35</v>
      </c>
      <c r="G7" s="4" t="n">
        <f aca="false">Assumptions!G28</f>
        <v>35</v>
      </c>
      <c r="H7" s="4" t="n">
        <f aca="false">Assumptions!H28</f>
        <v>35</v>
      </c>
      <c r="I7" s="4" t="n">
        <f aca="false">Assumptions!I28</f>
        <v>35</v>
      </c>
      <c r="J7" s="4" t="n">
        <f aca="false">Assumptions!J28</f>
        <v>35</v>
      </c>
      <c r="K7" s="4" t="n">
        <f aca="false">Assumptions!K28</f>
        <v>35</v>
      </c>
      <c r="L7" s="4" t="n">
        <f aca="false">Assumptions!L28</f>
        <v>35</v>
      </c>
    </row>
    <row r="8" customFormat="false" ht="15" hidden="false" customHeight="false" outlineLevel="0" collapsed="false">
      <c r="A8" s="0" t="s">
        <v>44</v>
      </c>
      <c r="C8" s="0" t="n">
        <f aca="false">C6*C7/100</f>
        <v>795.255886</v>
      </c>
      <c r="D8" s="0" t="n">
        <f aca="false">D6*D7/100</f>
        <v>871.50689154</v>
      </c>
      <c r="E8" s="0" t="n">
        <f aca="false">E6*E7/100</f>
        <v>945.0166032612</v>
      </c>
      <c r="F8" s="0" t="n">
        <f aca="false">F6*F7/100</f>
        <v>1012.22683582073</v>
      </c>
      <c r="G8" s="0" t="n">
        <f aca="false">G6*G7/100</f>
        <v>1067.89931179086</v>
      </c>
      <c r="H8" s="0" t="n">
        <f aca="false">H6*H7/100</f>
        <v>1121.29427738041</v>
      </c>
      <c r="I8" s="0" t="n">
        <f aca="false">I6*I7/100</f>
        <v>1171.75251986253</v>
      </c>
      <c r="J8" s="0" t="n">
        <f aca="false">J6*J7/100</f>
        <v>1218.62262065703</v>
      </c>
      <c r="K8" s="0" t="n">
        <f aca="false">K6*K7/100</f>
        <v>1261.27441238002</v>
      </c>
      <c r="L8" s="0" t="n">
        <f aca="false">L6*L7/100</f>
        <v>1299.11264475142</v>
      </c>
    </row>
    <row r="9" customFormat="false" ht="15" hidden="false" customHeight="false" outlineLevel="0" collapsed="false">
      <c r="A9" s="0" t="s">
        <v>95</v>
      </c>
      <c r="C9" s="4" t="n">
        <f aca="false">Assumptions!C29</f>
        <v>0.6</v>
      </c>
      <c r="D9" s="4" t="n">
        <f aca="false">Assumptions!D29</f>
        <v>0.6</v>
      </c>
      <c r="E9" s="4" t="n">
        <f aca="false">Assumptions!E29</f>
        <v>0.6</v>
      </c>
      <c r="F9" s="4" t="n">
        <f aca="false">Assumptions!F29</f>
        <v>0.55</v>
      </c>
      <c r="G9" s="4" t="n">
        <f aca="false">Assumptions!G29</f>
        <v>0.55</v>
      </c>
      <c r="H9" s="4" t="n">
        <f aca="false">Assumptions!H29</f>
        <v>0.5</v>
      </c>
      <c r="I9" s="4" t="n">
        <f aca="false">Assumptions!I29</f>
        <v>0.5</v>
      </c>
      <c r="J9" s="4" t="n">
        <f aca="false">Assumptions!J29</f>
        <v>0.5</v>
      </c>
      <c r="K9" s="4" t="n">
        <f aca="false">Assumptions!K29</f>
        <v>0.5</v>
      </c>
      <c r="L9" s="4" t="n">
        <f aca="false">Assumptions!L29</f>
        <v>0.5</v>
      </c>
    </row>
    <row r="10" customFormat="false" ht="15" hidden="false" customHeight="false" outlineLevel="0" collapsed="false">
      <c r="A10" s="0" t="s">
        <v>110</v>
      </c>
      <c r="C10" s="0" t="n">
        <f aca="false">-C6*C9/100</f>
        <v>-14.0339274</v>
      </c>
      <c r="D10" s="0" t="n">
        <f aca="false">-D6*D9/100</f>
        <v>-15.156641592</v>
      </c>
      <c r="E10" s="0" t="n">
        <f aca="false">-E6*E9/100</f>
        <v>-16.2933897114</v>
      </c>
      <c r="F10" s="0" t="n">
        <f aca="false">-F6*F9/100</f>
        <v>-15.9064217057543</v>
      </c>
      <c r="G10" s="0" t="n">
        <f aca="false">-G6*G9/100</f>
        <v>-16.7812748995707</v>
      </c>
      <c r="H10" s="0" t="n">
        <f aca="false">-H6*H9/100</f>
        <v>-16.018489676863</v>
      </c>
      <c r="I10" s="0" t="n">
        <f aca="false">-I6*I9/100</f>
        <v>-16.7393217123218</v>
      </c>
      <c r="J10" s="0" t="n">
        <f aca="false">-J6*J9/100</f>
        <v>-17.4088945808147</v>
      </c>
      <c r="K10" s="0" t="n">
        <f aca="false">-K6*K9/100</f>
        <v>-18.0182058911432</v>
      </c>
      <c r="L10" s="0" t="n">
        <f aca="false">-L6*L9/100</f>
        <v>-18.5587520678775</v>
      </c>
    </row>
    <row r="11" customFormat="false" ht="15" hidden="false" customHeight="false" outlineLevel="0" collapsed="false">
      <c r="A11" s="0" t="s">
        <v>111</v>
      </c>
      <c r="C11" s="0" t="n">
        <f aca="false">C8+C10+C24</f>
        <v>781.2219586</v>
      </c>
      <c r="D11" s="0" t="n">
        <f aca="false">D8+D10+D24</f>
        <v>856.350249948</v>
      </c>
      <c r="E11" s="0" t="n">
        <f aca="false">E8+E10+E24</f>
        <v>928.7232135498</v>
      </c>
      <c r="F11" s="0" t="n">
        <f aca="false">F8+F10+F24</f>
        <v>996.320414114971</v>
      </c>
      <c r="G11" s="0" t="n">
        <f aca="false">G8+G10+G24</f>
        <v>1051.11803689129</v>
      </c>
      <c r="H11" s="0" t="n">
        <f aca="false">H8+H10+H24</f>
        <v>1105.27578770355</v>
      </c>
      <c r="I11" s="0" t="n">
        <f aca="false">I8+I10+I24</f>
        <v>1155.0131981502</v>
      </c>
      <c r="J11" s="0" t="n">
        <f aca="false">J8+J10+J24</f>
        <v>1201.21372607621</v>
      </c>
      <c r="K11" s="0" t="n">
        <f aca="false">K8+K10+K24</f>
        <v>1243.25620648888</v>
      </c>
      <c r="L11" s="0" t="n">
        <f aca="false">L8+L10+L24</f>
        <v>1280.55389268355</v>
      </c>
    </row>
    <row r="12" customFormat="false" ht="15" hidden="false" customHeight="false" outlineLevel="0" collapsed="false">
      <c r="A12" s="0" t="s">
        <v>112</v>
      </c>
      <c r="C12" s="4" t="n">
        <f aca="false">-C6*Assumptions!C31/100</f>
        <v>-140.339274</v>
      </c>
      <c r="D12" s="4" t="n">
        <f aca="false">-D6*Assumptions!D31/100</f>
        <v>-164.19695058</v>
      </c>
      <c r="E12" s="4" t="n">
        <f aca="false">-E6*Assumptions!E31/100</f>
        <v>-176.5117218735</v>
      </c>
      <c r="F12" s="4" t="n">
        <f aca="false">-F6*Assumptions!F31/100</f>
        <v>-182.20083044773</v>
      </c>
      <c r="G12" s="4" t="n">
        <f aca="false">-G6*Assumptions!G31/100</f>
        <v>-183.068453449863</v>
      </c>
      <c r="H12" s="4" t="n">
        <f aca="false">-H6*Assumptions!H31/100</f>
        <v>-185.81448025161</v>
      </c>
      <c r="I12" s="4" t="n">
        <f aca="false">-I6*Assumptions!I31/100</f>
        <v>-187.480403178004</v>
      </c>
      <c r="J12" s="4" t="n">
        <f aca="false">-J6*Assumptions!J31/100</f>
        <v>-191.497840388961</v>
      </c>
      <c r="K12" s="4" t="n">
        <f aca="false">-K6*Assumptions!K31/100</f>
        <v>-198.200264802575</v>
      </c>
      <c r="L12" s="4" t="n">
        <f aca="false">-L6*Assumptions!L31/100</f>
        <v>-204.146272746652</v>
      </c>
    </row>
    <row r="13" customFormat="false" ht="15" hidden="false" customHeight="false" outlineLevel="0" collapsed="false">
      <c r="A13" s="0" t="s">
        <v>113</v>
      </c>
      <c r="C13" s="0" t="n">
        <f aca="false">C11+C12</f>
        <v>640.8826846</v>
      </c>
      <c r="D13" s="0" t="n">
        <f aca="false">D11+D12</f>
        <v>692.153299368</v>
      </c>
      <c r="E13" s="0" t="n">
        <f aca="false">E11+E12</f>
        <v>752.2114916763</v>
      </c>
      <c r="F13" s="0" t="n">
        <f aca="false">F11+F12</f>
        <v>814.11958366724</v>
      </c>
      <c r="G13" s="0" t="n">
        <f aca="false">G11+G12</f>
        <v>868.049583441431</v>
      </c>
      <c r="H13" s="0" t="n">
        <f aca="false">H11+H12</f>
        <v>919.461307451935</v>
      </c>
      <c r="I13" s="0" t="n">
        <f aca="false">I11+I12</f>
        <v>967.532794972201</v>
      </c>
      <c r="J13" s="0" t="n">
        <f aca="false">J11+J12</f>
        <v>1009.71588568725</v>
      </c>
      <c r="K13" s="0" t="n">
        <f aca="false">K11+K12</f>
        <v>1045.05594168631</v>
      </c>
      <c r="L13" s="0" t="n">
        <f aca="false">L11+L12</f>
        <v>1076.40761993689</v>
      </c>
    </row>
    <row r="14" customFormat="false" ht="15" hidden="false" customHeight="false" outlineLevel="0" collapsed="false">
      <c r="A14" s="0" t="s">
        <v>99</v>
      </c>
      <c r="C14" s="4" t="n">
        <f aca="false">Assumptions!C33</f>
        <v>13</v>
      </c>
      <c r="D14" s="4" t="n">
        <f aca="false">Assumptions!D33</f>
        <v>13</v>
      </c>
      <c r="E14" s="4" t="n">
        <f aca="false">Assumptions!E33</f>
        <v>13</v>
      </c>
      <c r="F14" s="4" t="n">
        <f aca="false">Assumptions!F33</f>
        <v>13.5</v>
      </c>
      <c r="G14" s="4" t="n">
        <f aca="false">Assumptions!G33</f>
        <v>14</v>
      </c>
      <c r="H14" s="4" t="n">
        <f aca="false">Assumptions!H33</f>
        <v>14.5</v>
      </c>
      <c r="I14" s="4" t="n">
        <f aca="false">Assumptions!I33</f>
        <v>15</v>
      </c>
      <c r="J14" s="4" t="n">
        <f aca="false">Assumptions!J33</f>
        <v>15</v>
      </c>
      <c r="K14" s="4" t="n">
        <f aca="false">Assumptions!K33</f>
        <v>15</v>
      </c>
      <c r="L14" s="4" t="n">
        <f aca="false">Assumptions!L33</f>
        <v>15</v>
      </c>
    </row>
    <row r="15" customFormat="false" ht="15" hidden="false" customHeight="false" outlineLevel="0" collapsed="false">
      <c r="A15" s="0" t="s">
        <v>114</v>
      </c>
      <c r="C15" s="0" t="n">
        <f aca="false">C13-MAX(0,C13)*C14/100</f>
        <v>557.567935602</v>
      </c>
      <c r="D15" s="0" t="n">
        <f aca="false">D13-MAX(0,D13)*D14/100</f>
        <v>602.17337045016</v>
      </c>
      <c r="E15" s="0" t="n">
        <f aca="false">E13-MAX(0,E13)*E14/100</f>
        <v>654.423997758381</v>
      </c>
      <c r="F15" s="0" t="n">
        <f aca="false">F13-MAX(0,F13)*F14/100</f>
        <v>704.213439872163</v>
      </c>
      <c r="G15" s="0" t="n">
        <f aca="false">G13-MAX(0,G13)*G14/100</f>
        <v>746.522641759631</v>
      </c>
      <c r="H15" s="0" t="n">
        <f aca="false">H13-MAX(0,H13)*H14/100</f>
        <v>786.139417871404</v>
      </c>
      <c r="I15" s="0" t="n">
        <f aca="false">I13-MAX(0,I13)*I14/100</f>
        <v>822.40287572637</v>
      </c>
      <c r="J15" s="0" t="n">
        <f aca="false">J13-MAX(0,J13)*J14/100</f>
        <v>858.258502834164</v>
      </c>
      <c r="K15" s="0" t="n">
        <f aca="false">K13-MAX(0,K13)*K14/100</f>
        <v>888.297550433359</v>
      </c>
      <c r="L15" s="0" t="n">
        <f aca="false">L13-MAX(0,L13)*L14/100</f>
        <v>914.94647694636</v>
      </c>
    </row>
    <row r="16" customFormat="false" ht="15" hidden="false" customHeight="false" outlineLevel="0" collapsed="false">
      <c r="A16" s="0" t="s">
        <v>115</v>
      </c>
      <c r="C16" s="0" t="n">
        <f aca="false">-C12</f>
        <v>140.339274</v>
      </c>
      <c r="D16" s="0" t="n">
        <f aca="false">-D12</f>
        <v>164.19695058</v>
      </c>
      <c r="E16" s="0" t="n">
        <f aca="false">-E12</f>
        <v>176.5117218735</v>
      </c>
      <c r="F16" s="0" t="n">
        <f aca="false">-F12</f>
        <v>182.20083044773</v>
      </c>
      <c r="G16" s="0" t="n">
        <f aca="false">-G12</f>
        <v>183.068453449863</v>
      </c>
      <c r="H16" s="0" t="n">
        <f aca="false">-H12</f>
        <v>185.81448025161</v>
      </c>
      <c r="I16" s="0" t="n">
        <f aca="false">-I12</f>
        <v>187.480403178004</v>
      </c>
      <c r="J16" s="0" t="n">
        <f aca="false">-J12</f>
        <v>191.497840388961</v>
      </c>
      <c r="K16" s="0" t="n">
        <f aca="false">-K12</f>
        <v>198.200264802575</v>
      </c>
      <c r="L16" s="0" t="n">
        <f aca="false">-L12</f>
        <v>204.146272746652</v>
      </c>
    </row>
    <row r="17" customFormat="false" ht="15" hidden="false" customHeight="false" outlineLevel="0" collapsed="false">
      <c r="A17" s="0" t="s">
        <v>116</v>
      </c>
      <c r="C17" s="4" t="n">
        <f aca="false">-C6*Assumptions!C32/100</f>
        <v>-397.627943</v>
      </c>
      <c r="D17" s="4" t="n">
        <f aca="false">-D6*Assumptions!D32/100</f>
        <v>-328.39390116</v>
      </c>
      <c r="E17" s="4" t="n">
        <f aca="false">-E6*Assumptions!E32/100</f>
        <v>-271.55649519</v>
      </c>
      <c r="F17" s="4" t="n">
        <f aca="false">-F6*Assumptions!F32/100</f>
        <v>-231.36613390188</v>
      </c>
      <c r="G17" s="4" t="n">
        <f aca="false">-G6*Assumptions!G32/100</f>
        <v>-213.579862358173</v>
      </c>
      <c r="H17" s="4" t="n">
        <f aca="false">-H6*Assumptions!H32/100</f>
        <v>-208.240365799219</v>
      </c>
      <c r="I17" s="4" t="n">
        <f aca="false">-I6*Assumptions!I32/100</f>
        <v>-200.871860547862</v>
      </c>
      <c r="J17" s="4" t="n">
        <f aca="false">-J6*Assumptions!J32/100</f>
        <v>-208.906734969776</v>
      </c>
      <c r="K17" s="4" t="n">
        <f aca="false">-K6*Assumptions!K32/100</f>
        <v>-216.218470693718</v>
      </c>
      <c r="L17" s="4" t="n">
        <f aca="false">-L6*Assumptions!L32/100</f>
        <v>-222.70502481453</v>
      </c>
    </row>
    <row r="18" customFormat="false" ht="15" hidden="false" customHeight="false" outlineLevel="0" collapsed="false">
      <c r="A18" s="0" t="s">
        <v>117</v>
      </c>
      <c r="C18" s="4" t="n">
        <f aca="false">(C6-B6)*Assumptions!$B$37/100</f>
        <v>-38.2544750000001</v>
      </c>
      <c r="D18" s="4" t="n">
        <f aca="false">(D6-C6)*Assumptions!$B$37/100</f>
        <v>-46.779758</v>
      </c>
      <c r="E18" s="4" t="n">
        <f aca="false">(E6-D6)*Assumptions!$B$37/100</f>
        <v>-47.3645049749999</v>
      </c>
      <c r="F18" s="4" t="n">
        <f aca="false">(F6-E6)*Assumptions!$B$37/100</f>
        <v>-44.127930468375</v>
      </c>
      <c r="G18" s="4" t="n">
        <f aca="false">(G6-F6)*Assumptions!$B$37/100</f>
        <v>-39.7660542643856</v>
      </c>
      <c r="H18" s="4" t="n">
        <f aca="false">(H6-G6)*Assumptions!$B$37/100</f>
        <v>-38.1392611353881</v>
      </c>
      <c r="I18" s="4" t="n">
        <f aca="false">(I6-H6)*Assumptions!$B$37/100</f>
        <v>-36.0416017729416</v>
      </c>
      <c r="J18" s="4" t="n">
        <f aca="false">(J6-I6)*Assumptions!$B$37/100</f>
        <v>-33.4786434246437</v>
      </c>
      <c r="K18" s="4" t="n">
        <f aca="false">(K6-J6)*Assumptions!$B$37/100</f>
        <v>-30.4655655164256</v>
      </c>
      <c r="L18" s="4" t="n">
        <f aca="false">(L6-K6)*Assumptions!$B$37/100</f>
        <v>-27.0273088367148</v>
      </c>
    </row>
    <row r="19" customFormat="false" ht="15" hidden="false" customHeight="false" outlineLevel="0" collapsed="false">
      <c r="A19" s="0" t="s">
        <v>118</v>
      </c>
      <c r="C19" s="0" t="n">
        <f aca="false">C15+C16+C17+C18</f>
        <v>262.024791602</v>
      </c>
      <c r="D19" s="0" t="n">
        <f aca="false">D15+D16+D17+D18</f>
        <v>391.19666187016</v>
      </c>
      <c r="E19" s="0" t="n">
        <f aca="false">E15+E16+E17+E18</f>
        <v>512.014719466881</v>
      </c>
      <c r="F19" s="0" t="n">
        <f aca="false">F15+F16+F17+F18</f>
        <v>610.920205949638</v>
      </c>
      <c r="G19" s="0" t="n">
        <f aca="false">G15+G16+G17+G18</f>
        <v>676.245178586935</v>
      </c>
      <c r="H19" s="0" t="n">
        <f aca="false">H15+H16+H17+H18</f>
        <v>725.574271188408</v>
      </c>
      <c r="I19" s="0" t="n">
        <f aca="false">I15+I16+I17+I18</f>
        <v>772.969816583571</v>
      </c>
      <c r="J19" s="0" t="n">
        <f aca="false">J15+J16+J17+J18</f>
        <v>807.370964828705</v>
      </c>
      <c r="K19" s="0" t="n">
        <f aca="false">K15+K16+K17+K18</f>
        <v>839.813779025791</v>
      </c>
      <c r="L19" s="0" t="n">
        <f aca="false">L15+L16+L17+L18</f>
        <v>869.360416041768</v>
      </c>
    </row>
    <row r="20" customFormat="false" ht="15" hidden="false" customHeight="false" outlineLevel="0" collapsed="false">
      <c r="A20" s="0" t="s">
        <v>119</v>
      </c>
      <c r="C20" s="0" t="n">
        <f aca="false">1/(1+$B$27/100)^C4</f>
        <v>0.91743119266055</v>
      </c>
      <c r="D20" s="0" t="n">
        <f aca="false">1/(1+$B$27/100)^D4</f>
        <v>0.84167999326656</v>
      </c>
      <c r="E20" s="0" t="n">
        <f aca="false">1/(1+$B$27/100)^E4</f>
        <v>0.772183480061064</v>
      </c>
      <c r="F20" s="0" t="n">
        <f aca="false">1/(1+$B$27/100)^F4</f>
        <v>0.708425211065196</v>
      </c>
      <c r="G20" s="0" t="n">
        <f aca="false">1/(1+$B$27/100)^G4</f>
        <v>0.649931386298345</v>
      </c>
      <c r="H20" s="0" t="n">
        <f aca="false">1/(1+$B$27/100)^H4</f>
        <v>0.596267326879216</v>
      </c>
      <c r="I20" s="0" t="n">
        <f aca="false">1/(1+$B$27/100)^I4</f>
        <v>0.547034244843317</v>
      </c>
      <c r="J20" s="0" t="n">
        <f aca="false">1/(1+$B$27/100)^J4</f>
        <v>0.501866279672768</v>
      </c>
      <c r="K20" s="0" t="n">
        <f aca="false">1/(1+$B$27/100)^K4</f>
        <v>0.460427779516301</v>
      </c>
      <c r="L20" s="0" t="n">
        <f aca="false">1/(1+$B$27/100)^L4</f>
        <v>0.422410806895689</v>
      </c>
    </row>
    <row r="21" customFormat="false" ht="15" hidden="false" customHeight="false" outlineLevel="0" collapsed="false">
      <c r="A21" s="0" t="s">
        <v>120</v>
      </c>
      <c r="C21" s="0" t="n">
        <f aca="false">C19*C20</f>
        <v>240.389717066055</v>
      </c>
      <c r="D21" s="0" t="n">
        <f aca="false">D19*D20</f>
        <v>329.262403728777</v>
      </c>
      <c r="E21" s="0" t="n">
        <f aca="false">E19*E20</f>
        <v>395.369307920426</v>
      </c>
      <c r="F21" s="0" t="n">
        <f aca="false">F19*F20</f>
        <v>432.791275843866</v>
      </c>
      <c r="G21" s="0" t="n">
        <f aca="false">G19*G20</f>
        <v>439.512966396579</v>
      </c>
      <c r="H21" s="0" t="n">
        <f aca="false">H19*H20</f>
        <v>432.636231133847</v>
      </c>
      <c r="I21" s="0" t="n">
        <f aca="false">I19*I20</f>
        <v>422.840959901471</v>
      </c>
      <c r="J21" s="0" t="n">
        <f aca="false">J19*J20</f>
        <v>405.192262434395</v>
      </c>
      <c r="K21" s="0" t="n">
        <f aca="false">K19*K20</f>
        <v>386.673593484038</v>
      </c>
      <c r="L21" s="0" t="n">
        <f aca="false">L19*L20</f>
        <v>367.227234823375</v>
      </c>
    </row>
    <row r="23" customFormat="false" ht="15" hidden="false" customHeight="false" outlineLevel="0" collapsed="false">
      <c r="A23" s="0" t="s">
        <v>96</v>
      </c>
      <c r="C23" s="4" t="n">
        <f aca="false">Assumptions!C30</f>
        <v>0</v>
      </c>
      <c r="D23" s="4" t="n">
        <f aca="false">Assumptions!D30</f>
        <v>0</v>
      </c>
      <c r="E23" s="4" t="n">
        <f aca="false">Assumptions!E30</f>
        <v>0</v>
      </c>
      <c r="F23" s="4" t="n">
        <f aca="false">Assumptions!F30</f>
        <v>0</v>
      </c>
      <c r="G23" s="4" t="n">
        <f aca="false">Assumptions!G30</f>
        <v>0</v>
      </c>
      <c r="H23" s="4" t="n">
        <f aca="false">Assumptions!H30</f>
        <v>0</v>
      </c>
      <c r="I23" s="4" t="n">
        <f aca="false">Assumptions!I30</f>
        <v>0</v>
      </c>
      <c r="J23" s="4" t="n">
        <f aca="false">Assumptions!J30</f>
        <v>0</v>
      </c>
      <c r="K23" s="4" t="n">
        <f aca="false">Assumptions!K30</f>
        <v>0</v>
      </c>
      <c r="L23" s="4" t="n">
        <f aca="false">Assumptions!L30</f>
        <v>0</v>
      </c>
    </row>
    <row r="24" customFormat="false" ht="15" hidden="false" customHeight="false" outlineLevel="0" collapsed="false">
      <c r="A24" s="0" t="s">
        <v>121</v>
      </c>
      <c r="C24" s="0" t="n">
        <f aca="false">-C6*C23/100</f>
        <v>-0</v>
      </c>
      <c r="D24" s="0" t="n">
        <f aca="false">-D6*D23/100</f>
        <v>-0</v>
      </c>
      <c r="E24" s="0" t="n">
        <f aca="false">-E6*E23/100</f>
        <v>-0</v>
      </c>
      <c r="F24" s="0" t="n">
        <f aca="false">-F6*F23/100</f>
        <v>-0</v>
      </c>
      <c r="G24" s="0" t="n">
        <f aca="false">-G6*G23/100</f>
        <v>-0</v>
      </c>
      <c r="H24" s="0" t="n">
        <f aca="false">-H6*H23/100</f>
        <v>-0</v>
      </c>
      <c r="I24" s="0" t="n">
        <f aca="false">-I6*I23/100</f>
        <v>-0</v>
      </c>
      <c r="J24" s="0" t="n">
        <f aca="false">-J6*J23/100</f>
        <v>-0</v>
      </c>
      <c r="K24" s="0" t="n">
        <f aca="false">-K6*K23/100</f>
        <v>-0</v>
      </c>
      <c r="L24" s="0" t="n">
        <f aca="false">-L6*L23/100</f>
        <v>-0</v>
      </c>
    </row>
    <row r="26" customFormat="false" ht="15" hidden="false" customHeight="false" outlineLevel="0" collapsed="false">
      <c r="A26" s="2" t="s">
        <v>122</v>
      </c>
    </row>
    <row r="27" customFormat="false" ht="15" hidden="false" customHeight="false" outlineLevel="0" collapsed="false">
      <c r="A27" s="0" t="s">
        <v>100</v>
      </c>
      <c r="B27" s="4" t="n">
        <f aca="false">Assumptions!$B$34</f>
        <v>9</v>
      </c>
    </row>
    <row r="28" customFormat="false" ht="15" hidden="false" customHeight="false" outlineLevel="0" collapsed="false">
      <c r="A28" s="0" t="s">
        <v>101</v>
      </c>
      <c r="B28" s="4" t="n">
        <f aca="false">Assumptions!$B$35</f>
        <v>2.5</v>
      </c>
    </row>
    <row r="29" customFormat="false" ht="15" hidden="false" customHeight="false" outlineLevel="0" collapsed="false">
      <c r="A29" s="0" t="s">
        <v>102</v>
      </c>
      <c r="B29" s="4" t="n">
        <f aca="false">Assumptions!$B$36</f>
        <v>15</v>
      </c>
    </row>
    <row r="30" customFormat="false" ht="15" hidden="false" customHeight="false" outlineLevel="0" collapsed="false">
      <c r="A30" s="0" t="s">
        <v>123</v>
      </c>
      <c r="B30" s="0" t="n">
        <f aca="false">SUM(C21:L21)</f>
        <v>3851.89595273283</v>
      </c>
    </row>
    <row r="31" customFormat="false" ht="15" hidden="false" customHeight="false" outlineLevel="0" collapsed="false">
      <c r="A31" s="0" t="s">
        <v>124</v>
      </c>
      <c r="B31" s="0" t="n">
        <f aca="false">L19</f>
        <v>869.360416041768</v>
      </c>
    </row>
    <row r="32" customFormat="false" ht="15" hidden="false" customHeight="false" outlineLevel="0" collapsed="false">
      <c r="A32" s="0" t="s">
        <v>125</v>
      </c>
      <c r="B32" s="0" t="n">
        <f aca="false">IF(B27&gt;B28,B31*(1+B28/100)/((B27-B28)/100),B31*B29)</f>
        <v>13709.1450221971</v>
      </c>
    </row>
    <row r="33" customFormat="false" ht="15" hidden="false" customHeight="false" outlineLevel="0" collapsed="false">
      <c r="A33" s="0" t="s">
        <v>126</v>
      </c>
      <c r="B33" s="0" t="n">
        <f aca="false">B31*B29</f>
        <v>13040.4062406265</v>
      </c>
    </row>
    <row r="34" customFormat="false" ht="15" hidden="false" customHeight="false" outlineLevel="0" collapsed="false">
      <c r="A34" s="0" t="s">
        <v>127</v>
      </c>
      <c r="B34" s="0" t="n">
        <f aca="false">MAX(0,MIN(B32,B33))</f>
        <v>13040.4062406265</v>
      </c>
    </row>
    <row r="35" customFormat="false" ht="15" hidden="false" customHeight="false" outlineLevel="0" collapsed="false">
      <c r="A35" s="0" t="s">
        <v>128</v>
      </c>
      <c r="B35" s="0" t="n">
        <f aca="false">B34/(1+B27/100)^L4</f>
        <v>5508.40852235062</v>
      </c>
    </row>
    <row r="36" customFormat="false" ht="15" hidden="false" customHeight="false" outlineLevel="0" collapsed="false">
      <c r="A36" s="0" t="s">
        <v>129</v>
      </c>
      <c r="B36" s="0" t="n">
        <f aca="false">B30+B35</f>
        <v>9360.30447508345</v>
      </c>
    </row>
    <row r="37" customFormat="false" ht="15" hidden="false" customHeight="false" outlineLevel="0" collapsed="false">
      <c r="A37" s="0" t="s">
        <v>130</v>
      </c>
      <c r="B37" s="0" t="n">
        <f aca="false">B36+Assumptions!$B$5-Assumptions!$B$4</f>
        <v>11158.3044750835</v>
      </c>
    </row>
    <row r="38" customFormat="false" ht="15" hidden="false" customHeight="false" outlineLevel="0" collapsed="false">
      <c r="A38" s="0" t="s">
        <v>131</v>
      </c>
      <c r="B38" s="0" t="n">
        <f aca="false">B37/Assumptions!$B$3*Assumptions!$B$10</f>
        <v>26.2548340590199</v>
      </c>
    </row>
    <row r="39" customFormat="false" ht="15" hidden="false" customHeight="false" outlineLevel="0" collapsed="false">
      <c r="A39" s="0" t="s">
        <v>132</v>
      </c>
      <c r="B39" s="4" t="n">
        <f aca="false">B38/Assumptions!$B$2-1</f>
        <v>-0.253275481825373</v>
      </c>
    </row>
    <row r="41" customFormat="false" ht="15" hidden="false" customHeight="false" outlineLevel="0" collapsed="false">
      <c r="A41" s="0" t="s">
        <v>133</v>
      </c>
      <c r="B41" s="0" t="n">
        <f aca="false">SUMPRODUCT(-C10:L10/(1+$B$27/100)^C4:L4)</f>
        <v>103.969599882394</v>
      </c>
    </row>
    <row r="42" customFormat="false" ht="15" hidden="false" customHeight="false" outlineLevel="0" collapsed="false">
      <c r="A42" s="0" t="s">
        <v>134</v>
      </c>
      <c r="B42" s="0" t="n">
        <f aca="false">IF(B27&gt;B28,-L10*(1+B28/100)/((B27-B28)/100),-L10*20)/(1+B27/100)^L4</f>
        <v>123.621582644129</v>
      </c>
    </row>
    <row r="43" customFormat="false" ht="15" hidden="false" customHeight="false" outlineLevel="0" collapsed="false">
      <c r="A43" s="0" t="s">
        <v>135</v>
      </c>
      <c r="B43" s="0" t="n">
        <f aca="false">(B37+B41+B42)/Assumptions!$B$3*Assumptions!$B$10</f>
        <v>26.7903427237882</v>
      </c>
    </row>
    <row r="45" customFormat="false" ht="15" hidden="false" customHeight="false" outlineLevel="0" collapsed="false">
      <c r="A45" s="0" t="s">
        <v>76</v>
      </c>
      <c r="B45" s="4" t="n">
        <f aca="false">Assumptions!$B$6</f>
        <v>15</v>
      </c>
    </row>
    <row r="46" customFormat="false" ht="15" hidden="false" customHeight="false" outlineLevel="0" collapsed="false">
      <c r="A46" s="0" t="s">
        <v>136</v>
      </c>
      <c r="B46" s="0" t="n">
        <f aca="false">MAX(0,MIN(IF(B45&gt;B28,B31*(1+B28/100)/((B45-B28)/100),B31*B29),B31*B29))</f>
        <v>7128.75541154249</v>
      </c>
    </row>
    <row r="47" customFormat="false" ht="15" hidden="false" customHeight="false" outlineLevel="0" collapsed="false">
      <c r="A47" s="0" t="s">
        <v>137</v>
      </c>
      <c r="B47" s="0" t="n">
        <f aca="false">(SUMPRODUCT(C19:L19/(1+B45/100)^C4:L4)+B46/(1+B45/100)^L4+Assumptions!$B$5-Assumptions!$B$4)/Assumptions!$B$3*Assumptions!$B$10</f>
        <v>15.1241403763204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4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52"/>
  </cols>
  <sheetData>
    <row r="1" customFormat="false" ht="15" hidden="false" customHeight="false" outlineLevel="0" collapsed="false">
      <c r="A1" s="2" t="s">
        <v>139</v>
      </c>
    </row>
    <row r="3" customFormat="false" ht="15" hidden="false" customHeight="false" outlineLevel="0" collapsed="false">
      <c r="A3" s="0" t="s">
        <v>108</v>
      </c>
      <c r="B3" s="0" t="s">
        <v>69</v>
      </c>
      <c r="C3" s="2" t="s">
        <v>83</v>
      </c>
      <c r="D3" s="2" t="s">
        <v>84</v>
      </c>
      <c r="E3" s="2" t="s">
        <v>85</v>
      </c>
      <c r="F3" s="2" t="s">
        <v>86</v>
      </c>
      <c r="G3" s="2" t="s">
        <v>87</v>
      </c>
      <c r="H3" s="2" t="s">
        <v>88</v>
      </c>
      <c r="I3" s="2" t="s">
        <v>89</v>
      </c>
      <c r="J3" s="2" t="s">
        <v>90</v>
      </c>
      <c r="K3" s="2" t="s">
        <v>91</v>
      </c>
      <c r="L3" s="2" t="s">
        <v>92</v>
      </c>
    </row>
    <row r="4" customFormat="false" ht="15" hidden="false" customHeight="false" outlineLevel="0" collapsed="false">
      <c r="A4" s="0" t="s">
        <v>109</v>
      </c>
      <c r="B4" s="0" t="n">
        <v>0</v>
      </c>
      <c r="C4" s="0" t="n">
        <f aca="false">B4+1</f>
        <v>1</v>
      </c>
      <c r="D4" s="0" t="n">
        <f aca="false">C4+1</f>
        <v>2</v>
      </c>
      <c r="E4" s="0" t="n">
        <f aca="false">D4+1</f>
        <v>3</v>
      </c>
      <c r="F4" s="0" t="n">
        <f aca="false">E4+1</f>
        <v>4</v>
      </c>
      <c r="G4" s="0" t="n">
        <f aca="false">F4+1</f>
        <v>5</v>
      </c>
      <c r="H4" s="0" t="n">
        <f aca="false">G4+1</f>
        <v>6</v>
      </c>
      <c r="I4" s="0" t="n">
        <f aca="false">H4+1</f>
        <v>7</v>
      </c>
      <c r="J4" s="0" t="n">
        <f aca="false">I4+1</f>
        <v>8</v>
      </c>
      <c r="K4" s="0" t="n">
        <f aca="false">J4+1</f>
        <v>9</v>
      </c>
      <c r="L4" s="0" t="n">
        <f aca="false">K4+1</f>
        <v>10</v>
      </c>
    </row>
    <row r="5" customFormat="false" ht="15" hidden="false" customHeight="false" outlineLevel="0" collapsed="false">
      <c r="A5" s="0" t="s">
        <v>93</v>
      </c>
      <c r="C5" s="4" t="n">
        <f aca="false">Assumptions!C41</f>
        <v>9</v>
      </c>
      <c r="D5" s="4" t="n">
        <f aca="false">Assumptions!D41</f>
        <v>14</v>
      </c>
      <c r="E5" s="4" t="n">
        <f aca="false">Assumptions!E41</f>
        <v>13</v>
      </c>
      <c r="F5" s="4" t="n">
        <f aca="false">Assumptions!F41</f>
        <v>11</v>
      </c>
      <c r="G5" s="4" t="n">
        <f aca="false">Assumptions!G41</f>
        <v>9</v>
      </c>
      <c r="H5" s="4" t="n">
        <f aca="false">Assumptions!H41</f>
        <v>7.5</v>
      </c>
      <c r="I5" s="4" t="n">
        <f aca="false">Assumptions!I41</f>
        <v>6</v>
      </c>
      <c r="J5" s="4" t="n">
        <f aca="false">Assumptions!J41</f>
        <v>5</v>
      </c>
      <c r="K5" s="4" t="n">
        <f aca="false">Assumptions!K41</f>
        <v>4</v>
      </c>
      <c r="L5" s="4" t="n">
        <f aca="false">Assumptions!L41</f>
        <v>3.5</v>
      </c>
    </row>
    <row r="6" customFormat="false" ht="15" hidden="false" customHeight="false" outlineLevel="0" collapsed="false">
      <c r="A6" s="0" t="s">
        <v>38</v>
      </c>
      <c r="B6" s="3" t="n">
        <v>2185.97</v>
      </c>
      <c r="C6" s="0" t="n">
        <f aca="false">B6*(1+C5/100)</f>
        <v>2382.7073</v>
      </c>
      <c r="D6" s="0" t="n">
        <f aca="false">C6*(1+D5/100)</f>
        <v>2716.286322</v>
      </c>
      <c r="E6" s="0" t="n">
        <f aca="false">D6*(1+E5/100)</f>
        <v>3069.40354386</v>
      </c>
      <c r="F6" s="0" t="n">
        <f aca="false">E6*(1+F5/100)</f>
        <v>3407.0379336846</v>
      </c>
      <c r="G6" s="0" t="n">
        <f aca="false">F6*(1+G5/100)</f>
        <v>3713.67134771622</v>
      </c>
      <c r="H6" s="0" t="n">
        <f aca="false">G6*(1+H5/100)</f>
        <v>3992.19669879493</v>
      </c>
      <c r="I6" s="0" t="n">
        <f aca="false">H6*(1+I5/100)</f>
        <v>4231.72850072263</v>
      </c>
      <c r="J6" s="0" t="n">
        <f aca="false">I6*(1+J5/100)</f>
        <v>4443.31492575876</v>
      </c>
      <c r="K6" s="0" t="n">
        <f aca="false">J6*(1+K5/100)</f>
        <v>4621.04752278911</v>
      </c>
      <c r="L6" s="0" t="n">
        <f aca="false">K6*(1+L5/100)</f>
        <v>4782.78418608673</v>
      </c>
    </row>
    <row r="7" customFormat="false" ht="15" hidden="false" customHeight="false" outlineLevel="0" collapsed="false">
      <c r="A7" s="0" t="s">
        <v>94</v>
      </c>
      <c r="C7" s="4" t="n">
        <f aca="false">Assumptions!C42</f>
        <v>34.5</v>
      </c>
      <c r="D7" s="4" t="n">
        <f aca="false">Assumptions!D42</f>
        <v>35.5</v>
      </c>
      <c r="E7" s="4" t="n">
        <f aca="false">Assumptions!E42</f>
        <v>36.5</v>
      </c>
      <c r="F7" s="4" t="n">
        <f aca="false">Assumptions!F42</f>
        <v>37</v>
      </c>
      <c r="G7" s="4" t="n">
        <f aca="false">Assumptions!G42</f>
        <v>37.5</v>
      </c>
      <c r="H7" s="4" t="n">
        <f aca="false">Assumptions!H42</f>
        <v>37.5</v>
      </c>
      <c r="I7" s="4" t="n">
        <f aca="false">Assumptions!I42</f>
        <v>37.5</v>
      </c>
      <c r="J7" s="4" t="n">
        <f aca="false">Assumptions!J42</f>
        <v>37.5</v>
      </c>
      <c r="K7" s="4" t="n">
        <f aca="false">Assumptions!K42</f>
        <v>37.5</v>
      </c>
      <c r="L7" s="4" t="n">
        <f aca="false">Assumptions!L42</f>
        <v>37.5</v>
      </c>
    </row>
    <row r="8" customFormat="false" ht="15" hidden="false" customHeight="false" outlineLevel="0" collapsed="false">
      <c r="A8" s="0" t="s">
        <v>44</v>
      </c>
      <c r="C8" s="0" t="n">
        <f aca="false">C6*C7/100</f>
        <v>822.0340185</v>
      </c>
      <c r="D8" s="0" t="n">
        <f aca="false">D6*D7/100</f>
        <v>964.28164431</v>
      </c>
      <c r="E8" s="0" t="n">
        <f aca="false">E6*E7/100</f>
        <v>1120.3322935089</v>
      </c>
      <c r="F8" s="0" t="n">
        <f aca="false">F6*F7/100</f>
        <v>1260.6040354633</v>
      </c>
      <c r="G8" s="0" t="n">
        <f aca="false">G6*G7/100</f>
        <v>1392.62675539358</v>
      </c>
      <c r="H8" s="0" t="n">
        <f aca="false">H6*H7/100</f>
        <v>1497.0737620481</v>
      </c>
      <c r="I8" s="0" t="n">
        <f aca="false">I6*I7/100</f>
        <v>1586.89818777099</v>
      </c>
      <c r="J8" s="0" t="n">
        <f aca="false">J6*J7/100</f>
        <v>1666.24309715953</v>
      </c>
      <c r="K8" s="0" t="n">
        <f aca="false">K6*K7/100</f>
        <v>1732.89282104592</v>
      </c>
      <c r="L8" s="0" t="n">
        <f aca="false">L6*L7/100</f>
        <v>1793.54406978252</v>
      </c>
    </row>
    <row r="9" customFormat="false" ht="15" hidden="false" customHeight="false" outlineLevel="0" collapsed="false">
      <c r="A9" s="0" t="s">
        <v>95</v>
      </c>
      <c r="C9" s="4" t="n">
        <f aca="false">Assumptions!C43</f>
        <v>0.6</v>
      </c>
      <c r="D9" s="4" t="n">
        <f aca="false">Assumptions!D43</f>
        <v>0.6</v>
      </c>
      <c r="E9" s="4" t="n">
        <f aca="false">Assumptions!E43</f>
        <v>0.6</v>
      </c>
      <c r="F9" s="4" t="n">
        <f aca="false">Assumptions!F43</f>
        <v>0.55</v>
      </c>
      <c r="G9" s="4" t="n">
        <f aca="false">Assumptions!G43</f>
        <v>0.55</v>
      </c>
      <c r="H9" s="4" t="n">
        <f aca="false">Assumptions!H43</f>
        <v>0.5</v>
      </c>
      <c r="I9" s="4" t="n">
        <f aca="false">Assumptions!I43</f>
        <v>0.5</v>
      </c>
      <c r="J9" s="4" t="n">
        <f aca="false">Assumptions!J43</f>
        <v>0.5</v>
      </c>
      <c r="K9" s="4" t="n">
        <f aca="false">Assumptions!K43</f>
        <v>0.5</v>
      </c>
      <c r="L9" s="4" t="n">
        <f aca="false">Assumptions!L43</f>
        <v>0.5</v>
      </c>
    </row>
    <row r="10" customFormat="false" ht="15" hidden="false" customHeight="false" outlineLevel="0" collapsed="false">
      <c r="A10" s="0" t="s">
        <v>110</v>
      </c>
      <c r="C10" s="0" t="n">
        <f aca="false">-C6*C9/100</f>
        <v>-14.2962438</v>
      </c>
      <c r="D10" s="0" t="n">
        <f aca="false">-D6*D9/100</f>
        <v>-16.297717932</v>
      </c>
      <c r="E10" s="0" t="n">
        <f aca="false">-E6*E9/100</f>
        <v>-18.41642126316</v>
      </c>
      <c r="F10" s="0" t="n">
        <f aca="false">-F6*F9/100</f>
        <v>-18.7387086352653</v>
      </c>
      <c r="G10" s="0" t="n">
        <f aca="false">-G6*G9/100</f>
        <v>-20.4251924124392</v>
      </c>
      <c r="H10" s="0" t="n">
        <f aca="false">-H6*H9/100</f>
        <v>-19.9609834939747</v>
      </c>
      <c r="I10" s="0" t="n">
        <f aca="false">-I6*I9/100</f>
        <v>-21.1586425036131</v>
      </c>
      <c r="J10" s="0" t="n">
        <f aca="false">-J6*J9/100</f>
        <v>-22.2165746287938</v>
      </c>
      <c r="K10" s="0" t="n">
        <f aca="false">-K6*K9/100</f>
        <v>-23.1052376139456</v>
      </c>
      <c r="L10" s="0" t="n">
        <f aca="false">-L6*L9/100</f>
        <v>-23.9139209304336</v>
      </c>
    </row>
    <row r="11" customFormat="false" ht="15" hidden="false" customHeight="false" outlineLevel="0" collapsed="false">
      <c r="A11" s="0" t="s">
        <v>111</v>
      </c>
      <c r="C11" s="0" t="n">
        <f aca="false">C8+C10+C24</f>
        <v>807.7377747</v>
      </c>
      <c r="D11" s="0" t="n">
        <f aca="false">D8+D10+D24</f>
        <v>947.983926378</v>
      </c>
      <c r="E11" s="0" t="n">
        <f aca="false">E8+E10+E24</f>
        <v>1101.91587224574</v>
      </c>
      <c r="F11" s="0" t="n">
        <f aca="false">F8+F10+F24</f>
        <v>1241.86532682804</v>
      </c>
      <c r="G11" s="0" t="n">
        <f aca="false">G8+G10+G24</f>
        <v>1372.20156298114</v>
      </c>
      <c r="H11" s="0" t="n">
        <f aca="false">H8+H10+H24</f>
        <v>1477.11277855412</v>
      </c>
      <c r="I11" s="0" t="n">
        <f aca="false">I8+I10+I24</f>
        <v>1565.73954526737</v>
      </c>
      <c r="J11" s="0" t="n">
        <f aca="false">J8+J10+J24</f>
        <v>1644.02652253074</v>
      </c>
      <c r="K11" s="0" t="n">
        <f aca="false">K8+K10+K24</f>
        <v>1709.78758343197</v>
      </c>
      <c r="L11" s="0" t="n">
        <f aca="false">L8+L10+L24</f>
        <v>1769.63014885209</v>
      </c>
    </row>
    <row r="12" customFormat="false" ht="15" hidden="false" customHeight="false" outlineLevel="0" collapsed="false">
      <c r="A12" s="0" t="s">
        <v>112</v>
      </c>
      <c r="C12" s="4" t="n">
        <f aca="false">-C6*Assumptions!C45/100</f>
        <v>-142.962438</v>
      </c>
      <c r="D12" s="4" t="n">
        <f aca="false">-D6*Assumptions!D45/100</f>
        <v>-176.55861093</v>
      </c>
      <c r="E12" s="4" t="n">
        <f aca="false">-E6*Assumptions!E45/100</f>
        <v>-208.71944098248</v>
      </c>
      <c r="F12" s="4" t="n">
        <f aca="false">-F6*Assumptions!F45/100</f>
        <v>-231.678579490553</v>
      </c>
      <c r="G12" s="4" t="n">
        <f aca="false">-G6*Assumptions!G45/100</f>
        <v>-241.388637601554</v>
      </c>
      <c r="H12" s="4" t="n">
        <f aca="false">-H6*Assumptions!H45/100</f>
        <v>-247.516195325286</v>
      </c>
      <c r="I12" s="4" t="n">
        <f aca="false">-I6*Assumptions!I45/100</f>
        <v>-253.903710043358</v>
      </c>
      <c r="J12" s="4" t="n">
        <f aca="false">-J6*Assumptions!J45/100</f>
        <v>-257.712265694008</v>
      </c>
      <c r="K12" s="4" t="n">
        <f aca="false">-K6*Assumptions!K45/100</f>
        <v>-268.020756321768</v>
      </c>
      <c r="L12" s="4" t="n">
        <f aca="false">-L6*Assumptions!L45/100</f>
        <v>-277.40148279303</v>
      </c>
    </row>
    <row r="13" customFormat="false" ht="15" hidden="false" customHeight="false" outlineLevel="0" collapsed="false">
      <c r="A13" s="0" t="s">
        <v>113</v>
      </c>
      <c r="C13" s="0" t="n">
        <f aca="false">C11+C12</f>
        <v>664.7753367</v>
      </c>
      <c r="D13" s="0" t="n">
        <f aca="false">D11+D12</f>
        <v>771.425315448</v>
      </c>
      <c r="E13" s="0" t="n">
        <f aca="false">E11+E12</f>
        <v>893.19643126326</v>
      </c>
      <c r="F13" s="0" t="n">
        <f aca="false">F11+F12</f>
        <v>1010.18674733748</v>
      </c>
      <c r="G13" s="0" t="n">
        <f aca="false">G11+G12</f>
        <v>1130.81292537959</v>
      </c>
      <c r="H13" s="0" t="n">
        <f aca="false">H11+H12</f>
        <v>1229.59658322884</v>
      </c>
      <c r="I13" s="0" t="n">
        <f aca="false">I11+I12</f>
        <v>1311.83583522401</v>
      </c>
      <c r="J13" s="0" t="n">
        <f aca="false">J11+J12</f>
        <v>1386.31425683673</v>
      </c>
      <c r="K13" s="0" t="n">
        <f aca="false">K11+K12</f>
        <v>1441.7668271102</v>
      </c>
      <c r="L13" s="0" t="n">
        <f aca="false">L11+L12</f>
        <v>1492.22866605906</v>
      </c>
    </row>
    <row r="14" customFormat="false" ht="15" hidden="false" customHeight="false" outlineLevel="0" collapsed="false">
      <c r="A14" s="0" t="s">
        <v>99</v>
      </c>
      <c r="C14" s="4" t="n">
        <f aca="false">Assumptions!C47</f>
        <v>12.5</v>
      </c>
      <c r="D14" s="4" t="n">
        <f aca="false">Assumptions!D47</f>
        <v>12.5</v>
      </c>
      <c r="E14" s="4" t="n">
        <f aca="false">Assumptions!E47</f>
        <v>12.5</v>
      </c>
      <c r="F14" s="4" t="n">
        <f aca="false">Assumptions!F47</f>
        <v>13</v>
      </c>
      <c r="G14" s="4" t="n">
        <f aca="false">Assumptions!G47</f>
        <v>13.5</v>
      </c>
      <c r="H14" s="4" t="n">
        <f aca="false">Assumptions!H47</f>
        <v>14</v>
      </c>
      <c r="I14" s="4" t="n">
        <f aca="false">Assumptions!I47</f>
        <v>14.5</v>
      </c>
      <c r="J14" s="4" t="n">
        <f aca="false">Assumptions!J47</f>
        <v>14.5</v>
      </c>
      <c r="K14" s="4" t="n">
        <f aca="false">Assumptions!K47</f>
        <v>14.5</v>
      </c>
      <c r="L14" s="4" t="n">
        <f aca="false">Assumptions!L47</f>
        <v>14.5</v>
      </c>
    </row>
    <row r="15" customFormat="false" ht="15" hidden="false" customHeight="false" outlineLevel="0" collapsed="false">
      <c r="A15" s="0" t="s">
        <v>114</v>
      </c>
      <c r="C15" s="0" t="n">
        <f aca="false">C13-MAX(0,C13)*C14/100</f>
        <v>581.6784196125</v>
      </c>
      <c r="D15" s="0" t="n">
        <f aca="false">D13-MAX(0,D13)*D14/100</f>
        <v>674.997151017</v>
      </c>
      <c r="E15" s="0" t="n">
        <f aca="false">E13-MAX(0,E13)*E14/100</f>
        <v>781.546877355353</v>
      </c>
      <c r="F15" s="0" t="n">
        <f aca="false">F13-MAX(0,F13)*F14/100</f>
        <v>878.862470183611</v>
      </c>
      <c r="G15" s="0" t="n">
        <f aca="false">G13-MAX(0,G13)*G14/100</f>
        <v>978.153180453344</v>
      </c>
      <c r="H15" s="0" t="n">
        <f aca="false">H13-MAX(0,H13)*H14/100</f>
        <v>1057.4530615768</v>
      </c>
      <c r="I15" s="0" t="n">
        <f aca="false">I13-MAX(0,I13)*I14/100</f>
        <v>1121.61963911653</v>
      </c>
      <c r="J15" s="0" t="n">
        <f aca="false">J13-MAX(0,J13)*J14/100</f>
        <v>1185.29868959541</v>
      </c>
      <c r="K15" s="0" t="n">
        <f aca="false">K13-MAX(0,K13)*K14/100</f>
        <v>1232.71063717922</v>
      </c>
      <c r="L15" s="0" t="n">
        <f aca="false">L13-MAX(0,L13)*L14/100</f>
        <v>1275.8555094805</v>
      </c>
    </row>
    <row r="16" customFormat="false" ht="15" hidden="false" customHeight="false" outlineLevel="0" collapsed="false">
      <c r="A16" s="0" t="s">
        <v>115</v>
      </c>
      <c r="C16" s="0" t="n">
        <f aca="false">-C12</f>
        <v>142.962438</v>
      </c>
      <c r="D16" s="0" t="n">
        <f aca="false">-D12</f>
        <v>176.55861093</v>
      </c>
      <c r="E16" s="0" t="n">
        <f aca="false">-E12</f>
        <v>208.71944098248</v>
      </c>
      <c r="F16" s="0" t="n">
        <f aca="false">-F12</f>
        <v>231.678579490553</v>
      </c>
      <c r="G16" s="0" t="n">
        <f aca="false">-G12</f>
        <v>241.388637601554</v>
      </c>
      <c r="H16" s="0" t="n">
        <f aca="false">-H12</f>
        <v>247.516195325286</v>
      </c>
      <c r="I16" s="0" t="n">
        <f aca="false">-I12</f>
        <v>253.903710043358</v>
      </c>
      <c r="J16" s="0" t="n">
        <f aca="false">-J12</f>
        <v>257.712265694008</v>
      </c>
      <c r="K16" s="0" t="n">
        <f aca="false">-K12</f>
        <v>268.020756321768</v>
      </c>
      <c r="L16" s="0" t="n">
        <f aca="false">-L12</f>
        <v>277.40148279303</v>
      </c>
    </row>
    <row r="17" customFormat="false" ht="15" hidden="false" customHeight="false" outlineLevel="0" collapsed="false">
      <c r="A17" s="0" t="s">
        <v>116</v>
      </c>
      <c r="C17" s="4" t="n">
        <f aca="false">-C6*Assumptions!C46/100</f>
        <v>-428.887314</v>
      </c>
      <c r="D17" s="4" t="n">
        <f aca="false">-D6*Assumptions!D46/100</f>
        <v>-407.4429483</v>
      </c>
      <c r="E17" s="4" t="n">
        <f aca="false">-E6*Assumptions!E46/100</f>
        <v>-368.3284252632</v>
      </c>
      <c r="F17" s="4" t="n">
        <f aca="false">-F6*Assumptions!F46/100</f>
        <v>-340.70379336846</v>
      </c>
      <c r="G17" s="4" t="n">
        <f aca="false">-G6*Assumptions!G46/100</f>
        <v>-297.093707817297</v>
      </c>
      <c r="H17" s="4" t="n">
        <f aca="false">-H6*Assumptions!H46/100</f>
        <v>-279.453768915645</v>
      </c>
      <c r="I17" s="4" t="n">
        <f aca="false">-I6*Assumptions!I46/100</f>
        <v>-275.062352546971</v>
      </c>
      <c r="J17" s="4" t="n">
        <f aca="false">-J6*Assumptions!J46/100</f>
        <v>-288.815470174319</v>
      </c>
      <c r="K17" s="4" t="n">
        <f aca="false">-K6*Assumptions!K46/100</f>
        <v>-300.368088981292</v>
      </c>
      <c r="L17" s="4" t="n">
        <f aca="false">-L6*Assumptions!L46/100</f>
        <v>-310.880972095637</v>
      </c>
    </row>
    <row r="18" customFormat="false" ht="15" hidden="false" customHeight="false" outlineLevel="0" collapsed="false">
      <c r="A18" s="0" t="s">
        <v>117</v>
      </c>
      <c r="C18" s="4" t="n">
        <f aca="false">(C6-B6)*Assumptions!$B$51/100</f>
        <v>-49.1843250000001</v>
      </c>
      <c r="D18" s="4" t="n">
        <f aca="false">(D6-C6)*Assumptions!$B$51/100</f>
        <v>-83.3947555000001</v>
      </c>
      <c r="E18" s="4" t="n">
        <f aca="false">(E6-D6)*Assumptions!$B$51/100</f>
        <v>-88.279305465</v>
      </c>
      <c r="F18" s="4" t="n">
        <f aca="false">(F6-E6)*Assumptions!$B$51/100</f>
        <v>-84.4085974561501</v>
      </c>
      <c r="G18" s="4" t="n">
        <f aca="false">(G6-F6)*Assumptions!$B$51/100</f>
        <v>-76.6583535079036</v>
      </c>
      <c r="H18" s="4" t="n">
        <f aca="false">(H6-G6)*Assumptions!$B$51/100</f>
        <v>-69.631337769679</v>
      </c>
      <c r="I18" s="4" t="n">
        <f aca="false">(I6-H6)*Assumptions!$B$51/100</f>
        <v>-59.882950481924</v>
      </c>
      <c r="J18" s="4" t="n">
        <f aca="false">(J6-I6)*Assumptions!$B$51/100</f>
        <v>-52.896606259033</v>
      </c>
      <c r="K18" s="4" t="n">
        <f aca="false">(K6-J6)*Assumptions!$B$51/100</f>
        <v>-44.4331492575877</v>
      </c>
      <c r="L18" s="4" t="n">
        <f aca="false">(L6-K6)*Assumptions!$B$51/100</f>
        <v>-40.4341658244045</v>
      </c>
    </row>
    <row r="19" customFormat="false" ht="15" hidden="false" customHeight="false" outlineLevel="0" collapsed="false">
      <c r="A19" s="0" t="s">
        <v>118</v>
      </c>
      <c r="C19" s="0" t="n">
        <f aca="false">C15+C16+C17+C18</f>
        <v>246.5692186125</v>
      </c>
      <c r="D19" s="0" t="n">
        <f aca="false">D15+D16+D17+D18</f>
        <v>360.718058147</v>
      </c>
      <c r="E19" s="0" t="n">
        <f aca="false">E15+E16+E17+E18</f>
        <v>533.658587609633</v>
      </c>
      <c r="F19" s="0" t="n">
        <f aca="false">F15+F16+F17+F18</f>
        <v>685.428658849554</v>
      </c>
      <c r="G19" s="0" t="n">
        <f aca="false">G15+G16+G17+G18</f>
        <v>845.789756729697</v>
      </c>
      <c r="H19" s="0" t="n">
        <f aca="false">H15+H16+H17+H18</f>
        <v>955.884150216763</v>
      </c>
      <c r="I19" s="0" t="n">
        <f aca="false">I15+I16+I17+I18</f>
        <v>1040.578046131</v>
      </c>
      <c r="J19" s="0" t="n">
        <f aca="false">J15+J16+J17+J18</f>
        <v>1101.29887885606</v>
      </c>
      <c r="K19" s="0" t="n">
        <f aca="false">K15+K16+K17+K18</f>
        <v>1155.93015526211</v>
      </c>
      <c r="L19" s="0" t="n">
        <f aca="false">L15+L16+L17+L18</f>
        <v>1201.94185435348</v>
      </c>
    </row>
    <row r="20" customFormat="false" ht="15" hidden="false" customHeight="false" outlineLevel="0" collapsed="false">
      <c r="A20" s="0" t="s">
        <v>119</v>
      </c>
      <c r="C20" s="0" t="n">
        <f aca="false">1/(1+$B$27/100)^C4</f>
        <v>0.91743119266055</v>
      </c>
      <c r="D20" s="0" t="n">
        <f aca="false">1/(1+$B$27/100)^D4</f>
        <v>0.84167999326656</v>
      </c>
      <c r="E20" s="0" t="n">
        <f aca="false">1/(1+$B$27/100)^E4</f>
        <v>0.772183480061064</v>
      </c>
      <c r="F20" s="0" t="n">
        <f aca="false">1/(1+$B$27/100)^F4</f>
        <v>0.708425211065196</v>
      </c>
      <c r="G20" s="0" t="n">
        <f aca="false">1/(1+$B$27/100)^G4</f>
        <v>0.649931386298345</v>
      </c>
      <c r="H20" s="0" t="n">
        <f aca="false">1/(1+$B$27/100)^H4</f>
        <v>0.596267326879216</v>
      </c>
      <c r="I20" s="0" t="n">
        <f aca="false">1/(1+$B$27/100)^I4</f>
        <v>0.547034244843317</v>
      </c>
      <c r="J20" s="0" t="n">
        <f aca="false">1/(1+$B$27/100)^J4</f>
        <v>0.501866279672768</v>
      </c>
      <c r="K20" s="0" t="n">
        <f aca="false">1/(1+$B$27/100)^K4</f>
        <v>0.460427779516301</v>
      </c>
      <c r="L20" s="0" t="n">
        <f aca="false">1/(1+$B$27/100)^L4</f>
        <v>0.422410806895689</v>
      </c>
    </row>
    <row r="21" customFormat="false" ht="15" hidden="false" customHeight="false" outlineLevel="0" collapsed="false">
      <c r="A21" s="0" t="s">
        <v>120</v>
      </c>
      <c r="C21" s="0" t="n">
        <f aca="false">C19*C20</f>
        <v>226.210292305046</v>
      </c>
      <c r="D21" s="0" t="n">
        <f aca="false">D19*D20</f>
        <v>303.609172752294</v>
      </c>
      <c r="E21" s="0" t="n">
        <f aca="false">E19*E20</f>
        <v>412.082345344879</v>
      </c>
      <c r="F21" s="0" t="n">
        <f aca="false">F19*F20</f>
        <v>485.57494231563</v>
      </c>
      <c r="G21" s="0" t="n">
        <f aca="false">G19*G20</f>
        <v>549.705309108272</v>
      </c>
      <c r="H21" s="0" t="n">
        <f aca="false">H19*H20</f>
        <v>569.96248705596</v>
      </c>
      <c r="I21" s="0" t="n">
        <f aca="false">I19*I20</f>
        <v>569.231825665803</v>
      </c>
      <c r="J21" s="0" t="n">
        <f aca="false">J19*J20</f>
        <v>552.704771139283</v>
      </c>
      <c r="K21" s="0" t="n">
        <f aca="false">K19*K20</f>
        <v>532.222354663267</v>
      </c>
      <c r="L21" s="0" t="n">
        <f aca="false">L19*L20</f>
        <v>507.713228539156</v>
      </c>
    </row>
    <row r="23" customFormat="false" ht="15" hidden="false" customHeight="false" outlineLevel="0" collapsed="false">
      <c r="A23" s="0" t="s">
        <v>96</v>
      </c>
      <c r="C23" s="4" t="n">
        <f aca="false">Assumptions!C44</f>
        <v>0</v>
      </c>
      <c r="D23" s="4" t="n">
        <f aca="false">Assumptions!D44</f>
        <v>0</v>
      </c>
      <c r="E23" s="4" t="n">
        <f aca="false">Assumptions!E44</f>
        <v>0</v>
      </c>
      <c r="F23" s="4" t="n">
        <f aca="false">Assumptions!F44</f>
        <v>0</v>
      </c>
      <c r="G23" s="4" t="n">
        <f aca="false">Assumptions!G44</f>
        <v>0</v>
      </c>
      <c r="H23" s="4" t="n">
        <f aca="false">Assumptions!H44</f>
        <v>0</v>
      </c>
      <c r="I23" s="4" t="n">
        <f aca="false">Assumptions!I44</f>
        <v>0</v>
      </c>
      <c r="J23" s="4" t="n">
        <f aca="false">Assumptions!J44</f>
        <v>0</v>
      </c>
      <c r="K23" s="4" t="n">
        <f aca="false">Assumptions!K44</f>
        <v>0</v>
      </c>
      <c r="L23" s="4" t="n">
        <f aca="false">Assumptions!L44</f>
        <v>0</v>
      </c>
    </row>
    <row r="24" customFormat="false" ht="15" hidden="false" customHeight="false" outlineLevel="0" collapsed="false">
      <c r="A24" s="0" t="s">
        <v>121</v>
      </c>
      <c r="C24" s="0" t="n">
        <f aca="false">-C6*C23/100</f>
        <v>-0</v>
      </c>
      <c r="D24" s="0" t="n">
        <f aca="false">-D6*D23/100</f>
        <v>-0</v>
      </c>
      <c r="E24" s="0" t="n">
        <f aca="false">-E6*E23/100</f>
        <v>-0</v>
      </c>
      <c r="F24" s="0" t="n">
        <f aca="false">-F6*F23/100</f>
        <v>-0</v>
      </c>
      <c r="G24" s="0" t="n">
        <f aca="false">-G6*G23/100</f>
        <v>-0</v>
      </c>
      <c r="H24" s="0" t="n">
        <f aca="false">-H6*H23/100</f>
        <v>-0</v>
      </c>
      <c r="I24" s="0" t="n">
        <f aca="false">-I6*I23/100</f>
        <v>-0</v>
      </c>
      <c r="J24" s="0" t="n">
        <f aca="false">-J6*J23/100</f>
        <v>-0</v>
      </c>
      <c r="K24" s="0" t="n">
        <f aca="false">-K6*K23/100</f>
        <v>-0</v>
      </c>
      <c r="L24" s="0" t="n">
        <f aca="false">-L6*L23/100</f>
        <v>-0</v>
      </c>
    </row>
    <row r="26" customFormat="false" ht="15" hidden="false" customHeight="false" outlineLevel="0" collapsed="false">
      <c r="A26" s="2" t="s">
        <v>122</v>
      </c>
    </row>
    <row r="27" customFormat="false" ht="15" hidden="false" customHeight="false" outlineLevel="0" collapsed="false">
      <c r="A27" s="0" t="s">
        <v>100</v>
      </c>
      <c r="B27" s="4" t="n">
        <f aca="false">Assumptions!$B$48</f>
        <v>9</v>
      </c>
    </row>
    <row r="28" customFormat="false" ht="15" hidden="false" customHeight="false" outlineLevel="0" collapsed="false">
      <c r="A28" s="0" t="s">
        <v>101</v>
      </c>
      <c r="B28" s="4" t="n">
        <f aca="false">Assumptions!$B$49</f>
        <v>3</v>
      </c>
    </row>
    <row r="29" customFormat="false" ht="15" hidden="false" customHeight="false" outlineLevel="0" collapsed="false">
      <c r="A29" s="0" t="s">
        <v>102</v>
      </c>
      <c r="B29" s="4" t="n">
        <f aca="false">Assumptions!$B$50</f>
        <v>15</v>
      </c>
    </row>
    <row r="30" customFormat="false" ht="15" hidden="false" customHeight="false" outlineLevel="0" collapsed="false">
      <c r="A30" s="0" t="s">
        <v>123</v>
      </c>
      <c r="B30" s="0" t="n">
        <f aca="false">SUM(C21:L21)</f>
        <v>4709.01672888959</v>
      </c>
    </row>
    <row r="31" customFormat="false" ht="15" hidden="false" customHeight="false" outlineLevel="0" collapsed="false">
      <c r="A31" s="0" t="s">
        <v>124</v>
      </c>
      <c r="B31" s="0" t="n">
        <f aca="false">L19</f>
        <v>1201.94185435348</v>
      </c>
    </row>
    <row r="32" customFormat="false" ht="15" hidden="false" customHeight="false" outlineLevel="0" collapsed="false">
      <c r="A32" s="0" t="s">
        <v>125</v>
      </c>
      <c r="B32" s="0" t="n">
        <f aca="false">IF(B27&gt;B28,B31*(1+B28/100)/((B27-B28)/100),B31*B29)</f>
        <v>20633.3351664015</v>
      </c>
    </row>
    <row r="33" customFormat="false" ht="15" hidden="false" customHeight="false" outlineLevel="0" collapsed="false">
      <c r="A33" s="0" t="s">
        <v>126</v>
      </c>
      <c r="B33" s="0" t="n">
        <f aca="false">B31*B29</f>
        <v>18029.1278153023</v>
      </c>
    </row>
    <row r="34" customFormat="false" ht="15" hidden="false" customHeight="false" outlineLevel="0" collapsed="false">
      <c r="A34" s="0" t="s">
        <v>127</v>
      </c>
      <c r="B34" s="0" t="n">
        <f aca="false">MAX(0,MIN(B32,B33))</f>
        <v>18029.1278153023</v>
      </c>
    </row>
    <row r="35" customFormat="false" ht="15" hidden="false" customHeight="false" outlineLevel="0" collapsed="false">
      <c r="A35" s="0" t="s">
        <v>128</v>
      </c>
      <c r="B35" s="0" t="n">
        <f aca="false">B34/(1+B27/100)^L4</f>
        <v>7615.69842808733</v>
      </c>
    </row>
    <row r="36" customFormat="false" ht="15" hidden="false" customHeight="false" outlineLevel="0" collapsed="false">
      <c r="A36" s="0" t="s">
        <v>129</v>
      </c>
      <c r="B36" s="0" t="n">
        <f aca="false">B30+B35</f>
        <v>12324.7151569769</v>
      </c>
    </row>
    <row r="37" customFormat="false" ht="15" hidden="false" customHeight="false" outlineLevel="0" collapsed="false">
      <c r="A37" s="0" t="s">
        <v>130</v>
      </c>
      <c r="B37" s="0" t="n">
        <f aca="false">B36+Assumptions!$B$5-Assumptions!$B$4</f>
        <v>14122.7151569769</v>
      </c>
    </row>
    <row r="38" customFormat="false" ht="15" hidden="false" customHeight="false" outlineLevel="0" collapsed="false">
      <c r="A38" s="0" t="s">
        <v>131</v>
      </c>
      <c r="B38" s="0" t="n">
        <f aca="false">B37/Assumptions!$B$3*Assumptions!$B$10</f>
        <v>33.2299180164163</v>
      </c>
    </row>
    <row r="39" customFormat="false" ht="15" hidden="false" customHeight="false" outlineLevel="0" collapsed="false">
      <c r="A39" s="0" t="s">
        <v>132</v>
      </c>
      <c r="B39" s="4" t="n">
        <f aca="false">B38/Assumptions!$B$2-1</f>
        <v>-0.0548942543681372</v>
      </c>
    </row>
    <row r="41" customFormat="false" ht="15" hidden="false" customHeight="false" outlineLevel="0" collapsed="false">
      <c r="A41" s="0" t="s">
        <v>133</v>
      </c>
      <c r="B41" s="0" t="n">
        <f aca="false">SUMPRODUCT(-C10:L10/(1+$B$27/100)^C4:L4)</f>
        <v>122.970212456359</v>
      </c>
    </row>
    <row r="42" customFormat="false" ht="15" hidden="false" customHeight="false" outlineLevel="0" collapsed="false">
      <c r="A42" s="0" t="s">
        <v>134</v>
      </c>
      <c r="B42" s="0" t="n">
        <f aca="false">IF(B27&gt;B28,-L10*(1+B28/100)/((B27-B28)/100),-L10*20)/(1+B27/100)^L4</f>
        <v>173.409059922535</v>
      </c>
    </row>
    <row r="43" customFormat="false" ht="15" hidden="false" customHeight="false" outlineLevel="0" collapsed="false">
      <c r="A43" s="0" t="s">
        <v>135</v>
      </c>
      <c r="B43" s="0" t="n">
        <f aca="false">(B37+B41+B42)/Assumptions!$B$3*Assumptions!$B$10</f>
        <v>33.927281010249</v>
      </c>
    </row>
    <row r="45" customFormat="false" ht="15" hidden="false" customHeight="false" outlineLevel="0" collapsed="false">
      <c r="A45" s="0" t="s">
        <v>76</v>
      </c>
      <c r="B45" s="4" t="n">
        <f aca="false">Assumptions!$B$6</f>
        <v>15</v>
      </c>
    </row>
    <row r="46" customFormat="false" ht="15" hidden="false" customHeight="false" outlineLevel="0" collapsed="false">
      <c r="A46" s="0" t="s">
        <v>136</v>
      </c>
      <c r="B46" s="0" t="n">
        <f aca="false">MAX(0,MIN(IF(B45&gt;B28,B31*(1+B28/100)/((B45-B28)/100),B31*B29),B31*B29))</f>
        <v>10316.6675832007</v>
      </c>
    </row>
    <row r="47" customFormat="false" ht="15" hidden="false" customHeight="false" outlineLevel="0" collapsed="false">
      <c r="A47" s="0" t="s">
        <v>137</v>
      </c>
      <c r="B47" s="0" t="n">
        <f aca="false">(SUMPRODUCT(C19:L19/(1+B45/100)^C4:L4)+B46/(1+B45/100)^L4+Assumptions!$B$5-Assumptions!$B$4)/Assumptions!$B$3*Assumptions!$B$10</f>
        <v>18.3264235123723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2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60"/>
  </cols>
  <sheetData>
    <row r="1" customFormat="false" ht="15" hidden="false" customHeight="false" outlineLevel="0" collapsed="false">
      <c r="A1" s="2" t="s">
        <v>140</v>
      </c>
    </row>
    <row r="3" customFormat="false" ht="15" hidden="false" customHeight="false" outlineLevel="0" collapsed="false">
      <c r="A3" s="2" t="s">
        <v>141</v>
      </c>
      <c r="B3" s="2" t="s">
        <v>142</v>
      </c>
      <c r="C3" s="2" t="s">
        <v>132</v>
      </c>
      <c r="D3" s="2" t="s">
        <v>143</v>
      </c>
      <c r="E3" s="2" t="s">
        <v>135</v>
      </c>
      <c r="F3" s="2" t="s">
        <v>144</v>
      </c>
    </row>
    <row r="4" customFormat="false" ht="15" hidden="false" customHeight="false" outlineLevel="0" collapsed="false">
      <c r="A4" s="0" t="s">
        <v>145</v>
      </c>
      <c r="B4" s="4" t="n">
        <f aca="false">DCF_Bear!$B$38</f>
        <v>18.9961730092298</v>
      </c>
      <c r="C4" s="0" t="n">
        <f aca="false">B4/Assumptions!$B$2-1</f>
        <v>-0.459722041830778</v>
      </c>
      <c r="D4" s="4" t="n">
        <f aca="false">Assumptions!$B$24</f>
        <v>0.25</v>
      </c>
      <c r="E4" s="4" t="n">
        <f aca="false">DCF_Bear!$B$43</f>
        <v>19.4089089359022</v>
      </c>
      <c r="F4" s="4" t="n">
        <f aca="false">DCF_Bear!$B$47</f>
        <v>11.8717961889977</v>
      </c>
    </row>
    <row r="5" customFormat="false" ht="15" hidden="false" customHeight="false" outlineLevel="0" collapsed="false">
      <c r="A5" s="0" t="s">
        <v>146</v>
      </c>
      <c r="B5" s="4" t="n">
        <f aca="false">DCF_Base!$B$38</f>
        <v>26.2548340590199</v>
      </c>
      <c r="C5" s="0" t="n">
        <f aca="false">B5/Assumptions!$B$2-1</f>
        <v>-0.253275481825373</v>
      </c>
      <c r="D5" s="4" t="n">
        <f aca="false">Assumptions!$B$38</f>
        <v>0.5</v>
      </c>
      <c r="E5" s="4" t="n">
        <f aca="false">DCF_Base!$B$43</f>
        <v>26.7903427237882</v>
      </c>
      <c r="F5" s="4" t="n">
        <f aca="false">DCF_Base!$B$47</f>
        <v>15.1241403763204</v>
      </c>
    </row>
    <row r="6" customFormat="false" ht="15" hidden="false" customHeight="false" outlineLevel="0" collapsed="false">
      <c r="A6" s="0" t="s">
        <v>147</v>
      </c>
      <c r="B6" s="4" t="n">
        <f aca="false">DCF_Bull!$B$38</f>
        <v>33.2299180164163</v>
      </c>
      <c r="C6" s="0" t="n">
        <f aca="false">B6/Assumptions!$B$2-1</f>
        <v>-0.0548942543681372</v>
      </c>
      <c r="D6" s="4" t="n">
        <f aca="false">Assumptions!$B$52</f>
        <v>0.25</v>
      </c>
      <c r="E6" s="4" t="n">
        <f aca="false">DCF_Bull!$B$43</f>
        <v>33.927281010249</v>
      </c>
      <c r="F6" s="4" t="n">
        <f aca="false">DCF_Bull!$B$47</f>
        <v>18.3264235123723</v>
      </c>
    </row>
    <row r="8" customFormat="false" ht="15" hidden="false" customHeight="false" outlineLevel="0" collapsed="false">
      <c r="A8" s="0" t="s">
        <v>148</v>
      </c>
      <c r="B8" s="0" t="n">
        <f aca="false">SUMPRODUCT(B4:B6,D4:D6)</f>
        <v>26.1839397859215</v>
      </c>
    </row>
    <row r="9" customFormat="false" ht="15" hidden="false" customHeight="false" outlineLevel="0" collapsed="false">
      <c r="A9" s="0" t="s">
        <v>149</v>
      </c>
      <c r="B9" s="0" t="n">
        <f aca="false">SUMPRODUCT(E4:E6,D4:D6)</f>
        <v>26.7292188484319</v>
      </c>
    </row>
    <row r="10" customFormat="false" ht="15" hidden="false" customHeight="false" outlineLevel="0" collapsed="false">
      <c r="A10" s="0" t="s">
        <v>150</v>
      </c>
      <c r="B10" s="0" t="n">
        <f aca="false">1-Assumptions!$B$2/B8</f>
        <v>-0.342807854259761</v>
      </c>
    </row>
    <row r="11" customFormat="false" ht="15" hidden="false" customHeight="false" outlineLevel="0" collapsed="false">
      <c r="A11" s="0" t="s">
        <v>151</v>
      </c>
      <c r="B11" s="0" t="n">
        <f aca="false">IF(ABS(B9-B8)&gt;0.01*ABS(B8),(Assumptions!$B$2-B8)/(B9-B8)*100,"n/a")</f>
        <v>1646.14063352329</v>
      </c>
    </row>
    <row r="12" customFormat="false" ht="15" hidden="false" customHeight="false" outlineLevel="0" collapsed="false">
      <c r="A12" s="0" t="s">
        <v>152</v>
      </c>
      <c r="B12" s="0" t="n">
        <f aca="false">SUMPRODUCT(F4:F6,D4:D6)</f>
        <v>15.1116251135027</v>
      </c>
    </row>
    <row r="14" customFormat="false" ht="15" hidden="false" customHeight="false" outlineLevel="0" collapsed="false">
      <c r="A14" s="2" t="s">
        <v>153</v>
      </c>
      <c r="C14" s="0" t="s">
        <v>154</v>
      </c>
    </row>
    <row r="15" customFormat="false" ht="15" hidden="false" customHeight="false" outlineLevel="0" collapsed="false">
      <c r="A15" s="0" t="s">
        <v>155</v>
      </c>
      <c r="B15" s="0" t="n">
        <f aca="false">(SUMPRODUCT(DCF_Base!$C$19:$L$19/(1+$C$15/100)^DCF_Base!$C$4:$L$4)+MAX(0,MIN(IF($C$15&gt;DCF_Base!$B$28,DCF_Base!$L$19*(1+DCF_Base!$B$28/100)/(($C$15-DCF_Base!$B$28)/100),DCF_Base!$L$19*DCF_Base!$B$29),DCF_Base!$L$19*DCF_Base!$B$29))/(1+$C$15/100)^DCF_Base!$L$4+Assumptions!$B$5-Assumptions!$B$4)/Assumptions!$B$3*Assumptions!$B$10</f>
        <v>26.2548340590199</v>
      </c>
      <c r="C15" s="3" t="n">
        <v>9</v>
      </c>
    </row>
    <row r="16" customFormat="false" ht="15" hidden="false" customHeight="false" outlineLevel="0" collapsed="false">
      <c r="A16" s="0" t="s">
        <v>156</v>
      </c>
      <c r="B16" s="0" t="n">
        <f aca="false">(SUMPRODUCT(DCF_Base!$C$19:$L$19/(1+$C$16/100)^DCF_Base!$C$4:$L$4)+MAX(0,MIN(IF($C$16&gt;DCF_Base!$B$28,DCF_Base!$L$19*(1+DCF_Base!$B$28/100)/(($C$16-DCF_Base!$B$28)/100),DCF_Base!$L$19*DCF_Base!$B$29),DCF_Base!$L$19*DCF_Base!$B$29))/(1+$C$16/100)^DCF_Base!$L$4+Assumptions!$B$5-Assumptions!$B$4)/Assumptions!$B$3*Assumptions!$B$10</f>
        <v>23.6148239639239</v>
      </c>
      <c r="C16" s="3" t="n">
        <v>10</v>
      </c>
    </row>
    <row r="17" customFormat="false" ht="15" hidden="false" customHeight="false" outlineLevel="0" collapsed="false">
      <c r="A17" s="0" t="s">
        <v>157</v>
      </c>
      <c r="B17" s="0" t="n">
        <f aca="false">(SUMPRODUCT(DCF_Base!$C$19:$L$19/(1+$C$17/100)^DCF_Base!$C$4:$L$4)+MAX(0,MIN(IF($C$17&gt;DCF_Base!$B$28,DCF_Base!$L$19*(1+DCF_Base!$B$28/100)/(($C$17-DCF_Base!$B$28)/100),DCF_Base!$L$19*DCF_Base!$B$29),DCF_Base!$L$19*DCF_Base!$B$29))/(1+$C$17/100)^DCF_Base!$L$4+Assumptions!$B$5-Assumptions!$B$4)/Assumptions!$B$3*Assumptions!$B$10</f>
        <v>21.0984822931967</v>
      </c>
      <c r="C17" s="3" t="n">
        <v>11</v>
      </c>
    </row>
    <row r="18" customFormat="false" ht="15" hidden="false" customHeight="false" outlineLevel="0" collapsed="false">
      <c r="A18" s="0" t="s">
        <v>158</v>
      </c>
      <c r="B18" s="0" t="n">
        <f aca="false">(SUMPRODUCT(DCF_Base!$C$19:$L$19/(1+$C$18/100)^DCF_Base!$C$4:$L$4)+MAX(0,MIN(IF($C$18&gt;DCF_Base!$B$28,DCF_Base!$L$19*(1+DCF_Base!$B$28/100)/(($C$18-DCF_Base!$B$28)/100),DCF_Base!$L$19*DCF_Base!$B$29),DCF_Base!$L$19*DCF_Base!$B$29))/(1+$C$18/100)^DCF_Base!$L$4+Assumptions!$B$5-Assumptions!$B$4)/Assumptions!$B$3*Assumptions!$B$10</f>
        <v>19.1209488876896</v>
      </c>
      <c r="C18" s="3" t="n">
        <v>12</v>
      </c>
    </row>
    <row r="19" customFormat="false" ht="15" hidden="false" customHeight="false" outlineLevel="0" collapsed="false">
      <c r="A19" s="0" t="s">
        <v>159</v>
      </c>
      <c r="B19" s="0" t="n">
        <f aca="false">(SUMPRODUCT(DCF_Base!$C$19:$L$19/(1+$C$19/100)^DCF_Base!$C$4:$L$4)+MAX(0,MIN(IF($C$19&gt;DCF_Base!$B$28,DCF_Base!$L$19*(1+DCF_Base!$B$28/100)/(($C$19-DCF_Base!$B$28)/100),DCF_Base!$L$19*DCF_Base!$B$29),DCF_Base!$L$19*DCF_Base!$B$29))/(1+$C$19/100)^DCF_Base!$L$4+Assumptions!$B$5-Assumptions!$B$4)/Assumptions!$B$3*Assumptions!$B$10</f>
        <v>15.1241403763204</v>
      </c>
      <c r="C19" s="3" t="n">
        <v>15</v>
      </c>
    </row>
    <row r="21" customFormat="false" ht="15" hidden="false" customHeight="false" outlineLevel="0" collapsed="false">
      <c r="A21" s="2" t="s">
        <v>160</v>
      </c>
    </row>
    <row r="22" customFormat="false" ht="15" hidden="false" customHeight="false" outlineLevel="0" collapsed="false">
      <c r="B22" s="3" t="n">
        <v>1.5</v>
      </c>
      <c r="C22" s="3" t="n">
        <v>2</v>
      </c>
      <c r="D22" s="3" t="n">
        <v>2.5</v>
      </c>
      <c r="E22" s="3" t="n">
        <v>3</v>
      </c>
      <c r="F22" s="3" t="n">
        <v>3.5</v>
      </c>
    </row>
    <row r="23" customFormat="false" ht="15" hidden="false" customHeight="false" outlineLevel="0" collapsed="false">
      <c r="A23" s="3" t="n">
        <v>7</v>
      </c>
      <c r="B23" s="0" t="n">
        <f aca="false">(SUMPRODUCT(DCF_Base!$C$19:$L$19/(1+$A$23/100)^DCF_Base!$C$4:$L$4)+MAX(0,MIN(IF($A$23&gt;$B$22,DCF_Base!$L$19*(1+$B$22/100)/(($A$23-$B$22)/100),DCF_Base!$L$19*DCF_Base!$B$29),DCF_Base!$L$19*DCF_Base!$B$29))/(1+$A$23/100)^DCF_Base!$L$4+Assumptions!$B$5-Assumptions!$B$4)/Assumptions!$B$3*Assumptions!$B$10</f>
        <v>29.9136829587436</v>
      </c>
      <c r="C23" s="0" t="n">
        <f aca="false">(SUMPRODUCT(DCF_Base!$C$19:$L$19/(1+$A$23/100)^DCF_Base!$C$4:$L$4)+MAX(0,MIN(IF($A$23&gt;$C$22,DCF_Base!$L$19*(1+$C$22/100)/(($A$23-$C$22)/100),DCF_Base!$L$19*DCF_Base!$B$29),DCF_Base!$L$19*DCF_Base!$B$29))/(1+$A$23/100)^DCF_Base!$L$4+Assumptions!$B$5-Assumptions!$B$4)/Assumptions!$B$3*Assumptions!$B$10</f>
        <v>29.9136829587436</v>
      </c>
      <c r="D23" s="0" t="n">
        <f aca="false">(SUMPRODUCT(DCF_Base!$C$19:$L$19/(1+$A$23/100)^DCF_Base!$C$4:$L$4)+MAX(0,MIN(IF($A$23&gt;$D$22,DCF_Base!$L$19*(1+$D$22/100)/(($A$23-$D$22)/100),DCF_Base!$L$19*DCF_Base!$B$29),DCF_Base!$L$19*DCF_Base!$B$29))/(1+$A$23/100)^DCF_Base!$L$4+Assumptions!$B$5-Assumptions!$B$4)/Assumptions!$B$3*Assumptions!$B$10</f>
        <v>29.9136829587436</v>
      </c>
      <c r="E23" s="0" t="n">
        <f aca="false">(SUMPRODUCT(DCF_Base!$C$19:$L$19/(1+$A$23/100)^DCF_Base!$C$4:$L$4)+MAX(0,MIN(IF($A$23&gt;$E$22,DCF_Base!$L$19*(1+$E$22/100)/(($A$23-$E$22)/100),DCF_Base!$L$19*DCF_Base!$B$29),DCF_Base!$L$19*DCF_Base!$B$29))/(1+$A$23/100)^DCF_Base!$L$4+Assumptions!$B$5-Assumptions!$B$4)/Assumptions!$B$3*Assumptions!$B$10</f>
        <v>29.9136829587436</v>
      </c>
      <c r="F23" s="0" t="n">
        <f aca="false">(SUMPRODUCT(DCF_Base!$C$19:$L$19/(1+$A$23/100)^DCF_Base!$C$4:$L$4)+MAX(0,MIN(IF($A$23&gt;$F$22,DCF_Base!$L$19*(1+$F$22/100)/(($A$23-$F$22)/100),DCF_Base!$L$19*DCF_Base!$B$29),DCF_Base!$L$19*DCF_Base!$B$29))/(1+$A$23/100)^DCF_Base!$L$4+Assumptions!$B$5-Assumptions!$B$4)/Assumptions!$B$3*Assumptions!$B$10</f>
        <v>29.9136829587436</v>
      </c>
    </row>
    <row r="24" customFormat="false" ht="15" hidden="false" customHeight="false" outlineLevel="0" collapsed="false">
      <c r="A24" s="3" t="n">
        <v>8</v>
      </c>
      <c r="B24" s="0" t="n">
        <f aca="false">(SUMPRODUCT(DCF_Base!$C$19:$L$19/(1+$A$24/100)^DCF_Base!$C$4:$L$4)+MAX(0,MIN(IF($A$24&gt;$B$22,DCF_Base!$L$19*(1+$B$22/100)/(($A$24-$B$22)/100),DCF_Base!$L$19*DCF_Base!$B$29),DCF_Base!$L$19*DCF_Base!$B$29))/(1+$A$24/100)^DCF_Base!$L$4+Assumptions!$B$5-Assumptions!$B$4)/Assumptions!$B$3*Assumptions!$B$10</f>
        <v>27.9981768777006</v>
      </c>
      <c r="C24" s="0" t="n">
        <f aca="false">(SUMPRODUCT(DCF_Base!$C$19:$L$19/(1+$A$24/100)^DCF_Base!$C$4:$L$4)+MAX(0,MIN(IF($A$24&gt;$C$22,DCF_Base!$L$19*(1+$C$22/100)/(($A$24-$C$22)/100),DCF_Base!$L$19*DCF_Base!$B$29),DCF_Base!$L$19*DCF_Base!$B$29))/(1+$A$24/100)^DCF_Base!$L$4+Assumptions!$B$5-Assumptions!$B$4)/Assumptions!$B$3*Assumptions!$B$10</f>
        <v>27.9981768777006</v>
      </c>
      <c r="D24" s="0" t="n">
        <f aca="false">(SUMPRODUCT(DCF_Base!$C$19:$L$19/(1+$A$24/100)^DCF_Base!$C$4:$L$4)+MAX(0,MIN(IF($A$24&gt;$D$22,DCF_Base!$L$19*(1+$D$22/100)/(($A$24-$D$22)/100),DCF_Base!$L$19*DCF_Base!$B$29),DCF_Base!$L$19*DCF_Base!$B$29))/(1+$A$24/100)^DCF_Base!$L$4+Assumptions!$B$5-Assumptions!$B$4)/Assumptions!$B$3*Assumptions!$B$10</f>
        <v>27.9981768777006</v>
      </c>
      <c r="E24" s="0" t="n">
        <f aca="false">(SUMPRODUCT(DCF_Base!$C$19:$L$19/(1+$A$24/100)^DCF_Base!$C$4:$L$4)+MAX(0,MIN(IF($A$24&gt;$E$22,DCF_Base!$L$19*(1+$E$22/100)/(($A$24-$E$22)/100),DCF_Base!$L$19*DCF_Base!$B$29),DCF_Base!$L$19*DCF_Base!$B$29))/(1+$A$24/100)^DCF_Base!$L$4+Assumptions!$B$5-Assumptions!$B$4)/Assumptions!$B$3*Assumptions!$B$10</f>
        <v>27.9981768777006</v>
      </c>
      <c r="F24" s="0" t="n">
        <f aca="false">(SUMPRODUCT(DCF_Base!$C$19:$L$19/(1+$A$24/100)^DCF_Base!$C$4:$L$4)+MAX(0,MIN(IF($A$24&gt;$F$22,DCF_Base!$L$19*(1+$F$22/100)/(($A$24-$F$22)/100),DCF_Base!$L$19*DCF_Base!$B$29),DCF_Base!$L$19*DCF_Base!$B$29))/(1+$A$24/100)^DCF_Base!$L$4+Assumptions!$B$5-Assumptions!$B$4)/Assumptions!$B$3*Assumptions!$B$10</f>
        <v>27.9981768777006</v>
      </c>
    </row>
    <row r="25" customFormat="false" ht="15" hidden="false" customHeight="false" outlineLevel="0" collapsed="false">
      <c r="A25" s="3" t="n">
        <v>9</v>
      </c>
      <c r="B25" s="0" t="n">
        <f aca="false">(SUMPRODUCT(DCF_Base!$C$19:$L$19/(1+$A$25/100)^DCF_Base!$C$4:$L$4)+MAX(0,MIN(IF($A$25&gt;$B$22,DCF_Base!$L$19*(1+$B$22/100)/(($A$25-$B$22)/100),DCF_Base!$L$19*DCF_Base!$B$29),DCF_Base!$L$19*DCF_Base!$B$29))/(1+$A$25/100)^DCF_Base!$L$4+Assumptions!$B$5-Assumptions!$B$4)/Assumptions!$B$3*Assumptions!$B$10</f>
        <v>24.9875400721784</v>
      </c>
      <c r="C25" s="0" t="n">
        <f aca="false">(SUMPRODUCT(DCF_Base!$C$19:$L$19/(1+$A$25/100)^DCF_Base!$C$4:$L$4)+MAX(0,MIN(IF($A$25&gt;$C$22,DCF_Base!$L$19*(1+$C$22/100)/(($A$25-$C$22)/100),DCF_Base!$L$19*DCF_Base!$B$29),DCF_Base!$L$19*DCF_Base!$B$29))/(1+$A$25/100)^DCF_Base!$L$4+Assumptions!$B$5-Assumptions!$B$4)/Assumptions!$B$3*Assumptions!$B$10</f>
        <v>25.8845208810467</v>
      </c>
      <c r="D25" s="0" t="n">
        <f aca="false">(SUMPRODUCT(DCF_Base!$C$19:$L$19/(1+$A$25/100)^DCF_Base!$C$4:$L$4)+MAX(0,MIN(IF($A$25&gt;$D$22,DCF_Base!$L$19*(1+$D$22/100)/(($A$25-$D$22)/100),DCF_Base!$L$19*DCF_Base!$B$29),DCF_Base!$L$19*DCF_Base!$B$29))/(1+$A$25/100)^DCF_Base!$L$4+Assumptions!$B$5-Assumptions!$B$4)/Assumptions!$B$3*Assumptions!$B$10</f>
        <v>26.2548340590199</v>
      </c>
      <c r="E25" s="0" t="n">
        <f aca="false">(SUMPRODUCT(DCF_Base!$C$19:$L$19/(1+$A$25/100)^DCF_Base!$C$4:$L$4)+MAX(0,MIN(IF($A$25&gt;$E$22,DCF_Base!$L$19*(1+$E$22/100)/(($A$25-$E$22)/100),DCF_Base!$L$19*DCF_Base!$B$29),DCF_Base!$L$19*DCF_Base!$B$29))/(1+$A$25/100)^DCF_Base!$L$4+Assumptions!$B$5-Assumptions!$B$4)/Assumptions!$B$3*Assumptions!$B$10</f>
        <v>26.2548340590199</v>
      </c>
      <c r="F25" s="0" t="n">
        <f aca="false">(SUMPRODUCT(DCF_Base!$C$19:$L$19/(1+$A$25/100)^DCF_Base!$C$4:$L$4)+MAX(0,MIN(IF($A$25&gt;$F$22,DCF_Base!$L$19*(1+$F$22/100)/(($A$25-$F$22)/100),DCF_Base!$L$19*DCF_Base!$B$29),DCF_Base!$L$19*DCF_Base!$B$29))/(1+$A$25/100)^DCF_Base!$L$4+Assumptions!$B$5-Assumptions!$B$4)/Assumptions!$B$3*Assumptions!$B$10</f>
        <v>26.2548340590199</v>
      </c>
    </row>
    <row r="26" customFormat="false" ht="15" hidden="false" customHeight="false" outlineLevel="0" collapsed="false">
      <c r="A26" s="3" t="n">
        <v>10</v>
      </c>
      <c r="B26" s="0" t="n">
        <f aca="false">(SUMPRODUCT(DCF_Base!$C$19:$L$19/(1+$A$26/100)^DCF_Base!$C$4:$L$4)+MAX(0,MIN(IF($A$26&gt;$B$22,DCF_Base!$L$19*(1+$B$22/100)/(($A$26-$B$22)/100),DCF_Base!$L$19*DCF_Base!$B$29),DCF_Base!$L$19*DCF_Base!$B$29))/(1+$A$26/100)^DCF_Base!$L$4+Assumptions!$B$5-Assumptions!$B$4)/Assumptions!$B$3*Assumptions!$B$10</f>
        <v>22.2540168333103</v>
      </c>
      <c r="C26" s="0" t="n">
        <f aca="false">(SUMPRODUCT(DCF_Base!$C$19:$L$19/(1+$A$26/100)^DCF_Base!$C$4:$L$4)+MAX(0,MIN(IF($A$26&gt;$C$22,DCF_Base!$L$19*(1+$C$22/100)/(($A$26-$C$22)/100),DCF_Base!$L$19*DCF_Base!$B$29),DCF_Base!$L$19*DCF_Base!$B$29))/(1+$A$26/100)^DCF_Base!$L$4+Assumptions!$B$5-Assumptions!$B$4)/Assumptions!$B$3*Assumptions!$B$10</f>
        <v>22.8918951757854</v>
      </c>
      <c r="D26" s="0" t="n">
        <f aca="false">(SUMPRODUCT(DCF_Base!$C$19:$L$19/(1+$A$26/100)^DCF_Base!$C$4:$L$4)+MAX(0,MIN(IF($A$26&gt;$D$22,DCF_Base!$L$19*(1+$D$22/100)/(($A$26-$D$22)/100),DCF_Base!$L$19*DCF_Base!$B$29),DCF_Base!$L$19*DCF_Base!$B$29))/(1+$A$26/100)^DCF_Base!$L$4+Assumptions!$B$5-Assumptions!$B$4)/Assumptions!$B$3*Assumptions!$B$10</f>
        <v>23.6148239639239</v>
      </c>
      <c r="E26" s="0" t="n">
        <f aca="false">(SUMPRODUCT(DCF_Base!$C$19:$L$19/(1+$A$26/100)^DCF_Base!$C$4:$L$4)+MAX(0,MIN(IF($A$26&gt;$E$22,DCF_Base!$L$19*(1+$E$22/100)/(($A$26-$E$22)/100),DCF_Base!$L$19*DCF_Base!$B$29),DCF_Base!$L$19*DCF_Base!$B$29))/(1+$A$26/100)^DCF_Base!$L$4+Assumptions!$B$5-Assumptions!$B$4)/Assumptions!$B$3*Assumptions!$B$10</f>
        <v>24.441028293225</v>
      </c>
      <c r="F26" s="0" t="n">
        <f aca="false">(SUMPRODUCT(DCF_Base!$C$19:$L$19/(1+$A$26/100)^DCF_Base!$C$4:$L$4)+MAX(0,MIN(IF($A$26&gt;$F$22,DCF_Base!$L$19*(1+$F$22/100)/(($A$26-$F$22)/100),DCF_Base!$L$19*DCF_Base!$B$29),DCF_Base!$L$19*DCF_Base!$B$29))/(1+$A$26/100)^DCF_Base!$L$4+Assumptions!$B$5-Assumptions!$B$4)/Assumptions!$B$3*Assumptions!$B$10</f>
        <v>24.6663567466708</v>
      </c>
    </row>
    <row r="27" customFormat="false" ht="15" hidden="false" customHeight="false" outlineLevel="0" collapsed="false">
      <c r="A27" s="3" t="n">
        <v>11</v>
      </c>
      <c r="B27" s="0" t="n">
        <f aca="false">(SUMPRODUCT(DCF_Base!$C$19:$L$19/(1+$A$27/100)^DCF_Base!$C$4:$L$4)+MAX(0,MIN(IF($A$27&gt;$B$22,DCF_Base!$L$19*(1+$B$22/100)/(($A$27-$B$22)/100),DCF_Base!$L$19*DCF_Base!$B$29),DCF_Base!$L$19*DCF_Base!$B$29))/(1+$A$27/100)^DCF_Base!$L$4+Assumptions!$B$5-Assumptions!$B$4)/Assumptions!$B$3*Assumptions!$B$10</f>
        <v>20.1081941214544</v>
      </c>
      <c r="C27" s="0" t="n">
        <f aca="false">(SUMPRODUCT(DCF_Base!$C$19:$L$19/(1+$A$27/100)^DCF_Base!$C$4:$L$4)+MAX(0,MIN(IF($A$27&gt;$C$22,DCF_Base!$L$19*(1+$C$22/100)/(($A$27-$C$22)/100),DCF_Base!$L$19*DCF_Base!$B$29),DCF_Base!$L$19*DCF_Base!$B$29))/(1+$A$27/100)^DCF_Base!$L$4+Assumptions!$B$5-Assumptions!$B$4)/Assumptions!$B$3*Assumptions!$B$10</f>
        <v>20.5758302025549</v>
      </c>
      <c r="D27" s="0" t="n">
        <f aca="false">(SUMPRODUCT(DCF_Base!$C$19:$L$19/(1+$A$27/100)^DCF_Base!$C$4:$L$4)+MAX(0,MIN(IF($A$27&gt;$D$22,DCF_Base!$L$19*(1+$D$22/100)/(($A$27-$D$22)/100),DCF_Base!$L$19*DCF_Base!$B$29),DCF_Base!$L$19*DCF_Base!$B$29))/(1+$A$27/100)^DCF_Base!$L$4+Assumptions!$B$5-Assumptions!$B$4)/Assumptions!$B$3*Assumptions!$B$10</f>
        <v>21.0984822931967</v>
      </c>
      <c r="E27" s="0" t="n">
        <f aca="false">(SUMPRODUCT(DCF_Base!$C$19:$L$19/(1+$A$27/100)^DCF_Base!$C$4:$L$4)+MAX(0,MIN(IF($A$27&gt;$E$22,DCF_Base!$L$19*(1+$E$22/100)/(($A$27-$E$22)/100),DCF_Base!$L$19*DCF_Base!$B$29),DCF_Base!$L$19*DCF_Base!$B$29))/(1+$A$27/100)^DCF_Base!$L$4+Assumptions!$B$5-Assumptions!$B$4)/Assumptions!$B$3*Assumptions!$B$10</f>
        <v>21.6864658951687</v>
      </c>
      <c r="F27" s="0" t="n">
        <f aca="false">(SUMPRODUCT(DCF_Base!$C$19:$L$19/(1+$A$27/100)^DCF_Base!$C$4:$L$4)+MAX(0,MIN(IF($A$27&gt;$F$22,DCF_Base!$L$19*(1+$F$22/100)/(($A$27-$F$22)/100),DCF_Base!$L$19*DCF_Base!$B$29),DCF_Base!$L$19*DCF_Base!$B$29))/(1+$A$27/100)^DCF_Base!$L$4+Assumptions!$B$5-Assumptions!$B$4)/Assumptions!$B$3*Assumptions!$B$10</f>
        <v>22.3528473107369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LibreOffice/26.2.5.2$MacOSX_AARCH64 LibreOffice_project/cd7284b4cbbfeb507e630c1aac019f4157393acb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2026-10-17T23:45:33Z</dcterms:created>
  <dc:creator>openpyxl</dc:creator>
  <dc:description/>
  <dc:language>en-NZ</dc:language>
  <cp:lastModifiedBy/>
  <dcterms:modified xsi:type="dcterms:W3CDTF">2026-10-17T23:45:33Z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