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<sst xmlns="http://schemas.openxmlformats.org/spreadsheetml/2006/main" count="365" uniqueCount="175">
  <si>
    <t xml:space="preserve">Ticker</t>
  </si>
  <si>
    <t xml:space="preserve">0005.HK</t>
  </si>
  <si>
    <t xml:space="preserve">Company</t>
  </si>
  <si>
    <t xml:space="preserve">HSBC Holdings plc</t>
  </si>
  <si>
    <t xml:space="preserve">Valuation date</t>
  </si>
  <si>
    <t xml:space="preserve">2026-09-26</t>
  </si>
  <si>
    <t xml:space="preserve">Current price</t>
  </si>
  <si>
    <t xml:space="preserve">Price as of</t>
  </si>
  <si>
    <t xml:space="preserve">2026-09-25T08:08:12Z HKEX regular close (per Yahoo Finance chart API regularMarketTime); 52-week range HKD 100.40-169.70.</t>
  </si>
  <si>
    <t xml:space="preserve">Balance sheet date</t>
  </si>
  <si>
    <t xml:space="preserve">2026-06-30</t>
  </si>
  <si>
    <t xml:space="preserve">Model</t>
  </si>
  <si>
    <t xml:space="preserve">Bank FCFE capitalisation at cost of equity (engine route; profit attributable to ordinary shareholders after regulatory capital retention, net debt zero)</t>
  </si>
  <si>
    <t xml:space="preserve">Currency (model)</t>
  </si>
  <si>
    <t xml:space="preserve">USD</t>
  </si>
  <si>
    <t xml:space="preserve">Currency (quote)</t>
  </si>
  <si>
    <t xml:space="preserve">HKD</t>
  </si>
  <si>
    <t xml:space="preserve">Units</t>
  </si>
  <si>
    <t xml:space="preserve">millions</t>
  </si>
  <si>
    <t xml:space="preserve">Engine</t>
  </si>
  <si>
    <t xml:space="preserve">dcf_engine v1</t>
  </si>
  <si>
    <t xml:space="preserve">Built at</t>
  </si>
  <si>
    <t xml:space="preserve">2026-09-25T17:06:30Z</t>
  </si>
  <si>
    <t xml:space="preserve">Drivers file</t>
  </si>
  <si>
    <t xml:space="preserve">0005.HK_Drivers.json</t>
  </si>
  <si>
    <t xml:space="preserve">Convention</t>
  </si>
  <si>
    <t xml:space="preserve">Percents stored as percents; formulas divide by 100. Blue = input, green = link, black = formula.</t>
  </si>
  <si>
    <t xml:space="preserve">Methodology</t>
  </si>
  <si>
    <t xml:space="preserve">summary: A global bank is valued on what it can distribute to ordinary shareholders after funding regulatory capital (CET1) needed to support risk-weighted-asset growth, discounted at a USD cost of equity -- never on statutory operating cash flow (deposit/loan/trading movement) and never with deposits, debt securities in issue or subordinated liabilities treated as net debt. Profit attributable to ordinary shareholders (net of NCI and AT1 coupons, tying to reported EPS) is the flow; capital retention to hold the 14-14.5% CET1 target is the reinvestment; 10.0% is the USD return an owner requires, set modestly above the 9.7% used for NAB.AX/IAG.AX to reflect HSBC's added multi-jurisdictional regulatory and geopolitical risk. The result is the FCFE-clean-surplus equivalent of a residual-income-on-tangible-book answer: value scales with (RoTE - g)/(CoE - g) against tangible book, and the model does not assume the aggressive FY2024-25 pace of capital distribution (which briefly ran ahead of organic capital generation and pulled CET1 down from 14.9% to 14.1%) continues indefinitely.
key_risks_to_valuation: Interest-rate cycle: banking NII is management's single largest guided revenue driver and explicitly flagged as rate-sensitive; a faster-than-priced global cutting cycle compresses margin directly; Hong Kong/China concentration: the majority of group profit derives from Hong Kong and mainland China; property-sector stress, a Chinese growth slowdown or Hong Kong political/economic disruption disproportionately hits earnings and is not diversifiable away within the model; Credit losses: 1H26 ECL of $2.4bn (up from $2.0bn in 1H25) includes a $0.4bn fraud-related UK securitisation exposure and continuing Hong Kong CRE stress; FY2026 guided at ~45bps of average gross loans, above the 30-40bps medium-term planning range; Execution risk on the seven concurrent divestitures (Egypt, Türkiye review, Indonesia, Australia retail, Malta, Sri Lanka, Bangladesh) plus Hang Seng integration -- any could slip, disappoint, or incur unbudgeted restructuring cost; Geopolitical and regulatory: HSBC sits structurally between the Chinese and Western financial systems, exposing it to sanctions, AML/CTF enforcement, and Hong Kong national-security-law dynamics across ~57 jurisdictions simultaneously; Capital return pace: FY2024-25 distributions (dividends + buybacks) ran ahead of organic capital generation, drawing CET1 from 14.9% to 14.1%; the model assumes a materially slower buyback pace than FY2024-25's $9-11bn/yr as the post-Hang-Seng CET1 rebuild continues, and a return to the prior aggressive pace (upside to per-share value) or a further capital-rebuild-driven slowdown (downside) are both plausible; Data completeness: FY2024, FY2025, H1-2024 and H1-2025 carry OCR-driven gaps in ROE, cost-to-income, NAV/NTA-per-share and RWA in the source CSV; the model used what was populated and did not interpolate missing cells; IFRS 4/IFRS 17 boundary: FY2021-and-earlier figures are on the old insurance accounting standard, not strictly comparable to FY2022+ IFRS-17-restated figures, so long-run (7-year) CAGRs mix two accounting bases</t>
  </si>
  <si>
    <t xml:space="preserve">Data sources</t>
  </si>
  <si>
    <t xml:space="preserve">price: Yahoo Finance chart API at inputs.price_as_of; 52-week range recorded in inputs.price_as_of.
financials: 0005.HK_Metrics.csv (core_metrics, USD millions, FY2018-FY2025 annual + H1 FY2024/H1 FY2025/H1 FY2026) exported from 0005.HK.duckdb; kpis table for NetInterestIncome, GrossInterestIncome, ProfitBeforeTax, NPAT, CashTaxesPaid, DividendsPaid, ShareRepurchases, Depreciation, CET1Ratio, CostToIncomeRatio, CreditImpairmentCharge, NIM, NAVPerShare, NTAPerShare, ROE, ROTE, RiskWeightedAssets; 0005.HK_Worksheet.md for the adjudication trail and stock-based-comp candidates.
qualitative: 0005.HK_Analysis.json (2026-09-26): Elhedery-era simplification and Asia pivot, Hang Seng Bank privatisation (completed Jan 2026), 1H26 RoTE 18.2% (19.1% ex-notables), CET1 14.1%, FY2026-28 guidance (RoTE 17%+, revenue growth to 5% by 2028, 50% dividend payout, banking NII &gt;=$46bn, ECL ~45bps, target opex growth ~1%, CET1 14-14.5%, up to $1bn resumed buyback), bull/bear cases and risk taxonomy.</t>
  </si>
  <si>
    <t xml:space="preserve">Scenario narrative: bear</t>
  </si>
  <si>
    <t xml:space="preserve">A faster global rate-cutting cycle than management's guidance basis pressures banking NII, Hong Kong/China property stress keeps commercial-real-estate ECL elevated above the guided 45bps, and the multi-country divestiture programme shrinks the revenue base faster than cost savings or replacement growth can offset -- while ongoing geopolitical friction (US-China tensions, sanctions exposure, Hong Kong political risk) sits as a standing overhang management cannot fully control. Revenue growth slows to 0.5-1.5% and margin recovery stalls near 39%.</t>
  </si>
  <si>
    <t xml:space="preserve">Scenario narrative: base</t>
  </si>
  <si>
    <t xml:space="preserve">HSBC's revenue grows 3-4.5% as the Elhedery-era simplification programme (targeting ~$2.0bn of annualised savings, already $1.7bn actioned) funds reinvestment in Hong Kong, Asia wealth and CIB while the multi-country retail divestiture programme (Egypt, Türkiye review, Indonesia, Australia, Malta, Sri Lanka, Bangladesh) trims the lower-return tail. Pre-tax margin recovers from 42% to a 46% steady state as cost discipline outpaces a modest, guided revenue ramp and ECL normalises toward the 30-40bps medium-term range. At a 10.0% USD cost of equity and capital retained to hold CET1 within the 14-14.5% target, the franchise is worth what the engine implies against a market price that already reflects strong recent execution (1H26 RoTE ex-notables 19.1%).</t>
  </si>
  <si>
    <t xml:space="preserve">Scenario narrative: bull</t>
  </si>
  <si>
    <t xml:space="preserve">Simplification and the Asia pivot beat plan: Hang Seng synergies land at the top of guidance, the Hong Kong IPO boom (~40 deals pipeline vs 5 in 2025) sustains CIB fee income, and Asia wealth net-new-money momentum compounds. Revenue grows 5-6% tapering to 3.5%, pre-tax margin reaches 51%, and RoTE sustainably clears the 17%+ guidance range.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</si>
  <si>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</si>
  <si>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</si>
  <si>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</si>
  <si>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</si>
  <si>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</si>
  <si>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</si>
  <si>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</si>
  <si>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</si>
  <si>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</si>
  <si>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</si>
  <si>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</si>
  <si>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</si>
  <si>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</si>
  <si>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</si>
  <si>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</si>
  <si>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</si>
  <si>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</si>
  <si>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</si>
  <si>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</si>
  <si>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</si>
  <si>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</si>
  <si>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</si>
  <si>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</si>
  <si>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</si>
  <si>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</si>
  <si>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</si>
  <si>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</si>
  <si>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CET1Ratio</t>
  </si>
  <si>
    <t xml:space="preserve">CostToIncomeRatio</t>
  </si>
  <si>
    <t xml:space="preserve">CreditImpairmentCharge</t>
  </si>
  <si>
    <t xml:space="preserve">NAVPerShare</t>
  </si>
  <si>
    <t xml:space="preserve">NIM</t>
  </si>
  <si>
    <t xml:space="preserve">NPAT</t>
  </si>
  <si>
    <t xml:space="preserve">NTAPerShare</t>
  </si>
  <si>
    <t xml:space="preserve">NetInterestIncome</t>
  </si>
  <si>
    <t xml:space="preserve">ROE</t>
  </si>
  <si>
    <t xml:space="preserve">ROTE</t>
  </si>
  <si>
    <t xml:space="preserve">RiskWeightedAssets</t>
  </si>
  <si>
    <t xml:space="preserve">SpecialDividendPerShare</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</si>
  <si>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</si>
  <si>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</si>
  <si>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</si>
  <si>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</si>
  <si>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</si>
  <si>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</si>
  <si>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</si>
  <si>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</si>
  <si>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</si>
  <si>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</si>
  <si>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</si>
  <si>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</si>
  <si>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</si>
  <si>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</si>
  <si>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</si>
  <si>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</si>
  <si>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</si>
  <si>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</si>
  <si>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</si>
  <si>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</si>
  <si>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</si>
  <si>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</si>
  <si>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</si>
  <si>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</si>
  <si>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</si>
  <si>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</si>
  <si>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</si>
  <si>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</si>
  <si>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</si>
  <si>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</si>
  <si>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</si>
  <si>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</si>
  <si>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</si>
  <si>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</si>
  <si>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</si>
  <si>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</si>
  <si>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</si>
  <si>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</si>
  <si>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</si>
  <si>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</si>
  <si>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</si>
  <si>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</si>
  <si>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</si>
  <si>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</si>
  <si>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</si>
  <si>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0005.HK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</si>
  <si>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</si>
  <si>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</si>
  <si>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</si>
  <si>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</si>
  <si>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</si>
  <si>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</si>
  <si>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</si>
  <si>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</si>
  <si>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</si>
  <si>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</si>
  <si>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</si>
  <si>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</si>
  <si>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</si>
  <si>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</si>
  <si>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</si>
  <si>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</si>
  <si>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</si>
  <si>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</si>
  <si>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</si>
  <si>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</si>
  <si>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</si>
  <si>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</si>
  <si>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</si>
  <si>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</si>
  <si>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</si>
  <si>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</si>
  <si>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</si>
  <si>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</si>
  <si>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</si>
  <si>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</si>
  <si>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0005.HK owner-FCF component DCF: base case (millions, USD)</t>
  </si>
  <si>
    <t xml:space="preserve">0005.HK owner-FCF component DCF: bull case (millions, USD)</t>
  </si>
  <si>
    <t xml:space="preserve">0005.HK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</si>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</sst>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157.6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c r="AK1" s="2" t="s">
        <v>72</v>
      </c>
      <c r="AL1" s="2" t="s">
        <v>73</v>
      </c>
      <c r="AM1" s="2" t="s">
        <v>74</v>
      </c>
      <c r="AN1" s="2" t="s">
        <v>75</v>
      </c>
    </row>
    <row r="2" customFormat="false" ht="15" hidden="false" customHeight="false" outlineLevel="0" collapsed="false">
      <c r="A2" s="0" t="s">
        <v>76</v>
      </c>
      <c r="B2" s="0" t="n">
        <v>53780</v>
      </c>
      <c r="F2" s="0" t="n">
        <v>17354</v>
      </c>
      <c r="G2" s="0" t="n">
        <v>32.3</v>
      </c>
      <c r="I2" s="0" t="n">
        <v>12608</v>
      </c>
      <c r="J2" s="0" t="n">
        <v>23.4</v>
      </c>
      <c r="K2" s="0" t="n">
        <v>0.63</v>
      </c>
      <c r="L2" s="0" t="n">
        <v>32515</v>
      </c>
      <c r="M2" s="0" t="n">
        <v>3044</v>
      </c>
      <c r="O2" s="0" t="n">
        <v>186253</v>
      </c>
      <c r="P2" s="0" t="n">
        <v>2558124</v>
      </c>
      <c r="Q2" s="0" t="n">
        <v>2363875</v>
      </c>
      <c r="R2" s="0" t="n">
        <v>107779</v>
      </c>
      <c r="S2" s="0" t="n">
        <v>312911</v>
      </c>
      <c r="T2" s="0" t="n">
        <v>19983</v>
      </c>
      <c r="U2" s="0" t="n">
        <v>450</v>
      </c>
      <c r="V2" s="0" t="n">
        <v>0.51</v>
      </c>
      <c r="AA2" s="0" t="s">
        <v>18</v>
      </c>
      <c r="AB2" s="0" t="s">
        <v>14</v>
      </c>
      <c r="AC2" s="0" t="n">
        <v>14</v>
      </c>
      <c r="AD2" s="0" t="n">
        <v>64.4</v>
      </c>
      <c r="AE2" s="0" t="n">
        <v>1767</v>
      </c>
      <c r="AF2" s="0" t="n">
        <v>8.13</v>
      </c>
      <c r="AG2" s="0" t="n">
        <v>1.66</v>
      </c>
      <c r="AH2" s="0" t="n">
        <v>15025</v>
      </c>
      <c r="AI2" s="0" t="n">
        <v>7.01</v>
      </c>
      <c r="AJ2" s="0" t="n">
        <v>30489</v>
      </c>
      <c r="AK2" s="0" t="n">
        <v>7.7</v>
      </c>
      <c r="AL2" s="0" t="n">
        <v>8.6</v>
      </c>
      <c r="AM2" s="0" t="n">
        <v>865318</v>
      </c>
    </row>
    <row r="3" customFormat="false" ht="15" hidden="false" customHeight="false" outlineLevel="0" collapsed="false">
      <c r="A3" s="0" t="s">
        <v>77</v>
      </c>
      <c r="B3" s="0" t="n">
        <v>56098</v>
      </c>
      <c r="F3" s="0" t="n">
        <v>10993</v>
      </c>
      <c r="G3" s="0" t="n">
        <v>19.6</v>
      </c>
      <c r="I3" s="0" t="n">
        <v>5969</v>
      </c>
      <c r="J3" s="0" t="n">
        <v>10.6</v>
      </c>
      <c r="K3" s="0" t="n">
        <v>0.3</v>
      </c>
      <c r="L3" s="0" t="n">
        <v>29743</v>
      </c>
      <c r="M3" s="0" t="n">
        <v>3632</v>
      </c>
      <c r="O3" s="0" t="n">
        <v>183955</v>
      </c>
      <c r="P3" s="0" t="n">
        <v>2715152</v>
      </c>
      <c r="Q3" s="0" t="n">
        <v>2522484</v>
      </c>
      <c r="R3" s="0" t="n">
        <v>129155</v>
      </c>
      <c r="S3" s="0" t="n">
        <v>293742</v>
      </c>
      <c r="T3" s="0" t="n">
        <v>20233</v>
      </c>
      <c r="U3" s="0" t="n">
        <v>478</v>
      </c>
      <c r="V3" s="0" t="n">
        <v>0.3</v>
      </c>
      <c r="AA3" s="0" t="s">
        <v>18</v>
      </c>
      <c r="AB3" s="0" t="s">
        <v>14</v>
      </c>
      <c r="AC3" s="0" t="n">
        <v>14.7</v>
      </c>
      <c r="AD3" s="0" t="n">
        <v>75.5</v>
      </c>
      <c r="AE3" s="0" t="n">
        <v>2756</v>
      </c>
      <c r="AF3" s="0" t="n">
        <v>8</v>
      </c>
      <c r="AG3" s="0" t="n">
        <v>1.58</v>
      </c>
      <c r="AH3" s="0" t="n">
        <v>8708</v>
      </c>
      <c r="AI3" s="0" t="n">
        <v>7.13</v>
      </c>
      <c r="AJ3" s="0" t="n">
        <v>30462</v>
      </c>
      <c r="AK3" s="0" t="n">
        <v>3.6</v>
      </c>
      <c r="AL3" s="0" t="n">
        <v>8.4</v>
      </c>
      <c r="AM3" s="0" t="n">
        <v>843395</v>
      </c>
    </row>
    <row r="4" customFormat="false" ht="15" hidden="false" customHeight="false" outlineLevel="0" collapsed="false">
      <c r="A4" s="0" t="s">
        <v>78</v>
      </c>
      <c r="B4" s="0" t="n">
        <v>50429</v>
      </c>
      <c r="F4" s="0" t="n">
        <v>7180</v>
      </c>
      <c r="G4" s="0" t="n">
        <v>14.2</v>
      </c>
      <c r="I4" s="0" t="n">
        <v>3898</v>
      </c>
      <c r="J4" s="0" t="n">
        <v>7.7</v>
      </c>
      <c r="K4" s="0" t="n">
        <v>0.19</v>
      </c>
      <c r="L4" s="0" t="n">
        <v>182220</v>
      </c>
      <c r="M4" s="0" t="n">
        <v>3510</v>
      </c>
      <c r="O4" s="0" t="n">
        <v>196443</v>
      </c>
      <c r="P4" s="0" t="n">
        <v>2984164</v>
      </c>
      <c r="Q4" s="0" t="n">
        <v>2779169</v>
      </c>
      <c r="R4" s="0" t="n">
        <v>117443</v>
      </c>
      <c r="S4" s="0" t="n">
        <v>468323</v>
      </c>
      <c r="T4" s="0" t="n">
        <v>20242</v>
      </c>
      <c r="U4" s="0" t="n">
        <v>433</v>
      </c>
      <c r="V4" s="0" t="n">
        <v>0.15</v>
      </c>
      <c r="AA4" s="0" t="s">
        <v>18</v>
      </c>
      <c r="AB4" s="0" t="s">
        <v>14</v>
      </c>
      <c r="AC4" s="0" t="n">
        <v>15.9</v>
      </c>
      <c r="AD4" s="0" t="n">
        <v>68.3</v>
      </c>
      <c r="AF4" s="0" t="n">
        <v>8.62</v>
      </c>
      <c r="AG4" s="0" t="n">
        <v>1.32</v>
      </c>
      <c r="AH4" s="0" t="n">
        <v>6099</v>
      </c>
      <c r="AI4" s="0" t="n">
        <v>7.75</v>
      </c>
      <c r="AK4" s="0" t="n">
        <v>2.3</v>
      </c>
      <c r="AL4" s="0" t="n">
        <v>3.1</v>
      </c>
      <c r="AM4" s="0" t="n">
        <v>857520</v>
      </c>
    </row>
    <row r="5" customFormat="false" ht="15" hidden="false" customHeight="false" outlineLevel="0" collapsed="false">
      <c r="A5" s="0" t="s">
        <v>79</v>
      </c>
      <c r="B5" s="0" t="n">
        <v>49552</v>
      </c>
      <c r="F5" s="0" t="n">
        <v>15860</v>
      </c>
      <c r="G5" s="0" t="n">
        <v>32</v>
      </c>
      <c r="I5" s="0" t="n">
        <v>12607</v>
      </c>
      <c r="J5" s="0" t="n">
        <v>25.4</v>
      </c>
      <c r="K5" s="0" t="n">
        <v>0.62</v>
      </c>
      <c r="L5" s="0" t="n">
        <v>104312</v>
      </c>
      <c r="M5" s="0" t="n">
        <v>3565</v>
      </c>
      <c r="O5" s="0" t="n">
        <v>198250</v>
      </c>
      <c r="P5" s="0" t="n">
        <v>2957939</v>
      </c>
      <c r="Q5" s="0" t="n">
        <v>2751162</v>
      </c>
      <c r="R5" s="0" t="n">
        <v>99044</v>
      </c>
      <c r="S5" s="0" t="n">
        <v>574032</v>
      </c>
      <c r="T5" s="0" t="n">
        <v>20302</v>
      </c>
      <c r="U5" s="0" t="n">
        <v>467</v>
      </c>
      <c r="V5" s="0" t="n">
        <v>0.25</v>
      </c>
      <c r="AA5" s="0" t="s">
        <v>18</v>
      </c>
      <c r="AB5" s="0" t="s">
        <v>14</v>
      </c>
      <c r="AC5" s="0" t="n">
        <v>15.8</v>
      </c>
      <c r="AD5" s="0" t="n">
        <v>69.9</v>
      </c>
      <c r="AE5" s="0" t="n">
        <v>-928</v>
      </c>
      <c r="AF5" s="0" t="n">
        <v>8.76</v>
      </c>
      <c r="AG5" s="0" t="n">
        <v>1.2</v>
      </c>
      <c r="AH5" s="0" t="n">
        <v>14693</v>
      </c>
      <c r="AI5" s="0" t="n">
        <v>7.88</v>
      </c>
      <c r="AJ5" s="0" t="n">
        <v>26489</v>
      </c>
      <c r="AK5" s="0" t="n">
        <v>7.1</v>
      </c>
      <c r="AL5" s="0" t="n">
        <v>8.3</v>
      </c>
      <c r="AM5" s="0" t="n">
        <v>838263</v>
      </c>
    </row>
    <row r="6" customFormat="false" ht="15" hidden="false" customHeight="false" outlineLevel="0" collapsed="false">
      <c r="A6" s="0" t="s">
        <v>80</v>
      </c>
      <c r="B6" s="0" t="n">
        <v>50620</v>
      </c>
      <c r="F6" s="0" t="n">
        <v>14335</v>
      </c>
      <c r="G6" s="0" t="n">
        <v>28.3</v>
      </c>
      <c r="I6" s="0" t="n">
        <v>14346</v>
      </c>
      <c r="J6" s="0" t="n">
        <v>28.3</v>
      </c>
      <c r="K6" s="0" t="n">
        <v>0.72</v>
      </c>
      <c r="L6" s="0" t="n">
        <v>19355</v>
      </c>
      <c r="M6" s="0" t="n">
        <v>4409</v>
      </c>
      <c r="O6" s="0" t="n">
        <v>177833</v>
      </c>
      <c r="P6" s="0" t="n">
        <v>2949286</v>
      </c>
      <c r="Q6" s="0" t="n">
        <v>2764089</v>
      </c>
      <c r="R6" s="0" t="n">
        <v>100439</v>
      </c>
      <c r="S6" s="0" t="n">
        <v>521671</v>
      </c>
      <c r="T6" s="0" t="n">
        <v>19986</v>
      </c>
      <c r="U6" s="0" t="n">
        <v>400</v>
      </c>
      <c r="V6" s="0" t="n">
        <v>0.32</v>
      </c>
      <c r="AA6" s="0" t="s">
        <v>18</v>
      </c>
      <c r="AB6" s="0" t="s">
        <v>14</v>
      </c>
      <c r="AC6" s="0" t="n">
        <v>14.2</v>
      </c>
      <c r="AD6" s="0" t="n">
        <v>64.6</v>
      </c>
      <c r="AE6" s="0" t="n">
        <v>3584</v>
      </c>
      <c r="AF6" s="0" t="n">
        <v>8.01</v>
      </c>
      <c r="AG6" s="0" t="n">
        <v>1.42</v>
      </c>
      <c r="AH6" s="0" t="n">
        <v>16249</v>
      </c>
      <c r="AI6" s="0" t="n">
        <v>7.44</v>
      </c>
      <c r="AJ6" s="0" t="n">
        <v>30377</v>
      </c>
      <c r="AK6" s="0" t="n">
        <v>9</v>
      </c>
      <c r="AL6" s="0" t="n">
        <v>10</v>
      </c>
      <c r="AM6" s="0" t="n">
        <v>839720</v>
      </c>
    </row>
    <row r="7" customFormat="false" ht="15" hidden="false" customHeight="false" outlineLevel="0" collapsed="false">
      <c r="A7" s="0" t="s">
        <v>81</v>
      </c>
      <c r="B7" s="0" t="n">
        <v>66058</v>
      </c>
      <c r="F7" s="0" t="n">
        <v>30541</v>
      </c>
      <c r="G7" s="0" t="n">
        <v>46.2</v>
      </c>
      <c r="I7" s="0" t="n">
        <v>22432</v>
      </c>
      <c r="J7" s="0" t="n">
        <v>34</v>
      </c>
      <c r="K7" s="0" t="n">
        <v>1.14</v>
      </c>
      <c r="L7" s="0" t="n">
        <v>39111</v>
      </c>
      <c r="M7" s="0" t="n">
        <v>3695</v>
      </c>
      <c r="O7" s="0" t="n">
        <v>185329</v>
      </c>
      <c r="P7" s="0" t="n">
        <v>3038677</v>
      </c>
      <c r="Q7" s="0" t="n">
        <v>2846067</v>
      </c>
      <c r="R7" s="0" t="n">
        <v>118871</v>
      </c>
      <c r="S7" s="0" t="n">
        <v>490933</v>
      </c>
      <c r="T7" s="0" t="n">
        <v>19600</v>
      </c>
      <c r="U7" s="0" t="n">
        <v>482</v>
      </c>
      <c r="V7" s="0" t="n">
        <v>0.61</v>
      </c>
      <c r="AA7" s="0" t="s">
        <v>18</v>
      </c>
      <c r="AB7" s="0" t="s">
        <v>14</v>
      </c>
      <c r="AC7" s="0" t="n">
        <v>14.8</v>
      </c>
      <c r="AD7" s="0" t="n">
        <v>48.5</v>
      </c>
      <c r="AE7" s="0" t="n">
        <v>3447</v>
      </c>
      <c r="AF7" s="0" t="n">
        <v>8.82</v>
      </c>
      <c r="AG7" s="0" t="n">
        <v>1.66</v>
      </c>
      <c r="AH7" s="0" t="n">
        <v>24559</v>
      </c>
      <c r="AI7" s="0" t="n">
        <v>8.19</v>
      </c>
      <c r="AJ7" s="0" t="n">
        <v>35796</v>
      </c>
      <c r="AK7" s="0" t="n">
        <v>13.6</v>
      </c>
      <c r="AL7" s="0" t="n">
        <v>14.6</v>
      </c>
    </row>
    <row r="8" customFormat="false" ht="15" hidden="false" customHeight="false" outlineLevel="0" collapsed="false">
      <c r="A8" s="0" t="s">
        <v>82</v>
      </c>
      <c r="B8" s="0" t="n">
        <v>65854</v>
      </c>
      <c r="F8" s="0" t="n">
        <v>29397</v>
      </c>
      <c r="G8" s="0" t="n">
        <v>44.6</v>
      </c>
      <c r="I8" s="0" t="n">
        <v>22917</v>
      </c>
      <c r="J8" s="0" t="n">
        <v>34.8</v>
      </c>
      <c r="K8" s="0" t="n">
        <v>1.24</v>
      </c>
      <c r="L8" s="0" t="n">
        <v>65305</v>
      </c>
      <c r="M8" s="0" t="n">
        <v>3886</v>
      </c>
      <c r="O8" s="0" t="n">
        <v>184973</v>
      </c>
      <c r="P8" s="0" t="n">
        <v>3017048</v>
      </c>
      <c r="Q8" s="0" t="n">
        <v>2824775</v>
      </c>
      <c r="R8" s="0" t="n">
        <v>131743</v>
      </c>
      <c r="S8" s="0" t="n">
        <v>434940</v>
      </c>
      <c r="T8" s="0" t="n">
        <v>18485</v>
      </c>
      <c r="U8" s="0" t="n">
        <v>529</v>
      </c>
      <c r="V8" s="0" t="n">
        <v>0.87</v>
      </c>
      <c r="AA8" s="0" t="s">
        <v>18</v>
      </c>
      <c r="AB8" s="0" t="s">
        <v>14</v>
      </c>
      <c r="AC8" s="0" t="n">
        <v>14.9</v>
      </c>
      <c r="AE8" s="0" t="n">
        <v>3414</v>
      </c>
      <c r="AH8" s="0" t="n">
        <v>24999</v>
      </c>
      <c r="AJ8" s="0" t="n">
        <v>32733</v>
      </c>
      <c r="AL8" s="0" t="n">
        <v>14.6</v>
      </c>
      <c r="AN8" s="0" t="n">
        <v>0.21</v>
      </c>
    </row>
    <row r="9" customFormat="false" ht="15" hidden="false" customHeight="false" outlineLevel="0" collapsed="false">
      <c r="A9" s="0" t="s">
        <v>83</v>
      </c>
      <c r="B9" s="0" t="n">
        <v>68274</v>
      </c>
      <c r="F9" s="0" t="n">
        <v>27996</v>
      </c>
      <c r="G9" s="0" t="n">
        <v>41</v>
      </c>
      <c r="I9" s="0" t="n">
        <v>21102</v>
      </c>
      <c r="J9" s="0" t="n">
        <v>30.9</v>
      </c>
      <c r="K9" s="0" t="n">
        <v>1.2</v>
      </c>
      <c r="L9" s="0" t="n">
        <v>29766</v>
      </c>
      <c r="M9" s="0" t="n">
        <v>4661</v>
      </c>
      <c r="O9" s="0" t="n">
        <v>198225</v>
      </c>
      <c r="P9" s="0" t="n">
        <v>3233034</v>
      </c>
      <c r="Q9" s="0" t="n">
        <v>3027368</v>
      </c>
      <c r="R9" s="0" t="n">
        <v>128081</v>
      </c>
      <c r="S9" s="0" t="n">
        <v>432887</v>
      </c>
      <c r="T9" s="0" t="n">
        <v>17547</v>
      </c>
      <c r="U9" s="0" t="n">
        <v>621</v>
      </c>
      <c r="AA9" s="0" t="s">
        <v>18</v>
      </c>
      <c r="AB9" s="0" t="s">
        <v>14</v>
      </c>
      <c r="AC9" s="0" t="n">
        <v>14.9</v>
      </c>
      <c r="AE9" s="0" t="n">
        <v>3850</v>
      </c>
      <c r="AF9" s="0" t="n">
        <v>10.36</v>
      </c>
      <c r="AG9" s="0" t="n">
        <v>1.59</v>
      </c>
      <c r="AH9" s="0" t="n">
        <v>23131</v>
      </c>
      <c r="AI9" s="0" t="n">
        <v>9.64</v>
      </c>
      <c r="AJ9" s="0" t="n">
        <v>34794</v>
      </c>
      <c r="AM9" s="0" t="n">
        <v>888647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84</v>
      </c>
      <c r="B1" s="2" t="s">
        <v>85</v>
      </c>
    </row>
    <row r="2" customFormat="false" ht="15" hidden="false" customHeight="false" outlineLevel="0" collapsed="false">
      <c r="A2" s="0" t="s">
        <v>86</v>
      </c>
      <c r="B2" s="3" t="n">
        <v>157.6</v>
      </c>
    </row>
    <row r="3" customFormat="false" ht="15" hidden="false" customHeight="false" outlineLevel="0" collapsed="false">
      <c r="A3" s="0" t="s">
        <v>87</v>
      </c>
      <c r="B3" s="3" t="n">
        <v>15577.8</v>
      </c>
    </row>
    <row r="4" customFormat="false" ht="15" hidden="false" customHeight="false" outlineLevel="0" collapsed="false">
      <c r="A4" s="0" t="s">
        <v>88</v>
      </c>
      <c r="B4" s="3" t="n">
        <v>0</v>
      </c>
    </row>
    <row r="5" customFormat="false" ht="15" hidden="false" customHeight="false" outlineLevel="0" collapsed="false">
      <c r="A5" s="0" t="s">
        <v>89</v>
      </c>
      <c r="B5" s="3" t="n">
        <v>0</v>
      </c>
    </row>
    <row r="6" customFormat="false" ht="15" hidden="false" customHeight="false" outlineLevel="0" collapsed="false">
      <c r="A6" s="0" t="s">
        <v>90</v>
      </c>
      <c r="B6" s="3" t="n">
        <v>15</v>
      </c>
    </row>
    <row r="7" customFormat="false" ht="15" hidden="false" customHeight="false" outlineLevel="0" collapsed="false">
      <c r="A7" s="0" t="s">
        <v>91</v>
      </c>
      <c r="B7" s="3" t="n">
        <v>68274</v>
      </c>
    </row>
    <row r="8" customFormat="false" ht="15" hidden="false" customHeight="false" outlineLevel="0" collapsed="false">
      <c r="A8" s="0" t="s">
        <v>92</v>
      </c>
      <c r="B8" s="3" t="s">
        <v>83</v>
      </c>
    </row>
    <row r="9" customFormat="false" ht="15" hidden="false" customHeight="false" outlineLevel="0" collapsed="false">
      <c r="A9" s="0" t="s">
        <v>93</v>
      </c>
      <c r="B9" s="3" t="s">
        <v>94</v>
      </c>
    </row>
    <row r="10" customFormat="false" ht="15" hidden="false" customHeight="false" outlineLevel="0" collapsed="false">
      <c r="A10" s="0" t="s">
        <v>95</v>
      </c>
      <c r="B10" s="3" t="n">
        <v>7.8431</v>
      </c>
    </row>
    <row r="12" customFormat="false" ht="15" hidden="false" customHeight="false" outlineLevel="0" collapsed="false">
      <c r="A12" s="2" t="s">
        <v>96</v>
      </c>
      <c r="C12" s="2" t="s">
        <v>97</v>
      </c>
      <c r="D12" s="2" t="s">
        <v>98</v>
      </c>
      <c r="E12" s="2" t="s">
        <v>99</v>
      </c>
      <c r="F12" s="2" t="s">
        <v>100</v>
      </c>
      <c r="G12" s="2" t="s">
        <v>101</v>
      </c>
      <c r="H12" s="2" t="s">
        <v>102</v>
      </c>
      <c r="I12" s="2" t="s">
        <v>103</v>
      </c>
      <c r="J12" s="2" t="s">
        <v>104</v>
      </c>
      <c r="K12" s="2" t="s">
        <v>105</v>
      </c>
      <c r="L12" s="2" t="s">
        <v>106</v>
      </c>
    </row>
    <row r="13" customFormat="false" ht="15" hidden="false" customHeight="false" outlineLevel="0" collapsed="false">
      <c r="A13" s="0" t="s">
        <v>107</v>
      </c>
      <c r="C13" s="3" t="n">
        <v>0.5</v>
      </c>
      <c r="D13" s="3" t="n">
        <v>1</v>
      </c>
      <c r="E13" s="3" t="n">
        <v>1.5</v>
      </c>
      <c r="F13" s="3" t="n">
        <v>1.5</v>
      </c>
      <c r="G13" s="3" t="n">
        <v>1.5</v>
      </c>
      <c r="H13" s="3" t="n">
        <v>1.5</v>
      </c>
      <c r="I13" s="3" t="n">
        <v>1.5</v>
      </c>
      <c r="J13" s="3" t="n">
        <v>1.5</v>
      </c>
      <c r="K13" s="3" t="n">
        <v>1.5</v>
      </c>
      <c r="L13" s="3" t="n">
        <v>1.5</v>
      </c>
    </row>
    <row r="14" customFormat="false" ht="15" hidden="false" customHeight="false" outlineLevel="0" collapsed="false">
      <c r="A14" s="0" t="s">
        <v>108</v>
      </c>
      <c r="C14" s="3" t="n">
        <v>37</v>
      </c>
      <c r="D14" s="3" t="n">
        <v>37.5</v>
      </c>
      <c r="E14" s="3" t="n">
        <v>38.5</v>
      </c>
      <c r="F14" s="3" t="n">
        <v>39</v>
      </c>
      <c r="G14" s="3" t="n">
        <v>39</v>
      </c>
      <c r="H14" s="3" t="n">
        <v>39</v>
      </c>
      <c r="I14" s="3" t="n">
        <v>39</v>
      </c>
      <c r="J14" s="3" t="n">
        <v>39</v>
      </c>
      <c r="K14" s="3" t="n">
        <v>39</v>
      </c>
      <c r="L14" s="3" t="n">
        <v>39</v>
      </c>
    </row>
    <row r="15" customFormat="false" ht="15" hidden="false" customHeight="false" outlineLevel="0" collapsed="false">
      <c r="A15" s="0" t="s">
        <v>109</v>
      </c>
      <c r="C15" s="3" t="n">
        <v>0.22</v>
      </c>
      <c r="D15" s="3" t="n">
        <v>0.22</v>
      </c>
      <c r="E15" s="3" t="n">
        <v>0.22</v>
      </c>
      <c r="F15" s="3" t="n">
        <v>0.22</v>
      </c>
      <c r="G15" s="3" t="n">
        <v>0.22</v>
      </c>
      <c r="H15" s="3" t="n">
        <v>0.22</v>
      </c>
      <c r="I15" s="3" t="n">
        <v>0.22</v>
      </c>
      <c r="J15" s="3" t="n">
        <v>0.22</v>
      </c>
      <c r="K15" s="3" t="n">
        <v>0.22</v>
      </c>
      <c r="L15" s="3" t="n">
        <v>0.22</v>
      </c>
    </row>
    <row r="16" customFormat="false" ht="15" hidden="false" customHeight="false" outlineLevel="0" collapsed="false">
      <c r="A16" s="0" t="s">
        <v>110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111</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112</v>
      </c>
      <c r="C18" s="3" t="n">
        <v>4</v>
      </c>
      <c r="D18" s="3" t="n">
        <v>5.5</v>
      </c>
      <c r="E18" s="3" t="n">
        <v>6.5</v>
      </c>
      <c r="F18" s="3" t="n">
        <v>6.5</v>
      </c>
      <c r="G18" s="3" t="n">
        <v>6.5</v>
      </c>
      <c r="H18" s="3" t="n">
        <v>6.5</v>
      </c>
      <c r="I18" s="3" t="n">
        <v>6.5</v>
      </c>
      <c r="J18" s="3" t="n">
        <v>6.5</v>
      </c>
      <c r="K18" s="3" t="n">
        <v>6.5</v>
      </c>
      <c r="L18" s="3" t="n">
        <v>6.5</v>
      </c>
    </row>
    <row r="19" customFormat="false" ht="15" hidden="false" customHeight="false" outlineLevel="0" collapsed="false">
      <c r="A19" s="0" t="s">
        <v>113</v>
      </c>
      <c r="C19" s="3" t="n">
        <v>29.5</v>
      </c>
      <c r="D19" s="3" t="n">
        <v>29.5</v>
      </c>
      <c r="E19" s="3" t="n">
        <v>29.5</v>
      </c>
      <c r="F19" s="3" t="n">
        <v>29.5</v>
      </c>
      <c r="G19" s="3" t="n">
        <v>29.5</v>
      </c>
      <c r="H19" s="3" t="n">
        <v>29.5</v>
      </c>
      <c r="I19" s="3" t="n">
        <v>29.5</v>
      </c>
      <c r="J19" s="3" t="n">
        <v>29.5</v>
      </c>
      <c r="K19" s="3" t="n">
        <v>29.5</v>
      </c>
      <c r="L19" s="3" t="n">
        <v>29.5</v>
      </c>
    </row>
    <row r="20" customFormat="false" ht="15" hidden="false" customHeight="false" outlineLevel="0" collapsed="false">
      <c r="A20" s="0" t="s">
        <v>114</v>
      </c>
      <c r="B20" s="3" t="n">
        <v>10</v>
      </c>
    </row>
    <row r="21" customFormat="false" ht="15" hidden="false" customHeight="false" outlineLevel="0" collapsed="false">
      <c r="A21" s="0" t="s">
        <v>115</v>
      </c>
      <c r="B21" s="3" t="n">
        <v>1.5</v>
      </c>
    </row>
    <row r="22" customFormat="false" ht="15" hidden="false" customHeight="false" outlineLevel="0" collapsed="false">
      <c r="A22" s="0" t="s">
        <v>116</v>
      </c>
      <c r="B22" s="3" t="n">
        <v>12</v>
      </c>
    </row>
    <row r="23" customFormat="false" ht="15" hidden="false" customHeight="false" outlineLevel="0" collapsed="false">
      <c r="A23" s="0" t="s">
        <v>117</v>
      </c>
      <c r="B23" s="3" t="n">
        <v>0</v>
      </c>
    </row>
    <row r="24" customFormat="false" ht="15" hidden="false" customHeight="false" outlineLevel="0" collapsed="false">
      <c r="A24" s="0" t="s">
        <v>118</v>
      </c>
      <c r="B24" s="3" t="n">
        <v>0.25</v>
      </c>
    </row>
    <row r="26" customFormat="false" ht="15" hidden="false" customHeight="false" outlineLevel="0" collapsed="false">
      <c r="A26" s="2" t="s">
        <v>119</v>
      </c>
      <c r="C26" s="2" t="s">
        <v>97</v>
      </c>
      <c r="D26" s="2" t="s">
        <v>98</v>
      </c>
      <c r="E26" s="2" t="s">
        <v>99</v>
      </c>
      <c r="F26" s="2" t="s">
        <v>100</v>
      </c>
      <c r="G26" s="2" t="s">
        <v>101</v>
      </c>
      <c r="H26" s="2" t="s">
        <v>102</v>
      </c>
      <c r="I26" s="2" t="s">
        <v>103</v>
      </c>
      <c r="J26" s="2" t="s">
        <v>104</v>
      </c>
      <c r="K26" s="2" t="s">
        <v>105</v>
      </c>
      <c r="L26" s="2" t="s">
        <v>106</v>
      </c>
    </row>
    <row r="27" customFormat="false" ht="15" hidden="false" customHeight="false" outlineLevel="0" collapsed="false">
      <c r="A27" s="0" t="s">
        <v>107</v>
      </c>
      <c r="C27" s="3" t="n">
        <v>3</v>
      </c>
      <c r="D27" s="3" t="n">
        <v>3.5</v>
      </c>
      <c r="E27" s="3" t="n">
        <v>4</v>
      </c>
      <c r="F27" s="3" t="n">
        <v>4</v>
      </c>
      <c r="G27" s="3" t="n">
        <v>4.5</v>
      </c>
      <c r="H27" s="3" t="n">
        <v>4.5</v>
      </c>
      <c r="I27" s="3" t="n">
        <v>4</v>
      </c>
      <c r="J27" s="3" t="n">
        <v>3.5</v>
      </c>
      <c r="K27" s="3" t="n">
        <v>3</v>
      </c>
      <c r="L27" s="3" t="n">
        <v>2.5</v>
      </c>
    </row>
    <row r="28" customFormat="false" ht="15" hidden="false" customHeight="false" outlineLevel="0" collapsed="false">
      <c r="A28" s="0" t="s">
        <v>108</v>
      </c>
      <c r="C28" s="3" t="n">
        <v>42</v>
      </c>
      <c r="D28" s="3" t="n">
        <v>43</v>
      </c>
      <c r="E28" s="3" t="n">
        <v>44</v>
      </c>
      <c r="F28" s="3" t="n">
        <v>45</v>
      </c>
      <c r="G28" s="3" t="n">
        <v>45.5</v>
      </c>
      <c r="H28" s="3" t="n">
        <v>46</v>
      </c>
      <c r="I28" s="3" t="n">
        <v>46</v>
      </c>
      <c r="J28" s="3" t="n">
        <v>46</v>
      </c>
      <c r="K28" s="3" t="n">
        <v>46</v>
      </c>
      <c r="L28" s="3" t="n">
        <v>46</v>
      </c>
    </row>
    <row r="29" customFormat="false" ht="15" hidden="false" customHeight="false" outlineLevel="0" collapsed="false">
      <c r="A29" s="0" t="s">
        <v>109</v>
      </c>
      <c r="C29" s="3" t="n">
        <v>0.22</v>
      </c>
      <c r="D29" s="3" t="n">
        <v>0.22</v>
      </c>
      <c r="E29" s="3" t="n">
        <v>0.22</v>
      </c>
      <c r="F29" s="3" t="n">
        <v>0.22</v>
      </c>
      <c r="G29" s="3" t="n">
        <v>0.22</v>
      </c>
      <c r="H29" s="3" t="n">
        <v>0.22</v>
      </c>
      <c r="I29" s="3" t="n">
        <v>0.22</v>
      </c>
      <c r="J29" s="3" t="n">
        <v>0.22</v>
      </c>
      <c r="K29" s="3" t="n">
        <v>0.22</v>
      </c>
      <c r="L29" s="3" t="n">
        <v>0.22</v>
      </c>
    </row>
    <row r="30" customFormat="false" ht="15" hidden="false" customHeight="false" outlineLevel="0" collapsed="false">
      <c r="A30" s="0" t="s">
        <v>110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111</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112</v>
      </c>
      <c r="C32" s="3" t="n">
        <v>11</v>
      </c>
      <c r="D32" s="3" t="n">
        <v>10.5</v>
      </c>
      <c r="E32" s="3" t="n">
        <v>10</v>
      </c>
      <c r="F32" s="3" t="n">
        <v>9.5</v>
      </c>
      <c r="G32" s="3" t="n">
        <v>9.5</v>
      </c>
      <c r="H32" s="3" t="n">
        <v>9</v>
      </c>
      <c r="I32" s="3" t="n">
        <v>8</v>
      </c>
      <c r="J32" s="3" t="n">
        <v>7</v>
      </c>
      <c r="K32" s="3" t="n">
        <v>6.5</v>
      </c>
      <c r="L32" s="3" t="n">
        <v>6</v>
      </c>
    </row>
    <row r="33" customFormat="false" ht="15" hidden="false" customHeight="false" outlineLevel="0" collapsed="false">
      <c r="A33" s="0" t="s">
        <v>113</v>
      </c>
      <c r="C33" s="3" t="n">
        <v>29.5</v>
      </c>
      <c r="D33" s="3" t="n">
        <v>29.5</v>
      </c>
      <c r="E33" s="3" t="n">
        <v>29.5</v>
      </c>
      <c r="F33" s="3" t="n">
        <v>29.5</v>
      </c>
      <c r="G33" s="3" t="n">
        <v>29.5</v>
      </c>
      <c r="H33" s="3" t="n">
        <v>29.5</v>
      </c>
      <c r="I33" s="3" t="n">
        <v>29.5</v>
      </c>
      <c r="J33" s="3" t="n">
        <v>29.5</v>
      </c>
      <c r="K33" s="3" t="n">
        <v>29.5</v>
      </c>
      <c r="L33" s="3" t="n">
        <v>29.5</v>
      </c>
    </row>
    <row r="34" customFormat="false" ht="15" hidden="false" customHeight="false" outlineLevel="0" collapsed="false">
      <c r="A34" s="0" t="s">
        <v>114</v>
      </c>
      <c r="B34" s="3" t="n">
        <v>10</v>
      </c>
    </row>
    <row r="35" customFormat="false" ht="15" hidden="false" customHeight="false" outlineLevel="0" collapsed="false">
      <c r="A35" s="0" t="s">
        <v>115</v>
      </c>
      <c r="B35" s="3" t="n">
        <v>2.5</v>
      </c>
    </row>
    <row r="36" customFormat="false" ht="15" hidden="false" customHeight="false" outlineLevel="0" collapsed="false">
      <c r="A36" s="0" t="s">
        <v>116</v>
      </c>
      <c r="B36" s="3" t="n">
        <v>14</v>
      </c>
    </row>
    <row r="37" customFormat="false" ht="15" hidden="false" customHeight="false" outlineLevel="0" collapsed="false">
      <c r="A37" s="0" t="s">
        <v>117</v>
      </c>
      <c r="B37" s="3" t="n">
        <v>0</v>
      </c>
    </row>
    <row r="38" customFormat="false" ht="15" hidden="false" customHeight="false" outlineLevel="0" collapsed="false">
      <c r="A38" s="0" t="s">
        <v>118</v>
      </c>
      <c r="B38" s="3" t="n">
        <v>0.5</v>
      </c>
    </row>
    <row r="40" customFormat="false" ht="15" hidden="false" customHeight="false" outlineLevel="0" collapsed="false">
      <c r="A40" s="2" t="s">
        <v>120</v>
      </c>
      <c r="C40" s="2" t="s">
        <v>97</v>
      </c>
      <c r="D40" s="2" t="s">
        <v>98</v>
      </c>
      <c r="E40" s="2" t="s">
        <v>99</v>
      </c>
      <c r="F40" s="2" t="s">
        <v>100</v>
      </c>
      <c r="G40" s="2" t="s">
        <v>101</v>
      </c>
      <c r="H40" s="2" t="s">
        <v>102</v>
      </c>
      <c r="I40" s="2" t="s">
        <v>103</v>
      </c>
      <c r="J40" s="2" t="s">
        <v>104</v>
      </c>
      <c r="K40" s="2" t="s">
        <v>105</v>
      </c>
      <c r="L40" s="2" t="s">
        <v>106</v>
      </c>
    </row>
    <row r="41" customFormat="false" ht="15" hidden="false" customHeight="false" outlineLevel="0" collapsed="false">
      <c r="A41" s="0" t="s">
        <v>107</v>
      </c>
      <c r="C41" s="3" t="n">
        <v>5</v>
      </c>
      <c r="D41" s="3" t="n">
        <v>5.5</v>
      </c>
      <c r="E41" s="3" t="n">
        <v>6</v>
      </c>
      <c r="F41" s="3" t="n">
        <v>6</v>
      </c>
      <c r="G41" s="3" t="n">
        <v>6</v>
      </c>
      <c r="H41" s="3" t="n">
        <v>5.5</v>
      </c>
      <c r="I41" s="3" t="n">
        <v>5</v>
      </c>
      <c r="J41" s="3" t="n">
        <v>4.5</v>
      </c>
      <c r="K41" s="3" t="n">
        <v>4</v>
      </c>
      <c r="L41" s="3" t="n">
        <v>3.5</v>
      </c>
    </row>
    <row r="42" customFormat="false" ht="15" hidden="false" customHeight="false" outlineLevel="0" collapsed="false">
      <c r="A42" s="0" t="s">
        <v>108</v>
      </c>
      <c r="C42" s="3" t="n">
        <v>45</v>
      </c>
      <c r="D42" s="3" t="n">
        <v>47</v>
      </c>
      <c r="E42" s="3" t="n">
        <v>49</v>
      </c>
      <c r="F42" s="3" t="n">
        <v>50</v>
      </c>
      <c r="G42" s="3" t="n">
        <v>50.5</v>
      </c>
      <c r="H42" s="3" t="n">
        <v>51</v>
      </c>
      <c r="I42" s="3" t="n">
        <v>51</v>
      </c>
      <c r="J42" s="3" t="n">
        <v>51</v>
      </c>
      <c r="K42" s="3" t="n">
        <v>51</v>
      </c>
      <c r="L42" s="3" t="n">
        <v>51</v>
      </c>
    </row>
    <row r="43" customFormat="false" ht="15" hidden="false" customHeight="false" outlineLevel="0" collapsed="false">
      <c r="A43" s="0" t="s">
        <v>109</v>
      </c>
      <c r="C43" s="3" t="n">
        <v>0.22</v>
      </c>
      <c r="D43" s="3" t="n">
        <v>0.22</v>
      </c>
      <c r="E43" s="3" t="n">
        <v>0.22</v>
      </c>
      <c r="F43" s="3" t="n">
        <v>0.22</v>
      </c>
      <c r="G43" s="3" t="n">
        <v>0.22</v>
      </c>
      <c r="H43" s="3" t="n">
        <v>0.22</v>
      </c>
      <c r="I43" s="3" t="n">
        <v>0.22</v>
      </c>
      <c r="J43" s="3" t="n">
        <v>0.22</v>
      </c>
      <c r="K43" s="3" t="n">
        <v>0.22</v>
      </c>
      <c r="L43" s="3" t="n">
        <v>0.22</v>
      </c>
    </row>
    <row r="44" customFormat="false" ht="15" hidden="false" customHeight="false" outlineLevel="0" collapsed="false">
      <c r="A44" s="0" t="s">
        <v>110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111</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112</v>
      </c>
      <c r="C46" s="3" t="n">
        <v>13</v>
      </c>
      <c r="D46" s="3" t="n">
        <v>12.5</v>
      </c>
      <c r="E46" s="3" t="n">
        <v>12</v>
      </c>
      <c r="F46" s="3" t="n">
        <v>11</v>
      </c>
      <c r="G46" s="3" t="n">
        <v>10.5</v>
      </c>
      <c r="H46" s="3" t="n">
        <v>9.5</v>
      </c>
      <c r="I46" s="3" t="n">
        <v>8.5</v>
      </c>
      <c r="J46" s="3" t="n">
        <v>7.5</v>
      </c>
      <c r="K46" s="3" t="n">
        <v>7</v>
      </c>
      <c r="L46" s="3" t="n">
        <v>6.5</v>
      </c>
    </row>
    <row r="47" customFormat="false" ht="15" hidden="false" customHeight="false" outlineLevel="0" collapsed="false">
      <c r="A47" s="0" t="s">
        <v>113</v>
      </c>
      <c r="C47" s="3" t="n">
        <v>29.5</v>
      </c>
      <c r="D47" s="3" t="n">
        <v>29.5</v>
      </c>
      <c r="E47" s="3" t="n">
        <v>29.5</v>
      </c>
      <c r="F47" s="3" t="n">
        <v>29.5</v>
      </c>
      <c r="G47" s="3" t="n">
        <v>29.5</v>
      </c>
      <c r="H47" s="3" t="n">
        <v>29.5</v>
      </c>
      <c r="I47" s="3" t="n">
        <v>29.5</v>
      </c>
      <c r="J47" s="3" t="n">
        <v>29.5</v>
      </c>
      <c r="K47" s="3" t="n">
        <v>29.5</v>
      </c>
      <c r="L47" s="3" t="n">
        <v>29.5</v>
      </c>
    </row>
    <row r="48" customFormat="false" ht="15" hidden="false" customHeight="false" outlineLevel="0" collapsed="false">
      <c r="A48" s="0" t="s">
        <v>114</v>
      </c>
      <c r="B48" s="3" t="n">
        <v>10</v>
      </c>
    </row>
    <row r="49" customFormat="false" ht="15" hidden="false" customHeight="false" outlineLevel="0" collapsed="false">
      <c r="A49" s="0" t="s">
        <v>115</v>
      </c>
      <c r="B49" s="3" t="n">
        <v>3.5</v>
      </c>
    </row>
    <row r="50" customFormat="false" ht="15" hidden="false" customHeight="false" outlineLevel="0" collapsed="false">
      <c r="A50" s="0" t="s">
        <v>116</v>
      </c>
      <c r="B50" s="3" t="n">
        <v>16</v>
      </c>
    </row>
    <row r="51" customFormat="false" ht="15" hidden="false" customHeight="false" outlineLevel="0" collapsed="false">
      <c r="A51" s="0" t="s">
        <v>117</v>
      </c>
      <c r="B51" s="3" t="n">
        <v>0</v>
      </c>
    </row>
    <row r="52" customFormat="false" ht="15" hidden="false" customHeight="false" outlineLevel="0" collapsed="false">
      <c r="A52" s="0" t="s">
        <v>118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121</v>
      </c>
    </row>
    <row r="3" customFormat="false" ht="15" hidden="false" customHeight="false" outlineLevel="0" collapsed="false">
      <c r="A3" s="0" t="s">
        <v>122</v>
      </c>
      <c r="B3" s="0" t="s">
        <v>83</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Assumptions!C13</f>
        <v>0.5</v>
      </c>
      <c r="D5" s="4" t="n">
        <f aca="false">Assumptions!D13</f>
        <v>1</v>
      </c>
      <c r="E5" s="4" t="n">
        <f aca="false">Assumptions!E13</f>
        <v>1.5</v>
      </c>
      <c r="F5" s="4" t="n">
        <f aca="false">Assumptions!F13</f>
        <v>1.5</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38</v>
      </c>
      <c r="B6" s="3" t="n">
        <v>68274</v>
      </c>
      <c r="C6" s="0" t="n">
        <f aca="false">B6*(1+C5/100)</f>
        <v>68615.37</v>
      </c>
      <c r="D6" s="0" t="n">
        <f aca="false">C6*(1+D5/100)</f>
        <v>69301.5237</v>
      </c>
      <c r="E6" s="0" t="n">
        <f aca="false">D6*(1+E5/100)</f>
        <v>70341.0465555</v>
      </c>
      <c r="F6" s="0" t="n">
        <f aca="false">E6*(1+F5/100)</f>
        <v>71396.1622538325</v>
      </c>
      <c r="G6" s="0" t="n">
        <f aca="false">F6*(1+G5/100)</f>
        <v>72467.10468764</v>
      </c>
      <c r="H6" s="0" t="n">
        <f aca="false">G6*(1+H5/100)</f>
        <v>73554.1112579545</v>
      </c>
      <c r="I6" s="0" t="n">
        <f aca="false">H6*(1+I5/100)</f>
        <v>74657.4229268239</v>
      </c>
      <c r="J6" s="0" t="n">
        <f aca="false">I6*(1+J5/100)</f>
        <v>75777.2842707262</v>
      </c>
      <c r="K6" s="0" t="n">
        <f aca="false">J6*(1+K5/100)</f>
        <v>76913.9435347871</v>
      </c>
      <c r="L6" s="0" t="n">
        <f aca="false">K6*(1+L5/100)</f>
        <v>78067.6526878089</v>
      </c>
    </row>
    <row r="7" customFormat="false" ht="15" hidden="false" customHeight="false" outlineLevel="0" collapsed="false">
      <c r="A7" s="0" t="s">
        <v>108</v>
      </c>
      <c r="C7" s="4" t="n">
        <f aca="false">Assumptions!C14</f>
        <v>37</v>
      </c>
      <c r="D7" s="4" t="n">
        <f aca="false">Assumptions!D14</f>
        <v>37.5</v>
      </c>
      <c r="E7" s="4" t="n">
        <f aca="false">Assumptions!E14</f>
        <v>38.5</v>
      </c>
      <c r="F7" s="4" t="n">
        <f aca="false">Assumptions!F14</f>
        <v>39</v>
      </c>
      <c r="G7" s="4" t="n">
        <f aca="false">Assumptions!G14</f>
        <v>39</v>
      </c>
      <c r="H7" s="4" t="n">
        <f aca="false">Assumptions!H14</f>
        <v>39</v>
      </c>
      <c r="I7" s="4" t="n">
        <f aca="false">Assumptions!I14</f>
        <v>39</v>
      </c>
      <c r="J7" s="4" t="n">
        <f aca="false">Assumptions!J14</f>
        <v>39</v>
      </c>
      <c r="K7" s="4" t="n">
        <f aca="false">Assumptions!K14</f>
        <v>39</v>
      </c>
      <c r="L7" s="4" t="n">
        <f aca="false">Assumptions!L14</f>
        <v>39</v>
      </c>
    </row>
    <row r="8" customFormat="false" ht="15" hidden="false" customHeight="false" outlineLevel="0" collapsed="false">
      <c r="A8" s="0" t="s">
        <v>44</v>
      </c>
      <c r="C8" s="0" t="n">
        <f aca="false">C6*C7/100</f>
        <v>25387.6869</v>
      </c>
      <c r="D8" s="0" t="n">
        <f aca="false">D6*D7/100</f>
        <v>25988.0713875</v>
      </c>
      <c r="E8" s="0" t="n">
        <f aca="false">E6*E7/100</f>
        <v>27081.3029238675</v>
      </c>
      <c r="F8" s="0" t="n">
        <f aca="false">F6*F7/100</f>
        <v>27844.5032789947</v>
      </c>
      <c r="G8" s="0" t="n">
        <f aca="false">G6*G7/100</f>
        <v>28262.1708281796</v>
      </c>
      <c r="H8" s="0" t="n">
        <f aca="false">H6*H7/100</f>
        <v>28686.1033906023</v>
      </c>
      <c r="I8" s="0" t="n">
        <f aca="false">I6*I7/100</f>
        <v>29116.3949414613</v>
      </c>
      <c r="J8" s="0" t="n">
        <f aca="false">J6*J7/100</f>
        <v>29553.1408655832</v>
      </c>
      <c r="K8" s="0" t="n">
        <f aca="false">K6*K7/100</f>
        <v>29996.437978567</v>
      </c>
      <c r="L8" s="0" t="n">
        <f aca="false">L6*L7/100</f>
        <v>30446.3845482455</v>
      </c>
    </row>
    <row r="9" customFormat="false" ht="15" hidden="false" customHeight="false" outlineLevel="0" collapsed="false">
      <c r="A9" s="0" t="s">
        <v>109</v>
      </c>
      <c r="C9" s="4" t="n">
        <f aca="false">Assumptions!C15</f>
        <v>0.22</v>
      </c>
      <c r="D9" s="4" t="n">
        <f aca="false">Assumptions!D15</f>
        <v>0.22</v>
      </c>
      <c r="E9" s="4" t="n">
        <f aca="false">Assumptions!E15</f>
        <v>0.22</v>
      </c>
      <c r="F9" s="4" t="n">
        <f aca="false">Assumptions!F15</f>
        <v>0.22</v>
      </c>
      <c r="G9" s="4" t="n">
        <f aca="false">Assumptions!G15</f>
        <v>0.22</v>
      </c>
      <c r="H9" s="4" t="n">
        <f aca="false">Assumptions!H15</f>
        <v>0.22</v>
      </c>
      <c r="I9" s="4" t="n">
        <f aca="false">Assumptions!I15</f>
        <v>0.22</v>
      </c>
      <c r="J9" s="4" t="n">
        <f aca="false">Assumptions!J15</f>
        <v>0.22</v>
      </c>
      <c r="K9" s="4" t="n">
        <f aca="false">Assumptions!K15</f>
        <v>0.22</v>
      </c>
      <c r="L9" s="4" t="n">
        <f aca="false">Assumptions!L15</f>
        <v>0.22</v>
      </c>
    </row>
    <row r="10" customFormat="false" ht="15" hidden="false" customHeight="false" outlineLevel="0" collapsed="false">
      <c r="A10" s="0" t="s">
        <v>124</v>
      </c>
      <c r="C10" s="0" t="n">
        <f aca="false">-C6*C9/100</f>
        <v>-150.953814</v>
      </c>
      <c r="D10" s="0" t="n">
        <f aca="false">-D6*D9/100</f>
        <v>-152.46335214</v>
      </c>
      <c r="E10" s="0" t="n">
        <f aca="false">-E6*E9/100</f>
        <v>-154.7503024221</v>
      </c>
      <c r="F10" s="0" t="n">
        <f aca="false">-F6*F9/100</f>
        <v>-157.071556958431</v>
      </c>
      <c r="G10" s="0" t="n">
        <f aca="false">-G6*G9/100</f>
        <v>-159.427630312808</v>
      </c>
      <c r="H10" s="0" t="n">
        <f aca="false">-H6*H9/100</f>
        <v>-161.8190447675</v>
      </c>
      <c r="I10" s="0" t="n">
        <f aca="false">-I6*I9/100</f>
        <v>-164.246330439013</v>
      </c>
      <c r="J10" s="0" t="n">
        <f aca="false">-J6*J9/100</f>
        <v>-166.710025395598</v>
      </c>
      <c r="K10" s="0" t="n">
        <f aca="false">-K6*K9/100</f>
        <v>-169.210675776532</v>
      </c>
      <c r="L10" s="0" t="n">
        <f aca="false">-L6*L9/100</f>
        <v>-171.74883591318</v>
      </c>
    </row>
    <row r="11" customFormat="false" ht="15" hidden="false" customHeight="false" outlineLevel="0" collapsed="false">
      <c r="A11" s="0" t="s">
        <v>125</v>
      </c>
      <c r="C11" s="0" t="n">
        <f aca="false">C8+C10+C24</f>
        <v>25236.733086</v>
      </c>
      <c r="D11" s="0" t="n">
        <f aca="false">D8+D10+D24</f>
        <v>25835.60803536</v>
      </c>
      <c r="E11" s="0" t="n">
        <f aca="false">E8+E10+E24</f>
        <v>26926.5526214454</v>
      </c>
      <c r="F11" s="0" t="n">
        <f aca="false">F8+F10+F24</f>
        <v>27687.4317220362</v>
      </c>
      <c r="G11" s="0" t="n">
        <f aca="false">G8+G10+G24</f>
        <v>28102.7431978668</v>
      </c>
      <c r="H11" s="0" t="n">
        <f aca="false">H8+H10+H24</f>
        <v>28524.2843458348</v>
      </c>
      <c r="I11" s="0" t="n">
        <f aca="false">I8+I10+I24</f>
        <v>28952.1486110223</v>
      </c>
      <c r="J11" s="0" t="n">
        <f aca="false">J8+J10+J24</f>
        <v>29386.4308401876</v>
      </c>
      <c r="K11" s="0" t="n">
        <f aca="false">K8+K10+K24</f>
        <v>29827.2273027904</v>
      </c>
      <c r="L11" s="0" t="n">
        <f aca="false">L8+L10+L24</f>
        <v>30274.6357123323</v>
      </c>
    </row>
    <row r="12" customFormat="false" ht="15" hidden="false" customHeight="false" outlineLevel="0" collapsed="false">
      <c r="A12" s="0" t="s">
        <v>126</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127</v>
      </c>
      <c r="C13" s="0" t="n">
        <f aca="false">C11+C12</f>
        <v>25236.733086</v>
      </c>
      <c r="D13" s="0" t="n">
        <f aca="false">D11+D12</f>
        <v>25835.60803536</v>
      </c>
      <c r="E13" s="0" t="n">
        <f aca="false">E11+E12</f>
        <v>26926.5526214454</v>
      </c>
      <c r="F13" s="0" t="n">
        <f aca="false">F11+F12</f>
        <v>27687.4317220362</v>
      </c>
      <c r="G13" s="0" t="n">
        <f aca="false">G11+G12</f>
        <v>28102.7431978668</v>
      </c>
      <c r="H13" s="0" t="n">
        <f aca="false">H11+H12</f>
        <v>28524.2843458348</v>
      </c>
      <c r="I13" s="0" t="n">
        <f aca="false">I11+I12</f>
        <v>28952.1486110223</v>
      </c>
      <c r="J13" s="0" t="n">
        <f aca="false">J11+J12</f>
        <v>29386.4308401876</v>
      </c>
      <c r="K13" s="0" t="n">
        <f aca="false">K11+K12</f>
        <v>29827.2273027904</v>
      </c>
      <c r="L13" s="0" t="n">
        <f aca="false">L11+L12</f>
        <v>30274.6357123323</v>
      </c>
    </row>
    <row r="14" customFormat="false" ht="15" hidden="false" customHeight="false" outlineLevel="0" collapsed="false">
      <c r="A14" s="0" t="s">
        <v>113</v>
      </c>
      <c r="C14" s="4" t="n">
        <f aca="false">Assumptions!C19</f>
        <v>29.5</v>
      </c>
      <c r="D14" s="4" t="n">
        <f aca="false">Assumptions!D19</f>
        <v>29.5</v>
      </c>
      <c r="E14" s="4" t="n">
        <f aca="false">Assumptions!E19</f>
        <v>29.5</v>
      </c>
      <c r="F14" s="4" t="n">
        <f aca="false">Assumptions!F19</f>
        <v>29.5</v>
      </c>
      <c r="G14" s="4" t="n">
        <f aca="false">Assumptions!G19</f>
        <v>29.5</v>
      </c>
      <c r="H14" s="4" t="n">
        <f aca="false">Assumptions!H19</f>
        <v>29.5</v>
      </c>
      <c r="I14" s="4" t="n">
        <f aca="false">Assumptions!I19</f>
        <v>29.5</v>
      </c>
      <c r="J14" s="4" t="n">
        <f aca="false">Assumptions!J19</f>
        <v>29.5</v>
      </c>
      <c r="K14" s="4" t="n">
        <f aca="false">Assumptions!K19</f>
        <v>29.5</v>
      </c>
      <c r="L14" s="4" t="n">
        <f aca="false">Assumptions!L19</f>
        <v>29.5</v>
      </c>
    </row>
    <row r="15" customFormat="false" ht="15" hidden="false" customHeight="false" outlineLevel="0" collapsed="false">
      <c r="A15" s="0" t="s">
        <v>128</v>
      </c>
      <c r="C15" s="0" t="n">
        <f aca="false">C13-MAX(0,C13)*C14/100</f>
        <v>17791.89682563</v>
      </c>
      <c r="D15" s="0" t="n">
        <f aca="false">D13-MAX(0,D13)*D14/100</f>
        <v>18214.1036649288</v>
      </c>
      <c r="E15" s="0" t="n">
        <f aca="false">E13-MAX(0,E13)*E14/100</f>
        <v>18983.219598119</v>
      </c>
      <c r="F15" s="0" t="n">
        <f aca="false">F13-MAX(0,F13)*F14/100</f>
        <v>19519.6393640355</v>
      </c>
      <c r="G15" s="0" t="n">
        <f aca="false">G13-MAX(0,G13)*G14/100</f>
        <v>19812.4339544961</v>
      </c>
      <c r="H15" s="0" t="n">
        <f aca="false">H13-MAX(0,H13)*H14/100</f>
        <v>20109.6204638135</v>
      </c>
      <c r="I15" s="0" t="n">
        <f aca="false">I13-MAX(0,I13)*I14/100</f>
        <v>20411.2647707707</v>
      </c>
      <c r="J15" s="0" t="n">
        <f aca="false">J13-MAX(0,J13)*J14/100</f>
        <v>20717.4337423323</v>
      </c>
      <c r="K15" s="0" t="n">
        <f aca="false">K13-MAX(0,K13)*K14/100</f>
        <v>21028.1952484673</v>
      </c>
      <c r="L15" s="0" t="n">
        <f aca="false">L13-MAX(0,L13)*L14/100</f>
        <v>21343.6181771943</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-C6*Assumptions!C18/100</f>
        <v>-2744.6148</v>
      </c>
      <c r="D17" s="4" t="n">
        <f aca="false">-D6*Assumptions!D18/100</f>
        <v>-3811.5838035</v>
      </c>
      <c r="E17" s="4" t="n">
        <f aca="false">-E6*Assumptions!E18/100</f>
        <v>-4572.1680261075</v>
      </c>
      <c r="F17" s="4" t="n">
        <f aca="false">-F6*Assumptions!F18/100</f>
        <v>-4640.75054649911</v>
      </c>
      <c r="G17" s="4" t="n">
        <f aca="false">-G6*Assumptions!G18/100</f>
        <v>-4710.3618046966</v>
      </c>
      <c r="H17" s="4" t="n">
        <f aca="false">-H6*Assumptions!H18/100</f>
        <v>-4781.01723176705</v>
      </c>
      <c r="I17" s="4" t="n">
        <f aca="false">-I6*Assumptions!I18/100</f>
        <v>-4852.73249024355</v>
      </c>
      <c r="J17" s="4" t="n">
        <f aca="false">-J6*Assumptions!J18/100</f>
        <v>-4925.5234775972</v>
      </c>
      <c r="K17" s="4" t="n">
        <f aca="false">-K6*Assumptions!K18/100</f>
        <v>-4999.40632976116</v>
      </c>
      <c r="L17" s="4" t="n">
        <f aca="false">-L6*Assumptions!L18/100</f>
        <v>-5074.39742470758</v>
      </c>
    </row>
    <row r="18" customFormat="false" ht="15" hidden="false" customHeight="false" outlineLevel="0" collapsed="false">
      <c r="A18" s="0" t="s">
        <v>131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132</v>
      </c>
      <c r="C19" s="0" t="n">
        <f aca="false">C15+C16+C17+C18</f>
        <v>15047.28202563</v>
      </c>
      <c r="D19" s="0" t="n">
        <f aca="false">D15+D16+D17+D18</f>
        <v>14402.5198614288</v>
      </c>
      <c r="E19" s="0" t="n">
        <f aca="false">E15+E16+E17+E18</f>
        <v>14411.0515720115</v>
      </c>
      <c r="F19" s="0" t="n">
        <f aca="false">F15+F16+F17+F18</f>
        <v>14878.8888175364</v>
      </c>
      <c r="G19" s="0" t="n">
        <f aca="false">G15+G16+G17+G18</f>
        <v>15102.0721497995</v>
      </c>
      <c r="H19" s="0" t="n">
        <f aca="false">H15+H16+H17+H18</f>
        <v>15328.6032320465</v>
      </c>
      <c r="I19" s="0" t="n">
        <f aca="false">I15+I16+I17+I18</f>
        <v>15558.5322805272</v>
      </c>
      <c r="J19" s="0" t="n">
        <f aca="false">J15+J16+J17+J18</f>
        <v>15791.9102647351</v>
      </c>
      <c r="K19" s="0" t="n">
        <f aca="false">K15+K16+K17+K18</f>
        <v>16028.7889187061</v>
      </c>
      <c r="L19" s="0" t="n">
        <f aca="false">L15+L16+L17+L18</f>
        <v>16269.2207524867</v>
      </c>
    </row>
    <row r="20" customFormat="false" ht="15" hidden="false" customHeight="false" outlineLevel="0" collapsed="false">
      <c r="A20" s="0" t="s">
        <v>133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134</v>
      </c>
      <c r="C21" s="0" t="n">
        <f aca="false">C19*C20</f>
        <v>13679.3472960273</v>
      </c>
      <c r="D21" s="0" t="n">
        <f aca="false">D19*D20</f>
        <v>11902.9089763874</v>
      </c>
      <c r="E21" s="0" t="n">
        <f aca="false">E19*E20</f>
        <v>10827.2363426082</v>
      </c>
      <c r="F21" s="0" t="n">
        <f aca="false">F19*F20</f>
        <v>10162.4812632583</v>
      </c>
      <c r="G21" s="0" t="n">
        <f aca="false">G19*G20</f>
        <v>9377.19862018831</v>
      </c>
      <c r="H21" s="0" t="n">
        <f aca="false">H19*H20</f>
        <v>8652.5969086283</v>
      </c>
      <c r="I21" s="0" t="n">
        <f aca="false">I19*I20</f>
        <v>7983.98714750702</v>
      </c>
      <c r="J21" s="0" t="n">
        <f aca="false">J19*J20</f>
        <v>7367.04268610875</v>
      </c>
      <c r="K21" s="0" t="n">
        <f aca="false">K19*K20</f>
        <v>6797.77120581852</v>
      </c>
      <c r="L21" s="0" t="n">
        <f aca="false">L19*L20</f>
        <v>6272.48888536891</v>
      </c>
    </row>
    <row r="23" customFormat="false" ht="15" hidden="false" customHeight="false" outlineLevel="0" collapsed="false">
      <c r="A23" s="0" t="s">
        <v>110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Assumptions!$B$20</f>
        <v>10</v>
      </c>
    </row>
    <row r="28" customFormat="false" ht="15" hidden="false" customHeight="false" outlineLevel="0" collapsed="false">
      <c r="A28" s="0" t="s">
        <v>115</v>
      </c>
      <c r="B28" s="4" t="n">
        <f aca="false">Assumptions!$B$21</f>
        <v>1.5</v>
      </c>
    </row>
    <row r="29" customFormat="false" ht="15" hidden="false" customHeight="false" outlineLevel="0" collapsed="false">
      <c r="A29" s="0" t="s">
        <v>116</v>
      </c>
      <c r="B29" s="4" t="n">
        <f aca="false">Assumptions!$B$22</f>
        <v>12</v>
      </c>
    </row>
    <row r="30" customFormat="false" ht="15" hidden="false" customHeight="false" outlineLevel="0" collapsed="false">
      <c r="A30" s="0" t="s">
        <v>137</v>
      </c>
      <c r="B30" s="0" t="n">
        <f aca="false">SUM(C21:L21)</f>
        <v>93023.059331901</v>
      </c>
    </row>
    <row r="31" customFormat="false" ht="15" hidden="false" customHeight="false" outlineLevel="0" collapsed="false">
      <c r="A31" s="0" t="s">
        <v>138</v>
      </c>
      <c r="B31" s="0" t="n">
        <f aca="false">L19</f>
        <v>16269.2207524867</v>
      </c>
    </row>
    <row r="32" customFormat="false" ht="15" hidden="false" customHeight="false" outlineLevel="0" collapsed="false">
      <c r="A32" s="0" t="s">
        <v>139</v>
      </c>
      <c r="B32" s="0" t="n">
        <f aca="false">IF(B27&gt;B28,B31*(1+B28/100)/((B27-B28)/100),B31*B29)</f>
        <v>194273.6360444</v>
      </c>
    </row>
    <row r="33" customFormat="false" ht="15" hidden="false" customHeight="false" outlineLevel="0" collapsed="false">
      <c r="A33" s="0" t="s">
        <v>140</v>
      </c>
      <c r="B33" s="0" t="n">
        <f aca="false">B31*B29</f>
        <v>195230.64902984</v>
      </c>
    </row>
    <row r="34" customFormat="false" ht="15" hidden="false" customHeight="false" outlineLevel="0" collapsed="false">
      <c r="A34" s="0" t="s">
        <v>141</v>
      </c>
      <c r="B34" s="0" t="n">
        <f aca="false">MAX(0,MIN(B32,B33))</f>
        <v>194273.6360444</v>
      </c>
    </row>
    <row r="35" customFormat="false" ht="15" hidden="false" customHeight="false" outlineLevel="0" collapsed="false">
      <c r="A35" s="0" t="s">
        <v>142</v>
      </c>
      <c r="B35" s="0" t="n">
        <f aca="false">B34/(1+B27/100)^L4</f>
        <v>74900.8966899935</v>
      </c>
    </row>
    <row r="36" customFormat="false" ht="15" hidden="false" customHeight="false" outlineLevel="0" collapsed="false">
      <c r="A36" s="0" t="s">
        <v>143</v>
      </c>
      <c r="B36" s="0" t="n">
        <f aca="false">B30+B35</f>
        <v>167923.956021894</v>
      </c>
    </row>
    <row r="37" customFormat="false" ht="15" hidden="false" customHeight="false" outlineLevel="0" collapsed="false">
      <c r="A37" s="0" t="s">
        <v>144</v>
      </c>
      <c r="B37" s="0" t="n">
        <f aca="false">B36+Assumptions!$B$5-Assumptions!$B$4</f>
        <v>167923.956021894</v>
      </c>
    </row>
    <row r="38" customFormat="false" ht="15" hidden="false" customHeight="false" outlineLevel="0" collapsed="false">
      <c r="A38" s="0" t="s">
        <v>145</v>
      </c>
      <c r="B38" s="0" t="n">
        <f aca="false">B37/Assumptions!$B$3*Assumptions!$B$10</f>
        <v>84.5462375608443</v>
      </c>
    </row>
    <row r="39" customFormat="false" ht="15" hidden="false" customHeight="false" outlineLevel="0" collapsed="false">
      <c r="A39" s="0" t="s">
        <v>146</v>
      </c>
      <c r="B39" s="4" t="n">
        <f aca="false">B38/Assumptions!$B$2-1</f>
        <v>-0.463539101771292</v>
      </c>
    </row>
    <row r="41" customFormat="false" ht="15" hidden="false" customHeight="false" outlineLevel="0" collapsed="false">
      <c r="A41" s="0" t="s">
        <v>147</v>
      </c>
      <c r="B41" s="0" t="n">
        <f aca="false">SUMPRODUCT(-C10:L10/(1+$B$27/100)^C4:L4)</f>
        <v>977.150587988645</v>
      </c>
    </row>
    <row r="42" customFormat="false" ht="15" hidden="false" customHeight="false" outlineLevel="0" collapsed="false">
      <c r="A42" s="0" t="s">
        <v>148</v>
      </c>
      <c r="B42" s="0" t="n">
        <f aca="false">IF(B27&gt;B28,-L10*(1+B28/100)/((B27-B28)/100),-L10*20)/(1+B27/100)^L4</f>
        <v>790.704239070176</v>
      </c>
    </row>
    <row r="43" customFormat="false" ht="15" hidden="false" customHeight="false" outlineLevel="0" collapsed="false">
      <c r="A43" s="0" t="s">
        <v>149</v>
      </c>
      <c r="B43" s="0" t="n">
        <f aca="false">(B37+B41+B42)/Assumptions!$B$3*Assumptions!$B$10</f>
        <v>85.4363158898834</v>
      </c>
    </row>
    <row r="45" customFormat="false" ht="15" hidden="false" customHeight="false" outlineLevel="0" collapsed="false">
      <c r="A45" s="0" t="s">
        <v>90</v>
      </c>
      <c r="B45" s="4" t="n">
        <f aca="false">Assumptions!$B$6</f>
        <v>15</v>
      </c>
    </row>
    <row r="46" customFormat="false" ht="15" hidden="false" customHeight="false" outlineLevel="0" collapsed="false">
      <c r="A46" s="0" t="s">
        <v>150</v>
      </c>
      <c r="B46" s="0" t="n">
        <f aca="false">MAX(0,MIN(IF(B45&gt;B28,B31*(1+B28/100)/((B45-B28)/100),B31*B29),B31*B29))</f>
        <v>122320.437509437</v>
      </c>
    </row>
    <row r="47" customFormat="false" ht="15" hidden="false" customHeight="false" outlineLevel="0" collapsed="false">
      <c r="A47" s="0" t="s">
        <v>151</v>
      </c>
      <c r="B47" s="0" t="n">
        <f aca="false">(SUMPRODUCT(C19:L19/(1+B45/100)^C4:L4)+B46/(1+B45/100)^L4+Assumptions!$B$5-Assumptions!$B$4)/Assumptions!$B$3*Assumptions!$B$10</f>
        <v>53.3274993694667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122</v>
      </c>
      <c r="B3" s="0" t="s">
        <v>83</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Assumptions!C27</f>
        <v>3</v>
      </c>
      <c r="D5" s="4" t="n">
        <f aca="false">Assumptions!D27</f>
        <v>3.5</v>
      </c>
      <c r="E5" s="4" t="n">
        <f aca="false">Assumptions!E27</f>
        <v>4</v>
      </c>
      <c r="F5" s="4" t="n">
        <f aca="false">Assumptions!F27</f>
        <v>4</v>
      </c>
      <c r="G5" s="4" t="n">
        <f aca="false">Assumptions!G27</f>
        <v>4.5</v>
      </c>
      <c r="H5" s="4" t="n">
        <f aca="false">Assumptions!H27</f>
        <v>4.5</v>
      </c>
      <c r="I5" s="4" t="n">
        <f aca="false">Assumptions!I27</f>
        <v>4</v>
      </c>
      <c r="J5" s="4" t="n">
        <f aca="false">Assumptions!J27</f>
        <v>3.5</v>
      </c>
      <c r="K5" s="4" t="n">
        <f aca="false">Assumptions!K27</f>
        <v>3</v>
      </c>
      <c r="L5" s="4" t="n">
        <f aca="false">Assumptions!L27</f>
        <v>2.5</v>
      </c>
    </row>
    <row r="6" customFormat="false" ht="15" hidden="false" customHeight="false" outlineLevel="0" collapsed="false">
      <c r="A6" s="0" t="s">
        <v>38</v>
      </c>
      <c r="B6" s="3" t="n">
        <v>68274</v>
      </c>
      <c r="C6" s="0" t="n">
        <f aca="false">B6*(1+C5/100)</f>
        <v>70322.22</v>
      </c>
      <c r="D6" s="0" t="n">
        <f aca="false">C6*(1+D5/100)</f>
        <v>72783.4977</v>
      </c>
      <c r="E6" s="0" t="n">
        <f aca="false">D6*(1+E5/100)</f>
        <v>75694.837608</v>
      </c>
      <c r="F6" s="0" t="n">
        <f aca="false">E6*(1+F5/100)</f>
        <v>78722.63111232</v>
      </c>
      <c r="G6" s="0" t="n">
        <f aca="false">F6*(1+G5/100)</f>
        <v>82265.1495123744</v>
      </c>
      <c r="H6" s="0" t="n">
        <f aca="false">G6*(1+H5/100)</f>
        <v>85967.0812404312</v>
      </c>
      <c r="I6" s="0" t="n">
        <f aca="false">H6*(1+I5/100)</f>
        <v>89405.7644900485</v>
      </c>
      <c r="J6" s="0" t="n">
        <f aca="false">I6*(1+J5/100)</f>
        <v>92534.9662472002</v>
      </c>
      <c r="K6" s="0" t="n">
        <f aca="false">J6*(1+K5/100)</f>
        <v>95311.0152346162</v>
      </c>
      <c r="L6" s="0" t="n">
        <f aca="false">K6*(1+L5/100)</f>
        <v>97693.7906154816</v>
      </c>
    </row>
    <row r="7" customFormat="false" ht="15" hidden="false" customHeight="false" outlineLevel="0" collapsed="false">
      <c r="A7" s="0" t="s">
        <v>108</v>
      </c>
      <c r="C7" s="4" t="n">
        <f aca="false">Assumptions!C28</f>
        <v>42</v>
      </c>
      <c r="D7" s="4" t="n">
        <f aca="false">Assumptions!D28</f>
        <v>43</v>
      </c>
      <c r="E7" s="4" t="n">
        <f aca="false">Assumptions!E28</f>
        <v>44</v>
      </c>
      <c r="F7" s="4" t="n">
        <f aca="false">Assumptions!F28</f>
        <v>45</v>
      </c>
      <c r="G7" s="4" t="n">
        <f aca="false">Assumptions!G28</f>
        <v>45.5</v>
      </c>
      <c r="H7" s="4" t="n">
        <f aca="false">Assumptions!H28</f>
        <v>46</v>
      </c>
      <c r="I7" s="4" t="n">
        <f aca="false">Assumptions!I28</f>
        <v>46</v>
      </c>
      <c r="J7" s="4" t="n">
        <f aca="false">Assumptions!J28</f>
        <v>46</v>
      </c>
      <c r="K7" s="4" t="n">
        <f aca="false">Assumptions!K28</f>
        <v>46</v>
      </c>
      <c r="L7" s="4" t="n">
        <f aca="false">Assumptions!L28</f>
        <v>46</v>
      </c>
    </row>
    <row r="8" customFormat="false" ht="15" hidden="false" customHeight="false" outlineLevel="0" collapsed="false">
      <c r="A8" s="0" t="s">
        <v>44</v>
      </c>
      <c r="C8" s="0" t="n">
        <f aca="false">C6*C7/100</f>
        <v>29535.3324</v>
      </c>
      <c r="D8" s="0" t="n">
        <f aca="false">D6*D7/100</f>
        <v>31296.904011</v>
      </c>
      <c r="E8" s="0" t="n">
        <f aca="false">E6*E7/100</f>
        <v>33305.72854752</v>
      </c>
      <c r="F8" s="0" t="n">
        <f aca="false">F6*F7/100</f>
        <v>35425.184000544</v>
      </c>
      <c r="G8" s="0" t="n">
        <f aca="false">G6*G7/100</f>
        <v>37430.6430281304</v>
      </c>
      <c r="H8" s="0" t="n">
        <f aca="false">H6*H7/100</f>
        <v>39544.8573705984</v>
      </c>
      <c r="I8" s="0" t="n">
        <f aca="false">I6*I7/100</f>
        <v>41126.6516654223</v>
      </c>
      <c r="J8" s="0" t="n">
        <f aca="false">J6*J7/100</f>
        <v>42566.0844737121</v>
      </c>
      <c r="K8" s="0" t="n">
        <f aca="false">K6*K7/100</f>
        <v>43843.0670079235</v>
      </c>
      <c r="L8" s="0" t="n">
        <f aca="false">L6*L7/100</f>
        <v>44939.1436831215</v>
      </c>
    </row>
    <row r="9" customFormat="false" ht="15" hidden="false" customHeight="false" outlineLevel="0" collapsed="false">
      <c r="A9" s="0" t="s">
        <v>109</v>
      </c>
      <c r="C9" s="4" t="n">
        <f aca="false">Assumptions!C29</f>
        <v>0.22</v>
      </c>
      <c r="D9" s="4" t="n">
        <f aca="false">Assumptions!D29</f>
        <v>0.22</v>
      </c>
      <c r="E9" s="4" t="n">
        <f aca="false">Assumptions!E29</f>
        <v>0.22</v>
      </c>
      <c r="F9" s="4" t="n">
        <f aca="false">Assumptions!F29</f>
        <v>0.22</v>
      </c>
      <c r="G9" s="4" t="n">
        <f aca="false">Assumptions!G29</f>
        <v>0.22</v>
      </c>
      <c r="H9" s="4" t="n">
        <f aca="false">Assumptions!H29</f>
        <v>0.22</v>
      </c>
      <c r="I9" s="4" t="n">
        <f aca="false">Assumptions!I29</f>
        <v>0.22</v>
      </c>
      <c r="J9" s="4" t="n">
        <f aca="false">Assumptions!J29</f>
        <v>0.22</v>
      </c>
      <c r="K9" s="4" t="n">
        <f aca="false">Assumptions!K29</f>
        <v>0.22</v>
      </c>
      <c r="L9" s="4" t="n">
        <f aca="false">Assumptions!L29</f>
        <v>0.22</v>
      </c>
    </row>
    <row r="10" customFormat="false" ht="15" hidden="false" customHeight="false" outlineLevel="0" collapsed="false">
      <c r="A10" s="0" t="s">
        <v>124</v>
      </c>
      <c r="C10" s="0" t="n">
        <f aca="false">-C6*C9/100</f>
        <v>-154.708884</v>
      </c>
      <c r="D10" s="0" t="n">
        <f aca="false">-D6*D9/100</f>
        <v>-160.12369494</v>
      </c>
      <c r="E10" s="0" t="n">
        <f aca="false">-E6*E9/100</f>
        <v>-166.5286427376</v>
      </c>
      <c r="F10" s="0" t="n">
        <f aca="false">-F6*F9/100</f>
        <v>-173.189788447104</v>
      </c>
      <c r="G10" s="0" t="n">
        <f aca="false">-G6*G9/100</f>
        <v>-180.983328927224</v>
      </c>
      <c r="H10" s="0" t="n">
        <f aca="false">-H6*H9/100</f>
        <v>-189.127578728949</v>
      </c>
      <c r="I10" s="0" t="n">
        <f aca="false">-I6*I9/100</f>
        <v>-196.692681878107</v>
      </c>
      <c r="J10" s="0" t="n">
        <f aca="false">-J6*J9/100</f>
        <v>-203.57692574384</v>
      </c>
      <c r="K10" s="0" t="n">
        <f aca="false">-K6*K9/100</f>
        <v>-209.684233516156</v>
      </c>
      <c r="L10" s="0" t="n">
        <f aca="false">-L6*L9/100</f>
        <v>-214.926339354059</v>
      </c>
    </row>
    <row r="11" customFormat="false" ht="15" hidden="false" customHeight="false" outlineLevel="0" collapsed="false">
      <c r="A11" s="0" t="s">
        <v>125</v>
      </c>
      <c r="C11" s="0" t="n">
        <f aca="false">C8+C10+C24</f>
        <v>29380.623516</v>
      </c>
      <c r="D11" s="0" t="n">
        <f aca="false">D8+D10+D24</f>
        <v>31136.78031606</v>
      </c>
      <c r="E11" s="0" t="n">
        <f aca="false">E8+E10+E24</f>
        <v>33139.1999047824</v>
      </c>
      <c r="F11" s="0" t="n">
        <f aca="false">F8+F10+F24</f>
        <v>35251.9942120969</v>
      </c>
      <c r="G11" s="0" t="n">
        <f aca="false">G8+G10+G24</f>
        <v>37249.6596992031</v>
      </c>
      <c r="H11" s="0" t="n">
        <f aca="false">H8+H10+H24</f>
        <v>39355.7297918694</v>
      </c>
      <c r="I11" s="0" t="n">
        <f aca="false">I8+I10+I24</f>
        <v>40929.9589835442</v>
      </c>
      <c r="J11" s="0" t="n">
        <f aca="false">J8+J10+J24</f>
        <v>42362.5075479682</v>
      </c>
      <c r="K11" s="0" t="n">
        <f aca="false">K8+K10+K24</f>
        <v>43633.3827744073</v>
      </c>
      <c r="L11" s="0" t="n">
        <f aca="false">L8+L10+L24</f>
        <v>44724.2173437675</v>
      </c>
    </row>
    <row r="12" customFormat="false" ht="15" hidden="false" customHeight="false" outlineLevel="0" collapsed="false">
      <c r="A12" s="0" t="s">
        <v>126</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127</v>
      </c>
      <c r="C13" s="0" t="n">
        <f aca="false">C11+C12</f>
        <v>29380.623516</v>
      </c>
      <c r="D13" s="0" t="n">
        <f aca="false">D11+D12</f>
        <v>31136.78031606</v>
      </c>
      <c r="E13" s="0" t="n">
        <f aca="false">E11+E12</f>
        <v>33139.1999047824</v>
      </c>
      <c r="F13" s="0" t="n">
        <f aca="false">F11+F12</f>
        <v>35251.9942120969</v>
      </c>
      <c r="G13" s="0" t="n">
        <f aca="false">G11+G12</f>
        <v>37249.6596992031</v>
      </c>
      <c r="H13" s="0" t="n">
        <f aca="false">H11+H12</f>
        <v>39355.7297918694</v>
      </c>
      <c r="I13" s="0" t="n">
        <f aca="false">I11+I12</f>
        <v>40929.9589835442</v>
      </c>
      <c r="J13" s="0" t="n">
        <f aca="false">J11+J12</f>
        <v>42362.5075479682</v>
      </c>
      <c r="K13" s="0" t="n">
        <f aca="false">K11+K12</f>
        <v>43633.3827744073</v>
      </c>
      <c r="L13" s="0" t="n">
        <f aca="false">L11+L12</f>
        <v>44724.2173437675</v>
      </c>
    </row>
    <row r="14" customFormat="false" ht="15" hidden="false" customHeight="false" outlineLevel="0" collapsed="false">
      <c r="A14" s="0" t="s">
        <v>113</v>
      </c>
      <c r="C14" s="4" t="n">
        <f aca="false">Assumptions!C33</f>
        <v>29.5</v>
      </c>
      <c r="D14" s="4" t="n">
        <f aca="false">Assumptions!D33</f>
        <v>29.5</v>
      </c>
      <c r="E14" s="4" t="n">
        <f aca="false">Assumptions!E33</f>
        <v>29.5</v>
      </c>
      <c r="F14" s="4" t="n">
        <f aca="false">Assumptions!F33</f>
        <v>29.5</v>
      </c>
      <c r="G14" s="4" t="n">
        <f aca="false">Assumptions!G33</f>
        <v>29.5</v>
      </c>
      <c r="H14" s="4" t="n">
        <f aca="false">Assumptions!H33</f>
        <v>29.5</v>
      </c>
      <c r="I14" s="4" t="n">
        <f aca="false">Assumptions!I33</f>
        <v>29.5</v>
      </c>
      <c r="J14" s="4" t="n">
        <f aca="false">Assumptions!J33</f>
        <v>29.5</v>
      </c>
      <c r="K14" s="4" t="n">
        <f aca="false">Assumptions!K33</f>
        <v>29.5</v>
      </c>
      <c r="L14" s="4" t="n">
        <f aca="false">Assumptions!L33</f>
        <v>29.5</v>
      </c>
    </row>
    <row r="15" customFormat="false" ht="15" hidden="false" customHeight="false" outlineLevel="0" collapsed="false">
      <c r="A15" s="0" t="s">
        <v>128</v>
      </c>
      <c r="C15" s="0" t="n">
        <f aca="false">C13-MAX(0,C13)*C14/100</f>
        <v>20713.33957878</v>
      </c>
      <c r="D15" s="0" t="n">
        <f aca="false">D13-MAX(0,D13)*D14/100</f>
        <v>21951.4301228223</v>
      </c>
      <c r="E15" s="0" t="n">
        <f aca="false">E13-MAX(0,E13)*E14/100</f>
        <v>23363.1359328716</v>
      </c>
      <c r="F15" s="0" t="n">
        <f aca="false">F13-MAX(0,F13)*F14/100</f>
        <v>24852.6559195283</v>
      </c>
      <c r="G15" s="0" t="n">
        <f aca="false">G13-MAX(0,G13)*G14/100</f>
        <v>26261.0100879382</v>
      </c>
      <c r="H15" s="0" t="n">
        <f aca="false">H13-MAX(0,H13)*H14/100</f>
        <v>27745.7895032679</v>
      </c>
      <c r="I15" s="0" t="n">
        <f aca="false">I13-MAX(0,I13)*I14/100</f>
        <v>28855.6210833987</v>
      </c>
      <c r="J15" s="0" t="n">
        <f aca="false">J13-MAX(0,J13)*J14/100</f>
        <v>29865.5678213176</v>
      </c>
      <c r="K15" s="0" t="n">
        <f aca="false">K13-MAX(0,K13)*K14/100</f>
        <v>30761.5348559571</v>
      </c>
      <c r="L15" s="0" t="n">
        <f aca="false">L13-MAX(0,L13)*L14/100</f>
        <v>31530.5732273561</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-C6*Assumptions!C32/100</f>
        <v>-7735.4442</v>
      </c>
      <c r="D17" s="4" t="n">
        <f aca="false">-D6*Assumptions!D32/100</f>
        <v>-7642.2672585</v>
      </c>
      <c r="E17" s="4" t="n">
        <f aca="false">-E6*Assumptions!E32/100</f>
        <v>-7569.4837608</v>
      </c>
      <c r="F17" s="4" t="n">
        <f aca="false">-F6*Assumptions!F32/100</f>
        <v>-7478.6499556704</v>
      </c>
      <c r="G17" s="4" t="n">
        <f aca="false">-G6*Assumptions!G32/100</f>
        <v>-7815.18920367557</v>
      </c>
      <c r="H17" s="4" t="n">
        <f aca="false">-H6*Assumptions!H32/100</f>
        <v>-7737.03731163881</v>
      </c>
      <c r="I17" s="4" t="n">
        <f aca="false">-I6*Assumptions!I32/100</f>
        <v>-7152.46115920388</v>
      </c>
      <c r="J17" s="4" t="n">
        <f aca="false">-J6*Assumptions!J32/100</f>
        <v>-6477.44763730401</v>
      </c>
      <c r="K17" s="4" t="n">
        <f aca="false">-K6*Assumptions!K32/100</f>
        <v>-6195.21599025005</v>
      </c>
      <c r="L17" s="4" t="n">
        <f aca="false">-L6*Assumptions!L32/100</f>
        <v>-5861.6274369289</v>
      </c>
    </row>
    <row r="18" customFormat="false" ht="15" hidden="false" customHeight="false" outlineLevel="0" collapsed="false">
      <c r="A18" s="0" t="s">
        <v>131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132</v>
      </c>
      <c r="C19" s="0" t="n">
        <f aca="false">C15+C16+C17+C18</f>
        <v>12977.89537878</v>
      </c>
      <c r="D19" s="0" t="n">
        <f aca="false">D15+D16+D17+D18</f>
        <v>14309.1628643223</v>
      </c>
      <c r="E19" s="0" t="n">
        <f aca="false">E15+E16+E17+E18</f>
        <v>15793.6521720716</v>
      </c>
      <c r="F19" s="0" t="n">
        <f aca="false">F15+F16+F17+F18</f>
        <v>17374.0059638579</v>
      </c>
      <c r="G19" s="0" t="n">
        <f aca="false">G15+G16+G17+G18</f>
        <v>18445.8208842626</v>
      </c>
      <c r="H19" s="0" t="n">
        <f aca="false">H15+H16+H17+H18</f>
        <v>20008.7521916291</v>
      </c>
      <c r="I19" s="0" t="n">
        <f aca="false">I15+I16+I17+I18</f>
        <v>21703.1599241948</v>
      </c>
      <c r="J19" s="0" t="n">
        <f aca="false">J15+J16+J17+J18</f>
        <v>23388.1201840136</v>
      </c>
      <c r="K19" s="0" t="n">
        <f aca="false">K15+K16+K17+K18</f>
        <v>24566.3188657071</v>
      </c>
      <c r="L19" s="0" t="n">
        <f aca="false">L15+L16+L17+L18</f>
        <v>25668.9457904272</v>
      </c>
    </row>
    <row r="20" customFormat="false" ht="15" hidden="false" customHeight="false" outlineLevel="0" collapsed="false">
      <c r="A20" s="0" t="s">
        <v>133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134</v>
      </c>
      <c r="C21" s="0" t="n">
        <f aca="false">C19*C20</f>
        <v>11798.0867079818</v>
      </c>
      <c r="D21" s="0" t="n">
        <f aca="false">D19*D20</f>
        <v>11825.7544333242</v>
      </c>
      <c r="E21" s="0" t="n">
        <f aca="false">E19*E20</f>
        <v>11866.0046371687</v>
      </c>
      <c r="F21" s="0" t="n">
        <f aca="false">F19*F20</f>
        <v>11866.6798469079</v>
      </c>
      <c r="G21" s="0" t="n">
        <f aca="false">G19*G20</f>
        <v>11453.4035083685</v>
      </c>
      <c r="H21" s="0" t="n">
        <f aca="false">H19*H20</f>
        <v>11294.418985081</v>
      </c>
      <c r="I21" s="0" t="n">
        <f aca="false">I19*I20</f>
        <v>11137.1527063599</v>
      </c>
      <c r="J21" s="0" t="n">
        <f aca="false">J19*J20</f>
        <v>10910.7306750746</v>
      </c>
      <c r="K21" s="0" t="n">
        <f aca="false">K19*K20</f>
        <v>10418.5173231254</v>
      </c>
      <c r="L21" s="0" t="n">
        <f aca="false">L19*L20</f>
        <v>9896.48979622962</v>
      </c>
    </row>
    <row r="23" customFormat="false" ht="15" hidden="false" customHeight="false" outlineLevel="0" collapsed="false">
      <c r="A23" s="0" t="s">
        <v>110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Assumptions!$B$34</f>
        <v>10</v>
      </c>
    </row>
    <row r="28" customFormat="false" ht="15" hidden="false" customHeight="false" outlineLevel="0" collapsed="false">
      <c r="A28" s="0" t="s">
        <v>115</v>
      </c>
      <c r="B28" s="4" t="n">
        <f aca="false">Assumptions!$B$35</f>
        <v>2.5</v>
      </c>
    </row>
    <row r="29" customFormat="false" ht="15" hidden="false" customHeight="false" outlineLevel="0" collapsed="false">
      <c r="A29" s="0" t="s">
        <v>116</v>
      </c>
      <c r="B29" s="4" t="n">
        <f aca="false">Assumptions!$B$36</f>
        <v>14</v>
      </c>
    </row>
    <row r="30" customFormat="false" ht="15" hidden="false" customHeight="false" outlineLevel="0" collapsed="false">
      <c r="A30" s="0" t="s">
        <v>137</v>
      </c>
      <c r="B30" s="0" t="n">
        <f aca="false">SUM(C21:L21)</f>
        <v>112467.238619622</v>
      </c>
    </row>
    <row r="31" customFormat="false" ht="15" hidden="false" customHeight="false" outlineLevel="0" collapsed="false">
      <c r="A31" s="0" t="s">
        <v>138</v>
      </c>
      <c r="B31" s="0" t="n">
        <f aca="false">L19</f>
        <v>25668.9457904272</v>
      </c>
    </row>
    <row r="32" customFormat="false" ht="15" hidden="false" customHeight="false" outlineLevel="0" collapsed="false">
      <c r="A32" s="0" t="s">
        <v>139</v>
      </c>
      <c r="B32" s="0" t="n">
        <f aca="false">IF(B27&gt;B28,B31*(1+B28/100)/((B27-B28)/100),B31*B29)</f>
        <v>350808.925802505</v>
      </c>
    </row>
    <row r="33" customFormat="false" ht="15" hidden="false" customHeight="false" outlineLevel="0" collapsed="false">
      <c r="A33" s="0" t="s">
        <v>140</v>
      </c>
      <c r="B33" s="0" t="n">
        <f aca="false">B31*B29</f>
        <v>359365.24106598</v>
      </c>
    </row>
    <row r="34" customFormat="false" ht="15" hidden="false" customHeight="false" outlineLevel="0" collapsed="false">
      <c r="A34" s="0" t="s">
        <v>141</v>
      </c>
      <c r="B34" s="0" t="n">
        <f aca="false">MAX(0,MIN(B32,B33))</f>
        <v>350808.925802505</v>
      </c>
    </row>
    <row r="35" customFormat="false" ht="15" hidden="false" customHeight="false" outlineLevel="0" collapsed="false">
      <c r="A35" s="0" t="s">
        <v>142</v>
      </c>
      <c r="B35" s="0" t="n">
        <f aca="false">B34/(1+B27/100)^L4</f>
        <v>135252.027215138</v>
      </c>
    </row>
    <row r="36" customFormat="false" ht="15" hidden="false" customHeight="false" outlineLevel="0" collapsed="false">
      <c r="A36" s="0" t="s">
        <v>143</v>
      </c>
      <c r="B36" s="0" t="n">
        <f aca="false">B30+B35</f>
        <v>247719.26583476</v>
      </c>
    </row>
    <row r="37" customFormat="false" ht="15" hidden="false" customHeight="false" outlineLevel="0" collapsed="false">
      <c r="A37" s="0" t="s">
        <v>144</v>
      </c>
      <c r="B37" s="0" t="n">
        <f aca="false">B36+Assumptions!$B$5-Assumptions!$B$4</f>
        <v>247719.26583476</v>
      </c>
    </row>
    <row r="38" customFormat="false" ht="15" hidden="false" customHeight="false" outlineLevel="0" collapsed="false">
      <c r="A38" s="0" t="s">
        <v>145</v>
      </c>
      <c r="B38" s="0" t="n">
        <f aca="false">B37/Assumptions!$B$3*Assumptions!$B$10</f>
        <v>124.721525110645</v>
      </c>
    </row>
    <row r="39" customFormat="false" ht="15" hidden="false" customHeight="false" outlineLevel="0" collapsed="false">
      <c r="A39" s="0" t="s">
        <v>146</v>
      </c>
      <c r="B39" s="4" t="n">
        <f aca="false">B38/Assumptions!$B$2-1</f>
        <v>-0.208619764526365</v>
      </c>
    </row>
    <row r="41" customFormat="false" ht="15" hidden="false" customHeight="false" outlineLevel="0" collapsed="false">
      <c r="A41" s="0" t="s">
        <v>147</v>
      </c>
      <c r="B41" s="0" t="n">
        <f aca="false">SUMPRODUCT(-C10:L10/(1+$B$27/100)^C4:L4)</f>
        <v>1103.21303448796</v>
      </c>
    </row>
    <row r="42" customFormat="false" ht="15" hidden="false" customHeight="false" outlineLevel="0" collapsed="false">
      <c r="A42" s="0" t="s">
        <v>148</v>
      </c>
      <c r="B42" s="0" t="n">
        <f aca="false">IF(B27&gt;B28,-L10*(1+B28/100)/((B27-B28)/100),-L10*20)/(1+B27/100)^L4</f>
        <v>1132.46657408136</v>
      </c>
    </row>
    <row r="43" customFormat="false" ht="15" hidden="false" customHeight="false" outlineLevel="0" collapsed="false">
      <c r="A43" s="0" t="s">
        <v>149</v>
      </c>
      <c r="B43" s="0" t="n">
        <f aca="false">(B37+B41+B42)/Assumptions!$B$3*Assumptions!$B$10</f>
        <v>125.84714353802</v>
      </c>
    </row>
    <row r="45" customFormat="false" ht="15" hidden="false" customHeight="false" outlineLevel="0" collapsed="false">
      <c r="A45" s="0" t="s">
        <v>90</v>
      </c>
      <c r="B45" s="4" t="n">
        <f aca="false">Assumptions!$B$6</f>
        <v>15</v>
      </c>
    </row>
    <row r="46" customFormat="false" ht="15" hidden="false" customHeight="false" outlineLevel="0" collapsed="false">
      <c r="A46" s="0" t="s">
        <v>150</v>
      </c>
      <c r="B46" s="0" t="n">
        <f aca="false">MAX(0,MIN(IF(B45&gt;B28,B31*(1+B28/100)/((B45-B28)/100),B31*B29),B31*B29))</f>
        <v>210485.355481503</v>
      </c>
    </row>
    <row r="47" customFormat="false" ht="15" hidden="false" customHeight="false" outlineLevel="0" collapsed="false">
      <c r="A47" s="0" t="s">
        <v>151</v>
      </c>
      <c r="B47" s="0" t="n">
        <f aca="false">(SUMPRODUCT(C19:L19/(1+B45/100)^C4:L4)+B46/(1+B45/100)^L4+Assumptions!$B$5-Assumptions!$B$4)/Assumptions!$B$3*Assumptions!$B$10</f>
        <v>71.1949738538637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122</v>
      </c>
      <c r="B3" s="0" t="s">
        <v>83</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Assumptions!C41</f>
        <v>5</v>
      </c>
      <c r="D5" s="4" t="n">
        <f aca="false">Assumptions!D41</f>
        <v>5.5</v>
      </c>
      <c r="E5" s="4" t="n">
        <f aca="false">Assumptions!E41</f>
        <v>6</v>
      </c>
      <c r="F5" s="4" t="n">
        <f aca="false">Assumptions!F41</f>
        <v>6</v>
      </c>
      <c r="G5" s="4" t="n">
        <f aca="false">Assumptions!G41</f>
        <v>6</v>
      </c>
      <c r="H5" s="4" t="n">
        <f aca="false">Assumptions!H41</f>
        <v>5.5</v>
      </c>
      <c r="I5" s="4" t="n">
        <f aca="false">Assumptions!I41</f>
        <v>5</v>
      </c>
      <c r="J5" s="4" t="n">
        <f aca="false">Assumptions!J41</f>
        <v>4.5</v>
      </c>
      <c r="K5" s="4" t="n">
        <f aca="false">Assumptions!K41</f>
        <v>4</v>
      </c>
      <c r="L5" s="4" t="n">
        <f aca="false">Assumptions!L41</f>
        <v>3.5</v>
      </c>
    </row>
    <row r="6" customFormat="false" ht="15" hidden="false" customHeight="false" outlineLevel="0" collapsed="false">
      <c r="A6" s="0" t="s">
        <v>38</v>
      </c>
      <c r="B6" s="3" t="n">
        <v>68274</v>
      </c>
      <c r="C6" s="0" t="n">
        <f aca="false">B6*(1+C5/100)</f>
        <v>71687.7</v>
      </c>
      <c r="D6" s="0" t="n">
        <f aca="false">C6*(1+D5/100)</f>
        <v>75630.5235</v>
      </c>
      <c r="E6" s="0" t="n">
        <f aca="false">D6*(1+E5/100)</f>
        <v>80168.35491</v>
      </c>
      <c r="F6" s="0" t="n">
        <f aca="false">E6*(1+F5/100)</f>
        <v>84978.4562046</v>
      </c>
      <c r="G6" s="0" t="n">
        <f aca="false">F6*(1+G5/100)</f>
        <v>90077.163576876</v>
      </c>
      <c r="H6" s="0" t="n">
        <f aca="false">G6*(1+H5/100)</f>
        <v>95031.4075736042</v>
      </c>
      <c r="I6" s="0" t="n">
        <f aca="false">H6*(1+I5/100)</f>
        <v>99782.9779522844</v>
      </c>
      <c r="J6" s="0" t="n">
        <f aca="false">I6*(1+J5/100)</f>
        <v>104273.211960137</v>
      </c>
      <c r="K6" s="0" t="n">
        <f aca="false">J6*(1+K5/100)</f>
        <v>108444.140438543</v>
      </c>
      <c r="L6" s="0" t="n">
        <f aca="false">K6*(1+L5/100)</f>
        <v>112239.685353892</v>
      </c>
    </row>
    <row r="7" customFormat="false" ht="15" hidden="false" customHeight="false" outlineLevel="0" collapsed="false">
      <c r="A7" s="0" t="s">
        <v>108</v>
      </c>
      <c r="C7" s="4" t="n">
        <f aca="false">Assumptions!C42</f>
        <v>45</v>
      </c>
      <c r="D7" s="4" t="n">
        <f aca="false">Assumptions!D42</f>
        <v>47</v>
      </c>
      <c r="E7" s="4" t="n">
        <f aca="false">Assumptions!E42</f>
        <v>49</v>
      </c>
      <c r="F7" s="4" t="n">
        <f aca="false">Assumptions!F42</f>
        <v>50</v>
      </c>
      <c r="G7" s="4" t="n">
        <f aca="false">Assumptions!G42</f>
        <v>50.5</v>
      </c>
      <c r="H7" s="4" t="n">
        <f aca="false">Assumptions!H42</f>
        <v>51</v>
      </c>
      <c r="I7" s="4" t="n">
        <f aca="false">Assumptions!I42</f>
        <v>51</v>
      </c>
      <c r="J7" s="4" t="n">
        <f aca="false">Assumptions!J42</f>
        <v>51</v>
      </c>
      <c r="K7" s="4" t="n">
        <f aca="false">Assumptions!K42</f>
        <v>51</v>
      </c>
      <c r="L7" s="4" t="n">
        <f aca="false">Assumptions!L42</f>
        <v>51</v>
      </c>
    </row>
    <row r="8" customFormat="false" ht="15" hidden="false" customHeight="false" outlineLevel="0" collapsed="false">
      <c r="A8" s="0" t="s">
        <v>44</v>
      </c>
      <c r="C8" s="0" t="n">
        <f aca="false">C6*C7/100</f>
        <v>32259.465</v>
      </c>
      <c r="D8" s="0" t="n">
        <f aca="false">D6*D7/100</f>
        <v>35546.346045</v>
      </c>
      <c r="E8" s="0" t="n">
        <f aca="false">E6*E7/100</f>
        <v>39282.4939059</v>
      </c>
      <c r="F8" s="0" t="n">
        <f aca="false">F6*F7/100</f>
        <v>42489.2281023</v>
      </c>
      <c r="G8" s="0" t="n">
        <f aca="false">G6*G7/100</f>
        <v>45488.9676063224</v>
      </c>
      <c r="H8" s="0" t="n">
        <f aca="false">H6*H7/100</f>
        <v>48466.0178625381</v>
      </c>
      <c r="I8" s="0" t="n">
        <f aca="false">I6*I7/100</f>
        <v>50889.318755665</v>
      </c>
      <c r="J8" s="0" t="n">
        <f aca="false">J6*J7/100</f>
        <v>53179.33809967</v>
      </c>
      <c r="K8" s="0" t="n">
        <f aca="false">K6*K7/100</f>
        <v>55306.5116236568</v>
      </c>
      <c r="L8" s="0" t="n">
        <f aca="false">L6*L7/100</f>
        <v>57242.2395304848</v>
      </c>
    </row>
    <row r="9" customFormat="false" ht="15" hidden="false" customHeight="false" outlineLevel="0" collapsed="false">
      <c r="A9" s="0" t="s">
        <v>109</v>
      </c>
      <c r="C9" s="4" t="n">
        <f aca="false">Assumptions!C43</f>
        <v>0.22</v>
      </c>
      <c r="D9" s="4" t="n">
        <f aca="false">Assumptions!D43</f>
        <v>0.22</v>
      </c>
      <c r="E9" s="4" t="n">
        <f aca="false">Assumptions!E43</f>
        <v>0.22</v>
      </c>
      <c r="F9" s="4" t="n">
        <f aca="false">Assumptions!F43</f>
        <v>0.22</v>
      </c>
      <c r="G9" s="4" t="n">
        <f aca="false">Assumptions!G43</f>
        <v>0.22</v>
      </c>
      <c r="H9" s="4" t="n">
        <f aca="false">Assumptions!H43</f>
        <v>0.22</v>
      </c>
      <c r="I9" s="4" t="n">
        <f aca="false">Assumptions!I43</f>
        <v>0.22</v>
      </c>
      <c r="J9" s="4" t="n">
        <f aca="false">Assumptions!J43</f>
        <v>0.22</v>
      </c>
      <c r="K9" s="4" t="n">
        <f aca="false">Assumptions!K43</f>
        <v>0.22</v>
      </c>
      <c r="L9" s="4" t="n">
        <f aca="false">Assumptions!L43</f>
        <v>0.22</v>
      </c>
    </row>
    <row r="10" customFormat="false" ht="15" hidden="false" customHeight="false" outlineLevel="0" collapsed="false">
      <c r="A10" s="0" t="s">
        <v>124</v>
      </c>
      <c r="C10" s="0" t="n">
        <f aca="false">-C6*C9/100</f>
        <v>-157.71294</v>
      </c>
      <c r="D10" s="0" t="n">
        <f aca="false">-D6*D9/100</f>
        <v>-166.3871517</v>
      </c>
      <c r="E10" s="0" t="n">
        <f aca="false">-E6*E9/100</f>
        <v>-176.370380802</v>
      </c>
      <c r="F10" s="0" t="n">
        <f aca="false">-F6*F9/100</f>
        <v>-186.95260365012</v>
      </c>
      <c r="G10" s="0" t="n">
        <f aca="false">-G6*G9/100</f>
        <v>-198.169759869127</v>
      </c>
      <c r="H10" s="0" t="n">
        <f aca="false">-H6*H9/100</f>
        <v>-209.069096661929</v>
      </c>
      <c r="I10" s="0" t="n">
        <f aca="false">-I6*I9/100</f>
        <v>-219.522551495026</v>
      </c>
      <c r="J10" s="0" t="n">
        <f aca="false">-J6*J9/100</f>
        <v>-229.401066312302</v>
      </c>
      <c r="K10" s="0" t="n">
        <f aca="false">-K6*K9/100</f>
        <v>-238.577108964794</v>
      </c>
      <c r="L10" s="0" t="n">
        <f aca="false">-L6*L9/100</f>
        <v>-246.927307778562</v>
      </c>
    </row>
    <row r="11" customFormat="false" ht="15" hidden="false" customHeight="false" outlineLevel="0" collapsed="false">
      <c r="A11" s="0" t="s">
        <v>125</v>
      </c>
      <c r="C11" s="0" t="n">
        <f aca="false">C8+C10+C24</f>
        <v>32101.75206</v>
      </c>
      <c r="D11" s="0" t="n">
        <f aca="false">D8+D10+D24</f>
        <v>35379.9588933</v>
      </c>
      <c r="E11" s="0" t="n">
        <f aca="false">E8+E10+E24</f>
        <v>39106.123525098</v>
      </c>
      <c r="F11" s="0" t="n">
        <f aca="false">F8+F10+F24</f>
        <v>42302.2754986499</v>
      </c>
      <c r="G11" s="0" t="n">
        <f aca="false">G8+G10+G24</f>
        <v>45290.7978464533</v>
      </c>
      <c r="H11" s="0" t="n">
        <f aca="false">H8+H10+H24</f>
        <v>48256.9487658762</v>
      </c>
      <c r="I11" s="0" t="n">
        <f aca="false">I8+I10+I24</f>
        <v>50669.79620417</v>
      </c>
      <c r="J11" s="0" t="n">
        <f aca="false">J8+J10+J24</f>
        <v>52949.9370333577</v>
      </c>
      <c r="K11" s="0" t="n">
        <f aca="false">K8+K10+K24</f>
        <v>55067.934514692</v>
      </c>
      <c r="L11" s="0" t="n">
        <f aca="false">L8+L10+L24</f>
        <v>56995.3122227062</v>
      </c>
    </row>
    <row r="12" customFormat="false" ht="15" hidden="false" customHeight="false" outlineLevel="0" collapsed="false">
      <c r="A12" s="0" t="s">
        <v>126</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127</v>
      </c>
      <c r="C13" s="0" t="n">
        <f aca="false">C11+C12</f>
        <v>32101.75206</v>
      </c>
      <c r="D13" s="0" t="n">
        <f aca="false">D11+D12</f>
        <v>35379.9588933</v>
      </c>
      <c r="E13" s="0" t="n">
        <f aca="false">E11+E12</f>
        <v>39106.123525098</v>
      </c>
      <c r="F13" s="0" t="n">
        <f aca="false">F11+F12</f>
        <v>42302.2754986499</v>
      </c>
      <c r="G13" s="0" t="n">
        <f aca="false">G11+G12</f>
        <v>45290.7978464533</v>
      </c>
      <c r="H13" s="0" t="n">
        <f aca="false">H11+H12</f>
        <v>48256.9487658762</v>
      </c>
      <c r="I13" s="0" t="n">
        <f aca="false">I11+I12</f>
        <v>50669.79620417</v>
      </c>
      <c r="J13" s="0" t="n">
        <f aca="false">J11+J12</f>
        <v>52949.9370333577</v>
      </c>
      <c r="K13" s="0" t="n">
        <f aca="false">K11+K12</f>
        <v>55067.934514692</v>
      </c>
      <c r="L13" s="0" t="n">
        <f aca="false">L11+L12</f>
        <v>56995.3122227062</v>
      </c>
    </row>
    <row r="14" customFormat="false" ht="15" hidden="false" customHeight="false" outlineLevel="0" collapsed="false">
      <c r="A14" s="0" t="s">
        <v>113</v>
      </c>
      <c r="C14" s="4" t="n">
        <f aca="false">Assumptions!C47</f>
        <v>29.5</v>
      </c>
      <c r="D14" s="4" t="n">
        <f aca="false">Assumptions!D47</f>
        <v>29.5</v>
      </c>
      <c r="E14" s="4" t="n">
        <f aca="false">Assumptions!E47</f>
        <v>29.5</v>
      </c>
      <c r="F14" s="4" t="n">
        <f aca="false">Assumptions!F47</f>
        <v>29.5</v>
      </c>
      <c r="G14" s="4" t="n">
        <f aca="false">Assumptions!G47</f>
        <v>29.5</v>
      </c>
      <c r="H14" s="4" t="n">
        <f aca="false">Assumptions!H47</f>
        <v>29.5</v>
      </c>
      <c r="I14" s="4" t="n">
        <f aca="false">Assumptions!I47</f>
        <v>29.5</v>
      </c>
      <c r="J14" s="4" t="n">
        <f aca="false">Assumptions!J47</f>
        <v>29.5</v>
      </c>
      <c r="K14" s="4" t="n">
        <f aca="false">Assumptions!K47</f>
        <v>29.5</v>
      </c>
      <c r="L14" s="4" t="n">
        <f aca="false">Assumptions!L47</f>
        <v>29.5</v>
      </c>
    </row>
    <row r="15" customFormat="false" ht="15" hidden="false" customHeight="false" outlineLevel="0" collapsed="false">
      <c r="A15" s="0" t="s">
        <v>128</v>
      </c>
      <c r="C15" s="0" t="n">
        <f aca="false">C13-MAX(0,C13)*C14/100</f>
        <v>22631.7352023</v>
      </c>
      <c r="D15" s="0" t="n">
        <f aca="false">D13-MAX(0,D13)*D14/100</f>
        <v>24942.8710197765</v>
      </c>
      <c r="E15" s="0" t="n">
        <f aca="false">E13-MAX(0,E13)*E14/100</f>
        <v>27569.8170851941</v>
      </c>
      <c r="F15" s="0" t="n">
        <f aca="false">F13-MAX(0,F13)*F14/100</f>
        <v>29823.1042265482</v>
      </c>
      <c r="G15" s="0" t="n">
        <f aca="false">G13-MAX(0,G13)*G14/100</f>
        <v>31930.0124817495</v>
      </c>
      <c r="H15" s="0" t="n">
        <f aca="false">H13-MAX(0,H13)*H14/100</f>
        <v>34021.1488799427</v>
      </c>
      <c r="I15" s="0" t="n">
        <f aca="false">I13-MAX(0,I13)*I14/100</f>
        <v>35722.2063239399</v>
      </c>
      <c r="J15" s="0" t="n">
        <f aca="false">J13-MAX(0,J13)*J14/100</f>
        <v>37329.7056085172</v>
      </c>
      <c r="K15" s="0" t="n">
        <f aca="false">K13-MAX(0,K13)*K14/100</f>
        <v>38822.8938328578</v>
      </c>
      <c r="L15" s="0" t="n">
        <f aca="false">L13-MAX(0,L13)*L14/100</f>
        <v>40181.6951170079</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-C6*Assumptions!C46/100</f>
        <v>-9319.401</v>
      </c>
      <c r="D17" s="4" t="n">
        <f aca="false">-D6*Assumptions!D46/100</f>
        <v>-9453.8154375</v>
      </c>
      <c r="E17" s="4" t="n">
        <f aca="false">-E6*Assumptions!E46/100</f>
        <v>-9620.2025892</v>
      </c>
      <c r="F17" s="4" t="n">
        <f aca="false">-F6*Assumptions!F46/100</f>
        <v>-9347.630182506</v>
      </c>
      <c r="G17" s="4" t="n">
        <f aca="false">-G6*Assumptions!G46/100</f>
        <v>-9458.10217557198</v>
      </c>
      <c r="H17" s="4" t="n">
        <f aca="false">-H6*Assumptions!H46/100</f>
        <v>-9027.9837194924</v>
      </c>
      <c r="I17" s="4" t="n">
        <f aca="false">-I6*Assumptions!I46/100</f>
        <v>-8481.55312594417</v>
      </c>
      <c r="J17" s="4" t="n">
        <f aca="false">-J6*Assumptions!J46/100</f>
        <v>-7820.49089701029</v>
      </c>
      <c r="K17" s="4" t="n">
        <f aca="false">-K6*Assumptions!K46/100</f>
        <v>-7591.08983069799</v>
      </c>
      <c r="L17" s="4" t="n">
        <f aca="false">-L6*Assumptions!L46/100</f>
        <v>-7295.57954800296</v>
      </c>
    </row>
    <row r="18" customFormat="false" ht="15" hidden="false" customHeight="false" outlineLevel="0" collapsed="false">
      <c r="A18" s="0" t="s">
        <v>131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132</v>
      </c>
      <c r="C19" s="0" t="n">
        <f aca="false">C15+C16+C17+C18</f>
        <v>13312.3342023</v>
      </c>
      <c r="D19" s="0" t="n">
        <f aca="false">D15+D16+D17+D18</f>
        <v>15489.0555822765</v>
      </c>
      <c r="E19" s="0" t="n">
        <f aca="false">E15+E16+E17+E18</f>
        <v>17949.6144959941</v>
      </c>
      <c r="F19" s="0" t="n">
        <f aca="false">F15+F16+F17+F18</f>
        <v>20475.4740440422</v>
      </c>
      <c r="G19" s="0" t="n">
        <f aca="false">G15+G16+G17+G18</f>
        <v>22471.9103061776</v>
      </c>
      <c r="H19" s="0" t="n">
        <f aca="false">H15+H16+H17+H18</f>
        <v>24993.1651604503</v>
      </c>
      <c r="I19" s="0" t="n">
        <f aca="false">I15+I16+I17+I18</f>
        <v>27240.6531979957</v>
      </c>
      <c r="J19" s="0" t="n">
        <f aca="false">J15+J16+J17+J18</f>
        <v>29509.2147115069</v>
      </c>
      <c r="K19" s="0" t="n">
        <f aca="false">K15+K16+K17+K18</f>
        <v>31231.8040021598</v>
      </c>
      <c r="L19" s="0" t="n">
        <f aca="false">L15+L16+L17+L18</f>
        <v>32886.1155690049</v>
      </c>
    </row>
    <row r="20" customFormat="false" ht="15" hidden="false" customHeight="false" outlineLevel="0" collapsed="false">
      <c r="A20" s="0" t="s">
        <v>133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134</v>
      </c>
      <c r="C21" s="0" t="n">
        <f aca="false">C19*C20</f>
        <v>12102.1220020909</v>
      </c>
      <c r="D21" s="0" t="n">
        <f aca="false">D19*D20</f>
        <v>12800.8723820467</v>
      </c>
      <c r="E21" s="0" t="n">
        <f aca="false">E19*E20</f>
        <v>13485.8110413179</v>
      </c>
      <c r="F21" s="0" t="n">
        <f aca="false">F19*F20</f>
        <v>13985.0242770591</v>
      </c>
      <c r="G21" s="0" t="n">
        <f aca="false">G19*G20</f>
        <v>13953.2882789784</v>
      </c>
      <c r="H21" s="0" t="n">
        <f aca="false">H19*H20</f>
        <v>14107.9901626025</v>
      </c>
      <c r="I21" s="0" t="n">
        <f aca="false">I19*I20</f>
        <v>13978.7623344587</v>
      </c>
      <c r="J21" s="0" t="n">
        <f aca="false">J19*J20</f>
        <v>13766.2664471116</v>
      </c>
      <c r="K21" s="0" t="n">
        <f aca="false">K19*K20</f>
        <v>13245.3336947922</v>
      </c>
      <c r="L21" s="0" t="n">
        <f aca="false">L19*L20</f>
        <v>12679.0211730339</v>
      </c>
    </row>
    <row r="23" customFormat="false" ht="15" hidden="false" customHeight="false" outlineLevel="0" collapsed="false">
      <c r="A23" s="0" t="s">
        <v>110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Assumptions!$B$48</f>
        <v>10</v>
      </c>
    </row>
    <row r="28" customFormat="false" ht="15" hidden="false" customHeight="false" outlineLevel="0" collapsed="false">
      <c r="A28" s="0" t="s">
        <v>115</v>
      </c>
      <c r="B28" s="4" t="n">
        <f aca="false">Assumptions!$B$49</f>
        <v>3.5</v>
      </c>
    </row>
    <row r="29" customFormat="false" ht="15" hidden="false" customHeight="false" outlineLevel="0" collapsed="false">
      <c r="A29" s="0" t="s">
        <v>116</v>
      </c>
      <c r="B29" s="4" t="n">
        <f aca="false">Assumptions!$B$50</f>
        <v>16</v>
      </c>
    </row>
    <row r="30" customFormat="false" ht="15" hidden="false" customHeight="false" outlineLevel="0" collapsed="false">
      <c r="A30" s="0" t="s">
        <v>137</v>
      </c>
      <c r="B30" s="0" t="n">
        <f aca="false">SUM(C21:L21)</f>
        <v>134104.491793492</v>
      </c>
    </row>
    <row r="31" customFormat="false" ht="15" hidden="false" customHeight="false" outlineLevel="0" collapsed="false">
      <c r="A31" s="0" t="s">
        <v>138</v>
      </c>
      <c r="B31" s="0" t="n">
        <f aca="false">L19</f>
        <v>32886.1155690049</v>
      </c>
    </row>
    <row r="32" customFormat="false" ht="15" hidden="false" customHeight="false" outlineLevel="0" collapsed="false">
      <c r="A32" s="0" t="s">
        <v>139</v>
      </c>
      <c r="B32" s="0" t="n">
        <f aca="false">IF(B27&gt;B28,B31*(1+B28/100)/((B27-B28)/100),B31*B29)</f>
        <v>523648.147906463</v>
      </c>
    </row>
    <row r="33" customFormat="false" ht="15" hidden="false" customHeight="false" outlineLevel="0" collapsed="false">
      <c r="A33" s="0" t="s">
        <v>140</v>
      </c>
      <c r="B33" s="0" t="n">
        <f aca="false">B31*B29</f>
        <v>526177.849104079</v>
      </c>
    </row>
    <row r="34" customFormat="false" ht="15" hidden="false" customHeight="false" outlineLevel="0" collapsed="false">
      <c r="A34" s="0" t="s">
        <v>141</v>
      </c>
      <c r="B34" s="0" t="n">
        <f aca="false">MAX(0,MIN(B32,B33))</f>
        <v>523648.147906463</v>
      </c>
    </row>
    <row r="35" customFormat="false" ht="15" hidden="false" customHeight="false" outlineLevel="0" collapsed="false">
      <c r="A35" s="0" t="s">
        <v>142</v>
      </c>
      <c r="B35" s="0" t="n">
        <f aca="false">B34/(1+B27/100)^L4</f>
        <v>201889.029447539</v>
      </c>
    </row>
    <row r="36" customFormat="false" ht="15" hidden="false" customHeight="false" outlineLevel="0" collapsed="false">
      <c r="A36" s="0" t="s">
        <v>143</v>
      </c>
      <c r="B36" s="0" t="n">
        <f aca="false">B30+B35</f>
        <v>335993.521241031</v>
      </c>
    </row>
    <row r="37" customFormat="false" ht="15" hidden="false" customHeight="false" outlineLevel="0" collapsed="false">
      <c r="A37" s="0" t="s">
        <v>144</v>
      </c>
      <c r="B37" s="0" t="n">
        <f aca="false">B36+Assumptions!$B$5-Assumptions!$B$4</f>
        <v>335993.521241031</v>
      </c>
    </row>
    <row r="38" customFormat="false" ht="15" hidden="false" customHeight="false" outlineLevel="0" collapsed="false">
      <c r="A38" s="0" t="s">
        <v>145</v>
      </c>
      <c r="B38" s="0" t="n">
        <f aca="false">B37/Assumptions!$B$3*Assumptions!$B$10</f>
        <v>169.16578633989</v>
      </c>
    </row>
    <row r="39" customFormat="false" ht="15" hidden="false" customHeight="false" outlineLevel="0" collapsed="false">
      <c r="A39" s="0" t="s">
        <v>146</v>
      </c>
      <c r="B39" s="4" t="n">
        <f aca="false">B38/Assumptions!$B$2-1</f>
        <v>0.0733869691617364</v>
      </c>
    </row>
    <row r="41" customFormat="false" ht="15" hidden="false" customHeight="false" outlineLevel="0" collapsed="false">
      <c r="A41" s="0" t="s">
        <v>147</v>
      </c>
      <c r="B41" s="0" t="n">
        <f aca="false">SUMPRODUCT(-C10:L10/(1+$B$27/100)^C4:L4)</f>
        <v>1198.19636830498</v>
      </c>
    </row>
    <row r="42" customFormat="false" ht="15" hidden="false" customHeight="false" outlineLevel="0" collapsed="false">
      <c r="A42" s="0" t="s">
        <v>148</v>
      </c>
      <c r="B42" s="0" t="n">
        <f aca="false">IF(B27&gt;B28,-L10*(1+B28/100)/((B27-B28)/100),-L10*20)/(1+B27/100)^L4</f>
        <v>1515.89549720165</v>
      </c>
    </row>
    <row r="43" customFormat="false" ht="15" hidden="false" customHeight="false" outlineLevel="0" collapsed="false">
      <c r="A43" s="0" t="s">
        <v>149</v>
      </c>
      <c r="B43" s="0" t="n">
        <f aca="false">(B37+B41+B42)/Assumptions!$B$3*Assumptions!$B$10</f>
        <v>170.532275440427</v>
      </c>
    </row>
    <row r="45" customFormat="false" ht="15" hidden="false" customHeight="false" outlineLevel="0" collapsed="false">
      <c r="A45" s="0" t="s">
        <v>90</v>
      </c>
      <c r="B45" s="4" t="n">
        <f aca="false">Assumptions!$B$6</f>
        <v>15</v>
      </c>
    </row>
    <row r="46" customFormat="false" ht="15" hidden="false" customHeight="false" outlineLevel="0" collapsed="false">
      <c r="A46" s="0" t="s">
        <v>150</v>
      </c>
      <c r="B46" s="0" t="n">
        <f aca="false">MAX(0,MIN(IF(B45&gt;B28,B31*(1+B28/100)/((B45-B28)/100),B31*B29),B31*B29))</f>
        <v>295975.040121044</v>
      </c>
    </row>
    <row r="47" customFormat="false" ht="15" hidden="false" customHeight="false" outlineLevel="0" collapsed="false">
      <c r="A47" s="0" t="s">
        <v>151</v>
      </c>
      <c r="B47" s="0" t="n">
        <f aca="false">(SUMPRODUCT(C19:L19/(1+B45/100)^C4:L4)+B46/(1+B45/100)^L4+Assumptions!$B$5-Assumptions!$B$4)/Assumptions!$B$3*Assumptions!$B$10</f>
        <v>90.0369950836276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154</v>
      </c>
    </row>
    <row r="3" customFormat="false" ht="15" hidden="false" customHeight="false" outlineLevel="0" collapsed="false">
      <c r="A3" s="2" t="s">
        <v>155</v>
      </c>
      <c r="B3" s="2" t="s">
        <v>156</v>
      </c>
      <c r="C3" s="2" t="s">
        <v>146</v>
      </c>
      <c r="D3" s="2" t="s">
        <v>157</v>
      </c>
      <c r="E3" s="2" t="s">
        <v>149</v>
      </c>
      <c r="F3" s="2" t="s">
        <v>158</v>
      </c>
    </row>
    <row r="4" customFormat="false" ht="15" hidden="false" customHeight="false" outlineLevel="0" collapsed="false">
      <c r="A4" s="0" t="s">
        <v>159</v>
      </c>
      <c r="B4" s="4" t="n">
        <f aca="false">DCF_Bear!$B$38</f>
        <v>84.5462375608443</v>
      </c>
      <c r="C4" s="0" t="n">
        <f aca="false">B4/Assumptions!$B$2-1</f>
        <v>-0.463539101771292</v>
      </c>
      <c r="D4" s="4" t="n">
        <f aca="false">Assumptions!$B$24</f>
        <v>0.25</v>
      </c>
      <c r="E4" s="4" t="n">
        <f aca="false">DCF_Bear!$B$43</f>
        <v>85.4363158898834</v>
      </c>
      <c r="F4" s="4" t="n">
        <f aca="false">DCF_Bear!$B$47</f>
        <v>53.3274993694667</v>
      </c>
    </row>
    <row r="5" customFormat="false" ht="15" hidden="false" customHeight="false" outlineLevel="0" collapsed="false">
      <c r="A5" s="0" t="s">
        <v>160</v>
      </c>
      <c r="B5" s="4" t="n">
        <f aca="false">DCF_Base!$B$38</f>
        <v>124.721525110645</v>
      </c>
      <c r="C5" s="0" t="n">
        <f aca="false">B5/Assumptions!$B$2-1</f>
        <v>-0.208619764526365</v>
      </c>
      <c r="D5" s="4" t="n">
        <f aca="false">Assumptions!$B$38</f>
        <v>0.5</v>
      </c>
      <c r="E5" s="4" t="n">
        <f aca="false">DCF_Base!$B$43</f>
        <v>125.84714353802</v>
      </c>
      <c r="F5" s="4" t="n">
        <f aca="false">DCF_Base!$B$47</f>
        <v>71.1949738538637</v>
      </c>
    </row>
    <row r="6" customFormat="false" ht="15" hidden="false" customHeight="false" outlineLevel="0" collapsed="false">
      <c r="A6" s="0" t="s">
        <v>161</v>
      </c>
      <c r="B6" s="4" t="n">
        <f aca="false">DCF_Bull!$B$38</f>
        <v>169.16578633989</v>
      </c>
      <c r="C6" s="0" t="n">
        <f aca="false">B6/Assumptions!$B$2-1</f>
        <v>0.0733869691617364</v>
      </c>
      <c r="D6" s="4" t="n">
        <f aca="false">Assumptions!$B$52</f>
        <v>0.25</v>
      </c>
      <c r="E6" s="4" t="n">
        <f aca="false">DCF_Bull!$B$43</f>
        <v>170.532275440427</v>
      </c>
      <c r="F6" s="4" t="n">
        <f aca="false">DCF_Bull!$B$47</f>
        <v>90.0369950836276</v>
      </c>
    </row>
    <row r="8" customFormat="false" ht="15" hidden="false" customHeight="false" outlineLevel="0" collapsed="false">
      <c r="A8" s="0" t="s">
        <v>162</v>
      </c>
      <c r="B8" s="0" t="n">
        <f aca="false">SUMPRODUCT(B4:B6,D4:D6)</f>
        <v>125.788768530506</v>
      </c>
    </row>
    <row r="9" customFormat="false" ht="15" hidden="false" customHeight="false" outlineLevel="0" collapsed="false">
      <c r="A9" s="0" t="s">
        <v>163</v>
      </c>
      <c r="B9" s="0" t="n">
        <f aca="false">SUMPRODUCT(E4:E6,D4:D6)</f>
        <v>126.915719601588</v>
      </c>
    </row>
    <row r="10" customFormat="false" ht="15" hidden="false" customHeight="false" outlineLevel="0" collapsed="false">
      <c r="A10" s="0" t="s">
        <v>164</v>
      </c>
      <c r="B10" s="0" t="n">
        <f aca="false">1-Assumptions!$B$2/B8</f>
        <v>-0.252894052792792</v>
      </c>
    </row>
    <row r="11" customFormat="false" ht="15" hidden="false" customHeight="false" outlineLevel="0" collapsed="false">
      <c r="A11" s="0" t="s">
        <v>165</v>
      </c>
      <c r="B11" s="0" t="str">
        <f aca="false">IF(ABS(B9-B8)&gt;0.01*ABS(B8),(Assumptions!$B$2-B8)/(B9-B8)*100,"n/a")</f>
        <v>n/a</v>
      </c>
    </row>
    <row r="12" customFormat="false" ht="15" hidden="false" customHeight="false" outlineLevel="0" collapsed="false">
      <c r="A12" s="0" t="s">
        <v>166</v>
      </c>
      <c r="B12" s="0" t="n">
        <f aca="false">SUMPRODUCT(F4:F6,D4:D6)</f>
        <v>71.4386105402054</v>
      </c>
    </row>
    <row r="14" customFormat="false" ht="15" hidden="false" customHeight="false" outlineLevel="0" collapsed="false">
      <c r="A14" s="2" t="s">
        <v>167</v>
      </c>
      <c r="C14" s="0" t="s">
        <v>168</v>
      </c>
    </row>
    <row r="15" customFormat="false" ht="15" hidden="false" customHeight="false" outlineLevel="0" collapsed="false">
      <c r="A15" s="0" t="s">
        <v>169</v>
      </c>
      <c r="B15" s="0" t="n">
        <f aca="false">(SUMPRODUCT(DCF_Base!$C$19:$L$19/(1+$C$15/100)^DCF_Base!$C$4:$L$4)+MAX(0,MIN(IF($C$15&gt;DCF_Base!$B$28,DCF_Base!$L$19*(1+DCF_Base!$B$28/100)/(($C$15-DCF_Base!$B$28)/100),DCF_Base!$L$19*DCF_Base!$B$29),DCF_Base!$L$19*DCF_Base!$B$29))/(1+$C$15/100)^DCF_Base!$L$4+Assumptions!$B$5-Assumptions!$B$4)/Assumptions!$B$3*Assumptions!$B$10</f>
        <v>135.907505358943</v>
      </c>
      <c r="C15" s="3" t="n">
        <v>9</v>
      </c>
    </row>
    <row r="16" customFormat="false" ht="15" hidden="false" customHeight="false" outlineLevel="0" collapsed="false">
      <c r="A16" s="0" t="s">
        <v>170</v>
      </c>
      <c r="B16" s="0" t="n">
        <f aca="false">(SUMPRODUCT(DCF_Base!$C$19:$L$19/(1+$C$16/100)^DCF_Base!$C$4:$L$4)+MAX(0,MIN(IF($C$16&gt;DCF_Base!$B$28,DCF_Base!$L$19*(1+DCF_Base!$B$28/100)/(($C$16-DCF_Base!$B$28)/100),DCF_Base!$L$19*DCF_Base!$B$29),DCF_Base!$L$19*DCF_Base!$B$29))/(1+$C$16/100)^DCF_Base!$L$4+Assumptions!$B$5-Assumptions!$B$4)/Assumptions!$B$3*Assumptions!$B$10</f>
        <v>124.721525110645</v>
      </c>
      <c r="C16" s="3" t="n">
        <v>10</v>
      </c>
    </row>
    <row r="17" customFormat="false" ht="15" hidden="false" customHeight="false" outlineLevel="0" collapsed="false">
      <c r="A17" s="0" t="s">
        <v>171</v>
      </c>
      <c r="B17" s="0" t="n">
        <f aca="false">(SUMPRODUCT(DCF_Base!$C$19:$L$19/(1+$C$17/100)^DCF_Base!$C$4:$L$4)+MAX(0,MIN(IF($C$17&gt;DCF_Base!$B$28,DCF_Base!$L$19*(1+DCF_Base!$B$28/100)/(($C$17-DCF_Base!$B$28)/100),DCF_Base!$L$19*DCF_Base!$B$29),DCF_Base!$L$19*DCF_Base!$B$29))/(1+$C$17/100)^DCF_Base!$L$4+Assumptions!$B$5-Assumptions!$B$4)/Assumptions!$B$3*Assumptions!$B$10</f>
        <v>108.853664844553</v>
      </c>
      <c r="C17" s="3" t="n">
        <v>11</v>
      </c>
    </row>
    <row r="18" customFormat="false" ht="15" hidden="false" customHeight="false" outlineLevel="0" collapsed="false">
      <c r="A18" s="0" t="s">
        <v>172</v>
      </c>
      <c r="B18" s="0" t="n">
        <f aca="false">(SUMPRODUCT(DCF_Base!$C$19:$L$19/(1+$C$18/100)^DCF_Base!$C$4:$L$4)+MAX(0,MIN(IF($C$18&gt;DCF_Base!$B$28,DCF_Base!$L$19*(1+DCF_Base!$B$28/100)/(($C$18-DCF_Base!$B$28)/100),DCF_Base!$L$19*DCF_Base!$B$29),DCF_Base!$L$19*DCF_Base!$B$29))/(1+$C$18/100)^DCF_Base!$L$4+Assumptions!$B$5-Assumptions!$B$4)/Assumptions!$B$3*Assumptions!$B$10</f>
        <v>96.3862601817979</v>
      </c>
      <c r="C18" s="3" t="n">
        <v>12</v>
      </c>
    </row>
    <row r="19" customFormat="false" ht="15" hidden="false" customHeight="false" outlineLevel="0" collapsed="false">
      <c r="A19" s="0" t="s">
        <v>173</v>
      </c>
      <c r="B19" s="0" t="n">
        <f aca="false">(SUMPRODUCT(DCF_Base!$C$19:$L$19/(1+$C$19/100)^DCF_Base!$C$4:$L$4)+MAX(0,MIN(IF($C$19&gt;DCF_Base!$B$28,DCF_Base!$L$19*(1+DCF_Base!$B$28/100)/(($C$19-DCF_Base!$B$28)/100),DCF_Base!$L$19*DCF_Base!$B$29),DCF_Base!$L$19*DCF_Base!$B$29))/(1+$C$19/100)^DCF_Base!$L$4+Assumptions!$B$5-Assumptions!$B$4)/Assumptions!$B$3*Assumptions!$B$10</f>
        <v>71.1949738538637</v>
      </c>
      <c r="C19" s="3" t="n">
        <v>15</v>
      </c>
    </row>
    <row r="21" customFormat="false" ht="15" hidden="false" customHeight="false" outlineLevel="0" collapsed="false">
      <c r="A21" s="2" t="s">
        <v>174</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146.355987982352</v>
      </c>
      <c r="C23" s="0" t="n">
        <f aca="false">(SUMPRODUCT(DCF_Base!$C$19:$L$19/(1+$A$23/100)^DCF_Base!$C$4:$L$4)+MAX(0,MIN(IF($A$23&gt;$C$22,DCF_Base!$L$19*(1+$C$22/100)/(($A$23-$C$22)/100),DCF_Base!$L$19*DCF_Base!$B$29),DCF_Base!$L$19*DCF_Base!$B$29))/(1+$A$23/100)^DCF_Base!$L$4+Assumptions!$B$5-Assumptions!$B$4)/Assumptions!$B$3*Assumptions!$B$10</f>
        <v>146.355987982352</v>
      </c>
      <c r="D23" s="0" t="n">
        <f aca="false">(SUMPRODUCT(DCF_Base!$C$19:$L$19/(1+$A$23/100)^DCF_Base!$C$4:$L$4)+MAX(0,MIN(IF($A$23&gt;$D$22,DCF_Base!$L$19*(1+$D$22/100)/(($A$23-$D$22)/100),DCF_Base!$L$19*DCF_Base!$B$29),DCF_Base!$L$19*DCF_Base!$B$29))/(1+$A$23/100)^DCF_Base!$L$4+Assumptions!$B$5-Assumptions!$B$4)/Assumptions!$B$3*Assumptions!$B$10</f>
        <v>146.355987982352</v>
      </c>
      <c r="E23" s="0" t="n">
        <f aca="false">(SUMPRODUCT(DCF_Base!$C$19:$L$19/(1+$A$23/100)^DCF_Base!$C$4:$L$4)+MAX(0,MIN(IF($A$23&gt;$E$22,DCF_Base!$L$19*(1+$E$22/100)/(($A$23-$E$22)/100),DCF_Base!$L$19*DCF_Base!$B$29),DCF_Base!$L$19*DCF_Base!$B$29))/(1+$A$23/100)^DCF_Base!$L$4+Assumptions!$B$5-Assumptions!$B$4)/Assumptions!$B$3*Assumptions!$B$10</f>
        <v>146.355987982352</v>
      </c>
      <c r="F23" s="0" t="n">
        <f aca="false">(SUMPRODUCT(DCF_Base!$C$19:$L$19/(1+$A$23/100)^DCF_Base!$C$4:$L$4)+MAX(0,MIN(IF($A$23&gt;$F$22,DCF_Base!$L$19*(1+$F$22/100)/(($A$23-$F$22)/100),DCF_Base!$L$19*DCF_Base!$B$29),DCF_Base!$L$19*DCF_Base!$B$29))/(1+$A$23/100)^DCF_Base!$L$4+Assumptions!$B$5-Assumptions!$B$4)/Assumptions!$B$3*Assumptions!$B$10</f>
        <v>146.355987982352</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133.35990405234</v>
      </c>
      <c r="C24" s="0" t="n">
        <f aca="false">(SUMPRODUCT(DCF_Base!$C$19:$L$19/(1+$A$24/100)^DCF_Base!$C$4:$L$4)+MAX(0,MIN(IF($A$24&gt;$C$22,DCF_Base!$L$19*(1+$C$22/100)/(($A$24-$C$22)/100),DCF_Base!$L$19*DCF_Base!$B$29),DCF_Base!$L$19*DCF_Base!$B$29))/(1+$A$24/100)^DCF_Base!$L$4+Assumptions!$B$5-Assumptions!$B$4)/Assumptions!$B$3*Assumptions!$B$10</f>
        <v>135.907505358943</v>
      </c>
      <c r="D24" s="0" t="n">
        <f aca="false">(SUMPRODUCT(DCF_Base!$C$19:$L$19/(1+$A$24/100)^DCF_Base!$C$4:$L$4)+MAX(0,MIN(IF($A$24&gt;$D$22,DCF_Base!$L$19*(1+$D$22/100)/(($A$24-$D$22)/100),DCF_Base!$L$19*DCF_Base!$B$29),DCF_Base!$L$19*DCF_Base!$B$29))/(1+$A$24/100)^DCF_Base!$L$4+Assumptions!$B$5-Assumptions!$B$4)/Assumptions!$B$3*Assumptions!$B$10</f>
        <v>135.907505358943</v>
      </c>
      <c r="E24" s="0" t="n">
        <f aca="false">(SUMPRODUCT(DCF_Base!$C$19:$L$19/(1+$A$24/100)^DCF_Base!$C$4:$L$4)+MAX(0,MIN(IF($A$24&gt;$E$22,DCF_Base!$L$19*(1+$E$22/100)/(($A$24-$E$22)/100),DCF_Base!$L$19*DCF_Base!$B$29),DCF_Base!$L$19*DCF_Base!$B$29))/(1+$A$24/100)^DCF_Base!$L$4+Assumptions!$B$5-Assumptions!$B$4)/Assumptions!$B$3*Assumptions!$B$10</f>
        <v>135.907505358943</v>
      </c>
      <c r="F24" s="0" t="n">
        <f aca="false">(SUMPRODUCT(DCF_Base!$C$19:$L$19/(1+$A$24/100)^DCF_Base!$C$4:$L$4)+MAX(0,MIN(IF($A$24&gt;$F$22,DCF_Base!$L$19*(1+$F$22/100)/(($A$24-$F$22)/100),DCF_Base!$L$19*DCF_Base!$B$29),DCF_Base!$L$19*DCF_Base!$B$29))/(1+$A$24/100)^DCF_Base!$L$4+Assumptions!$B$5-Assumptions!$B$4)/Assumptions!$B$3*Assumptions!$B$10</f>
        <v>135.907505358943</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116.123963318171</v>
      </c>
      <c r="C25" s="0" t="n">
        <f aca="false">(SUMPRODUCT(DCF_Base!$C$19:$L$19/(1+$A$25/100)^DCF_Base!$C$4:$L$4)+MAX(0,MIN(IF($A$25&gt;$C$22,DCF_Base!$L$19*(1+$C$22/100)/(($A$25-$C$22)/100),DCF_Base!$L$19*DCF_Base!$B$29),DCF_Base!$L$19*DCF_Base!$B$29))/(1+$A$25/100)^DCF_Base!$L$4+Assumptions!$B$5-Assumptions!$B$4)/Assumptions!$B$3*Assumptions!$B$10</f>
        <v>120.154070408393</v>
      </c>
      <c r="D25" s="0" t="n">
        <f aca="false">(SUMPRODUCT(DCF_Base!$C$19:$L$19/(1+$A$25/100)^DCF_Base!$C$4:$L$4)+MAX(0,MIN(IF($A$25&gt;$D$22,DCF_Base!$L$19*(1+$D$22/100)/(($A$25-$D$22)/100),DCF_Base!$L$19*DCF_Base!$B$29),DCF_Base!$L$19*DCF_Base!$B$29))/(1+$A$25/100)^DCF_Base!$L$4+Assumptions!$B$5-Assumptions!$B$4)/Assumptions!$B$3*Assumptions!$B$10</f>
        <v>124.721525110645</v>
      </c>
      <c r="E25" s="0" t="n">
        <f aca="false">(SUMPRODUCT(DCF_Base!$C$19:$L$19/(1+$A$25/100)^DCF_Base!$C$4:$L$4)+MAX(0,MIN(IF($A$25&gt;$E$22,DCF_Base!$L$19*(1+$E$22/100)/(($A$25-$E$22)/100),DCF_Base!$L$19*DCF_Base!$B$29),DCF_Base!$L$19*DCF_Base!$B$29))/(1+$A$25/100)^DCF_Base!$L$4+Assumptions!$B$5-Assumptions!$B$4)/Assumptions!$B$3*Assumptions!$B$10</f>
        <v>126.382417729646</v>
      </c>
      <c r="F25" s="0" t="n">
        <f aca="false">(SUMPRODUCT(DCF_Base!$C$19:$L$19/(1+$A$25/100)^DCF_Base!$C$4:$L$4)+MAX(0,MIN(IF($A$25&gt;$F$22,DCF_Base!$L$19*(1+$F$22/100)/(($A$25-$F$22)/100),DCF_Base!$L$19*DCF_Base!$B$29),DCF_Base!$L$19*DCF_Base!$B$29))/(1+$A$25/100)^DCF_Base!$L$4+Assumptions!$B$5-Assumptions!$B$4)/Assumptions!$B$3*Assumptions!$B$10</f>
        <v>126.382417729646</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102.597037026127</v>
      </c>
      <c r="C26" s="0" t="n">
        <f aca="false">(SUMPRODUCT(DCF_Base!$C$19:$L$19/(1+$A$26/100)^DCF_Base!$C$4:$L$4)+MAX(0,MIN(IF($A$26&gt;$C$22,DCF_Base!$L$19*(1+$C$22/100)/(($A$26-$C$22)/100),DCF_Base!$L$19*DCF_Base!$B$29),DCF_Base!$L$19*DCF_Base!$B$29))/(1+$A$26/100)^DCF_Base!$L$4+Assumptions!$B$5-Assumptions!$B$4)/Assumptions!$B$3*Assumptions!$B$10</f>
        <v>105.551555718161</v>
      </c>
      <c r="D26" s="0" t="n">
        <f aca="false">(SUMPRODUCT(DCF_Base!$C$19:$L$19/(1+$A$26/100)^DCF_Base!$C$4:$L$4)+MAX(0,MIN(IF($A$26&gt;$D$22,DCF_Base!$L$19*(1+$D$22/100)/(($A$26-$D$22)/100),DCF_Base!$L$19*DCF_Base!$B$29),DCF_Base!$L$19*DCF_Base!$B$29))/(1+$A$26/100)^DCF_Base!$L$4+Assumptions!$B$5-Assumptions!$B$4)/Assumptions!$B$3*Assumptions!$B$10</f>
        <v>108.853664844553</v>
      </c>
      <c r="E26" s="0" t="n">
        <f aca="false">(SUMPRODUCT(DCF_Base!$C$19:$L$19/(1+$A$26/100)^DCF_Base!$C$4:$L$4)+MAX(0,MIN(IF($A$26&gt;$E$22,DCF_Base!$L$19*(1+$E$22/100)/(($A$26-$E$22)/100),DCF_Base!$L$19*DCF_Base!$B$29),DCF_Base!$L$19*DCF_Base!$B$29))/(1+$A$26/100)^DCF_Base!$L$4+Assumptions!$B$5-Assumptions!$B$4)/Assumptions!$B$3*Assumptions!$B$10</f>
        <v>112.568537611745</v>
      </c>
      <c r="F26" s="0" t="n">
        <f aca="false">(SUMPRODUCT(DCF_Base!$C$19:$L$19/(1+$A$26/100)^DCF_Base!$C$4:$L$4)+MAX(0,MIN(IF($A$26&gt;$F$22,DCF_Base!$L$19*(1+$F$22/100)/(($A$26-$F$22)/100),DCF_Base!$L$19*DCF_Base!$B$29),DCF_Base!$L$19*DCF_Base!$B$29))/(1+$A$26/100)^DCF_Base!$L$4+Assumptions!$B$5-Assumptions!$B$4)/Assumptions!$B$3*Assumptions!$B$10</f>
        <v>116.778726747894</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91.7141341118874</v>
      </c>
      <c r="C27" s="0" t="n">
        <f aca="false">(SUMPRODUCT(DCF_Base!$C$19:$L$19/(1+$A$27/100)^DCF_Base!$C$4:$L$4)+MAX(0,MIN(IF($A$27&gt;$C$22,DCF_Base!$L$19*(1+$C$22/100)/(($A$27-$C$22)/100),DCF_Base!$L$19*DCF_Base!$B$29),DCF_Base!$L$19*DCF_Base!$B$29))/(1+$A$27/100)^DCF_Base!$L$4+Assumptions!$B$5-Assumptions!$B$4)/Assumptions!$B$3*Assumptions!$B$10</f>
        <v>93.9333939950949</v>
      </c>
      <c r="D27" s="0" t="n">
        <f aca="false">(SUMPRODUCT(DCF_Base!$C$19:$L$19/(1+$A$27/100)^DCF_Base!$C$4:$L$4)+MAX(0,MIN(IF($A$27&gt;$D$22,DCF_Base!$L$19*(1+$D$22/100)/(($A$27-$D$22)/100),DCF_Base!$L$19*DCF_Base!$B$29),DCF_Base!$L$19*DCF_Base!$B$29))/(1+$A$27/100)^DCF_Base!$L$4+Assumptions!$B$5-Assumptions!$B$4)/Assumptions!$B$3*Assumptions!$B$10</f>
        <v>96.3862601817979</v>
      </c>
      <c r="E27" s="0" t="n">
        <f aca="false">(SUMPRODUCT(DCF_Base!$C$19:$L$19/(1+$A$27/100)^DCF_Base!$C$4:$L$4)+MAX(0,MIN(IF($A$27&gt;$E$22,DCF_Base!$L$19*(1+$E$22/100)/(($A$27-$E$22)/100),DCF_Base!$L$19*DCF_Base!$B$29),DCF_Base!$L$19*DCF_Base!$B$29))/(1+$A$27/100)^DCF_Base!$L$4+Assumptions!$B$5-Assumptions!$B$4)/Assumptions!$B$3*Assumptions!$B$10</f>
        <v>99.1116670559124</v>
      </c>
      <c r="F27" s="0" t="n">
        <f aca="false">(SUMPRODUCT(DCF_Base!$C$19:$L$19/(1+$A$27/100)^DCF_Base!$C$4:$L$4)+MAX(0,MIN(IF($A$27&gt;$F$22,DCF_Base!$L$19*(1+$F$22/100)/(($A$27-$F$22)/100),DCF_Base!$L$19*DCF_Base!$B$29),DCF_Base!$L$19*DCF_Base!$B$29))/(1+$A$27/100)^DCF_Base!$L$4+Assumptions!$B$5-Assumptions!$B$4)/Assumptions!$B$3*Assumptions!$B$10</f>
        <v>102.157710032864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2026-09-25T17:06:30Z</dcterms:created>
  <dc:creator>openpyxl</dc:creator>
  <dc:description/>
  <dc:language>en-NZ</dc:language>
  <cp:lastModifiedBy/>
  <dcterms:modified xsi:type="dcterms:W3CDTF">2026-09-25T17:06:30Z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