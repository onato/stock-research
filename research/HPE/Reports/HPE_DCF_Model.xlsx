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Reconciliation" sheetId="2" state="visible" r:id="rId4"/>
    <sheet name="Actuals" sheetId="3" state="visible" r:id="rId5"/>
    <sheet name="Assumptions" sheetId="4" state="visible" r:id="rId6"/>
    <sheet name="DCF_Bear" sheetId="5" state="visible" r:id="rId7"/>
    <sheet name="DCF_Base" sheetId="6" state="visible" r:id="rId8"/>
    <sheet name="DCF_Bul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<sst xmlns="http://schemas.openxmlformats.org/spreadsheetml/2006/main" count="399" uniqueCount="194">
  <si>
    <t xml:space="preserve">Ticker</t>
  </si>
  <si>
    <t xml:space="preserve">HPE</t>
  </si>
  <si>
    <t xml:space="preserve">Company</t>
  </si>
  <si>
    <t xml:space="preserve">Hewlett Packard Enterprise Company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</si>
  <si>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</si>
  <si>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</si>
  <si>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</si>
  <si>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</si>
  <si>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2026-09-28T20:04:53Z regular close (Yahoo Finance chart API); 52-week range 19.84-65.65</t>
  </si>
  <si>
    <t xml:space="preserve">Balance sheet date</t>
  </si>
  <si>
    <t xml:space="preserve">2026-07-31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</si>
  <si>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</si>
  <si>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</si>
  <si>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</si>
  <si>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</si>
  <si>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</si>
  <si>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</si>
  <si>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</si>
  <si>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</si>
  <si>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</si>
  <si>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</si>
  <si>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2026-09-28T21:33:41Z</t>
  </si>
  <si>
    <t xml:space="preserve">Drivers file</t>
  </si>
  <si>
    <t xml:space="preserve">HPE_Drivers.json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</si>
  <si>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</si>
  <si>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</si>
  <si>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</si>
  <si>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strict basis: SBC plus net-share-settlement withholding expensed (~2.6% of revenue, share count flat), capex net of lease-equipment proceeds, working capital charged on growth, cash tax ramped to 21%, and the captive-finance debt charged once (its interest is above EBIT, so its debt is added back in the bridge). SANITY-CHECK FIX 2026-09-29: the first build of this valuation extrapolated the FY2026-27 cycle high - a 19.5% pre-SBC EBITDA plateau (2pp above HPE's best standalone year, 4.7pp above its post-spin median of 14.8%) and a growth fade above HPE's own -0.4% to +1.5% organic through-cycle record - and tripped the multiples sanity check (implied P/B 3.0x, EV/EBITDA 57x on the FY2025 deal-cost trough denominator). It was rebuilt mid-cycle: base margin plateau 18.0% (bull 20%, bear 15%), the guided FY2027 growth year retained but fading to 2.0% terminal, WACC raised from 9% to 10% with named cyclicality, regulatory/integration and supplier-concentration premia, and EV/EBITDA exit caps (7.0x/10.8x/13.4x) tested per scenario - none binds because the Gordon terminal values already sit at 5.4-8.5x post-SBC EBITDA. The weighted value fell ~26% (bridge in reconciliation). One residual is documented rather than forced: implied P/B ~2.1x still exceeds the 1.93x historical bound, because HPE's 1x-book decade was a 5-10% ROE business and the post-Juniper company is not. The FY2025 loss and the record Q3 FY2026 remain treated as discontinuity artefacts; terminal value capped at 15x FCF.
key_risks_to_valuation: Sanity-check residual: implied P/B ~2.1x vs the 10yr 1.93x bound; the valuation assumes post-Juniper earnings power (mid-cycle ~$4B unlevered owner FCF on ~$27B book) is durable, which HPE's pre-Juniper history does not evidence; AI-capex cyclicality: the fastest-growing, highest-margin revenue is tied to sovereign/cloud/enterprise AI buildouts that can pause; the bear case is a normal cycle, not a tail; Margin mean-reversion: Q3 FY2026 non-GAAP GM 40.4% is a record; the base already assumes drift back to an 18% pre-SBC EBITDA plateau, but the post-spin median is 14.8%; Juniper synergy and integration execution ($600M by FY2028), plus residual Tunney Act state-AG review of the DOJ settlement; Captive-finance treatment: $11.6B of 'debt benefiting FS' is a management allocation (7.0x assumed D/E), disclosed annually; if the FY2026 10-K changes the basis the bridge moves; SBC/withholding cost has doubled with the share price; a further re-rating raises the cash cost of net-share settlement; Cash tax: HPE's 15% non-GAAP rate is below the 17-21% modelled on EBIT; Pillar Two and US R&amp;D capitalisation could push it higher still</t>
  </si>
  <si>
    <t xml:space="preserve">Data sources</t>
  </si>
  <si>
    <t xml:space="preserve">price: Yahoo Finance chart API at inputs.price_as_of; 52-week range 19.84-65.65; regular-session close, not after-hours
financials: SEC XBRL companyfacts (CIK 1645590) via research/HPE/Reports/HPE_Metrics.csv and HPE.duckdb; 10-Q for the quarter ended 2026-07-31 (filed 2026-09-03) for the balance sheet, diluted shares, SBC, withholding, net capex and the non-GAAP reconciliation; FY2025 10-K (filed 2025-12-18) for debt benefiting Financial Services, FS cash, financing interest and operating lease liability; press release 2026-09-02 (8-K ex-99.1) for Q4 FY2026, FY2026 and FY2027 guidance
qualitative: research/HPE/Reports/HPE_Analysis.json (2026-09-29)</t>
  </si>
  <si>
    <t xml:space="preserve">Scenario narrative: bear</t>
  </si>
  <si>
    <t xml:space="preserve">The AI capex cycle pauses in FY2028-29, hyperscaler-style pricing bleeds into enterprise AI systems, Juniper integration and the Tunney Act overhang cost engineering talent and channel share, and the business reverts to the FY2019-24 pattern: low-single-digit growth, 15-16% pre-SBC EBITDA, SBC rising as a share of revenue. Because the balance sheet is sound the equity is worth roughly half the price, not zero.</t>
  </si>
  <si>
    <t xml:space="preserve">Scenario narrative: base</t>
  </si>
  <si>
    <t xml:space="preserve">HPE's axes are (1) whether the AI-systems backlog converts at the mid-to-high-teens Cloud &amp; AI margin management is protecting rather than the ~20% gross margin Dell accepts for volume, (2) how much of the $600M Juniper synergy reaches the P&amp;L by FY2028 while Networking holds 22% segment margins, and (3) how far the record Q3 FY2026 gross margin mean-reverts once AI server mix rises. Base takes the FY2027 framework (14% growth, 14-15% non-GAAP OP margin) at face value and then treats FY2026-27 as the high point of the cycle rather than the new floor: growth fades to 2.5% and margins plateau at 19.5% pre-SBC, about a point above the FY2023-24 pre-Juniper level, which is what a partly-delivered synergy net of mix dilution looks like.</t>
  </si>
  <si>
    <t xml:space="preserve">Scenario narrative: bull</t>
  </si>
  <si>
    <t xml:space="preserve">AI infrastructure demand proves multi-year rather than a two-year buildout, the sovereign/enterprise skew keeps HPE's AI margins above hyperscaler-heavy peers, and Juniper turns HPE into a credible number-two to Cisco with networking above 30% of revenue and more than half of profit. Synergies land in full, restructuring stops recurring, and the company compounds at 12% then 8% with pre-SBC EBITDA at 21%.</t>
  </si>
  <si>
    <t xml:space="preserve">Item</t>
  </si>
  <si>
    <t xml:space="preserve">Value</t>
  </si>
  <si>
    <t xml:space="preserve">Note</t>
  </si>
  <si>
    <t xml:space="preserve">Prior valuation_date</t>
  </si>
  <si>
    <t xml:space="preserve">Prior price_then</t>
  </si>
  <si>
    <t xml:space="preserve">Prior bear</t>
  </si>
  <si>
    <t xml:space="preserve">Prior base</t>
  </si>
  <si>
    <t xml:space="preserve">Prior bull</t>
  </si>
  <si>
    <t xml:space="preserve">Prior weighted</t>
  </si>
  <si>
    <t xml:space="preserve">Prior note</t>
  </si>
  <si>
    <t xml:space="preserve">First build of the same day, before the sanity-check fix pass (tripped: implied P/B 3.00x, EV/EBITDA 57.2x on the FY2025 trough denominator).</t>
  </si>
  <si>
    <t xml:space="preserve">New valuation_date</t>
  </si>
  <si>
    <t xml:space="preserve">New price_then</t>
  </si>
  <si>
    <t xml:space="preserve">New bear</t>
  </si>
  <si>
    <t xml:space="preserve">New base</t>
  </si>
  <si>
    <t xml:space="preserve">New bull</t>
  </si>
  <si>
    <t xml:space="preserve">New weighted</t>
  </si>
  <si>
    <t xml:space="preserve">Bridge</t>
  </si>
  <si>
    <t xml:space="preserve">Prior weighted IV</t>
  </si>
  <si>
    <t xml:space="preserve">Mid-cycle margins: base plateau 19.5% -&gt; 18.0%, bull 21% -&gt; 20%, bear 16% -&gt; 15% (priority 1, peak extrapolation)</t>
  </si>
  <si>
    <t xml:space="preserve">Growth fade to through-cycle: base 8/5/4/3.5 -&gt; 5/3/2.5, terminal 2.5% -&gt; 2.0%; bull and bear fades trimmed likewise (priority 3, guided FY2027 year kept)</t>
  </si>
  <si>
    <t xml:space="preserve">WACC 9.0% -&gt; 10.0% with named cyclicality/regulatory/concentration premia (priority 2)</t>
  </si>
  <si>
    <t xml:space="preserve">EV/EBITDA exit caps per scenario (priority 4) - non-binding, Gordon TVs already below 7.0x/10.8x/13.4x</t>
  </si>
  <si>
    <t xml:space="preserve">Anchors (price, net debt, shares, guidance) - unchanged, same day</t>
  </si>
  <si>
    <t xml:space="preserve">New weighted IV</t>
  </si>
  <si>
    <t xml:space="preserve">ties to probability_weighted.weighted_iv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</si>
  <si>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</si>
  <si>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</si>
  <si>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</si>
  <si>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</si>
  <si>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</si>
  <si>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</si>
  <si>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</si>
  <si>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</si>
  <si>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</si>
  <si>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</si>
  <si>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</si>
  <si>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</si>
  <si>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</si>
  <si>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</si>
  <si>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</si>
  <si>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</si>
  <si>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</si>
  <si>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</si>
  <si>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</si>
  <si>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</si>
  <si>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</si>
  <si>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</si>
  <si>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</si>
  <si>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</si>
  <si>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</si>
  <si>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</si>
  <si>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</si>
  <si>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</si>
  <si>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</si>
  <si>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</si>
  <si>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</si>
  <si>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</si>
  <si>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</si>
  <si>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</si>
  <si>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</si>
  <si>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</si>
  <si>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</si>
  <si>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</si>
  <si>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</si>
  <si>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</si>
  <si>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</si>
  <si>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</si>
  <si>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</si>
  <si>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</si>
  <si>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</si>
  <si>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</si>
  <si>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</si>
  <si>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</si>
  <si>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</si>
  <si>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</si>
  <si>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</si>
  <si>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</si>
  <si>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</si>
  <si>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</si>
  <si>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</si>
  <si>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</si>
  <si>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</si>
  <si>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</si>
  <si>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</si>
  <si>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</si>
  <si>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</si>
  <si>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</si>
  <si>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</si>
  <si>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</si>
  <si>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</si>
  <si>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</si>
  <si>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</si>
  <si>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</si>
  <si>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</si>
  <si>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</si>
  <si>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</si>
  <si>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</si>
  <si>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</si>
  <si>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</si>
  <si>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</si>
  <si>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</si>
  <si>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</si>
  <si>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</si>
  <si>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HPE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</si>
  <si>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</si>
  <si>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</si>
  <si>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</si>
  <si>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</si>
  <si>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</si>
  <si>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</si>
  <si>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</si>
  <si>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</si>
  <si>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</si>
  <si>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</si>
  <si>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</si>
  <si>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</si>
  <si>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</si>
  <si>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</si>
  <si>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</si>
  <si>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</si>
  <si>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</si>
  <si>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</si>
  <si>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</si>
  <si>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</si>
  <si>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</si>
  <si>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</si>
  <si>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</si>
  <si>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</si>
  <si>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</si>
  <si>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</si>
  <si>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</si>
  <si>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</si>
  <si>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</si>
  <si>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</si>
  <si>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HPE owner-FCF component DCF: base case (millions, USD)</t>
  </si>
  <si>
    <t xml:space="preserve">HPE owner-FCF component DCF: bull case (millions, USD)</t>
  </si>
  <si>
    <t xml:space="preserve">HPE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</si>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</sst>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62.63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</row>
    <row r="2" customFormat="false" ht="15" hidden="false" customHeight="false" outlineLevel="0" collapsed="false">
      <c r="A2" s="0" t="s">
        <v>39</v>
      </c>
      <c r="B2" s="0" t="s">
        <v>5</v>
      </c>
    </row>
    <row r="3" customFormat="false" ht="15" hidden="false" customHeight="false" outlineLevel="0" collapsed="false">
      <c r="A3" s="0" t="s">
        <v>40</v>
      </c>
      <c r="B3" s="0" t="n">
        <v>62.63</v>
      </c>
    </row>
    <row r="4" customFormat="false" ht="15" hidden="false" customHeight="false" outlineLevel="0" collapsed="false">
      <c r="A4" s="0" t="s">
        <v>41</v>
      </c>
      <c r="B4" s="0" t="n">
        <v>28.39</v>
      </c>
    </row>
    <row r="5" customFormat="false" ht="15" hidden="false" customHeight="false" outlineLevel="0" collapsed="false">
      <c r="A5" s="0" t="s">
        <v>42</v>
      </c>
      <c r="B5" s="0" t="n">
        <v>56.02</v>
      </c>
    </row>
    <row r="6" customFormat="false" ht="15" hidden="false" customHeight="false" outlineLevel="0" collapsed="false">
      <c r="A6" s="0" t="s">
        <v>43</v>
      </c>
      <c r="B6" s="0" t="n">
        <v>74.73</v>
      </c>
    </row>
    <row r="7" customFormat="false" ht="15" hidden="false" customHeight="false" outlineLevel="0" collapsed="false">
      <c r="A7" s="0" t="s">
        <v>44</v>
      </c>
      <c r="B7" s="0" t="n">
        <v>53.79</v>
      </c>
    </row>
    <row r="8" customFormat="false" ht="15" hidden="false" customHeight="false" outlineLevel="0" collapsed="false">
      <c r="A8" s="0" t="s">
        <v>45</v>
      </c>
      <c r="B8" s="0" t="s">
        <v>46</v>
      </c>
    </row>
    <row r="9" customFormat="false" ht="15" hidden="false" customHeight="false" outlineLevel="0" collapsed="false">
      <c r="A9" s="0" t="s">
        <v>47</v>
      </c>
      <c r="B9" s="0" t="s">
        <v>5</v>
      </c>
    </row>
    <row r="10" customFormat="false" ht="15" hidden="false" customHeight="false" outlineLevel="0" collapsed="false">
      <c r="A10" s="0" t="s">
        <v>48</v>
      </c>
      <c r="B10" s="0" t="n">
        <v>62.63</v>
      </c>
    </row>
    <row r="11" customFormat="false" ht="15" hidden="false" customHeight="false" outlineLevel="0" collapsed="false">
      <c r="A11" s="0" t="s">
        <v>49</v>
      </c>
      <c r="B11" s="0" t="n">
        <v>20.86</v>
      </c>
    </row>
    <row r="12" customFormat="false" ht="15" hidden="false" customHeight="false" outlineLevel="0" collapsed="false">
      <c r="A12" s="0" t="s">
        <v>50</v>
      </c>
      <c r="B12" s="0" t="n">
        <v>39.11</v>
      </c>
    </row>
    <row r="13" customFormat="false" ht="15" hidden="false" customHeight="false" outlineLevel="0" collapsed="false">
      <c r="A13" s="0" t="s">
        <v>51</v>
      </c>
      <c r="B13" s="0" t="n">
        <v>59.26</v>
      </c>
    </row>
    <row r="14" customFormat="false" ht="15" hidden="false" customHeight="false" outlineLevel="0" collapsed="false">
      <c r="A14" s="0" t="s">
        <v>52</v>
      </c>
      <c r="B14" s="0" t="n">
        <v>39.59</v>
      </c>
    </row>
    <row r="16" customFormat="false" ht="15" hidden="false" customHeight="false" outlineLevel="0" collapsed="false">
      <c r="A16" s="2" t="s">
        <v>53</v>
      </c>
    </row>
    <row r="17" customFormat="false" ht="15" hidden="false" customHeight="false" outlineLevel="0" collapsed="false">
      <c r="A17" s="0" t="s">
        <v>54</v>
      </c>
      <c r="B17" s="0" t="n">
        <v>53.79</v>
      </c>
    </row>
    <row r="18" customFormat="false" ht="15" hidden="false" customHeight="false" outlineLevel="0" collapsed="false">
      <c r="A18" s="0" t="s">
        <v>55</v>
      </c>
      <c r="B18" s="0" t="n">
        <v>-5.16</v>
      </c>
    </row>
    <row r="19" customFormat="false" ht="15" hidden="false" customHeight="false" outlineLevel="0" collapsed="false">
      <c r="A19" s="0" t="s">
        <v>56</v>
      </c>
      <c r="B19" s="0" t="n">
        <v>-4.06</v>
      </c>
    </row>
    <row r="20" customFormat="false" ht="15" hidden="false" customHeight="false" outlineLevel="0" collapsed="false">
      <c r="A20" s="0" t="s">
        <v>57</v>
      </c>
      <c r="B20" s="0" t="n">
        <v>-4.98</v>
      </c>
    </row>
    <row r="21" customFormat="false" ht="15" hidden="false" customHeight="false" outlineLevel="0" collapsed="false">
      <c r="A21" s="0" t="s">
        <v>58</v>
      </c>
      <c r="B21" s="0" t="n">
        <v>0</v>
      </c>
    </row>
    <row r="22" customFormat="false" ht="15" hidden="false" customHeight="false" outlineLevel="0" collapsed="false">
      <c r="A22" s="0" t="s">
        <v>59</v>
      </c>
      <c r="B22" s="0" t="n">
        <v>0</v>
      </c>
    </row>
    <row r="23" customFormat="false" ht="15" hidden="false" customHeight="false" outlineLevel="0" collapsed="false">
      <c r="A23" s="0" t="s">
        <v>60</v>
      </c>
      <c r="B23" s="0" t="n">
        <v>39.59</v>
      </c>
      <c r="C23" s="0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85</v>
      </c>
      <c r="Y1" s="2" t="s">
        <v>86</v>
      </c>
      <c r="Z1" s="2" t="s">
        <v>87</v>
      </c>
      <c r="AA1" s="2" t="s">
        <v>16</v>
      </c>
      <c r="AB1" s="2" t="s">
        <v>88</v>
      </c>
    </row>
    <row r="2" customFormat="false" ht="15" hidden="false" customHeight="false" outlineLevel="0" collapsed="false">
      <c r="A2" s="0" t="s">
        <v>89</v>
      </c>
      <c r="O2" s="0" t="n">
        <v>39569</v>
      </c>
      <c r="S2" s="0" t="n">
        <v>2134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90</v>
      </c>
      <c r="B3" s="0" t="n">
        <v>57371</v>
      </c>
      <c r="F3" s="0" t="n">
        <v>2952</v>
      </c>
      <c r="G3" s="0" t="n">
        <v>5.14545676387025</v>
      </c>
      <c r="H3" s="0" t="n">
        <v>7348</v>
      </c>
      <c r="I3" s="0" t="n">
        <v>2051</v>
      </c>
      <c r="J3" s="0" t="n">
        <v>3.57497690470795</v>
      </c>
      <c r="K3" s="0" t="n">
        <v>1.14</v>
      </c>
      <c r="M3" s="0" t="n">
        <v>2497</v>
      </c>
      <c r="O3" s="0" t="n">
        <v>38375</v>
      </c>
      <c r="S3" s="0" t="n">
        <v>2182</v>
      </c>
      <c r="T3" s="0" t="n">
        <v>1834</v>
      </c>
      <c r="U3" s="0" t="n">
        <v>374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91</v>
      </c>
      <c r="B4" s="0" t="n">
        <v>55123</v>
      </c>
      <c r="F4" s="0" t="n">
        <v>2335</v>
      </c>
      <c r="G4" s="0" t="n">
        <v>4.23598135079731</v>
      </c>
      <c r="H4" s="0" t="n">
        <v>6479</v>
      </c>
      <c r="I4" s="0" t="n">
        <v>1648</v>
      </c>
      <c r="J4" s="0" t="n">
        <v>2.98967763002739</v>
      </c>
      <c r="K4" s="0" t="n">
        <v>0.91</v>
      </c>
      <c r="L4" s="0" t="n">
        <v>6911</v>
      </c>
      <c r="M4" s="0" t="n">
        <v>3620</v>
      </c>
      <c r="N4" s="0" t="n">
        <v>3291</v>
      </c>
      <c r="O4" s="0" t="n">
        <v>37172</v>
      </c>
      <c r="P4" s="0" t="n">
        <v>65071</v>
      </c>
      <c r="R4" s="0" t="n">
        <v>1379</v>
      </c>
      <c r="S4" s="0" t="n">
        <v>2319</v>
      </c>
      <c r="T4" s="0" t="n">
        <v>1834</v>
      </c>
      <c r="U4" s="0" t="n">
        <v>427</v>
      </c>
      <c r="V4" s="0" t="n">
        <v>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92</v>
      </c>
      <c r="B5" s="0" t="n">
        <v>31077</v>
      </c>
      <c r="F5" s="0" t="n">
        <v>1946</v>
      </c>
      <c r="G5" s="0" t="n">
        <v>6.26186568845127</v>
      </c>
      <c r="H5" s="0" t="n">
        <v>5893</v>
      </c>
      <c r="I5" s="0" t="n">
        <v>2461</v>
      </c>
      <c r="J5" s="0" t="n">
        <v>7.91903980435692</v>
      </c>
      <c r="K5" s="0" t="n">
        <v>1.36</v>
      </c>
      <c r="L5" s="0" t="n">
        <v>3661</v>
      </c>
      <c r="M5" s="0" t="n">
        <v>3344</v>
      </c>
      <c r="N5" s="0" t="n">
        <v>317</v>
      </c>
      <c r="O5" s="0" t="n">
        <v>33918</v>
      </c>
      <c r="P5" s="0" t="n">
        <v>79916</v>
      </c>
      <c r="R5" s="0" t="n">
        <v>15794</v>
      </c>
      <c r="S5" s="0" t="n">
        <v>9842</v>
      </c>
      <c r="T5" s="0" t="n">
        <v>1834</v>
      </c>
      <c r="U5" s="0" t="n">
        <v>565</v>
      </c>
      <c r="V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93</v>
      </c>
      <c r="B6" s="0" t="n">
        <v>30280</v>
      </c>
      <c r="F6" s="0" t="n">
        <v>3903</v>
      </c>
      <c r="G6" s="0" t="n">
        <v>12.8896961690885</v>
      </c>
      <c r="H6" s="0" t="n">
        <v>7678</v>
      </c>
      <c r="I6" s="0" t="n">
        <v>3161</v>
      </c>
      <c r="J6" s="0" t="n">
        <v>10.4392338177015</v>
      </c>
      <c r="K6" s="0" t="n">
        <v>1.84</v>
      </c>
      <c r="L6" s="0" t="n">
        <v>5056</v>
      </c>
      <c r="M6" s="0" t="n">
        <v>3280</v>
      </c>
      <c r="N6" s="0" t="n">
        <v>1776</v>
      </c>
      <c r="O6" s="0" t="n">
        <v>31518</v>
      </c>
      <c r="P6" s="0" t="n">
        <v>79629</v>
      </c>
      <c r="R6" s="0" t="n">
        <v>15693</v>
      </c>
      <c r="S6" s="0" t="n">
        <v>12987</v>
      </c>
      <c r="T6" s="0" t="n">
        <v>1739</v>
      </c>
      <c r="U6" s="0" t="n">
        <v>597</v>
      </c>
      <c r="V6" s="0" t="n">
        <v>0.22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94</v>
      </c>
      <c r="B7" s="0" t="n">
        <v>28871</v>
      </c>
      <c r="F7" s="0" t="n">
        <v>564</v>
      </c>
      <c r="G7" s="0" t="n">
        <v>1.95351737037165</v>
      </c>
      <c r="H7" s="0" t="n">
        <v>3615</v>
      </c>
      <c r="I7" s="0" t="n">
        <v>344</v>
      </c>
      <c r="J7" s="0" t="n">
        <v>1.19150704859548</v>
      </c>
      <c r="K7" s="0" t="n">
        <v>0.21</v>
      </c>
      <c r="L7" s="0" t="n">
        <v>1335</v>
      </c>
      <c r="M7" s="0" t="n">
        <v>3137</v>
      </c>
      <c r="N7" s="0" t="n">
        <v>-1802</v>
      </c>
      <c r="O7" s="0" t="n">
        <v>23505</v>
      </c>
      <c r="P7" s="0" t="n">
        <v>61406</v>
      </c>
      <c r="R7" s="0" t="n">
        <v>14032</v>
      </c>
      <c r="S7" s="0" t="n">
        <v>9579</v>
      </c>
      <c r="T7" s="0" t="n">
        <v>1674</v>
      </c>
      <c r="U7" s="0" t="n">
        <v>454</v>
      </c>
      <c r="V7" s="0" t="n">
        <v>0.26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95</v>
      </c>
      <c r="B8" s="0" t="n">
        <v>30852</v>
      </c>
      <c r="F8" s="0" t="n">
        <v>1737</v>
      </c>
      <c r="G8" s="0" t="n">
        <v>5.63010501750292</v>
      </c>
      <c r="H8" s="0" t="n">
        <v>4313</v>
      </c>
      <c r="I8" s="0" t="n">
        <v>1908</v>
      </c>
      <c r="J8" s="0" t="n">
        <v>6.18436406067678</v>
      </c>
      <c r="K8" s="0" t="n">
        <v>1.25</v>
      </c>
      <c r="L8" s="0" t="n">
        <v>2964</v>
      </c>
      <c r="M8" s="0" t="n">
        <v>2956</v>
      </c>
      <c r="N8" s="0" t="n">
        <v>8</v>
      </c>
      <c r="O8" s="0" t="n">
        <v>21274</v>
      </c>
      <c r="P8" s="0" t="n">
        <v>55493</v>
      </c>
      <c r="Q8" s="0" t="n">
        <v>14276</v>
      </c>
      <c r="R8" s="0" t="n">
        <v>12141</v>
      </c>
      <c r="S8" s="0" t="n">
        <v>4880</v>
      </c>
      <c r="T8" s="0" t="n">
        <v>1553</v>
      </c>
      <c r="U8" s="0" t="n">
        <v>309</v>
      </c>
      <c r="V8" s="0" t="n">
        <v>0.4875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96</v>
      </c>
      <c r="B9" s="0" t="n">
        <v>29135</v>
      </c>
      <c r="F9" s="0" t="n">
        <v>1274</v>
      </c>
      <c r="G9" s="0" t="n">
        <v>4.37274755448773</v>
      </c>
      <c r="H9" s="0" t="n">
        <v>3809</v>
      </c>
      <c r="I9" s="0" t="n">
        <v>1065</v>
      </c>
      <c r="J9" s="0" t="n">
        <v>3.65539728848464</v>
      </c>
      <c r="K9" s="0" t="n">
        <v>0.78</v>
      </c>
      <c r="L9" s="0" t="n">
        <v>3997</v>
      </c>
      <c r="M9" s="0" t="n">
        <v>2856</v>
      </c>
      <c r="N9" s="0" t="n">
        <v>1141</v>
      </c>
      <c r="O9" s="0" t="n">
        <v>17149</v>
      </c>
      <c r="P9" s="0" t="n">
        <v>51803</v>
      </c>
      <c r="R9" s="0" t="n">
        <v>13820</v>
      </c>
      <c r="S9" s="0" t="n">
        <v>3753</v>
      </c>
      <c r="T9" s="0" t="n">
        <v>1366</v>
      </c>
      <c r="U9" s="0" t="n">
        <v>270</v>
      </c>
      <c r="V9" s="0" t="n">
        <v>0.4575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97</v>
      </c>
      <c r="B10" s="0" t="n">
        <v>26982</v>
      </c>
      <c r="F10" s="0" t="n">
        <v>-329</v>
      </c>
      <c r="G10" s="0" t="n">
        <v>-1.2193314061226</v>
      </c>
      <c r="H10" s="0" t="n">
        <v>2296</v>
      </c>
      <c r="I10" s="0" t="n">
        <v>-322</v>
      </c>
      <c r="J10" s="0" t="n">
        <v>-1.19338818471574</v>
      </c>
      <c r="K10" s="0" t="n">
        <v>-0.25</v>
      </c>
      <c r="L10" s="0" t="n">
        <v>2240</v>
      </c>
      <c r="M10" s="0" t="n">
        <v>2383</v>
      </c>
      <c r="N10" s="0" t="n">
        <v>-143</v>
      </c>
      <c r="O10" s="0" t="n">
        <v>16096</v>
      </c>
      <c r="P10" s="0" t="n">
        <v>54015</v>
      </c>
      <c r="R10" s="0" t="n">
        <v>15941</v>
      </c>
      <c r="S10" s="0" t="n">
        <v>4233</v>
      </c>
      <c r="T10" s="0" t="n">
        <v>1294</v>
      </c>
      <c r="U10" s="0" t="n">
        <v>278</v>
      </c>
      <c r="V10" s="0" t="n">
        <v>0.36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98</v>
      </c>
      <c r="B11" s="0" t="n">
        <v>27784</v>
      </c>
      <c r="F11" s="0" t="n">
        <v>1132</v>
      </c>
      <c r="G11" s="0" t="n">
        <v>4.07428735963144</v>
      </c>
      <c r="H11" s="0" t="n">
        <v>3729</v>
      </c>
      <c r="I11" s="0" t="n">
        <v>3436</v>
      </c>
      <c r="J11" s="0" t="n">
        <v>12.3668298301181</v>
      </c>
      <c r="K11" s="0" t="n">
        <v>2.62</v>
      </c>
      <c r="L11" s="0" t="n">
        <v>5871</v>
      </c>
      <c r="M11" s="0" t="n">
        <v>2502</v>
      </c>
      <c r="N11" s="0" t="n">
        <v>3369</v>
      </c>
      <c r="O11" s="0" t="n">
        <v>20017</v>
      </c>
      <c r="P11" s="0" t="n">
        <v>57699</v>
      </c>
      <c r="R11" s="0" t="n">
        <v>13448</v>
      </c>
      <c r="S11" s="0" t="n">
        <v>3996</v>
      </c>
      <c r="T11" s="0" t="n">
        <v>1330</v>
      </c>
      <c r="U11" s="0" t="n">
        <v>382</v>
      </c>
      <c r="V11" s="0" t="n">
        <v>0.48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99</v>
      </c>
      <c r="B12" s="0" t="n">
        <v>28496</v>
      </c>
      <c r="F12" s="0" t="n">
        <v>782</v>
      </c>
      <c r="G12" s="0" t="n">
        <v>2.7442448062886</v>
      </c>
      <c r="H12" s="0" t="n">
        <v>3262</v>
      </c>
      <c r="I12" s="0" t="n">
        <v>873</v>
      </c>
      <c r="J12" s="0" t="n">
        <v>3.06358787198203</v>
      </c>
      <c r="K12" s="0" t="n">
        <v>0.67</v>
      </c>
      <c r="L12" s="0" t="n">
        <v>4593</v>
      </c>
      <c r="M12" s="0" t="n">
        <v>3122</v>
      </c>
      <c r="N12" s="0" t="n">
        <v>1471</v>
      </c>
      <c r="O12" s="0" t="n">
        <v>19909</v>
      </c>
      <c r="P12" s="0" t="n">
        <v>57123</v>
      </c>
      <c r="R12" s="0" t="n">
        <v>12465</v>
      </c>
      <c r="S12" s="0" t="n">
        <v>4163</v>
      </c>
      <c r="T12" s="0" t="n">
        <v>1322</v>
      </c>
      <c r="U12" s="0" t="n">
        <v>391</v>
      </c>
      <c r="V12" s="0" t="n">
        <v>0.48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100</v>
      </c>
      <c r="B13" s="0" t="n">
        <v>29135</v>
      </c>
      <c r="F13" s="0" t="n">
        <v>2089</v>
      </c>
      <c r="G13" s="0" t="n">
        <v>7.17007036210743</v>
      </c>
      <c r="H13" s="0" t="n">
        <v>4705</v>
      </c>
      <c r="I13" s="0" t="n">
        <v>2036</v>
      </c>
      <c r="J13" s="0" t="n">
        <v>6.98815857216406</v>
      </c>
      <c r="K13" s="0" t="n">
        <v>1.56</v>
      </c>
      <c r="L13" s="0" t="n">
        <v>4428</v>
      </c>
      <c r="M13" s="0" t="n">
        <v>2828</v>
      </c>
      <c r="N13" s="0" t="n">
        <v>1600</v>
      </c>
      <c r="O13" s="0" t="n">
        <v>21238</v>
      </c>
      <c r="P13" s="0" t="n">
        <v>57153</v>
      </c>
      <c r="R13" s="0" t="n">
        <v>12355</v>
      </c>
      <c r="S13" s="0" t="n">
        <v>4270</v>
      </c>
      <c r="T13" s="0" t="n">
        <v>1316</v>
      </c>
      <c r="U13" s="0" t="n">
        <v>428</v>
      </c>
      <c r="V13" s="0" t="n">
        <v>0.48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101</v>
      </c>
      <c r="B14" s="0" t="n">
        <v>30127</v>
      </c>
      <c r="F14" s="0" t="n">
        <v>2190</v>
      </c>
      <c r="G14" s="0" t="n">
        <v>7.26922693929034</v>
      </c>
      <c r="H14" s="0" t="n">
        <v>4754</v>
      </c>
      <c r="I14" s="0" t="n">
        <v>2595</v>
      </c>
      <c r="J14" s="0" t="n">
        <v>8.61353603080294</v>
      </c>
      <c r="K14" s="0" t="n">
        <v>1.95</v>
      </c>
      <c r="L14" s="0" t="n">
        <v>4341</v>
      </c>
      <c r="M14" s="0" t="n">
        <v>2367</v>
      </c>
      <c r="N14" s="0" t="n">
        <v>1974</v>
      </c>
      <c r="O14" s="0" t="n">
        <v>24880</v>
      </c>
      <c r="P14" s="0" t="n">
        <v>71262</v>
      </c>
      <c r="R14" s="0" t="n">
        <v>22402</v>
      </c>
      <c r="S14" s="0" t="n">
        <v>14846</v>
      </c>
      <c r="T14" s="0" t="n">
        <v>1337</v>
      </c>
      <c r="U14" s="0" t="n">
        <v>430</v>
      </c>
      <c r="V14" s="0" t="n">
        <v>0.52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102</v>
      </c>
      <c r="B15" s="0" t="n">
        <v>34296</v>
      </c>
      <c r="F15" s="0" t="n">
        <v>-437</v>
      </c>
      <c r="G15" s="0" t="n">
        <v>-1.27420107301143</v>
      </c>
      <c r="H15" s="0" t="n">
        <v>2300</v>
      </c>
      <c r="I15" s="0" t="n">
        <v>57</v>
      </c>
      <c r="J15" s="0" t="n">
        <v>0.166200139958013</v>
      </c>
      <c r="K15" s="0" t="n">
        <v>-0.04</v>
      </c>
      <c r="L15" s="0" t="n">
        <v>2919</v>
      </c>
      <c r="M15" s="0" t="n">
        <v>2292</v>
      </c>
      <c r="N15" s="0" t="n">
        <v>627</v>
      </c>
      <c r="O15" s="0" t="n">
        <v>24754</v>
      </c>
      <c r="P15" s="0" t="n">
        <v>75906</v>
      </c>
      <c r="R15" s="0" t="n">
        <v>26357</v>
      </c>
      <c r="S15" s="0" t="n">
        <v>5773</v>
      </c>
      <c r="T15" s="0" t="n">
        <v>1324</v>
      </c>
      <c r="U15" s="0" t="n">
        <v>643</v>
      </c>
      <c r="V15" s="0" t="n">
        <v>0.52</v>
      </c>
      <c r="AA15" s="0" t="s">
        <v>17</v>
      </c>
      <c r="AB15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103</v>
      </c>
      <c r="B1" s="2" t="s">
        <v>37</v>
      </c>
    </row>
    <row r="2" customFormat="false" ht="15" hidden="false" customHeight="false" outlineLevel="0" collapsed="false">
      <c r="A2" s="0" t="s">
        <v>104</v>
      </c>
      <c r="B2" s="3" t="n">
        <v>62.63</v>
      </c>
    </row>
    <row r="3" customFormat="false" ht="15" hidden="false" customHeight="false" outlineLevel="0" collapsed="false">
      <c r="A3" s="0" t="s">
        <v>105</v>
      </c>
      <c r="B3" s="3" t="n">
        <v>1449</v>
      </c>
    </row>
    <row r="4" customFormat="false" ht="15" hidden="false" customHeight="false" outlineLevel="0" collapsed="false">
      <c r="A4" s="0" t="s">
        <v>106</v>
      </c>
      <c r="B4" s="3" t="n">
        <v>14028</v>
      </c>
    </row>
    <row r="5" customFormat="false" ht="15" hidden="false" customHeight="false" outlineLevel="0" collapsed="false">
      <c r="A5" s="0" t="s">
        <v>107</v>
      </c>
      <c r="B5" s="3" t="n">
        <v>10753</v>
      </c>
    </row>
    <row r="6" customFormat="false" ht="15" hidden="false" customHeight="false" outlineLevel="0" collapsed="false">
      <c r="A6" s="0" t="s">
        <v>108</v>
      </c>
      <c r="B6" s="3" t="n">
        <v>15</v>
      </c>
    </row>
    <row r="7" customFormat="false" ht="15" hidden="false" customHeight="false" outlineLevel="0" collapsed="false">
      <c r="A7" s="0" t="s">
        <v>109</v>
      </c>
      <c r="B7" s="3" t="n">
        <v>46540</v>
      </c>
    </row>
    <row r="8" customFormat="false" ht="15" hidden="false" customHeight="false" outlineLevel="0" collapsed="false">
      <c r="A8" s="0" t="s">
        <v>110</v>
      </c>
      <c r="B8" s="3" t="s">
        <v>111</v>
      </c>
    </row>
    <row r="9" customFormat="false" ht="15" hidden="false" customHeight="false" outlineLevel="0" collapsed="false">
      <c r="A9" s="0" t="s">
        <v>112</v>
      </c>
      <c r="B9" s="3" t="s">
        <v>113</v>
      </c>
    </row>
    <row r="10" customFormat="false" ht="15" hidden="false" customHeight="false" outlineLevel="0" collapsed="false">
      <c r="A10" s="0" t="s">
        <v>114</v>
      </c>
      <c r="B10" s="3" t="n">
        <v>1</v>
      </c>
    </row>
    <row r="12" customFormat="false" ht="15" hidden="false" customHeight="false" outlineLevel="0" collapsed="false">
      <c r="A12" s="2" t="s">
        <v>115</v>
      </c>
      <c r="C12" s="2" t="s">
        <v>116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121</v>
      </c>
      <c r="I12" s="2" t="s">
        <v>122</v>
      </c>
      <c r="J12" s="2" t="s">
        <v>123</v>
      </c>
      <c r="K12" s="2" t="s">
        <v>124</v>
      </c>
      <c r="L12" s="2" t="s">
        <v>125</v>
      </c>
    </row>
    <row r="13" customFormat="false" ht="15" hidden="false" customHeight="false" outlineLevel="0" collapsed="false">
      <c r="A13" s="0" t="s">
        <v>126</v>
      </c>
      <c r="C13" s="3" t="n">
        <v>8</v>
      </c>
      <c r="D13" s="3" t="n">
        <v>0</v>
      </c>
      <c r="E13" s="3" t="n">
        <v>-3</v>
      </c>
      <c r="F13" s="3" t="n">
        <v>1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127</v>
      </c>
      <c r="C14" s="3" t="n">
        <v>17</v>
      </c>
      <c r="D14" s="3" t="n">
        <v>15.5</v>
      </c>
      <c r="E14" s="3" t="n">
        <v>14.5</v>
      </c>
      <c r="F14" s="3" t="n">
        <v>15</v>
      </c>
      <c r="G14" s="3" t="n">
        <v>15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128</v>
      </c>
      <c r="C15" s="3" t="n">
        <v>2.7</v>
      </c>
      <c r="D15" s="3" t="n">
        <v>2.7</v>
      </c>
      <c r="E15" s="3" t="n">
        <v>2.6</v>
      </c>
      <c r="F15" s="3" t="n">
        <v>2.5</v>
      </c>
      <c r="G15" s="3" t="n">
        <v>2.4</v>
      </c>
      <c r="H15" s="3" t="n">
        <v>2.3</v>
      </c>
      <c r="I15" s="3" t="n">
        <v>2.2</v>
      </c>
      <c r="J15" s="3" t="n">
        <v>2.2</v>
      </c>
      <c r="K15" s="3" t="n">
        <v>2.2</v>
      </c>
      <c r="L15" s="3" t="n">
        <v>2.2</v>
      </c>
    </row>
    <row r="16" customFormat="false" ht="15" hidden="false" customHeight="false" outlineLevel="0" collapsed="false">
      <c r="A16" s="0" t="s">
        <v>129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130</v>
      </c>
      <c r="C17" s="3" t="n">
        <v>7.3</v>
      </c>
      <c r="D17" s="3" t="n">
        <v>7</v>
      </c>
      <c r="E17" s="3" t="n">
        <v>6.8</v>
      </c>
      <c r="F17" s="3" t="n">
        <v>6.6</v>
      </c>
      <c r="G17" s="3" t="n">
        <v>6.4</v>
      </c>
      <c r="H17" s="3" t="n">
        <v>6</v>
      </c>
      <c r="I17" s="3" t="n">
        <v>5.5</v>
      </c>
      <c r="J17" s="3" t="n">
        <v>5.2</v>
      </c>
      <c r="K17" s="3" t="n">
        <v>5</v>
      </c>
      <c r="L17" s="3" t="n">
        <v>5</v>
      </c>
    </row>
    <row r="18" customFormat="false" ht="15" hidden="false" customHeight="false" outlineLevel="0" collapsed="false">
      <c r="A18" s="0" t="s">
        <v>131</v>
      </c>
      <c r="C18" s="3" t="n">
        <v>5.3</v>
      </c>
      <c r="D18" s="3" t="n">
        <v>5.3</v>
      </c>
      <c r="E18" s="3" t="n">
        <v>5.3</v>
      </c>
      <c r="F18" s="3" t="n">
        <v>5.3</v>
      </c>
      <c r="G18" s="3" t="n">
        <v>5.3</v>
      </c>
      <c r="H18" s="3" t="n">
        <v>5.3</v>
      </c>
      <c r="I18" s="3" t="n">
        <v>5.3</v>
      </c>
      <c r="J18" s="3" t="n">
        <v>5.3</v>
      </c>
      <c r="K18" s="3" t="n">
        <v>5.3</v>
      </c>
      <c r="L18" s="3" t="n">
        <v>5.3</v>
      </c>
    </row>
    <row r="19" customFormat="false" ht="15" hidden="false" customHeight="false" outlineLevel="0" collapsed="false">
      <c r="A19" s="0" t="s">
        <v>132</v>
      </c>
      <c r="C19" s="3" t="n">
        <v>17</v>
      </c>
      <c r="D19" s="3" t="n">
        <v>18</v>
      </c>
      <c r="E19" s="3" t="n">
        <v>19</v>
      </c>
      <c r="F19" s="3" t="n">
        <v>20</v>
      </c>
      <c r="G19" s="3" t="n">
        <v>20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133</v>
      </c>
      <c r="B20" s="3" t="n">
        <v>10</v>
      </c>
    </row>
    <row r="21" customFormat="false" ht="15" hidden="false" customHeight="false" outlineLevel="0" collapsed="false">
      <c r="A21" s="0" t="s">
        <v>134</v>
      </c>
      <c r="B21" s="3" t="n">
        <v>1.5</v>
      </c>
    </row>
    <row r="22" customFormat="false" ht="15" hidden="false" customHeight="false" outlineLevel="0" collapsed="false">
      <c r="A22" s="0" t="s">
        <v>135</v>
      </c>
      <c r="B22" s="3" t="n">
        <v>15</v>
      </c>
    </row>
    <row r="23" customFormat="false" ht="15" hidden="false" customHeight="false" outlineLevel="0" collapsed="false">
      <c r="A23" s="0" t="s">
        <v>136</v>
      </c>
      <c r="B23" s="3" t="n">
        <v>-6</v>
      </c>
    </row>
    <row r="24" customFormat="false" ht="15" hidden="false" customHeight="false" outlineLevel="0" collapsed="false">
      <c r="A24" s="0" t="s">
        <v>137</v>
      </c>
      <c r="B24" s="3" t="n">
        <v>0.25</v>
      </c>
    </row>
    <row r="26" customFormat="false" ht="15" hidden="false" customHeight="false" outlineLevel="0" collapsed="false">
      <c r="A26" s="2" t="s">
        <v>138</v>
      </c>
      <c r="C26" s="2" t="s">
        <v>116</v>
      </c>
      <c r="D26" s="2" t="s">
        <v>117</v>
      </c>
      <c r="E26" s="2" t="s">
        <v>118</v>
      </c>
      <c r="F26" s="2" t="s">
        <v>119</v>
      </c>
      <c r="G26" s="2" t="s">
        <v>120</v>
      </c>
      <c r="H26" s="2" t="s">
        <v>121</v>
      </c>
      <c r="I26" s="2" t="s">
        <v>122</v>
      </c>
      <c r="J26" s="2" t="s">
        <v>123</v>
      </c>
      <c r="K26" s="2" t="s">
        <v>124</v>
      </c>
      <c r="L26" s="2" t="s">
        <v>125</v>
      </c>
    </row>
    <row r="27" customFormat="false" ht="15" hidden="false" customHeight="false" outlineLevel="0" collapsed="false">
      <c r="A27" s="0" t="s">
        <v>126</v>
      </c>
      <c r="C27" s="3" t="n">
        <v>14</v>
      </c>
      <c r="D27" s="3" t="n">
        <v>5</v>
      </c>
      <c r="E27" s="3" t="n">
        <v>3</v>
      </c>
      <c r="F27" s="3" t="n">
        <v>2.5</v>
      </c>
      <c r="G27" s="3" t="n">
        <v>2.5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127</v>
      </c>
      <c r="C28" s="3" t="n">
        <v>18.5</v>
      </c>
      <c r="D28" s="3" t="n">
        <v>18.3</v>
      </c>
      <c r="E28" s="3" t="n">
        <v>18.2</v>
      </c>
      <c r="F28" s="3" t="n">
        <v>18</v>
      </c>
      <c r="G28" s="3" t="n">
        <v>18</v>
      </c>
      <c r="H28" s="3" t="n">
        <v>18</v>
      </c>
      <c r="I28" s="3" t="n">
        <v>18</v>
      </c>
      <c r="J28" s="3" t="n">
        <v>18</v>
      </c>
      <c r="K28" s="3" t="n">
        <v>18</v>
      </c>
      <c r="L28" s="3" t="n">
        <v>18</v>
      </c>
    </row>
    <row r="29" customFormat="false" ht="15" hidden="false" customHeight="false" outlineLevel="0" collapsed="false">
      <c r="A29" s="0" t="s">
        <v>128</v>
      </c>
      <c r="C29" s="3" t="n">
        <v>2.6</v>
      </c>
      <c r="D29" s="3" t="n">
        <v>2.5</v>
      </c>
      <c r="E29" s="3" t="n">
        <v>2.4</v>
      </c>
      <c r="F29" s="3" t="n">
        <v>2.3</v>
      </c>
      <c r="G29" s="3" t="n">
        <v>2.2</v>
      </c>
      <c r="H29" s="3" t="n">
        <v>2.1</v>
      </c>
      <c r="I29" s="3" t="n">
        <v>2</v>
      </c>
      <c r="J29" s="3" t="n">
        <v>2</v>
      </c>
      <c r="K29" s="3" t="n">
        <v>2</v>
      </c>
      <c r="L29" s="3" t="n">
        <v>2</v>
      </c>
    </row>
    <row r="30" customFormat="false" ht="15" hidden="false" customHeight="false" outlineLevel="0" collapsed="false">
      <c r="A30" s="0" t="s">
        <v>129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130</v>
      </c>
      <c r="C31" s="3" t="n">
        <v>7.3</v>
      </c>
      <c r="D31" s="3" t="n">
        <v>7</v>
      </c>
      <c r="E31" s="3" t="n">
        <v>6.8</v>
      </c>
      <c r="F31" s="3" t="n">
        <v>6.6</v>
      </c>
      <c r="G31" s="3" t="n">
        <v>6.4</v>
      </c>
      <c r="H31" s="3" t="n">
        <v>6</v>
      </c>
      <c r="I31" s="3" t="n">
        <v>5.5</v>
      </c>
      <c r="J31" s="3" t="n">
        <v>5.2</v>
      </c>
      <c r="K31" s="3" t="n">
        <v>5</v>
      </c>
      <c r="L31" s="3" t="n">
        <v>5</v>
      </c>
    </row>
    <row r="32" customFormat="false" ht="15" hidden="false" customHeight="false" outlineLevel="0" collapsed="false">
      <c r="A32" s="0" t="s">
        <v>131</v>
      </c>
      <c r="C32" s="3" t="n">
        <v>5</v>
      </c>
      <c r="D32" s="3" t="n">
        <v>5</v>
      </c>
      <c r="E32" s="3" t="n">
        <v>5</v>
      </c>
      <c r="F32" s="3" t="n">
        <v>5</v>
      </c>
      <c r="G32" s="3" t="n">
        <v>5</v>
      </c>
      <c r="H32" s="3" t="n">
        <v>5</v>
      </c>
      <c r="I32" s="3" t="n">
        <v>5</v>
      </c>
      <c r="J32" s="3" t="n">
        <v>5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132</v>
      </c>
      <c r="C33" s="3" t="n">
        <v>17</v>
      </c>
      <c r="D33" s="3" t="n">
        <v>18</v>
      </c>
      <c r="E33" s="3" t="n">
        <v>19</v>
      </c>
      <c r="F33" s="3" t="n">
        <v>20</v>
      </c>
      <c r="G33" s="3" t="n">
        <v>20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133</v>
      </c>
      <c r="B34" s="3" t="n">
        <v>10</v>
      </c>
    </row>
    <row r="35" customFormat="false" ht="15" hidden="false" customHeight="false" outlineLevel="0" collapsed="false">
      <c r="A35" s="0" t="s">
        <v>134</v>
      </c>
      <c r="B35" s="3" t="n">
        <v>2</v>
      </c>
    </row>
    <row r="36" customFormat="false" ht="15" hidden="false" customHeight="false" outlineLevel="0" collapsed="false">
      <c r="A36" s="0" t="s">
        <v>135</v>
      </c>
      <c r="B36" s="3" t="n">
        <v>15</v>
      </c>
    </row>
    <row r="37" customFormat="false" ht="15" hidden="false" customHeight="false" outlineLevel="0" collapsed="false">
      <c r="A37" s="0" t="s">
        <v>136</v>
      </c>
      <c r="B37" s="3" t="n">
        <v>-6</v>
      </c>
    </row>
    <row r="38" customFormat="false" ht="15" hidden="false" customHeight="false" outlineLevel="0" collapsed="false">
      <c r="A38" s="0" t="s">
        <v>137</v>
      </c>
      <c r="B38" s="3" t="n">
        <v>0.5</v>
      </c>
    </row>
    <row r="40" customFormat="false" ht="15" hidden="false" customHeight="false" outlineLevel="0" collapsed="false">
      <c r="A40" s="2" t="s">
        <v>139</v>
      </c>
      <c r="C40" s="2" t="s">
        <v>116</v>
      </c>
      <c r="D40" s="2" t="s">
        <v>117</v>
      </c>
      <c r="E40" s="2" t="s">
        <v>118</v>
      </c>
      <c r="F40" s="2" t="s">
        <v>119</v>
      </c>
      <c r="G40" s="2" t="s">
        <v>120</v>
      </c>
      <c r="H40" s="2" t="s">
        <v>121</v>
      </c>
      <c r="I40" s="2" t="s">
        <v>122</v>
      </c>
      <c r="J40" s="2" t="s">
        <v>123</v>
      </c>
      <c r="K40" s="2" t="s">
        <v>124</v>
      </c>
      <c r="L40" s="2" t="s">
        <v>125</v>
      </c>
    </row>
    <row r="41" customFormat="false" ht="15" hidden="false" customHeight="false" outlineLevel="0" collapsed="false">
      <c r="A41" s="0" t="s">
        <v>126</v>
      </c>
      <c r="C41" s="3" t="n">
        <v>17</v>
      </c>
      <c r="D41" s="3" t="n">
        <v>9</v>
      </c>
      <c r="E41" s="3" t="n">
        <v>6</v>
      </c>
      <c r="F41" s="3" t="n">
        <v>4</v>
      </c>
      <c r="G41" s="3" t="n">
        <v>3.5</v>
      </c>
      <c r="H41" s="3" t="n">
        <v>3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127</v>
      </c>
      <c r="C42" s="3" t="n">
        <v>19.3</v>
      </c>
      <c r="D42" s="3" t="n">
        <v>19.8</v>
      </c>
      <c r="E42" s="3" t="n">
        <v>20</v>
      </c>
      <c r="F42" s="3" t="n">
        <v>20</v>
      </c>
      <c r="G42" s="3" t="n">
        <v>20</v>
      </c>
      <c r="H42" s="3" t="n">
        <v>20</v>
      </c>
      <c r="I42" s="3" t="n">
        <v>20</v>
      </c>
      <c r="J42" s="3" t="n">
        <v>20</v>
      </c>
      <c r="K42" s="3" t="n">
        <v>20</v>
      </c>
      <c r="L42" s="3" t="n">
        <v>20</v>
      </c>
    </row>
    <row r="43" customFormat="false" ht="15" hidden="false" customHeight="false" outlineLevel="0" collapsed="false">
      <c r="A43" s="0" t="s">
        <v>128</v>
      </c>
      <c r="C43" s="3" t="n">
        <v>2.6</v>
      </c>
      <c r="D43" s="3" t="n">
        <v>2.4</v>
      </c>
      <c r="E43" s="3" t="n">
        <v>2.2</v>
      </c>
      <c r="F43" s="3" t="n">
        <v>2</v>
      </c>
      <c r="G43" s="3" t="n">
        <v>1.9</v>
      </c>
      <c r="H43" s="3" t="n">
        <v>1.8</v>
      </c>
      <c r="I43" s="3" t="n">
        <v>1.8</v>
      </c>
      <c r="J43" s="3" t="n">
        <v>1.8</v>
      </c>
      <c r="K43" s="3" t="n">
        <v>1.8</v>
      </c>
      <c r="L43" s="3" t="n">
        <v>1.8</v>
      </c>
    </row>
    <row r="44" customFormat="false" ht="15" hidden="false" customHeight="false" outlineLevel="0" collapsed="false">
      <c r="A44" s="0" t="s">
        <v>129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130</v>
      </c>
      <c r="C45" s="3" t="n">
        <v>7.3</v>
      </c>
      <c r="D45" s="3" t="n">
        <v>7</v>
      </c>
      <c r="E45" s="3" t="n">
        <v>6.8</v>
      </c>
      <c r="F45" s="3" t="n">
        <v>6.6</v>
      </c>
      <c r="G45" s="3" t="n">
        <v>6.4</v>
      </c>
      <c r="H45" s="3" t="n">
        <v>6</v>
      </c>
      <c r="I45" s="3" t="n">
        <v>5.5</v>
      </c>
      <c r="J45" s="3" t="n">
        <v>5.2</v>
      </c>
      <c r="K45" s="3" t="n">
        <v>5</v>
      </c>
      <c r="L45" s="3" t="n">
        <v>5</v>
      </c>
    </row>
    <row r="46" customFormat="false" ht="15" hidden="false" customHeight="false" outlineLevel="0" collapsed="false">
      <c r="A46" s="0" t="s">
        <v>131</v>
      </c>
      <c r="C46" s="3" t="n">
        <v>4.8</v>
      </c>
      <c r="D46" s="3" t="n">
        <v>4.8</v>
      </c>
      <c r="E46" s="3" t="n">
        <v>4.8</v>
      </c>
      <c r="F46" s="3" t="n">
        <v>4.8</v>
      </c>
      <c r="G46" s="3" t="n">
        <v>4.8</v>
      </c>
      <c r="H46" s="3" t="n">
        <v>4.8</v>
      </c>
      <c r="I46" s="3" t="n">
        <v>4.8</v>
      </c>
      <c r="J46" s="3" t="n">
        <v>4.8</v>
      </c>
      <c r="K46" s="3" t="n">
        <v>4.8</v>
      </c>
      <c r="L46" s="3" t="n">
        <v>4.8</v>
      </c>
    </row>
    <row r="47" customFormat="false" ht="15" hidden="false" customHeight="false" outlineLevel="0" collapsed="false">
      <c r="A47" s="0" t="s">
        <v>132</v>
      </c>
      <c r="C47" s="3" t="n">
        <v>17</v>
      </c>
      <c r="D47" s="3" t="n">
        <v>18</v>
      </c>
      <c r="E47" s="3" t="n">
        <v>19</v>
      </c>
      <c r="F47" s="3" t="n">
        <v>20</v>
      </c>
      <c r="G47" s="3" t="n">
        <v>20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133</v>
      </c>
      <c r="B48" s="3" t="n">
        <v>10</v>
      </c>
    </row>
    <row r="49" customFormat="false" ht="15" hidden="false" customHeight="false" outlineLevel="0" collapsed="false">
      <c r="A49" s="0" t="s">
        <v>134</v>
      </c>
      <c r="B49" s="3" t="n">
        <v>3</v>
      </c>
    </row>
    <row r="50" customFormat="false" ht="15" hidden="false" customHeight="false" outlineLevel="0" collapsed="false">
      <c r="A50" s="0" t="s">
        <v>135</v>
      </c>
      <c r="B50" s="3" t="n">
        <v>15</v>
      </c>
    </row>
    <row r="51" customFormat="false" ht="15" hidden="false" customHeight="false" outlineLevel="0" collapsed="false">
      <c r="A51" s="0" t="s">
        <v>136</v>
      </c>
      <c r="B51" s="3" t="n">
        <v>-5</v>
      </c>
    </row>
    <row r="52" customFormat="false" ht="15" hidden="false" customHeight="false" outlineLevel="0" collapsed="false">
      <c r="A52" s="0" t="s">
        <v>137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141</v>
      </c>
      <c r="B3" s="0" t="s">
        <v>111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</row>
    <row r="4" customFormat="false" ht="15" hidden="false" customHeight="false" outlineLevel="0" collapsed="false">
      <c r="A4" s="0" t="s">
        <v>142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126</v>
      </c>
      <c r="C5" s="4" t="n">
        <f aca="false">Assumptions!C13</f>
        <v>8</v>
      </c>
      <c r="D5" s="4" t="n">
        <f aca="false">Assumptions!D13</f>
        <v>0</v>
      </c>
      <c r="E5" s="4" t="n">
        <f aca="false">Assumptions!E13</f>
        <v>-3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63</v>
      </c>
      <c r="B6" s="3" t="n">
        <v>46540</v>
      </c>
      <c r="C6" s="0" t="n">
        <f aca="false">B6*(1+C5/100)</f>
        <v>50263.2</v>
      </c>
      <c r="D6" s="0" t="n">
        <f aca="false">C6*(1+D5/100)</f>
        <v>50263.2</v>
      </c>
      <c r="E6" s="0" t="n">
        <f aca="false">D6*(1+E5/100)</f>
        <v>48755.304</v>
      </c>
      <c r="F6" s="0" t="n">
        <f aca="false">E6*(1+F5/100)</f>
        <v>49242.85704</v>
      </c>
      <c r="G6" s="0" t="n">
        <f aca="false">F6*(1+G5/100)</f>
        <v>49981.4998956</v>
      </c>
      <c r="H6" s="0" t="n">
        <f aca="false">G6*(1+H5/100)</f>
        <v>50731.222394034</v>
      </c>
      <c r="I6" s="0" t="n">
        <f aca="false">H6*(1+I5/100)</f>
        <v>51492.1907299445</v>
      </c>
      <c r="J6" s="0" t="n">
        <f aca="false">I6*(1+J5/100)</f>
        <v>52264.5735908937</v>
      </c>
      <c r="K6" s="0" t="n">
        <f aca="false">J6*(1+K5/100)</f>
        <v>53048.5421947571</v>
      </c>
      <c r="L6" s="0" t="n">
        <f aca="false">K6*(1+L5/100)</f>
        <v>53844.2703276784</v>
      </c>
    </row>
    <row r="7" customFormat="false" ht="15" hidden="false" customHeight="false" outlineLevel="0" collapsed="false">
      <c r="A7" s="0" t="s">
        <v>127</v>
      </c>
      <c r="C7" s="4" t="n">
        <f aca="false">Assumptions!C14</f>
        <v>17</v>
      </c>
      <c r="D7" s="4" t="n">
        <f aca="false">Assumptions!D14</f>
        <v>15.5</v>
      </c>
      <c r="E7" s="4" t="n">
        <f aca="false">Assumptions!E14</f>
        <v>14.5</v>
      </c>
      <c r="F7" s="4" t="n">
        <f aca="false">Assumptions!F14</f>
        <v>15</v>
      </c>
      <c r="G7" s="4" t="n">
        <f aca="false">Assumptions!G14</f>
        <v>15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69</v>
      </c>
      <c r="C8" s="0" t="n">
        <f aca="false">C6*C7/100</f>
        <v>8544.744</v>
      </c>
      <c r="D8" s="0" t="n">
        <f aca="false">D6*D7/100</f>
        <v>7790.796</v>
      </c>
      <c r="E8" s="0" t="n">
        <f aca="false">E6*E7/100</f>
        <v>7069.51908</v>
      </c>
      <c r="F8" s="0" t="n">
        <f aca="false">F6*F7/100</f>
        <v>7386.428556</v>
      </c>
      <c r="G8" s="0" t="n">
        <f aca="false">G6*G7/100</f>
        <v>7497.22498434</v>
      </c>
      <c r="H8" s="0" t="n">
        <f aca="false">H6*H7/100</f>
        <v>7609.6833591051</v>
      </c>
      <c r="I8" s="0" t="n">
        <f aca="false">I6*I7/100</f>
        <v>7723.82860949167</v>
      </c>
      <c r="J8" s="0" t="n">
        <f aca="false">J6*J7/100</f>
        <v>7839.68603863405</v>
      </c>
      <c r="K8" s="0" t="n">
        <f aca="false">K6*K7/100</f>
        <v>7957.28132921356</v>
      </c>
      <c r="L8" s="0" t="n">
        <f aca="false">L6*L7/100</f>
        <v>8076.64054915176</v>
      </c>
    </row>
    <row r="9" customFormat="false" ht="15" hidden="false" customHeight="false" outlineLevel="0" collapsed="false">
      <c r="A9" s="0" t="s">
        <v>128</v>
      </c>
      <c r="C9" s="4" t="n">
        <f aca="false">Assumptions!C15</f>
        <v>2.7</v>
      </c>
      <c r="D9" s="4" t="n">
        <f aca="false">Assumptions!D15</f>
        <v>2.7</v>
      </c>
      <c r="E9" s="4" t="n">
        <f aca="false">Assumptions!E15</f>
        <v>2.6</v>
      </c>
      <c r="F9" s="4" t="n">
        <f aca="false">Assumptions!F15</f>
        <v>2.5</v>
      </c>
      <c r="G9" s="4" t="n">
        <f aca="false">Assumptions!G15</f>
        <v>2.4</v>
      </c>
      <c r="H9" s="4" t="n">
        <f aca="false">Assumptions!H15</f>
        <v>2.3</v>
      </c>
      <c r="I9" s="4" t="n">
        <f aca="false">Assumptions!I15</f>
        <v>2.2</v>
      </c>
      <c r="J9" s="4" t="n">
        <f aca="false">Assumptions!J15</f>
        <v>2.2</v>
      </c>
      <c r="K9" s="4" t="n">
        <f aca="false">Assumptions!K15</f>
        <v>2.2</v>
      </c>
      <c r="L9" s="4" t="n">
        <f aca="false">Assumptions!L15</f>
        <v>2.2</v>
      </c>
    </row>
    <row r="10" customFormat="false" ht="15" hidden="false" customHeight="false" outlineLevel="0" collapsed="false">
      <c r="A10" s="0" t="s">
        <v>143</v>
      </c>
      <c r="C10" s="0" t="n">
        <f aca="false">-C6*C9/100</f>
        <v>-1357.1064</v>
      </c>
      <c r="D10" s="0" t="n">
        <f aca="false">-D6*D9/100</f>
        <v>-1357.1064</v>
      </c>
      <c r="E10" s="0" t="n">
        <f aca="false">-E6*E9/100</f>
        <v>-1267.637904</v>
      </c>
      <c r="F10" s="0" t="n">
        <f aca="false">-F6*F9/100</f>
        <v>-1231.071426</v>
      </c>
      <c r="G10" s="0" t="n">
        <f aca="false">-G6*G9/100</f>
        <v>-1199.5559974944</v>
      </c>
      <c r="H10" s="0" t="n">
        <f aca="false">-H6*H9/100</f>
        <v>-1166.81811506278</v>
      </c>
      <c r="I10" s="0" t="n">
        <f aca="false">-I6*I9/100</f>
        <v>-1132.82819605878</v>
      </c>
      <c r="J10" s="0" t="n">
        <f aca="false">-J6*J9/100</f>
        <v>-1149.82061899966</v>
      </c>
      <c r="K10" s="0" t="n">
        <f aca="false">-K6*K9/100</f>
        <v>-1167.06792828466</v>
      </c>
      <c r="L10" s="0" t="n">
        <f aca="false">-L6*L9/100</f>
        <v>-1184.57394720893</v>
      </c>
    </row>
    <row r="11" customFormat="false" ht="15" hidden="false" customHeight="false" outlineLevel="0" collapsed="false">
      <c r="A11" s="0" t="s">
        <v>144</v>
      </c>
      <c r="C11" s="0" t="n">
        <f aca="false">C8+C10+C24</f>
        <v>7187.6376</v>
      </c>
      <c r="D11" s="0" t="n">
        <f aca="false">D8+D10+D24</f>
        <v>6433.6896</v>
      </c>
      <c r="E11" s="0" t="n">
        <f aca="false">E8+E10+E24</f>
        <v>5801.881176</v>
      </c>
      <c r="F11" s="0" t="n">
        <f aca="false">F8+F10+F24</f>
        <v>6155.35713</v>
      </c>
      <c r="G11" s="0" t="n">
        <f aca="false">G8+G10+G24</f>
        <v>6297.6689868456</v>
      </c>
      <c r="H11" s="0" t="n">
        <f aca="false">H8+H10+H24</f>
        <v>6442.86524404232</v>
      </c>
      <c r="I11" s="0" t="n">
        <f aca="false">I8+I10+I24</f>
        <v>6591.0004134329</v>
      </c>
      <c r="J11" s="0" t="n">
        <f aca="false">J8+J10+J24</f>
        <v>6689.86541963439</v>
      </c>
      <c r="K11" s="0" t="n">
        <f aca="false">K8+K10+K24</f>
        <v>6790.2134009289</v>
      </c>
      <c r="L11" s="0" t="n">
        <f aca="false">L8+L10+L24</f>
        <v>6892.06660194284</v>
      </c>
    </row>
    <row r="12" customFormat="false" ht="15" hidden="false" customHeight="false" outlineLevel="0" collapsed="false">
      <c r="A12" s="0" t="s">
        <v>145</v>
      </c>
      <c r="C12" s="4" t="n">
        <f aca="false">-C6*Assumptions!C17/100</f>
        <v>-3669.2136</v>
      </c>
      <c r="D12" s="4" t="n">
        <f aca="false">-D6*Assumptions!D17/100</f>
        <v>-3518.424</v>
      </c>
      <c r="E12" s="4" t="n">
        <f aca="false">-E6*Assumptions!E17/100</f>
        <v>-3315.360672</v>
      </c>
      <c r="F12" s="4" t="n">
        <f aca="false">-F6*Assumptions!F17/100</f>
        <v>-3250.02856464</v>
      </c>
      <c r="G12" s="4" t="n">
        <f aca="false">-G6*Assumptions!G17/100</f>
        <v>-3198.8159933184</v>
      </c>
      <c r="H12" s="4" t="n">
        <f aca="false">-H6*Assumptions!H17/100</f>
        <v>-3043.87334364204</v>
      </c>
      <c r="I12" s="4" t="n">
        <f aca="false">-I6*Assumptions!I17/100</f>
        <v>-2832.07049014695</v>
      </c>
      <c r="J12" s="4" t="n">
        <f aca="false">-J6*Assumptions!J17/100</f>
        <v>-2717.75782672647</v>
      </c>
      <c r="K12" s="4" t="n">
        <f aca="false">-K6*Assumptions!K17/100</f>
        <v>-2652.42710973785</v>
      </c>
      <c r="L12" s="4" t="n">
        <f aca="false">-L6*Assumptions!L17/100</f>
        <v>-2692.21351638392</v>
      </c>
    </row>
    <row r="13" customFormat="false" ht="15" hidden="false" customHeight="false" outlineLevel="0" collapsed="false">
      <c r="A13" s="0" t="s">
        <v>146</v>
      </c>
      <c r="C13" s="0" t="n">
        <f aca="false">C11+C12</f>
        <v>3518.424</v>
      </c>
      <c r="D13" s="0" t="n">
        <f aca="false">D11+D12</f>
        <v>2915.2656</v>
      </c>
      <c r="E13" s="0" t="n">
        <f aca="false">E11+E12</f>
        <v>2486.520504</v>
      </c>
      <c r="F13" s="0" t="n">
        <f aca="false">F11+F12</f>
        <v>2905.32856536</v>
      </c>
      <c r="G13" s="0" t="n">
        <f aca="false">G11+G12</f>
        <v>3098.8529935272</v>
      </c>
      <c r="H13" s="0" t="n">
        <f aca="false">H11+H12</f>
        <v>3398.99190040028</v>
      </c>
      <c r="I13" s="0" t="n">
        <f aca="false">I11+I12</f>
        <v>3758.92992328595</v>
      </c>
      <c r="J13" s="0" t="n">
        <f aca="false">J11+J12</f>
        <v>3972.10759290792</v>
      </c>
      <c r="K13" s="0" t="n">
        <f aca="false">K11+K12</f>
        <v>4137.78629119105</v>
      </c>
      <c r="L13" s="0" t="n">
        <f aca="false">L11+L12</f>
        <v>4199.85308555892</v>
      </c>
    </row>
    <row r="14" customFormat="false" ht="15" hidden="false" customHeight="false" outlineLevel="0" collapsed="false">
      <c r="A14" s="0" t="s">
        <v>132</v>
      </c>
      <c r="C14" s="4" t="n">
        <f aca="false">Assumptions!C19</f>
        <v>17</v>
      </c>
      <c r="D14" s="4" t="n">
        <f aca="false">Assumptions!D19</f>
        <v>18</v>
      </c>
      <c r="E14" s="4" t="n">
        <f aca="false">Assumptions!E19</f>
        <v>19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147</v>
      </c>
      <c r="C15" s="0" t="n">
        <f aca="false">C13-MAX(0,C13)*C14/100</f>
        <v>2920.29192</v>
      </c>
      <c r="D15" s="0" t="n">
        <f aca="false">D13-MAX(0,D13)*D14/100</f>
        <v>2390.517792</v>
      </c>
      <c r="E15" s="0" t="n">
        <f aca="false">E13-MAX(0,E13)*E14/100</f>
        <v>2014.08160824</v>
      </c>
      <c r="F15" s="0" t="n">
        <f aca="false">F13-MAX(0,F13)*F14/100</f>
        <v>2324.262852288</v>
      </c>
      <c r="G15" s="0" t="n">
        <f aca="false">G13-MAX(0,G13)*G14/100</f>
        <v>2479.08239482176</v>
      </c>
      <c r="H15" s="0" t="n">
        <f aca="false">H13-MAX(0,H13)*H14/100</f>
        <v>2685.20360131622</v>
      </c>
      <c r="I15" s="0" t="n">
        <f aca="false">I13-MAX(0,I13)*I14/100</f>
        <v>2969.5546393959</v>
      </c>
      <c r="J15" s="0" t="n">
        <f aca="false">J13-MAX(0,J13)*J14/100</f>
        <v>3137.96499839726</v>
      </c>
      <c r="K15" s="0" t="n">
        <f aca="false">K13-MAX(0,K13)*K14/100</f>
        <v>3268.85117004093</v>
      </c>
      <c r="L15" s="0" t="n">
        <f aca="false">L13-MAX(0,L13)*L14/100</f>
        <v>3317.88393759154</v>
      </c>
    </row>
    <row r="16" customFormat="false" ht="15" hidden="false" customHeight="false" outlineLevel="0" collapsed="false">
      <c r="A16" s="0" t="s">
        <v>148</v>
      </c>
      <c r="C16" s="0" t="n">
        <f aca="false">-C12</f>
        <v>3669.2136</v>
      </c>
      <c r="D16" s="0" t="n">
        <f aca="false">-D12</f>
        <v>3518.424</v>
      </c>
      <c r="E16" s="0" t="n">
        <f aca="false">-E12</f>
        <v>3315.360672</v>
      </c>
      <c r="F16" s="0" t="n">
        <f aca="false">-F12</f>
        <v>3250.02856464</v>
      </c>
      <c r="G16" s="0" t="n">
        <f aca="false">-G12</f>
        <v>3198.8159933184</v>
      </c>
      <c r="H16" s="0" t="n">
        <f aca="false">-H12</f>
        <v>3043.87334364204</v>
      </c>
      <c r="I16" s="0" t="n">
        <f aca="false">-I12</f>
        <v>2832.07049014695</v>
      </c>
      <c r="J16" s="0" t="n">
        <f aca="false">-J12</f>
        <v>2717.75782672647</v>
      </c>
      <c r="K16" s="0" t="n">
        <f aca="false">-K12</f>
        <v>2652.42710973785</v>
      </c>
      <c r="L16" s="0" t="n">
        <f aca="false">-L12</f>
        <v>2692.21351638392</v>
      </c>
    </row>
    <row r="17" customFormat="false" ht="15" hidden="false" customHeight="false" outlineLevel="0" collapsed="false">
      <c r="A17" s="0" t="s">
        <v>149</v>
      </c>
      <c r="C17" s="4" t="n">
        <f aca="false">-C6*Assumptions!C18/100</f>
        <v>-2663.9496</v>
      </c>
      <c r="D17" s="4" t="n">
        <f aca="false">-D6*Assumptions!D18/100</f>
        <v>-2663.9496</v>
      </c>
      <c r="E17" s="4" t="n">
        <f aca="false">-E6*Assumptions!E18/100</f>
        <v>-2584.031112</v>
      </c>
      <c r="F17" s="4" t="n">
        <f aca="false">-F6*Assumptions!F18/100</f>
        <v>-2609.87142312</v>
      </c>
      <c r="G17" s="4" t="n">
        <f aca="false">-G6*Assumptions!G18/100</f>
        <v>-2649.0194944668</v>
      </c>
      <c r="H17" s="4" t="n">
        <f aca="false">-H6*Assumptions!H18/100</f>
        <v>-2688.7547868838</v>
      </c>
      <c r="I17" s="4" t="n">
        <f aca="false">-I6*Assumptions!I18/100</f>
        <v>-2729.08610868706</v>
      </c>
      <c r="J17" s="4" t="n">
        <f aca="false">-J6*Assumptions!J18/100</f>
        <v>-2770.02240031736</v>
      </c>
      <c r="K17" s="4" t="n">
        <f aca="false">-K6*Assumptions!K18/100</f>
        <v>-2811.57273632212</v>
      </c>
      <c r="L17" s="4" t="n">
        <f aca="false">-L6*Assumptions!L18/100</f>
        <v>-2853.74632736696</v>
      </c>
    </row>
    <row r="18" customFormat="false" ht="15" hidden="false" customHeight="false" outlineLevel="0" collapsed="false">
      <c r="A18" s="0" t="s">
        <v>150</v>
      </c>
      <c r="C18" s="4" t="n">
        <f aca="false">(C6-B6)*Assumptions!$B$23/100</f>
        <v>-223.392</v>
      </c>
      <c r="D18" s="4" t="n">
        <f aca="false">(D6-C6)*Assumptions!$B$23/100</f>
        <v>-0</v>
      </c>
      <c r="E18" s="4" t="n">
        <f aca="false">(E6-D6)*Assumptions!$B$23/100</f>
        <v>90.47376</v>
      </c>
      <c r="F18" s="4" t="n">
        <f aca="false">(F6-E6)*Assumptions!$B$23/100</f>
        <v>-29.2531823999999</v>
      </c>
      <c r="G18" s="4" t="n">
        <f aca="false">(G6-F6)*Assumptions!$B$23/100</f>
        <v>-44.3185713359997</v>
      </c>
      <c r="H18" s="4" t="n">
        <f aca="false">(H6-G6)*Assumptions!$B$23/100</f>
        <v>-44.9833499060395</v>
      </c>
      <c r="I18" s="4" t="n">
        <f aca="false">(I6-H6)*Assumptions!$B$23/100</f>
        <v>-45.6581001546302</v>
      </c>
      <c r="J18" s="4" t="n">
        <f aca="false">(J6-I6)*Assumptions!$B$23/100</f>
        <v>-46.3429716569497</v>
      </c>
      <c r="K18" s="4" t="n">
        <f aca="false">(K6-J6)*Assumptions!$B$23/100</f>
        <v>-47.0381162318042</v>
      </c>
      <c r="L18" s="4" t="n">
        <f aca="false">(L6-K6)*Assumptions!$B$23/100</f>
        <v>-47.7436879752811</v>
      </c>
    </row>
    <row r="19" customFormat="false" ht="15" hidden="false" customHeight="false" outlineLevel="0" collapsed="false">
      <c r="A19" s="0" t="s">
        <v>151</v>
      </c>
      <c r="C19" s="0" t="n">
        <f aca="false">C15+C16+C17+C18</f>
        <v>3702.16392</v>
      </c>
      <c r="D19" s="0" t="n">
        <f aca="false">D15+D16+D17+D18</f>
        <v>3244.992192</v>
      </c>
      <c r="E19" s="0" t="n">
        <f aca="false">E15+E16+E17+E18</f>
        <v>2835.88492824</v>
      </c>
      <c r="F19" s="0" t="n">
        <f aca="false">F15+F16+F17+F18</f>
        <v>2935.166811408</v>
      </c>
      <c r="G19" s="0" t="n">
        <f aca="false">G15+G16+G17+G18</f>
        <v>2984.56032233736</v>
      </c>
      <c r="H19" s="0" t="n">
        <f aca="false">H15+H16+H17+H18</f>
        <v>2995.33880816842</v>
      </c>
      <c r="I19" s="0" t="n">
        <f aca="false">I15+I16+I17+I18</f>
        <v>3026.88092070116</v>
      </c>
      <c r="J19" s="0" t="n">
        <f aca="false">J15+J16+J17+J18</f>
        <v>3039.35745314941</v>
      </c>
      <c r="K19" s="0" t="n">
        <f aca="false">K15+K16+K17+K18</f>
        <v>3062.66742722485</v>
      </c>
      <c r="L19" s="0" t="n">
        <f aca="false">L15+L16+L17+L18</f>
        <v>3108.60743863323</v>
      </c>
    </row>
    <row r="20" customFormat="false" ht="15" hidden="false" customHeight="false" outlineLevel="0" collapsed="false">
      <c r="A20" s="0" t="s">
        <v>152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153</v>
      </c>
      <c r="C21" s="0" t="n">
        <f aca="false">C19*C20</f>
        <v>3365.60356363636</v>
      </c>
      <c r="D21" s="0" t="n">
        <f aca="false">D19*D20</f>
        <v>2681.81172892562</v>
      </c>
      <c r="E21" s="0" t="n">
        <f aca="false">E19*E20</f>
        <v>2130.64232024042</v>
      </c>
      <c r="F21" s="0" t="n">
        <f aca="false">F19*F20</f>
        <v>2004.75842593265</v>
      </c>
      <c r="G21" s="0" t="n">
        <f aca="false">G19*G20</f>
        <v>1853.17714409557</v>
      </c>
      <c r="H21" s="0" t="n">
        <f aca="false">H19*H20</f>
        <v>1690.79066888942</v>
      </c>
      <c r="I21" s="0" t="n">
        <f aca="false">I19*I20</f>
        <v>1553.26851737543</v>
      </c>
      <c r="J21" s="0" t="n">
        <f aca="false">J19*J20</f>
        <v>1417.88268298966</v>
      </c>
      <c r="K21" s="0" t="n">
        <f aca="false">K19*K20</f>
        <v>1298.86996175305</v>
      </c>
      <c r="L21" s="0" t="n">
        <f aca="false">L19*L20</f>
        <v>1198.50273743576</v>
      </c>
    </row>
    <row r="23" customFormat="false" ht="15" hidden="false" customHeight="false" outlineLevel="0" collapsed="false">
      <c r="A23" s="0" t="s">
        <v>129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154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155</v>
      </c>
    </row>
    <row r="27" customFormat="false" ht="15" hidden="false" customHeight="false" outlineLevel="0" collapsed="false">
      <c r="A27" s="0" t="s">
        <v>133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134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135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156</v>
      </c>
      <c r="B30" s="0" t="n">
        <f aca="false">SUM(C21:L21)</f>
        <v>19195.307751274</v>
      </c>
    </row>
    <row r="31" customFormat="false" ht="15" hidden="false" customHeight="false" outlineLevel="0" collapsed="false">
      <c r="A31" s="0" t="s">
        <v>157</v>
      </c>
      <c r="B31" s="0" t="n">
        <f aca="false">L19</f>
        <v>3108.60743863323</v>
      </c>
    </row>
    <row r="32" customFormat="false" ht="15" hidden="false" customHeight="false" outlineLevel="0" collapsed="false">
      <c r="A32" s="0" t="s">
        <v>158</v>
      </c>
      <c r="B32" s="0" t="n">
        <f aca="false">IF(B27&gt;B28,B31*(1+B28/100)/((B27-B28)/100),B31*B29)</f>
        <v>37120.4300025026</v>
      </c>
    </row>
    <row r="33" customFormat="false" ht="15" hidden="false" customHeight="false" outlineLevel="0" collapsed="false">
      <c r="A33" s="0" t="s">
        <v>159</v>
      </c>
      <c r="B33" s="0" t="n">
        <f aca="false">B31*B29</f>
        <v>46629.1115794984</v>
      </c>
    </row>
    <row r="34" customFormat="false" ht="15" hidden="false" customHeight="false" outlineLevel="0" collapsed="false">
      <c r="A34" s="0" t="s">
        <v>160</v>
      </c>
      <c r="B34" s="0" t="n">
        <f aca="false">MAX(0,MIN(B32,B33))</f>
        <v>37120.4300025026</v>
      </c>
    </row>
    <row r="35" customFormat="false" ht="15" hidden="false" customHeight="false" outlineLevel="0" collapsed="false">
      <c r="A35" s="0" t="s">
        <v>161</v>
      </c>
      <c r="B35" s="0" t="n">
        <f aca="false">B34/(1+B27/100)^L4</f>
        <v>14311.5326882035</v>
      </c>
    </row>
    <row r="36" customFormat="false" ht="15" hidden="false" customHeight="false" outlineLevel="0" collapsed="false">
      <c r="A36" s="0" t="s">
        <v>162</v>
      </c>
      <c r="B36" s="0" t="n">
        <f aca="false">B30+B35</f>
        <v>33506.8404394775</v>
      </c>
    </row>
    <row r="37" customFormat="false" ht="15" hidden="false" customHeight="false" outlineLevel="0" collapsed="false">
      <c r="A37" s="0" t="s">
        <v>163</v>
      </c>
      <c r="B37" s="0" t="n">
        <f aca="false">B36+Assumptions!$B$5-Assumptions!$B$4</f>
        <v>30231.8404394775</v>
      </c>
    </row>
    <row r="38" customFormat="false" ht="15" hidden="false" customHeight="false" outlineLevel="0" collapsed="false">
      <c r="A38" s="0" t="s">
        <v>164</v>
      </c>
      <c r="B38" s="0" t="n">
        <f aca="false">B37/Assumptions!$B$3*Assumptions!$B$10</f>
        <v>20.8639340507091</v>
      </c>
    </row>
    <row r="39" customFormat="false" ht="15" hidden="false" customHeight="false" outlineLevel="0" collapsed="false">
      <c r="A39" s="0" t="s">
        <v>165</v>
      </c>
      <c r="B39" s="4" t="n">
        <f aca="false">B38/Assumptions!$B$2-1</f>
        <v>-0.666869965660081</v>
      </c>
    </row>
    <row r="41" customFormat="false" ht="15" hidden="false" customHeight="false" outlineLevel="0" collapsed="false">
      <c r="A41" s="0" t="s">
        <v>166</v>
      </c>
      <c r="B41" s="0" t="n">
        <f aca="false">SUMPRODUCT(-C10:L10/(1+$B$27/100)^C4:L4)</f>
        <v>7621.38545523965</v>
      </c>
    </row>
    <row r="42" customFormat="false" ht="15" hidden="false" customHeight="false" outlineLevel="0" collapsed="false">
      <c r="A42" s="0" t="s">
        <v>167</v>
      </c>
      <c r="B42" s="0" t="n">
        <f aca="false">IF(B27&gt;B28,-L10*(1+B28/100)/((B27-B28)/100),-L10*20)/(1+B27/100)^L4</f>
        <v>5453.589461437</v>
      </c>
    </row>
    <row r="43" customFormat="false" ht="15" hidden="false" customHeight="false" outlineLevel="0" collapsed="false">
      <c r="A43" s="0" t="s">
        <v>168</v>
      </c>
      <c r="B43" s="0" t="n">
        <f aca="false">(B37+B41+B42)/Assumptions!$B$3*Assumptions!$B$10</f>
        <v>29.887381198174</v>
      </c>
    </row>
    <row r="45" customFormat="false" ht="15" hidden="false" customHeight="false" outlineLevel="0" collapsed="false">
      <c r="A45" s="0" t="s">
        <v>108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169</v>
      </c>
      <c r="B46" s="0" t="n">
        <f aca="false">MAX(0,MIN(IF(B45&gt;B28,B31*(1+B28/100)/((B45-B28)/100),B31*B29),B31*B29))</f>
        <v>23372.1225941683</v>
      </c>
    </row>
    <row r="47" customFormat="false" ht="15" hidden="false" customHeight="false" outlineLevel="0" collapsed="false">
      <c r="A47" s="0" t="s">
        <v>170</v>
      </c>
      <c r="B47" s="0" t="n">
        <f aca="false">(SUMPRODUCT(C19:L19/(1+B45/100)^C4:L4)+B46/(1+B45/100)^L4+Assumptions!$B$5-Assumptions!$B$4)/Assumptions!$B$3*Assumptions!$B$10</f>
        <v>12.6068509837611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171</v>
      </c>
    </row>
    <row r="3" customFormat="false" ht="15" hidden="false" customHeight="false" outlineLevel="0" collapsed="false">
      <c r="A3" s="0" t="s">
        <v>141</v>
      </c>
      <c r="B3" s="0" t="s">
        <v>111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</row>
    <row r="4" customFormat="false" ht="15" hidden="false" customHeight="false" outlineLevel="0" collapsed="false">
      <c r="A4" s="0" t="s">
        <v>142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126</v>
      </c>
      <c r="C5" s="4" t="n">
        <f aca="false">Assumptions!C27</f>
        <v>14</v>
      </c>
      <c r="D5" s="4" t="n">
        <f aca="false">Assumptions!D27</f>
        <v>5</v>
      </c>
      <c r="E5" s="4" t="n">
        <f aca="false">Assumptions!E27</f>
        <v>3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63</v>
      </c>
      <c r="B6" s="3" t="n">
        <v>46540</v>
      </c>
      <c r="C6" s="0" t="n">
        <f aca="false">B6*(1+C5/100)</f>
        <v>53055.6</v>
      </c>
      <c r="D6" s="0" t="n">
        <f aca="false">C6*(1+D5/100)</f>
        <v>55708.38</v>
      </c>
      <c r="E6" s="0" t="n">
        <f aca="false">D6*(1+E5/100)</f>
        <v>57379.6314</v>
      </c>
      <c r="F6" s="0" t="n">
        <f aca="false">E6*(1+F5/100)</f>
        <v>58814.122185</v>
      </c>
      <c r="G6" s="0" t="n">
        <f aca="false">F6*(1+G5/100)</f>
        <v>60284.475239625</v>
      </c>
      <c r="H6" s="0" t="n">
        <f aca="false">G6*(1+H5/100)</f>
        <v>61490.1647444175</v>
      </c>
      <c r="I6" s="0" t="n">
        <f aca="false">H6*(1+I5/100)</f>
        <v>62719.9680393059</v>
      </c>
      <c r="J6" s="0" t="n">
        <f aca="false">I6*(1+J5/100)</f>
        <v>63974.367400092</v>
      </c>
      <c r="K6" s="0" t="n">
        <f aca="false">J6*(1+K5/100)</f>
        <v>65253.8547480938</v>
      </c>
      <c r="L6" s="0" t="n">
        <f aca="false">K6*(1+L5/100)</f>
        <v>66558.9318430557</v>
      </c>
    </row>
    <row r="7" customFormat="false" ht="15" hidden="false" customHeight="false" outlineLevel="0" collapsed="false">
      <c r="A7" s="0" t="s">
        <v>127</v>
      </c>
      <c r="C7" s="4" t="n">
        <f aca="false">Assumptions!C28</f>
        <v>18.5</v>
      </c>
      <c r="D7" s="4" t="n">
        <f aca="false">Assumptions!D28</f>
        <v>18.3</v>
      </c>
      <c r="E7" s="4" t="n">
        <f aca="false">Assumptions!E28</f>
        <v>18.2</v>
      </c>
      <c r="F7" s="4" t="n">
        <f aca="false">Assumptions!F28</f>
        <v>18</v>
      </c>
      <c r="G7" s="4" t="n">
        <f aca="false">Assumptions!G28</f>
        <v>18</v>
      </c>
      <c r="H7" s="4" t="n">
        <f aca="false">Assumptions!H28</f>
        <v>18</v>
      </c>
      <c r="I7" s="4" t="n">
        <f aca="false">Assumptions!I28</f>
        <v>18</v>
      </c>
      <c r="J7" s="4" t="n">
        <f aca="false">Assumptions!J28</f>
        <v>18</v>
      </c>
      <c r="K7" s="4" t="n">
        <f aca="false">Assumptions!K28</f>
        <v>18</v>
      </c>
      <c r="L7" s="4" t="n">
        <f aca="false">Assumptions!L28</f>
        <v>18</v>
      </c>
    </row>
    <row r="8" customFormat="false" ht="15" hidden="false" customHeight="false" outlineLevel="0" collapsed="false">
      <c r="A8" s="0" t="s">
        <v>69</v>
      </c>
      <c r="C8" s="0" t="n">
        <f aca="false">C6*C7/100</f>
        <v>9815.286</v>
      </c>
      <c r="D8" s="0" t="n">
        <f aca="false">D6*D7/100</f>
        <v>10194.63354</v>
      </c>
      <c r="E8" s="0" t="n">
        <f aca="false">E6*E7/100</f>
        <v>10443.0929148</v>
      </c>
      <c r="F8" s="0" t="n">
        <f aca="false">F6*F7/100</f>
        <v>10586.5419933</v>
      </c>
      <c r="G8" s="0" t="n">
        <f aca="false">G6*G7/100</f>
        <v>10851.2055431325</v>
      </c>
      <c r="H8" s="0" t="n">
        <f aca="false">H6*H7/100</f>
        <v>11068.2296539952</v>
      </c>
      <c r="I8" s="0" t="n">
        <f aca="false">I6*I7/100</f>
        <v>11289.5942470751</v>
      </c>
      <c r="J8" s="0" t="n">
        <f aca="false">J6*J7/100</f>
        <v>11515.3861320166</v>
      </c>
      <c r="K8" s="0" t="n">
        <f aca="false">K6*K7/100</f>
        <v>11745.6938546569</v>
      </c>
      <c r="L8" s="0" t="n">
        <f aca="false">L6*L7/100</f>
        <v>11980.60773175</v>
      </c>
    </row>
    <row r="9" customFormat="false" ht="15" hidden="false" customHeight="false" outlineLevel="0" collapsed="false">
      <c r="A9" s="0" t="s">
        <v>128</v>
      </c>
      <c r="C9" s="4" t="n">
        <f aca="false">Assumptions!C29</f>
        <v>2.6</v>
      </c>
      <c r="D9" s="4" t="n">
        <f aca="false">Assumptions!D29</f>
        <v>2.5</v>
      </c>
      <c r="E9" s="4" t="n">
        <f aca="false">Assumptions!E29</f>
        <v>2.4</v>
      </c>
      <c r="F9" s="4" t="n">
        <f aca="false">Assumptions!F29</f>
        <v>2.3</v>
      </c>
      <c r="G9" s="4" t="n">
        <f aca="false">Assumptions!G29</f>
        <v>2.2</v>
      </c>
      <c r="H9" s="4" t="n">
        <f aca="false">Assumptions!H29</f>
        <v>2.1</v>
      </c>
      <c r="I9" s="4" t="n">
        <f aca="false">Assumptions!I29</f>
        <v>2</v>
      </c>
      <c r="J9" s="4" t="n">
        <f aca="false">Assumptions!J29</f>
        <v>2</v>
      </c>
      <c r="K9" s="4" t="n">
        <f aca="false">Assumptions!K29</f>
        <v>2</v>
      </c>
      <c r="L9" s="4" t="n">
        <f aca="false">Assumptions!L29</f>
        <v>2</v>
      </c>
    </row>
    <row r="10" customFormat="false" ht="15" hidden="false" customHeight="false" outlineLevel="0" collapsed="false">
      <c r="A10" s="0" t="s">
        <v>143</v>
      </c>
      <c r="C10" s="0" t="n">
        <f aca="false">-C6*C9/100</f>
        <v>-1379.4456</v>
      </c>
      <c r="D10" s="0" t="n">
        <f aca="false">-D6*D9/100</f>
        <v>-1392.7095</v>
      </c>
      <c r="E10" s="0" t="n">
        <f aca="false">-E6*E9/100</f>
        <v>-1377.1111536</v>
      </c>
      <c r="F10" s="0" t="n">
        <f aca="false">-F6*F9/100</f>
        <v>-1352.724810255</v>
      </c>
      <c r="G10" s="0" t="n">
        <f aca="false">-G6*G9/100</f>
        <v>-1326.25845527175</v>
      </c>
      <c r="H10" s="0" t="n">
        <f aca="false">-H6*H9/100</f>
        <v>-1291.29345963277</v>
      </c>
      <c r="I10" s="0" t="n">
        <f aca="false">-I6*I9/100</f>
        <v>-1254.39936078612</v>
      </c>
      <c r="J10" s="0" t="n">
        <f aca="false">-J6*J9/100</f>
        <v>-1279.48734800184</v>
      </c>
      <c r="K10" s="0" t="n">
        <f aca="false">-K6*K9/100</f>
        <v>-1305.07709496188</v>
      </c>
      <c r="L10" s="0" t="n">
        <f aca="false">-L6*L9/100</f>
        <v>-1331.17863686111</v>
      </c>
    </row>
    <row r="11" customFormat="false" ht="15" hidden="false" customHeight="false" outlineLevel="0" collapsed="false">
      <c r="A11" s="0" t="s">
        <v>144</v>
      </c>
      <c r="C11" s="0" t="n">
        <f aca="false">C8+C10+C24</f>
        <v>8435.8404</v>
      </c>
      <c r="D11" s="0" t="n">
        <f aca="false">D8+D10+D24</f>
        <v>8801.92404</v>
      </c>
      <c r="E11" s="0" t="n">
        <f aca="false">E8+E10+E24</f>
        <v>9065.9817612</v>
      </c>
      <c r="F11" s="0" t="n">
        <f aca="false">F8+F10+F24</f>
        <v>9233.817183045</v>
      </c>
      <c r="G11" s="0" t="n">
        <f aca="false">G8+G10+G24</f>
        <v>9524.94708786075</v>
      </c>
      <c r="H11" s="0" t="n">
        <f aca="false">H8+H10+H24</f>
        <v>9776.93619436238</v>
      </c>
      <c r="I11" s="0" t="n">
        <f aca="false">I8+I10+I24</f>
        <v>10035.1948862889</v>
      </c>
      <c r="J11" s="0" t="n">
        <f aca="false">J8+J10+J24</f>
        <v>10235.8987840147</v>
      </c>
      <c r="K11" s="0" t="n">
        <f aca="false">K8+K10+K24</f>
        <v>10440.616759695</v>
      </c>
      <c r="L11" s="0" t="n">
        <f aca="false">L8+L10+L24</f>
        <v>10649.4290948889</v>
      </c>
    </row>
    <row r="12" customFormat="false" ht="15" hidden="false" customHeight="false" outlineLevel="0" collapsed="false">
      <c r="A12" s="0" t="s">
        <v>145</v>
      </c>
      <c r="C12" s="4" t="n">
        <f aca="false">-C6*Assumptions!C31/100</f>
        <v>-3873.0588</v>
      </c>
      <c r="D12" s="4" t="n">
        <f aca="false">-D6*Assumptions!D31/100</f>
        <v>-3899.5866</v>
      </c>
      <c r="E12" s="4" t="n">
        <f aca="false">-E6*Assumptions!E31/100</f>
        <v>-3901.8149352</v>
      </c>
      <c r="F12" s="4" t="n">
        <f aca="false">-F6*Assumptions!F31/100</f>
        <v>-3881.73206421</v>
      </c>
      <c r="G12" s="4" t="n">
        <f aca="false">-G6*Assumptions!G31/100</f>
        <v>-3858.206415336</v>
      </c>
      <c r="H12" s="4" t="n">
        <f aca="false">-H6*Assumptions!H31/100</f>
        <v>-3689.40988466505</v>
      </c>
      <c r="I12" s="4" t="n">
        <f aca="false">-I6*Assumptions!I31/100</f>
        <v>-3449.59824216182</v>
      </c>
      <c r="J12" s="4" t="n">
        <f aca="false">-J6*Assumptions!J31/100</f>
        <v>-3326.66710480478</v>
      </c>
      <c r="K12" s="4" t="n">
        <f aca="false">-K6*Assumptions!K31/100</f>
        <v>-3262.69273740469</v>
      </c>
      <c r="L12" s="4" t="n">
        <f aca="false">-L6*Assumptions!L31/100</f>
        <v>-3327.94659215278</v>
      </c>
    </row>
    <row r="13" customFormat="false" ht="15" hidden="false" customHeight="false" outlineLevel="0" collapsed="false">
      <c r="A13" s="0" t="s">
        <v>146</v>
      </c>
      <c r="C13" s="0" t="n">
        <f aca="false">C11+C12</f>
        <v>4562.7816</v>
      </c>
      <c r="D13" s="0" t="n">
        <f aca="false">D11+D12</f>
        <v>4902.33744</v>
      </c>
      <c r="E13" s="0" t="n">
        <f aca="false">E11+E12</f>
        <v>5164.166826</v>
      </c>
      <c r="F13" s="0" t="n">
        <f aca="false">F11+F12</f>
        <v>5352.085118835</v>
      </c>
      <c r="G13" s="0" t="n">
        <f aca="false">G11+G12</f>
        <v>5666.74067252475</v>
      </c>
      <c r="H13" s="0" t="n">
        <f aca="false">H11+H12</f>
        <v>6087.52630969733</v>
      </c>
      <c r="I13" s="0" t="n">
        <f aca="false">I11+I12</f>
        <v>6585.59664412712</v>
      </c>
      <c r="J13" s="0" t="n">
        <f aca="false">J11+J12</f>
        <v>6909.23167920993</v>
      </c>
      <c r="K13" s="0" t="n">
        <f aca="false">K11+K12</f>
        <v>7177.92402229032</v>
      </c>
      <c r="L13" s="0" t="n">
        <f aca="false">L11+L12</f>
        <v>7321.48250273613</v>
      </c>
    </row>
    <row r="14" customFormat="false" ht="15" hidden="false" customHeight="false" outlineLevel="0" collapsed="false">
      <c r="A14" s="0" t="s">
        <v>132</v>
      </c>
      <c r="C14" s="4" t="n">
        <f aca="false">Assumptions!C33</f>
        <v>17</v>
      </c>
      <c r="D14" s="4" t="n">
        <f aca="false">Assumptions!D33</f>
        <v>18</v>
      </c>
      <c r="E14" s="4" t="n">
        <f aca="false">Assumptions!E33</f>
        <v>19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147</v>
      </c>
      <c r="C15" s="0" t="n">
        <f aca="false">C13-MAX(0,C13)*C14/100</f>
        <v>3787.108728</v>
      </c>
      <c r="D15" s="0" t="n">
        <f aca="false">D13-MAX(0,D13)*D14/100</f>
        <v>4019.9167008</v>
      </c>
      <c r="E15" s="0" t="n">
        <f aca="false">E13-MAX(0,E13)*E14/100</f>
        <v>4182.97512906</v>
      </c>
      <c r="F15" s="0" t="n">
        <f aca="false">F13-MAX(0,F13)*F14/100</f>
        <v>4281.668095068</v>
      </c>
      <c r="G15" s="0" t="n">
        <f aca="false">G13-MAX(0,G13)*G14/100</f>
        <v>4533.3925380198</v>
      </c>
      <c r="H15" s="0" t="n">
        <f aca="false">H13-MAX(0,H13)*H14/100</f>
        <v>4809.14578466089</v>
      </c>
      <c r="I15" s="0" t="n">
        <f aca="false">I13-MAX(0,I13)*I14/100</f>
        <v>5202.62134886042</v>
      </c>
      <c r="J15" s="0" t="n">
        <f aca="false">J13-MAX(0,J13)*J14/100</f>
        <v>5458.29302657585</v>
      </c>
      <c r="K15" s="0" t="n">
        <f aca="false">K13-MAX(0,K13)*K14/100</f>
        <v>5670.55997760935</v>
      </c>
      <c r="L15" s="0" t="n">
        <f aca="false">L13-MAX(0,L13)*L14/100</f>
        <v>5783.97117716154</v>
      </c>
    </row>
    <row r="16" customFormat="false" ht="15" hidden="false" customHeight="false" outlineLevel="0" collapsed="false">
      <c r="A16" s="0" t="s">
        <v>148</v>
      </c>
      <c r="C16" s="0" t="n">
        <f aca="false">-C12</f>
        <v>3873.0588</v>
      </c>
      <c r="D16" s="0" t="n">
        <f aca="false">-D12</f>
        <v>3899.5866</v>
      </c>
      <c r="E16" s="0" t="n">
        <f aca="false">-E12</f>
        <v>3901.8149352</v>
      </c>
      <c r="F16" s="0" t="n">
        <f aca="false">-F12</f>
        <v>3881.73206421</v>
      </c>
      <c r="G16" s="0" t="n">
        <f aca="false">-G12</f>
        <v>3858.206415336</v>
      </c>
      <c r="H16" s="0" t="n">
        <f aca="false">-H12</f>
        <v>3689.40988466505</v>
      </c>
      <c r="I16" s="0" t="n">
        <f aca="false">-I12</f>
        <v>3449.59824216182</v>
      </c>
      <c r="J16" s="0" t="n">
        <f aca="false">-J12</f>
        <v>3326.66710480478</v>
      </c>
      <c r="K16" s="0" t="n">
        <f aca="false">-K12</f>
        <v>3262.69273740469</v>
      </c>
      <c r="L16" s="0" t="n">
        <f aca="false">-L12</f>
        <v>3327.94659215278</v>
      </c>
    </row>
    <row r="17" customFormat="false" ht="15" hidden="false" customHeight="false" outlineLevel="0" collapsed="false">
      <c r="A17" s="0" t="s">
        <v>149</v>
      </c>
      <c r="C17" s="4" t="n">
        <f aca="false">-C6*Assumptions!C32/100</f>
        <v>-2652.78</v>
      </c>
      <c r="D17" s="4" t="n">
        <f aca="false">-D6*Assumptions!D32/100</f>
        <v>-2785.419</v>
      </c>
      <c r="E17" s="4" t="n">
        <f aca="false">-E6*Assumptions!E32/100</f>
        <v>-2868.98157</v>
      </c>
      <c r="F17" s="4" t="n">
        <f aca="false">-F6*Assumptions!F32/100</f>
        <v>-2940.70610925</v>
      </c>
      <c r="G17" s="4" t="n">
        <f aca="false">-G6*Assumptions!G32/100</f>
        <v>-3014.22376198125</v>
      </c>
      <c r="H17" s="4" t="n">
        <f aca="false">-H6*Assumptions!H32/100</f>
        <v>-3074.50823722088</v>
      </c>
      <c r="I17" s="4" t="n">
        <f aca="false">-I6*Assumptions!I32/100</f>
        <v>-3135.99840196529</v>
      </c>
      <c r="J17" s="4" t="n">
        <f aca="false">-J6*Assumptions!J32/100</f>
        <v>-3198.7183700046</v>
      </c>
      <c r="K17" s="4" t="n">
        <f aca="false">-K6*Assumptions!K32/100</f>
        <v>-3262.69273740469</v>
      </c>
      <c r="L17" s="4" t="n">
        <f aca="false">-L6*Assumptions!L32/100</f>
        <v>-3327.94659215278</v>
      </c>
    </row>
    <row r="18" customFormat="false" ht="15" hidden="false" customHeight="false" outlineLevel="0" collapsed="false">
      <c r="A18" s="0" t="s">
        <v>150</v>
      </c>
      <c r="C18" s="4" t="n">
        <f aca="false">(C6-B6)*Assumptions!$B$37/100</f>
        <v>-390.936</v>
      </c>
      <c r="D18" s="4" t="n">
        <f aca="false">(D6-C6)*Assumptions!$B$37/100</f>
        <v>-159.1668</v>
      </c>
      <c r="E18" s="4" t="n">
        <f aca="false">(E6-D6)*Assumptions!$B$37/100</f>
        <v>-100.275084</v>
      </c>
      <c r="F18" s="4" t="n">
        <f aca="false">(F6-E6)*Assumptions!$B$37/100</f>
        <v>-86.0694470999997</v>
      </c>
      <c r="G18" s="4" t="n">
        <f aca="false">(G6-F6)*Assumptions!$B$37/100</f>
        <v>-88.2211832774998</v>
      </c>
      <c r="H18" s="4" t="n">
        <f aca="false">(H6-G6)*Assumptions!$B$37/100</f>
        <v>-72.34137028755</v>
      </c>
      <c r="I18" s="4" t="n">
        <f aca="false">(I6-H6)*Assumptions!$B$37/100</f>
        <v>-73.7881976933009</v>
      </c>
      <c r="J18" s="4" t="n">
        <f aca="false">(J6-I6)*Assumptions!$B$37/100</f>
        <v>-75.2639616471672</v>
      </c>
      <c r="K18" s="4" t="n">
        <f aca="false">(K6-J6)*Assumptions!$B$37/100</f>
        <v>-76.7692408801106</v>
      </c>
      <c r="L18" s="4" t="n">
        <f aca="false">(L6-K6)*Assumptions!$B$37/100</f>
        <v>-78.3046256977125</v>
      </c>
    </row>
    <row r="19" customFormat="false" ht="15" hidden="false" customHeight="false" outlineLevel="0" collapsed="false">
      <c r="A19" s="0" t="s">
        <v>151</v>
      </c>
      <c r="C19" s="0" t="n">
        <f aca="false">C15+C16+C17+C18</f>
        <v>4616.451528</v>
      </c>
      <c r="D19" s="0" t="n">
        <f aca="false">D15+D16+D17+D18</f>
        <v>4974.9175008</v>
      </c>
      <c r="E19" s="0" t="n">
        <f aca="false">E15+E16+E17+E18</f>
        <v>5115.53341026</v>
      </c>
      <c r="F19" s="0" t="n">
        <f aca="false">F15+F16+F17+F18</f>
        <v>5136.624602928</v>
      </c>
      <c r="G19" s="0" t="n">
        <f aca="false">G15+G16+G17+G18</f>
        <v>5289.15400809705</v>
      </c>
      <c r="H19" s="0" t="n">
        <f aca="false">H15+H16+H17+H18</f>
        <v>5351.70606181752</v>
      </c>
      <c r="I19" s="0" t="n">
        <f aca="false">I15+I16+I17+I18</f>
        <v>5442.43299136365</v>
      </c>
      <c r="J19" s="0" t="n">
        <f aca="false">J15+J16+J17+J18</f>
        <v>5510.97779972886</v>
      </c>
      <c r="K19" s="0" t="n">
        <f aca="false">K15+K16+K17+K18</f>
        <v>5593.79073672924</v>
      </c>
      <c r="L19" s="0" t="n">
        <f aca="false">L15+L16+L17+L18</f>
        <v>5705.66655146383</v>
      </c>
    </row>
    <row r="20" customFormat="false" ht="15" hidden="false" customHeight="false" outlineLevel="0" collapsed="false">
      <c r="A20" s="0" t="s">
        <v>152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153</v>
      </c>
      <c r="C21" s="0" t="n">
        <f aca="false">C19*C20</f>
        <v>4196.77411636364</v>
      </c>
      <c r="D21" s="0" t="n">
        <f aca="false">D19*D20</f>
        <v>4111.50206677686</v>
      </c>
      <c r="E21" s="0" t="n">
        <f aca="false">E19*E20</f>
        <v>3843.37596563486</v>
      </c>
      <c r="F21" s="0" t="n">
        <f aca="false">F19*F20</f>
        <v>3508.38371895909</v>
      </c>
      <c r="G21" s="0" t="n">
        <f aca="false">G19*G20</f>
        <v>3284.14850457125</v>
      </c>
      <c r="H21" s="0" t="n">
        <f aca="false">H19*H20</f>
        <v>3020.89855320676</v>
      </c>
      <c r="I21" s="0" t="n">
        <f aca="false">I19*I20</f>
        <v>2792.82867244489</v>
      </c>
      <c r="J21" s="0" t="n">
        <f aca="false">J19*J20</f>
        <v>2570.91181574551</v>
      </c>
      <c r="K21" s="0" t="n">
        <f aca="false">K19*K20</f>
        <v>2372.31332912094</v>
      </c>
      <c r="L21" s="0" t="n">
        <f aca="false">L19*L20</f>
        <v>2199.78145063942</v>
      </c>
    </row>
    <row r="23" customFormat="false" ht="15" hidden="false" customHeight="false" outlineLevel="0" collapsed="false">
      <c r="A23" s="0" t="s">
        <v>129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154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155</v>
      </c>
    </row>
    <row r="27" customFormat="false" ht="15" hidden="false" customHeight="false" outlineLevel="0" collapsed="false">
      <c r="A27" s="0" t="s">
        <v>133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134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135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156</v>
      </c>
      <c r="B30" s="0" t="n">
        <f aca="false">SUM(C21:L21)</f>
        <v>31900.9181934632</v>
      </c>
    </row>
    <row r="31" customFormat="false" ht="15" hidden="false" customHeight="false" outlineLevel="0" collapsed="false">
      <c r="A31" s="0" t="s">
        <v>157</v>
      </c>
      <c r="B31" s="0" t="n">
        <f aca="false">L19</f>
        <v>5705.66655146383</v>
      </c>
    </row>
    <row r="32" customFormat="false" ht="15" hidden="false" customHeight="false" outlineLevel="0" collapsed="false">
      <c r="A32" s="0" t="s">
        <v>158</v>
      </c>
      <c r="B32" s="0" t="n">
        <f aca="false">IF(B27&gt;B28,B31*(1+B28/100)/((B27-B28)/100),B31*B29)</f>
        <v>72747.2485311638</v>
      </c>
    </row>
    <row r="33" customFormat="false" ht="15" hidden="false" customHeight="false" outlineLevel="0" collapsed="false">
      <c r="A33" s="0" t="s">
        <v>159</v>
      </c>
      <c r="B33" s="0" t="n">
        <f aca="false">B31*B29</f>
        <v>85584.9982719574</v>
      </c>
    </row>
    <row r="34" customFormat="false" ht="15" hidden="false" customHeight="false" outlineLevel="0" collapsed="false">
      <c r="A34" s="0" t="s">
        <v>160</v>
      </c>
      <c r="B34" s="0" t="n">
        <f aca="false">MAX(0,MIN(B32,B33))</f>
        <v>72747.2485311638</v>
      </c>
    </row>
    <row r="35" customFormat="false" ht="15" hidden="false" customHeight="false" outlineLevel="0" collapsed="false">
      <c r="A35" s="0" t="s">
        <v>161</v>
      </c>
      <c r="B35" s="0" t="n">
        <f aca="false">B34/(1+B27/100)^L4</f>
        <v>28047.2134956525</v>
      </c>
    </row>
    <row r="36" customFormat="false" ht="15" hidden="false" customHeight="false" outlineLevel="0" collapsed="false">
      <c r="A36" s="0" t="s">
        <v>162</v>
      </c>
      <c r="B36" s="0" t="n">
        <f aca="false">B30+B35</f>
        <v>59948.1316891158</v>
      </c>
    </row>
    <row r="37" customFormat="false" ht="15" hidden="false" customHeight="false" outlineLevel="0" collapsed="false">
      <c r="A37" s="0" t="s">
        <v>163</v>
      </c>
      <c r="B37" s="0" t="n">
        <f aca="false">B36+Assumptions!$B$5-Assumptions!$B$4</f>
        <v>56673.1316891158</v>
      </c>
    </row>
    <row r="38" customFormat="false" ht="15" hidden="false" customHeight="false" outlineLevel="0" collapsed="false">
      <c r="A38" s="0" t="s">
        <v>164</v>
      </c>
      <c r="B38" s="0" t="n">
        <f aca="false">B37/Assumptions!$B$3*Assumptions!$B$10</f>
        <v>39.1118921249936</v>
      </c>
    </row>
    <row r="39" customFormat="false" ht="15" hidden="false" customHeight="false" outlineLevel="0" collapsed="false">
      <c r="A39" s="0" t="s">
        <v>165</v>
      </c>
      <c r="B39" s="4" t="n">
        <f aca="false">B38/Assumptions!$B$2-1</f>
        <v>-0.375508667970723</v>
      </c>
    </row>
    <row r="41" customFormat="false" ht="15" hidden="false" customHeight="false" outlineLevel="0" collapsed="false">
      <c r="A41" s="0" t="s">
        <v>166</v>
      </c>
      <c r="B41" s="0" t="n">
        <f aca="false">SUMPRODUCT(-C10:L10/(1+$B$27/100)^C4:L4)</f>
        <v>8223.32051355455</v>
      </c>
    </row>
    <row r="42" customFormat="false" ht="15" hidden="false" customHeight="false" outlineLevel="0" collapsed="false">
      <c r="A42" s="0" t="s">
        <v>167</v>
      </c>
      <c r="B42" s="0" t="n">
        <f aca="false">IF(B27&gt;B28,-L10*(1+B28/100)/((B27-B28)/100),-L10*20)/(1+B27/100)^L4</f>
        <v>6543.64412854036</v>
      </c>
    </row>
    <row r="43" customFormat="false" ht="15" hidden="false" customHeight="false" outlineLevel="0" collapsed="false">
      <c r="A43" s="0" t="s">
        <v>168</v>
      </c>
      <c r="B43" s="0" t="n">
        <f aca="false">(B37+B41+B42)/Assumptions!$B$3*Assumptions!$B$10</f>
        <v>49.3030340450039</v>
      </c>
    </row>
    <row r="45" customFormat="false" ht="15" hidden="false" customHeight="false" outlineLevel="0" collapsed="false">
      <c r="A45" s="0" t="s">
        <v>108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169</v>
      </c>
      <c r="B46" s="0" t="n">
        <f aca="false">MAX(0,MIN(IF(B45&gt;B28,B31*(1+B28/100)/((B45-B28)/100),B31*B29),B31*B29))</f>
        <v>44767.5375576393</v>
      </c>
    </row>
    <row r="47" customFormat="false" ht="15" hidden="false" customHeight="false" outlineLevel="0" collapsed="false">
      <c r="A47" s="0" t="s">
        <v>170</v>
      </c>
      <c r="B47" s="0" t="n">
        <f aca="false">(SUMPRODUCT(C19:L19/(1+B45/100)^C4:L4)+B46/(1+B45/100)^L4+Assumptions!$B$5-Assumptions!$B$4)/Assumptions!$B$3*Assumptions!$B$10</f>
        <v>23.2289094272413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172</v>
      </c>
    </row>
    <row r="3" customFormat="false" ht="15" hidden="false" customHeight="false" outlineLevel="0" collapsed="false">
      <c r="A3" s="0" t="s">
        <v>141</v>
      </c>
      <c r="B3" s="0" t="s">
        <v>111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</row>
    <row r="4" customFormat="false" ht="15" hidden="false" customHeight="false" outlineLevel="0" collapsed="false">
      <c r="A4" s="0" t="s">
        <v>142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126</v>
      </c>
      <c r="C5" s="4" t="n">
        <f aca="false">Assumptions!C41</f>
        <v>17</v>
      </c>
      <c r="D5" s="4" t="n">
        <f aca="false">Assumptions!D41</f>
        <v>9</v>
      </c>
      <c r="E5" s="4" t="n">
        <f aca="false">Assumptions!E41</f>
        <v>6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63</v>
      </c>
      <c r="B6" s="3" t="n">
        <v>46540</v>
      </c>
      <c r="C6" s="0" t="n">
        <f aca="false">B6*(1+C5/100)</f>
        <v>54451.8</v>
      </c>
      <c r="D6" s="0" t="n">
        <f aca="false">C6*(1+D5/100)</f>
        <v>59352.462</v>
      </c>
      <c r="E6" s="0" t="n">
        <f aca="false">D6*(1+E5/100)</f>
        <v>62913.60972</v>
      </c>
      <c r="F6" s="0" t="n">
        <f aca="false">E6*(1+F5/100)</f>
        <v>65430.1541088</v>
      </c>
      <c r="G6" s="0" t="n">
        <f aca="false">F6*(1+G5/100)</f>
        <v>67720.209502608</v>
      </c>
      <c r="H6" s="0" t="n">
        <f aca="false">G6*(1+H5/100)</f>
        <v>69751.8157876862</v>
      </c>
      <c r="I6" s="0" t="n">
        <f aca="false">H6*(1+I5/100)</f>
        <v>71844.3702613168</v>
      </c>
      <c r="J6" s="0" t="n">
        <f aca="false">I6*(1+J5/100)</f>
        <v>73999.7013691563</v>
      </c>
      <c r="K6" s="0" t="n">
        <f aca="false">J6*(1+K5/100)</f>
        <v>76219.692410231</v>
      </c>
      <c r="L6" s="0" t="n">
        <f aca="false">K6*(1+L5/100)</f>
        <v>78506.283182538</v>
      </c>
    </row>
    <row r="7" customFormat="false" ht="15" hidden="false" customHeight="false" outlineLevel="0" collapsed="false">
      <c r="A7" s="0" t="s">
        <v>127</v>
      </c>
      <c r="C7" s="4" t="n">
        <f aca="false">Assumptions!C42</f>
        <v>19.3</v>
      </c>
      <c r="D7" s="4" t="n">
        <f aca="false">Assumptions!D42</f>
        <v>19.8</v>
      </c>
      <c r="E7" s="4" t="n">
        <f aca="false">Assumptions!E42</f>
        <v>20</v>
      </c>
      <c r="F7" s="4" t="n">
        <f aca="false">Assumptions!F42</f>
        <v>20</v>
      </c>
      <c r="G7" s="4" t="n">
        <f aca="false">Assumptions!G42</f>
        <v>20</v>
      </c>
      <c r="H7" s="4" t="n">
        <f aca="false">Assumptions!H42</f>
        <v>20</v>
      </c>
      <c r="I7" s="4" t="n">
        <f aca="false">Assumptions!I42</f>
        <v>20</v>
      </c>
      <c r="J7" s="4" t="n">
        <f aca="false">Assumptions!J42</f>
        <v>20</v>
      </c>
      <c r="K7" s="4" t="n">
        <f aca="false">Assumptions!K42</f>
        <v>20</v>
      </c>
      <c r="L7" s="4" t="n">
        <f aca="false">Assumptions!L42</f>
        <v>20</v>
      </c>
    </row>
    <row r="8" customFormat="false" ht="15" hidden="false" customHeight="false" outlineLevel="0" collapsed="false">
      <c r="A8" s="0" t="s">
        <v>69</v>
      </c>
      <c r="C8" s="0" t="n">
        <f aca="false">C6*C7/100</f>
        <v>10509.1974</v>
      </c>
      <c r="D8" s="0" t="n">
        <f aca="false">D6*D7/100</f>
        <v>11751.787476</v>
      </c>
      <c r="E8" s="0" t="n">
        <f aca="false">E6*E7/100</f>
        <v>12582.721944</v>
      </c>
      <c r="F8" s="0" t="n">
        <f aca="false">F6*F7/100</f>
        <v>13086.03082176</v>
      </c>
      <c r="G8" s="0" t="n">
        <f aca="false">G6*G7/100</f>
        <v>13544.0419005216</v>
      </c>
      <c r="H8" s="0" t="n">
        <f aca="false">H6*H7/100</f>
        <v>13950.3631575373</v>
      </c>
      <c r="I8" s="0" t="n">
        <f aca="false">I6*I7/100</f>
        <v>14368.8740522634</v>
      </c>
      <c r="J8" s="0" t="n">
        <f aca="false">J6*J7/100</f>
        <v>14799.9402738313</v>
      </c>
      <c r="K8" s="0" t="n">
        <f aca="false">K6*K7/100</f>
        <v>15243.9384820462</v>
      </c>
      <c r="L8" s="0" t="n">
        <f aca="false">L6*L7/100</f>
        <v>15701.2566365076</v>
      </c>
    </row>
    <row r="9" customFormat="false" ht="15" hidden="false" customHeight="false" outlineLevel="0" collapsed="false">
      <c r="A9" s="0" t="s">
        <v>128</v>
      </c>
      <c r="C9" s="4" t="n">
        <f aca="false">Assumptions!C43</f>
        <v>2.6</v>
      </c>
      <c r="D9" s="4" t="n">
        <f aca="false">Assumptions!D43</f>
        <v>2.4</v>
      </c>
      <c r="E9" s="4" t="n">
        <f aca="false">Assumptions!E43</f>
        <v>2.2</v>
      </c>
      <c r="F9" s="4" t="n">
        <f aca="false">Assumptions!F43</f>
        <v>2</v>
      </c>
      <c r="G9" s="4" t="n">
        <f aca="false">Assumptions!G43</f>
        <v>1.9</v>
      </c>
      <c r="H9" s="4" t="n">
        <f aca="false">Assumptions!H43</f>
        <v>1.8</v>
      </c>
      <c r="I9" s="4" t="n">
        <f aca="false">Assumptions!I43</f>
        <v>1.8</v>
      </c>
      <c r="J9" s="4" t="n">
        <f aca="false">Assumptions!J43</f>
        <v>1.8</v>
      </c>
      <c r="K9" s="4" t="n">
        <f aca="false">Assumptions!K43</f>
        <v>1.8</v>
      </c>
      <c r="L9" s="4" t="n">
        <f aca="false">Assumptions!L43</f>
        <v>1.8</v>
      </c>
    </row>
    <row r="10" customFormat="false" ht="15" hidden="false" customHeight="false" outlineLevel="0" collapsed="false">
      <c r="A10" s="0" t="s">
        <v>143</v>
      </c>
      <c r="C10" s="0" t="n">
        <f aca="false">-C6*C9/100</f>
        <v>-1415.7468</v>
      </c>
      <c r="D10" s="0" t="n">
        <f aca="false">-D6*D9/100</f>
        <v>-1424.459088</v>
      </c>
      <c r="E10" s="0" t="n">
        <f aca="false">-E6*E9/100</f>
        <v>-1384.09941384</v>
      </c>
      <c r="F10" s="0" t="n">
        <f aca="false">-F6*F9/100</f>
        <v>-1308.603082176</v>
      </c>
      <c r="G10" s="0" t="n">
        <f aca="false">-G6*G9/100</f>
        <v>-1286.68398054955</v>
      </c>
      <c r="H10" s="0" t="n">
        <f aca="false">-H6*H9/100</f>
        <v>-1255.53268417835</v>
      </c>
      <c r="I10" s="0" t="n">
        <f aca="false">-I6*I9/100</f>
        <v>-1293.1986647037</v>
      </c>
      <c r="J10" s="0" t="n">
        <f aca="false">-J6*J9/100</f>
        <v>-1331.99462464481</v>
      </c>
      <c r="K10" s="0" t="n">
        <f aca="false">-K6*K9/100</f>
        <v>-1371.95446338416</v>
      </c>
      <c r="L10" s="0" t="n">
        <f aca="false">-L6*L9/100</f>
        <v>-1413.11309728568</v>
      </c>
    </row>
    <row r="11" customFormat="false" ht="15" hidden="false" customHeight="false" outlineLevel="0" collapsed="false">
      <c r="A11" s="0" t="s">
        <v>144</v>
      </c>
      <c r="C11" s="0" t="n">
        <f aca="false">C8+C10+C24</f>
        <v>9093.4506</v>
      </c>
      <c r="D11" s="0" t="n">
        <f aca="false">D8+D10+D24</f>
        <v>10327.328388</v>
      </c>
      <c r="E11" s="0" t="n">
        <f aca="false">E8+E10+E24</f>
        <v>11198.62253016</v>
      </c>
      <c r="F11" s="0" t="n">
        <f aca="false">F8+F10+F24</f>
        <v>11777.427739584</v>
      </c>
      <c r="G11" s="0" t="n">
        <f aca="false">G8+G10+G24</f>
        <v>12257.357919972</v>
      </c>
      <c r="H11" s="0" t="n">
        <f aca="false">H8+H10+H24</f>
        <v>12694.8304733589</v>
      </c>
      <c r="I11" s="0" t="n">
        <f aca="false">I8+I10+I24</f>
        <v>13075.6753875597</v>
      </c>
      <c r="J11" s="0" t="n">
        <f aca="false">J8+J10+J24</f>
        <v>13467.9456491865</v>
      </c>
      <c r="K11" s="0" t="n">
        <f aca="false">K8+K10+K24</f>
        <v>13871.9840186621</v>
      </c>
      <c r="L11" s="0" t="n">
        <f aca="false">L8+L10+L24</f>
        <v>14288.1435392219</v>
      </c>
    </row>
    <row r="12" customFormat="false" ht="15" hidden="false" customHeight="false" outlineLevel="0" collapsed="false">
      <c r="A12" s="0" t="s">
        <v>145</v>
      </c>
      <c r="C12" s="4" t="n">
        <f aca="false">-C6*Assumptions!C45/100</f>
        <v>-3974.9814</v>
      </c>
      <c r="D12" s="4" t="n">
        <f aca="false">-D6*Assumptions!D45/100</f>
        <v>-4154.67234</v>
      </c>
      <c r="E12" s="4" t="n">
        <f aca="false">-E6*Assumptions!E45/100</f>
        <v>-4278.12546096</v>
      </c>
      <c r="F12" s="4" t="n">
        <f aca="false">-F6*Assumptions!F45/100</f>
        <v>-4318.3901711808</v>
      </c>
      <c r="G12" s="4" t="n">
        <f aca="false">-G6*Assumptions!G45/100</f>
        <v>-4334.09340816691</v>
      </c>
      <c r="H12" s="4" t="n">
        <f aca="false">-H6*Assumptions!H45/100</f>
        <v>-4185.10894726118</v>
      </c>
      <c r="I12" s="4" t="n">
        <f aca="false">-I6*Assumptions!I45/100</f>
        <v>-3951.44036437243</v>
      </c>
      <c r="J12" s="4" t="n">
        <f aca="false">-J6*Assumptions!J45/100</f>
        <v>-3847.98447119613</v>
      </c>
      <c r="K12" s="4" t="n">
        <f aca="false">-K6*Assumptions!K45/100</f>
        <v>-3810.98462051155</v>
      </c>
      <c r="L12" s="4" t="n">
        <f aca="false">-L6*Assumptions!L45/100</f>
        <v>-3925.3141591269</v>
      </c>
    </row>
    <row r="13" customFormat="false" ht="15" hidden="false" customHeight="false" outlineLevel="0" collapsed="false">
      <c r="A13" s="0" t="s">
        <v>146</v>
      </c>
      <c r="C13" s="0" t="n">
        <f aca="false">C11+C12</f>
        <v>5118.4692</v>
      </c>
      <c r="D13" s="0" t="n">
        <f aca="false">D11+D12</f>
        <v>6172.656048</v>
      </c>
      <c r="E13" s="0" t="n">
        <f aca="false">E11+E12</f>
        <v>6920.4970692</v>
      </c>
      <c r="F13" s="0" t="n">
        <f aca="false">F11+F12</f>
        <v>7459.0375684032</v>
      </c>
      <c r="G13" s="0" t="n">
        <f aca="false">G11+G12</f>
        <v>7923.26451180514</v>
      </c>
      <c r="H13" s="0" t="n">
        <f aca="false">H11+H12</f>
        <v>8509.72152609772</v>
      </c>
      <c r="I13" s="0" t="n">
        <f aca="false">I11+I12</f>
        <v>9124.23502318724</v>
      </c>
      <c r="J13" s="0" t="n">
        <f aca="false">J11+J12</f>
        <v>9619.96117799032</v>
      </c>
      <c r="K13" s="0" t="n">
        <f aca="false">K11+K12</f>
        <v>10060.9993981505</v>
      </c>
      <c r="L13" s="0" t="n">
        <f aca="false">L11+L12</f>
        <v>10362.829380095</v>
      </c>
    </row>
    <row r="14" customFormat="false" ht="15" hidden="false" customHeight="false" outlineLevel="0" collapsed="false">
      <c r="A14" s="0" t="s">
        <v>132</v>
      </c>
      <c r="C14" s="4" t="n">
        <f aca="false">Assumptions!C47</f>
        <v>17</v>
      </c>
      <c r="D14" s="4" t="n">
        <f aca="false">Assumptions!D47</f>
        <v>18</v>
      </c>
      <c r="E14" s="4" t="n">
        <f aca="false">Assumptions!E47</f>
        <v>19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147</v>
      </c>
      <c r="C15" s="0" t="n">
        <f aca="false">C13-MAX(0,C13)*C14/100</f>
        <v>4248.329436</v>
      </c>
      <c r="D15" s="0" t="n">
        <f aca="false">D13-MAX(0,D13)*D14/100</f>
        <v>5061.57795936</v>
      </c>
      <c r="E15" s="0" t="n">
        <f aca="false">E13-MAX(0,E13)*E14/100</f>
        <v>5605.602626052</v>
      </c>
      <c r="F15" s="0" t="n">
        <f aca="false">F13-MAX(0,F13)*F14/100</f>
        <v>5967.23005472256</v>
      </c>
      <c r="G15" s="0" t="n">
        <f aca="false">G13-MAX(0,G13)*G14/100</f>
        <v>6338.61160944411</v>
      </c>
      <c r="H15" s="0" t="n">
        <f aca="false">H13-MAX(0,H13)*H14/100</f>
        <v>6722.6800056172</v>
      </c>
      <c r="I15" s="0" t="n">
        <f aca="false">I13-MAX(0,I13)*I14/100</f>
        <v>7208.14566831792</v>
      </c>
      <c r="J15" s="0" t="n">
        <f aca="false">J13-MAX(0,J13)*J14/100</f>
        <v>7599.76933061236</v>
      </c>
      <c r="K15" s="0" t="n">
        <f aca="false">K13-MAX(0,K13)*K14/100</f>
        <v>7948.18952453889</v>
      </c>
      <c r="L15" s="0" t="n">
        <f aca="false">L13-MAX(0,L13)*L14/100</f>
        <v>8186.63521027506</v>
      </c>
    </row>
    <row r="16" customFormat="false" ht="15" hidden="false" customHeight="false" outlineLevel="0" collapsed="false">
      <c r="A16" s="0" t="s">
        <v>148</v>
      </c>
      <c r="C16" s="0" t="n">
        <f aca="false">-C12</f>
        <v>3974.9814</v>
      </c>
      <c r="D16" s="0" t="n">
        <f aca="false">-D12</f>
        <v>4154.67234</v>
      </c>
      <c r="E16" s="0" t="n">
        <f aca="false">-E12</f>
        <v>4278.12546096</v>
      </c>
      <c r="F16" s="0" t="n">
        <f aca="false">-F12</f>
        <v>4318.3901711808</v>
      </c>
      <c r="G16" s="0" t="n">
        <f aca="false">-G12</f>
        <v>4334.09340816691</v>
      </c>
      <c r="H16" s="0" t="n">
        <f aca="false">-H12</f>
        <v>4185.10894726118</v>
      </c>
      <c r="I16" s="0" t="n">
        <f aca="false">-I12</f>
        <v>3951.44036437243</v>
      </c>
      <c r="J16" s="0" t="n">
        <f aca="false">-J12</f>
        <v>3847.98447119613</v>
      </c>
      <c r="K16" s="0" t="n">
        <f aca="false">-K12</f>
        <v>3810.98462051155</v>
      </c>
      <c r="L16" s="0" t="n">
        <f aca="false">-L12</f>
        <v>3925.3141591269</v>
      </c>
    </row>
    <row r="17" customFormat="false" ht="15" hidden="false" customHeight="false" outlineLevel="0" collapsed="false">
      <c r="A17" s="0" t="s">
        <v>149</v>
      </c>
      <c r="C17" s="4" t="n">
        <f aca="false">-C6*Assumptions!C46/100</f>
        <v>-2613.6864</v>
      </c>
      <c r="D17" s="4" t="n">
        <f aca="false">-D6*Assumptions!D46/100</f>
        <v>-2848.918176</v>
      </c>
      <c r="E17" s="4" t="n">
        <f aca="false">-E6*Assumptions!E46/100</f>
        <v>-3019.85326656</v>
      </c>
      <c r="F17" s="4" t="n">
        <f aca="false">-F6*Assumptions!F46/100</f>
        <v>-3140.6473972224</v>
      </c>
      <c r="G17" s="4" t="n">
        <f aca="false">-G6*Assumptions!G46/100</f>
        <v>-3250.57005612518</v>
      </c>
      <c r="H17" s="4" t="n">
        <f aca="false">-H6*Assumptions!H46/100</f>
        <v>-3348.08715780894</v>
      </c>
      <c r="I17" s="4" t="n">
        <f aca="false">-I6*Assumptions!I46/100</f>
        <v>-3448.52977254321</v>
      </c>
      <c r="J17" s="4" t="n">
        <f aca="false">-J6*Assumptions!J46/100</f>
        <v>-3551.9856657195</v>
      </c>
      <c r="K17" s="4" t="n">
        <f aca="false">-K6*Assumptions!K46/100</f>
        <v>-3658.54523569109</v>
      </c>
      <c r="L17" s="4" t="n">
        <f aca="false">-L6*Assumptions!L46/100</f>
        <v>-3768.30159276182</v>
      </c>
    </row>
    <row r="18" customFormat="false" ht="15" hidden="false" customHeight="false" outlineLevel="0" collapsed="false">
      <c r="A18" s="0" t="s">
        <v>150</v>
      </c>
      <c r="C18" s="4" t="n">
        <f aca="false">(C6-B6)*Assumptions!$B$51/100</f>
        <v>-395.59</v>
      </c>
      <c r="D18" s="4" t="n">
        <f aca="false">(D6-C6)*Assumptions!$B$51/100</f>
        <v>-245.0331</v>
      </c>
      <c r="E18" s="4" t="n">
        <f aca="false">(E6-D6)*Assumptions!$B$51/100</f>
        <v>-178.057386</v>
      </c>
      <c r="F18" s="4" t="n">
        <f aca="false">(F6-E6)*Assumptions!$B$51/100</f>
        <v>-125.82721944</v>
      </c>
      <c r="G18" s="4" t="n">
        <f aca="false">(G6-F6)*Assumptions!$B$51/100</f>
        <v>-114.5027696904</v>
      </c>
      <c r="H18" s="4" t="n">
        <f aca="false">(H6-G6)*Assumptions!$B$51/100</f>
        <v>-101.580314253912</v>
      </c>
      <c r="I18" s="4" t="n">
        <f aca="false">(I6-H6)*Assumptions!$B$51/100</f>
        <v>-104.627723681529</v>
      </c>
      <c r="J18" s="4" t="n">
        <f aca="false">(J6-I6)*Assumptions!$B$51/100</f>
        <v>-107.766555391975</v>
      </c>
      <c r="K18" s="4" t="n">
        <f aca="false">(K6-J6)*Assumptions!$B$51/100</f>
        <v>-110.999552053735</v>
      </c>
      <c r="L18" s="4" t="n">
        <f aca="false">(L6-K6)*Assumptions!$B$51/100</f>
        <v>-114.329538615347</v>
      </c>
    </row>
    <row r="19" customFormat="false" ht="15" hidden="false" customHeight="false" outlineLevel="0" collapsed="false">
      <c r="A19" s="0" t="s">
        <v>151</v>
      </c>
      <c r="C19" s="0" t="n">
        <f aca="false">C15+C16+C17+C18</f>
        <v>5214.034436</v>
      </c>
      <c r="D19" s="0" t="n">
        <f aca="false">D15+D16+D17+D18</f>
        <v>6122.29902336</v>
      </c>
      <c r="E19" s="0" t="n">
        <f aca="false">E15+E16+E17+E18</f>
        <v>6685.817434452</v>
      </c>
      <c r="F19" s="0" t="n">
        <f aca="false">F15+F16+F17+F18</f>
        <v>7019.14560924096</v>
      </c>
      <c r="G19" s="0" t="n">
        <f aca="false">G15+G16+G17+G18</f>
        <v>7307.63219179544</v>
      </c>
      <c r="H19" s="0" t="n">
        <f aca="false">H15+H16+H17+H18</f>
        <v>7458.12148081553</v>
      </c>
      <c r="I19" s="0" t="n">
        <f aca="false">I15+I16+I17+I18</f>
        <v>7606.42853646561</v>
      </c>
      <c r="J19" s="0" t="n">
        <f aca="false">J15+J16+J17+J18</f>
        <v>7788.00158069701</v>
      </c>
      <c r="K19" s="0" t="n">
        <f aca="false">K15+K16+K17+K18</f>
        <v>7989.62935730562</v>
      </c>
      <c r="L19" s="0" t="n">
        <f aca="false">L15+L16+L17+L18</f>
        <v>8229.31823802479</v>
      </c>
    </row>
    <row r="20" customFormat="false" ht="15" hidden="false" customHeight="false" outlineLevel="0" collapsed="false">
      <c r="A20" s="0" t="s">
        <v>152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153</v>
      </c>
      <c r="C21" s="0" t="n">
        <f aca="false">C19*C20</f>
        <v>4740.03130545455</v>
      </c>
      <c r="D21" s="0" t="n">
        <f aca="false">D19*D20</f>
        <v>5059.75125897521</v>
      </c>
      <c r="E21" s="0" t="n">
        <f aca="false">E19*E20</f>
        <v>5023.1535946296</v>
      </c>
      <c r="F21" s="0" t="n">
        <f aca="false">F19*F20</f>
        <v>4794.17089627823</v>
      </c>
      <c r="G21" s="0" t="n">
        <f aca="false">G19*G20</f>
        <v>4537.4646489593</v>
      </c>
      <c r="H21" s="0" t="n">
        <f aca="false">H19*H20</f>
        <v>4209.91514309444</v>
      </c>
      <c r="I21" s="0" t="n">
        <f aca="false">I19*I20</f>
        <v>3903.30055422904</v>
      </c>
      <c r="J21" s="0" t="n">
        <f aca="false">J19*J20</f>
        <v>3633.16021448022</v>
      </c>
      <c r="K21" s="0" t="n">
        <f aca="false">K19*K20</f>
        <v>3388.3827821122</v>
      </c>
      <c r="L21" s="0" t="n">
        <f aca="false">L19*L20</f>
        <v>3172.75842325051</v>
      </c>
    </row>
    <row r="23" customFormat="false" ht="15" hidden="false" customHeight="false" outlineLevel="0" collapsed="false">
      <c r="A23" s="0" t="s">
        <v>129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154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155</v>
      </c>
    </row>
    <row r="27" customFormat="false" ht="15" hidden="false" customHeight="false" outlineLevel="0" collapsed="false">
      <c r="A27" s="0" t="s">
        <v>133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134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135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156</v>
      </c>
      <c r="B30" s="0" t="n">
        <f aca="false">SUM(C21:L21)</f>
        <v>42462.0888214633</v>
      </c>
    </row>
    <row r="31" customFormat="false" ht="15" hidden="false" customHeight="false" outlineLevel="0" collapsed="false">
      <c r="A31" s="0" t="s">
        <v>157</v>
      </c>
      <c r="B31" s="0" t="n">
        <f aca="false">L19</f>
        <v>8229.31823802479</v>
      </c>
    </row>
    <row r="32" customFormat="false" ht="15" hidden="false" customHeight="false" outlineLevel="0" collapsed="false">
      <c r="A32" s="0" t="s">
        <v>158</v>
      </c>
      <c r="B32" s="0" t="n">
        <f aca="false">IF(B27&gt;B28,B31*(1+B28/100)/((B27-B28)/100),B31*B29)</f>
        <v>121088.539788079</v>
      </c>
    </row>
    <row r="33" customFormat="false" ht="15" hidden="false" customHeight="false" outlineLevel="0" collapsed="false">
      <c r="A33" s="0" t="s">
        <v>159</v>
      </c>
      <c r="B33" s="0" t="n">
        <f aca="false">B31*B29</f>
        <v>123439.773570372</v>
      </c>
    </row>
    <row r="34" customFormat="false" ht="15" hidden="false" customHeight="false" outlineLevel="0" collapsed="false">
      <c r="A34" s="0" t="s">
        <v>160</v>
      </c>
      <c r="B34" s="0" t="n">
        <f aca="false">MAX(0,MIN(B32,B33))</f>
        <v>121088.539788079</v>
      </c>
    </row>
    <row r="35" customFormat="false" ht="15" hidden="false" customHeight="false" outlineLevel="0" collapsed="false">
      <c r="A35" s="0" t="s">
        <v>161</v>
      </c>
      <c r="B35" s="0" t="n">
        <f aca="false">B34/(1+B27/100)^L4</f>
        <v>46684.8739421147</v>
      </c>
    </row>
    <row r="36" customFormat="false" ht="15" hidden="false" customHeight="false" outlineLevel="0" collapsed="false">
      <c r="A36" s="0" t="s">
        <v>162</v>
      </c>
      <c r="B36" s="0" t="n">
        <f aca="false">B30+B35</f>
        <v>89146.962763578</v>
      </c>
    </row>
    <row r="37" customFormat="false" ht="15" hidden="false" customHeight="false" outlineLevel="0" collapsed="false">
      <c r="A37" s="0" t="s">
        <v>163</v>
      </c>
      <c r="B37" s="0" t="n">
        <f aca="false">B36+Assumptions!$B$5-Assumptions!$B$4</f>
        <v>85871.962763578</v>
      </c>
    </row>
    <row r="38" customFormat="false" ht="15" hidden="false" customHeight="false" outlineLevel="0" collapsed="false">
      <c r="A38" s="0" t="s">
        <v>164</v>
      </c>
      <c r="B38" s="0" t="n">
        <f aca="false">B37/Assumptions!$B$3*Assumptions!$B$10</f>
        <v>59.2629142605783</v>
      </c>
    </row>
    <row r="39" customFormat="false" ht="15" hidden="false" customHeight="false" outlineLevel="0" collapsed="false">
      <c r="A39" s="0" t="s">
        <v>165</v>
      </c>
      <c r="B39" s="4" t="n">
        <f aca="false">B38/Assumptions!$B$2-1</f>
        <v>-0.0537615478112995</v>
      </c>
    </row>
    <row r="41" customFormat="false" ht="15" hidden="false" customHeight="false" outlineLevel="0" collapsed="false">
      <c r="A41" s="0" t="s">
        <v>166</v>
      </c>
      <c r="B41" s="0" t="n">
        <f aca="false">SUMPRODUCT(-C10:L10/(1+$B$27/100)^C4:L4)</f>
        <v>8317.27394603811</v>
      </c>
    </row>
    <row r="42" customFormat="false" ht="15" hidden="false" customHeight="false" outlineLevel="0" collapsed="false">
      <c r="A42" s="0" t="s">
        <v>167</v>
      </c>
      <c r="B42" s="0" t="n">
        <f aca="false">IF(B27&gt;B28,-L10*(1+B28/100)/((B27-B28)/100),-L10*20)/(1+B27/100)^L4</f>
        <v>8016.58228599114</v>
      </c>
    </row>
    <row r="43" customFormat="false" ht="15" hidden="false" customHeight="false" outlineLevel="0" collapsed="false">
      <c r="A43" s="0" t="s">
        <v>168</v>
      </c>
      <c r="B43" s="0" t="n">
        <f aca="false">(B37+B41+B42)/Assumptions!$B$3*Assumptions!$B$10</f>
        <v>70.5354168361679</v>
      </c>
    </row>
    <row r="45" customFormat="false" ht="15" hidden="false" customHeight="false" outlineLevel="0" collapsed="false">
      <c r="A45" s="0" t="s">
        <v>108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169</v>
      </c>
      <c r="B46" s="0" t="n">
        <f aca="false">MAX(0,MIN(IF(B45&gt;B28,B31*(1+B28/100)/((B45-B28)/100),B31*B29),B31*B29))</f>
        <v>70634.9815430461</v>
      </c>
    </row>
    <row r="47" customFormat="false" ht="15" hidden="false" customHeight="false" outlineLevel="0" collapsed="false">
      <c r="A47" s="0" t="s">
        <v>170</v>
      </c>
      <c r="B47" s="0" t="n">
        <f aca="false">(SUMPRODUCT(C19:L19/(1+B45/100)^C4:L4)+B46/(1+B45/100)^L4+Assumptions!$B$5-Assumptions!$B$4)/Assumptions!$B$3*Assumptions!$B$10</f>
        <v>33.3510832850737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173</v>
      </c>
    </row>
    <row r="3" customFormat="false" ht="15" hidden="false" customHeight="false" outlineLevel="0" collapsed="false">
      <c r="A3" s="2" t="s">
        <v>174</v>
      </c>
      <c r="B3" s="2" t="s">
        <v>175</v>
      </c>
      <c r="C3" s="2" t="s">
        <v>165</v>
      </c>
      <c r="D3" s="2" t="s">
        <v>176</v>
      </c>
      <c r="E3" s="2" t="s">
        <v>168</v>
      </c>
      <c r="F3" s="2" t="s">
        <v>177</v>
      </c>
    </row>
    <row r="4" customFormat="false" ht="15" hidden="false" customHeight="false" outlineLevel="0" collapsed="false">
      <c r="A4" s="0" t="s">
        <v>178</v>
      </c>
      <c r="B4" s="4" t="n">
        <f aca="false">DCF_Bear!$B$38</f>
        <v>20.8639340507091</v>
      </c>
      <c r="C4" s="0" t="n">
        <f aca="false">B4/Assumptions!$B$2-1</f>
        <v>-0.666869965660081</v>
      </c>
      <c r="D4" s="4" t="n">
        <f aca="false">Assumptions!$B$24</f>
        <v>0.25</v>
      </c>
      <c r="E4" s="4" t="n">
        <f aca="false">DCF_Bear!$B$43</f>
        <v>29.887381198174</v>
      </c>
      <c r="F4" s="4" t="n">
        <f aca="false">DCF_Bear!$B$47</f>
        <v>12.6068509837611</v>
      </c>
    </row>
    <row r="5" customFormat="false" ht="15" hidden="false" customHeight="false" outlineLevel="0" collapsed="false">
      <c r="A5" s="0" t="s">
        <v>179</v>
      </c>
      <c r="B5" s="4" t="n">
        <f aca="false">DCF_Base!$B$38</f>
        <v>39.1118921249936</v>
      </c>
      <c r="C5" s="0" t="n">
        <f aca="false">B5/Assumptions!$B$2-1</f>
        <v>-0.375508667970723</v>
      </c>
      <c r="D5" s="4" t="n">
        <f aca="false">Assumptions!$B$38</f>
        <v>0.5</v>
      </c>
      <c r="E5" s="4" t="n">
        <f aca="false">DCF_Base!$B$43</f>
        <v>49.3030340450039</v>
      </c>
      <c r="F5" s="4" t="n">
        <f aca="false">DCF_Base!$B$47</f>
        <v>23.2289094272413</v>
      </c>
    </row>
    <row r="6" customFormat="false" ht="15" hidden="false" customHeight="false" outlineLevel="0" collapsed="false">
      <c r="A6" s="0" t="s">
        <v>180</v>
      </c>
      <c r="B6" s="4" t="n">
        <f aca="false">DCF_Bull!$B$38</f>
        <v>59.2629142605783</v>
      </c>
      <c r="C6" s="0" t="n">
        <f aca="false">B6/Assumptions!$B$2-1</f>
        <v>-0.0537615478112995</v>
      </c>
      <c r="D6" s="4" t="n">
        <f aca="false">Assumptions!$B$52</f>
        <v>0.25</v>
      </c>
      <c r="E6" s="4" t="n">
        <f aca="false">DCF_Bull!$B$43</f>
        <v>70.5354168361679</v>
      </c>
      <c r="F6" s="4" t="n">
        <f aca="false">DCF_Bull!$B$47</f>
        <v>33.3510832850737</v>
      </c>
    </row>
    <row r="8" customFormat="false" ht="15" hidden="false" customHeight="false" outlineLevel="0" collapsed="false">
      <c r="A8" s="0" t="s">
        <v>181</v>
      </c>
      <c r="B8" s="0" t="n">
        <f aca="false">SUMPRODUCT(B4:B6,D4:D6)</f>
        <v>39.5876581403187</v>
      </c>
    </row>
    <row r="9" customFormat="false" ht="15" hidden="false" customHeight="false" outlineLevel="0" collapsed="false">
      <c r="A9" s="0" t="s">
        <v>182</v>
      </c>
      <c r="B9" s="0" t="n">
        <f aca="false">SUMPRODUCT(E4:E6,D4:D6)</f>
        <v>49.7572165310874</v>
      </c>
    </row>
    <row r="10" customFormat="false" ht="15" hidden="false" customHeight="false" outlineLevel="0" collapsed="false">
      <c r="A10" s="0" t="s">
        <v>183</v>
      </c>
      <c r="B10" s="0" t="n">
        <f aca="false">1-Assumptions!$B$2/B8</f>
        <v>-0.58205872592937</v>
      </c>
    </row>
    <row r="11" customFormat="false" ht="15" hidden="false" customHeight="false" outlineLevel="0" collapsed="false">
      <c r="A11" s="0" t="s">
        <v>184</v>
      </c>
      <c r="B11" s="0" t="n">
        <f aca="false">IF(ABS(B9-B8)&gt;0.01*ABS(B8),(Assumptions!$B$2-B8)/(B9-B8)*100,"n/a")</f>
        <v>226.581538492346</v>
      </c>
    </row>
    <row r="12" customFormat="false" ht="15" hidden="false" customHeight="false" outlineLevel="0" collapsed="false">
      <c r="A12" s="0" t="s">
        <v>185</v>
      </c>
      <c r="B12" s="0" t="n">
        <f aca="false">SUMPRODUCT(F4:F6,D4:D6)</f>
        <v>23.1039382808293</v>
      </c>
    </row>
    <row r="14" customFormat="false" ht="15" hidden="false" customHeight="false" outlineLevel="0" collapsed="false">
      <c r="A14" s="2" t="s">
        <v>186</v>
      </c>
      <c r="C14" s="0" t="s">
        <v>187</v>
      </c>
    </row>
    <row r="15" customFormat="false" ht="15" hidden="false" customHeight="false" outlineLevel="0" collapsed="false">
      <c r="A15" s="0" t="s">
        <v>188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45.0055215172216</v>
      </c>
      <c r="C15" s="3" t="n">
        <v>9</v>
      </c>
    </row>
    <row r="16" customFormat="false" ht="15" hidden="false" customHeight="false" outlineLevel="0" collapsed="false">
      <c r="A16" s="0" t="s">
        <v>189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39.1118921249936</v>
      </c>
      <c r="C16" s="3" t="n">
        <v>10</v>
      </c>
    </row>
    <row r="17" customFormat="false" ht="15" hidden="false" customHeight="false" outlineLevel="0" collapsed="false">
      <c r="A17" s="0" t="s">
        <v>190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34.5262871972246</v>
      </c>
      <c r="C17" s="3" t="n">
        <v>11</v>
      </c>
    </row>
    <row r="18" customFormat="false" ht="15" hidden="false" customHeight="false" outlineLevel="0" collapsed="false">
      <c r="A18" s="0" t="s">
        <v>191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30.8564266326248</v>
      </c>
      <c r="C18" s="3" t="n">
        <v>12</v>
      </c>
    </row>
    <row r="19" customFormat="false" ht="15" hidden="false" customHeight="false" outlineLevel="0" collapsed="false">
      <c r="A19" s="0" t="s">
        <v>192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23.2289094272413</v>
      </c>
      <c r="C19" s="3" t="n">
        <v>15</v>
      </c>
    </row>
    <row r="21" customFormat="false" ht="15" hidden="false" customHeight="false" outlineLevel="0" collapsed="false">
      <c r="A21" s="2" t="s">
        <v>193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48.1709325797964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49.2131597677371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49.2131597677371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49.2131597677371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49.2131597677371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41.7680087239764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43.2788480274908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45.0055215172216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45.7183683707802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45.7183683707802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36.7925151641553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37.8839866751381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39.1118921249936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40.5035183014966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42.0939482175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32.8159226603471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33.6260953357101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34.5262871972246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35.5323839836231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36.6642428683214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29.5655548353602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30.1802556912005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30.8564266326248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31.60377346262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32.4341588292814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2026-09-28T21:33:41Z</dcterms:created>
  <dc:creator>openpyxl</dc:creator>
  <dc:description/>
  <dc:language>en-NZ</dc:language>
  <cp:lastModifiedBy/>
  <dcterms:modified xsi:type="dcterms:W3CDTF">2026-09-28T21:33:41Z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