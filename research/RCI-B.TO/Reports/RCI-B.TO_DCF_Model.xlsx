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<sst xmlns="http://schemas.openxmlformats.org/spreadsheetml/2006/main" count="366" uniqueCount="171">
  <si>
    <t xml:space="preserve">Ticker</t>
  </si>
  <si>
    <t xml:space="preserve">RCI-B.TO</t>
  </si>
  <si>
    <t xml:space="preserve">Company</t>
  </si>
  <si>
    <t xml:space="preserve">Rogers Communications Inc. (Class B Non-Voting)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</si>
  <si>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</si>
  <si>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</si>
  <si>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</si>
  <si>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</si>
  <si>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</si>
  <si>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</si>
  <si>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</si>
  <si>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</si>
  <si>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</si>
  <si>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</si>
  <si>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</si>
  <si>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</si>
  <si>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</si>
  <si>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</si>
  <si>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</si>
  <si>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</si>
  <si>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</si>
  <si>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2026-10-10T09:42:28Z</t>
  </si>
  <si>
    <t xml:space="preserve">Drivers file</t>
  </si>
  <si>
    <t xml:space="preserve">RCI-B.TO_Drivers.json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</si>
  <si>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</si>
  <si>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</si>
  <si>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</si>
  <si>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Rogers' consolidated operations at a single CAD WACC, with every claim ahead of the common (hedged debt, 100% of hybrids, the MLSE put, the BNSI preferred-like NCI) deducted once, leases charged in the flows, and a deliberately haircut sum-of-parts credit for sports franchises whose transaction values sit far above their cash-flow capitalisation. Equity is a thin slice (~30%) of enterprise value, so every 1% of EV moves the per-share value ~3%; the dispersion between scenarios is the honest result of that leverage, not modelling noise.
key_risks_to_valuation: Leverage: ~C$51bn of claims ahead of the common (ex leases) against a ~C$23bn market cap - a 10% EV miss is ~C$14/share; Capex reversion: the FY2026 guide (~11.5% of revenue) vs the 17-20% history; each 1pp of revenue in perpetuity is ~C$9/share; Sports-value credit (C$10.65/share) depends on franchise valuations staying near 2025-26 deal levels and on Rogers actually monetising; Wireless price war and CRTC policy (switching-fee ban, MVNO access) on ARPU; Refinancing: 2025-26 hybrids at 6.25-7.125%; a downgrade to sub-investment-grade would raise the cost of the 94.6% fixed-rate book as it rolls</t>
  </si>
  <si>
    <t xml:space="preserve">Data sources</t>
  </si>
  <si>
    <t xml:space="preserve">price: Yahoo Finance chart API (RCI-B.TO, TSX, CAD) at inputs.price_as_of; 52-week range 41.76-56.27
financials: RCI-B.TO_Metrics.csv (FY2016-FY2025, Q1 2017-Q2 2026); FY2025 Annual Report MD&amp;A (adjusted EBITDA, FCF and adjusted net income reconciliations; D&amp;A split incl. ROU 455; cash flow statement); Q2 2026 interim financial statements (balance sheet at 30-Jun-2026, notes 10, 17, 18, 20, 21) and MD&amp;A (adjusted net debt table)
qualitative: RCI-B.TO_Analysis.json (2026-10-10): FY2026 guidance as updated 22-Apr-2026 and reaffirmed 22-Jul-2026, MLSE buyout, Rogers Sports minority-sale plan, CRTC TRP 2026-43, 2026 price war</t>
  </si>
  <si>
    <t xml:space="preserve">Scenario narrative: bear</t>
  </si>
  <si>
    <t xml:space="preserve">The flanker-brand price war (Fizz, Lucky, Freedom) becomes structural: the CRTC switching-fee ban, mandated MVNO access and broadcasting levies push mobile ARPU down further, cable video/home phone keep shrinking, and organic revenue is near-flat for three years. Margins compress to ~41.5%. The FY2026 capex cut proves to be deferral, returning with interest (5G-Advanced, DOCSIS 4.0, the next spectrum auction) to ~16.5% plus spectrum. With leverage still ~4x after the C$4.35bn short-term-funded MLSE buyout, S&amp;P cuts to junk, refinancing costs rise, and the sports minority sale slips or prices well below C$25bn. Terminal 14x FCF (~6x EBITDA).</t>
  </si>
  <si>
    <t xml:space="preserve">Scenario narrative: base</t>
  </si>
  <si>
    <t xml:space="preserve">The 2026 Canadian wireless price war grinds on but does not escalate: service revenue grows ~2-3% a year after the FY2026 MLSE annualisation, with low immigration capping postpaid net adds (380k FY2024 -&gt; 145k FY2025) and mobile ARPU drifting down, offset by Cable internet/Xfinity bundling and sports/media-rights growth. Adjusted EBITDA margin holds ~43.5-44% as residual Shaw synergies roughly offset ARPU pressure and Media mix dilution. The FY2026 capex cut is mostly deferral: capex plus spectrum reverts to ~15.5% of revenue by FY2029. Leverage drifts down from 3.8x on free cash flow; the MLSE buyout closes in Q4 2026 and a minority sale of Rogers Sports happens at something close to the Kilmer-implied value.</t>
  </si>
  <si>
    <t xml:space="preserve">Scenario narrative: bull</t>
  </si>
  <si>
    <t xml:space="preserve">Big-3 pricing discipline returns by 2027 (the pattern after prior Canadian price wars), CRTC fee/MVNO rules prove less damaging than feared, and Rogers' network-quality lead (most reliable 5G, Satellite-to-mobile) supports ARPU. Margins expand to ~45.5% on completed Shaw synergies and MLSE/NHL-rights economics; capex settles at ~14.5% including spectrum, so the FY2026 capital-efficiency step is partly permanent. Revenue compounds ~3% organically. The Rogers Sports minority stake is sold at or above C$25bn total value, crystallising the franchise excess and cutting leverage toward 3.0x, with a re-rating to an 18x FCF / ~7.5x EBITDA terminal.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</si>
  <si>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</si>
  <si>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</si>
  <si>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</si>
  <si>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</si>
  <si>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</si>
  <si>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</si>
  <si>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</si>
  <si>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</si>
  <si>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</si>
  <si>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</si>
  <si>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</si>
  <si>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</si>
  <si>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</si>
  <si>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</si>
  <si>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</si>
  <si>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</si>
  <si>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</si>
  <si>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</si>
  <si>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</si>
  <si>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</si>
  <si>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</si>
  <si>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</si>
  <si>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</si>
  <si>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</si>
  <si>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</si>
  <si>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</si>
  <si>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</si>
  <si>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</si>
  <si>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BasicEPS</t>
  </si>
  <si>
    <t xml:space="preserve">InterestPaid</t>
  </si>
  <si>
    <t xml:space="preserve">MobileARPU</t>
  </si>
  <si>
    <t xml:space="preserve">NetIncomeInclNCI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</si>
  <si>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</si>
  <si>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</si>
  <si>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</si>
  <si>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</si>
  <si>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</si>
  <si>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</si>
  <si>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</si>
  <si>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</si>
  <si>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</si>
  <si>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</si>
  <si>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</si>
  <si>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</si>
  <si>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</si>
  <si>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</si>
  <si>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</si>
  <si>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</si>
  <si>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</si>
  <si>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</si>
  <si>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</si>
  <si>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</si>
  <si>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</si>
  <si>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</si>
  <si>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</si>
  <si>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</si>
  <si>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</si>
  <si>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</si>
  <si>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</si>
  <si>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</si>
  <si>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</si>
  <si>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</si>
  <si>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</si>
  <si>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</si>
  <si>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</si>
  <si>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</si>
  <si>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</si>
  <si>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</si>
  <si>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</si>
  <si>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</si>
  <si>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</si>
  <si>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</si>
  <si>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</si>
  <si>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</si>
  <si>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</si>
  <si>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</si>
  <si>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</si>
  <si>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</si>
  <si>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</si>
  <si>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</si>
  <si>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RCI-B.TO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</si>
  <si>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</si>
  <si>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</si>
  <si>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</si>
  <si>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</si>
  <si>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</si>
  <si>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</si>
  <si>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</si>
  <si>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</si>
  <si>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</si>
  <si>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</si>
  <si>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</si>
  <si>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</si>
  <si>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</si>
  <si>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</si>
  <si>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</si>
  <si>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</si>
  <si>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</si>
  <si>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</si>
  <si>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</si>
  <si>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</si>
  <si>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</si>
  <si>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</si>
  <si>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</si>
  <si>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</si>
  <si>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</si>
  <si>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</si>
  <si>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</si>
  <si>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</si>
  <si>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</si>
  <si>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</si>
  <si>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RCI-B.TO owner-FCF component DCF: base case (millions, CAD)</t>
  </si>
  <si>
    <t xml:space="preserve">RCI-B.TO owner-FCF component DCF: bull case (millions, CAD)</t>
  </si>
  <si>
    <t xml:space="preserve">RCI-B.TO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</si>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</sst>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42.46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13702</v>
      </c>
      <c r="F2" s="0" t="n">
        <v>2111</v>
      </c>
      <c r="G2" s="0" t="n">
        <v>15.4</v>
      </c>
      <c r="H2" s="0" t="n">
        <v>5031</v>
      </c>
      <c r="I2" s="0" t="n">
        <v>835</v>
      </c>
      <c r="J2" s="0" t="n">
        <v>6.1</v>
      </c>
      <c r="K2" s="0" t="n">
        <v>1.62</v>
      </c>
      <c r="L2" s="0" t="n">
        <v>3957</v>
      </c>
      <c r="M2" s="0" t="n">
        <v>2352</v>
      </c>
      <c r="N2" s="0" t="n">
        <v>1605</v>
      </c>
      <c r="O2" s="0" t="n">
        <v>5269</v>
      </c>
      <c r="P2" s="0" t="n">
        <v>28342</v>
      </c>
      <c r="Q2" s="0" t="n">
        <v>23073</v>
      </c>
      <c r="R2" s="0" t="n">
        <v>16880</v>
      </c>
      <c r="S2" s="0" t="n">
        <v>0</v>
      </c>
      <c r="T2" s="0" t="n">
        <v>517</v>
      </c>
      <c r="U2" s="0" t="n">
        <v>61</v>
      </c>
      <c r="AA2" s="0" t="s">
        <v>17</v>
      </c>
      <c r="AB2" s="0" t="s">
        <v>14</v>
      </c>
      <c r="AC2" s="0" t="n">
        <v>5031</v>
      </c>
      <c r="AD2" s="0" t="n">
        <v>1.62</v>
      </c>
      <c r="AE2" s="0" t="n">
        <v>756</v>
      </c>
    </row>
    <row r="3" customFormat="false" ht="15" hidden="false" customHeight="false" outlineLevel="0" collapsed="false">
      <c r="A3" s="0" t="s">
        <v>70</v>
      </c>
      <c r="B3" s="0" t="n">
        <v>14143</v>
      </c>
      <c r="F3" s="0" t="n">
        <v>3024</v>
      </c>
      <c r="G3" s="0" t="n">
        <v>21.4</v>
      </c>
      <c r="H3" s="0" t="n">
        <v>5318</v>
      </c>
      <c r="I3" s="0" t="n">
        <v>1711</v>
      </c>
      <c r="J3" s="0" t="n">
        <v>12.1</v>
      </c>
      <c r="K3" s="0" t="n">
        <v>3.31</v>
      </c>
      <c r="L3" s="0" t="n">
        <v>3938</v>
      </c>
      <c r="M3" s="0" t="n">
        <v>2436</v>
      </c>
      <c r="N3" s="0" t="n">
        <v>1502</v>
      </c>
      <c r="O3" s="0" t="n">
        <v>6347</v>
      </c>
      <c r="P3" s="0" t="n">
        <v>28863</v>
      </c>
      <c r="Q3" s="0" t="n">
        <v>22516</v>
      </c>
      <c r="R3" s="0" t="n">
        <v>16033</v>
      </c>
      <c r="S3" s="0" t="n">
        <v>0</v>
      </c>
      <c r="T3" s="0" t="n">
        <v>517</v>
      </c>
      <c r="U3" s="0" t="n">
        <v>61</v>
      </c>
      <c r="AA3" s="0" t="s">
        <v>17</v>
      </c>
      <c r="AB3" s="0" t="s">
        <v>14</v>
      </c>
      <c r="AC3" s="0" t="n">
        <v>5318</v>
      </c>
      <c r="AD3" s="0" t="n">
        <v>3.32</v>
      </c>
      <c r="AE3" s="0" t="n">
        <v>735</v>
      </c>
    </row>
    <row r="4" customFormat="false" ht="15" hidden="false" customHeight="false" outlineLevel="0" collapsed="false">
      <c r="A4" s="0" t="s">
        <v>71</v>
      </c>
      <c r="B4" s="0" t="n">
        <v>15096</v>
      </c>
      <c r="F4" s="0" t="n">
        <v>3562</v>
      </c>
      <c r="G4" s="0" t="n">
        <v>23.6</v>
      </c>
      <c r="H4" s="0" t="n">
        <v>5983</v>
      </c>
      <c r="I4" s="0" t="n">
        <v>2059</v>
      </c>
      <c r="J4" s="0" t="n">
        <v>13.6</v>
      </c>
      <c r="K4" s="0" t="n">
        <v>3.99</v>
      </c>
      <c r="L4" s="0" t="n">
        <v>4288</v>
      </c>
      <c r="M4" s="0" t="n">
        <v>2790</v>
      </c>
      <c r="N4" s="0" t="n">
        <v>1498</v>
      </c>
      <c r="O4" s="0" t="n">
        <v>8179</v>
      </c>
      <c r="P4" s="0" t="n">
        <v>31918</v>
      </c>
      <c r="Q4" s="0" t="n">
        <v>23739</v>
      </c>
      <c r="R4" s="0" t="n">
        <v>16545</v>
      </c>
      <c r="S4" s="0" t="n">
        <v>405</v>
      </c>
      <c r="T4" s="0" t="n">
        <v>516</v>
      </c>
      <c r="U4" s="0" t="n">
        <v>65</v>
      </c>
      <c r="AA4" s="0" t="s">
        <v>17</v>
      </c>
      <c r="AB4" s="0" t="s">
        <v>14</v>
      </c>
      <c r="AC4" s="0" t="n">
        <v>5983</v>
      </c>
      <c r="AD4" s="0" t="n">
        <v>4</v>
      </c>
      <c r="AE4" s="0" t="n">
        <v>726</v>
      </c>
    </row>
    <row r="5" customFormat="false" ht="15" hidden="false" customHeight="false" outlineLevel="0" collapsed="false">
      <c r="A5" s="0" t="s">
        <v>72</v>
      </c>
      <c r="B5" s="0" t="n">
        <v>15073</v>
      </c>
      <c r="F5" s="0" t="n">
        <v>3585</v>
      </c>
      <c r="G5" s="0" t="n">
        <v>23.8</v>
      </c>
      <c r="H5" s="0" t="n">
        <v>6212</v>
      </c>
      <c r="I5" s="0" t="n">
        <v>2043</v>
      </c>
      <c r="J5" s="0" t="n">
        <v>13.6</v>
      </c>
      <c r="K5" s="0" t="n">
        <v>3.97</v>
      </c>
      <c r="L5" s="0" t="n">
        <v>4526</v>
      </c>
      <c r="M5" s="0" t="n">
        <v>2807</v>
      </c>
      <c r="N5" s="0" t="n">
        <v>1719</v>
      </c>
      <c r="O5" s="0" t="n">
        <v>9416</v>
      </c>
      <c r="P5" s="0" t="n">
        <v>37019</v>
      </c>
      <c r="Q5" s="0" t="n">
        <v>27603</v>
      </c>
      <c r="R5" s="0" t="n">
        <v>18205</v>
      </c>
      <c r="S5" s="0" t="n">
        <v>494</v>
      </c>
      <c r="T5" s="0" t="n">
        <v>513</v>
      </c>
      <c r="U5" s="0" t="n">
        <v>70</v>
      </c>
      <c r="AA5" s="0" t="s">
        <v>17</v>
      </c>
      <c r="AB5" s="0" t="s">
        <v>14</v>
      </c>
      <c r="AC5" s="0" t="n">
        <v>6212</v>
      </c>
      <c r="AD5" s="0" t="n">
        <v>3.99</v>
      </c>
      <c r="AE5" s="0" t="n">
        <v>779</v>
      </c>
    </row>
    <row r="6" customFormat="false" ht="15" hidden="false" customHeight="false" outlineLevel="0" collapsed="false">
      <c r="A6" s="0" t="s">
        <v>73</v>
      </c>
      <c r="B6" s="0" t="n">
        <v>13916</v>
      </c>
      <c r="F6" s="0" t="n">
        <v>3054</v>
      </c>
      <c r="G6" s="0" t="n">
        <v>21.9</v>
      </c>
      <c r="H6" s="0" t="n">
        <v>5857</v>
      </c>
      <c r="I6" s="0" t="n">
        <v>1592</v>
      </c>
      <c r="J6" s="0" t="n">
        <v>11.4</v>
      </c>
      <c r="K6" s="0" t="n">
        <v>3.13</v>
      </c>
      <c r="L6" s="0" t="n">
        <v>4321</v>
      </c>
      <c r="M6" s="0" t="n">
        <v>2312</v>
      </c>
      <c r="N6" s="0" t="n">
        <v>2009</v>
      </c>
      <c r="O6" s="0" t="n">
        <v>9573</v>
      </c>
      <c r="P6" s="0" t="n">
        <v>38854</v>
      </c>
      <c r="Q6" s="0" t="n">
        <v>29281</v>
      </c>
      <c r="R6" s="0" t="n">
        <v>19422</v>
      </c>
      <c r="S6" s="0" t="n">
        <v>2484</v>
      </c>
      <c r="T6" s="0" t="n">
        <v>506</v>
      </c>
      <c r="U6" s="0" t="n">
        <v>60</v>
      </c>
      <c r="AA6" s="0" t="s">
        <v>17</v>
      </c>
      <c r="AB6" s="0" t="s">
        <v>14</v>
      </c>
      <c r="AC6" s="0" t="n">
        <v>5857</v>
      </c>
      <c r="AD6" s="0" t="n">
        <v>3.15</v>
      </c>
      <c r="AE6" s="0" t="n">
        <v>808</v>
      </c>
    </row>
    <row r="7" customFormat="false" ht="15" hidden="false" customHeight="false" outlineLevel="0" collapsed="false">
      <c r="A7" s="0" t="s">
        <v>74</v>
      </c>
      <c r="B7" s="0" t="n">
        <v>14655</v>
      </c>
      <c r="F7" s="0" t="n">
        <v>2978</v>
      </c>
      <c r="G7" s="0" t="n">
        <v>20.3</v>
      </c>
      <c r="H7" s="0" t="n">
        <v>5887</v>
      </c>
      <c r="I7" s="0" t="n">
        <v>1558</v>
      </c>
      <c r="J7" s="0" t="n">
        <v>10.6</v>
      </c>
      <c r="K7" s="0" t="n">
        <v>3.07</v>
      </c>
      <c r="L7" s="0" t="n">
        <v>4161</v>
      </c>
      <c r="M7" s="0" t="n">
        <v>2788</v>
      </c>
      <c r="N7" s="0" t="n">
        <v>1373</v>
      </c>
      <c r="O7" s="0" t="n">
        <v>10532</v>
      </c>
      <c r="P7" s="0" t="n">
        <v>41963</v>
      </c>
      <c r="Q7" s="0" t="n">
        <v>31431</v>
      </c>
      <c r="R7" s="0" t="n">
        <v>20888</v>
      </c>
      <c r="S7" s="0" t="n">
        <v>715</v>
      </c>
      <c r="T7" s="0" t="n">
        <v>506</v>
      </c>
      <c r="U7" s="0" t="n">
        <v>60</v>
      </c>
      <c r="AA7" s="0" t="s">
        <v>17</v>
      </c>
      <c r="AB7" s="0" t="s">
        <v>14</v>
      </c>
      <c r="AC7" s="0" t="n">
        <v>5887</v>
      </c>
      <c r="AD7" s="0" t="n">
        <v>3.09</v>
      </c>
      <c r="AE7" s="0" t="n">
        <v>802</v>
      </c>
    </row>
    <row r="8" customFormat="false" ht="15" hidden="false" customHeight="false" outlineLevel="0" collapsed="false">
      <c r="A8" s="0" t="s">
        <v>75</v>
      </c>
      <c r="B8" s="0" t="n">
        <v>15396</v>
      </c>
      <c r="F8" s="0" t="n">
        <v>3507</v>
      </c>
      <c r="G8" s="0" t="n">
        <v>22.8</v>
      </c>
      <c r="H8" s="0" t="n">
        <v>6393</v>
      </c>
      <c r="I8" s="0" t="n">
        <v>1680</v>
      </c>
      <c r="J8" s="0" t="n">
        <v>10.9</v>
      </c>
      <c r="K8" s="0" t="n">
        <v>3.32</v>
      </c>
      <c r="L8" s="0" t="n">
        <v>4493</v>
      </c>
      <c r="M8" s="0" t="n">
        <v>3075</v>
      </c>
      <c r="N8" s="0" t="n">
        <v>1418</v>
      </c>
      <c r="O8" s="0" t="n">
        <v>10092</v>
      </c>
      <c r="P8" s="0" t="n">
        <v>55655</v>
      </c>
      <c r="Q8" s="0" t="n">
        <v>45563</v>
      </c>
      <c r="R8" s="0" t="n">
        <v>34718</v>
      </c>
      <c r="S8" s="0" t="n">
        <v>463</v>
      </c>
      <c r="T8" s="0" t="n">
        <v>506</v>
      </c>
      <c r="U8" s="0" t="n">
        <v>67</v>
      </c>
      <c r="AA8" s="0" t="s">
        <v>17</v>
      </c>
      <c r="AB8" s="0" t="s">
        <v>14</v>
      </c>
      <c r="AC8" s="0" t="n">
        <v>6393</v>
      </c>
      <c r="AD8" s="0" t="n">
        <v>3.33</v>
      </c>
      <c r="AE8" s="0" t="n">
        <v>1054</v>
      </c>
    </row>
    <row r="9" customFormat="false" ht="15" hidden="false" customHeight="false" outlineLevel="0" collapsed="false">
      <c r="A9" s="0" t="s">
        <v>76</v>
      </c>
      <c r="B9" s="0" t="n">
        <v>19308</v>
      </c>
      <c r="F9" s="0" t="n">
        <v>3775</v>
      </c>
      <c r="G9" s="0" t="n">
        <v>19.6</v>
      </c>
      <c r="H9" s="0" t="n">
        <v>8581</v>
      </c>
      <c r="I9" s="0" t="n">
        <v>849</v>
      </c>
      <c r="J9" s="0" t="n">
        <v>4.4</v>
      </c>
      <c r="K9" s="0" t="n">
        <v>1.62</v>
      </c>
      <c r="L9" s="0" t="n">
        <v>5221</v>
      </c>
      <c r="M9" s="0" t="n">
        <v>3934</v>
      </c>
      <c r="N9" s="0" t="n">
        <v>1287</v>
      </c>
      <c r="O9" s="0" t="n">
        <v>10440</v>
      </c>
      <c r="P9" s="0" t="n">
        <v>69282</v>
      </c>
      <c r="Q9" s="0" t="n">
        <v>58842</v>
      </c>
      <c r="R9" s="0" t="n">
        <v>42605</v>
      </c>
      <c r="S9" s="0" t="n">
        <v>800</v>
      </c>
      <c r="T9" s="0" t="n">
        <v>524</v>
      </c>
      <c r="U9" s="0" t="n">
        <v>65</v>
      </c>
      <c r="AA9" s="0" t="s">
        <v>17</v>
      </c>
      <c r="AB9" s="0" t="s">
        <v>14</v>
      </c>
      <c r="AC9" s="0" t="n">
        <v>8581</v>
      </c>
      <c r="AD9" s="0" t="n">
        <v>1.62</v>
      </c>
      <c r="AE9" s="0" t="n">
        <v>1780</v>
      </c>
    </row>
    <row r="10" customFormat="false" ht="15" hidden="false" customHeight="false" outlineLevel="0" collapsed="false">
      <c r="A10" s="0" t="s">
        <v>77</v>
      </c>
      <c r="B10" s="0" t="n">
        <v>20604</v>
      </c>
      <c r="F10" s="0" t="n">
        <v>4595</v>
      </c>
      <c r="G10" s="0" t="n">
        <v>22.3</v>
      </c>
      <c r="H10" s="0" t="n">
        <v>9617</v>
      </c>
      <c r="I10" s="0" t="n">
        <v>1734</v>
      </c>
      <c r="J10" s="0" t="n">
        <v>8.4</v>
      </c>
      <c r="K10" s="0" t="n">
        <v>3.2</v>
      </c>
      <c r="L10" s="0" t="n">
        <v>5680</v>
      </c>
      <c r="M10" s="0" t="n">
        <v>4041</v>
      </c>
      <c r="N10" s="0" t="n">
        <v>1639</v>
      </c>
      <c r="O10" s="0" t="n">
        <v>10403</v>
      </c>
      <c r="P10" s="0" t="n">
        <v>71411</v>
      </c>
      <c r="Q10" s="0" t="n">
        <v>61008</v>
      </c>
      <c r="R10" s="0" t="n">
        <v>44855</v>
      </c>
      <c r="S10" s="0" t="n">
        <v>898</v>
      </c>
      <c r="T10" s="0" t="n">
        <v>535</v>
      </c>
      <c r="U10" s="0" t="n">
        <v>54</v>
      </c>
      <c r="AA10" s="0" t="s">
        <v>17</v>
      </c>
      <c r="AB10" s="0" t="s">
        <v>14</v>
      </c>
      <c r="AC10" s="0" t="n">
        <v>9617</v>
      </c>
      <c r="AD10" s="0" t="n">
        <v>3.25</v>
      </c>
      <c r="AE10" s="0" t="n">
        <v>2087</v>
      </c>
    </row>
    <row r="11" customFormat="false" ht="15" hidden="false" customHeight="false" outlineLevel="0" collapsed="false">
      <c r="A11" s="0" t="s">
        <v>78</v>
      </c>
      <c r="B11" s="0" t="n">
        <v>21712</v>
      </c>
      <c r="F11" s="0" t="n">
        <v>4579</v>
      </c>
      <c r="G11" s="0" t="n">
        <v>21.1</v>
      </c>
      <c r="H11" s="0" t="n">
        <v>9820</v>
      </c>
      <c r="I11" s="0" t="n">
        <v>6894</v>
      </c>
      <c r="J11" s="0" t="n">
        <v>31.8</v>
      </c>
      <c r="K11" s="0" t="n">
        <v>12.74</v>
      </c>
      <c r="L11" s="0" t="n">
        <v>6059</v>
      </c>
      <c r="M11" s="0" t="n">
        <v>3707</v>
      </c>
      <c r="N11" s="0" t="n">
        <v>2352</v>
      </c>
      <c r="O11" s="0" t="n">
        <v>17751</v>
      </c>
      <c r="P11" s="0" t="n">
        <v>90012</v>
      </c>
      <c r="Q11" s="0" t="n">
        <v>65726</v>
      </c>
      <c r="R11" s="0" t="n">
        <v>41058</v>
      </c>
      <c r="S11" s="0" t="n">
        <v>1344</v>
      </c>
      <c r="T11" s="0" t="n">
        <v>540</v>
      </c>
      <c r="U11" s="0" t="n">
        <v>98</v>
      </c>
      <c r="AA11" s="0" t="s">
        <v>17</v>
      </c>
      <c r="AB11" s="0" t="s">
        <v>14</v>
      </c>
      <c r="AC11" s="0" t="n">
        <v>9820</v>
      </c>
      <c r="AD11" s="0" t="n">
        <v>12.77</v>
      </c>
      <c r="AE11" s="0" t="n">
        <v>2070</v>
      </c>
      <c r="AG11" s="0" t="n">
        <v>6906</v>
      </c>
      <c r="AH11" s="0" t="n">
        <v>24286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42.46</v>
      </c>
    </row>
    <row r="3" customFormat="false" ht="15" hidden="false" customHeight="false" outlineLevel="0" collapsed="false">
      <c r="A3" s="0" t="s">
        <v>82</v>
      </c>
      <c r="B3" s="3" t="n">
        <v>540</v>
      </c>
    </row>
    <row r="4" customFormat="false" ht="15" hidden="false" customHeight="false" outlineLevel="0" collapsed="false">
      <c r="A4" s="0" t="s">
        <v>83</v>
      </c>
      <c r="B4" s="3" t="n">
        <v>39271</v>
      </c>
    </row>
    <row r="5" customFormat="false" ht="15" hidden="false" customHeight="false" outlineLevel="0" collapsed="false">
      <c r="A5" s="0" t="s">
        <v>84</v>
      </c>
      <c r="B5" s="3" t="n">
        <v>-3599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21712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5</v>
      </c>
      <c r="D13" s="3" t="n">
        <v>1</v>
      </c>
      <c r="E13" s="3" t="n">
        <v>0.5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103</v>
      </c>
      <c r="C14" s="3" t="n">
        <v>41.85</v>
      </c>
      <c r="D14" s="3" t="n">
        <v>41.75</v>
      </c>
      <c r="E14" s="3" t="n">
        <v>41.45</v>
      </c>
      <c r="F14" s="3" t="n">
        <v>41.15</v>
      </c>
      <c r="G14" s="3" t="n">
        <v>40.95</v>
      </c>
      <c r="H14" s="3" t="n">
        <v>40.95</v>
      </c>
      <c r="I14" s="3" t="n">
        <v>40.95</v>
      </c>
      <c r="J14" s="3" t="n">
        <v>40.95</v>
      </c>
      <c r="K14" s="3" t="n">
        <v>40.95</v>
      </c>
      <c r="L14" s="3" t="n">
        <v>40.95</v>
      </c>
    </row>
    <row r="15" customFormat="false" ht="15" hidden="false" customHeight="false" outlineLevel="0" collapsed="false">
      <c r="A15" s="0" t="s">
        <v>104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105</v>
      </c>
      <c r="C16" s="3" t="n">
        <v>3.3</v>
      </c>
      <c r="D16" s="3" t="n">
        <v>3.4</v>
      </c>
      <c r="E16" s="3" t="n">
        <v>3.4</v>
      </c>
      <c r="F16" s="3" t="n">
        <v>3.4</v>
      </c>
      <c r="G16" s="3" t="n">
        <v>3.4</v>
      </c>
      <c r="H16" s="3" t="n">
        <v>3.4</v>
      </c>
      <c r="I16" s="3" t="n">
        <v>3.4</v>
      </c>
      <c r="J16" s="3" t="n">
        <v>3.4</v>
      </c>
      <c r="K16" s="3" t="n">
        <v>3.4</v>
      </c>
      <c r="L16" s="3" t="n">
        <v>3.4</v>
      </c>
    </row>
    <row r="17" customFormat="false" ht="15" hidden="false" customHeight="false" outlineLevel="0" collapsed="false">
      <c r="A17" s="0" t="s">
        <v>106</v>
      </c>
      <c r="C17" s="3" t="n">
        <v>17</v>
      </c>
      <c r="D17" s="3" t="n">
        <v>17</v>
      </c>
      <c r="E17" s="3" t="n">
        <v>17</v>
      </c>
      <c r="F17" s="3" t="n">
        <v>16.8</v>
      </c>
      <c r="G17" s="3" t="n">
        <v>16.6</v>
      </c>
      <c r="H17" s="3" t="n">
        <v>16.5</v>
      </c>
      <c r="I17" s="3" t="n">
        <v>16.5</v>
      </c>
      <c r="J17" s="3" t="n">
        <v>16.5</v>
      </c>
      <c r="K17" s="3" t="n">
        <v>16.5</v>
      </c>
      <c r="L17" s="3" t="n">
        <v>16.5</v>
      </c>
    </row>
    <row r="18" customFormat="false" ht="15" hidden="false" customHeight="false" outlineLevel="0" collapsed="false">
      <c r="A18" s="0" t="s">
        <v>107</v>
      </c>
      <c r="C18" s="3" t="n">
        <v>11.5</v>
      </c>
      <c r="D18" s="3" t="n">
        <v>14.5</v>
      </c>
      <c r="E18" s="3" t="n">
        <v>16</v>
      </c>
      <c r="F18" s="3" t="n">
        <v>16.5</v>
      </c>
      <c r="G18" s="3" t="n">
        <v>16.5</v>
      </c>
      <c r="H18" s="3" t="n">
        <v>16.5</v>
      </c>
      <c r="I18" s="3" t="n">
        <v>16.5</v>
      </c>
      <c r="J18" s="3" t="n">
        <v>16.5</v>
      </c>
      <c r="K18" s="3" t="n">
        <v>16.5</v>
      </c>
      <c r="L18" s="3" t="n">
        <v>16.5</v>
      </c>
    </row>
    <row r="19" customFormat="false" ht="15" hidden="false" customHeight="false" outlineLevel="0" collapsed="false">
      <c r="A19" s="0" t="s">
        <v>108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109</v>
      </c>
      <c r="B20" s="3" t="n">
        <v>6.5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14</v>
      </c>
    </row>
    <row r="23" customFormat="false" ht="15" hidden="false" customHeight="false" outlineLevel="0" collapsed="false">
      <c r="A23" s="0" t="s">
        <v>112</v>
      </c>
      <c r="B23" s="3" t="n">
        <v>-15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5.5</v>
      </c>
      <c r="D27" s="3" t="n">
        <v>2.5</v>
      </c>
      <c r="E27" s="3" t="n">
        <v>2.5</v>
      </c>
      <c r="F27" s="3" t="n">
        <v>2.5</v>
      </c>
      <c r="G27" s="3" t="n">
        <v>2.25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42.15</v>
      </c>
      <c r="D28" s="3" t="n">
        <v>42.75</v>
      </c>
      <c r="E28" s="3" t="n">
        <v>43.35</v>
      </c>
      <c r="F28" s="3" t="n">
        <v>43.45</v>
      </c>
      <c r="G28" s="3" t="n">
        <v>43.65</v>
      </c>
      <c r="H28" s="3" t="n">
        <v>43.65</v>
      </c>
      <c r="I28" s="3" t="n">
        <v>43.65</v>
      </c>
      <c r="J28" s="3" t="n">
        <v>43.65</v>
      </c>
      <c r="K28" s="3" t="n">
        <v>43.65</v>
      </c>
      <c r="L28" s="3" t="n">
        <v>43.65</v>
      </c>
    </row>
    <row r="29" customFormat="false" ht="15" hidden="false" customHeight="false" outlineLevel="0" collapsed="false">
      <c r="A29" s="0" t="s">
        <v>104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105</v>
      </c>
      <c r="C30" s="3" t="n">
        <v>3.3</v>
      </c>
      <c r="D30" s="3" t="n">
        <v>3.3</v>
      </c>
      <c r="E30" s="3" t="n">
        <v>3.3</v>
      </c>
      <c r="F30" s="3" t="n">
        <v>3.3</v>
      </c>
      <c r="G30" s="3" t="n">
        <v>3.3</v>
      </c>
      <c r="H30" s="3" t="n">
        <v>3.3</v>
      </c>
      <c r="I30" s="3" t="n">
        <v>3.3</v>
      </c>
      <c r="J30" s="3" t="n">
        <v>3.3</v>
      </c>
      <c r="K30" s="3" t="n">
        <v>3.3</v>
      </c>
      <c r="L30" s="3" t="n">
        <v>3.3</v>
      </c>
    </row>
    <row r="31" customFormat="false" ht="15" hidden="false" customHeight="false" outlineLevel="0" collapsed="false">
      <c r="A31" s="0" t="s">
        <v>106</v>
      </c>
      <c r="C31" s="3" t="n">
        <v>17</v>
      </c>
      <c r="D31" s="3" t="n">
        <v>16.8</v>
      </c>
      <c r="E31" s="3" t="n">
        <v>16.5</v>
      </c>
      <c r="F31" s="3" t="n">
        <v>16.2</v>
      </c>
      <c r="G31" s="3" t="n">
        <v>16</v>
      </c>
      <c r="H31" s="3" t="n">
        <v>15.8</v>
      </c>
      <c r="I31" s="3" t="n">
        <v>15.6</v>
      </c>
      <c r="J31" s="3" t="n">
        <v>15.5</v>
      </c>
      <c r="K31" s="3" t="n">
        <v>15.5</v>
      </c>
      <c r="L31" s="3" t="n">
        <v>15.5</v>
      </c>
    </row>
    <row r="32" customFormat="false" ht="15" hidden="false" customHeight="false" outlineLevel="0" collapsed="false">
      <c r="A32" s="0" t="s">
        <v>107</v>
      </c>
      <c r="C32" s="3" t="n">
        <v>11.5</v>
      </c>
      <c r="D32" s="3" t="n">
        <v>14</v>
      </c>
      <c r="E32" s="3" t="n">
        <v>15</v>
      </c>
      <c r="F32" s="3" t="n">
        <v>15.5</v>
      </c>
      <c r="G32" s="3" t="n">
        <v>15.5</v>
      </c>
      <c r="H32" s="3" t="n">
        <v>15.5</v>
      </c>
      <c r="I32" s="3" t="n">
        <v>15.5</v>
      </c>
      <c r="J32" s="3" t="n">
        <v>15.5</v>
      </c>
      <c r="K32" s="3" t="n">
        <v>15.5</v>
      </c>
      <c r="L32" s="3" t="n">
        <v>15.5</v>
      </c>
    </row>
    <row r="33" customFormat="false" ht="15" hidden="false" customHeight="false" outlineLevel="0" collapsed="false">
      <c r="A33" s="0" t="s">
        <v>108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109</v>
      </c>
      <c r="B34" s="3" t="n">
        <v>6.5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17</v>
      </c>
    </row>
    <row r="37" customFormat="false" ht="15" hidden="false" customHeight="false" outlineLevel="0" collapsed="false">
      <c r="A37" s="0" t="s">
        <v>112</v>
      </c>
      <c r="B37" s="3" t="n">
        <v>-15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6</v>
      </c>
      <c r="D41" s="3" t="n">
        <v>3.5</v>
      </c>
      <c r="E41" s="3" t="n">
        <v>3.25</v>
      </c>
      <c r="F41" s="3" t="n">
        <v>3</v>
      </c>
      <c r="G41" s="3" t="n">
        <v>3</v>
      </c>
      <c r="H41" s="3" t="n">
        <v>2.75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42.35</v>
      </c>
      <c r="D42" s="3" t="n">
        <v>43.45</v>
      </c>
      <c r="E42" s="3" t="n">
        <v>44.35</v>
      </c>
      <c r="F42" s="3" t="n">
        <v>44.75</v>
      </c>
      <c r="G42" s="3" t="n">
        <v>45.15</v>
      </c>
      <c r="H42" s="3" t="n">
        <v>45.15</v>
      </c>
      <c r="I42" s="3" t="n">
        <v>45.15</v>
      </c>
      <c r="J42" s="3" t="n">
        <v>45.15</v>
      </c>
      <c r="K42" s="3" t="n">
        <v>45.15</v>
      </c>
      <c r="L42" s="3" t="n">
        <v>45.15</v>
      </c>
    </row>
    <row r="43" customFormat="false" ht="15" hidden="false" customHeight="false" outlineLevel="0" collapsed="false">
      <c r="A43" s="0" t="s">
        <v>104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105</v>
      </c>
      <c r="C44" s="3" t="n">
        <v>3.3</v>
      </c>
      <c r="D44" s="3" t="n">
        <v>3.3</v>
      </c>
      <c r="E44" s="3" t="n">
        <v>3.3</v>
      </c>
      <c r="F44" s="3" t="n">
        <v>3.3</v>
      </c>
      <c r="G44" s="3" t="n">
        <v>3.3</v>
      </c>
      <c r="H44" s="3" t="n">
        <v>3.3</v>
      </c>
      <c r="I44" s="3" t="n">
        <v>3.3</v>
      </c>
      <c r="J44" s="3" t="n">
        <v>3.3</v>
      </c>
      <c r="K44" s="3" t="n">
        <v>3.3</v>
      </c>
      <c r="L44" s="3" t="n">
        <v>3.3</v>
      </c>
    </row>
    <row r="45" customFormat="false" ht="15" hidden="false" customHeight="false" outlineLevel="0" collapsed="false">
      <c r="A45" s="0" t="s">
        <v>106</v>
      </c>
      <c r="C45" s="3" t="n">
        <v>17</v>
      </c>
      <c r="D45" s="3" t="n">
        <v>16.6</v>
      </c>
      <c r="E45" s="3" t="n">
        <v>16.2</v>
      </c>
      <c r="F45" s="3" t="n">
        <v>15.8</v>
      </c>
      <c r="G45" s="3" t="n">
        <v>15.5</v>
      </c>
      <c r="H45" s="3" t="n">
        <v>15.2</v>
      </c>
      <c r="I45" s="3" t="n">
        <v>15</v>
      </c>
      <c r="J45" s="3" t="n">
        <v>14.8</v>
      </c>
      <c r="K45" s="3" t="n">
        <v>14.6</v>
      </c>
      <c r="L45" s="3" t="n">
        <v>14.5</v>
      </c>
    </row>
    <row r="46" customFormat="false" ht="15" hidden="false" customHeight="false" outlineLevel="0" collapsed="false">
      <c r="A46" s="0" t="s">
        <v>107</v>
      </c>
      <c r="C46" s="3" t="n">
        <v>11.5</v>
      </c>
      <c r="D46" s="3" t="n">
        <v>13</v>
      </c>
      <c r="E46" s="3" t="n">
        <v>14</v>
      </c>
      <c r="F46" s="3" t="n">
        <v>14.5</v>
      </c>
      <c r="G46" s="3" t="n">
        <v>14.5</v>
      </c>
      <c r="H46" s="3" t="n">
        <v>14.5</v>
      </c>
      <c r="I46" s="3" t="n">
        <v>14.5</v>
      </c>
      <c r="J46" s="3" t="n">
        <v>14.5</v>
      </c>
      <c r="K46" s="3" t="n">
        <v>14.5</v>
      </c>
      <c r="L46" s="3" t="n">
        <v>14.5</v>
      </c>
    </row>
    <row r="47" customFormat="false" ht="15" hidden="false" customHeight="false" outlineLevel="0" collapsed="false">
      <c r="A47" s="0" t="s">
        <v>108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109</v>
      </c>
      <c r="B48" s="3" t="n">
        <v>6.5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18</v>
      </c>
    </row>
    <row r="51" customFormat="false" ht="15" hidden="false" customHeight="false" outlineLevel="0" collapsed="false">
      <c r="A51" s="0" t="s">
        <v>112</v>
      </c>
      <c r="B51" s="3" t="n">
        <v>-15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5</v>
      </c>
      <c r="D5" s="4" t="n">
        <f aca="false">Assumptions!D13</f>
        <v>1</v>
      </c>
      <c r="E5" s="4" t="n">
        <f aca="false">Assumptions!E13</f>
        <v>0.5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21712</v>
      </c>
      <c r="C6" s="0" t="n">
        <f aca="false">B6*(1+C5/100)</f>
        <v>22797.6</v>
      </c>
      <c r="D6" s="0" t="n">
        <f aca="false">C6*(1+D5/100)</f>
        <v>23025.576</v>
      </c>
      <c r="E6" s="0" t="n">
        <f aca="false">D6*(1+E5/100)</f>
        <v>23140.70388</v>
      </c>
      <c r="F6" s="0" t="n">
        <f aca="false">E6*(1+F5/100)</f>
        <v>23256.4073994</v>
      </c>
      <c r="G6" s="0" t="n">
        <f aca="false">F6*(1+G5/100)</f>
        <v>23488.971473394</v>
      </c>
      <c r="H6" s="0" t="n">
        <f aca="false">G6*(1+H5/100)</f>
        <v>23723.8611881279</v>
      </c>
      <c r="I6" s="0" t="n">
        <f aca="false">H6*(1+I5/100)</f>
        <v>24079.7191059499</v>
      </c>
      <c r="J6" s="0" t="n">
        <f aca="false">I6*(1+J5/100)</f>
        <v>24440.9148925391</v>
      </c>
      <c r="K6" s="0" t="n">
        <f aca="false">J6*(1+K5/100)</f>
        <v>24807.5286159272</v>
      </c>
      <c r="L6" s="0" t="n">
        <f aca="false">K6*(1+L5/100)</f>
        <v>25179.6415451661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41.85</v>
      </c>
      <c r="D7" s="4" t="n">
        <f aca="false">Assumptions!D14</f>
        <v>41.75</v>
      </c>
      <c r="E7" s="4" t="n">
        <f aca="false">Assumptions!E14</f>
        <v>41.45</v>
      </c>
      <c r="F7" s="4" t="n">
        <f aca="false">Assumptions!F14</f>
        <v>41.15</v>
      </c>
      <c r="G7" s="4" t="n">
        <f aca="false">Assumptions!G14</f>
        <v>40.95</v>
      </c>
      <c r="H7" s="4" t="n">
        <f aca="false">Assumptions!H14</f>
        <v>40.95</v>
      </c>
      <c r="I7" s="4" t="n">
        <f aca="false">Assumptions!I14</f>
        <v>40.95</v>
      </c>
      <c r="J7" s="4" t="n">
        <f aca="false">Assumptions!J14</f>
        <v>40.95</v>
      </c>
      <c r="K7" s="4" t="n">
        <f aca="false">Assumptions!K14</f>
        <v>40.95</v>
      </c>
      <c r="L7" s="4" t="n">
        <f aca="false">Assumptions!L14</f>
        <v>40.95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9540.7956</v>
      </c>
      <c r="D8" s="0" t="n">
        <f aca="false">D6*D7/100</f>
        <v>9613.17798</v>
      </c>
      <c r="E8" s="0" t="n">
        <f aca="false">E6*E7/100</f>
        <v>9591.82175826</v>
      </c>
      <c r="F8" s="0" t="n">
        <f aca="false">F6*F7/100</f>
        <v>9570.0116448531</v>
      </c>
      <c r="G8" s="0" t="n">
        <f aca="false">G6*G7/100</f>
        <v>9618.73381835484</v>
      </c>
      <c r="H8" s="0" t="n">
        <f aca="false">H6*H7/100</f>
        <v>9714.92115653839</v>
      </c>
      <c r="I8" s="0" t="n">
        <f aca="false">I6*I7/100</f>
        <v>9860.64497388647</v>
      </c>
      <c r="J8" s="0" t="n">
        <f aca="false">J6*J7/100</f>
        <v>10008.5546484948</v>
      </c>
      <c r="K8" s="0" t="n">
        <f aca="false">K6*K7/100</f>
        <v>10158.6829682222</v>
      </c>
      <c r="L8" s="0" t="n">
        <f aca="false">L6*L7/100</f>
        <v>10311.0632127455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-102.5892</v>
      </c>
      <c r="D10" s="0" t="n">
        <f aca="false">-D6*D9/100</f>
        <v>-103.615092</v>
      </c>
      <c r="E10" s="0" t="n">
        <f aca="false">-E6*E9/100</f>
        <v>-104.13316746</v>
      </c>
      <c r="F10" s="0" t="n">
        <f aca="false">-F6*F9/100</f>
        <v>-104.6538332973</v>
      </c>
      <c r="G10" s="0" t="n">
        <f aca="false">-G6*G9/100</f>
        <v>-105.700371630273</v>
      </c>
      <c r="H10" s="0" t="n">
        <f aca="false">-H6*H9/100</f>
        <v>-106.757375346576</v>
      </c>
      <c r="I10" s="0" t="n">
        <f aca="false">-I6*I9/100</f>
        <v>-108.358735976774</v>
      </c>
      <c r="J10" s="0" t="n">
        <f aca="false">-J6*J9/100</f>
        <v>-109.984117016426</v>
      </c>
      <c r="K10" s="0" t="n">
        <f aca="false">-K6*K9/100</f>
        <v>-111.633878771672</v>
      </c>
      <c r="L10" s="0" t="n">
        <f aca="false">-L6*L9/100</f>
        <v>-113.308386953247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8685.8856</v>
      </c>
      <c r="D11" s="0" t="n">
        <f aca="false">D8+D10+D24</f>
        <v>8726.693304</v>
      </c>
      <c r="E11" s="0" t="n">
        <f aca="false">E8+E10+E24</f>
        <v>8700.90465888</v>
      </c>
      <c r="F11" s="0" t="n">
        <f aca="false">F8+F10+F24</f>
        <v>8674.6399599762</v>
      </c>
      <c r="G11" s="0" t="n">
        <f aca="false">G8+G10+G24</f>
        <v>8714.40841662917</v>
      </c>
      <c r="H11" s="0" t="n">
        <f aca="false">H8+H10+H24</f>
        <v>8801.55250079547</v>
      </c>
      <c r="I11" s="0" t="n">
        <f aca="false">I8+I10+I24</f>
        <v>8933.5757883074</v>
      </c>
      <c r="J11" s="0" t="n">
        <f aca="false">J8+J10+J24</f>
        <v>9067.57942513201</v>
      </c>
      <c r="K11" s="0" t="n">
        <f aca="false">K8+K10+K24</f>
        <v>9203.59311650898</v>
      </c>
      <c r="L11" s="0" t="n">
        <f aca="false">L8+L10+L24</f>
        <v>9341.64701325662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-3875.592</v>
      </c>
      <c r="D12" s="4" t="n">
        <f aca="false">-D6*Assumptions!D17/100</f>
        <v>-3914.34792</v>
      </c>
      <c r="E12" s="4" t="n">
        <f aca="false">-E6*Assumptions!E17/100</f>
        <v>-3933.9196596</v>
      </c>
      <c r="F12" s="4" t="n">
        <f aca="false">-F6*Assumptions!F17/100</f>
        <v>-3907.0764430992</v>
      </c>
      <c r="G12" s="4" t="n">
        <f aca="false">-G6*Assumptions!G17/100</f>
        <v>-3899.1692645834</v>
      </c>
      <c r="H12" s="4" t="n">
        <f aca="false">-H6*Assumptions!H17/100</f>
        <v>-3914.43709604111</v>
      </c>
      <c r="I12" s="4" t="n">
        <f aca="false">-I6*Assumptions!I17/100</f>
        <v>-3973.15365248173</v>
      </c>
      <c r="J12" s="4" t="n">
        <f aca="false">-J6*Assumptions!J17/100</f>
        <v>-4032.75095726895</v>
      </c>
      <c r="K12" s="4" t="n">
        <f aca="false">-K6*Assumptions!K17/100</f>
        <v>-4093.24222162798</v>
      </c>
      <c r="L12" s="4" t="n">
        <f aca="false">-L6*Assumptions!L17/100</f>
        <v>-4154.6408549524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4810.2936</v>
      </c>
      <c r="D13" s="0" t="n">
        <f aca="false">D11+D12</f>
        <v>4812.345384</v>
      </c>
      <c r="E13" s="0" t="n">
        <f aca="false">E11+E12</f>
        <v>4766.98499928</v>
      </c>
      <c r="F13" s="0" t="n">
        <f aca="false">F11+F12</f>
        <v>4767.563516877</v>
      </c>
      <c r="G13" s="0" t="n">
        <f aca="false">G11+G12</f>
        <v>4815.23915204577</v>
      </c>
      <c r="H13" s="0" t="n">
        <f aca="false">H11+H12</f>
        <v>4887.11540475436</v>
      </c>
      <c r="I13" s="0" t="n">
        <f aca="false">I11+I12</f>
        <v>4960.42213582567</v>
      </c>
      <c r="J13" s="0" t="n">
        <f aca="false">J11+J12</f>
        <v>5034.82846786306</v>
      </c>
      <c r="K13" s="0" t="n">
        <f aca="false">K11+K12</f>
        <v>5110.350894881</v>
      </c>
      <c r="L13" s="0" t="n">
        <f aca="false">L11+L12</f>
        <v>5187.00615830421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3607.7202</v>
      </c>
      <c r="D15" s="0" t="n">
        <f aca="false">D13-MAX(0,D13)*D14/100</f>
        <v>3609.259038</v>
      </c>
      <c r="E15" s="0" t="n">
        <f aca="false">E13-MAX(0,E13)*E14/100</f>
        <v>3575.23874946</v>
      </c>
      <c r="F15" s="0" t="n">
        <f aca="false">F13-MAX(0,F13)*F14/100</f>
        <v>3575.67263765775</v>
      </c>
      <c r="G15" s="0" t="n">
        <f aca="false">G13-MAX(0,G13)*G14/100</f>
        <v>3611.42936403433</v>
      </c>
      <c r="H15" s="0" t="n">
        <f aca="false">H13-MAX(0,H13)*H14/100</f>
        <v>3665.33655356577</v>
      </c>
      <c r="I15" s="0" t="n">
        <f aca="false">I13-MAX(0,I13)*I14/100</f>
        <v>3720.31660186925</v>
      </c>
      <c r="J15" s="0" t="n">
        <f aca="false">J13-MAX(0,J13)*J14/100</f>
        <v>3776.12135089729</v>
      </c>
      <c r="K15" s="0" t="n">
        <f aca="false">K13-MAX(0,K13)*K14/100</f>
        <v>3832.76317116075</v>
      </c>
      <c r="L15" s="0" t="n">
        <f aca="false">L13-MAX(0,L13)*L14/100</f>
        <v>3890.25461872816</v>
      </c>
    </row>
    <row r="16" customFormat="false" ht="15" hidden="false" customHeight="false" outlineLevel="0" collapsed="false">
      <c r="A16" s="0" t="s">
        <v>124</v>
      </c>
      <c r="C16" s="0" t="n">
        <f aca="false">-C12</f>
        <v>3875.592</v>
      </c>
      <c r="D16" s="0" t="n">
        <f aca="false">-D12</f>
        <v>3914.34792</v>
      </c>
      <c r="E16" s="0" t="n">
        <f aca="false">-E12</f>
        <v>3933.9196596</v>
      </c>
      <c r="F16" s="0" t="n">
        <f aca="false">-F12</f>
        <v>3907.0764430992</v>
      </c>
      <c r="G16" s="0" t="n">
        <f aca="false">-G12</f>
        <v>3899.1692645834</v>
      </c>
      <c r="H16" s="0" t="n">
        <f aca="false">-H12</f>
        <v>3914.43709604111</v>
      </c>
      <c r="I16" s="0" t="n">
        <f aca="false">-I12</f>
        <v>3973.15365248173</v>
      </c>
      <c r="J16" s="0" t="n">
        <f aca="false">-J12</f>
        <v>4032.75095726895</v>
      </c>
      <c r="K16" s="0" t="n">
        <f aca="false">-K12</f>
        <v>4093.24222162798</v>
      </c>
      <c r="L16" s="0" t="n">
        <f aca="false">-L12</f>
        <v>4154.6408549524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-2621.724</v>
      </c>
      <c r="D17" s="4" t="n">
        <f aca="false">-D6*Assumptions!D18/100</f>
        <v>-3338.70852</v>
      </c>
      <c r="E17" s="4" t="n">
        <f aca="false">-E6*Assumptions!E18/100</f>
        <v>-3702.5126208</v>
      </c>
      <c r="F17" s="4" t="n">
        <f aca="false">-F6*Assumptions!F18/100</f>
        <v>-3837.307220901</v>
      </c>
      <c r="G17" s="4" t="n">
        <f aca="false">-G6*Assumptions!G18/100</f>
        <v>-3875.68029311001</v>
      </c>
      <c r="H17" s="4" t="n">
        <f aca="false">-H6*Assumptions!H18/100</f>
        <v>-3914.43709604111</v>
      </c>
      <c r="I17" s="4" t="n">
        <f aca="false">-I6*Assumptions!I18/100</f>
        <v>-3973.15365248173</v>
      </c>
      <c r="J17" s="4" t="n">
        <f aca="false">-J6*Assumptions!J18/100</f>
        <v>-4032.75095726895</v>
      </c>
      <c r="K17" s="4" t="n">
        <f aca="false">-K6*Assumptions!K18/100</f>
        <v>-4093.24222162798</v>
      </c>
      <c r="L17" s="4" t="n">
        <f aca="false">-L6*Assumptions!L18/100</f>
        <v>-4154.6408549524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-162.84</v>
      </c>
      <c r="D18" s="4" t="n">
        <f aca="false">(D6-C6)*Assumptions!$B$23/100</f>
        <v>-34.1963999999998</v>
      </c>
      <c r="E18" s="4" t="n">
        <f aca="false">(E6-D6)*Assumptions!$B$23/100</f>
        <v>-17.2691819999995</v>
      </c>
      <c r="F18" s="4" t="n">
        <f aca="false">(F6-E6)*Assumptions!$B$23/100</f>
        <v>-17.3555279099997</v>
      </c>
      <c r="G18" s="4" t="n">
        <f aca="false">(G6-F6)*Assumptions!$B$23/100</f>
        <v>-34.8846110990999</v>
      </c>
      <c r="H18" s="4" t="n">
        <f aca="false">(H6-G6)*Assumptions!$B$23/100</f>
        <v>-35.2334572100912</v>
      </c>
      <c r="I18" s="4" t="n">
        <f aca="false">(I6-H6)*Assumptions!$B$23/100</f>
        <v>-53.3786876732873</v>
      </c>
      <c r="J18" s="4" t="n">
        <f aca="false">(J6-I6)*Assumptions!$B$23/100</f>
        <v>-54.1793679883865</v>
      </c>
      <c r="K18" s="4" t="n">
        <f aca="false">(K6-J6)*Assumptions!$B$23/100</f>
        <v>-54.9920585082125</v>
      </c>
      <c r="L18" s="4" t="n">
        <f aca="false">(L6-K6)*Assumptions!$B$23/100</f>
        <v>-55.8169393858358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4698.7482</v>
      </c>
      <c r="D19" s="0" t="n">
        <f aca="false">D15+D16+D17+D18</f>
        <v>4150.702038</v>
      </c>
      <c r="E19" s="0" t="n">
        <f aca="false">E15+E16+E17+E18</f>
        <v>3789.37660626</v>
      </c>
      <c r="F19" s="0" t="n">
        <f aca="false">F15+F16+F17+F18</f>
        <v>3628.08633194595</v>
      </c>
      <c r="G19" s="0" t="n">
        <f aca="false">G15+G16+G17+G18</f>
        <v>3600.03372440862</v>
      </c>
      <c r="H19" s="0" t="n">
        <f aca="false">H15+H16+H17+H18</f>
        <v>3630.10309635568</v>
      </c>
      <c r="I19" s="0" t="n">
        <f aca="false">I15+I16+I17+I18</f>
        <v>3666.93791419597</v>
      </c>
      <c r="J19" s="0" t="n">
        <f aca="false">J15+J16+J17+J18</f>
        <v>3721.94198290891</v>
      </c>
      <c r="K19" s="0" t="n">
        <f aca="false">K15+K16+K17+K18</f>
        <v>3777.77111265254</v>
      </c>
      <c r="L19" s="0" t="n">
        <f aca="false">L15+L16+L17+L18</f>
        <v>3834.43767934233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4411.97014084507</v>
      </c>
      <c r="D21" s="0" t="n">
        <f aca="false">D19*D20</f>
        <v>3659.50498181578</v>
      </c>
      <c r="E21" s="0" t="n">
        <f aca="false">E19*E20</f>
        <v>3137.0319819918</v>
      </c>
      <c r="F21" s="0" t="n">
        <f aca="false">F19*F20</f>
        <v>2820.19528158146</v>
      </c>
      <c r="G21" s="0" t="n">
        <f aca="false">G19*G20</f>
        <v>2627.59562627501</v>
      </c>
      <c r="H21" s="0" t="n">
        <f aca="false">H19*H20</f>
        <v>2487.83350669051</v>
      </c>
      <c r="I21" s="0" t="n">
        <f aca="false">I19*I20</f>
        <v>2359.69733719831</v>
      </c>
      <c r="J21" s="0" t="n">
        <f aca="false">J19*J20</f>
        <v>2248.91342465379</v>
      </c>
      <c r="K21" s="0" t="n">
        <f aca="false">K19*K20</f>
        <v>2143.33063476394</v>
      </c>
      <c r="L21" s="0" t="n">
        <f aca="false">L19*L20</f>
        <v>2042.70478336657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3.3</v>
      </c>
      <c r="D23" s="4" t="n">
        <f aca="false">Assumptions!D16</f>
        <v>3.4</v>
      </c>
      <c r="E23" s="4" t="n">
        <f aca="false">Assumptions!E16</f>
        <v>3.4</v>
      </c>
      <c r="F23" s="4" t="n">
        <f aca="false">Assumptions!F16</f>
        <v>3.4</v>
      </c>
      <c r="G23" s="4" t="n">
        <f aca="false">Assumptions!G16</f>
        <v>3.4</v>
      </c>
      <c r="H23" s="4" t="n">
        <f aca="false">Assumptions!H16</f>
        <v>3.4</v>
      </c>
      <c r="I23" s="4" t="n">
        <f aca="false">Assumptions!I16</f>
        <v>3.4</v>
      </c>
      <c r="J23" s="4" t="n">
        <f aca="false">Assumptions!J16</f>
        <v>3.4</v>
      </c>
      <c r="K23" s="4" t="n">
        <f aca="false">Assumptions!K16</f>
        <v>3.4</v>
      </c>
      <c r="L23" s="4" t="n">
        <f aca="false">Assumptions!L16</f>
        <v>3.4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-752.3208</v>
      </c>
      <c r="D24" s="0" t="n">
        <f aca="false">-D6*D23/100</f>
        <v>-782.869584</v>
      </c>
      <c r="E24" s="0" t="n">
        <f aca="false">-E6*E23/100</f>
        <v>-786.78393192</v>
      </c>
      <c r="F24" s="0" t="n">
        <f aca="false">-F6*F23/100</f>
        <v>-790.7178515796</v>
      </c>
      <c r="G24" s="0" t="n">
        <f aca="false">-G6*G23/100</f>
        <v>-798.625030095396</v>
      </c>
      <c r="H24" s="0" t="n">
        <f aca="false">-H6*H23/100</f>
        <v>-806.61128039635</v>
      </c>
      <c r="I24" s="0" t="n">
        <f aca="false">-I6*I23/100</f>
        <v>-818.710449602295</v>
      </c>
      <c r="J24" s="0" t="n">
        <f aca="false">-J6*J23/100</f>
        <v>-830.991106346329</v>
      </c>
      <c r="K24" s="0" t="n">
        <f aca="false">-K6*K23/100</f>
        <v>-843.455972941524</v>
      </c>
      <c r="L24" s="0" t="n">
        <f aca="false">-L6*L23/100</f>
        <v>-856.107812535647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27938.7776991823</v>
      </c>
    </row>
    <row r="31" customFormat="false" ht="15" hidden="false" customHeight="false" outlineLevel="0" collapsed="false">
      <c r="A31" s="0" t="s">
        <v>133</v>
      </c>
      <c r="B31" s="0" t="n">
        <f aca="false">L19</f>
        <v>3834.43767934233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77839.0848906492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53682.1275107926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53682.1275107926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28597.866967132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56536.6446663143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13666.6446663143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25.3086012339153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-0.403942505089135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765.434154634251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1225.35525378844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28.9952482865499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28829.2907002404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-29.5876143798722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5.5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2.25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21712</v>
      </c>
      <c r="C6" s="0" t="n">
        <f aca="false">B6*(1+C5/100)</f>
        <v>22906.16</v>
      </c>
      <c r="D6" s="0" t="n">
        <f aca="false">C6*(1+D5/100)</f>
        <v>23478.814</v>
      </c>
      <c r="E6" s="0" t="n">
        <f aca="false">D6*(1+E5/100)</f>
        <v>24065.78435</v>
      </c>
      <c r="F6" s="0" t="n">
        <f aca="false">E6*(1+F5/100)</f>
        <v>24667.42895875</v>
      </c>
      <c r="G6" s="0" t="n">
        <f aca="false">F6*(1+G5/100)</f>
        <v>25222.4461103219</v>
      </c>
      <c r="H6" s="0" t="n">
        <f aca="false">G6*(1+H5/100)</f>
        <v>25726.8950325283</v>
      </c>
      <c r="I6" s="0" t="n">
        <f aca="false">H6*(1+I5/100)</f>
        <v>26241.4329331789</v>
      </c>
      <c r="J6" s="0" t="n">
        <f aca="false">I6*(1+J5/100)</f>
        <v>26766.2615918425</v>
      </c>
      <c r="K6" s="0" t="n">
        <f aca="false">J6*(1+K5/100)</f>
        <v>27301.5868236793</v>
      </c>
      <c r="L6" s="0" t="n">
        <f aca="false">K6*(1+L5/100)</f>
        <v>27847.6185601529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42.15</v>
      </c>
      <c r="D7" s="4" t="n">
        <f aca="false">Assumptions!D28</f>
        <v>42.75</v>
      </c>
      <c r="E7" s="4" t="n">
        <f aca="false">Assumptions!E28</f>
        <v>43.35</v>
      </c>
      <c r="F7" s="4" t="n">
        <f aca="false">Assumptions!F28</f>
        <v>43.45</v>
      </c>
      <c r="G7" s="4" t="n">
        <f aca="false">Assumptions!G28</f>
        <v>43.65</v>
      </c>
      <c r="H7" s="4" t="n">
        <f aca="false">Assumptions!H28</f>
        <v>43.65</v>
      </c>
      <c r="I7" s="4" t="n">
        <f aca="false">Assumptions!I28</f>
        <v>43.65</v>
      </c>
      <c r="J7" s="4" t="n">
        <f aca="false">Assumptions!J28</f>
        <v>43.65</v>
      </c>
      <c r="K7" s="4" t="n">
        <f aca="false">Assumptions!K28</f>
        <v>43.65</v>
      </c>
      <c r="L7" s="4" t="n">
        <f aca="false">Assumptions!L28</f>
        <v>43.65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9654.94644</v>
      </c>
      <c r="D8" s="0" t="n">
        <f aca="false">D6*D7/100</f>
        <v>10037.192985</v>
      </c>
      <c r="E8" s="0" t="n">
        <f aca="false">E6*E7/100</f>
        <v>10432.517515725</v>
      </c>
      <c r="F8" s="0" t="n">
        <f aca="false">F6*F7/100</f>
        <v>10717.9978825769</v>
      </c>
      <c r="G8" s="0" t="n">
        <f aca="false">G6*G7/100</f>
        <v>11009.5977271555</v>
      </c>
      <c r="H8" s="0" t="n">
        <f aca="false">H6*H7/100</f>
        <v>11229.7896816986</v>
      </c>
      <c r="I8" s="0" t="n">
        <f aca="false">I6*I7/100</f>
        <v>11454.3854753326</v>
      </c>
      <c r="J8" s="0" t="n">
        <f aca="false">J6*J7/100</f>
        <v>11683.4731848392</v>
      </c>
      <c r="K8" s="0" t="n">
        <f aca="false">K6*K7/100</f>
        <v>11917.142648536</v>
      </c>
      <c r="L8" s="0" t="n">
        <f aca="false">L6*L7/100</f>
        <v>12155.4855015067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-103.07772</v>
      </c>
      <c r="D10" s="0" t="n">
        <f aca="false">-D6*D9/100</f>
        <v>-105.654663</v>
      </c>
      <c r="E10" s="0" t="n">
        <f aca="false">-E6*E9/100</f>
        <v>-108.296029575</v>
      </c>
      <c r="F10" s="0" t="n">
        <f aca="false">-F6*F9/100</f>
        <v>-111.003430314375</v>
      </c>
      <c r="G10" s="0" t="n">
        <f aca="false">-G6*G9/100</f>
        <v>-113.501007496448</v>
      </c>
      <c r="H10" s="0" t="n">
        <f aca="false">-H6*H9/100</f>
        <v>-115.771027646377</v>
      </c>
      <c r="I10" s="0" t="n">
        <f aca="false">-I6*I9/100</f>
        <v>-118.086448199305</v>
      </c>
      <c r="J10" s="0" t="n">
        <f aca="false">-J6*J9/100</f>
        <v>-120.448177163291</v>
      </c>
      <c r="K10" s="0" t="n">
        <f aca="false">-K6*K9/100</f>
        <v>-122.857140706557</v>
      </c>
      <c r="L10" s="0" t="n">
        <f aca="false">-L6*L9/100</f>
        <v>-125.314283520688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8795.96544</v>
      </c>
      <c r="D11" s="0" t="n">
        <f aca="false">D8+D10+D24</f>
        <v>9156.73746</v>
      </c>
      <c r="E11" s="0" t="n">
        <f aca="false">E8+E10+E24</f>
        <v>9530.0506026</v>
      </c>
      <c r="F11" s="0" t="n">
        <f aca="false">F8+F10+F24</f>
        <v>9792.96929662375</v>
      </c>
      <c r="G11" s="0" t="n">
        <f aca="false">G8+G10+G24</f>
        <v>10063.7559980184</v>
      </c>
      <c r="H11" s="0" t="n">
        <f aca="false">H8+H10+H24</f>
        <v>10265.0311179788</v>
      </c>
      <c r="I11" s="0" t="n">
        <f aca="false">I8+I10+I24</f>
        <v>10470.3317403384</v>
      </c>
      <c r="J11" s="0" t="n">
        <f aca="false">J8+J10+J24</f>
        <v>10679.7383751451</v>
      </c>
      <c r="K11" s="0" t="n">
        <f aca="false">K8+K10+K24</f>
        <v>10893.333142648</v>
      </c>
      <c r="L11" s="0" t="n">
        <f aca="false">L8+L10+L24</f>
        <v>11111.199805501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-3894.0472</v>
      </c>
      <c r="D12" s="4" t="n">
        <f aca="false">-D6*Assumptions!D31/100</f>
        <v>-3944.440752</v>
      </c>
      <c r="E12" s="4" t="n">
        <f aca="false">-E6*Assumptions!E31/100</f>
        <v>-3970.85441775</v>
      </c>
      <c r="F12" s="4" t="n">
        <f aca="false">-F6*Assumptions!F31/100</f>
        <v>-3996.1234913175</v>
      </c>
      <c r="G12" s="4" t="n">
        <f aca="false">-G6*Assumptions!G31/100</f>
        <v>-4035.5913776515</v>
      </c>
      <c r="H12" s="4" t="n">
        <f aca="false">-H6*Assumptions!H31/100</f>
        <v>-4064.84941513947</v>
      </c>
      <c r="I12" s="4" t="n">
        <f aca="false">-I6*Assumptions!I31/100</f>
        <v>-4093.6635375759</v>
      </c>
      <c r="J12" s="4" t="n">
        <f aca="false">-J6*Assumptions!J31/100</f>
        <v>-4148.77054673558</v>
      </c>
      <c r="K12" s="4" t="n">
        <f aca="false">-K6*Assumptions!K31/100</f>
        <v>-4231.74595767029</v>
      </c>
      <c r="L12" s="4" t="n">
        <f aca="false">-L6*Assumptions!L31/100</f>
        <v>-4316.3808768237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4901.91824</v>
      </c>
      <c r="D13" s="0" t="n">
        <f aca="false">D11+D12</f>
        <v>5212.296708</v>
      </c>
      <c r="E13" s="0" t="n">
        <f aca="false">E11+E12</f>
        <v>5559.19618485</v>
      </c>
      <c r="F13" s="0" t="n">
        <f aca="false">F11+F12</f>
        <v>5796.84580530625</v>
      </c>
      <c r="G13" s="0" t="n">
        <f aca="false">G11+G12</f>
        <v>6028.16462036693</v>
      </c>
      <c r="H13" s="0" t="n">
        <f aca="false">H11+H12</f>
        <v>6200.18170283932</v>
      </c>
      <c r="I13" s="0" t="n">
        <f aca="false">I11+I12</f>
        <v>6376.66820276247</v>
      </c>
      <c r="J13" s="0" t="n">
        <f aca="false">J11+J12</f>
        <v>6530.96782840956</v>
      </c>
      <c r="K13" s="0" t="n">
        <f aca="false">K11+K12</f>
        <v>6661.58718497775</v>
      </c>
      <c r="L13" s="0" t="n">
        <f aca="false">L11+L12</f>
        <v>6794.81892867731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3676.43868</v>
      </c>
      <c r="D15" s="0" t="n">
        <f aca="false">D13-MAX(0,D13)*D14/100</f>
        <v>3909.222531</v>
      </c>
      <c r="E15" s="0" t="n">
        <f aca="false">E13-MAX(0,E13)*E14/100</f>
        <v>4169.3971386375</v>
      </c>
      <c r="F15" s="0" t="n">
        <f aca="false">F13-MAX(0,F13)*F14/100</f>
        <v>4347.63435397969</v>
      </c>
      <c r="G15" s="0" t="n">
        <f aca="false">G13-MAX(0,G13)*G14/100</f>
        <v>4521.1234652752</v>
      </c>
      <c r="H15" s="0" t="n">
        <f aca="false">H13-MAX(0,H13)*H14/100</f>
        <v>4650.13627712949</v>
      </c>
      <c r="I15" s="0" t="n">
        <f aca="false">I13-MAX(0,I13)*I14/100</f>
        <v>4782.50115207185</v>
      </c>
      <c r="J15" s="0" t="n">
        <f aca="false">J13-MAX(0,J13)*J14/100</f>
        <v>4898.22587130717</v>
      </c>
      <c r="K15" s="0" t="n">
        <f aca="false">K13-MAX(0,K13)*K14/100</f>
        <v>4996.19038873331</v>
      </c>
      <c r="L15" s="0" t="n">
        <f aca="false">L13-MAX(0,L13)*L14/100</f>
        <v>5096.11419650798</v>
      </c>
    </row>
    <row r="16" customFormat="false" ht="15" hidden="false" customHeight="false" outlineLevel="0" collapsed="false">
      <c r="A16" s="0" t="s">
        <v>124</v>
      </c>
      <c r="C16" s="0" t="n">
        <f aca="false">-C12</f>
        <v>3894.0472</v>
      </c>
      <c r="D16" s="0" t="n">
        <f aca="false">-D12</f>
        <v>3944.440752</v>
      </c>
      <c r="E16" s="0" t="n">
        <f aca="false">-E12</f>
        <v>3970.85441775</v>
      </c>
      <c r="F16" s="0" t="n">
        <f aca="false">-F12</f>
        <v>3996.1234913175</v>
      </c>
      <c r="G16" s="0" t="n">
        <f aca="false">-G12</f>
        <v>4035.5913776515</v>
      </c>
      <c r="H16" s="0" t="n">
        <f aca="false">-H12</f>
        <v>4064.84941513947</v>
      </c>
      <c r="I16" s="0" t="n">
        <f aca="false">-I12</f>
        <v>4093.6635375759</v>
      </c>
      <c r="J16" s="0" t="n">
        <f aca="false">-J12</f>
        <v>4148.77054673558</v>
      </c>
      <c r="K16" s="0" t="n">
        <f aca="false">-K12</f>
        <v>4231.74595767029</v>
      </c>
      <c r="L16" s="0" t="n">
        <f aca="false">-L12</f>
        <v>4316.3808768237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-2634.2084</v>
      </c>
      <c r="D17" s="4" t="n">
        <f aca="false">-D6*Assumptions!D32/100</f>
        <v>-3287.03396</v>
      </c>
      <c r="E17" s="4" t="n">
        <f aca="false">-E6*Assumptions!E32/100</f>
        <v>-3609.8676525</v>
      </c>
      <c r="F17" s="4" t="n">
        <f aca="false">-F6*Assumptions!F32/100</f>
        <v>-3823.45148860625</v>
      </c>
      <c r="G17" s="4" t="n">
        <f aca="false">-G6*Assumptions!G32/100</f>
        <v>-3909.47914709989</v>
      </c>
      <c r="H17" s="4" t="n">
        <f aca="false">-H6*Assumptions!H32/100</f>
        <v>-3987.66873004189</v>
      </c>
      <c r="I17" s="4" t="n">
        <f aca="false">-I6*Assumptions!I32/100</f>
        <v>-4067.42210464273</v>
      </c>
      <c r="J17" s="4" t="n">
        <f aca="false">-J6*Assumptions!J32/100</f>
        <v>-4148.77054673558</v>
      </c>
      <c r="K17" s="4" t="n">
        <f aca="false">-K6*Assumptions!K32/100</f>
        <v>-4231.74595767029</v>
      </c>
      <c r="L17" s="4" t="n">
        <f aca="false">-L6*Assumptions!L32/100</f>
        <v>-4316.3808768237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-179.124</v>
      </c>
      <c r="D18" s="4" t="n">
        <f aca="false">(D6-C6)*Assumptions!$B$37/100</f>
        <v>-85.8980999999998</v>
      </c>
      <c r="E18" s="4" t="n">
        <f aca="false">(E6-D6)*Assumptions!$B$37/100</f>
        <v>-88.0455524999999</v>
      </c>
      <c r="F18" s="4" t="n">
        <f aca="false">(F6-E6)*Assumptions!$B$37/100</f>
        <v>-90.2466913124996</v>
      </c>
      <c r="G18" s="4" t="n">
        <f aca="false">(G6-F6)*Assumptions!$B$37/100</f>
        <v>-83.2525727357814</v>
      </c>
      <c r="H18" s="4" t="n">
        <f aca="false">(H6-G6)*Assumptions!$B$37/100</f>
        <v>-75.6673383309655</v>
      </c>
      <c r="I18" s="4" t="n">
        <f aca="false">(I6-H6)*Assumptions!$B$37/100</f>
        <v>-77.1806850975852</v>
      </c>
      <c r="J18" s="4" t="n">
        <f aca="false">(J6-I6)*Assumptions!$B$37/100</f>
        <v>-78.7242987995365</v>
      </c>
      <c r="K18" s="4" t="n">
        <f aca="false">(K6-J6)*Assumptions!$B$37/100</f>
        <v>-80.2987847755276</v>
      </c>
      <c r="L18" s="4" t="n">
        <f aca="false">(L6-K6)*Assumptions!$B$37/100</f>
        <v>-81.9047604710379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4757.15348</v>
      </c>
      <c r="D19" s="0" t="n">
        <f aca="false">D15+D16+D17+D18</f>
        <v>4480.731223</v>
      </c>
      <c r="E19" s="0" t="n">
        <f aca="false">E15+E16+E17+E18</f>
        <v>4442.3383513875</v>
      </c>
      <c r="F19" s="0" t="n">
        <f aca="false">F15+F16+F17+F18</f>
        <v>4430.05966537844</v>
      </c>
      <c r="G19" s="0" t="n">
        <f aca="false">G15+G16+G17+G18</f>
        <v>4563.98312309102</v>
      </c>
      <c r="H19" s="0" t="n">
        <f aca="false">H15+H16+H17+H18</f>
        <v>4651.64962389611</v>
      </c>
      <c r="I19" s="0" t="n">
        <f aca="false">I15+I16+I17+I18</f>
        <v>4731.56189990744</v>
      </c>
      <c r="J19" s="0" t="n">
        <f aca="false">J15+J16+J17+J18</f>
        <v>4819.50157250763</v>
      </c>
      <c r="K19" s="0" t="n">
        <f aca="false">K15+K16+K17+K18</f>
        <v>4915.89160395778</v>
      </c>
      <c r="L19" s="0" t="n">
        <f aca="false">L15+L16+L17+L18</f>
        <v>5014.20943603694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4466.81077934272</v>
      </c>
      <c r="D21" s="0" t="n">
        <f aca="false">D19*D20</f>
        <v>3950.4782763561</v>
      </c>
      <c r="E21" s="0" t="n">
        <f aca="false">E19*E20</f>
        <v>3677.58576967769</v>
      </c>
      <c r="F21" s="0" t="n">
        <f aca="false">F19*F20</f>
        <v>3443.58767194042</v>
      </c>
      <c r="G21" s="0" t="n">
        <f aca="false">G19*G20</f>
        <v>3331.1638197492</v>
      </c>
      <c r="H21" s="0" t="n">
        <f aca="false">H19*H20</f>
        <v>3187.93419595463</v>
      </c>
      <c r="I21" s="0" t="n">
        <f aca="false">I19*I20</f>
        <v>3044.7894884658</v>
      </c>
      <c r="J21" s="0" t="n">
        <f aca="false">J19*J20</f>
        <v>2912.0931589808</v>
      </c>
      <c r="K21" s="0" t="n">
        <f aca="false">K19*K20</f>
        <v>2789.04696916471</v>
      </c>
      <c r="L21" s="0" t="n">
        <f aca="false">L19*L20</f>
        <v>2671.19991412959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3.3</v>
      </c>
      <c r="D23" s="4" t="n">
        <f aca="false">Assumptions!D30</f>
        <v>3.3</v>
      </c>
      <c r="E23" s="4" t="n">
        <f aca="false">Assumptions!E30</f>
        <v>3.3</v>
      </c>
      <c r="F23" s="4" t="n">
        <f aca="false">Assumptions!F30</f>
        <v>3.3</v>
      </c>
      <c r="G23" s="4" t="n">
        <f aca="false">Assumptions!G30</f>
        <v>3.3</v>
      </c>
      <c r="H23" s="4" t="n">
        <f aca="false">Assumptions!H30</f>
        <v>3.3</v>
      </c>
      <c r="I23" s="4" t="n">
        <f aca="false">Assumptions!I30</f>
        <v>3.3</v>
      </c>
      <c r="J23" s="4" t="n">
        <f aca="false">Assumptions!J30</f>
        <v>3.3</v>
      </c>
      <c r="K23" s="4" t="n">
        <f aca="false">Assumptions!K30</f>
        <v>3.3</v>
      </c>
      <c r="L23" s="4" t="n">
        <f aca="false">Assumptions!L30</f>
        <v>3.3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-755.90328</v>
      </c>
      <c r="D24" s="0" t="n">
        <f aca="false">-D6*D23/100</f>
        <v>-774.800862</v>
      </c>
      <c r="E24" s="0" t="n">
        <f aca="false">-E6*E23/100</f>
        <v>-794.17088355</v>
      </c>
      <c r="F24" s="0" t="n">
        <f aca="false">-F6*F23/100</f>
        <v>-814.02515563875</v>
      </c>
      <c r="G24" s="0" t="n">
        <f aca="false">-G6*G23/100</f>
        <v>-832.340721640622</v>
      </c>
      <c r="H24" s="0" t="n">
        <f aca="false">-H6*H23/100</f>
        <v>-848.987536073434</v>
      </c>
      <c r="I24" s="0" t="n">
        <f aca="false">-I6*I23/100</f>
        <v>-865.967286794903</v>
      </c>
      <c r="J24" s="0" t="n">
        <f aca="false">-J6*J23/100</f>
        <v>-883.286632530801</v>
      </c>
      <c r="K24" s="0" t="n">
        <f aca="false">-K6*K23/100</f>
        <v>-900.952365181417</v>
      </c>
      <c r="L24" s="0" t="n">
        <f aca="false">-L6*L23/100</f>
        <v>-918.971412485045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33474.6900437617</v>
      </c>
    </row>
    <row r="31" customFormat="false" ht="15" hidden="false" customHeight="false" outlineLevel="0" collapsed="false">
      <c r="A31" s="0" t="s">
        <v>133</v>
      </c>
      <c r="B31" s="0" t="n">
        <f aca="false">L19</f>
        <v>5014.20943603694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113655.413883504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85241.560412628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85241.560412628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45410.398540203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78885.0885839647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36015.0885839647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66.6946084888234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0.570763271050952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813.289835980675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1513.18544629229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71.0028960485882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39342.2586519822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-18.3248115619043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6</v>
      </c>
      <c r="D5" s="4" t="n">
        <f aca="false">Assumptions!D41</f>
        <v>3.5</v>
      </c>
      <c r="E5" s="4" t="n">
        <f aca="false">Assumptions!E41</f>
        <v>3.25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2.75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21712</v>
      </c>
      <c r="C6" s="0" t="n">
        <f aca="false">B6*(1+C5/100)</f>
        <v>23014.72</v>
      </c>
      <c r="D6" s="0" t="n">
        <f aca="false">C6*(1+D5/100)</f>
        <v>23820.2352</v>
      </c>
      <c r="E6" s="0" t="n">
        <f aca="false">D6*(1+E5/100)</f>
        <v>24594.392844</v>
      </c>
      <c r="F6" s="0" t="n">
        <f aca="false">E6*(1+F5/100)</f>
        <v>25332.22462932</v>
      </c>
      <c r="G6" s="0" t="n">
        <f aca="false">F6*(1+G5/100)</f>
        <v>26092.1913681996</v>
      </c>
      <c r="H6" s="0" t="n">
        <f aca="false">G6*(1+H5/100)</f>
        <v>26809.7266308251</v>
      </c>
      <c r="I6" s="0" t="n">
        <f aca="false">H6*(1+I5/100)</f>
        <v>27479.9697965957</v>
      </c>
      <c r="J6" s="0" t="n">
        <f aca="false">I6*(1+J5/100)</f>
        <v>28166.9690415106</v>
      </c>
      <c r="K6" s="0" t="n">
        <f aca="false">J6*(1+K5/100)</f>
        <v>28871.1432675484</v>
      </c>
      <c r="L6" s="0" t="n">
        <f aca="false">K6*(1+L5/100)</f>
        <v>29592.9218492371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42.35</v>
      </c>
      <c r="D7" s="4" t="n">
        <f aca="false">Assumptions!D42</f>
        <v>43.45</v>
      </c>
      <c r="E7" s="4" t="n">
        <f aca="false">Assumptions!E42</f>
        <v>44.35</v>
      </c>
      <c r="F7" s="4" t="n">
        <f aca="false">Assumptions!F42</f>
        <v>44.75</v>
      </c>
      <c r="G7" s="4" t="n">
        <f aca="false">Assumptions!G42</f>
        <v>45.15</v>
      </c>
      <c r="H7" s="4" t="n">
        <f aca="false">Assumptions!H42</f>
        <v>45.15</v>
      </c>
      <c r="I7" s="4" t="n">
        <f aca="false">Assumptions!I42</f>
        <v>45.15</v>
      </c>
      <c r="J7" s="4" t="n">
        <f aca="false">Assumptions!J42</f>
        <v>45.15</v>
      </c>
      <c r="K7" s="4" t="n">
        <f aca="false">Assumptions!K42</f>
        <v>45.15</v>
      </c>
      <c r="L7" s="4" t="n">
        <f aca="false">Assumptions!L42</f>
        <v>45.15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9746.73392</v>
      </c>
      <c r="D8" s="0" t="n">
        <f aca="false">D6*D7/100</f>
        <v>10349.8921944</v>
      </c>
      <c r="E8" s="0" t="n">
        <f aca="false">E6*E7/100</f>
        <v>10907.613226314</v>
      </c>
      <c r="F8" s="0" t="n">
        <f aca="false">F6*F7/100</f>
        <v>11336.1705216207</v>
      </c>
      <c r="G8" s="0" t="n">
        <f aca="false">G6*G7/100</f>
        <v>11780.6244027421</v>
      </c>
      <c r="H8" s="0" t="n">
        <f aca="false">H6*H7/100</f>
        <v>12104.5915738175</v>
      </c>
      <c r="I8" s="0" t="n">
        <f aca="false">I6*I7/100</f>
        <v>12407.206363163</v>
      </c>
      <c r="J8" s="0" t="n">
        <f aca="false">J6*J7/100</f>
        <v>12717.386522242</v>
      </c>
      <c r="K8" s="0" t="n">
        <f aca="false">K6*K7/100</f>
        <v>13035.3211852981</v>
      </c>
      <c r="L8" s="0" t="n">
        <f aca="false">L6*L7/100</f>
        <v>13361.2042149305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-103.56624</v>
      </c>
      <c r="D10" s="0" t="n">
        <f aca="false">-D6*D9/100</f>
        <v>-107.1910584</v>
      </c>
      <c r="E10" s="0" t="n">
        <f aca="false">-E6*E9/100</f>
        <v>-110.674767798</v>
      </c>
      <c r="F10" s="0" t="n">
        <f aca="false">-F6*F9/100</f>
        <v>-113.99501083194</v>
      </c>
      <c r="G10" s="0" t="n">
        <f aca="false">-G6*G9/100</f>
        <v>-117.414861156898</v>
      </c>
      <c r="H10" s="0" t="n">
        <f aca="false">-H6*H9/100</f>
        <v>-120.643769838713</v>
      </c>
      <c r="I10" s="0" t="n">
        <f aca="false">-I6*I9/100</f>
        <v>-123.659864084681</v>
      </c>
      <c r="J10" s="0" t="n">
        <f aca="false">-J6*J9/100</f>
        <v>-126.751360686798</v>
      </c>
      <c r="K10" s="0" t="n">
        <f aca="false">-K6*K9/100</f>
        <v>-129.920144703968</v>
      </c>
      <c r="L10" s="0" t="n">
        <f aca="false">-L6*L9/100</f>
        <v>-133.168148321567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8883.68192</v>
      </c>
      <c r="D11" s="0" t="n">
        <f aca="false">D8+D10+D24</f>
        <v>9456.6333744</v>
      </c>
      <c r="E11" s="0" t="n">
        <f aca="false">E8+E10+E24</f>
        <v>9985.323494664</v>
      </c>
      <c r="F11" s="0" t="n">
        <f aca="false">F8+F10+F24</f>
        <v>10386.2120980212</v>
      </c>
      <c r="G11" s="0" t="n">
        <f aca="false">G8+G10+G24</f>
        <v>10802.1672264346</v>
      </c>
      <c r="H11" s="0" t="n">
        <f aca="false">H8+H10+H24</f>
        <v>11099.2268251616</v>
      </c>
      <c r="I11" s="0" t="n">
        <f aca="false">I8+I10+I24</f>
        <v>11376.7074957906</v>
      </c>
      <c r="J11" s="0" t="n">
        <f aca="false">J8+J10+J24</f>
        <v>11661.1251831854</v>
      </c>
      <c r="K11" s="0" t="n">
        <f aca="false">K8+K10+K24</f>
        <v>11952.653312765</v>
      </c>
      <c r="L11" s="0" t="n">
        <f aca="false">L8+L10+L24</f>
        <v>12251.4696455842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-3912.5024</v>
      </c>
      <c r="D12" s="4" t="n">
        <f aca="false">-D6*Assumptions!D45/100</f>
        <v>-3954.1590432</v>
      </c>
      <c r="E12" s="4" t="n">
        <f aca="false">-E6*Assumptions!E45/100</f>
        <v>-3984.291640728</v>
      </c>
      <c r="F12" s="4" t="n">
        <f aca="false">-F6*Assumptions!F45/100</f>
        <v>-4002.49149143256</v>
      </c>
      <c r="G12" s="4" t="n">
        <f aca="false">-G6*Assumptions!G45/100</f>
        <v>-4044.28966207094</v>
      </c>
      <c r="H12" s="4" t="n">
        <f aca="false">-H6*Assumptions!H45/100</f>
        <v>-4075.07844788541</v>
      </c>
      <c r="I12" s="4" t="n">
        <f aca="false">-I6*Assumptions!I45/100</f>
        <v>-4121.99546948936</v>
      </c>
      <c r="J12" s="4" t="n">
        <f aca="false">-J6*Assumptions!J45/100</f>
        <v>-4168.71141814357</v>
      </c>
      <c r="K12" s="4" t="n">
        <f aca="false">-K6*Assumptions!K45/100</f>
        <v>-4215.18691706206</v>
      </c>
      <c r="L12" s="4" t="n">
        <f aca="false">-L6*Assumptions!L45/100</f>
        <v>-4290.97366813938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4971.17952</v>
      </c>
      <c r="D13" s="0" t="n">
        <f aca="false">D11+D12</f>
        <v>5502.4743312</v>
      </c>
      <c r="E13" s="0" t="n">
        <f aca="false">E11+E12</f>
        <v>6001.031853936</v>
      </c>
      <c r="F13" s="0" t="n">
        <f aca="false">F11+F12</f>
        <v>6383.72060658864</v>
      </c>
      <c r="G13" s="0" t="n">
        <f aca="false">G11+G12</f>
        <v>6757.8775643637</v>
      </c>
      <c r="H13" s="0" t="n">
        <f aca="false">H11+H12</f>
        <v>7024.14837727617</v>
      </c>
      <c r="I13" s="0" t="n">
        <f aca="false">I11+I12</f>
        <v>7254.71202630127</v>
      </c>
      <c r="J13" s="0" t="n">
        <f aca="false">J11+J12</f>
        <v>7492.41376504182</v>
      </c>
      <c r="K13" s="0" t="n">
        <f aca="false">K11+K12</f>
        <v>7737.46639570297</v>
      </c>
      <c r="L13" s="0" t="n">
        <f aca="false">L11+L12</f>
        <v>7960.49597744478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3728.38464</v>
      </c>
      <c r="D15" s="0" t="n">
        <f aca="false">D13-MAX(0,D13)*D14/100</f>
        <v>4126.8557484</v>
      </c>
      <c r="E15" s="0" t="n">
        <f aca="false">E13-MAX(0,E13)*E14/100</f>
        <v>4500.773890452</v>
      </c>
      <c r="F15" s="0" t="n">
        <f aca="false">F13-MAX(0,F13)*F14/100</f>
        <v>4787.79045494148</v>
      </c>
      <c r="G15" s="0" t="n">
        <f aca="false">G13-MAX(0,G13)*G14/100</f>
        <v>5068.40817327277</v>
      </c>
      <c r="H15" s="0" t="n">
        <f aca="false">H13-MAX(0,H13)*H14/100</f>
        <v>5268.11128295713</v>
      </c>
      <c r="I15" s="0" t="n">
        <f aca="false">I13-MAX(0,I13)*I14/100</f>
        <v>5441.03401972595</v>
      </c>
      <c r="J15" s="0" t="n">
        <f aca="false">J13-MAX(0,J13)*J14/100</f>
        <v>5619.31032378137</v>
      </c>
      <c r="K15" s="0" t="n">
        <f aca="false">K13-MAX(0,K13)*K14/100</f>
        <v>5803.09979677722</v>
      </c>
      <c r="L15" s="0" t="n">
        <f aca="false">L13-MAX(0,L13)*L14/100</f>
        <v>5970.37198308358</v>
      </c>
    </row>
    <row r="16" customFormat="false" ht="15" hidden="false" customHeight="false" outlineLevel="0" collapsed="false">
      <c r="A16" s="0" t="s">
        <v>124</v>
      </c>
      <c r="C16" s="0" t="n">
        <f aca="false">-C12</f>
        <v>3912.5024</v>
      </c>
      <c r="D16" s="0" t="n">
        <f aca="false">-D12</f>
        <v>3954.1590432</v>
      </c>
      <c r="E16" s="0" t="n">
        <f aca="false">-E12</f>
        <v>3984.291640728</v>
      </c>
      <c r="F16" s="0" t="n">
        <f aca="false">-F12</f>
        <v>4002.49149143256</v>
      </c>
      <c r="G16" s="0" t="n">
        <f aca="false">-G12</f>
        <v>4044.28966207094</v>
      </c>
      <c r="H16" s="0" t="n">
        <f aca="false">-H12</f>
        <v>4075.07844788541</v>
      </c>
      <c r="I16" s="0" t="n">
        <f aca="false">-I12</f>
        <v>4121.99546948936</v>
      </c>
      <c r="J16" s="0" t="n">
        <f aca="false">-J12</f>
        <v>4168.71141814357</v>
      </c>
      <c r="K16" s="0" t="n">
        <f aca="false">-K12</f>
        <v>4215.18691706206</v>
      </c>
      <c r="L16" s="0" t="n">
        <f aca="false">-L12</f>
        <v>4290.97366813938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-2646.6928</v>
      </c>
      <c r="D17" s="4" t="n">
        <f aca="false">-D6*Assumptions!D46/100</f>
        <v>-3096.630576</v>
      </c>
      <c r="E17" s="4" t="n">
        <f aca="false">-E6*Assumptions!E46/100</f>
        <v>-3443.21499816</v>
      </c>
      <c r="F17" s="4" t="n">
        <f aca="false">-F6*Assumptions!F46/100</f>
        <v>-3673.1725712514</v>
      </c>
      <c r="G17" s="4" t="n">
        <f aca="false">-G6*Assumptions!G46/100</f>
        <v>-3783.36774838894</v>
      </c>
      <c r="H17" s="4" t="n">
        <f aca="false">-H6*Assumptions!H46/100</f>
        <v>-3887.41036146964</v>
      </c>
      <c r="I17" s="4" t="n">
        <f aca="false">-I6*Assumptions!I46/100</f>
        <v>-3984.59562050638</v>
      </c>
      <c r="J17" s="4" t="n">
        <f aca="false">-J6*Assumptions!J46/100</f>
        <v>-4084.21051101904</v>
      </c>
      <c r="K17" s="4" t="n">
        <f aca="false">-K6*Assumptions!K46/100</f>
        <v>-4186.31577379451</v>
      </c>
      <c r="L17" s="4" t="n">
        <f aca="false">-L6*Assumptions!L46/100</f>
        <v>-4290.97366813938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-195.408</v>
      </c>
      <c r="D18" s="4" t="n">
        <f aca="false">(D6-C6)*Assumptions!$B$51/100</f>
        <v>-120.82728</v>
      </c>
      <c r="E18" s="4" t="n">
        <f aca="false">(E6-D6)*Assumptions!$B$51/100</f>
        <v>-116.1236466</v>
      </c>
      <c r="F18" s="4" t="n">
        <f aca="false">(F6-E6)*Assumptions!$B$51/100</f>
        <v>-110.674767798</v>
      </c>
      <c r="G18" s="4" t="n">
        <f aca="false">(G6-F6)*Assumptions!$B$51/100</f>
        <v>-113.99501083194</v>
      </c>
      <c r="H18" s="4" t="n">
        <f aca="false">(H6-G6)*Assumptions!$B$51/100</f>
        <v>-107.630289393823</v>
      </c>
      <c r="I18" s="4" t="n">
        <f aca="false">(I6-H6)*Assumptions!$B$51/100</f>
        <v>-100.536474865594</v>
      </c>
      <c r="J18" s="4" t="n">
        <f aca="false">(J6-I6)*Assumptions!$B$51/100</f>
        <v>-103.049886737234</v>
      </c>
      <c r="K18" s="4" t="n">
        <f aca="false">(K6-J6)*Assumptions!$B$51/100</f>
        <v>-105.626133905664</v>
      </c>
      <c r="L18" s="4" t="n">
        <f aca="false">(L6-K6)*Assumptions!$B$51/100</f>
        <v>-108.266787253306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4798.78624</v>
      </c>
      <c r="D19" s="0" t="n">
        <f aca="false">D15+D16+D17+D18</f>
        <v>4863.5569356</v>
      </c>
      <c r="E19" s="0" t="n">
        <f aca="false">E15+E16+E17+E18</f>
        <v>4925.72688642</v>
      </c>
      <c r="F19" s="0" t="n">
        <f aca="false">F15+F16+F17+F18</f>
        <v>5006.43460732464</v>
      </c>
      <c r="G19" s="0" t="n">
        <f aca="false">G15+G16+G17+G18</f>
        <v>5215.33507612283</v>
      </c>
      <c r="H19" s="0" t="n">
        <f aca="false">H15+H16+H17+H18</f>
        <v>5348.14907997908</v>
      </c>
      <c r="I19" s="0" t="n">
        <f aca="false">I15+I16+I17+I18</f>
        <v>5477.89739384334</v>
      </c>
      <c r="J19" s="0" t="n">
        <f aca="false">J15+J16+J17+J18</f>
        <v>5600.76134416867</v>
      </c>
      <c r="K19" s="0" t="n">
        <f aca="false">K15+K16+K17+K18</f>
        <v>5726.34480613911</v>
      </c>
      <c r="L19" s="0" t="n">
        <f aca="false">L15+L16+L17+L18</f>
        <v>5862.10519583027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4505.90257276995</v>
      </c>
      <c r="D21" s="0" t="n">
        <f aca="false">D19*D20</f>
        <v>4288.000119553</v>
      </c>
      <c r="E21" s="0" t="n">
        <f aca="false">E19*E20</f>
        <v>4077.75852939232</v>
      </c>
      <c r="F21" s="0" t="n">
        <f aca="false">F19*F20</f>
        <v>3891.61722332837</v>
      </c>
      <c r="G21" s="0" t="n">
        <f aca="false">G19*G20</f>
        <v>3806.57312809761</v>
      </c>
      <c r="H21" s="0" t="n">
        <f aca="false">H19*H20</f>
        <v>3665.26903693325</v>
      </c>
      <c r="I21" s="0" t="n">
        <f aca="false">I19*I20</f>
        <v>3525.06101716532</v>
      </c>
      <c r="J21" s="0" t="n">
        <f aca="false">J19*J20</f>
        <v>3384.15467866556</v>
      </c>
      <c r="K21" s="0" t="n">
        <f aca="false">K19*K20</f>
        <v>3248.86020942693</v>
      </c>
      <c r="L21" s="0" t="n">
        <f aca="false">L19*L20</f>
        <v>3122.89606077896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3.3</v>
      </c>
      <c r="D23" s="4" t="n">
        <f aca="false">Assumptions!D44</f>
        <v>3.3</v>
      </c>
      <c r="E23" s="4" t="n">
        <f aca="false">Assumptions!E44</f>
        <v>3.3</v>
      </c>
      <c r="F23" s="4" t="n">
        <f aca="false">Assumptions!F44</f>
        <v>3.3</v>
      </c>
      <c r="G23" s="4" t="n">
        <f aca="false">Assumptions!G44</f>
        <v>3.3</v>
      </c>
      <c r="H23" s="4" t="n">
        <f aca="false">Assumptions!H44</f>
        <v>3.3</v>
      </c>
      <c r="I23" s="4" t="n">
        <f aca="false">Assumptions!I44</f>
        <v>3.3</v>
      </c>
      <c r="J23" s="4" t="n">
        <f aca="false">Assumptions!J44</f>
        <v>3.3</v>
      </c>
      <c r="K23" s="4" t="n">
        <f aca="false">Assumptions!K44</f>
        <v>3.3</v>
      </c>
      <c r="L23" s="4" t="n">
        <f aca="false">Assumptions!L44</f>
        <v>3.3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-759.48576</v>
      </c>
      <c r="D24" s="0" t="n">
        <f aca="false">-D6*D23/100</f>
        <v>-786.0677616</v>
      </c>
      <c r="E24" s="0" t="n">
        <f aca="false">-E6*E23/100</f>
        <v>-811.614963852</v>
      </c>
      <c r="F24" s="0" t="n">
        <f aca="false">-F6*F23/100</f>
        <v>-835.96341276756</v>
      </c>
      <c r="G24" s="0" t="n">
        <f aca="false">-G6*G23/100</f>
        <v>-861.042315150587</v>
      </c>
      <c r="H24" s="0" t="n">
        <f aca="false">-H6*H23/100</f>
        <v>-884.720978817228</v>
      </c>
      <c r="I24" s="0" t="n">
        <f aca="false">-I6*I23/100</f>
        <v>-906.839003287659</v>
      </c>
      <c r="J24" s="0" t="n">
        <f aca="false">-J6*J23/100</f>
        <v>-929.50997836985</v>
      </c>
      <c r="K24" s="0" t="n">
        <f aca="false">-K6*K23/100</f>
        <v>-952.747727829096</v>
      </c>
      <c r="L24" s="0" t="n">
        <f aca="false">-L6*L23/100</f>
        <v>-976.566421024824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37516.0925761113</v>
      </c>
    </row>
    <row r="31" customFormat="false" ht="15" hidden="false" customHeight="false" outlineLevel="0" collapsed="false">
      <c r="A31" s="0" t="s">
        <v>133</v>
      </c>
      <c r="B31" s="0" t="n">
        <f aca="false">L19</f>
        <v>5862.10519583027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150216.445643151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105517.893524945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105517.893524945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56212.1290940212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93728.2216701325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50858.2216701325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94.1818919817268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1.21813217102512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841.18016582619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1817.89233014455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99.1061003075985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48069.2626058082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-9.5634649344625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25.3086012339153</v>
      </c>
      <c r="C4" s="0" t="n">
        <f aca="false">B4/Assumptions!$B$2-1</f>
        <v>-0.403942505089135</v>
      </c>
      <c r="D4" s="4" t="n">
        <f aca="false">Assumptions!$B$24</f>
        <v>0.3</v>
      </c>
      <c r="E4" s="4" t="n">
        <f aca="false">DCF_Bear!$B$43</f>
        <v>28.9952482865499</v>
      </c>
      <c r="F4" s="4" t="n">
        <f aca="false">DCF_Bear!$B$47</f>
        <v>-29.5876143798722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66.6946084888234</v>
      </c>
      <c r="C5" s="0" t="n">
        <f aca="false">B5/Assumptions!$B$2-1</f>
        <v>0.570763271050952</v>
      </c>
      <c r="D5" s="4" t="n">
        <f aca="false">Assumptions!$B$38</f>
        <v>0.5</v>
      </c>
      <c r="E5" s="4" t="n">
        <f aca="false">DCF_Base!$B$43</f>
        <v>71.0028960485882</v>
      </c>
      <c r="F5" s="4" t="n">
        <f aca="false">DCF_Base!$B$47</f>
        <v>-18.3248115619043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94.1818919817268</v>
      </c>
      <c r="C6" s="0" t="n">
        <f aca="false">B6/Assumptions!$B$2-1</f>
        <v>1.21813217102512</v>
      </c>
      <c r="D6" s="4" t="n">
        <f aca="false">Assumptions!$B$52</f>
        <v>0.2</v>
      </c>
      <c r="E6" s="4" t="n">
        <f aca="false">DCF_Bull!$B$43</f>
        <v>99.1061003075985</v>
      </c>
      <c r="F6" s="4" t="n">
        <f aca="false">DCF_Bull!$B$47</f>
        <v>-9.5634649344625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59.7762630109317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64.0212425717788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0.289684602862593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-407.923354228734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-19.9513830818063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66.6946084888234</v>
      </c>
      <c r="C15" s="3" t="n">
        <v>6.5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33.0109593700792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19.1173737170183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8.30755456001172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-0.343491523907222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-18.3248115619043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90.5916288348061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90.5916288348061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90.5916288348061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90.5916288348061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90.5916288348061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78.0692887098983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78.0692887098983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78.0692887098983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78.0692887098983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78.0692887098983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66.6946084888234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66.6946084888234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66.6946084888234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66.6946084888234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66.6946084888234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49.7648970837467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55.9741296849262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56.3495716561603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56.3495716561603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56.3495716561603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32.4184433443752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36.6622126497138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41.558869540489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46.9293964529522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46.9293964529522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2026-10-10T09:42:28Z</dcterms:created>
  <dc:creator>openpyxl</dc:creator>
  <dc:description/>
  <dc:language>en-NZ</dc:language>
  <cp:lastModifiedBy/>
  <dcterms:modified xsi:type="dcterms:W3CDTF">2026-10-10T09:42:28Z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