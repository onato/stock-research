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<sst xmlns="http://schemas.openxmlformats.org/spreadsheetml/2006/main" count="355" uniqueCount="165">
  <si>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</si>
  <si>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2727.HK</t>
  </si>
  <si>
    <t xml:space="preserve">Company</t>
  </si>
  <si>
    <t xml:space="preserve">Shanghai Electric Group Company Limited</t>
  </si>
  <si>
    <t xml:space="preserve">Valuation date</t>
  </si>
  <si>
    <t xml:space="preserve">2026-10-22</t>
  </si>
  <si>
    <t xml:space="preserve">Current price</t>
  </si>
  <si>
    <t xml:space="preserve">Price as of</t>
  </si>
  <si>
    <t xml:space="preserve">2026-10-22T03:57:47Z (Yahoo chart API, intraday HK session; 52-week range 2.505-5.33, the print is AT the 52-week low)</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</si>
  <si>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</si>
  <si>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</si>
  <si>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</si>
  <si>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</si>
  <si>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</si>
  <si>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</si>
  <si>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</si>
  <si>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</si>
  <si>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</si>
  <si>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</si>
  <si>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</si>
  <si>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</si>
  <si>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</si>
  <si>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2026-10-22T04:58:46Z</t>
  </si>
  <si>
    <t xml:space="preserve">Drivers file</t>
  </si>
  <si>
    <t xml:space="preserve">2727.HK_Drivers.json</t>
  </si>
  <si>
    <t xml:space="preserve">Convention</t>
  </si>
  <si>
    <t xml:space="preserve">Percents stored as percents; formulas divide by 100. Blue = input, green = link, black = formula.</t>
  </si>
  <si>
    <t xml:space="preserve">Methodology</t>
  </si>
  <si>
    <t xml:space="preserve">summary: Shanghai Electric is valued as a consolidated owner-FCF stream from a thin-margin, float-funded capital-goods business, with the associates and investment portfolio added at book, minorities deducted once at book, and net cash (inclusive of the finance company's bank placements, net of restricted deposits and affiliate deposits) added. The consolidated business generates little free cash before working capital at today's 5% margin and 50%+ cash tax rate, so the valuation is a bet on margin and tax normalisation as the thermal legacy exits, not on growth; the order book supports the near-term revenue path but not a re-rating. Risk is carried in the flows and the 30% bear weight, not in the discount rate, and the terminal multiple is capped at 12x for a chronically low-multiple H share.
key_risks_to_valuation: NCI at book (RMB25.1bn) is the single largest bridge item; if the elevator JV and other high-NCI subsidiaries are worth materially more than book, attributable value is lower than modelled, and vice versa for loss-making NCI subsidiaries; Cash tax rate on EBIT is 50-60% today because of RMB2.1bn/yr of unrelieved subsidiary losses; the base assumes it glides to 30% and that glide is worth most of the gap between the bear and base cases; Impairment charges (RMB2-3bn/yr) are treated as a recurring operating cost; a return to FY2021-scale write-downs (RMB10bn+) would sit below the bear case; Working-capital float: contract liabilities of RMB72bn (54% of revenue) fund the business; an order downturn unwinds it, and the bear's -5% capture may understate how fast; Net cash counts RMB18.4bn of finance-company bank placements and treats RMB6.1bn of affiliate deposits as debt; RMB6.6bn of affiliate loans and RMB24bn of other current assets are not credited; A/H discount of ~65% and SOE governance: no catalyst compels the gap to close, and capital allocation follows national strategy; fx_rate 1.1751 is frozen at the valuation date; a price refresh does not move it</t>
  </si>
  <si>
    <t xml:space="preserve">Data sources</t>
  </si>
  <si>
    <t xml:space="preserve">price: Yahoo Finance chart API for 2727.HK at inputs.price_as_of; 52-week range 2.505-5.33; CNYHKD=X and 601727.SS fetched in the same session for the FX bridge and A/H check
financials: 2727.HK_Annual_FY2025.txt (consolidated balance sheet p.87-88, income statement p.89, cash flow statement p.93-94, notes 5(1) cash, 5(43) other current liabilities, 5(72) income tax reconciliation, 5(74) other financing cash, 5(75) cash-flow supplementary information and cash equivalents); 2727.HK_HalfYear_H1-2026.txt (consolidated balance sheet 30 June 2026 p.27-28, income statement p.29, cash flow, share capital structure, gearing ratio); 2727.HK_Metrics.csv via make dcf-context
qualitative: 2727.HK_Analysis.json (segments, order intake, thermal legacy, bull/bear axes)</t>
  </si>
  <si>
    <t xml:space="preserve">Scenario narrative: bear</t>
  </si>
  <si>
    <t xml:space="preserve">Thermal orders peak, revenue shrinks FY2029-30, margin 4.2-4.6%, cash tax stays &gt;50%, float unwinds; consolidated FCF near zero and the equity is mostly the investments and net cash less minorities.</t>
  </si>
  <si>
    <t xml:space="preserve">Scenario narrative: base</t>
  </si>
  <si>
    <t xml:space="preserve">Order wave converts to 12%/8%/6% revenue growth then fades to 2.5%; adjusted EBITDA margin 5.3% -&gt; 6.0% as thermal legacy exits; cash tax 45% -&gt; 30% as unrecognised losses are absorbed; prepayment float captures 15% of revenue growth; 12x terminal cap binds.</t>
  </si>
  <si>
    <t xml:space="preserve">Scenario narrative: bull</t>
  </si>
  <si>
    <t xml:space="preserve">H1 2026 run-rate holds, nuclear/offshore wind/storage/overseas EPC extend double-digit growth to 2028; margin 7% and 25% statutory cash tax by Y7; float captures 20%.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</si>
  <si>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</si>
  <si>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</si>
  <si>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</si>
  <si>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</si>
  <si>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</si>
  <si>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</si>
  <si>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</si>
  <si>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</si>
  <si>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</si>
  <si>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</si>
  <si>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</si>
  <si>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</si>
  <si>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</si>
  <si>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</si>
  <si>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</si>
  <si>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</si>
  <si>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</si>
  <si>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</si>
  <si>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</si>
  <si>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</si>
  <si>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</si>
  <si>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</si>
  <si>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</si>
  <si>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</si>
  <si>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</si>
  <si>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</si>
  <si>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</si>
  <si>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NetIncomeRestated</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</si>
  <si>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</si>
  <si>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</si>
  <si>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</si>
  <si>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</si>
  <si>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</si>
  <si>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</si>
  <si>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</si>
  <si>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</si>
  <si>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</si>
  <si>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</si>
  <si>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</si>
  <si>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</si>
  <si>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</si>
  <si>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</si>
  <si>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</si>
  <si>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</si>
  <si>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</si>
  <si>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</si>
  <si>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</si>
  <si>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</si>
  <si>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</si>
  <si>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</si>
  <si>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</si>
  <si>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</si>
  <si>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</si>
  <si>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</si>
  <si>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</si>
  <si>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</si>
  <si>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</si>
  <si>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</si>
  <si>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</si>
  <si>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</si>
  <si>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</si>
  <si>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</si>
  <si>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</si>
  <si>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</si>
  <si>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</si>
  <si>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</si>
  <si>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</si>
  <si>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</si>
  <si>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</si>
  <si>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</si>
  <si>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</si>
  <si>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</si>
  <si>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</si>
  <si>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2727.HK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</si>
  <si>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</si>
  <si>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</si>
  <si>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</si>
  <si>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</si>
  <si>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</si>
  <si>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</si>
  <si>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</si>
  <si>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</si>
  <si>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</si>
  <si>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</si>
  <si>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</si>
  <si>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</si>
  <si>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</si>
  <si>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</si>
  <si>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</si>
  <si>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</si>
  <si>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</si>
  <si>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</si>
  <si>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</si>
  <si>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</si>
  <si>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</si>
  <si>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</si>
  <si>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</si>
  <si>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</si>
  <si>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</si>
  <si>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</si>
  <si>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</si>
  <si>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</si>
  <si>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</si>
  <si>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</si>
  <si>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2727.HK owner-FCF component DCF: base case (millions, CNY)</t>
  </si>
  <si>
    <t xml:space="preserve">2727.HK owner-FCF component DCF: bull case (millions, CNY)</t>
  </si>
  <si>
    <t xml:space="preserve">2727.HK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</si>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</sst>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2.505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101157.5</v>
      </c>
      <c r="C2" s="0" t="n">
        <v>82707.8</v>
      </c>
      <c r="D2" s="0" t="n">
        <v>18449.8</v>
      </c>
      <c r="E2" s="0" t="n">
        <v>18.2</v>
      </c>
      <c r="F2" s="0" t="n">
        <v>6281.5</v>
      </c>
      <c r="G2" s="0" t="n">
        <v>6.2</v>
      </c>
      <c r="I2" s="0" t="n">
        <v>2980.5</v>
      </c>
      <c r="J2" s="0" t="n">
        <v>2.9</v>
      </c>
      <c r="K2" s="0" t="n">
        <v>0.2</v>
      </c>
      <c r="L2" s="0" t="n">
        <v>5806.6</v>
      </c>
      <c r="M2" s="0" t="n">
        <v>3364.1</v>
      </c>
      <c r="N2" s="0" t="n">
        <v>2442.4</v>
      </c>
      <c r="O2" s="0" t="n">
        <v>57290.2</v>
      </c>
      <c r="P2" s="0" t="n">
        <v>218521.9</v>
      </c>
      <c r="Q2" s="0" t="n">
        <v>144885.2</v>
      </c>
      <c r="R2" s="0" t="n">
        <v>32689.2</v>
      </c>
      <c r="S2" s="0" t="n">
        <v>31842.1</v>
      </c>
      <c r="T2" s="0" t="n">
        <v>14725.2</v>
      </c>
      <c r="AA2" s="0" t="s">
        <v>18</v>
      </c>
      <c r="AB2" s="0" t="s">
        <v>14</v>
      </c>
    </row>
    <row r="3" customFormat="false" ht="15" hidden="false" customHeight="false" outlineLevel="0" collapsed="false">
      <c r="A3" s="0" t="s">
        <v>66</v>
      </c>
      <c r="B3" s="0" t="n">
        <v>127509</v>
      </c>
      <c r="C3" s="0" t="n">
        <v>105518.5</v>
      </c>
      <c r="D3" s="0" t="n">
        <v>21990.5</v>
      </c>
      <c r="E3" s="0" t="n">
        <v>17.2</v>
      </c>
      <c r="F3" s="0" t="n">
        <v>7816.3</v>
      </c>
      <c r="G3" s="0" t="n">
        <v>6.1</v>
      </c>
      <c r="I3" s="0" t="n">
        <v>3719.8</v>
      </c>
      <c r="J3" s="0" t="n">
        <v>2.9</v>
      </c>
      <c r="K3" s="0" t="n">
        <v>0.25</v>
      </c>
      <c r="L3" s="0" t="n">
        <v>10505.1</v>
      </c>
      <c r="M3" s="0" t="n">
        <v>6689.4</v>
      </c>
      <c r="N3" s="0" t="n">
        <v>3815.7</v>
      </c>
      <c r="O3" s="0" t="n">
        <v>63345.9</v>
      </c>
      <c r="P3" s="0" t="n">
        <v>280523.6</v>
      </c>
      <c r="Q3" s="0" t="n">
        <v>188934.4</v>
      </c>
      <c r="R3" s="0" t="n">
        <v>43276.8</v>
      </c>
      <c r="S3" s="0" t="n">
        <v>42431.5</v>
      </c>
      <c r="T3" s="0" t="n">
        <v>15152.5</v>
      </c>
      <c r="AA3" s="0" t="s">
        <v>18</v>
      </c>
      <c r="AB3" s="0" t="s">
        <v>14</v>
      </c>
    </row>
    <row r="4" customFormat="false" ht="15" hidden="false" customHeight="false" outlineLevel="0" collapsed="false">
      <c r="A4" s="0" t="s">
        <v>67</v>
      </c>
      <c r="B4" s="0" t="n">
        <v>137285.1</v>
      </c>
      <c r="C4" s="0" t="n">
        <v>114199</v>
      </c>
      <c r="D4" s="0" t="n">
        <v>23086</v>
      </c>
      <c r="E4" s="0" t="n">
        <v>16.8</v>
      </c>
      <c r="F4" s="0" t="n">
        <v>6063</v>
      </c>
      <c r="G4" s="0" t="n">
        <v>4.4</v>
      </c>
      <c r="I4" s="0" t="n">
        <v>3758.2</v>
      </c>
      <c r="J4" s="0" t="n">
        <v>2.7</v>
      </c>
      <c r="K4" s="0" t="n">
        <v>0.25</v>
      </c>
      <c r="L4" s="0" t="n">
        <v>4696.2</v>
      </c>
      <c r="M4" s="0" t="n">
        <v>6408.9</v>
      </c>
      <c r="N4" s="0" t="n">
        <v>-1712.7</v>
      </c>
      <c r="O4" s="0" t="n">
        <v>66400.8</v>
      </c>
      <c r="P4" s="0" t="n">
        <v>315402.7</v>
      </c>
      <c r="Q4" s="0" t="n">
        <v>208553.4</v>
      </c>
      <c r="R4" s="0" t="n">
        <v>44159.3</v>
      </c>
      <c r="S4" s="0" t="n">
        <v>24243.8</v>
      </c>
      <c r="T4" s="0" t="n">
        <v>15181.4</v>
      </c>
      <c r="AA4" s="0" t="s">
        <v>18</v>
      </c>
      <c r="AB4" s="0" t="s">
        <v>14</v>
      </c>
    </row>
    <row r="5" customFormat="false" ht="15" hidden="false" customHeight="false" outlineLevel="0" collapsed="false">
      <c r="A5" s="0" t="s">
        <v>68</v>
      </c>
      <c r="B5" s="0" t="n">
        <v>131387.9</v>
      </c>
      <c r="C5" s="0" t="n">
        <v>111482.8</v>
      </c>
      <c r="D5" s="0" t="n">
        <v>19905.1</v>
      </c>
      <c r="E5" s="0" t="n">
        <v>15.1</v>
      </c>
      <c r="F5" s="0" t="n">
        <v>-10838.5</v>
      </c>
      <c r="G5" s="0" t="n">
        <v>-8.2</v>
      </c>
      <c r="I5" s="0" t="n">
        <v>-9987.9</v>
      </c>
      <c r="J5" s="0" t="n">
        <v>-7.6</v>
      </c>
      <c r="K5" s="0" t="n">
        <v>-0.64</v>
      </c>
      <c r="L5" s="0" t="n">
        <v>-10554</v>
      </c>
      <c r="M5" s="0" t="n">
        <v>4308.9</v>
      </c>
      <c r="N5" s="0" t="n">
        <v>-14862.9</v>
      </c>
      <c r="O5" s="0" t="n">
        <v>58134.3</v>
      </c>
      <c r="P5" s="0" t="n">
        <v>300802.2</v>
      </c>
      <c r="Q5" s="0" t="n">
        <v>202657.8</v>
      </c>
      <c r="R5" s="0" t="n">
        <v>46446.6</v>
      </c>
      <c r="S5" s="0" t="n">
        <v>25359.2</v>
      </c>
      <c r="T5" s="0" t="n">
        <v>15706</v>
      </c>
      <c r="AA5" s="0" t="s">
        <v>18</v>
      </c>
      <c r="AB5" s="0" t="s">
        <v>14</v>
      </c>
    </row>
    <row r="6" customFormat="false" ht="15" hidden="false" customHeight="false" outlineLevel="0" collapsed="false">
      <c r="A6" s="0" t="s">
        <v>69</v>
      </c>
      <c r="B6" s="0" t="n">
        <v>117623.1</v>
      </c>
      <c r="C6" s="0" t="n">
        <v>98496.9</v>
      </c>
      <c r="D6" s="0" t="n">
        <v>19126.2</v>
      </c>
      <c r="E6" s="0" t="n">
        <v>16.3</v>
      </c>
      <c r="F6" s="0" t="n">
        <v>-2024.5</v>
      </c>
      <c r="G6" s="0" t="n">
        <v>-1.7</v>
      </c>
      <c r="I6" s="0" t="n">
        <v>-3566.5</v>
      </c>
      <c r="J6" s="0" t="n">
        <v>-3</v>
      </c>
      <c r="K6" s="0" t="n">
        <v>-0.228</v>
      </c>
      <c r="L6" s="0" t="n">
        <v>8482.8</v>
      </c>
      <c r="M6" s="0" t="n">
        <v>4045.1</v>
      </c>
      <c r="N6" s="0" t="n">
        <v>4437.7</v>
      </c>
      <c r="O6" s="0" t="n">
        <v>54862.3</v>
      </c>
      <c r="P6" s="0" t="n">
        <v>288020.9</v>
      </c>
      <c r="Q6" s="0" t="n">
        <v>193826.7</v>
      </c>
      <c r="R6" s="0" t="n">
        <v>40177.6</v>
      </c>
      <c r="S6" s="0" t="n">
        <v>26344.5</v>
      </c>
      <c r="T6" s="0" t="n">
        <v>15579.8</v>
      </c>
      <c r="AA6" s="0" t="s">
        <v>18</v>
      </c>
      <c r="AB6" s="0" t="s">
        <v>14</v>
      </c>
    </row>
    <row r="7" customFormat="false" ht="15" hidden="false" customHeight="false" outlineLevel="0" collapsed="false">
      <c r="A7" s="0" t="s">
        <v>70</v>
      </c>
      <c r="B7" s="0" t="n">
        <v>114797.1</v>
      </c>
      <c r="C7" s="0" t="n">
        <v>93117.3</v>
      </c>
      <c r="D7" s="0" t="n">
        <v>21679.8</v>
      </c>
      <c r="E7" s="0" t="n">
        <v>18.9</v>
      </c>
      <c r="F7" s="0" t="n">
        <v>3355.1</v>
      </c>
      <c r="G7" s="0" t="n">
        <v>2.9</v>
      </c>
      <c r="I7" s="0" t="n">
        <v>285.2</v>
      </c>
      <c r="J7" s="0" t="n">
        <v>0.2</v>
      </c>
      <c r="K7" s="0" t="n">
        <v>0.018</v>
      </c>
      <c r="L7" s="0" t="n">
        <v>7796.7</v>
      </c>
      <c r="M7" s="0" t="n">
        <v>4228.5</v>
      </c>
      <c r="N7" s="0" t="n">
        <v>3568.2</v>
      </c>
      <c r="O7" s="0" t="n">
        <v>52797.9</v>
      </c>
      <c r="P7" s="0" t="n">
        <v>283266.6</v>
      </c>
      <c r="Q7" s="0" t="n">
        <v>206339.9</v>
      </c>
      <c r="R7" s="0" t="n">
        <v>46814.3</v>
      </c>
      <c r="S7" s="0" t="n">
        <v>30164.9</v>
      </c>
      <c r="T7" s="0" t="n">
        <v>15579.8</v>
      </c>
      <c r="AA7" s="0" t="s">
        <v>18</v>
      </c>
      <c r="AB7" s="0" t="s">
        <v>14</v>
      </c>
      <c r="AC7" s="0" t="n">
        <v>803.3</v>
      </c>
    </row>
    <row r="8" customFormat="false" ht="15" hidden="false" customHeight="false" outlineLevel="0" collapsed="false">
      <c r="A8" s="0" t="s">
        <v>71</v>
      </c>
      <c r="B8" s="0" t="n">
        <v>116186.1</v>
      </c>
      <c r="C8" s="0" t="n">
        <v>94525.1</v>
      </c>
      <c r="D8" s="0" t="n">
        <v>21661</v>
      </c>
      <c r="E8" s="0" t="n">
        <v>18.6</v>
      </c>
      <c r="F8" s="0" t="n">
        <v>3701.8</v>
      </c>
      <c r="G8" s="0" t="n">
        <v>3.2</v>
      </c>
      <c r="I8" s="0" t="n">
        <v>752.5</v>
      </c>
      <c r="J8" s="0" t="n">
        <v>0.6</v>
      </c>
      <c r="K8" s="0" t="n">
        <v>0.048</v>
      </c>
      <c r="L8" s="0" t="n">
        <v>17638.5</v>
      </c>
      <c r="M8" s="0" t="n">
        <v>4403.2</v>
      </c>
      <c r="N8" s="0" t="n">
        <v>13235.3</v>
      </c>
      <c r="O8" s="0" t="n">
        <v>53189.9</v>
      </c>
      <c r="P8" s="0" t="n">
        <v>302505</v>
      </c>
      <c r="Q8" s="0" t="n">
        <v>225124.7</v>
      </c>
      <c r="R8" s="0" t="n">
        <v>47418.6</v>
      </c>
      <c r="S8" s="0" t="n">
        <v>32569</v>
      </c>
      <c r="T8" s="0" t="n">
        <v>15579.8</v>
      </c>
      <c r="AA8" s="0" t="s">
        <v>18</v>
      </c>
      <c r="AB8" s="0" t="s">
        <v>14</v>
      </c>
    </row>
    <row r="9" customFormat="false" ht="15" hidden="false" customHeight="false" outlineLevel="0" collapsed="false">
      <c r="A9" s="0" t="s">
        <v>72</v>
      </c>
      <c r="B9" s="0" t="n">
        <v>126678.6</v>
      </c>
      <c r="C9" s="0" t="n">
        <v>103888.3</v>
      </c>
      <c r="D9" s="0" t="n">
        <v>22790.3</v>
      </c>
      <c r="E9" s="0" t="n">
        <v>18</v>
      </c>
      <c r="F9" s="0" t="n">
        <v>4947.4</v>
      </c>
      <c r="G9" s="0" t="n">
        <v>3.9</v>
      </c>
      <c r="I9" s="0" t="n">
        <v>1206.2</v>
      </c>
      <c r="J9" s="0" t="n">
        <v>1</v>
      </c>
      <c r="K9" s="0" t="n">
        <v>0.078</v>
      </c>
      <c r="L9" s="0" t="n">
        <v>10515.9</v>
      </c>
      <c r="M9" s="0" t="n">
        <v>5012</v>
      </c>
      <c r="N9" s="0" t="n">
        <v>5503.9</v>
      </c>
      <c r="O9" s="0" t="n">
        <v>54694.7</v>
      </c>
      <c r="P9" s="0" t="n">
        <v>325370.8</v>
      </c>
      <c r="Q9" s="0" t="n">
        <v>245464</v>
      </c>
      <c r="R9" s="0" t="n">
        <v>45933</v>
      </c>
      <c r="S9" s="0" t="n">
        <v>37308.2</v>
      </c>
      <c r="T9" s="0" t="n">
        <v>15540.1</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2.505</v>
      </c>
    </row>
    <row r="3" customFormat="false" ht="15" hidden="false" customHeight="false" outlineLevel="0" collapsed="false">
      <c r="A3" s="0" t="s">
        <v>76</v>
      </c>
      <c r="B3" s="3" t="n">
        <v>15540.12</v>
      </c>
    </row>
    <row r="4" customFormat="false" ht="15" hidden="false" customHeight="false" outlineLevel="0" collapsed="false">
      <c r="A4" s="0" t="s">
        <v>77</v>
      </c>
      <c r="B4" s="3" t="n">
        <v>-6438</v>
      </c>
    </row>
    <row r="5" customFormat="false" ht="15" hidden="false" customHeight="false" outlineLevel="0" collapsed="false">
      <c r="A5" s="0" t="s">
        <v>78</v>
      </c>
      <c r="B5" s="3" t="n">
        <v>3323</v>
      </c>
    </row>
    <row r="6" customFormat="false" ht="15" hidden="false" customHeight="false" outlineLevel="0" collapsed="false">
      <c r="A6" s="0" t="s">
        <v>79</v>
      </c>
      <c r="B6" s="3" t="n">
        <v>15</v>
      </c>
    </row>
    <row r="7" customFormat="false" ht="15" hidden="false" customHeight="false" outlineLevel="0" collapsed="false">
      <c r="A7" s="0" t="s">
        <v>80</v>
      </c>
      <c r="B7" s="3" t="n">
        <v>126678.6</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1.1751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8</v>
      </c>
      <c r="D13" s="3" t="n">
        <v>3</v>
      </c>
      <c r="E13" s="3" t="n">
        <v>0</v>
      </c>
      <c r="F13" s="3" t="n">
        <v>-2</v>
      </c>
      <c r="G13" s="3" t="n">
        <v>-2</v>
      </c>
      <c r="H13" s="3" t="n">
        <v>0</v>
      </c>
      <c r="I13" s="3" t="n">
        <v>1</v>
      </c>
      <c r="J13" s="3" t="n">
        <v>1.5</v>
      </c>
      <c r="K13" s="3" t="n">
        <v>1.5</v>
      </c>
      <c r="L13" s="3" t="n">
        <v>1.5</v>
      </c>
    </row>
    <row r="14" customFormat="false" ht="15" hidden="false" customHeight="false" outlineLevel="0" collapsed="false">
      <c r="A14" s="0" t="s">
        <v>97</v>
      </c>
      <c r="C14" s="3" t="n">
        <v>4.8</v>
      </c>
      <c r="D14" s="3" t="n">
        <v>4.5</v>
      </c>
      <c r="E14" s="3" t="n">
        <v>4.3</v>
      </c>
      <c r="F14" s="3" t="n">
        <v>4.2</v>
      </c>
      <c r="G14" s="3" t="n">
        <v>4.2</v>
      </c>
      <c r="H14" s="3" t="n">
        <v>4.3</v>
      </c>
      <c r="I14" s="3" t="n">
        <v>4.4</v>
      </c>
      <c r="J14" s="3" t="n">
        <v>4.5</v>
      </c>
      <c r="K14" s="3" t="n">
        <v>4.6</v>
      </c>
      <c r="L14" s="3" t="n">
        <v>4.6</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0.6</v>
      </c>
      <c r="D16" s="3" t="n">
        <v>0.6</v>
      </c>
      <c r="E16" s="3" t="n">
        <v>0.6</v>
      </c>
      <c r="F16" s="3" t="n">
        <v>0.6</v>
      </c>
      <c r="G16" s="3" t="n">
        <v>0.6</v>
      </c>
      <c r="H16" s="3" t="n">
        <v>0.6</v>
      </c>
      <c r="I16" s="3" t="n">
        <v>0.6</v>
      </c>
      <c r="J16" s="3" t="n">
        <v>0.6</v>
      </c>
      <c r="K16" s="3" t="n">
        <v>0.6</v>
      </c>
      <c r="L16" s="3" t="n">
        <v>0.6</v>
      </c>
    </row>
    <row r="17" customFormat="false" ht="15" hidden="false" customHeight="false" outlineLevel="0" collapsed="false">
      <c r="A17" s="0" t="s">
        <v>100</v>
      </c>
      <c r="C17" s="3" t="n">
        <v>2.4</v>
      </c>
      <c r="D17" s="3" t="n">
        <v>2.5</v>
      </c>
      <c r="E17" s="3" t="n">
        <v>2.6</v>
      </c>
      <c r="F17" s="3" t="n">
        <v>2.7</v>
      </c>
      <c r="G17" s="3" t="n">
        <v>2.8</v>
      </c>
      <c r="H17" s="3" t="n">
        <v>2.8</v>
      </c>
      <c r="I17" s="3" t="n">
        <v>2.8</v>
      </c>
      <c r="J17" s="3" t="n">
        <v>2.8</v>
      </c>
      <c r="K17" s="3" t="n">
        <v>2.8</v>
      </c>
      <c r="L17" s="3" t="n">
        <v>2.8</v>
      </c>
    </row>
    <row r="18" customFormat="false" ht="15" hidden="false" customHeight="false" outlineLevel="0" collapsed="false">
      <c r="A18" s="0" t="s">
        <v>101</v>
      </c>
      <c r="C18" s="3" t="n">
        <v>3.8</v>
      </c>
      <c r="D18" s="3" t="n">
        <v>3.7</v>
      </c>
      <c r="E18" s="3" t="n">
        <v>3.6</v>
      </c>
      <c r="F18" s="3" t="n">
        <v>3.5</v>
      </c>
      <c r="G18" s="3" t="n">
        <v>3.4</v>
      </c>
      <c r="H18" s="3" t="n">
        <v>3.3</v>
      </c>
      <c r="I18" s="3" t="n">
        <v>3.2</v>
      </c>
      <c r="J18" s="3" t="n">
        <v>3.2</v>
      </c>
      <c r="K18" s="3" t="n">
        <v>3.2</v>
      </c>
      <c r="L18" s="3" t="n">
        <v>3.2</v>
      </c>
    </row>
    <row r="19" customFormat="false" ht="15" hidden="false" customHeight="false" outlineLevel="0" collapsed="false">
      <c r="A19" s="0" t="s">
        <v>102</v>
      </c>
      <c r="C19" s="3" t="n">
        <v>55</v>
      </c>
      <c r="D19" s="3" t="n">
        <v>55</v>
      </c>
      <c r="E19" s="3" t="n">
        <v>55</v>
      </c>
      <c r="F19" s="3" t="n">
        <v>55</v>
      </c>
      <c r="G19" s="3" t="n">
        <v>52</v>
      </c>
      <c r="H19" s="3" t="n">
        <v>50</v>
      </c>
      <c r="I19" s="3" t="n">
        <v>50</v>
      </c>
      <c r="J19" s="3" t="n">
        <v>50</v>
      </c>
      <c r="K19" s="3" t="n">
        <v>50</v>
      </c>
      <c r="L19" s="3" t="n">
        <v>50</v>
      </c>
    </row>
    <row r="20" customFormat="false" ht="15" hidden="false" customHeight="false" outlineLevel="0" collapsed="false">
      <c r="A20" s="0" t="s">
        <v>103</v>
      </c>
      <c r="B20" s="3" t="n">
        <v>7</v>
      </c>
    </row>
    <row r="21" customFormat="false" ht="15" hidden="false" customHeight="false" outlineLevel="0" collapsed="false">
      <c r="A21" s="0" t="s">
        <v>104</v>
      </c>
      <c r="B21" s="3" t="n">
        <v>1</v>
      </c>
    </row>
    <row r="22" customFormat="false" ht="15" hidden="false" customHeight="false" outlineLevel="0" collapsed="false">
      <c r="A22" s="0" t="s">
        <v>105</v>
      </c>
      <c r="B22" s="3" t="n">
        <v>12</v>
      </c>
    </row>
    <row r="23" customFormat="false" ht="15" hidden="false" customHeight="false" outlineLevel="0" collapsed="false">
      <c r="A23" s="0" t="s">
        <v>106</v>
      </c>
      <c r="B23" s="3" t="n">
        <v>-5</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12</v>
      </c>
      <c r="D27" s="3" t="n">
        <v>8</v>
      </c>
      <c r="E27" s="3" t="n">
        <v>6</v>
      </c>
      <c r="F27" s="3" t="n">
        <v>5</v>
      </c>
      <c r="G27" s="3" t="n">
        <v>4</v>
      </c>
      <c r="H27" s="3" t="n">
        <v>3.5</v>
      </c>
      <c r="I27" s="3" t="n">
        <v>3</v>
      </c>
      <c r="J27" s="3" t="n">
        <v>3</v>
      </c>
      <c r="K27" s="3" t="n">
        <v>2.5</v>
      </c>
      <c r="L27" s="3" t="n">
        <v>2.5</v>
      </c>
    </row>
    <row r="28" customFormat="false" ht="15" hidden="false" customHeight="false" outlineLevel="0" collapsed="false">
      <c r="A28" s="0" t="s">
        <v>97</v>
      </c>
      <c r="C28" s="3" t="n">
        <v>5.3</v>
      </c>
      <c r="D28" s="3" t="n">
        <v>5.5</v>
      </c>
      <c r="E28" s="3" t="n">
        <v>5.6</v>
      </c>
      <c r="F28" s="3" t="n">
        <v>5.7</v>
      </c>
      <c r="G28" s="3" t="n">
        <v>5.8</v>
      </c>
      <c r="H28" s="3" t="n">
        <v>5.9</v>
      </c>
      <c r="I28" s="3" t="n">
        <v>6</v>
      </c>
      <c r="J28" s="3" t="n">
        <v>6</v>
      </c>
      <c r="K28" s="3" t="n">
        <v>6</v>
      </c>
      <c r="L28" s="3" t="n">
        <v>6</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0.6</v>
      </c>
      <c r="D30" s="3" t="n">
        <v>0.6</v>
      </c>
      <c r="E30" s="3" t="n">
        <v>0.6</v>
      </c>
      <c r="F30" s="3" t="n">
        <v>0.6</v>
      </c>
      <c r="G30" s="3" t="n">
        <v>0.6</v>
      </c>
      <c r="H30" s="3" t="n">
        <v>0.6</v>
      </c>
      <c r="I30" s="3" t="n">
        <v>0.6</v>
      </c>
      <c r="J30" s="3" t="n">
        <v>0.6</v>
      </c>
      <c r="K30" s="3" t="n">
        <v>0.6</v>
      </c>
      <c r="L30" s="3" t="n">
        <v>0.6</v>
      </c>
    </row>
    <row r="31" customFormat="false" ht="15" hidden="false" customHeight="false" outlineLevel="0" collapsed="false">
      <c r="A31" s="0" t="s">
        <v>100</v>
      </c>
      <c r="C31" s="3" t="n">
        <v>2.4</v>
      </c>
      <c r="D31" s="3" t="n">
        <v>2.45</v>
      </c>
      <c r="E31" s="3" t="n">
        <v>2.5</v>
      </c>
      <c r="F31" s="3" t="n">
        <v>2.55</v>
      </c>
      <c r="G31" s="3" t="n">
        <v>2.6</v>
      </c>
      <c r="H31" s="3" t="n">
        <v>2.65</v>
      </c>
      <c r="I31" s="3" t="n">
        <v>2.7</v>
      </c>
      <c r="J31" s="3" t="n">
        <v>2.75</v>
      </c>
      <c r="K31" s="3" t="n">
        <v>2.8</v>
      </c>
      <c r="L31" s="3" t="n">
        <v>2.8</v>
      </c>
    </row>
    <row r="32" customFormat="false" ht="15" hidden="false" customHeight="false" outlineLevel="0" collapsed="false">
      <c r="A32" s="0" t="s">
        <v>101</v>
      </c>
      <c r="C32" s="3" t="n">
        <v>3.8</v>
      </c>
      <c r="D32" s="3" t="n">
        <v>3.7</v>
      </c>
      <c r="E32" s="3" t="n">
        <v>3.6</v>
      </c>
      <c r="F32" s="3" t="n">
        <v>3.5</v>
      </c>
      <c r="G32" s="3" t="n">
        <v>3.5</v>
      </c>
      <c r="H32" s="3" t="n">
        <v>3.4</v>
      </c>
      <c r="I32" s="3" t="n">
        <v>3.4</v>
      </c>
      <c r="J32" s="3" t="n">
        <v>3.3</v>
      </c>
      <c r="K32" s="3" t="n">
        <v>3.3</v>
      </c>
      <c r="L32" s="3" t="n">
        <v>3.3</v>
      </c>
    </row>
    <row r="33" customFormat="false" ht="15" hidden="false" customHeight="false" outlineLevel="0" collapsed="false">
      <c r="A33" s="0" t="s">
        <v>102</v>
      </c>
      <c r="C33" s="3" t="n">
        <v>45</v>
      </c>
      <c r="D33" s="3" t="n">
        <v>43</v>
      </c>
      <c r="E33" s="3" t="n">
        <v>40</v>
      </c>
      <c r="F33" s="3" t="n">
        <v>38</v>
      </c>
      <c r="G33" s="3" t="n">
        <v>36</v>
      </c>
      <c r="H33" s="3" t="n">
        <v>34</v>
      </c>
      <c r="I33" s="3" t="n">
        <v>32</v>
      </c>
      <c r="J33" s="3" t="n">
        <v>30</v>
      </c>
      <c r="K33" s="3" t="n">
        <v>30</v>
      </c>
      <c r="L33" s="3" t="n">
        <v>30</v>
      </c>
    </row>
    <row r="34" customFormat="false" ht="15" hidden="false" customHeight="false" outlineLevel="0" collapsed="false">
      <c r="A34" s="0" t="s">
        <v>103</v>
      </c>
      <c r="B34" s="3" t="n">
        <v>7</v>
      </c>
    </row>
    <row r="35" customFormat="false" ht="15" hidden="false" customHeight="false" outlineLevel="0" collapsed="false">
      <c r="A35" s="0" t="s">
        <v>104</v>
      </c>
      <c r="B35" s="3" t="n">
        <v>2</v>
      </c>
    </row>
    <row r="36" customFormat="false" ht="15" hidden="false" customHeight="false" outlineLevel="0" collapsed="false">
      <c r="A36" s="0" t="s">
        <v>105</v>
      </c>
      <c r="B36" s="3" t="n">
        <v>12</v>
      </c>
    </row>
    <row r="37" customFormat="false" ht="15" hidden="false" customHeight="false" outlineLevel="0" collapsed="false">
      <c r="A37" s="0" t="s">
        <v>106</v>
      </c>
      <c r="B37" s="3" t="n">
        <v>15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15</v>
      </c>
      <c r="D41" s="3" t="n">
        <v>11</v>
      </c>
      <c r="E41" s="3" t="n">
        <v>8</v>
      </c>
      <c r="F41" s="3" t="n">
        <v>7</v>
      </c>
      <c r="G41" s="3" t="n">
        <v>6</v>
      </c>
      <c r="H41" s="3" t="n">
        <v>5</v>
      </c>
      <c r="I41" s="3" t="n">
        <v>4</v>
      </c>
      <c r="J41" s="3" t="n">
        <v>3.5</v>
      </c>
      <c r="K41" s="3" t="n">
        <v>3</v>
      </c>
      <c r="L41" s="3" t="n">
        <v>3</v>
      </c>
    </row>
    <row r="42" customFormat="false" ht="15" hidden="false" customHeight="false" outlineLevel="0" collapsed="false">
      <c r="A42" s="0" t="s">
        <v>97</v>
      </c>
      <c r="C42" s="3" t="n">
        <v>5.6</v>
      </c>
      <c r="D42" s="3" t="n">
        <v>5.9</v>
      </c>
      <c r="E42" s="3" t="n">
        <v>6.2</v>
      </c>
      <c r="F42" s="3" t="n">
        <v>6.5</v>
      </c>
      <c r="G42" s="3" t="n">
        <v>6.7</v>
      </c>
      <c r="H42" s="3" t="n">
        <v>6.9</v>
      </c>
      <c r="I42" s="3" t="n">
        <v>7</v>
      </c>
      <c r="J42" s="3" t="n">
        <v>7</v>
      </c>
      <c r="K42" s="3" t="n">
        <v>7</v>
      </c>
      <c r="L42" s="3" t="n">
        <v>7</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0.6</v>
      </c>
      <c r="D44" s="3" t="n">
        <v>0.6</v>
      </c>
      <c r="E44" s="3" t="n">
        <v>0.6</v>
      </c>
      <c r="F44" s="3" t="n">
        <v>0.6</v>
      </c>
      <c r="G44" s="3" t="n">
        <v>0.6</v>
      </c>
      <c r="H44" s="3" t="n">
        <v>0.6</v>
      </c>
      <c r="I44" s="3" t="n">
        <v>0.6</v>
      </c>
      <c r="J44" s="3" t="n">
        <v>0.6</v>
      </c>
      <c r="K44" s="3" t="n">
        <v>0.6</v>
      </c>
      <c r="L44" s="3" t="n">
        <v>0.6</v>
      </c>
    </row>
    <row r="45" customFormat="false" ht="15" hidden="false" customHeight="false" outlineLevel="0" collapsed="false">
      <c r="A45" s="0" t="s">
        <v>100</v>
      </c>
      <c r="C45" s="3" t="n">
        <v>2.4</v>
      </c>
      <c r="D45" s="3" t="n">
        <v>2.45</v>
      </c>
      <c r="E45" s="3" t="n">
        <v>2.5</v>
      </c>
      <c r="F45" s="3" t="n">
        <v>2.55</v>
      </c>
      <c r="G45" s="3" t="n">
        <v>2.6</v>
      </c>
      <c r="H45" s="3" t="n">
        <v>2.65</v>
      </c>
      <c r="I45" s="3" t="n">
        <v>2.7</v>
      </c>
      <c r="J45" s="3" t="n">
        <v>2.75</v>
      </c>
      <c r="K45" s="3" t="n">
        <v>2.8</v>
      </c>
      <c r="L45" s="3" t="n">
        <v>2.8</v>
      </c>
    </row>
    <row r="46" customFormat="false" ht="15" hidden="false" customHeight="false" outlineLevel="0" collapsed="false">
      <c r="A46" s="0" t="s">
        <v>101</v>
      </c>
      <c r="C46" s="3" t="n">
        <v>3.8</v>
      </c>
      <c r="D46" s="3" t="n">
        <v>3.6</v>
      </c>
      <c r="E46" s="3" t="n">
        <v>3.5</v>
      </c>
      <c r="F46" s="3" t="n">
        <v>3.4</v>
      </c>
      <c r="G46" s="3" t="n">
        <v>3.3</v>
      </c>
      <c r="H46" s="3" t="n">
        <v>3.2</v>
      </c>
      <c r="I46" s="3" t="n">
        <v>3.2</v>
      </c>
      <c r="J46" s="3" t="n">
        <v>3.1</v>
      </c>
      <c r="K46" s="3" t="n">
        <v>3.1</v>
      </c>
      <c r="L46" s="3" t="n">
        <v>3.1</v>
      </c>
    </row>
    <row r="47" customFormat="false" ht="15" hidden="false" customHeight="false" outlineLevel="0" collapsed="false">
      <c r="A47" s="0" t="s">
        <v>102</v>
      </c>
      <c r="C47" s="3" t="n">
        <v>42</v>
      </c>
      <c r="D47" s="3" t="n">
        <v>38</v>
      </c>
      <c r="E47" s="3" t="n">
        <v>34</v>
      </c>
      <c r="F47" s="3" t="n">
        <v>30</v>
      </c>
      <c r="G47" s="3" t="n">
        <v>28</v>
      </c>
      <c r="H47" s="3" t="n">
        <v>26</v>
      </c>
      <c r="I47" s="3" t="n">
        <v>25</v>
      </c>
      <c r="J47" s="3" t="n">
        <v>25</v>
      </c>
      <c r="K47" s="3" t="n">
        <v>25</v>
      </c>
      <c r="L47" s="3" t="n">
        <v>25</v>
      </c>
    </row>
    <row r="48" customFormat="false" ht="15" hidden="false" customHeight="false" outlineLevel="0" collapsed="false">
      <c r="A48" s="0" t="s">
        <v>103</v>
      </c>
      <c r="B48" s="3" t="n">
        <v>7</v>
      </c>
    </row>
    <row r="49" customFormat="false" ht="15" hidden="false" customHeight="false" outlineLevel="0" collapsed="false">
      <c r="A49" s="0" t="s">
        <v>104</v>
      </c>
      <c r="B49" s="3" t="n">
        <v>2.5</v>
      </c>
    </row>
    <row r="50" customFormat="false" ht="15" hidden="false" customHeight="false" outlineLevel="0" collapsed="false">
      <c r="A50" s="0" t="s">
        <v>105</v>
      </c>
      <c r="B50" s="3" t="n">
        <v>12</v>
      </c>
    </row>
    <row r="51" customFormat="false" ht="15" hidden="false" customHeight="false" outlineLevel="0" collapsed="false">
      <c r="A51" s="0" t="s">
        <v>106</v>
      </c>
      <c r="B51" s="3" t="n">
        <v>20</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8</v>
      </c>
      <c r="D5" s="4" t="n">
        <f aca="false">Assumptions!D13</f>
        <v>3</v>
      </c>
      <c r="E5" s="4" t="n">
        <f aca="false">Assumptions!E13</f>
        <v>0</v>
      </c>
      <c r="F5" s="4" t="n">
        <f aca="false">Assumptions!F13</f>
        <v>-2</v>
      </c>
      <c r="G5" s="4" t="n">
        <f aca="false">Assumptions!G13</f>
        <v>-2</v>
      </c>
      <c r="H5" s="4" t="n">
        <f aca="false">Assumptions!H13</f>
        <v>0</v>
      </c>
      <c r="I5" s="4" t="n">
        <f aca="false">Assumptions!I13</f>
        <v>1</v>
      </c>
      <c r="J5" s="4" t="n">
        <f aca="false">Assumptions!J13</f>
        <v>1.5</v>
      </c>
      <c r="K5" s="4" t="n">
        <f aca="false">Assumptions!K13</f>
        <v>1.5</v>
      </c>
      <c r="L5" s="4" t="n">
        <f aca="false">Assumptions!L13</f>
        <v>1.5</v>
      </c>
    </row>
    <row r="6" customFormat="false" ht="15" hidden="false" customHeight="false" outlineLevel="0" collapsed="false">
      <c r="A6" s="0" t="s">
        <v>38</v>
      </c>
      <c r="B6" s="3" t="n">
        <v>126678.6</v>
      </c>
      <c r="C6" s="0" t="n">
        <f aca="false">B6*(1+C5/100)</f>
        <v>136812.888</v>
      </c>
      <c r="D6" s="0" t="n">
        <f aca="false">C6*(1+D5/100)</f>
        <v>140917.27464</v>
      </c>
      <c r="E6" s="0" t="n">
        <f aca="false">D6*(1+E5/100)</f>
        <v>140917.27464</v>
      </c>
      <c r="F6" s="0" t="n">
        <f aca="false">E6*(1+F5/100)</f>
        <v>138098.9291472</v>
      </c>
      <c r="G6" s="0" t="n">
        <f aca="false">F6*(1+G5/100)</f>
        <v>135336.950564256</v>
      </c>
      <c r="H6" s="0" t="n">
        <f aca="false">G6*(1+H5/100)</f>
        <v>135336.950564256</v>
      </c>
      <c r="I6" s="0" t="n">
        <f aca="false">H6*(1+I5/100)</f>
        <v>136690.320069899</v>
      </c>
      <c r="J6" s="0" t="n">
        <f aca="false">I6*(1+J5/100)</f>
        <v>138740.674870947</v>
      </c>
      <c r="K6" s="0" t="n">
        <f aca="false">J6*(1+K5/100)</f>
        <v>140821.784994011</v>
      </c>
      <c r="L6" s="0" t="n">
        <f aca="false">K6*(1+L5/100)</f>
        <v>142934.111768921</v>
      </c>
    </row>
    <row r="7" customFormat="false" ht="15" hidden="false" customHeight="false" outlineLevel="0" collapsed="false">
      <c r="A7" s="0" t="s">
        <v>97</v>
      </c>
      <c r="C7" s="4" t="n">
        <f aca="false">Assumptions!C14</f>
        <v>4.8</v>
      </c>
      <c r="D7" s="4" t="n">
        <f aca="false">Assumptions!D14</f>
        <v>4.5</v>
      </c>
      <c r="E7" s="4" t="n">
        <f aca="false">Assumptions!E14</f>
        <v>4.3</v>
      </c>
      <c r="F7" s="4" t="n">
        <f aca="false">Assumptions!F14</f>
        <v>4.2</v>
      </c>
      <c r="G7" s="4" t="n">
        <f aca="false">Assumptions!G14</f>
        <v>4.2</v>
      </c>
      <c r="H7" s="4" t="n">
        <f aca="false">Assumptions!H14</f>
        <v>4.3</v>
      </c>
      <c r="I7" s="4" t="n">
        <f aca="false">Assumptions!I14</f>
        <v>4.4</v>
      </c>
      <c r="J7" s="4" t="n">
        <f aca="false">Assumptions!J14</f>
        <v>4.5</v>
      </c>
      <c r="K7" s="4" t="n">
        <f aca="false">Assumptions!K14</f>
        <v>4.6</v>
      </c>
      <c r="L7" s="4" t="n">
        <f aca="false">Assumptions!L14</f>
        <v>4.6</v>
      </c>
    </row>
    <row r="8" customFormat="false" ht="15" hidden="false" customHeight="false" outlineLevel="0" collapsed="false">
      <c r="A8" s="0" t="s">
        <v>44</v>
      </c>
      <c r="C8" s="0" t="n">
        <f aca="false">C6*C7/100</f>
        <v>6567.018624</v>
      </c>
      <c r="D8" s="0" t="n">
        <f aca="false">D6*D7/100</f>
        <v>6341.2773588</v>
      </c>
      <c r="E8" s="0" t="n">
        <f aca="false">E6*E7/100</f>
        <v>6059.44280952</v>
      </c>
      <c r="F8" s="0" t="n">
        <f aca="false">F6*F7/100</f>
        <v>5800.1550241824</v>
      </c>
      <c r="G8" s="0" t="n">
        <f aca="false">G6*G7/100</f>
        <v>5684.15192369875</v>
      </c>
      <c r="H8" s="0" t="n">
        <f aca="false">H6*H7/100</f>
        <v>5819.48887426301</v>
      </c>
      <c r="I8" s="0" t="n">
        <f aca="false">I6*I7/100</f>
        <v>6014.37408307554</v>
      </c>
      <c r="J8" s="0" t="n">
        <f aca="false">J6*J7/100</f>
        <v>6243.33036919262</v>
      </c>
      <c r="K8" s="0" t="n">
        <f aca="false">K6*K7/100</f>
        <v>6477.80210972452</v>
      </c>
      <c r="L8" s="0" t="n">
        <f aca="false">L6*L7/100</f>
        <v>6574.96914137038</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5746.141296</v>
      </c>
      <c r="D11" s="0" t="n">
        <f aca="false">D8+D10+D24</f>
        <v>5495.77371096</v>
      </c>
      <c r="E11" s="0" t="n">
        <f aca="false">E8+E10+E24</f>
        <v>5213.93916168</v>
      </c>
      <c r="F11" s="0" t="n">
        <f aca="false">F8+F10+F24</f>
        <v>4971.5614492992</v>
      </c>
      <c r="G11" s="0" t="n">
        <f aca="false">G8+G10+G24</f>
        <v>4872.13022031322</v>
      </c>
      <c r="H11" s="0" t="n">
        <f aca="false">H8+H10+H24</f>
        <v>5007.46717087747</v>
      </c>
      <c r="I11" s="0" t="n">
        <f aca="false">I8+I10+I24</f>
        <v>5194.23216265615</v>
      </c>
      <c r="J11" s="0" t="n">
        <f aca="false">J8+J10+J24</f>
        <v>5410.88631996694</v>
      </c>
      <c r="K11" s="0" t="n">
        <f aca="false">K8+K10+K24</f>
        <v>5632.87139976045</v>
      </c>
      <c r="L11" s="0" t="n">
        <f aca="false">L8+L10+L24</f>
        <v>5717.36447075686</v>
      </c>
    </row>
    <row r="12" customFormat="false" ht="15" hidden="false" customHeight="false" outlineLevel="0" collapsed="false">
      <c r="A12" s="0" t="s">
        <v>115</v>
      </c>
      <c r="C12" s="4" t="n">
        <f aca="false">-C6*Assumptions!C17/100</f>
        <v>-3283.509312</v>
      </c>
      <c r="D12" s="4" t="n">
        <f aca="false">-D6*Assumptions!D17/100</f>
        <v>-3522.931866</v>
      </c>
      <c r="E12" s="4" t="n">
        <f aca="false">-E6*Assumptions!E17/100</f>
        <v>-3663.84914064</v>
      </c>
      <c r="F12" s="4" t="n">
        <f aca="false">-F6*Assumptions!F17/100</f>
        <v>-3728.6710869744</v>
      </c>
      <c r="G12" s="4" t="n">
        <f aca="false">-G6*Assumptions!G17/100</f>
        <v>-3789.43461579917</v>
      </c>
      <c r="H12" s="4" t="n">
        <f aca="false">-H6*Assumptions!H17/100</f>
        <v>-3789.43461579917</v>
      </c>
      <c r="I12" s="4" t="n">
        <f aca="false">-I6*Assumptions!I17/100</f>
        <v>-3827.32896195716</v>
      </c>
      <c r="J12" s="4" t="n">
        <f aca="false">-J6*Assumptions!J17/100</f>
        <v>-3884.73889638652</v>
      </c>
      <c r="K12" s="4" t="n">
        <f aca="false">-K6*Assumptions!K17/100</f>
        <v>-3943.00997983232</v>
      </c>
      <c r="L12" s="4" t="n">
        <f aca="false">-L6*Assumptions!L17/100</f>
        <v>-4002.1551295298</v>
      </c>
    </row>
    <row r="13" customFormat="false" ht="15" hidden="false" customHeight="false" outlineLevel="0" collapsed="false">
      <c r="A13" s="0" t="s">
        <v>116</v>
      </c>
      <c r="C13" s="0" t="n">
        <f aca="false">C11+C12</f>
        <v>2462.631984</v>
      </c>
      <c r="D13" s="0" t="n">
        <f aca="false">D11+D12</f>
        <v>1972.84184496</v>
      </c>
      <c r="E13" s="0" t="n">
        <f aca="false">E11+E12</f>
        <v>1550.09002104</v>
      </c>
      <c r="F13" s="0" t="n">
        <f aca="false">F11+F12</f>
        <v>1242.8903623248</v>
      </c>
      <c r="G13" s="0" t="n">
        <f aca="false">G11+G12</f>
        <v>1082.69560451405</v>
      </c>
      <c r="H13" s="0" t="n">
        <f aca="false">H11+H12</f>
        <v>1218.03255507831</v>
      </c>
      <c r="I13" s="0" t="n">
        <f aca="false">I11+I12</f>
        <v>1366.90320069899</v>
      </c>
      <c r="J13" s="0" t="n">
        <f aca="false">J11+J12</f>
        <v>1526.14742358042</v>
      </c>
      <c r="K13" s="0" t="n">
        <f aca="false">K11+K12</f>
        <v>1689.86141992814</v>
      </c>
      <c r="L13" s="0" t="n">
        <f aca="false">L11+L12</f>
        <v>1715.20934122706</v>
      </c>
    </row>
    <row r="14" customFormat="false" ht="15" hidden="false" customHeight="false" outlineLevel="0" collapsed="false">
      <c r="A14" s="0" t="s">
        <v>102</v>
      </c>
      <c r="C14" s="4" t="n">
        <f aca="false">Assumptions!C19</f>
        <v>55</v>
      </c>
      <c r="D14" s="4" t="n">
        <f aca="false">Assumptions!D19</f>
        <v>55</v>
      </c>
      <c r="E14" s="4" t="n">
        <f aca="false">Assumptions!E19</f>
        <v>55</v>
      </c>
      <c r="F14" s="4" t="n">
        <f aca="false">Assumptions!F19</f>
        <v>55</v>
      </c>
      <c r="G14" s="4" t="n">
        <f aca="false">Assumptions!G19</f>
        <v>52</v>
      </c>
      <c r="H14" s="4" t="n">
        <f aca="false">Assumptions!H19</f>
        <v>50</v>
      </c>
      <c r="I14" s="4" t="n">
        <f aca="false">Assumptions!I19</f>
        <v>50</v>
      </c>
      <c r="J14" s="4" t="n">
        <f aca="false">Assumptions!J19</f>
        <v>50</v>
      </c>
      <c r="K14" s="4" t="n">
        <f aca="false">Assumptions!K19</f>
        <v>50</v>
      </c>
      <c r="L14" s="4" t="n">
        <f aca="false">Assumptions!L19</f>
        <v>50</v>
      </c>
    </row>
    <row r="15" customFormat="false" ht="15" hidden="false" customHeight="false" outlineLevel="0" collapsed="false">
      <c r="A15" s="0" t="s">
        <v>117</v>
      </c>
      <c r="C15" s="0" t="n">
        <f aca="false">C13-MAX(0,C13)*C14/100</f>
        <v>1108.1843928</v>
      </c>
      <c r="D15" s="0" t="n">
        <f aca="false">D13-MAX(0,D13)*D14/100</f>
        <v>887.778830232001</v>
      </c>
      <c r="E15" s="0" t="n">
        <f aca="false">E13-MAX(0,E13)*E14/100</f>
        <v>697.540509468</v>
      </c>
      <c r="F15" s="0" t="n">
        <f aca="false">F13-MAX(0,F13)*F14/100</f>
        <v>559.30066304616</v>
      </c>
      <c r="G15" s="0" t="n">
        <f aca="false">G13-MAX(0,G13)*G14/100</f>
        <v>519.693890166744</v>
      </c>
      <c r="H15" s="0" t="n">
        <f aca="false">H13-MAX(0,H13)*H14/100</f>
        <v>609.016277539153</v>
      </c>
      <c r="I15" s="0" t="n">
        <f aca="false">I13-MAX(0,I13)*I14/100</f>
        <v>683.451600349493</v>
      </c>
      <c r="J15" s="0" t="n">
        <f aca="false">J13-MAX(0,J13)*J14/100</f>
        <v>763.073711790209</v>
      </c>
      <c r="K15" s="0" t="n">
        <f aca="false">K13-MAX(0,K13)*K14/100</f>
        <v>844.930709964068</v>
      </c>
      <c r="L15" s="0" t="n">
        <f aca="false">L13-MAX(0,L13)*L14/100</f>
        <v>857.604670613528</v>
      </c>
    </row>
    <row r="16" customFormat="false" ht="15" hidden="false" customHeight="false" outlineLevel="0" collapsed="false">
      <c r="A16" s="0" t="s">
        <v>118</v>
      </c>
      <c r="C16" s="0" t="n">
        <f aca="false">-C12</f>
        <v>3283.509312</v>
      </c>
      <c r="D16" s="0" t="n">
        <f aca="false">-D12</f>
        <v>3522.931866</v>
      </c>
      <c r="E16" s="0" t="n">
        <f aca="false">-E12</f>
        <v>3663.84914064</v>
      </c>
      <c r="F16" s="0" t="n">
        <f aca="false">-F12</f>
        <v>3728.6710869744</v>
      </c>
      <c r="G16" s="0" t="n">
        <f aca="false">-G12</f>
        <v>3789.43461579917</v>
      </c>
      <c r="H16" s="0" t="n">
        <f aca="false">-H12</f>
        <v>3789.43461579917</v>
      </c>
      <c r="I16" s="0" t="n">
        <f aca="false">-I12</f>
        <v>3827.32896195716</v>
      </c>
      <c r="J16" s="0" t="n">
        <f aca="false">-J12</f>
        <v>3884.73889638652</v>
      </c>
      <c r="K16" s="0" t="n">
        <f aca="false">-K12</f>
        <v>3943.00997983232</v>
      </c>
      <c r="L16" s="0" t="n">
        <f aca="false">-L12</f>
        <v>4002.1551295298</v>
      </c>
    </row>
    <row r="17" customFormat="false" ht="15" hidden="false" customHeight="false" outlineLevel="0" collapsed="false">
      <c r="A17" s="0" t="s">
        <v>119</v>
      </c>
      <c r="C17" s="4" t="n">
        <f aca="false">-C6*Assumptions!C18/100</f>
        <v>-5198.889744</v>
      </c>
      <c r="D17" s="4" t="n">
        <f aca="false">-D6*Assumptions!D18/100</f>
        <v>-5213.93916168</v>
      </c>
      <c r="E17" s="4" t="n">
        <f aca="false">-E6*Assumptions!E18/100</f>
        <v>-5073.02188704</v>
      </c>
      <c r="F17" s="4" t="n">
        <f aca="false">-F6*Assumptions!F18/100</f>
        <v>-4833.462520152</v>
      </c>
      <c r="G17" s="4" t="n">
        <f aca="false">-G6*Assumptions!G18/100</f>
        <v>-4601.45631918471</v>
      </c>
      <c r="H17" s="4" t="n">
        <f aca="false">-H6*Assumptions!H18/100</f>
        <v>-4466.11936862045</v>
      </c>
      <c r="I17" s="4" t="n">
        <f aca="false">-I6*Assumptions!I18/100</f>
        <v>-4374.09024223675</v>
      </c>
      <c r="J17" s="4" t="n">
        <f aca="false">-J6*Assumptions!J18/100</f>
        <v>-4439.70159587031</v>
      </c>
      <c r="K17" s="4" t="n">
        <f aca="false">-K6*Assumptions!K18/100</f>
        <v>-4506.29711980836</v>
      </c>
      <c r="L17" s="4" t="n">
        <f aca="false">-L6*Assumptions!L18/100</f>
        <v>-4573.89157660549</v>
      </c>
    </row>
    <row r="18" customFormat="false" ht="15" hidden="false" customHeight="false" outlineLevel="0" collapsed="false">
      <c r="A18" s="0" t="s">
        <v>120</v>
      </c>
      <c r="C18" s="4" t="n">
        <f aca="false">(C6-B6)*Assumptions!$B$23/100</f>
        <v>-506.7144</v>
      </c>
      <c r="D18" s="4" t="n">
        <f aca="false">(D6-C6)*Assumptions!$B$23/100</f>
        <v>-205.219332000001</v>
      </c>
      <c r="E18" s="4" t="n">
        <f aca="false">(E6-D6)*Assumptions!$B$23/100</f>
        <v>-0</v>
      </c>
      <c r="F18" s="4" t="n">
        <f aca="false">(F6-E6)*Assumptions!$B$23/100</f>
        <v>140.91727464</v>
      </c>
      <c r="G18" s="4" t="n">
        <f aca="false">(G6-F6)*Assumptions!$B$23/100</f>
        <v>138.0989291472</v>
      </c>
      <c r="H18" s="4" t="n">
        <f aca="false">(H6-G6)*Assumptions!$B$23/100</f>
        <v>-0</v>
      </c>
      <c r="I18" s="4" t="n">
        <f aca="false">(I6-H6)*Assumptions!$B$23/100</f>
        <v>-67.6684752821282</v>
      </c>
      <c r="J18" s="4" t="n">
        <f aca="false">(J6-I6)*Assumptions!$B$23/100</f>
        <v>-102.517740052423</v>
      </c>
      <c r="K18" s="4" t="n">
        <f aca="false">(K6-J6)*Assumptions!$B$23/100</f>
        <v>-104.05550615321</v>
      </c>
      <c r="L18" s="4" t="n">
        <f aca="false">(L6-K6)*Assumptions!$B$23/100</f>
        <v>-105.616338745508</v>
      </c>
    </row>
    <row r="19" customFormat="false" ht="15" hidden="false" customHeight="false" outlineLevel="0" collapsed="false">
      <c r="A19" s="0" t="s">
        <v>121</v>
      </c>
      <c r="C19" s="0" t="n">
        <f aca="false">C15+C16+C17+C18</f>
        <v>-1313.9104392</v>
      </c>
      <c r="D19" s="0" t="n">
        <f aca="false">D15+D16+D17+D18</f>
        <v>-1008.447797448</v>
      </c>
      <c r="E19" s="0" t="n">
        <f aca="false">E15+E16+E17+E18</f>
        <v>-711.632236932001</v>
      </c>
      <c r="F19" s="0" t="n">
        <f aca="false">F15+F16+F17+F18</f>
        <v>-404.573495491441</v>
      </c>
      <c r="G19" s="0" t="n">
        <f aca="false">G15+G16+G17+G18</f>
        <v>-154.228884071593</v>
      </c>
      <c r="H19" s="0" t="n">
        <f aca="false">H15+H16+H17+H18</f>
        <v>-67.6684752821284</v>
      </c>
      <c r="I19" s="0" t="n">
        <f aca="false">I15+I16+I17+I18</f>
        <v>69.0218447877716</v>
      </c>
      <c r="J19" s="0" t="n">
        <f aca="false">J15+J16+J17+J18</f>
        <v>105.593272253998</v>
      </c>
      <c r="K19" s="0" t="n">
        <f aca="false">K15+K16+K17+K18</f>
        <v>177.588063834813</v>
      </c>
      <c r="L19" s="0" t="n">
        <f aca="false">L15+L16+L17+L18</f>
        <v>180.251884792334</v>
      </c>
    </row>
    <row r="20" customFormat="false" ht="15" hidden="false" customHeight="false" outlineLevel="0" collapsed="false">
      <c r="A20" s="0" t="s">
        <v>122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123</v>
      </c>
      <c r="C21" s="0" t="n">
        <f aca="false">C19*C20</f>
        <v>-1227.95368149533</v>
      </c>
      <c r="D21" s="0" t="n">
        <f aca="false">D19*D20</f>
        <v>-880.817361732903</v>
      </c>
      <c r="E21" s="0" t="n">
        <f aca="false">E19*E20</f>
        <v>-580.90388413468</v>
      </c>
      <c r="F21" s="0" t="n">
        <f aca="false">F19*F20</f>
        <v>-308.647182631751</v>
      </c>
      <c r="G21" s="0" t="n">
        <f aca="false">G19*G20</f>
        <v>-109.963062820235</v>
      </c>
      <c r="H21" s="0" t="n">
        <f aca="false">H19*H20</f>
        <v>-45.0903623017661</v>
      </c>
      <c r="I21" s="0" t="n">
        <f aca="false">I19*I20</f>
        <v>42.9833360259831</v>
      </c>
      <c r="J21" s="0" t="n">
        <f aca="false">J19*J20</f>
        <v>61.4562458326414</v>
      </c>
      <c r="K21" s="0" t="n">
        <f aca="false">K19*K20</f>
        <v>96.5961401999426</v>
      </c>
      <c r="L21" s="0" t="n">
        <f aca="false">L19*L20</f>
        <v>91.6309180401319</v>
      </c>
    </row>
    <row r="23" customFormat="false" ht="15" hidden="false" customHeight="false" outlineLevel="0" collapsed="false">
      <c r="A23" s="0" t="s">
        <v>99</v>
      </c>
      <c r="C23" s="4" t="n">
        <f aca="false">Assumptions!C16</f>
        <v>0.6</v>
      </c>
      <c r="D23" s="4" t="n">
        <f aca="false">Assumptions!D16</f>
        <v>0.6</v>
      </c>
      <c r="E23" s="4" t="n">
        <f aca="false">Assumptions!E16</f>
        <v>0.6</v>
      </c>
      <c r="F23" s="4" t="n">
        <f aca="false">Assumptions!F16</f>
        <v>0.6</v>
      </c>
      <c r="G23" s="4" t="n">
        <f aca="false">Assumptions!G16</f>
        <v>0.6</v>
      </c>
      <c r="H23" s="4" t="n">
        <f aca="false">Assumptions!H16</f>
        <v>0.6</v>
      </c>
      <c r="I23" s="4" t="n">
        <f aca="false">Assumptions!I16</f>
        <v>0.6</v>
      </c>
      <c r="J23" s="4" t="n">
        <f aca="false">Assumptions!J16</f>
        <v>0.6</v>
      </c>
      <c r="K23" s="4" t="n">
        <f aca="false">Assumptions!K16</f>
        <v>0.6</v>
      </c>
      <c r="L23" s="4" t="n">
        <f aca="false">Assumptions!L16</f>
        <v>0.6</v>
      </c>
    </row>
    <row r="24" customFormat="false" ht="15" hidden="false" customHeight="false" outlineLevel="0" collapsed="false">
      <c r="A24" s="0" t="s">
        <v>124</v>
      </c>
      <c r="C24" s="0" t="n">
        <f aca="false">-C6*C23/100</f>
        <v>-820.877328</v>
      </c>
      <c r="D24" s="0" t="n">
        <f aca="false">-D6*D23/100</f>
        <v>-845.50364784</v>
      </c>
      <c r="E24" s="0" t="n">
        <f aca="false">-E6*E23/100</f>
        <v>-845.50364784</v>
      </c>
      <c r="F24" s="0" t="n">
        <f aca="false">-F6*F23/100</f>
        <v>-828.5935748832</v>
      </c>
      <c r="G24" s="0" t="n">
        <f aca="false">-G6*G23/100</f>
        <v>-812.021703385536</v>
      </c>
      <c r="H24" s="0" t="n">
        <f aca="false">-H6*H23/100</f>
        <v>-812.021703385536</v>
      </c>
      <c r="I24" s="0" t="n">
        <f aca="false">-I6*I23/100</f>
        <v>-820.141920419392</v>
      </c>
      <c r="J24" s="0" t="n">
        <f aca="false">-J6*J23/100</f>
        <v>-832.444049225682</v>
      </c>
      <c r="K24" s="0" t="n">
        <f aca="false">-K6*K23/100</f>
        <v>-844.930709964068</v>
      </c>
      <c r="L24" s="0" t="n">
        <f aca="false">-L6*L23/100</f>
        <v>-857.604670613529</v>
      </c>
    </row>
    <row r="26" customFormat="false" ht="15" hidden="false" customHeight="false" outlineLevel="0" collapsed="false">
      <c r="A26" s="2" t="s">
        <v>125</v>
      </c>
    </row>
    <row r="27" customFormat="false" ht="15" hidden="false" customHeight="false" outlineLevel="0" collapsed="false">
      <c r="A27" s="0" t="s">
        <v>103</v>
      </c>
      <c r="B27" s="4" t="n">
        <f aca="false">Assumptions!$B$20</f>
        <v>7</v>
      </c>
    </row>
    <row r="28" customFormat="false" ht="15" hidden="false" customHeight="false" outlineLevel="0" collapsed="false">
      <c r="A28" s="0" t="s">
        <v>104</v>
      </c>
      <c r="B28" s="4" t="n">
        <f aca="false">Assumptions!$B$21</f>
        <v>1</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-2860.70889501796</v>
      </c>
    </row>
    <row r="31" customFormat="false" ht="15" hidden="false" customHeight="false" outlineLevel="0" collapsed="false">
      <c r="A31" s="0" t="s">
        <v>127</v>
      </c>
      <c r="B31" s="0" t="n">
        <f aca="false">L19</f>
        <v>180.251884792334</v>
      </c>
    </row>
    <row r="32" customFormat="false" ht="15" hidden="false" customHeight="false" outlineLevel="0" collapsed="false">
      <c r="A32" s="0" t="s">
        <v>128</v>
      </c>
      <c r="B32" s="0" t="n">
        <f aca="false">IF(B27&gt;B28,B31*(1+B28/100)/((B27-B28)/100),B31*B29)</f>
        <v>3034.24006067096</v>
      </c>
    </row>
    <row r="33" customFormat="false" ht="15" hidden="false" customHeight="false" outlineLevel="0" collapsed="false">
      <c r="A33" s="0" t="s">
        <v>129</v>
      </c>
      <c r="B33" s="0" t="n">
        <f aca="false">B31*B29</f>
        <v>2163.02261750801</v>
      </c>
    </row>
    <row r="34" customFormat="false" ht="15" hidden="false" customHeight="false" outlineLevel="0" collapsed="false">
      <c r="A34" s="0" t="s">
        <v>130</v>
      </c>
      <c r="B34" s="0" t="n">
        <f aca="false">MAX(0,MIN(B32,B33))</f>
        <v>2163.02261750801</v>
      </c>
    </row>
    <row r="35" customFormat="false" ht="15" hidden="false" customHeight="false" outlineLevel="0" collapsed="false">
      <c r="A35" s="0" t="s">
        <v>131</v>
      </c>
      <c r="B35" s="0" t="n">
        <f aca="false">B34/(1+B27/100)^L4</f>
        <v>1099.57101648158</v>
      </c>
    </row>
    <row r="36" customFormat="false" ht="15" hidden="false" customHeight="false" outlineLevel="0" collapsed="false">
      <c r="A36" s="0" t="s">
        <v>132</v>
      </c>
      <c r="B36" s="0" t="n">
        <f aca="false">B30+B35</f>
        <v>-1761.13787853638</v>
      </c>
    </row>
    <row r="37" customFormat="false" ht="15" hidden="false" customHeight="false" outlineLevel="0" collapsed="false">
      <c r="A37" s="0" t="s">
        <v>133</v>
      </c>
      <c r="B37" s="0" t="n">
        <f aca="false">B36+Assumptions!$B$5-Assumptions!$B$4</f>
        <v>7999.86212146362</v>
      </c>
    </row>
    <row r="38" customFormat="false" ht="15" hidden="false" customHeight="false" outlineLevel="0" collapsed="false">
      <c r="A38" s="0" t="s">
        <v>134</v>
      </c>
      <c r="B38" s="0" t="n">
        <f aca="false">B37/Assumptions!$B$3*Assumptions!$B$10</f>
        <v>0.604926987625057</v>
      </c>
    </row>
    <row r="39" customFormat="false" ht="15" hidden="false" customHeight="false" outlineLevel="0" collapsed="false">
      <c r="A39" s="0" t="s">
        <v>135</v>
      </c>
      <c r="B39" s="4" t="n">
        <f aca="false">B38/Assumptions!$B$2-1</f>
        <v>-0.7585121805888</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0.604926987625057</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1300.38859743041</v>
      </c>
    </row>
    <row r="47" customFormat="false" ht="15" hidden="false" customHeight="false" outlineLevel="0" collapsed="false">
      <c r="A47" s="0" t="s">
        <v>140</v>
      </c>
      <c r="B47" s="0" t="n">
        <f aca="false">(SUMPRODUCT(C19:L19/(1+B45/100)^C4:L4)+B46/(1+B45/100)^L4+Assumptions!$B$5-Assumptions!$B$4)/Assumptions!$B$3*Assumptions!$B$10</f>
        <v>0.569224754835334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12</v>
      </c>
      <c r="D5" s="4" t="n">
        <f aca="false">Assumptions!D27</f>
        <v>8</v>
      </c>
      <c r="E5" s="4" t="n">
        <f aca="false">Assumptions!E27</f>
        <v>6</v>
      </c>
      <c r="F5" s="4" t="n">
        <f aca="false">Assumptions!F27</f>
        <v>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126678.6</v>
      </c>
      <c r="C6" s="0" t="n">
        <f aca="false">B6*(1+C5/100)</f>
        <v>141880.032</v>
      </c>
      <c r="D6" s="0" t="n">
        <f aca="false">C6*(1+D5/100)</f>
        <v>153230.43456</v>
      </c>
      <c r="E6" s="0" t="n">
        <f aca="false">D6*(1+E5/100)</f>
        <v>162424.2606336</v>
      </c>
      <c r="F6" s="0" t="n">
        <f aca="false">E6*(1+F5/100)</f>
        <v>170545.47366528</v>
      </c>
      <c r="G6" s="0" t="n">
        <f aca="false">F6*(1+G5/100)</f>
        <v>177367.292611891</v>
      </c>
      <c r="H6" s="0" t="n">
        <f aca="false">G6*(1+H5/100)</f>
        <v>183575.147853307</v>
      </c>
      <c r="I6" s="0" t="n">
        <f aca="false">H6*(1+I5/100)</f>
        <v>189082.402288907</v>
      </c>
      <c r="J6" s="0" t="n">
        <f aca="false">I6*(1+J5/100)</f>
        <v>194754.874357574</v>
      </c>
      <c r="K6" s="0" t="n">
        <f aca="false">J6*(1+K5/100)</f>
        <v>199623.746216513</v>
      </c>
      <c r="L6" s="0" t="n">
        <f aca="false">K6*(1+L5/100)</f>
        <v>204614.339871926</v>
      </c>
    </row>
    <row r="7" customFormat="false" ht="15" hidden="false" customHeight="false" outlineLevel="0" collapsed="false">
      <c r="A7" s="0" t="s">
        <v>97</v>
      </c>
      <c r="C7" s="4" t="n">
        <f aca="false">Assumptions!C28</f>
        <v>5.3</v>
      </c>
      <c r="D7" s="4" t="n">
        <f aca="false">Assumptions!D28</f>
        <v>5.5</v>
      </c>
      <c r="E7" s="4" t="n">
        <f aca="false">Assumptions!E28</f>
        <v>5.6</v>
      </c>
      <c r="F7" s="4" t="n">
        <f aca="false">Assumptions!F28</f>
        <v>5.7</v>
      </c>
      <c r="G7" s="4" t="n">
        <f aca="false">Assumptions!G28</f>
        <v>5.8</v>
      </c>
      <c r="H7" s="4" t="n">
        <f aca="false">Assumptions!H28</f>
        <v>5.9</v>
      </c>
      <c r="I7" s="4" t="n">
        <f aca="false">Assumptions!I28</f>
        <v>6</v>
      </c>
      <c r="J7" s="4" t="n">
        <f aca="false">Assumptions!J28</f>
        <v>6</v>
      </c>
      <c r="K7" s="4" t="n">
        <f aca="false">Assumptions!K28</f>
        <v>6</v>
      </c>
      <c r="L7" s="4" t="n">
        <f aca="false">Assumptions!L28</f>
        <v>6</v>
      </c>
    </row>
    <row r="8" customFormat="false" ht="15" hidden="false" customHeight="false" outlineLevel="0" collapsed="false">
      <c r="A8" s="0" t="s">
        <v>44</v>
      </c>
      <c r="C8" s="0" t="n">
        <f aca="false">C6*C7/100</f>
        <v>7519.641696</v>
      </c>
      <c r="D8" s="0" t="n">
        <f aca="false">D6*D7/100</f>
        <v>8427.6739008</v>
      </c>
      <c r="E8" s="0" t="n">
        <f aca="false">E6*E7/100</f>
        <v>9095.7585954816</v>
      </c>
      <c r="F8" s="0" t="n">
        <f aca="false">F6*F7/100</f>
        <v>9721.09199892096</v>
      </c>
      <c r="G8" s="0" t="n">
        <f aca="false">G6*G7/100</f>
        <v>10287.3029714897</v>
      </c>
      <c r="H8" s="0" t="n">
        <f aca="false">H6*H7/100</f>
        <v>10830.9337233451</v>
      </c>
      <c r="I8" s="0" t="n">
        <f aca="false">I6*I7/100</f>
        <v>11344.9441373344</v>
      </c>
      <c r="J8" s="0" t="n">
        <f aca="false">J6*J7/100</f>
        <v>11685.2924614544</v>
      </c>
      <c r="K8" s="0" t="n">
        <f aca="false">K6*K7/100</f>
        <v>11977.4247729908</v>
      </c>
      <c r="L8" s="0" t="n">
        <f aca="false">L6*L7/100</f>
        <v>12276.8603923156</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6668.361504</v>
      </c>
      <c r="D11" s="0" t="n">
        <f aca="false">D8+D10+D24</f>
        <v>7508.29129344</v>
      </c>
      <c r="E11" s="0" t="n">
        <f aca="false">E8+E10+E24</f>
        <v>8121.21303168</v>
      </c>
      <c r="F11" s="0" t="n">
        <f aca="false">F8+F10+F24</f>
        <v>8697.81915692928</v>
      </c>
      <c r="G11" s="0" t="n">
        <f aca="false">G8+G10+G24</f>
        <v>9223.09921581834</v>
      </c>
      <c r="H11" s="0" t="n">
        <f aca="false">H8+H10+H24</f>
        <v>9729.48283622529</v>
      </c>
      <c r="I11" s="0" t="n">
        <f aca="false">I8+I10+I24</f>
        <v>10210.449723601</v>
      </c>
      <c r="J11" s="0" t="n">
        <f aca="false">J8+J10+J24</f>
        <v>10516.763215309</v>
      </c>
      <c r="K11" s="0" t="n">
        <f aca="false">K8+K10+K24</f>
        <v>10779.6822956917</v>
      </c>
      <c r="L11" s="0" t="n">
        <f aca="false">L8+L10+L24</f>
        <v>11049.174353084</v>
      </c>
    </row>
    <row r="12" customFormat="false" ht="15" hidden="false" customHeight="false" outlineLevel="0" collapsed="false">
      <c r="A12" s="0" t="s">
        <v>115</v>
      </c>
      <c r="C12" s="4" t="n">
        <f aca="false">-C6*Assumptions!C31/100</f>
        <v>-3405.120768</v>
      </c>
      <c r="D12" s="4" t="n">
        <f aca="false">-D6*Assumptions!D31/100</f>
        <v>-3754.14564672</v>
      </c>
      <c r="E12" s="4" t="n">
        <f aca="false">-E6*Assumptions!E31/100</f>
        <v>-4060.60651584</v>
      </c>
      <c r="F12" s="4" t="n">
        <f aca="false">-F6*Assumptions!F31/100</f>
        <v>-4348.90957846464</v>
      </c>
      <c r="G12" s="4" t="n">
        <f aca="false">-G6*Assumptions!G31/100</f>
        <v>-4611.54960790917</v>
      </c>
      <c r="H12" s="4" t="n">
        <f aca="false">-H6*Assumptions!H31/100</f>
        <v>-4864.74141811265</v>
      </c>
      <c r="I12" s="4" t="n">
        <f aca="false">-I6*Assumptions!I31/100</f>
        <v>-5105.22486180048</v>
      </c>
      <c r="J12" s="4" t="n">
        <f aca="false">-J6*Assumptions!J31/100</f>
        <v>-5355.75904483328</v>
      </c>
      <c r="K12" s="4" t="n">
        <f aca="false">-K6*Assumptions!K31/100</f>
        <v>-5589.46489406237</v>
      </c>
      <c r="L12" s="4" t="n">
        <f aca="false">-L6*Assumptions!L31/100</f>
        <v>-5729.20151641393</v>
      </c>
    </row>
    <row r="13" customFormat="false" ht="15" hidden="false" customHeight="false" outlineLevel="0" collapsed="false">
      <c r="A13" s="0" t="s">
        <v>116</v>
      </c>
      <c r="C13" s="0" t="n">
        <f aca="false">C11+C12</f>
        <v>3263.240736</v>
      </c>
      <c r="D13" s="0" t="n">
        <f aca="false">D11+D12</f>
        <v>3754.14564672</v>
      </c>
      <c r="E13" s="0" t="n">
        <f aca="false">E11+E12</f>
        <v>4060.60651584</v>
      </c>
      <c r="F13" s="0" t="n">
        <f aca="false">F11+F12</f>
        <v>4348.90957846464</v>
      </c>
      <c r="G13" s="0" t="n">
        <f aca="false">G11+G12</f>
        <v>4611.54960790917</v>
      </c>
      <c r="H13" s="0" t="n">
        <f aca="false">H11+H12</f>
        <v>4864.74141811265</v>
      </c>
      <c r="I13" s="0" t="n">
        <f aca="false">I11+I12</f>
        <v>5105.22486180048</v>
      </c>
      <c r="J13" s="0" t="n">
        <f aca="false">J11+J12</f>
        <v>5161.00417047571</v>
      </c>
      <c r="K13" s="0" t="n">
        <f aca="false">K11+K12</f>
        <v>5190.21740162934</v>
      </c>
      <c r="L13" s="0" t="n">
        <f aca="false">L11+L12</f>
        <v>5319.97283667007</v>
      </c>
    </row>
    <row r="14" customFormat="false" ht="15" hidden="false" customHeight="false" outlineLevel="0" collapsed="false">
      <c r="A14" s="0" t="s">
        <v>102</v>
      </c>
      <c r="C14" s="4" t="n">
        <f aca="false">Assumptions!C33</f>
        <v>45</v>
      </c>
      <c r="D14" s="4" t="n">
        <f aca="false">Assumptions!D33</f>
        <v>43</v>
      </c>
      <c r="E14" s="4" t="n">
        <f aca="false">Assumptions!E33</f>
        <v>40</v>
      </c>
      <c r="F14" s="4" t="n">
        <f aca="false">Assumptions!F33</f>
        <v>38</v>
      </c>
      <c r="G14" s="4" t="n">
        <f aca="false">Assumptions!G33</f>
        <v>36</v>
      </c>
      <c r="H14" s="4" t="n">
        <f aca="false">Assumptions!H33</f>
        <v>34</v>
      </c>
      <c r="I14" s="4" t="n">
        <f aca="false">Assumptions!I33</f>
        <v>32</v>
      </c>
      <c r="J14" s="4" t="n">
        <f aca="false">Assumptions!J33</f>
        <v>30</v>
      </c>
      <c r="K14" s="4" t="n">
        <f aca="false">Assumptions!K33</f>
        <v>30</v>
      </c>
      <c r="L14" s="4" t="n">
        <f aca="false">Assumptions!L33</f>
        <v>30</v>
      </c>
    </row>
    <row r="15" customFormat="false" ht="15" hidden="false" customHeight="false" outlineLevel="0" collapsed="false">
      <c r="A15" s="0" t="s">
        <v>117</v>
      </c>
      <c r="C15" s="0" t="n">
        <f aca="false">C13-MAX(0,C13)*C14/100</f>
        <v>1794.7824048</v>
      </c>
      <c r="D15" s="0" t="n">
        <f aca="false">D13-MAX(0,D13)*D14/100</f>
        <v>2139.8630186304</v>
      </c>
      <c r="E15" s="0" t="n">
        <f aca="false">E13-MAX(0,E13)*E14/100</f>
        <v>2436.363909504</v>
      </c>
      <c r="F15" s="0" t="n">
        <f aca="false">F13-MAX(0,F13)*F14/100</f>
        <v>2696.32393864808</v>
      </c>
      <c r="G15" s="0" t="n">
        <f aca="false">G13-MAX(0,G13)*G14/100</f>
        <v>2951.39174906187</v>
      </c>
      <c r="H15" s="0" t="n">
        <f aca="false">H13-MAX(0,H13)*H14/100</f>
        <v>3210.72933595435</v>
      </c>
      <c r="I15" s="0" t="n">
        <f aca="false">I13-MAX(0,I13)*I14/100</f>
        <v>3471.55290602433</v>
      </c>
      <c r="J15" s="0" t="n">
        <f aca="false">J13-MAX(0,J13)*J14/100</f>
        <v>3612.70291933299</v>
      </c>
      <c r="K15" s="0" t="n">
        <f aca="false">K13-MAX(0,K13)*K14/100</f>
        <v>3633.15218114054</v>
      </c>
      <c r="L15" s="0" t="n">
        <f aca="false">L13-MAX(0,L13)*L14/100</f>
        <v>3723.98098566905</v>
      </c>
    </row>
    <row r="16" customFormat="false" ht="15" hidden="false" customHeight="false" outlineLevel="0" collapsed="false">
      <c r="A16" s="0" t="s">
        <v>118</v>
      </c>
      <c r="C16" s="0" t="n">
        <f aca="false">-C12</f>
        <v>3405.120768</v>
      </c>
      <c r="D16" s="0" t="n">
        <f aca="false">-D12</f>
        <v>3754.14564672</v>
      </c>
      <c r="E16" s="0" t="n">
        <f aca="false">-E12</f>
        <v>4060.60651584</v>
      </c>
      <c r="F16" s="0" t="n">
        <f aca="false">-F12</f>
        <v>4348.90957846464</v>
      </c>
      <c r="G16" s="0" t="n">
        <f aca="false">-G12</f>
        <v>4611.54960790917</v>
      </c>
      <c r="H16" s="0" t="n">
        <f aca="false">-H12</f>
        <v>4864.74141811265</v>
      </c>
      <c r="I16" s="0" t="n">
        <f aca="false">-I12</f>
        <v>5105.22486180048</v>
      </c>
      <c r="J16" s="0" t="n">
        <f aca="false">-J12</f>
        <v>5355.75904483328</v>
      </c>
      <c r="K16" s="0" t="n">
        <f aca="false">-K12</f>
        <v>5589.46489406237</v>
      </c>
      <c r="L16" s="0" t="n">
        <f aca="false">-L12</f>
        <v>5729.20151641393</v>
      </c>
    </row>
    <row r="17" customFormat="false" ht="15" hidden="false" customHeight="false" outlineLevel="0" collapsed="false">
      <c r="A17" s="0" t="s">
        <v>119</v>
      </c>
      <c r="C17" s="4" t="n">
        <f aca="false">-C6*Assumptions!C32/100</f>
        <v>-5391.441216</v>
      </c>
      <c r="D17" s="4" t="n">
        <f aca="false">-D6*Assumptions!D32/100</f>
        <v>-5669.52607872</v>
      </c>
      <c r="E17" s="4" t="n">
        <f aca="false">-E6*Assumptions!E32/100</f>
        <v>-5847.2733828096</v>
      </c>
      <c r="F17" s="4" t="n">
        <f aca="false">-F6*Assumptions!F32/100</f>
        <v>-5969.0915782848</v>
      </c>
      <c r="G17" s="4" t="n">
        <f aca="false">-G6*Assumptions!G32/100</f>
        <v>-6207.85524141619</v>
      </c>
      <c r="H17" s="4" t="n">
        <f aca="false">-H6*Assumptions!H32/100</f>
        <v>-6241.55502701245</v>
      </c>
      <c r="I17" s="4" t="n">
        <f aca="false">-I6*Assumptions!I32/100</f>
        <v>-6428.80167782283</v>
      </c>
      <c r="J17" s="4" t="n">
        <f aca="false">-J6*Assumptions!J32/100</f>
        <v>-6426.91085379994</v>
      </c>
      <c r="K17" s="4" t="n">
        <f aca="false">-K6*Assumptions!K32/100</f>
        <v>-6587.58362514493</v>
      </c>
      <c r="L17" s="4" t="n">
        <f aca="false">-L6*Assumptions!L32/100</f>
        <v>-6752.27321577356</v>
      </c>
    </row>
    <row r="18" customFormat="false" ht="15" hidden="false" customHeight="false" outlineLevel="0" collapsed="false">
      <c r="A18" s="0" t="s">
        <v>120</v>
      </c>
      <c r="C18" s="4" t="n">
        <f aca="false">(C6-B6)*Assumptions!$B$37/100</f>
        <v>2280.2148</v>
      </c>
      <c r="D18" s="4" t="n">
        <f aca="false">(D6-C6)*Assumptions!$B$37/100</f>
        <v>1702.560384</v>
      </c>
      <c r="E18" s="4" t="n">
        <f aca="false">(E6-D6)*Assumptions!$B$37/100</f>
        <v>1379.07391104</v>
      </c>
      <c r="F18" s="4" t="n">
        <f aca="false">(F6-E6)*Assumptions!$B$37/100</f>
        <v>1218.181954752</v>
      </c>
      <c r="G18" s="4" t="n">
        <f aca="false">(G6-F6)*Assumptions!$B$37/100</f>
        <v>1023.27284199168</v>
      </c>
      <c r="H18" s="4" t="n">
        <f aca="false">(H6-G6)*Assumptions!$B$37/100</f>
        <v>931.178286212425</v>
      </c>
      <c r="I18" s="4" t="n">
        <f aca="false">(I6-H6)*Assumptions!$B$37/100</f>
        <v>826.088165339884</v>
      </c>
      <c r="J18" s="4" t="n">
        <f aca="false">(J6-I6)*Assumptions!$B$37/100</f>
        <v>850.870810300081</v>
      </c>
      <c r="K18" s="4" t="n">
        <f aca="false">(K6-J6)*Assumptions!$B$37/100</f>
        <v>730.330778840899</v>
      </c>
      <c r="L18" s="4" t="n">
        <f aca="false">(L6-K6)*Assumptions!$B$37/100</f>
        <v>748.589048311922</v>
      </c>
    </row>
    <row r="19" customFormat="false" ht="15" hidden="false" customHeight="false" outlineLevel="0" collapsed="false">
      <c r="A19" s="0" t="s">
        <v>121</v>
      </c>
      <c r="C19" s="0" t="n">
        <f aca="false">C15+C16+C17+C18</f>
        <v>2088.6767568</v>
      </c>
      <c r="D19" s="0" t="n">
        <f aca="false">D15+D16+D17+D18</f>
        <v>1927.0429706304</v>
      </c>
      <c r="E19" s="0" t="n">
        <f aca="false">E15+E16+E17+E18</f>
        <v>2028.7709535744</v>
      </c>
      <c r="F19" s="0" t="n">
        <f aca="false">F15+F16+F17+F18</f>
        <v>2294.32389357992</v>
      </c>
      <c r="G19" s="0" t="n">
        <f aca="false">G15+G16+G17+G18</f>
        <v>2378.35895754653</v>
      </c>
      <c r="H19" s="0" t="n">
        <f aca="false">H15+H16+H17+H18</f>
        <v>2765.09401326697</v>
      </c>
      <c r="I19" s="0" t="n">
        <f aca="false">I15+I16+I17+I18</f>
        <v>2974.06425534187</v>
      </c>
      <c r="J19" s="0" t="n">
        <f aca="false">J15+J16+J17+J18</f>
        <v>3392.42192066642</v>
      </c>
      <c r="K19" s="0" t="n">
        <f aca="false">K15+K16+K17+K18</f>
        <v>3365.36422889887</v>
      </c>
      <c r="L19" s="0" t="n">
        <f aca="false">L15+L16+L17+L18</f>
        <v>3449.49833462134</v>
      </c>
    </row>
    <row r="20" customFormat="false" ht="15" hidden="false" customHeight="false" outlineLevel="0" collapsed="false">
      <c r="A20" s="0" t="s">
        <v>122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123</v>
      </c>
      <c r="C21" s="0" t="n">
        <f aca="false">C19*C20</f>
        <v>1952.03435214953</v>
      </c>
      <c r="D21" s="0" t="n">
        <f aca="false">D19*D20</f>
        <v>1683.15396159525</v>
      </c>
      <c r="E21" s="0" t="n">
        <f aca="false">E19*E20</f>
        <v>1656.08142210061</v>
      </c>
      <c r="F21" s="0" t="n">
        <f aca="false">F19*F20</f>
        <v>1750.32871329835</v>
      </c>
      <c r="G21" s="0" t="n">
        <f aca="false">G19*G20</f>
        <v>1695.73706658186</v>
      </c>
      <c r="H21" s="0" t="n">
        <f aca="false">H19*H20</f>
        <v>1842.49889386204</v>
      </c>
      <c r="I21" s="0" t="n">
        <f aca="false">I19*I20</f>
        <v>1852.09774736233</v>
      </c>
      <c r="J21" s="0" t="n">
        <f aca="false">J19*J20</f>
        <v>1974.42044435387</v>
      </c>
      <c r="K21" s="0" t="n">
        <f aca="false">K19*K20</f>
        <v>1830.53516018378</v>
      </c>
      <c r="L21" s="0" t="n">
        <f aca="false">L19*L20</f>
        <v>1753.55003662465</v>
      </c>
    </row>
    <row r="23" customFormat="false" ht="15" hidden="false" customHeight="false" outlineLevel="0" collapsed="false">
      <c r="A23" s="0" t="s">
        <v>99</v>
      </c>
      <c r="C23" s="4" t="n">
        <f aca="false">Assumptions!C30</f>
        <v>0.6</v>
      </c>
      <c r="D23" s="4" t="n">
        <f aca="false">Assumptions!D30</f>
        <v>0.6</v>
      </c>
      <c r="E23" s="4" t="n">
        <f aca="false">Assumptions!E30</f>
        <v>0.6</v>
      </c>
      <c r="F23" s="4" t="n">
        <f aca="false">Assumptions!F30</f>
        <v>0.6</v>
      </c>
      <c r="G23" s="4" t="n">
        <f aca="false">Assumptions!G30</f>
        <v>0.6</v>
      </c>
      <c r="H23" s="4" t="n">
        <f aca="false">Assumptions!H30</f>
        <v>0.6</v>
      </c>
      <c r="I23" s="4" t="n">
        <f aca="false">Assumptions!I30</f>
        <v>0.6</v>
      </c>
      <c r="J23" s="4" t="n">
        <f aca="false">Assumptions!J30</f>
        <v>0.6</v>
      </c>
      <c r="K23" s="4" t="n">
        <f aca="false">Assumptions!K30</f>
        <v>0.6</v>
      </c>
      <c r="L23" s="4" t="n">
        <f aca="false">Assumptions!L30</f>
        <v>0.6</v>
      </c>
    </row>
    <row r="24" customFormat="false" ht="15" hidden="false" customHeight="false" outlineLevel="0" collapsed="false">
      <c r="A24" s="0" t="s">
        <v>124</v>
      </c>
      <c r="C24" s="0" t="n">
        <f aca="false">-C6*C23/100</f>
        <v>-851.280192</v>
      </c>
      <c r="D24" s="0" t="n">
        <f aca="false">-D6*D23/100</f>
        <v>-919.38260736</v>
      </c>
      <c r="E24" s="0" t="n">
        <f aca="false">-E6*E23/100</f>
        <v>-974.5455638016</v>
      </c>
      <c r="F24" s="0" t="n">
        <f aca="false">-F6*F23/100</f>
        <v>-1023.27284199168</v>
      </c>
      <c r="G24" s="0" t="n">
        <f aca="false">-G6*G23/100</f>
        <v>-1064.20375567135</v>
      </c>
      <c r="H24" s="0" t="n">
        <f aca="false">-H6*H23/100</f>
        <v>-1101.45088711984</v>
      </c>
      <c r="I24" s="0" t="n">
        <f aca="false">-I6*I23/100</f>
        <v>-1134.49441373344</v>
      </c>
      <c r="J24" s="0" t="n">
        <f aca="false">-J6*J23/100</f>
        <v>-1168.52924614544</v>
      </c>
      <c r="K24" s="0" t="n">
        <f aca="false">-K6*K23/100</f>
        <v>-1197.74247729908</v>
      </c>
      <c r="L24" s="0" t="n">
        <f aca="false">-L6*L23/100</f>
        <v>-1227.68603923156</v>
      </c>
    </row>
    <row r="26" customFormat="false" ht="15" hidden="false" customHeight="false" outlineLevel="0" collapsed="false">
      <c r="A26" s="2" t="s">
        <v>125</v>
      </c>
    </row>
    <row r="27" customFormat="false" ht="15" hidden="false" customHeight="false" outlineLevel="0" collapsed="false">
      <c r="A27" s="0" t="s">
        <v>103</v>
      </c>
      <c r="B27" s="4" t="n">
        <f aca="false">Assumptions!$B$34</f>
        <v>7</v>
      </c>
    </row>
    <row r="28" customFormat="false" ht="15" hidden="false" customHeight="false" outlineLevel="0" collapsed="false">
      <c r="A28" s="0" t="s">
        <v>104</v>
      </c>
      <c r="B28" s="4" t="n">
        <f aca="false">Assumptions!$B$35</f>
        <v>2</v>
      </c>
    </row>
    <row r="29" customFormat="false" ht="15" hidden="false" customHeight="false" outlineLevel="0" collapsed="false">
      <c r="A29" s="0" t="s">
        <v>105</v>
      </c>
      <c r="B29" s="4" t="n">
        <f aca="false">Assumptions!$B$36</f>
        <v>12</v>
      </c>
    </row>
    <row r="30" customFormat="false" ht="15" hidden="false" customHeight="false" outlineLevel="0" collapsed="false">
      <c r="A30" s="0" t="s">
        <v>126</v>
      </c>
      <c r="B30" s="0" t="n">
        <f aca="false">SUM(C21:L21)</f>
        <v>17990.4377981123</v>
      </c>
    </row>
    <row r="31" customFormat="false" ht="15" hidden="false" customHeight="false" outlineLevel="0" collapsed="false">
      <c r="A31" s="0" t="s">
        <v>127</v>
      </c>
      <c r="B31" s="0" t="n">
        <f aca="false">L19</f>
        <v>3449.49833462134</v>
      </c>
    </row>
    <row r="32" customFormat="false" ht="15" hidden="false" customHeight="false" outlineLevel="0" collapsed="false">
      <c r="A32" s="0" t="s">
        <v>128</v>
      </c>
      <c r="B32" s="0" t="n">
        <f aca="false">IF(B27&gt;B28,B31*(1+B28/100)/((B27-B28)/100),B31*B29)</f>
        <v>70369.7660262754</v>
      </c>
    </row>
    <row r="33" customFormat="false" ht="15" hidden="false" customHeight="false" outlineLevel="0" collapsed="false">
      <c r="A33" s="0" t="s">
        <v>129</v>
      </c>
      <c r="B33" s="0" t="n">
        <f aca="false">B31*B29</f>
        <v>41393.9800154561</v>
      </c>
    </row>
    <row r="34" customFormat="false" ht="15" hidden="false" customHeight="false" outlineLevel="0" collapsed="false">
      <c r="A34" s="0" t="s">
        <v>130</v>
      </c>
      <c r="B34" s="0" t="n">
        <f aca="false">MAX(0,MIN(B32,B33))</f>
        <v>41393.9800154561</v>
      </c>
    </row>
    <row r="35" customFormat="false" ht="15" hidden="false" customHeight="false" outlineLevel="0" collapsed="false">
      <c r="A35" s="0" t="s">
        <v>131</v>
      </c>
      <c r="B35" s="0" t="n">
        <f aca="false">B34/(1+B27/100)^L4</f>
        <v>21042.6004394958</v>
      </c>
    </row>
    <row r="36" customFormat="false" ht="15" hidden="false" customHeight="false" outlineLevel="0" collapsed="false">
      <c r="A36" s="0" t="s">
        <v>132</v>
      </c>
      <c r="B36" s="0" t="n">
        <f aca="false">B30+B35</f>
        <v>39033.038237608</v>
      </c>
    </row>
    <row r="37" customFormat="false" ht="15" hidden="false" customHeight="false" outlineLevel="0" collapsed="false">
      <c r="A37" s="0" t="s">
        <v>133</v>
      </c>
      <c r="B37" s="0" t="n">
        <f aca="false">B36+Assumptions!$B$5-Assumptions!$B$4</f>
        <v>48794.038237608</v>
      </c>
    </row>
    <row r="38" customFormat="false" ht="15" hidden="false" customHeight="false" outlineLevel="0" collapsed="false">
      <c r="A38" s="0" t="s">
        <v>134</v>
      </c>
      <c r="B38" s="0" t="n">
        <f aca="false">B37/Assumptions!$B$3*Assumptions!$B$10</f>
        <v>3.68966741138506</v>
      </c>
    </row>
    <row r="39" customFormat="false" ht="15" hidden="false" customHeight="false" outlineLevel="0" collapsed="false">
      <c r="A39" s="0" t="s">
        <v>135</v>
      </c>
      <c r="B39" s="4" t="n">
        <f aca="false">B38/Assumptions!$B$2-1</f>
        <v>0.472921122309406</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3.68966741138506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27065.2946254905</v>
      </c>
    </row>
    <row r="47" customFormat="false" ht="15" hidden="false" customHeight="false" outlineLevel="0" collapsed="false">
      <c r="A47" s="0" t="s">
        <v>140</v>
      </c>
      <c r="B47" s="0" t="n">
        <f aca="false">(SUMPRODUCT(C19:L19/(1+B45/100)^C4:L4)+B46/(1+B45/100)^L4+Assumptions!$B$5-Assumptions!$B$4)/Assumptions!$B$3*Assumptions!$B$10</f>
        <v>2.17660084515193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15</v>
      </c>
      <c r="D5" s="4" t="n">
        <f aca="false">Assumptions!D41</f>
        <v>11</v>
      </c>
      <c r="E5" s="4" t="n">
        <f aca="false">Assumptions!E41</f>
        <v>8</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126678.6</v>
      </c>
      <c r="C6" s="0" t="n">
        <f aca="false">B6*(1+C5/100)</f>
        <v>145680.39</v>
      </c>
      <c r="D6" s="0" t="n">
        <f aca="false">C6*(1+D5/100)</f>
        <v>161705.2329</v>
      </c>
      <c r="E6" s="0" t="n">
        <f aca="false">D6*(1+E5/100)</f>
        <v>174641.651532</v>
      </c>
      <c r="F6" s="0" t="n">
        <f aca="false">E6*(1+F5/100)</f>
        <v>186866.56713924</v>
      </c>
      <c r="G6" s="0" t="n">
        <f aca="false">F6*(1+G5/100)</f>
        <v>198078.561167594</v>
      </c>
      <c r="H6" s="0" t="n">
        <f aca="false">G6*(1+H5/100)</f>
        <v>207982.489225974</v>
      </c>
      <c r="I6" s="0" t="n">
        <f aca="false">H6*(1+I5/100)</f>
        <v>216301.788795013</v>
      </c>
      <c r="J6" s="0" t="n">
        <f aca="false">I6*(1+J5/100)</f>
        <v>223872.351402839</v>
      </c>
      <c r="K6" s="0" t="n">
        <f aca="false">J6*(1+K5/100)</f>
        <v>230588.521944924</v>
      </c>
      <c r="L6" s="0" t="n">
        <f aca="false">K6*(1+L5/100)</f>
        <v>237506.177603271</v>
      </c>
    </row>
    <row r="7" customFormat="false" ht="15" hidden="false" customHeight="false" outlineLevel="0" collapsed="false">
      <c r="A7" s="0" t="s">
        <v>97</v>
      </c>
      <c r="C7" s="4" t="n">
        <f aca="false">Assumptions!C42</f>
        <v>5.6</v>
      </c>
      <c r="D7" s="4" t="n">
        <f aca="false">Assumptions!D42</f>
        <v>5.9</v>
      </c>
      <c r="E7" s="4" t="n">
        <f aca="false">Assumptions!E42</f>
        <v>6.2</v>
      </c>
      <c r="F7" s="4" t="n">
        <f aca="false">Assumptions!F42</f>
        <v>6.5</v>
      </c>
      <c r="G7" s="4" t="n">
        <f aca="false">Assumptions!G42</f>
        <v>6.7</v>
      </c>
      <c r="H7" s="4" t="n">
        <f aca="false">Assumptions!H42</f>
        <v>6.9</v>
      </c>
      <c r="I7" s="4" t="n">
        <f aca="false">Assumptions!I42</f>
        <v>7</v>
      </c>
      <c r="J7" s="4" t="n">
        <f aca="false">Assumptions!J42</f>
        <v>7</v>
      </c>
      <c r="K7" s="4" t="n">
        <f aca="false">Assumptions!K42</f>
        <v>7</v>
      </c>
      <c r="L7" s="4" t="n">
        <f aca="false">Assumptions!L42</f>
        <v>7</v>
      </c>
    </row>
    <row r="8" customFormat="false" ht="15" hidden="false" customHeight="false" outlineLevel="0" collapsed="false">
      <c r="A8" s="0" t="s">
        <v>44</v>
      </c>
      <c r="C8" s="0" t="n">
        <f aca="false">C6*C7/100</f>
        <v>8158.10184</v>
      </c>
      <c r="D8" s="0" t="n">
        <f aca="false">D6*D7/100</f>
        <v>9540.6087411</v>
      </c>
      <c r="E8" s="0" t="n">
        <f aca="false">E6*E7/100</f>
        <v>10827.782394984</v>
      </c>
      <c r="F8" s="0" t="n">
        <f aca="false">F6*F7/100</f>
        <v>12146.3268640506</v>
      </c>
      <c r="G8" s="0" t="n">
        <f aca="false">G6*G7/100</f>
        <v>13271.2635982288</v>
      </c>
      <c r="H8" s="0" t="n">
        <f aca="false">H6*H7/100</f>
        <v>14350.7917565922</v>
      </c>
      <c r="I8" s="0" t="n">
        <f aca="false">I6*I7/100</f>
        <v>15141.1252156509</v>
      </c>
      <c r="J8" s="0" t="n">
        <f aca="false">J6*J7/100</f>
        <v>15671.0645981987</v>
      </c>
      <c r="K8" s="0" t="n">
        <f aca="false">K6*K7/100</f>
        <v>16141.1965361447</v>
      </c>
      <c r="L8" s="0" t="n">
        <f aca="false">L6*L7/100</f>
        <v>16625.432432229</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7284.0195</v>
      </c>
      <c r="D11" s="0" t="n">
        <f aca="false">D8+D10+D24</f>
        <v>8570.3773437</v>
      </c>
      <c r="E11" s="0" t="n">
        <f aca="false">E8+E10+E24</f>
        <v>9779.932485792</v>
      </c>
      <c r="F11" s="0" t="n">
        <f aca="false">F8+F10+F24</f>
        <v>11025.1274612152</v>
      </c>
      <c r="G11" s="0" t="n">
        <f aca="false">G8+G10+G24</f>
        <v>12082.7922312233</v>
      </c>
      <c r="H11" s="0" t="n">
        <f aca="false">H8+H10+H24</f>
        <v>13102.8968212364</v>
      </c>
      <c r="I11" s="0" t="n">
        <f aca="false">I8+I10+I24</f>
        <v>13843.3144828808</v>
      </c>
      <c r="J11" s="0" t="n">
        <f aca="false">J8+J10+J24</f>
        <v>14327.8304897817</v>
      </c>
      <c r="K11" s="0" t="n">
        <f aca="false">K8+K10+K24</f>
        <v>14757.6654044751</v>
      </c>
      <c r="L11" s="0" t="n">
        <f aca="false">L8+L10+L24</f>
        <v>15200.3953666094</v>
      </c>
    </row>
    <row r="12" customFormat="false" ht="15" hidden="false" customHeight="false" outlineLevel="0" collapsed="false">
      <c r="A12" s="0" t="s">
        <v>115</v>
      </c>
      <c r="C12" s="4" t="n">
        <f aca="false">-C6*Assumptions!C45/100</f>
        <v>-3496.32936</v>
      </c>
      <c r="D12" s="4" t="n">
        <f aca="false">-D6*Assumptions!D45/100</f>
        <v>-3961.77820605</v>
      </c>
      <c r="E12" s="4" t="n">
        <f aca="false">-E6*Assumptions!E45/100</f>
        <v>-4366.0412883</v>
      </c>
      <c r="F12" s="4" t="n">
        <f aca="false">-F6*Assumptions!F45/100</f>
        <v>-4765.09746205062</v>
      </c>
      <c r="G12" s="4" t="n">
        <f aca="false">-G6*Assumptions!G45/100</f>
        <v>-5150.04259035746</v>
      </c>
      <c r="H12" s="4" t="n">
        <f aca="false">-H6*Assumptions!H45/100</f>
        <v>-5511.53596448832</v>
      </c>
      <c r="I12" s="4" t="n">
        <f aca="false">-I6*Assumptions!I45/100</f>
        <v>-5840.14829746536</v>
      </c>
      <c r="J12" s="4" t="n">
        <f aca="false">-J6*Assumptions!J45/100</f>
        <v>-6156.48966357806</v>
      </c>
      <c r="K12" s="4" t="n">
        <f aca="false">-K6*Assumptions!K45/100</f>
        <v>-6456.47861445787</v>
      </c>
      <c r="L12" s="4" t="n">
        <f aca="false">-L6*Assumptions!L45/100</f>
        <v>-6650.1729728916</v>
      </c>
    </row>
    <row r="13" customFormat="false" ht="15" hidden="false" customHeight="false" outlineLevel="0" collapsed="false">
      <c r="A13" s="0" t="s">
        <v>116</v>
      </c>
      <c r="C13" s="0" t="n">
        <f aca="false">C11+C12</f>
        <v>3787.69014</v>
      </c>
      <c r="D13" s="0" t="n">
        <f aca="false">D11+D12</f>
        <v>4608.59913765</v>
      </c>
      <c r="E13" s="0" t="n">
        <f aca="false">E11+E12</f>
        <v>5413.891197492</v>
      </c>
      <c r="F13" s="0" t="n">
        <f aca="false">F11+F12</f>
        <v>6260.02999916454</v>
      </c>
      <c r="G13" s="0" t="n">
        <f aca="false">G11+G12</f>
        <v>6932.74964086581</v>
      </c>
      <c r="H13" s="0" t="n">
        <f aca="false">H11+H12</f>
        <v>7591.36085674806</v>
      </c>
      <c r="I13" s="0" t="n">
        <f aca="false">I11+I12</f>
        <v>8003.16618541549</v>
      </c>
      <c r="J13" s="0" t="n">
        <f aca="false">J11+J12</f>
        <v>8171.34082620361</v>
      </c>
      <c r="K13" s="0" t="n">
        <f aca="false">K11+K12</f>
        <v>8301.18679001726</v>
      </c>
      <c r="L13" s="0" t="n">
        <f aca="false">L11+L12</f>
        <v>8550.22239371777</v>
      </c>
    </row>
    <row r="14" customFormat="false" ht="15" hidden="false" customHeight="false" outlineLevel="0" collapsed="false">
      <c r="A14" s="0" t="s">
        <v>102</v>
      </c>
      <c r="C14" s="4" t="n">
        <f aca="false">Assumptions!C47</f>
        <v>42</v>
      </c>
      <c r="D14" s="4" t="n">
        <f aca="false">Assumptions!D47</f>
        <v>38</v>
      </c>
      <c r="E14" s="4" t="n">
        <f aca="false">Assumptions!E47</f>
        <v>34</v>
      </c>
      <c r="F14" s="4" t="n">
        <f aca="false">Assumptions!F47</f>
        <v>30</v>
      </c>
      <c r="G14" s="4" t="n">
        <f aca="false">Assumptions!G47</f>
        <v>28</v>
      </c>
      <c r="H14" s="4" t="n">
        <f aca="false">Assumptions!H47</f>
        <v>26</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117</v>
      </c>
      <c r="C15" s="0" t="n">
        <f aca="false">C13-MAX(0,C13)*C14/100</f>
        <v>2196.8602812</v>
      </c>
      <c r="D15" s="0" t="n">
        <f aca="false">D13-MAX(0,D13)*D14/100</f>
        <v>2857.331465343</v>
      </c>
      <c r="E15" s="0" t="n">
        <f aca="false">E13-MAX(0,E13)*E14/100</f>
        <v>3573.16819034472</v>
      </c>
      <c r="F15" s="0" t="n">
        <f aca="false">F13-MAX(0,F13)*F14/100</f>
        <v>4382.02099941518</v>
      </c>
      <c r="G15" s="0" t="n">
        <f aca="false">G13-MAX(0,G13)*G14/100</f>
        <v>4991.57974142338</v>
      </c>
      <c r="H15" s="0" t="n">
        <f aca="false">H13-MAX(0,H13)*H14/100</f>
        <v>5617.60703399356</v>
      </c>
      <c r="I15" s="0" t="n">
        <f aca="false">I13-MAX(0,I13)*I14/100</f>
        <v>6002.37463906161</v>
      </c>
      <c r="J15" s="0" t="n">
        <f aca="false">J13-MAX(0,J13)*J14/100</f>
        <v>6128.50561965271</v>
      </c>
      <c r="K15" s="0" t="n">
        <f aca="false">K13-MAX(0,K13)*K14/100</f>
        <v>6225.89009251294</v>
      </c>
      <c r="L15" s="0" t="n">
        <f aca="false">L13-MAX(0,L13)*L14/100</f>
        <v>6412.66679528833</v>
      </c>
    </row>
    <row r="16" customFormat="false" ht="15" hidden="false" customHeight="false" outlineLevel="0" collapsed="false">
      <c r="A16" s="0" t="s">
        <v>118</v>
      </c>
      <c r="C16" s="0" t="n">
        <f aca="false">-C12</f>
        <v>3496.32936</v>
      </c>
      <c r="D16" s="0" t="n">
        <f aca="false">-D12</f>
        <v>3961.77820605</v>
      </c>
      <c r="E16" s="0" t="n">
        <f aca="false">-E12</f>
        <v>4366.0412883</v>
      </c>
      <c r="F16" s="0" t="n">
        <f aca="false">-F12</f>
        <v>4765.09746205062</v>
      </c>
      <c r="G16" s="0" t="n">
        <f aca="false">-G12</f>
        <v>5150.04259035746</v>
      </c>
      <c r="H16" s="0" t="n">
        <f aca="false">-H12</f>
        <v>5511.53596448832</v>
      </c>
      <c r="I16" s="0" t="n">
        <f aca="false">-I12</f>
        <v>5840.14829746536</v>
      </c>
      <c r="J16" s="0" t="n">
        <f aca="false">-J12</f>
        <v>6156.48966357806</v>
      </c>
      <c r="K16" s="0" t="n">
        <f aca="false">-K12</f>
        <v>6456.47861445787</v>
      </c>
      <c r="L16" s="0" t="n">
        <f aca="false">-L12</f>
        <v>6650.1729728916</v>
      </c>
    </row>
    <row r="17" customFormat="false" ht="15" hidden="false" customHeight="false" outlineLevel="0" collapsed="false">
      <c r="A17" s="0" t="s">
        <v>119</v>
      </c>
      <c r="C17" s="4" t="n">
        <f aca="false">-C6*Assumptions!C46/100</f>
        <v>-5535.85482</v>
      </c>
      <c r="D17" s="4" t="n">
        <f aca="false">-D6*Assumptions!D46/100</f>
        <v>-5821.3883844</v>
      </c>
      <c r="E17" s="4" t="n">
        <f aca="false">-E6*Assumptions!E46/100</f>
        <v>-6112.45780362</v>
      </c>
      <c r="F17" s="4" t="n">
        <f aca="false">-F6*Assumptions!F46/100</f>
        <v>-6353.46328273416</v>
      </c>
      <c r="G17" s="4" t="n">
        <f aca="false">-G6*Assumptions!G46/100</f>
        <v>-6536.59251853062</v>
      </c>
      <c r="H17" s="4" t="n">
        <f aca="false">-H6*Assumptions!H46/100</f>
        <v>-6655.43965523118</v>
      </c>
      <c r="I17" s="4" t="n">
        <f aca="false">-I6*Assumptions!I46/100</f>
        <v>-6921.65724144042</v>
      </c>
      <c r="J17" s="4" t="n">
        <f aca="false">-J6*Assumptions!J46/100</f>
        <v>-6940.042893488</v>
      </c>
      <c r="K17" s="4" t="n">
        <f aca="false">-K6*Assumptions!K46/100</f>
        <v>-7148.24418029264</v>
      </c>
      <c r="L17" s="4" t="n">
        <f aca="false">-L6*Assumptions!L46/100</f>
        <v>-7362.69150570142</v>
      </c>
    </row>
    <row r="18" customFormat="false" ht="15" hidden="false" customHeight="false" outlineLevel="0" collapsed="false">
      <c r="A18" s="0" t="s">
        <v>120</v>
      </c>
      <c r="C18" s="4" t="n">
        <f aca="false">(C6-B6)*Assumptions!$B$51/100</f>
        <v>3800.358</v>
      </c>
      <c r="D18" s="4" t="n">
        <f aca="false">(D6-C6)*Assumptions!$B$51/100</f>
        <v>3204.96858</v>
      </c>
      <c r="E18" s="4" t="n">
        <f aca="false">(E6-D6)*Assumptions!$B$51/100</f>
        <v>2587.2837264</v>
      </c>
      <c r="F18" s="4" t="n">
        <f aca="false">(F6-E6)*Assumptions!$B$51/100</f>
        <v>2444.983121448</v>
      </c>
      <c r="G18" s="4" t="n">
        <f aca="false">(G6-F6)*Assumptions!$B$51/100</f>
        <v>2242.39880567088</v>
      </c>
      <c r="H18" s="4" t="n">
        <f aca="false">(H6-G6)*Assumptions!$B$51/100</f>
        <v>1980.78561167595</v>
      </c>
      <c r="I18" s="4" t="n">
        <f aca="false">(I6-H6)*Assumptions!$B$51/100</f>
        <v>1663.85991380779</v>
      </c>
      <c r="J18" s="4" t="n">
        <f aca="false">(J6-I6)*Assumptions!$B$51/100</f>
        <v>1514.11252156509</v>
      </c>
      <c r="K18" s="4" t="n">
        <f aca="false">(K6-J6)*Assumptions!$B$51/100</f>
        <v>1343.23410841703</v>
      </c>
      <c r="L18" s="4" t="n">
        <f aca="false">(L6-K6)*Assumptions!$B$51/100</f>
        <v>1383.53113166954</v>
      </c>
    </row>
    <row r="19" customFormat="false" ht="15" hidden="false" customHeight="false" outlineLevel="0" collapsed="false">
      <c r="A19" s="0" t="s">
        <v>121</v>
      </c>
      <c r="C19" s="0" t="n">
        <f aca="false">C15+C16+C17+C18</f>
        <v>3957.6928212</v>
      </c>
      <c r="D19" s="0" t="n">
        <f aca="false">D15+D16+D17+D18</f>
        <v>4202.689866993</v>
      </c>
      <c r="E19" s="0" t="n">
        <f aca="false">E15+E16+E17+E18</f>
        <v>4414.03540142472</v>
      </c>
      <c r="F19" s="0" t="n">
        <f aca="false">F15+F16+F17+F18</f>
        <v>5238.63830017965</v>
      </c>
      <c r="G19" s="0" t="n">
        <f aca="false">G15+G16+G17+G18</f>
        <v>5847.4286189211</v>
      </c>
      <c r="H19" s="0" t="n">
        <f aca="false">H15+H16+H17+H18</f>
        <v>6454.48895492665</v>
      </c>
      <c r="I19" s="0" t="n">
        <f aca="false">I15+I16+I17+I18</f>
        <v>6584.72560889434</v>
      </c>
      <c r="J19" s="0" t="n">
        <f aca="false">J15+J16+J17+J18</f>
        <v>6859.06491130786</v>
      </c>
      <c r="K19" s="0" t="n">
        <f aca="false">K15+K16+K17+K18</f>
        <v>6877.3586350952</v>
      </c>
      <c r="L19" s="0" t="n">
        <f aca="false">L15+L16+L17+L18</f>
        <v>7083.67939414806</v>
      </c>
    </row>
    <row r="20" customFormat="false" ht="15" hidden="false" customHeight="false" outlineLevel="0" collapsed="false">
      <c r="A20" s="0" t="s">
        <v>122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123</v>
      </c>
      <c r="C21" s="0" t="n">
        <f aca="false">C19*C20</f>
        <v>3698.77833757009</v>
      </c>
      <c r="D21" s="0" t="n">
        <f aca="false">D19*D20</f>
        <v>3670.79209275308</v>
      </c>
      <c r="E21" s="0" t="n">
        <f aca="false">E19*E20</f>
        <v>3603.16772670406</v>
      </c>
      <c r="F21" s="0" t="n">
        <f aca="false">F19*F20</f>
        <v>3996.53207685584</v>
      </c>
      <c r="G21" s="0" t="n">
        <f aca="false">G19*G20</f>
        <v>4169.13579080802</v>
      </c>
      <c r="H21" s="0" t="n">
        <f aca="false">H19*H20</f>
        <v>4300.89852382494</v>
      </c>
      <c r="I21" s="0" t="n">
        <f aca="false">I19*I20</f>
        <v>4100.63617331981</v>
      </c>
      <c r="J21" s="0" t="n">
        <f aca="false">J19*J20</f>
        <v>3992.03822718376</v>
      </c>
      <c r="K21" s="0" t="n">
        <f aca="false">K19*K20</f>
        <v>3740.82742148074</v>
      </c>
      <c r="L21" s="0" t="n">
        <f aca="false">L19*L20</f>
        <v>3600.98340572445</v>
      </c>
    </row>
    <row r="23" customFormat="false" ht="15" hidden="false" customHeight="false" outlineLevel="0" collapsed="false">
      <c r="A23" s="0" t="s">
        <v>99</v>
      </c>
      <c r="C23" s="4" t="n">
        <f aca="false">Assumptions!C44</f>
        <v>0.6</v>
      </c>
      <c r="D23" s="4" t="n">
        <f aca="false">Assumptions!D44</f>
        <v>0.6</v>
      </c>
      <c r="E23" s="4" t="n">
        <f aca="false">Assumptions!E44</f>
        <v>0.6</v>
      </c>
      <c r="F23" s="4" t="n">
        <f aca="false">Assumptions!F44</f>
        <v>0.6</v>
      </c>
      <c r="G23" s="4" t="n">
        <f aca="false">Assumptions!G44</f>
        <v>0.6</v>
      </c>
      <c r="H23" s="4" t="n">
        <f aca="false">Assumptions!H44</f>
        <v>0.6</v>
      </c>
      <c r="I23" s="4" t="n">
        <f aca="false">Assumptions!I44</f>
        <v>0.6</v>
      </c>
      <c r="J23" s="4" t="n">
        <f aca="false">Assumptions!J44</f>
        <v>0.6</v>
      </c>
      <c r="K23" s="4" t="n">
        <f aca="false">Assumptions!K44</f>
        <v>0.6</v>
      </c>
      <c r="L23" s="4" t="n">
        <f aca="false">Assumptions!L44</f>
        <v>0.6</v>
      </c>
    </row>
    <row r="24" customFormat="false" ht="15" hidden="false" customHeight="false" outlineLevel="0" collapsed="false">
      <c r="A24" s="0" t="s">
        <v>124</v>
      </c>
      <c r="C24" s="0" t="n">
        <f aca="false">-C6*C23/100</f>
        <v>-874.08234</v>
      </c>
      <c r="D24" s="0" t="n">
        <f aca="false">-D6*D23/100</f>
        <v>-970.2313974</v>
      </c>
      <c r="E24" s="0" t="n">
        <f aca="false">-E6*E23/100</f>
        <v>-1047.849909192</v>
      </c>
      <c r="F24" s="0" t="n">
        <f aca="false">-F6*F23/100</f>
        <v>-1121.19940283544</v>
      </c>
      <c r="G24" s="0" t="n">
        <f aca="false">-G6*G23/100</f>
        <v>-1188.47136700557</v>
      </c>
      <c r="H24" s="0" t="n">
        <f aca="false">-H6*H23/100</f>
        <v>-1247.89493535585</v>
      </c>
      <c r="I24" s="0" t="n">
        <f aca="false">-I6*I23/100</f>
        <v>-1297.81073277008</v>
      </c>
      <c r="J24" s="0" t="n">
        <f aca="false">-J6*J23/100</f>
        <v>-1343.23410841703</v>
      </c>
      <c r="K24" s="0" t="n">
        <f aca="false">-K6*K23/100</f>
        <v>-1383.53113166954</v>
      </c>
      <c r="L24" s="0" t="n">
        <f aca="false">-L6*L23/100</f>
        <v>-1425.03706561963</v>
      </c>
    </row>
    <row r="26" customFormat="false" ht="15" hidden="false" customHeight="false" outlineLevel="0" collapsed="false">
      <c r="A26" s="2" t="s">
        <v>125</v>
      </c>
    </row>
    <row r="27" customFormat="false" ht="15" hidden="false" customHeight="false" outlineLevel="0" collapsed="false">
      <c r="A27" s="0" t="s">
        <v>103</v>
      </c>
      <c r="B27" s="4" t="n">
        <f aca="false">Assumptions!$B$48</f>
        <v>7</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12</v>
      </c>
    </row>
    <row r="30" customFormat="false" ht="15" hidden="false" customHeight="false" outlineLevel="0" collapsed="false">
      <c r="A30" s="0" t="s">
        <v>126</v>
      </c>
      <c r="B30" s="0" t="n">
        <f aca="false">SUM(C21:L21)</f>
        <v>38873.7897762248</v>
      </c>
    </row>
    <row r="31" customFormat="false" ht="15" hidden="false" customHeight="false" outlineLevel="0" collapsed="false">
      <c r="A31" s="0" t="s">
        <v>127</v>
      </c>
      <c r="B31" s="0" t="n">
        <f aca="false">L19</f>
        <v>7083.67939414806</v>
      </c>
    </row>
    <row r="32" customFormat="false" ht="15" hidden="false" customHeight="false" outlineLevel="0" collapsed="false">
      <c r="A32" s="0" t="s">
        <v>128</v>
      </c>
      <c r="B32" s="0" t="n">
        <f aca="false">IF(B27&gt;B28,B31*(1+B28/100)/((B27-B28)/100),B31*B29)</f>
        <v>161350.475088928</v>
      </c>
    </row>
    <row r="33" customFormat="false" ht="15" hidden="false" customHeight="false" outlineLevel="0" collapsed="false">
      <c r="A33" s="0" t="s">
        <v>129</v>
      </c>
      <c r="B33" s="0" t="n">
        <f aca="false">B31*B29</f>
        <v>85004.1527297767</v>
      </c>
    </row>
    <row r="34" customFormat="false" ht="15" hidden="false" customHeight="false" outlineLevel="0" collapsed="false">
      <c r="A34" s="0" t="s">
        <v>130</v>
      </c>
      <c r="B34" s="0" t="n">
        <f aca="false">MAX(0,MIN(B32,B33))</f>
        <v>85004.1527297767</v>
      </c>
    </row>
    <row r="35" customFormat="false" ht="15" hidden="false" customHeight="false" outlineLevel="0" collapsed="false">
      <c r="A35" s="0" t="s">
        <v>131</v>
      </c>
      <c r="B35" s="0" t="n">
        <f aca="false">B34/(1+B27/100)^L4</f>
        <v>43211.8008686934</v>
      </c>
    </row>
    <row r="36" customFormat="false" ht="15" hidden="false" customHeight="false" outlineLevel="0" collapsed="false">
      <c r="A36" s="0" t="s">
        <v>132</v>
      </c>
      <c r="B36" s="0" t="n">
        <f aca="false">B30+B35</f>
        <v>82085.5906449182</v>
      </c>
    </row>
    <row r="37" customFormat="false" ht="15" hidden="false" customHeight="false" outlineLevel="0" collapsed="false">
      <c r="A37" s="0" t="s">
        <v>133</v>
      </c>
      <c r="B37" s="0" t="n">
        <f aca="false">B36+Assumptions!$B$5-Assumptions!$B$4</f>
        <v>91846.5906449182</v>
      </c>
    </row>
    <row r="38" customFormat="false" ht="15" hidden="false" customHeight="false" outlineLevel="0" collapsed="false">
      <c r="A38" s="0" t="s">
        <v>134</v>
      </c>
      <c r="B38" s="0" t="n">
        <f aca="false">B37/Assumptions!$B$3*Assumptions!$B$10</f>
        <v>6.94517987421226</v>
      </c>
    </row>
    <row r="39" customFormat="false" ht="15" hidden="false" customHeight="false" outlineLevel="0" collapsed="false">
      <c r="A39" s="0" t="s">
        <v>135</v>
      </c>
      <c r="B39" s="4" t="n">
        <f aca="false">B38/Assumptions!$B$2-1</f>
        <v>1.77252689589312</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6.94517987421226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58086.1710320141</v>
      </c>
    </row>
    <row r="47" customFormat="false" ht="15" hidden="false" customHeight="false" outlineLevel="0" collapsed="false">
      <c r="A47" s="0" t="s">
        <v>140</v>
      </c>
      <c r="B47" s="0" t="n">
        <f aca="false">(SUMPRODUCT(C19:L19/(1+B45/100)^C4:L4)+B46/(1+B45/100)^L4+Assumptions!$B$5-Assumptions!$B$4)/Assumptions!$B$3*Assumptions!$B$10</f>
        <v>3.83811045278401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0.604926987625057</v>
      </c>
      <c r="C4" s="0" t="n">
        <f aca="false">B4/Assumptions!$B$2-1</f>
        <v>-0.7585121805888</v>
      </c>
      <c r="D4" s="4" t="n">
        <f aca="false">Assumptions!$B$24</f>
        <v>0.3</v>
      </c>
      <c r="E4" s="4" t="n">
        <f aca="false">DCF_Bear!$B$43</f>
        <v>0.604926987625057</v>
      </c>
      <c r="F4" s="4" t="n">
        <f aca="false">DCF_Bear!$B$47</f>
        <v>0.569224754835334</v>
      </c>
    </row>
    <row r="5" customFormat="false" ht="15" hidden="false" customHeight="false" outlineLevel="0" collapsed="false">
      <c r="A5" s="0" t="s">
        <v>149</v>
      </c>
      <c r="B5" s="4" t="n">
        <f aca="false">DCF_Base!$B$38</f>
        <v>3.68966741138506</v>
      </c>
      <c r="C5" s="0" t="n">
        <f aca="false">B5/Assumptions!$B$2-1</f>
        <v>0.472921122309406</v>
      </c>
      <c r="D5" s="4" t="n">
        <f aca="false">Assumptions!$B$38</f>
        <v>0.5</v>
      </c>
      <c r="E5" s="4" t="n">
        <f aca="false">DCF_Base!$B$43</f>
        <v>3.68966741138506</v>
      </c>
      <c r="F5" s="4" t="n">
        <f aca="false">DCF_Base!$B$47</f>
        <v>2.17660084515193</v>
      </c>
    </row>
    <row r="6" customFormat="false" ht="15" hidden="false" customHeight="false" outlineLevel="0" collapsed="false">
      <c r="A6" s="0" t="s">
        <v>150</v>
      </c>
      <c r="B6" s="4" t="n">
        <f aca="false">DCF_Bull!$B$38</f>
        <v>6.94517987421226</v>
      </c>
      <c r="C6" s="0" t="n">
        <f aca="false">B6/Assumptions!$B$2-1</f>
        <v>1.77252689589312</v>
      </c>
      <c r="D6" s="4" t="n">
        <f aca="false">Assumptions!$B$52</f>
        <v>0.2</v>
      </c>
      <c r="E6" s="4" t="n">
        <f aca="false">DCF_Bull!$B$43</f>
        <v>6.94517987421226</v>
      </c>
      <c r="F6" s="4" t="n">
        <f aca="false">DCF_Bull!$B$47</f>
        <v>3.83811045278401</v>
      </c>
    </row>
    <row r="8" customFormat="false" ht="15" hidden="false" customHeight="false" outlineLevel="0" collapsed="false">
      <c r="A8" s="0" t="s">
        <v>151</v>
      </c>
      <c r="B8" s="0" t="n">
        <f aca="false">SUMPRODUCT(B4:B6,D4:D6)</f>
        <v>3.4153477768225</v>
      </c>
    </row>
    <row r="9" customFormat="false" ht="15" hidden="false" customHeight="false" outlineLevel="0" collapsed="false">
      <c r="A9" s="0" t="s">
        <v>152</v>
      </c>
      <c r="B9" s="0" t="n">
        <f aca="false">SUMPRODUCT(E4:E6,D4:D6)</f>
        <v>3.4153477768225</v>
      </c>
    </row>
    <row r="10" customFormat="false" ht="15" hidden="false" customHeight="false" outlineLevel="0" collapsed="false">
      <c r="A10" s="0" t="s">
        <v>153</v>
      </c>
      <c r="B10" s="0" t="n">
        <f aca="false">1-Assumptions!$B$2/B8</f>
        <v>0.266546142972722</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2.02668993958336</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3.68966741138506</v>
      </c>
      <c r="C15" s="3" t="n">
        <v>7</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3.28987277065873</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3.11591100581827</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2.89573529542253</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2.66043508099166</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2.17660084515193</v>
      </c>
      <c r="C20" s="3" t="n">
        <v>15</v>
      </c>
    </row>
    <row r="22" customFormat="false" ht="15" hidden="false" customHeight="false" outlineLevel="0" collapsed="false">
      <c r="A22" s="2" t="s">
        <v>164</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4.17211145565846</v>
      </c>
      <c r="C24" s="0" t="n">
        <f aca="false">(SUMPRODUCT(DCF_Base!$C$19:$L$19/(1+$A$24/100)^DCF_Base!$C$4:$L$4)+MAX(0,MIN(IF($A$24&gt;$C$23,DCF_Base!$L$19*(1+$C$23/100)/(($A$24-$C$23)/100),DCF_Base!$L$19*DCF_Base!$B$29),DCF_Base!$L$19*DCF_Base!$B$29))/(1+$A$24/100)^DCF_Base!$L$4+Assumptions!$B$5-Assumptions!$B$4)/Assumptions!$B$3*Assumptions!$B$10</f>
        <v>4.17211145565846</v>
      </c>
      <c r="D24" s="0" t="n">
        <f aca="false">(SUMPRODUCT(DCF_Base!$C$19:$L$19/(1+$A$24/100)^DCF_Base!$C$4:$L$4)+MAX(0,MIN(IF($A$24&gt;$D$23,DCF_Base!$L$19*(1+$D$23/100)/(($A$24-$D$23)/100),DCF_Base!$L$19*DCF_Base!$B$29),DCF_Base!$L$19*DCF_Base!$B$29))/(1+$A$24/100)^DCF_Base!$L$4+Assumptions!$B$5-Assumptions!$B$4)/Assumptions!$B$3*Assumptions!$B$10</f>
        <v>4.17211145565846</v>
      </c>
      <c r="E24" s="0" t="n">
        <f aca="false">(SUMPRODUCT(DCF_Base!$C$19:$L$19/(1+$A$24/100)^DCF_Base!$C$4:$L$4)+MAX(0,MIN(IF($A$24&gt;$E$23,DCF_Base!$L$19*(1+$E$23/100)/(($A$24-$E$23)/100),DCF_Base!$L$19*DCF_Base!$B$29),DCF_Base!$L$19*DCF_Base!$B$29))/(1+$A$24/100)^DCF_Base!$L$4+Assumptions!$B$5-Assumptions!$B$4)/Assumptions!$B$3*Assumptions!$B$10</f>
        <v>4.17211145565846</v>
      </c>
      <c r="F24" s="0" t="n">
        <f aca="false">(SUMPRODUCT(DCF_Base!$C$19:$L$19/(1+$A$24/100)^DCF_Base!$C$4:$L$4)+MAX(0,MIN(IF($A$24&gt;$F$23,DCF_Base!$L$19*(1+$F$23/100)/(($A$24-$F$23)/100),DCF_Base!$L$19*DCF_Base!$B$29),DCF_Base!$L$19*DCF_Base!$B$29))/(1+$A$24/100)^DCF_Base!$L$4+Assumptions!$B$5-Assumptions!$B$4)/Assumptions!$B$3*Assumptions!$B$10</f>
        <v>4.17211145565846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3.91942309201605</v>
      </c>
      <c r="C25" s="0" t="n">
        <f aca="false">(SUMPRODUCT(DCF_Base!$C$19:$L$19/(1+$A$25/100)^DCF_Base!$C$4:$L$4)+MAX(0,MIN(IF($A$25&gt;$C$23,DCF_Base!$L$19*(1+$C$23/100)/(($A$25-$C$23)/100),DCF_Base!$L$19*DCF_Base!$B$29),DCF_Base!$L$19*DCF_Base!$B$29))/(1+$A$25/100)^DCF_Base!$L$4+Assumptions!$B$5-Assumptions!$B$4)/Assumptions!$B$3*Assumptions!$B$10</f>
        <v>3.91942309201605</v>
      </c>
      <c r="D25" s="0" t="n">
        <f aca="false">(SUMPRODUCT(DCF_Base!$C$19:$L$19/(1+$A$25/100)^DCF_Base!$C$4:$L$4)+MAX(0,MIN(IF($A$25&gt;$D$23,DCF_Base!$L$19*(1+$D$23/100)/(($A$25-$D$23)/100),DCF_Base!$L$19*DCF_Base!$B$29),DCF_Base!$L$19*DCF_Base!$B$29))/(1+$A$25/100)^DCF_Base!$L$4+Assumptions!$B$5-Assumptions!$B$4)/Assumptions!$B$3*Assumptions!$B$10</f>
        <v>3.91942309201605</v>
      </c>
      <c r="E25" s="0" t="n">
        <f aca="false">(SUMPRODUCT(DCF_Base!$C$19:$L$19/(1+$A$25/100)^DCF_Base!$C$4:$L$4)+MAX(0,MIN(IF($A$25&gt;$E$23,DCF_Base!$L$19*(1+$E$23/100)/(($A$25-$E$23)/100),DCF_Base!$L$19*DCF_Base!$B$29),DCF_Base!$L$19*DCF_Base!$B$29))/(1+$A$25/100)^DCF_Base!$L$4+Assumptions!$B$5-Assumptions!$B$4)/Assumptions!$B$3*Assumptions!$B$10</f>
        <v>3.91942309201605</v>
      </c>
      <c r="F25" s="0" t="n">
        <f aca="false">(SUMPRODUCT(DCF_Base!$C$19:$L$19/(1+$A$25/100)^DCF_Base!$C$4:$L$4)+MAX(0,MIN(IF($A$25&gt;$F$23,DCF_Base!$L$19*(1+$F$23/100)/(($A$25-$F$23)/100),DCF_Base!$L$19*DCF_Base!$B$29),DCF_Base!$L$19*DCF_Base!$B$29))/(1+$A$25/100)^DCF_Base!$L$4+Assumptions!$B$5-Assumptions!$B$4)/Assumptions!$B$3*Assumptions!$B$10</f>
        <v>3.91942309201605</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3.68966741138506</v>
      </c>
      <c r="C26" s="0" t="n">
        <f aca="false">(SUMPRODUCT(DCF_Base!$C$19:$L$19/(1+$A$26/100)^DCF_Base!$C$4:$L$4)+MAX(0,MIN(IF($A$26&gt;$C$23,DCF_Base!$L$19*(1+$C$23/100)/(($A$26-$C$23)/100),DCF_Base!$L$19*DCF_Base!$B$29),DCF_Base!$L$19*DCF_Base!$B$29))/(1+$A$26/100)^DCF_Base!$L$4+Assumptions!$B$5-Assumptions!$B$4)/Assumptions!$B$3*Assumptions!$B$10</f>
        <v>3.68966741138506</v>
      </c>
      <c r="D26" s="0" t="n">
        <f aca="false">(SUMPRODUCT(DCF_Base!$C$19:$L$19/(1+$A$26/100)^DCF_Base!$C$4:$L$4)+MAX(0,MIN(IF($A$26&gt;$D$23,DCF_Base!$L$19*(1+$D$23/100)/(($A$26-$D$23)/100),DCF_Base!$L$19*DCF_Base!$B$29),DCF_Base!$L$19*DCF_Base!$B$29))/(1+$A$26/100)^DCF_Base!$L$4+Assumptions!$B$5-Assumptions!$B$4)/Assumptions!$B$3*Assumptions!$B$10</f>
        <v>3.68966741138506</v>
      </c>
      <c r="E26" s="0" t="n">
        <f aca="false">(SUMPRODUCT(DCF_Base!$C$19:$L$19/(1+$A$26/100)^DCF_Base!$C$4:$L$4)+MAX(0,MIN(IF($A$26&gt;$E$23,DCF_Base!$L$19*(1+$E$23/100)/(($A$26-$E$23)/100),DCF_Base!$L$19*DCF_Base!$B$29),DCF_Base!$L$19*DCF_Base!$B$29))/(1+$A$26/100)^DCF_Base!$L$4+Assumptions!$B$5-Assumptions!$B$4)/Assumptions!$B$3*Assumptions!$B$10</f>
        <v>3.68966741138506</v>
      </c>
      <c r="F26" s="0" t="n">
        <f aca="false">(SUMPRODUCT(DCF_Base!$C$19:$L$19/(1+$A$26/100)^DCF_Base!$C$4:$L$4)+MAX(0,MIN(IF($A$26&gt;$F$23,DCF_Base!$L$19*(1+$F$23/100)/(($A$26-$F$23)/100),DCF_Base!$L$19*DCF_Base!$B$29),DCF_Base!$L$19*DCF_Base!$B$29))/(1+$A$26/100)^DCF_Base!$L$4+Assumptions!$B$5-Assumptions!$B$4)/Assumptions!$B$3*Assumptions!$B$10</f>
        <v>3.68966741138506</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3.48050918834528</v>
      </c>
      <c r="C27" s="0" t="n">
        <f aca="false">(SUMPRODUCT(DCF_Base!$C$19:$L$19/(1+$A$27/100)^DCF_Base!$C$4:$L$4)+MAX(0,MIN(IF($A$27&gt;$C$23,DCF_Base!$L$19*(1+$C$23/100)/(($A$27-$C$23)/100),DCF_Base!$L$19*DCF_Base!$B$29),DCF_Base!$L$19*DCF_Base!$B$29))/(1+$A$27/100)^DCF_Base!$L$4+Assumptions!$B$5-Assumptions!$B$4)/Assumptions!$B$3*Assumptions!$B$10</f>
        <v>3.48050918834528</v>
      </c>
      <c r="D27" s="0" t="n">
        <f aca="false">(SUMPRODUCT(DCF_Base!$C$19:$L$19/(1+$A$27/100)^DCF_Base!$C$4:$L$4)+MAX(0,MIN(IF($A$27&gt;$D$23,DCF_Base!$L$19*(1+$D$23/100)/(($A$27-$D$23)/100),DCF_Base!$L$19*DCF_Base!$B$29),DCF_Base!$L$19*DCF_Base!$B$29))/(1+$A$27/100)^DCF_Base!$L$4+Assumptions!$B$5-Assumptions!$B$4)/Assumptions!$B$3*Assumptions!$B$10</f>
        <v>3.48050918834528</v>
      </c>
      <c r="E27" s="0" t="n">
        <f aca="false">(SUMPRODUCT(DCF_Base!$C$19:$L$19/(1+$A$27/100)^DCF_Base!$C$4:$L$4)+MAX(0,MIN(IF($A$27&gt;$E$23,DCF_Base!$L$19*(1+$E$23/100)/(($A$27-$E$23)/100),DCF_Base!$L$19*DCF_Base!$B$29),DCF_Base!$L$19*DCF_Base!$B$29))/(1+$A$27/100)^DCF_Base!$L$4+Assumptions!$B$5-Assumptions!$B$4)/Assumptions!$B$3*Assumptions!$B$10</f>
        <v>3.48050918834528</v>
      </c>
      <c r="F27" s="0" t="n">
        <f aca="false">(SUMPRODUCT(DCF_Base!$C$19:$L$19/(1+$A$27/100)^DCF_Base!$C$4:$L$4)+MAX(0,MIN(IF($A$27&gt;$F$23,DCF_Base!$L$19*(1+$F$23/100)/(($A$27-$F$23)/100),DCF_Base!$L$19*DCF_Base!$B$29),DCF_Base!$L$19*DCF_Base!$B$29))/(1+$A$27/100)^DCF_Base!$L$4+Assumptions!$B$5-Assumptions!$B$4)/Assumptions!$B$3*Assumptions!$B$10</f>
        <v>3.48050918834528</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3.28987277065873</v>
      </c>
      <c r="C28" s="0" t="n">
        <f aca="false">(SUMPRODUCT(DCF_Base!$C$19:$L$19/(1+$A$28/100)^DCF_Base!$C$4:$L$4)+MAX(0,MIN(IF($A$28&gt;$C$23,DCF_Base!$L$19*(1+$C$23/100)/(($A$28-$C$23)/100),DCF_Base!$L$19*DCF_Base!$B$29),DCF_Base!$L$19*DCF_Base!$B$29))/(1+$A$28/100)^DCF_Base!$L$4+Assumptions!$B$5-Assumptions!$B$4)/Assumptions!$B$3*Assumptions!$B$10</f>
        <v>3.28987277065873</v>
      </c>
      <c r="D28" s="0" t="n">
        <f aca="false">(SUMPRODUCT(DCF_Base!$C$19:$L$19/(1+$A$28/100)^DCF_Base!$C$4:$L$4)+MAX(0,MIN(IF($A$28&gt;$D$23,DCF_Base!$L$19*(1+$D$23/100)/(($A$28-$D$23)/100),DCF_Base!$L$19*DCF_Base!$B$29),DCF_Base!$L$19*DCF_Base!$B$29))/(1+$A$28/100)^DCF_Base!$L$4+Assumptions!$B$5-Assumptions!$B$4)/Assumptions!$B$3*Assumptions!$B$10</f>
        <v>3.28987277065873</v>
      </c>
      <c r="E28" s="0" t="n">
        <f aca="false">(SUMPRODUCT(DCF_Base!$C$19:$L$19/(1+$A$28/100)^DCF_Base!$C$4:$L$4)+MAX(0,MIN(IF($A$28&gt;$E$23,DCF_Base!$L$19*(1+$E$23/100)/(($A$28-$E$23)/100),DCF_Base!$L$19*DCF_Base!$B$29),DCF_Base!$L$19*DCF_Base!$B$29))/(1+$A$28/100)^DCF_Base!$L$4+Assumptions!$B$5-Assumptions!$B$4)/Assumptions!$B$3*Assumptions!$B$10</f>
        <v>3.28987277065873</v>
      </c>
      <c r="F28" s="0" t="n">
        <f aca="false">(SUMPRODUCT(DCF_Base!$C$19:$L$19/(1+$A$28/100)^DCF_Base!$C$4:$L$4)+MAX(0,MIN(IF($A$28&gt;$F$23,DCF_Base!$L$19*(1+$F$23/100)/(($A$28-$F$23)/100),DCF_Base!$L$19*DCF_Base!$B$29),DCF_Base!$L$19*DCF_Base!$B$29))/(1+$A$28/100)^DCF_Base!$L$4+Assumptions!$B$5-Assumptions!$B$4)/Assumptions!$B$3*Assumptions!$B$10</f>
        <v>3.28987277065873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2026-10-22T04:58:46Z</dcterms:created>
  <dc:creator>openpyxl</dc:creator>
  <dc:description/>
  <dc:language>en-NZ</dc:language>
  <cp:lastModifiedBy/>
  <dcterms:modified xsi:type="dcterms:W3CDTF">2026-10-22T04:58:46Z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