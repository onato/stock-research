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<sst xmlns="http://schemas.openxmlformats.org/spreadsheetml/2006/main" count="384" uniqueCount="173">
  <si>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</si>
  <si>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INCY</t>
  </si>
  <si>
    <t xml:space="preserve">Company</t>
  </si>
  <si>
    <t xml:space="preserve">Incyte Corporation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</si>
  <si>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</si>
  <si>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</si>
  <si>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</si>
  <si>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</si>
  <si>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 (Yahoo Finance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</si>
  <si>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</si>
  <si>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</si>
  <si>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</si>
  <si>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</si>
  <si>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</si>
  <si>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</si>
  <si>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</si>
  <si>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</si>
  <si>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</si>
  <si>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</si>
  <si>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</si>
  <si>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</si>
  <si>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2026-09-28T21:54:01Z</t>
  </si>
  <si>
    <t xml:space="preserve">Drivers file</t>
  </si>
  <si>
    <t xml:space="preserve">INCY_Drivers.json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</si>
  <si>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</si>
  <si>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</si>
  <si>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</si>
  <si>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Incyte as what it will be after the cliff, not what it earns before it. The explicit 10-year path carries the FY2028 peak, the FY2029-30 trough and the recovery, so no pre-LOE cash flow is capitalised in perpetuity. SBC and equity-award withholding (~6.3% of revenue) are expensed and rise as a share of revenue through the trough because compensation does not fall with Jakafi; interest income on the $3.4B cash pile is stripped so the cash is counted once, in the bridge; the Vega upfront is deducted from that cash because it was paid after the balance-sheet date. WACC is held at 8.5% in every scenario and the cliff risk is charged through the scenario paths and a 25/50/25 weighting -- once, not twice.
key_risks_to_valuation: Jakafi generic erosion speed and depth after Dec-2028 (base assumes -60% then -45%; every 10pp of first-year retention is worth roughly $3-4/share); Whether non-Jakafi product revenue reaches $3-4B by 2030 -- the base takes the low end; a miss is the bear case; The FY2029-31 adjusted EBITDA margin trough (22% base) depends on how fast opex is cut against a held-flat ~$2B R&amp;D budget; Terminal cap of 15x FY2035 owner FCF: the largest single input; the value is ~55-60% terminal; Further large business development (Incyte spent $750M in 2024 and $1.25B in 2026 on acquired IPR&amp;D) is not modelled beyond Vega and would reduce net cash further; The Q2 2026 balance sheet is not yet in the dataset; net cash is a March-2026 figure pro-forma for Vega; Flat share count is a convention the company is not currently funding with buybacks (basic count drifting +1.5-2%/yr)</t>
  </si>
  <si>
    <t xml:space="preserve">Data sources</t>
  </si>
  <si>
    <t xml:space="preserve">price: Yahoo Finance chart API at inputs.price_as_of; 52-week range 82.52-132.60
financials: INCY_Metrics.csv (SEC XBRL, millions USD, FY2008-Q1 2026) plus SEC companyfacts for the Q1 2026 10-Q balance sheet, diluted share count, capex tag (PaymentsToAcquireOtherProductiveAssets), equity-award tax withholding and interest income
qualitative: INCY_Analysis.json (2026-09-29): FY2026 guidance as raised at Q2 2026, Jakafi LOE ~Dec 2028, Vega Therapeutics acquisition, $3-4B non-Jakafi 2030 target, bull/bear points</t>
  </si>
  <si>
    <t xml:space="preserve">Scenario narrative: bear</t>
  </si>
  <si>
    <t xml:space="preserve">The bear axes are pre-cliff share loss and post-cliff replacement failure. GSK's Ojjaara (momelotinib) keeps taking anaemic-MF share so Jakafi flattens before the cliff; the ~$246M Medicaid settlement drops out of FY2027 and Opzelura's underlying growth proves to be +10% not +20% as payers restrict a $1B topical; generic ruxolitinib takes 75% of Jakafi in FY2029 and half of what remains in FY2030; and the mid-stage pipeline delivers no launch inside the horizon while R&amp;D is kept at ~$2B to keep trying. Revenue falls to ~$3.3B by FY2030 and the adjusted EBITDA margin drops to 8-12%, meaning near-zero owner FCF after SBC for three years. The company survives comfortably on $2B+ of net cash, but the value is little more than that cash plus a 12x multiple on a ~$0.4B FCF business by FY2035.</t>
  </si>
  <si>
    <t xml:space="preserve">Scenario narrative: base</t>
  </si>
  <si>
    <t xml:space="preserve">Incyte is a one-drug company with a dated cliff: Jakafi is ~62% of revenue and ruxolitinib composition-of-matter exclusivity (with pediatric extension) ends around December 2028. The base case takes management's FY2026 guidance at the midpoint, lets Opzelura and the hematology/oncology growth products (Niktimvo, Monjuvi/Minjuvi, Zynyz, Pemazyre) compound at ~20% into the cliff, then applies standard oral small-molecule generic erosion to Jakafi (-60% in year one, -45% in year two) and to the Novartis Jakavi royalty. Non-Jakafi product revenue reaches ~$3.2B in 2030, the low end of management's $3-4B target, so total revenue troughs at ~$4.3B in FY2030 -- below FY2024 -- with the adjusted EBITDA margin compressing to 22% because R&amp;D is held near $2B to fund the replacement pipeline. Owner FCF falls from ~$1.2B pre-cliff to ~$0.4B in the trough and rebuilds to ~$1.0B by FY2035. The valuation is dominated by the recovered post-LOE business capitalised at 15x, not by the pre-cliff cash flows, and the $3.4B net cash (less $1.25B for Vega) is ~$10/share of the answer.</t>
  </si>
  <si>
    <t xml:space="preserve">Scenario narrative: bull</t>
  </si>
  <si>
    <t xml:space="preserve">The bull axes are franchise retention and pipeline conversion. Jakafi XR (once-daily, approved 2026) converts enough of the MF/PV/GVHD base that IR generic entry erodes the franchise 45% rather than 60%, and the ex-US royalty tails hold longer. Opzelura's EU launch in moderate atopic dermatitis (positive CHMP, late 2026) plus HS and prurigo nodularis label expansions sustain +25% growth; Niktimvo becomes the standard in chronic GVHD; and at least two of povorcitinib, INCB123667 (ovarian) and latarcibart (VWD, from Vega) launch by FY2030-31. Non-Jakafi revenue hits the top of the $3-4B 2030 target and total revenue regains its FY2028 peak by FY2032, with margins recovering to 37% on a more diversified base. This requires four largely independent things to go right, which is why its weight is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</si>
  <si>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</si>
  <si>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</si>
  <si>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</si>
  <si>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</si>
  <si>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</si>
  <si>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</si>
  <si>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</si>
  <si>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</si>
  <si>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</si>
  <si>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</si>
  <si>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</si>
  <si>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</si>
  <si>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</si>
  <si>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</si>
  <si>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</si>
  <si>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</si>
  <si>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</si>
  <si>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</si>
  <si>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</si>
  <si>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</si>
  <si>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</si>
  <si>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</si>
  <si>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</si>
  <si>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</si>
  <si>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</si>
  <si>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</si>
  <si>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</si>
  <si>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</si>
  <si>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</si>
  <si>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</si>
  <si>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</si>
  <si>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</si>
  <si>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</si>
  <si>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</si>
  <si>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</si>
  <si>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</si>
  <si>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</si>
  <si>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</si>
  <si>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</si>
  <si>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</si>
  <si>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</si>
  <si>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</si>
  <si>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</si>
  <si>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</si>
  <si>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</si>
  <si>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</si>
  <si>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</si>
  <si>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</si>
  <si>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</si>
  <si>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</si>
  <si>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</si>
  <si>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</si>
  <si>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</si>
  <si>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</si>
  <si>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</si>
  <si>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</si>
  <si>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</si>
  <si>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</si>
  <si>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</si>
  <si>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</si>
  <si>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</si>
  <si>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</si>
  <si>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</si>
  <si>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</si>
  <si>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</si>
  <si>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</si>
  <si>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</si>
  <si>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</si>
  <si>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</si>
  <si>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</si>
  <si>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</si>
  <si>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</si>
  <si>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</si>
  <si>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</si>
  <si>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</si>
  <si>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</si>
  <si>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</si>
  <si>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</si>
  <si>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</si>
  <si>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</si>
  <si>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</si>
  <si>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</si>
  <si>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INCY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</si>
  <si>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</si>
  <si>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</si>
  <si>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</si>
  <si>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</si>
  <si>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</si>
  <si>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</si>
  <si>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</si>
  <si>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</si>
  <si>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</si>
  <si>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</si>
  <si>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</si>
  <si>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</si>
  <si>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</si>
  <si>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</si>
  <si>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</si>
  <si>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</si>
  <si>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</si>
  <si>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</si>
  <si>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</si>
  <si>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</si>
  <si>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</si>
  <si>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</si>
  <si>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</si>
  <si>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</si>
  <si>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</si>
  <si>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</si>
  <si>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</si>
  <si>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</si>
  <si>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</si>
  <si>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</si>
  <si>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INCY owner-FCF component DCF: base case (millions, USD)</t>
  </si>
  <si>
    <t xml:space="preserve">INCY owner-FCF component DCF: bull case (millions, USD)</t>
  </si>
  <si>
    <t xml:space="preserve">INCY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</si>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</sst>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124.82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-220.75</v>
      </c>
      <c r="S2" s="0" t="n">
        <v>178.767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9.265</v>
      </c>
      <c r="F3" s="0" t="n">
        <v>-139.768</v>
      </c>
      <c r="G3" s="0" t="n">
        <v>-1508.55909336212</v>
      </c>
      <c r="H3" s="0" t="n">
        <v>-123.078</v>
      </c>
      <c r="M3" s="0" t="n">
        <v>0.387</v>
      </c>
      <c r="O3" s="0" t="n">
        <v>-102.384</v>
      </c>
      <c r="S3" s="0" t="n">
        <v>449.824</v>
      </c>
      <c r="T3" s="0" t="n">
        <v>102.943</v>
      </c>
      <c r="U3" s="0" t="n">
        <v>10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169.878</v>
      </c>
      <c r="F4" s="0" t="n">
        <v>14.049</v>
      </c>
      <c r="G4" s="0" t="n">
        <v>8.27005262600219</v>
      </c>
      <c r="H4" s="0" t="n">
        <v>38.534</v>
      </c>
      <c r="M4" s="0" t="n">
        <v>4.109</v>
      </c>
      <c r="O4" s="0" t="n">
        <v>-88.644</v>
      </c>
      <c r="P4" s="0" t="n">
        <v>489.581</v>
      </c>
      <c r="Q4" s="0" t="n">
        <v>578.225</v>
      </c>
      <c r="R4" s="0" t="n">
        <v>293.432</v>
      </c>
      <c r="S4" s="0" t="n">
        <v>417.912</v>
      </c>
      <c r="T4" s="0" t="n">
        <v>123.280474</v>
      </c>
      <c r="U4" s="0" t="n">
        <v>14.9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94.455</v>
      </c>
      <c r="F5" s="0" t="n">
        <v>-143.183</v>
      </c>
      <c r="G5" s="0" t="n">
        <v>-151.588587157906</v>
      </c>
      <c r="H5" s="0" t="n">
        <v>-116.193</v>
      </c>
      <c r="M5" s="0" t="n">
        <v>3.799</v>
      </c>
      <c r="O5" s="0" t="n">
        <v>-227.077</v>
      </c>
      <c r="P5" s="0" t="n">
        <v>328.962</v>
      </c>
      <c r="Q5" s="0" t="n">
        <v>556.039</v>
      </c>
      <c r="R5" s="0" t="n">
        <v>420</v>
      </c>
      <c r="S5" s="0" t="n">
        <v>273.164</v>
      </c>
      <c r="T5" s="0" t="n">
        <v>126.471999</v>
      </c>
      <c r="U5" s="0" t="n">
        <v>29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297.059</v>
      </c>
      <c r="F6" s="0" t="n">
        <v>1.148</v>
      </c>
      <c r="G6" s="0" t="n">
        <v>0.386455215967198</v>
      </c>
      <c r="H6" s="0" t="n">
        <v>31.127</v>
      </c>
      <c r="M6" s="0" t="n">
        <v>2.839</v>
      </c>
      <c r="O6" s="0" t="n">
        <v>-174.957</v>
      </c>
      <c r="P6" s="0" t="n">
        <v>330.419</v>
      </c>
      <c r="Q6" s="0" t="n">
        <v>505.376</v>
      </c>
      <c r="R6" s="0" t="n">
        <v>410</v>
      </c>
      <c r="S6" s="0" t="n">
        <v>224.057</v>
      </c>
      <c r="T6" s="0" t="n">
        <v>133.462185</v>
      </c>
      <c r="U6" s="0" t="n">
        <v>38.5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354.947</v>
      </c>
      <c r="F7" s="0" t="n">
        <v>-16.102</v>
      </c>
      <c r="G7" s="0" t="n">
        <v>-4.53645192099102</v>
      </c>
      <c r="H7" s="0" t="n">
        <v>13.105</v>
      </c>
      <c r="K7" s="0" t="n">
        <v>-0.56</v>
      </c>
      <c r="M7" s="0" t="n">
        <v>4.267</v>
      </c>
      <c r="O7" s="0" t="n">
        <v>-193.108</v>
      </c>
      <c r="P7" s="0" t="n">
        <v>629.568</v>
      </c>
      <c r="Q7" s="0" t="n">
        <v>822.676</v>
      </c>
      <c r="R7" s="0" t="n">
        <v>1508.167</v>
      </c>
      <c r="S7" s="0" t="n">
        <v>471.429</v>
      </c>
      <c r="T7" s="0" t="n">
        <v>148.403</v>
      </c>
      <c r="U7" s="0" t="n">
        <v>38.4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511.495</v>
      </c>
      <c r="F8" s="0" t="n">
        <v>-4.804</v>
      </c>
      <c r="G8" s="0" t="n">
        <v>-0.939207616887751</v>
      </c>
      <c r="H8" s="0" t="n">
        <v>36.609</v>
      </c>
      <c r="K8" s="0" t="n">
        <v>-0.29</v>
      </c>
      <c r="M8" s="0" t="n">
        <v>27.876</v>
      </c>
      <c r="O8" s="0" t="n">
        <v>-81.628</v>
      </c>
      <c r="P8" s="0" t="n">
        <v>796.477</v>
      </c>
      <c r="Q8" s="0" t="n">
        <v>878.105</v>
      </c>
      <c r="R8" s="0" t="n">
        <v>1530.018</v>
      </c>
      <c r="S8" s="0" t="n">
        <v>452.297</v>
      </c>
      <c r="T8" s="0" t="n">
        <v>170.876619</v>
      </c>
      <c r="U8" s="0" t="n">
        <v>62.2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753.751</v>
      </c>
      <c r="F9" s="0" t="n">
        <v>50.651</v>
      </c>
      <c r="G9" s="0" t="n">
        <v>6.71985841478154</v>
      </c>
      <c r="H9" s="0" t="n">
        <v>95.534</v>
      </c>
      <c r="K9" s="0" t="n">
        <v>0.04</v>
      </c>
      <c r="L9" s="0" t="n">
        <v>89.408</v>
      </c>
      <c r="M9" s="0" t="n">
        <v>26.003</v>
      </c>
      <c r="N9" s="0" t="n">
        <v>63.405</v>
      </c>
      <c r="O9" s="0" t="n">
        <v>171.155</v>
      </c>
      <c r="P9" s="0" t="n">
        <v>1007.44</v>
      </c>
      <c r="Q9" s="0" t="n">
        <v>836.285</v>
      </c>
      <c r="R9" s="0" t="n">
        <v>749.8</v>
      </c>
      <c r="S9" s="0" t="n">
        <v>521.439</v>
      </c>
      <c r="T9" s="0" t="n">
        <v>187.302</v>
      </c>
      <c r="U9" s="0" t="n">
        <v>69.9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1105.719</v>
      </c>
      <c r="C10" s="0" t="n">
        <v>58.187</v>
      </c>
      <c r="F10" s="0" t="n">
        <v>144.998</v>
      </c>
      <c r="G10" s="0" t="n">
        <v>13.1134583017928</v>
      </c>
      <c r="H10" s="0" t="n">
        <v>203.423</v>
      </c>
      <c r="I10" s="0" t="n">
        <v>104.222</v>
      </c>
      <c r="J10" s="0" t="n">
        <v>9.42572208671462</v>
      </c>
      <c r="K10" s="0" t="n">
        <v>0.55</v>
      </c>
      <c r="L10" s="0" t="n">
        <v>304.756</v>
      </c>
      <c r="M10" s="0" t="n">
        <v>120.277</v>
      </c>
      <c r="N10" s="0" t="n">
        <v>184.479</v>
      </c>
      <c r="O10" s="0" t="n">
        <v>419.467</v>
      </c>
      <c r="P10" s="0" t="n">
        <v>1638.597</v>
      </c>
      <c r="Q10" s="0" t="n">
        <v>1219.13</v>
      </c>
      <c r="R10" s="0" t="n">
        <v>749.8</v>
      </c>
      <c r="S10" s="0" t="n">
        <v>652.343</v>
      </c>
      <c r="T10" s="0" t="n">
        <v>194.125</v>
      </c>
      <c r="U10" s="0" t="n">
        <v>96.201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1536.216</v>
      </c>
      <c r="C11" s="0" t="n">
        <v>79.479</v>
      </c>
      <c r="F11" s="0" t="n">
        <v>-243.387</v>
      </c>
      <c r="G11" s="0" t="n">
        <v>-15.8432798512709</v>
      </c>
      <c r="H11" s="0" t="n">
        <v>-191.209</v>
      </c>
      <c r="I11" s="0" t="n">
        <v>-313.142</v>
      </c>
      <c r="J11" s="0" t="n">
        <v>-20.3839824607998</v>
      </c>
      <c r="K11" s="0" t="n">
        <v>-1.53</v>
      </c>
      <c r="L11" s="0" t="n">
        <v>-92.988</v>
      </c>
      <c r="M11" s="0" t="n">
        <v>111.021</v>
      </c>
      <c r="N11" s="0" t="n">
        <v>-204.009</v>
      </c>
      <c r="O11" s="0" t="n">
        <v>1630.629</v>
      </c>
      <c r="P11" s="0" t="n">
        <v>2302.582</v>
      </c>
      <c r="Q11" s="0" t="n">
        <v>671.953</v>
      </c>
      <c r="R11" s="0" t="n">
        <v>26.8</v>
      </c>
      <c r="S11" s="0" t="n">
        <v>899.509</v>
      </c>
      <c r="T11" s="0" t="n">
        <v>211.262906</v>
      </c>
      <c r="U11" s="0" t="n">
        <v>133.1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1881.883</v>
      </c>
      <c r="C12" s="0" t="n">
        <v>94.123</v>
      </c>
      <c r="F12" s="0" t="n">
        <v>129.223</v>
      </c>
      <c r="G12" s="0" t="n">
        <v>6.86668618612316</v>
      </c>
      <c r="H12" s="0" t="n">
        <v>184.192</v>
      </c>
      <c r="I12" s="0" t="n">
        <v>109.493</v>
      </c>
      <c r="J12" s="0" t="n">
        <v>5.81826819201831</v>
      </c>
      <c r="K12" s="0" t="n">
        <v>0.52</v>
      </c>
      <c r="L12" s="0" t="n">
        <v>336.227</v>
      </c>
      <c r="M12" s="0" t="n">
        <v>73.483</v>
      </c>
      <c r="N12" s="0" t="n">
        <v>262.744</v>
      </c>
      <c r="O12" s="0" t="n">
        <v>1925.967</v>
      </c>
      <c r="P12" s="0" t="n">
        <v>2645.762</v>
      </c>
      <c r="Q12" s="0" t="n">
        <v>719.795</v>
      </c>
      <c r="R12" s="0" t="n">
        <v>19094</v>
      </c>
      <c r="S12" s="0" t="n">
        <v>1163.98</v>
      </c>
      <c r="T12" s="0" t="n">
        <v>215.635</v>
      </c>
      <c r="U12" s="0" t="n">
        <v>148.2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2158.759</v>
      </c>
      <c r="C13" s="0" t="n">
        <v>114.249</v>
      </c>
      <c r="F13" s="0" t="n">
        <v>402.006</v>
      </c>
      <c r="G13" s="0" t="n">
        <v>18.6220879681335</v>
      </c>
      <c r="H13" s="0" t="n">
        <v>456.539</v>
      </c>
      <c r="I13" s="0" t="n">
        <v>446.906</v>
      </c>
      <c r="J13" s="0" t="n">
        <v>20.7019866506637</v>
      </c>
      <c r="K13" s="0" t="n">
        <v>2.08</v>
      </c>
      <c r="L13" s="0" t="n">
        <v>710.656</v>
      </c>
      <c r="M13" s="0" t="n">
        <v>78.064</v>
      </c>
      <c r="N13" s="0" t="n">
        <v>632.592</v>
      </c>
      <c r="O13" s="0" t="n">
        <v>2598.406</v>
      </c>
      <c r="P13" s="0" t="n">
        <v>3426.75</v>
      </c>
      <c r="Q13" s="0" t="n">
        <v>828.344</v>
      </c>
      <c r="S13" s="0" t="n">
        <v>1832.684</v>
      </c>
      <c r="T13" s="0" t="n">
        <v>217.657</v>
      </c>
      <c r="U13" s="0" t="n">
        <v>166.6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2666.702</v>
      </c>
      <c r="C14" s="0" t="n">
        <v>131.328</v>
      </c>
      <c r="F14" s="0" t="n">
        <v>-263.676</v>
      </c>
      <c r="G14" s="0" t="n">
        <v>-9.88771898772341</v>
      </c>
      <c r="H14" s="0" t="n">
        <v>-211.869</v>
      </c>
      <c r="I14" s="0" t="n">
        <v>-295.697</v>
      </c>
      <c r="J14" s="0" t="n">
        <v>-11.0884905774999</v>
      </c>
      <c r="K14" s="0" t="n">
        <v>-1.36</v>
      </c>
      <c r="L14" s="0" t="n">
        <v>-124.599</v>
      </c>
      <c r="M14" s="0" t="n">
        <v>187.379</v>
      </c>
      <c r="N14" s="0" t="n">
        <v>-311.978</v>
      </c>
      <c r="O14" s="0" t="n">
        <v>2611.268</v>
      </c>
      <c r="P14" s="0" t="n">
        <v>3560.918</v>
      </c>
      <c r="Q14" s="0" t="n">
        <v>949.65</v>
      </c>
      <c r="S14" s="0" t="n">
        <v>1513.008</v>
      </c>
      <c r="T14" s="0" t="n">
        <v>219.489329</v>
      </c>
      <c r="U14" s="0" t="n">
        <v>177.9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2986.267</v>
      </c>
      <c r="C15" s="0" t="n">
        <v>150.991</v>
      </c>
      <c r="F15" s="0" t="n">
        <v>585.777</v>
      </c>
      <c r="G15" s="0" t="n">
        <v>19.6156941090666</v>
      </c>
      <c r="H15" s="0" t="n">
        <v>643.621</v>
      </c>
      <c r="I15" s="0" t="n">
        <v>948.581</v>
      </c>
      <c r="J15" s="0" t="n">
        <v>31.7647752193625</v>
      </c>
      <c r="K15" s="0" t="n">
        <v>4.3</v>
      </c>
      <c r="L15" s="0" t="n">
        <v>749.488</v>
      </c>
      <c r="M15" s="0" t="n">
        <v>181.006</v>
      </c>
      <c r="N15" s="0" t="n">
        <v>568.482</v>
      </c>
      <c r="O15" s="0" t="n">
        <v>3770.004</v>
      </c>
      <c r="P15" s="0" t="n">
        <v>4933.352</v>
      </c>
      <c r="Q15" s="0" t="n">
        <v>1163.348</v>
      </c>
      <c r="S15" s="0" t="n">
        <v>2057.44</v>
      </c>
      <c r="T15" s="0" t="n">
        <v>222.074</v>
      </c>
      <c r="U15" s="0" t="n">
        <v>183.006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3394.635</v>
      </c>
      <c r="C16" s="0" t="n">
        <v>206.997</v>
      </c>
      <c r="F16" s="0" t="n">
        <v>579.44</v>
      </c>
      <c r="G16" s="0" t="n">
        <v>17.0692872724166</v>
      </c>
      <c r="H16" s="0" t="n">
        <v>647.295</v>
      </c>
      <c r="I16" s="0" t="n">
        <v>340.66</v>
      </c>
      <c r="J16" s="0" t="n">
        <v>10.0352467938379</v>
      </c>
      <c r="K16" s="0" t="n">
        <v>1.53</v>
      </c>
      <c r="L16" s="0" t="n">
        <v>969.941</v>
      </c>
      <c r="M16" s="0" t="n">
        <v>77.833</v>
      </c>
      <c r="N16" s="0" t="n">
        <v>892.108</v>
      </c>
      <c r="O16" s="0" t="n">
        <v>4370.119</v>
      </c>
      <c r="P16" s="0" t="n">
        <v>5840.984</v>
      </c>
      <c r="Q16" s="0" t="n">
        <v>1470.865</v>
      </c>
      <c r="S16" s="0" t="n">
        <v>2951.422</v>
      </c>
      <c r="T16" s="0" t="n">
        <v>223.958</v>
      </c>
      <c r="U16" s="0" t="n">
        <v>188.42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3695.649</v>
      </c>
      <c r="C17" s="0" t="n">
        <v>254.99</v>
      </c>
      <c r="F17" s="0" t="n">
        <v>620.525</v>
      </c>
      <c r="G17" s="0" t="n">
        <v>16.7906908908287</v>
      </c>
      <c r="H17" s="0" t="n">
        <v>703.185</v>
      </c>
      <c r="I17" s="0" t="n">
        <v>597.599</v>
      </c>
      <c r="J17" s="0" t="n">
        <v>16.1703397698212</v>
      </c>
      <c r="K17" s="0" t="n">
        <v>2.67</v>
      </c>
      <c r="L17" s="0" t="n">
        <v>496.487</v>
      </c>
      <c r="M17" s="0" t="n">
        <v>32.486</v>
      </c>
      <c r="O17" s="0" t="n">
        <v>5189.837</v>
      </c>
      <c r="P17" s="0" t="n">
        <v>6782.107</v>
      </c>
      <c r="Q17" s="0" t="n">
        <v>1592.27</v>
      </c>
      <c r="S17" s="0" t="n">
        <v>3213.376</v>
      </c>
      <c r="T17" s="0" t="n">
        <v>225.928</v>
      </c>
      <c r="U17" s="0" t="n">
        <v>215.9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4241.217</v>
      </c>
      <c r="C18" s="0" t="n">
        <v>312.068</v>
      </c>
      <c r="F18" s="0" t="n">
        <v>61.366</v>
      </c>
      <c r="G18" s="0" t="n">
        <v>1.4468960206469</v>
      </c>
      <c r="H18" s="0" t="n">
        <v>150.614</v>
      </c>
      <c r="I18" s="0" t="n">
        <v>32.615</v>
      </c>
      <c r="J18" s="0" t="n">
        <v>0.769000973069758</v>
      </c>
      <c r="K18" s="0" t="n">
        <v>0.16</v>
      </c>
      <c r="L18" s="0" t="n">
        <v>335.337</v>
      </c>
      <c r="M18" s="0" t="n">
        <v>86.263</v>
      </c>
      <c r="O18" s="0" t="n">
        <v>3447.628</v>
      </c>
      <c r="P18" s="0" t="n">
        <v>5444.322</v>
      </c>
      <c r="Q18" s="0" t="n">
        <v>1996.694</v>
      </c>
      <c r="S18" s="0" t="n">
        <v>1687.829</v>
      </c>
      <c r="T18" s="0" t="n">
        <v>210.53</v>
      </c>
      <c r="U18" s="0" t="n">
        <v>266.1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5141.242</v>
      </c>
      <c r="C19" s="0" t="n">
        <v>372.13</v>
      </c>
      <c r="F19" s="0" t="n">
        <v>1514.859</v>
      </c>
      <c r="G19" s="0" t="n">
        <v>29.4648452650157</v>
      </c>
      <c r="H19" s="0" t="n">
        <v>1608.145</v>
      </c>
      <c r="I19" s="0" t="n">
        <v>1286.65</v>
      </c>
      <c r="J19" s="0" t="n">
        <v>25.0260540157417</v>
      </c>
      <c r="K19" s="0" t="n">
        <v>6.59</v>
      </c>
      <c r="L19" s="0" t="n">
        <v>1413.498</v>
      </c>
      <c r="M19" s="0" t="n">
        <v>58.867</v>
      </c>
      <c r="O19" s="0" t="n">
        <v>5167.478</v>
      </c>
      <c r="P19" s="0" t="n">
        <v>6957.973</v>
      </c>
      <c r="Q19" s="0" t="n">
        <v>1790.495</v>
      </c>
      <c r="S19" s="0" t="n">
        <v>3097.817</v>
      </c>
      <c r="T19" s="0" t="n">
        <v>200.7</v>
      </c>
      <c r="U19" s="0" t="n">
        <v>249.346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124.82</v>
      </c>
    </row>
    <row r="3" customFormat="false" ht="15" hidden="false" customHeight="false" outlineLevel="0" collapsed="false">
      <c r="A3" s="0" t="s">
        <v>84</v>
      </c>
      <c r="B3" s="3" t="n">
        <v>206.83</v>
      </c>
    </row>
    <row r="4" customFormat="false" ht="15" hidden="false" customHeight="false" outlineLevel="0" collapsed="false">
      <c r="A4" s="0" t="s">
        <v>85</v>
      </c>
      <c r="B4" s="3" t="n">
        <v>-3426.4</v>
      </c>
    </row>
    <row r="5" customFormat="false" ht="15" hidden="false" customHeight="false" outlineLevel="0" collapsed="false">
      <c r="A5" s="0" t="s">
        <v>86</v>
      </c>
      <c r="B5" s="3" t="n">
        <v>-1250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5141.242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11</v>
      </c>
      <c r="D13" s="3" t="n">
        <v>1</v>
      </c>
      <c r="E13" s="3" t="n">
        <v>3</v>
      </c>
      <c r="F13" s="3" t="n">
        <v>-36</v>
      </c>
      <c r="G13" s="3" t="n">
        <v>-12</v>
      </c>
      <c r="H13" s="3" t="n">
        <v>1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33</v>
      </c>
      <c r="D14" s="3" t="n">
        <v>31</v>
      </c>
      <c r="E14" s="3" t="n">
        <v>32</v>
      </c>
      <c r="F14" s="3" t="n">
        <v>12</v>
      </c>
      <c r="G14" s="3" t="n">
        <v>8</v>
      </c>
      <c r="H14" s="3" t="n">
        <v>12</v>
      </c>
      <c r="I14" s="3" t="n">
        <v>15</v>
      </c>
      <c r="J14" s="3" t="n">
        <v>18</v>
      </c>
      <c r="K14" s="3" t="n">
        <v>20</v>
      </c>
      <c r="L14" s="3" t="n">
        <v>21</v>
      </c>
    </row>
    <row r="15" customFormat="false" ht="15" hidden="false" customHeight="false" outlineLevel="0" collapsed="false">
      <c r="A15" s="0" t="s">
        <v>106</v>
      </c>
      <c r="C15" s="3" t="n">
        <v>6.3</v>
      </c>
      <c r="D15" s="3" t="n">
        <v>6.3</v>
      </c>
      <c r="E15" s="3" t="n">
        <v>6.2</v>
      </c>
      <c r="F15" s="3" t="n">
        <v>9</v>
      </c>
      <c r="G15" s="3" t="n">
        <v>9.5</v>
      </c>
      <c r="H15" s="3" t="n">
        <v>9</v>
      </c>
      <c r="I15" s="3" t="n">
        <v>8.5</v>
      </c>
      <c r="J15" s="3" t="n">
        <v>8</v>
      </c>
      <c r="K15" s="3" t="n">
        <v>7.5</v>
      </c>
      <c r="L15" s="3" t="n">
        <v>7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1.8</v>
      </c>
      <c r="D17" s="3" t="n">
        <v>1.8</v>
      </c>
      <c r="E17" s="3" t="n">
        <v>1.8</v>
      </c>
      <c r="F17" s="3" t="n">
        <v>2</v>
      </c>
      <c r="G17" s="3" t="n">
        <v>2</v>
      </c>
      <c r="H17" s="3" t="n">
        <v>2</v>
      </c>
      <c r="I17" s="3" t="n">
        <v>1.9</v>
      </c>
      <c r="J17" s="3" t="n">
        <v>1.9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109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110</v>
      </c>
      <c r="C19" s="3" t="n">
        <v>15</v>
      </c>
      <c r="D19" s="3" t="n">
        <v>17</v>
      </c>
      <c r="E19" s="3" t="n">
        <v>19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111</v>
      </c>
      <c r="B20" s="3" t="n">
        <v>8.5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-15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12</v>
      </c>
      <c r="D27" s="3" t="n">
        <v>4</v>
      </c>
      <c r="E27" s="3" t="n">
        <v>6.5</v>
      </c>
      <c r="F27" s="3" t="n">
        <v>-28</v>
      </c>
      <c r="G27" s="3" t="n">
        <v>-7.5</v>
      </c>
      <c r="H27" s="3" t="n">
        <v>3.5</v>
      </c>
      <c r="I27" s="3" t="n">
        <v>5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105</v>
      </c>
      <c r="C28" s="3" t="n">
        <v>33</v>
      </c>
      <c r="D28" s="3" t="n">
        <v>33</v>
      </c>
      <c r="E28" s="3" t="n">
        <v>35</v>
      </c>
      <c r="F28" s="3" t="n">
        <v>22</v>
      </c>
      <c r="G28" s="3" t="n">
        <v>22</v>
      </c>
      <c r="H28" s="3" t="n">
        <v>25</v>
      </c>
      <c r="I28" s="3" t="n">
        <v>27</v>
      </c>
      <c r="J28" s="3" t="n">
        <v>29</v>
      </c>
      <c r="K28" s="3" t="n">
        <v>30</v>
      </c>
      <c r="L28" s="3" t="n">
        <v>31</v>
      </c>
    </row>
    <row r="29" customFormat="false" ht="15" hidden="false" customHeight="false" outlineLevel="0" collapsed="false">
      <c r="A29" s="0" t="s">
        <v>106</v>
      </c>
      <c r="C29" s="3" t="n">
        <v>6.2</v>
      </c>
      <c r="D29" s="3" t="n">
        <v>6</v>
      </c>
      <c r="E29" s="3" t="n">
        <v>5.8</v>
      </c>
      <c r="F29" s="3" t="n">
        <v>7.5</v>
      </c>
      <c r="G29" s="3" t="n">
        <v>7.5</v>
      </c>
      <c r="H29" s="3" t="n">
        <v>7</v>
      </c>
      <c r="I29" s="3" t="n">
        <v>6.5</v>
      </c>
      <c r="J29" s="3" t="n">
        <v>6</v>
      </c>
      <c r="K29" s="3" t="n">
        <v>5.8</v>
      </c>
      <c r="L29" s="3" t="n">
        <v>5.6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1.8</v>
      </c>
      <c r="D31" s="3" t="n">
        <v>1.8</v>
      </c>
      <c r="E31" s="3" t="n">
        <v>1.8</v>
      </c>
      <c r="F31" s="3" t="n">
        <v>1.9</v>
      </c>
      <c r="G31" s="3" t="n">
        <v>1.9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109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110</v>
      </c>
      <c r="C33" s="3" t="n">
        <v>15</v>
      </c>
      <c r="D33" s="3" t="n">
        <v>17</v>
      </c>
      <c r="E33" s="3" t="n">
        <v>19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111</v>
      </c>
      <c r="B34" s="3" t="n">
        <v>8.5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-15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13</v>
      </c>
      <c r="D41" s="3" t="n">
        <v>7</v>
      </c>
      <c r="E41" s="3" t="n">
        <v>9</v>
      </c>
      <c r="F41" s="3" t="n">
        <v>-18</v>
      </c>
      <c r="G41" s="3" t="n">
        <v>-2</v>
      </c>
      <c r="H41" s="3" t="n">
        <v>7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105</v>
      </c>
      <c r="C42" s="3" t="n">
        <v>35</v>
      </c>
      <c r="D42" s="3" t="n">
        <v>35</v>
      </c>
      <c r="E42" s="3" t="n">
        <v>37</v>
      </c>
      <c r="F42" s="3" t="n">
        <v>28</v>
      </c>
      <c r="G42" s="3" t="n">
        <v>28</v>
      </c>
      <c r="H42" s="3" t="n">
        <v>31</v>
      </c>
      <c r="I42" s="3" t="n">
        <v>33</v>
      </c>
      <c r="J42" s="3" t="n">
        <v>35</v>
      </c>
      <c r="K42" s="3" t="n">
        <v>36</v>
      </c>
      <c r="L42" s="3" t="n">
        <v>37</v>
      </c>
    </row>
    <row r="43" customFormat="false" ht="15" hidden="false" customHeight="false" outlineLevel="0" collapsed="false">
      <c r="A43" s="0" t="s">
        <v>106</v>
      </c>
      <c r="C43" s="3" t="n">
        <v>6</v>
      </c>
      <c r="D43" s="3" t="n">
        <v>5.8</v>
      </c>
      <c r="E43" s="3" t="n">
        <v>5.5</v>
      </c>
      <c r="F43" s="3" t="n">
        <v>6.5</v>
      </c>
      <c r="G43" s="3" t="n">
        <v>6.3</v>
      </c>
      <c r="H43" s="3" t="n">
        <v>6</v>
      </c>
      <c r="I43" s="3" t="n">
        <v>5.5</v>
      </c>
      <c r="J43" s="3" t="n">
        <v>5.2</v>
      </c>
      <c r="K43" s="3" t="n">
        <v>5</v>
      </c>
      <c r="L43" s="3" t="n">
        <v>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109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110</v>
      </c>
      <c r="C47" s="3" t="n">
        <v>15</v>
      </c>
      <c r="D47" s="3" t="n">
        <v>17</v>
      </c>
      <c r="E47" s="3" t="n">
        <v>19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111</v>
      </c>
      <c r="B48" s="3" t="n">
        <v>8.5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-15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11</v>
      </c>
      <c r="D5" s="4" t="n">
        <f aca="false">Assumptions!D13</f>
        <v>1</v>
      </c>
      <c r="E5" s="4" t="n">
        <f aca="false">Assumptions!E13</f>
        <v>3</v>
      </c>
      <c r="F5" s="4" t="n">
        <f aca="false">Assumptions!F13</f>
        <v>-36</v>
      </c>
      <c r="G5" s="4" t="n">
        <f aca="false">Assumptions!G13</f>
        <v>-12</v>
      </c>
      <c r="H5" s="4" t="n">
        <f aca="false">Assumptions!H13</f>
        <v>1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5141.242</v>
      </c>
      <c r="C6" s="0" t="n">
        <f aca="false">B6*(1+C5/100)</f>
        <v>5706.77862</v>
      </c>
      <c r="D6" s="0" t="n">
        <f aca="false">C6*(1+D5/100)</f>
        <v>5763.8464062</v>
      </c>
      <c r="E6" s="0" t="n">
        <f aca="false">D6*(1+E5/100)</f>
        <v>5936.761798386</v>
      </c>
      <c r="F6" s="0" t="n">
        <f aca="false">E6*(1+F5/100)</f>
        <v>3799.52755096704</v>
      </c>
      <c r="G6" s="0" t="n">
        <f aca="false">F6*(1+G5/100)</f>
        <v>3343.584244851</v>
      </c>
      <c r="H6" s="0" t="n">
        <f aca="false">G6*(1+H5/100)</f>
        <v>3377.02008729951</v>
      </c>
      <c r="I6" s="0" t="n">
        <f aca="false">H6*(1+I5/100)</f>
        <v>3444.5604890455</v>
      </c>
      <c r="J6" s="0" t="n">
        <f aca="false">I6*(1+J5/100)</f>
        <v>3513.45169882641</v>
      </c>
      <c r="K6" s="0" t="n">
        <f aca="false">J6*(1+K5/100)</f>
        <v>3583.72073280293</v>
      </c>
      <c r="L6" s="0" t="n">
        <f aca="false">K6*(1+L5/100)</f>
        <v>3655.39514745899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33</v>
      </c>
      <c r="D7" s="4" t="n">
        <f aca="false">Assumptions!D14</f>
        <v>31</v>
      </c>
      <c r="E7" s="4" t="n">
        <f aca="false">Assumptions!E14</f>
        <v>32</v>
      </c>
      <c r="F7" s="4" t="n">
        <f aca="false">Assumptions!F14</f>
        <v>12</v>
      </c>
      <c r="G7" s="4" t="n">
        <f aca="false">Assumptions!G14</f>
        <v>8</v>
      </c>
      <c r="H7" s="4" t="n">
        <f aca="false">Assumptions!H14</f>
        <v>12</v>
      </c>
      <c r="I7" s="4" t="n">
        <f aca="false">Assumptions!I14</f>
        <v>15</v>
      </c>
      <c r="J7" s="4" t="n">
        <f aca="false">Assumptions!J14</f>
        <v>18</v>
      </c>
      <c r="K7" s="4" t="n">
        <f aca="false">Assumptions!K14</f>
        <v>20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1883.2369446</v>
      </c>
      <c r="D8" s="0" t="n">
        <f aca="false">D6*D7/100</f>
        <v>1786.792385922</v>
      </c>
      <c r="E8" s="0" t="n">
        <f aca="false">E6*E7/100</f>
        <v>1899.76377548352</v>
      </c>
      <c r="F8" s="0" t="n">
        <f aca="false">F6*F7/100</f>
        <v>455.943306116045</v>
      </c>
      <c r="G8" s="0" t="n">
        <f aca="false">G6*G7/100</f>
        <v>267.48673958808</v>
      </c>
      <c r="H8" s="0" t="n">
        <f aca="false">H6*H7/100</f>
        <v>405.242410475941</v>
      </c>
      <c r="I8" s="0" t="n">
        <f aca="false">I6*I7/100</f>
        <v>516.684073356824</v>
      </c>
      <c r="J8" s="0" t="n">
        <f aca="false">J6*J7/100</f>
        <v>632.421305788753</v>
      </c>
      <c r="K8" s="0" t="n">
        <f aca="false">K6*K7/100</f>
        <v>716.744146560587</v>
      </c>
      <c r="L8" s="0" t="n">
        <f aca="false">L6*L7/100</f>
        <v>767.632980966389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6.3</v>
      </c>
      <c r="D9" s="4" t="n">
        <f aca="false">Assumptions!D15</f>
        <v>6.3</v>
      </c>
      <c r="E9" s="4" t="n">
        <f aca="false">Assumptions!E15</f>
        <v>6.2</v>
      </c>
      <c r="F9" s="4" t="n">
        <f aca="false">Assumptions!F15</f>
        <v>9</v>
      </c>
      <c r="G9" s="4" t="n">
        <f aca="false">Assumptions!G15</f>
        <v>9.5</v>
      </c>
      <c r="H9" s="4" t="n">
        <f aca="false">Assumptions!H15</f>
        <v>9</v>
      </c>
      <c r="I9" s="4" t="n">
        <f aca="false">Assumptions!I15</f>
        <v>8.5</v>
      </c>
      <c r="J9" s="4" t="n">
        <f aca="false">Assumptions!J15</f>
        <v>8</v>
      </c>
      <c r="K9" s="4" t="n">
        <f aca="false">Assumptions!K15</f>
        <v>7.5</v>
      </c>
      <c r="L9" s="4" t="n">
        <f aca="false">Assumptions!L15</f>
        <v>7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-359.52705306</v>
      </c>
      <c r="D10" s="0" t="n">
        <f aca="false">-D6*D9/100</f>
        <v>-363.1223235906</v>
      </c>
      <c r="E10" s="0" t="n">
        <f aca="false">-E6*E9/100</f>
        <v>-368.079231499932</v>
      </c>
      <c r="F10" s="0" t="n">
        <f aca="false">-F6*F9/100</f>
        <v>-341.957479587034</v>
      </c>
      <c r="G10" s="0" t="n">
        <f aca="false">-G6*G9/100</f>
        <v>-317.640503260845</v>
      </c>
      <c r="H10" s="0" t="n">
        <f aca="false">-H6*H9/100</f>
        <v>-303.931807856956</v>
      </c>
      <c r="I10" s="0" t="n">
        <f aca="false">-I6*I9/100</f>
        <v>-292.787641568867</v>
      </c>
      <c r="J10" s="0" t="n">
        <f aca="false">-J6*J9/100</f>
        <v>-281.076135906112</v>
      </c>
      <c r="K10" s="0" t="n">
        <f aca="false">-K6*K9/100</f>
        <v>-268.77905496022</v>
      </c>
      <c r="L10" s="0" t="n">
        <f aca="false">-L6*L9/100</f>
        <v>-255.877660322129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1523.70989154</v>
      </c>
      <c r="D11" s="0" t="n">
        <f aca="false">D8+D10+D24</f>
        <v>1423.6700623314</v>
      </c>
      <c r="E11" s="0" t="n">
        <f aca="false">E8+E10+E24</f>
        <v>1531.68454398359</v>
      </c>
      <c r="F11" s="0" t="n">
        <f aca="false">F8+F10+F24</f>
        <v>113.985826529011</v>
      </c>
      <c r="G11" s="0" t="n">
        <f aca="false">G8+G10+G24</f>
        <v>-50.1537636727649</v>
      </c>
      <c r="H11" s="0" t="n">
        <f aca="false">H8+H10+H24</f>
        <v>101.310602618985</v>
      </c>
      <c r="I11" s="0" t="n">
        <f aca="false">I8+I10+I24</f>
        <v>223.896431787957</v>
      </c>
      <c r="J11" s="0" t="n">
        <f aca="false">J8+J10+J24</f>
        <v>351.345169882641</v>
      </c>
      <c r="K11" s="0" t="n">
        <f aca="false">K8+K10+K24</f>
        <v>447.965091600367</v>
      </c>
      <c r="L11" s="0" t="n">
        <f aca="false">L8+L10+L24</f>
        <v>511.755320644259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-102.72201516</v>
      </c>
      <c r="D12" s="4" t="n">
        <f aca="false">-D6*Assumptions!D17/100</f>
        <v>-103.7492353116</v>
      </c>
      <c r="E12" s="4" t="n">
        <f aca="false">-E6*Assumptions!E17/100</f>
        <v>-106.861712370948</v>
      </c>
      <c r="F12" s="4" t="n">
        <f aca="false">-F6*Assumptions!F17/100</f>
        <v>-75.9905510193408</v>
      </c>
      <c r="G12" s="4" t="n">
        <f aca="false">-G6*Assumptions!G17/100</f>
        <v>-66.8716848970199</v>
      </c>
      <c r="H12" s="4" t="n">
        <f aca="false">-H6*Assumptions!H17/100</f>
        <v>-67.5404017459901</v>
      </c>
      <c r="I12" s="4" t="n">
        <f aca="false">-I6*Assumptions!I17/100</f>
        <v>-65.4466492918644</v>
      </c>
      <c r="J12" s="4" t="n">
        <f aca="false">-J6*Assumptions!J17/100</f>
        <v>-66.7555822777017</v>
      </c>
      <c r="K12" s="4" t="n">
        <f aca="false">-K6*Assumptions!K17/100</f>
        <v>-64.5069731904528</v>
      </c>
      <c r="L12" s="4" t="n">
        <f aca="false">-L6*Assumptions!L17/100</f>
        <v>-65.7971126542619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1420.98787638</v>
      </c>
      <c r="D13" s="0" t="n">
        <f aca="false">D11+D12</f>
        <v>1319.9208270198</v>
      </c>
      <c r="E13" s="0" t="n">
        <f aca="false">E11+E12</f>
        <v>1424.82283161264</v>
      </c>
      <c r="F13" s="0" t="n">
        <f aca="false">F11+F12</f>
        <v>37.9952755096703</v>
      </c>
      <c r="G13" s="0" t="n">
        <f aca="false">G11+G12</f>
        <v>-117.025448569785</v>
      </c>
      <c r="H13" s="0" t="n">
        <f aca="false">H11+H12</f>
        <v>33.7702008729951</v>
      </c>
      <c r="I13" s="0" t="n">
        <f aca="false">I11+I12</f>
        <v>158.449782496093</v>
      </c>
      <c r="J13" s="0" t="n">
        <f aca="false">J11+J12</f>
        <v>284.589587604939</v>
      </c>
      <c r="K13" s="0" t="n">
        <f aca="false">K11+K12</f>
        <v>383.458118409914</v>
      </c>
      <c r="L13" s="0" t="n">
        <f aca="false">L11+L12</f>
        <v>445.958207989997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15</v>
      </c>
      <c r="D14" s="4" t="n">
        <f aca="false">Assumptions!D19</f>
        <v>17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1207.839694923</v>
      </c>
      <c r="D15" s="0" t="n">
        <f aca="false">D13-MAX(0,D13)*D14/100</f>
        <v>1095.53428642643</v>
      </c>
      <c r="E15" s="0" t="n">
        <f aca="false">E13-MAX(0,E13)*E14/100</f>
        <v>1154.10649360624</v>
      </c>
      <c r="F15" s="0" t="n">
        <f aca="false">F13-MAX(0,F13)*F14/100</f>
        <v>30.3962204077363</v>
      </c>
      <c r="G15" s="0" t="n">
        <f aca="false">G13-MAX(0,G13)*G14/100</f>
        <v>-117.025448569785</v>
      </c>
      <c r="H15" s="0" t="n">
        <f aca="false">H13-MAX(0,H13)*H14/100</f>
        <v>27.0161606983961</v>
      </c>
      <c r="I15" s="0" t="n">
        <f aca="false">I13-MAX(0,I13)*I14/100</f>
        <v>126.759825996874</v>
      </c>
      <c r="J15" s="0" t="n">
        <f aca="false">J13-MAX(0,J13)*J14/100</f>
        <v>227.671670083951</v>
      </c>
      <c r="K15" s="0" t="n">
        <f aca="false">K13-MAX(0,K13)*K14/100</f>
        <v>306.766494727931</v>
      </c>
      <c r="L15" s="0" t="n">
        <f aca="false">L13-MAX(0,L13)*L14/100</f>
        <v>356.766566391998</v>
      </c>
    </row>
    <row r="16" customFormat="false" ht="15" hidden="false" customHeight="false" outlineLevel="0" collapsed="false">
      <c r="A16" s="0" t="s">
        <v>126</v>
      </c>
      <c r="C16" s="0" t="n">
        <f aca="false">-C12</f>
        <v>102.72201516</v>
      </c>
      <c r="D16" s="0" t="n">
        <f aca="false">-D12</f>
        <v>103.7492353116</v>
      </c>
      <c r="E16" s="0" t="n">
        <f aca="false">-E12</f>
        <v>106.861712370948</v>
      </c>
      <c r="F16" s="0" t="n">
        <f aca="false">-F12</f>
        <v>75.9905510193408</v>
      </c>
      <c r="G16" s="0" t="n">
        <f aca="false">-G12</f>
        <v>66.8716848970199</v>
      </c>
      <c r="H16" s="0" t="n">
        <f aca="false">-H12</f>
        <v>67.5404017459901</v>
      </c>
      <c r="I16" s="0" t="n">
        <f aca="false">-I12</f>
        <v>65.4466492918644</v>
      </c>
      <c r="J16" s="0" t="n">
        <f aca="false">-J12</f>
        <v>66.7555822777017</v>
      </c>
      <c r="K16" s="0" t="n">
        <f aca="false">-K12</f>
        <v>64.5069731904528</v>
      </c>
      <c r="L16" s="0" t="n">
        <f aca="false">-L12</f>
        <v>65.7971126542619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-114.1355724</v>
      </c>
      <c r="D17" s="4" t="n">
        <f aca="false">-D6*Assumptions!D18/100</f>
        <v>-115.276928124</v>
      </c>
      <c r="E17" s="4" t="n">
        <f aca="false">-E6*Assumptions!E18/100</f>
        <v>-118.73523596772</v>
      </c>
      <c r="F17" s="4" t="n">
        <f aca="false">-F6*Assumptions!F18/100</f>
        <v>-75.9905510193408</v>
      </c>
      <c r="G17" s="4" t="n">
        <f aca="false">-G6*Assumptions!G18/100</f>
        <v>-66.8716848970199</v>
      </c>
      <c r="H17" s="4" t="n">
        <f aca="false">-H6*Assumptions!H18/100</f>
        <v>-67.5404017459901</v>
      </c>
      <c r="I17" s="4" t="n">
        <f aca="false">-I6*Assumptions!I18/100</f>
        <v>-68.8912097809099</v>
      </c>
      <c r="J17" s="4" t="n">
        <f aca="false">-J6*Assumptions!J18/100</f>
        <v>-70.2690339765281</v>
      </c>
      <c r="K17" s="4" t="n">
        <f aca="false">-K6*Assumptions!K18/100</f>
        <v>-71.6744146560587</v>
      </c>
      <c r="L17" s="4" t="n">
        <f aca="false">-L6*Assumptions!L18/100</f>
        <v>-73.1079029491799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-84.8304930000001</v>
      </c>
      <c r="D18" s="4" t="n">
        <f aca="false">(D6-C6)*Assumptions!$B$23/100</f>
        <v>-8.56016793000003</v>
      </c>
      <c r="E18" s="4" t="n">
        <f aca="false">(E6-D6)*Assumptions!$B$23/100</f>
        <v>-25.9373088279</v>
      </c>
      <c r="F18" s="4" t="n">
        <f aca="false">(F6-E6)*Assumptions!$B$23/100</f>
        <v>320.585137112844</v>
      </c>
      <c r="G18" s="4" t="n">
        <f aca="false">(G6-F6)*Assumptions!$B$23/100</f>
        <v>68.3914959174067</v>
      </c>
      <c r="H18" s="4" t="n">
        <f aca="false">(H6-G6)*Assumptions!$B$23/100</f>
        <v>-5.01537636727649</v>
      </c>
      <c r="I18" s="4" t="n">
        <f aca="false">(I6-H6)*Assumptions!$B$23/100</f>
        <v>-10.1310602618985</v>
      </c>
      <c r="J18" s="4" t="n">
        <f aca="false">(J6-I6)*Assumptions!$B$23/100</f>
        <v>-10.3336814671365</v>
      </c>
      <c r="K18" s="4" t="n">
        <f aca="false">(K6-J6)*Assumptions!$B$23/100</f>
        <v>-10.5403550964792</v>
      </c>
      <c r="L18" s="4" t="n">
        <f aca="false">(L6-K6)*Assumptions!$B$23/100</f>
        <v>-10.7511621984088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1111.595644683</v>
      </c>
      <c r="D19" s="0" t="n">
        <f aca="false">D15+D16+D17+D18</f>
        <v>1075.44642568403</v>
      </c>
      <c r="E19" s="0" t="n">
        <f aca="false">E15+E16+E17+E18</f>
        <v>1116.29566118157</v>
      </c>
      <c r="F19" s="0" t="n">
        <f aca="false">F15+F16+F17+F18</f>
        <v>350.98135752058</v>
      </c>
      <c r="G19" s="0" t="n">
        <f aca="false">G15+G16+G17+G18</f>
        <v>-48.6339526523781</v>
      </c>
      <c r="H19" s="0" t="n">
        <f aca="false">H15+H16+H17+H18</f>
        <v>22.0007843311196</v>
      </c>
      <c r="I19" s="0" t="n">
        <f aca="false">I15+I16+I17+I18</f>
        <v>113.18420524593</v>
      </c>
      <c r="J19" s="0" t="n">
        <f aca="false">J15+J16+J17+J18</f>
        <v>213.824536917988</v>
      </c>
      <c r="K19" s="0" t="n">
        <f aca="false">K15+K16+K17+K18</f>
        <v>289.058698165846</v>
      </c>
      <c r="L19" s="0" t="n">
        <f aca="false">L15+L16+L17+L18</f>
        <v>338.704613898671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1024.51211491521</v>
      </c>
      <c r="D21" s="0" t="n">
        <f aca="false">D19*D20</f>
        <v>913.543651964607</v>
      </c>
      <c r="E21" s="0" t="n">
        <f aca="false">E19*E20</f>
        <v>873.956913382134</v>
      </c>
      <c r="F21" s="0" t="n">
        <f aca="false">F19*F20</f>
        <v>253.259121844307</v>
      </c>
      <c r="G21" s="0" t="n">
        <f aca="false">G19*G20</f>
        <v>-32.3437876278906</v>
      </c>
      <c r="H21" s="0" t="n">
        <f aca="false">H19*H20</f>
        <v>13.4852727448544</v>
      </c>
      <c r="I21" s="0" t="n">
        <f aca="false">I19*I20</f>
        <v>63.9407400346959</v>
      </c>
      <c r="J21" s="0" t="n">
        <f aca="false">J19*J20</f>
        <v>111.331903545391</v>
      </c>
      <c r="K21" s="0" t="n">
        <f aca="false">K19*K20</f>
        <v>138.713394222812</v>
      </c>
      <c r="L21" s="0" t="n">
        <f aca="false">L19*L20</f>
        <v>149.804110733085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3510.2034357592</v>
      </c>
    </row>
    <row r="31" customFormat="false" ht="15" hidden="false" customHeight="false" outlineLevel="0" collapsed="false">
      <c r="A31" s="0" t="s">
        <v>135</v>
      </c>
      <c r="B31" s="0" t="n">
        <f aca="false">L19</f>
        <v>338.704613898671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5315.05701810222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4064.45536678405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4064.45536678405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1797.64932879702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5307.85276455622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7484.25276455622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36.185528040208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-0.710098317255183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2126.18009715826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1775.91348212504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55.0517156304188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2657.52850905111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28.0976034379163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12</v>
      </c>
      <c r="D5" s="4" t="n">
        <f aca="false">Assumptions!D27</f>
        <v>4</v>
      </c>
      <c r="E5" s="4" t="n">
        <f aca="false">Assumptions!E27</f>
        <v>6.5</v>
      </c>
      <c r="F5" s="4" t="n">
        <f aca="false">Assumptions!F27</f>
        <v>-28</v>
      </c>
      <c r="G5" s="4" t="n">
        <f aca="false">Assumptions!G27</f>
        <v>-7.5</v>
      </c>
      <c r="H5" s="4" t="n">
        <f aca="false">Assumptions!H27</f>
        <v>3.5</v>
      </c>
      <c r="I5" s="4" t="n">
        <f aca="false">Assumptions!I27</f>
        <v>5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5141.242</v>
      </c>
      <c r="C6" s="0" t="n">
        <f aca="false">B6*(1+C5/100)</f>
        <v>5758.19104</v>
      </c>
      <c r="D6" s="0" t="n">
        <f aca="false">C6*(1+D5/100)</f>
        <v>5988.5186816</v>
      </c>
      <c r="E6" s="0" t="n">
        <f aca="false">D6*(1+E5/100)</f>
        <v>6377.772395904</v>
      </c>
      <c r="F6" s="0" t="n">
        <f aca="false">E6*(1+F5/100)</f>
        <v>4591.99612505088</v>
      </c>
      <c r="G6" s="0" t="n">
        <f aca="false">F6*(1+G5/100)</f>
        <v>4247.59641567207</v>
      </c>
      <c r="H6" s="0" t="n">
        <f aca="false">G6*(1+H5/100)</f>
        <v>4396.26229022059</v>
      </c>
      <c r="I6" s="0" t="n">
        <f aca="false">H6*(1+I5/100)</f>
        <v>4616.07540473162</v>
      </c>
      <c r="J6" s="0" t="n">
        <f aca="false">I6*(1+J5/100)</f>
        <v>4846.8791749682</v>
      </c>
      <c r="K6" s="0" t="n">
        <f aca="false">J6*(1+K5/100)</f>
        <v>5040.75434196693</v>
      </c>
      <c r="L6" s="0" t="n">
        <f aca="false">K6*(1+L5/100)</f>
        <v>5217.18074393577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33</v>
      </c>
      <c r="D7" s="4" t="n">
        <f aca="false">Assumptions!D28</f>
        <v>33</v>
      </c>
      <c r="E7" s="4" t="n">
        <f aca="false">Assumptions!E28</f>
        <v>35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25</v>
      </c>
      <c r="I7" s="4" t="n">
        <f aca="false">Assumptions!I28</f>
        <v>27</v>
      </c>
      <c r="J7" s="4" t="n">
        <f aca="false">Assumptions!J28</f>
        <v>29</v>
      </c>
      <c r="K7" s="4" t="n">
        <f aca="false">Assumptions!K28</f>
        <v>30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1900.2030432</v>
      </c>
      <c r="D8" s="0" t="n">
        <f aca="false">D6*D7/100</f>
        <v>1976.211164928</v>
      </c>
      <c r="E8" s="0" t="n">
        <f aca="false">E6*E7/100</f>
        <v>2232.2203385664</v>
      </c>
      <c r="F8" s="0" t="n">
        <f aca="false">F6*F7/100</f>
        <v>1010.23914751119</v>
      </c>
      <c r="G8" s="0" t="n">
        <f aca="false">G6*G7/100</f>
        <v>934.471211447854</v>
      </c>
      <c r="H8" s="0" t="n">
        <f aca="false">H6*H7/100</f>
        <v>1099.06557255515</v>
      </c>
      <c r="I8" s="0" t="n">
        <f aca="false">I6*I7/100</f>
        <v>1246.34035927754</v>
      </c>
      <c r="J8" s="0" t="n">
        <f aca="false">J6*J7/100</f>
        <v>1405.59496074078</v>
      </c>
      <c r="K8" s="0" t="n">
        <f aca="false">K6*K7/100</f>
        <v>1512.22630259008</v>
      </c>
      <c r="L8" s="0" t="n">
        <f aca="false">L6*L7/100</f>
        <v>1617.32603062009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6.2</v>
      </c>
      <c r="D9" s="4" t="n">
        <f aca="false">Assumptions!D29</f>
        <v>6</v>
      </c>
      <c r="E9" s="4" t="n">
        <f aca="false">Assumptions!E29</f>
        <v>5.8</v>
      </c>
      <c r="F9" s="4" t="n">
        <f aca="false">Assumptions!F29</f>
        <v>7.5</v>
      </c>
      <c r="G9" s="4" t="n">
        <f aca="false">Assumptions!G29</f>
        <v>7.5</v>
      </c>
      <c r="H9" s="4" t="n">
        <f aca="false">Assumptions!H29</f>
        <v>7</v>
      </c>
      <c r="I9" s="4" t="n">
        <f aca="false">Assumptions!I29</f>
        <v>6.5</v>
      </c>
      <c r="J9" s="4" t="n">
        <f aca="false">Assumptions!J29</f>
        <v>6</v>
      </c>
      <c r="K9" s="4" t="n">
        <f aca="false">Assumptions!K29</f>
        <v>5.8</v>
      </c>
      <c r="L9" s="4" t="n">
        <f aca="false">Assumptions!L29</f>
        <v>5.6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-357.00784448</v>
      </c>
      <c r="D10" s="0" t="n">
        <f aca="false">-D6*D9/100</f>
        <v>-359.311120896</v>
      </c>
      <c r="E10" s="0" t="n">
        <f aca="false">-E6*E9/100</f>
        <v>-369.910798962432</v>
      </c>
      <c r="F10" s="0" t="n">
        <f aca="false">-F6*F9/100</f>
        <v>-344.399709378816</v>
      </c>
      <c r="G10" s="0" t="n">
        <f aca="false">-G6*G9/100</f>
        <v>-318.569731175405</v>
      </c>
      <c r="H10" s="0" t="n">
        <f aca="false">-H6*H9/100</f>
        <v>-307.738360315441</v>
      </c>
      <c r="I10" s="0" t="n">
        <f aca="false">-I6*I9/100</f>
        <v>-300.044901307555</v>
      </c>
      <c r="J10" s="0" t="n">
        <f aca="false">-J6*J9/100</f>
        <v>-290.812750498092</v>
      </c>
      <c r="K10" s="0" t="n">
        <f aca="false">-K6*K9/100</f>
        <v>-292.363751834082</v>
      </c>
      <c r="L10" s="0" t="n">
        <f aca="false">-L6*L9/100</f>
        <v>-292.162121660403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1543.19519872</v>
      </c>
      <c r="D11" s="0" t="n">
        <f aca="false">D8+D10+D24</f>
        <v>1616.900044032</v>
      </c>
      <c r="E11" s="0" t="n">
        <f aca="false">E8+E10+E24</f>
        <v>1862.30953960397</v>
      </c>
      <c r="F11" s="0" t="n">
        <f aca="false">F8+F10+F24</f>
        <v>665.839438132378</v>
      </c>
      <c r="G11" s="0" t="n">
        <f aca="false">G8+G10+G24</f>
        <v>615.90148027245</v>
      </c>
      <c r="H11" s="0" t="n">
        <f aca="false">H8+H10+H24</f>
        <v>791.327212239706</v>
      </c>
      <c r="I11" s="0" t="n">
        <f aca="false">I8+I10+I24</f>
        <v>946.295457969981</v>
      </c>
      <c r="J11" s="0" t="n">
        <f aca="false">J8+J10+J24</f>
        <v>1114.78221024269</v>
      </c>
      <c r="K11" s="0" t="n">
        <f aca="false">K8+K10+K24</f>
        <v>1219.862550756</v>
      </c>
      <c r="L11" s="0" t="n">
        <f aca="false">L8+L10+L24</f>
        <v>1325.16390895968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-103.64743872</v>
      </c>
      <c r="D12" s="4" t="n">
        <f aca="false">-D6*Assumptions!D31/100</f>
        <v>-107.7933362688</v>
      </c>
      <c r="E12" s="4" t="n">
        <f aca="false">-E6*Assumptions!E31/100</f>
        <v>-114.799903126272</v>
      </c>
      <c r="F12" s="4" t="n">
        <f aca="false">-F6*Assumptions!F31/100</f>
        <v>-87.2479263759667</v>
      </c>
      <c r="G12" s="4" t="n">
        <f aca="false">-G6*Assumptions!G31/100</f>
        <v>-80.7043318977692</v>
      </c>
      <c r="H12" s="4" t="n">
        <f aca="false">-H6*Assumptions!H31/100</f>
        <v>-79.1327212239706</v>
      </c>
      <c r="I12" s="4" t="n">
        <f aca="false">-I6*Assumptions!I31/100</f>
        <v>-83.0893572851691</v>
      </c>
      <c r="J12" s="4" t="n">
        <f aca="false">-J6*Assumptions!J31/100</f>
        <v>-87.2438251494275</v>
      </c>
      <c r="K12" s="4" t="n">
        <f aca="false">-K6*Assumptions!K31/100</f>
        <v>-90.7335781554046</v>
      </c>
      <c r="L12" s="4" t="n">
        <f aca="false">-L6*Assumptions!L31/100</f>
        <v>-93.9092533908438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1439.54776</v>
      </c>
      <c r="D13" s="0" t="n">
        <f aca="false">D11+D12</f>
        <v>1509.1067077632</v>
      </c>
      <c r="E13" s="0" t="n">
        <f aca="false">E11+E12</f>
        <v>1747.5096364777</v>
      </c>
      <c r="F13" s="0" t="n">
        <f aca="false">F11+F12</f>
        <v>578.591511756411</v>
      </c>
      <c r="G13" s="0" t="n">
        <f aca="false">G11+G12</f>
        <v>535.19714837468</v>
      </c>
      <c r="H13" s="0" t="n">
        <f aca="false">H11+H12</f>
        <v>712.194491015735</v>
      </c>
      <c r="I13" s="0" t="n">
        <f aca="false">I11+I12</f>
        <v>863.206100684812</v>
      </c>
      <c r="J13" s="0" t="n">
        <f aca="false">J11+J12</f>
        <v>1027.53838509326</v>
      </c>
      <c r="K13" s="0" t="n">
        <f aca="false">K11+K12</f>
        <v>1129.12897260059</v>
      </c>
      <c r="L13" s="0" t="n">
        <f aca="false">L11+L12</f>
        <v>1231.25465556884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15</v>
      </c>
      <c r="D14" s="4" t="n">
        <f aca="false">Assumptions!D33</f>
        <v>17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1223.615596</v>
      </c>
      <c r="D15" s="0" t="n">
        <f aca="false">D13-MAX(0,D13)*D14/100</f>
        <v>1252.55856744346</v>
      </c>
      <c r="E15" s="0" t="n">
        <f aca="false">E13-MAX(0,E13)*E14/100</f>
        <v>1415.48280554693</v>
      </c>
      <c r="F15" s="0" t="n">
        <f aca="false">F13-MAX(0,F13)*F14/100</f>
        <v>462.873209405129</v>
      </c>
      <c r="G15" s="0" t="n">
        <f aca="false">G13-MAX(0,G13)*G14/100</f>
        <v>428.157718699744</v>
      </c>
      <c r="H15" s="0" t="n">
        <f aca="false">H13-MAX(0,H13)*H14/100</f>
        <v>569.755592812588</v>
      </c>
      <c r="I15" s="0" t="n">
        <f aca="false">I13-MAX(0,I13)*I14/100</f>
        <v>690.56488054785</v>
      </c>
      <c r="J15" s="0" t="n">
        <f aca="false">J13-MAX(0,J13)*J14/100</f>
        <v>822.030708074606</v>
      </c>
      <c r="K15" s="0" t="n">
        <f aca="false">K13-MAX(0,K13)*K14/100</f>
        <v>903.303178080473</v>
      </c>
      <c r="L15" s="0" t="n">
        <f aca="false">L13-MAX(0,L13)*L14/100</f>
        <v>985.003724455073</v>
      </c>
    </row>
    <row r="16" customFormat="false" ht="15" hidden="false" customHeight="false" outlineLevel="0" collapsed="false">
      <c r="A16" s="0" t="s">
        <v>126</v>
      </c>
      <c r="C16" s="0" t="n">
        <f aca="false">-C12</f>
        <v>103.64743872</v>
      </c>
      <c r="D16" s="0" t="n">
        <f aca="false">-D12</f>
        <v>107.7933362688</v>
      </c>
      <c r="E16" s="0" t="n">
        <f aca="false">-E12</f>
        <v>114.799903126272</v>
      </c>
      <c r="F16" s="0" t="n">
        <f aca="false">-F12</f>
        <v>87.2479263759667</v>
      </c>
      <c r="G16" s="0" t="n">
        <f aca="false">-G12</f>
        <v>80.7043318977692</v>
      </c>
      <c r="H16" s="0" t="n">
        <f aca="false">-H12</f>
        <v>79.1327212239706</v>
      </c>
      <c r="I16" s="0" t="n">
        <f aca="false">-I12</f>
        <v>83.0893572851691</v>
      </c>
      <c r="J16" s="0" t="n">
        <f aca="false">-J12</f>
        <v>87.2438251494275</v>
      </c>
      <c r="K16" s="0" t="n">
        <f aca="false">-K12</f>
        <v>90.7335781554046</v>
      </c>
      <c r="L16" s="0" t="n">
        <f aca="false">-L12</f>
        <v>93.9092533908438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-115.1638208</v>
      </c>
      <c r="D17" s="4" t="n">
        <f aca="false">-D6*Assumptions!D32/100</f>
        <v>-119.770373632</v>
      </c>
      <c r="E17" s="4" t="n">
        <f aca="false">-E6*Assumptions!E32/100</f>
        <v>-127.55544791808</v>
      </c>
      <c r="F17" s="4" t="n">
        <f aca="false">-F6*Assumptions!F32/100</f>
        <v>-91.8399225010176</v>
      </c>
      <c r="G17" s="4" t="n">
        <f aca="false">-G6*Assumptions!G32/100</f>
        <v>-84.9519283134413</v>
      </c>
      <c r="H17" s="4" t="n">
        <f aca="false">-H6*Assumptions!H32/100</f>
        <v>-87.9252458044117</v>
      </c>
      <c r="I17" s="4" t="n">
        <f aca="false">-I6*Assumptions!I32/100</f>
        <v>-92.3215080946323</v>
      </c>
      <c r="J17" s="4" t="n">
        <f aca="false">-J6*Assumptions!J32/100</f>
        <v>-96.9375834993639</v>
      </c>
      <c r="K17" s="4" t="n">
        <f aca="false">-K6*Assumptions!K32/100</f>
        <v>-100.815086839338</v>
      </c>
      <c r="L17" s="4" t="n">
        <f aca="false">-L6*Assumptions!L32/100</f>
        <v>-104.343614878715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-92.5423560000001</v>
      </c>
      <c r="D18" s="4" t="n">
        <f aca="false">(D6-C6)*Assumptions!$B$37/100</f>
        <v>-34.54914624</v>
      </c>
      <c r="E18" s="4" t="n">
        <f aca="false">(E6-D6)*Assumptions!$B$37/100</f>
        <v>-58.3880571456</v>
      </c>
      <c r="F18" s="4" t="n">
        <f aca="false">(F6-E6)*Assumptions!$B$37/100</f>
        <v>267.866440627968</v>
      </c>
      <c r="G18" s="4" t="n">
        <f aca="false">(G6-F6)*Assumptions!$B$37/100</f>
        <v>51.6599564068224</v>
      </c>
      <c r="H18" s="4" t="n">
        <f aca="false">(H6-G6)*Assumptions!$B$37/100</f>
        <v>-22.2998811822783</v>
      </c>
      <c r="I18" s="4" t="n">
        <f aca="false">(I6-H6)*Assumptions!$B$37/100</f>
        <v>-32.9719671766544</v>
      </c>
      <c r="J18" s="4" t="n">
        <f aca="false">(J6-I6)*Assumptions!$B$37/100</f>
        <v>-34.6205655354871</v>
      </c>
      <c r="K18" s="4" t="n">
        <f aca="false">(K6-J6)*Assumptions!$B$37/100</f>
        <v>-29.0812750498092</v>
      </c>
      <c r="L18" s="4" t="n">
        <f aca="false">(L6-K6)*Assumptions!$B$37/100</f>
        <v>-26.4639602953263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1119.55685792</v>
      </c>
      <c r="D19" s="0" t="n">
        <f aca="false">D15+D16+D17+D18</f>
        <v>1206.03238384026</v>
      </c>
      <c r="E19" s="0" t="n">
        <f aca="false">E15+E16+E17+E18</f>
        <v>1344.33920360953</v>
      </c>
      <c r="F19" s="0" t="n">
        <f aca="false">F15+F16+F17+F18</f>
        <v>726.147653908046</v>
      </c>
      <c r="G19" s="0" t="n">
        <f aca="false">G15+G16+G17+G18</f>
        <v>475.570078690895</v>
      </c>
      <c r="H19" s="0" t="n">
        <f aca="false">H15+H16+H17+H18</f>
        <v>538.663187049869</v>
      </c>
      <c r="I19" s="0" t="n">
        <f aca="false">I15+I16+I17+I18</f>
        <v>648.360762561732</v>
      </c>
      <c r="J19" s="0" t="n">
        <f aca="false">J15+J16+J17+J18</f>
        <v>777.716384189183</v>
      </c>
      <c r="K19" s="0" t="n">
        <f aca="false">K15+K16+K17+K18</f>
        <v>864.14039434673</v>
      </c>
      <c r="L19" s="0" t="n">
        <f aca="false">L15+L16+L17+L18</f>
        <v>948.105402671875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1031.84963863594</v>
      </c>
      <c r="D21" s="0" t="n">
        <f aca="false">D19*D20</f>
        <v>1024.47058450191</v>
      </c>
      <c r="E21" s="0" t="n">
        <f aca="false">E19*E20</f>
        <v>1052.49404954382</v>
      </c>
      <c r="F21" s="0" t="n">
        <f aca="false">F19*F20</f>
        <v>523.969473641552</v>
      </c>
      <c r="G21" s="0" t="n">
        <f aca="false">G19*G20</f>
        <v>316.275704286301</v>
      </c>
      <c r="H21" s="0" t="n">
        <f aca="false">H19*H20</f>
        <v>330.170955982929</v>
      </c>
      <c r="I21" s="0" t="n">
        <f aca="false">I19*I20</f>
        <v>366.276079578229</v>
      </c>
      <c r="J21" s="0" t="n">
        <f aca="false">J19*J20</f>
        <v>404.933160236095</v>
      </c>
      <c r="K21" s="0" t="n">
        <f aca="false">K19*K20</f>
        <v>414.683411865712</v>
      </c>
      <c r="L21" s="0" t="n">
        <f aca="false">L19*L20</f>
        <v>419.333191519453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5884.45624979194</v>
      </c>
    </row>
    <row r="31" customFormat="false" ht="15" hidden="false" customHeight="false" outlineLevel="0" collapsed="false">
      <c r="A31" s="0" t="s">
        <v>135</v>
      </c>
      <c r="B31" s="0" t="n">
        <f aca="false">L19</f>
        <v>948.105402671875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16196.8006289779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14221.5810400781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14221.5810400781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6289.9978727918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12174.4541225837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14350.8541225837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69.384780363505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-0.444121291752083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2163.30346500462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2207.49202279245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90.5170894472794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7774.46430190937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42.2085435933375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13</v>
      </c>
      <c r="D5" s="4" t="n">
        <f aca="false">Assumptions!D41</f>
        <v>7</v>
      </c>
      <c r="E5" s="4" t="n">
        <f aca="false">Assumptions!E41</f>
        <v>9</v>
      </c>
      <c r="F5" s="4" t="n">
        <f aca="false">Assumptions!F41</f>
        <v>-18</v>
      </c>
      <c r="G5" s="4" t="n">
        <f aca="false">Assumptions!G41</f>
        <v>-2</v>
      </c>
      <c r="H5" s="4" t="n">
        <f aca="false">Assumptions!H41</f>
        <v>7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5141.242</v>
      </c>
      <c r="C6" s="0" t="n">
        <f aca="false">B6*(1+C5/100)</f>
        <v>5809.60346</v>
      </c>
      <c r="D6" s="0" t="n">
        <f aca="false">C6*(1+D5/100)</f>
        <v>6216.2757022</v>
      </c>
      <c r="E6" s="0" t="n">
        <f aca="false">D6*(1+E5/100)</f>
        <v>6775.740515398</v>
      </c>
      <c r="F6" s="0" t="n">
        <f aca="false">E6*(1+F5/100)</f>
        <v>5556.10722262636</v>
      </c>
      <c r="G6" s="0" t="n">
        <f aca="false">F6*(1+G5/100)</f>
        <v>5444.98507817383</v>
      </c>
      <c r="H6" s="0" t="n">
        <f aca="false">G6*(1+H5/100)</f>
        <v>5826.134033646</v>
      </c>
      <c r="I6" s="0" t="n">
        <f aca="false">H6*(1+I5/100)</f>
        <v>6233.96341600122</v>
      </c>
      <c r="J6" s="0" t="n">
        <f aca="false">I6*(1+J5/100)</f>
        <v>6608.0012209613</v>
      </c>
      <c r="K6" s="0" t="n">
        <f aca="false">J6*(1+K5/100)</f>
        <v>6938.40128200936</v>
      </c>
      <c r="L6" s="0" t="n">
        <f aca="false">K6*(1+L5/100)</f>
        <v>7215.93733328974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35</v>
      </c>
      <c r="D7" s="4" t="n">
        <f aca="false">Assumptions!D42</f>
        <v>35</v>
      </c>
      <c r="E7" s="4" t="n">
        <f aca="false">Assumptions!E42</f>
        <v>37</v>
      </c>
      <c r="F7" s="4" t="n">
        <f aca="false">Assumptions!F42</f>
        <v>28</v>
      </c>
      <c r="G7" s="4" t="n">
        <f aca="false">Assumptions!G42</f>
        <v>28</v>
      </c>
      <c r="H7" s="4" t="n">
        <f aca="false">Assumptions!H42</f>
        <v>31</v>
      </c>
      <c r="I7" s="4" t="n">
        <f aca="false">Assumptions!I42</f>
        <v>33</v>
      </c>
      <c r="J7" s="4" t="n">
        <f aca="false">Assumptions!J42</f>
        <v>35</v>
      </c>
      <c r="K7" s="4" t="n">
        <f aca="false">Assumptions!K42</f>
        <v>36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2033.361211</v>
      </c>
      <c r="D8" s="0" t="n">
        <f aca="false">D6*D7/100</f>
        <v>2175.69649577</v>
      </c>
      <c r="E8" s="0" t="n">
        <f aca="false">E6*E7/100</f>
        <v>2507.02399069726</v>
      </c>
      <c r="F8" s="0" t="n">
        <f aca="false">F6*F7/100</f>
        <v>1555.71002233538</v>
      </c>
      <c r="G8" s="0" t="n">
        <f aca="false">G6*G7/100</f>
        <v>1524.59582188867</v>
      </c>
      <c r="H8" s="0" t="n">
        <f aca="false">H6*H7/100</f>
        <v>1806.10155043026</v>
      </c>
      <c r="I8" s="0" t="n">
        <f aca="false">I6*I7/100</f>
        <v>2057.2079272804</v>
      </c>
      <c r="J8" s="0" t="n">
        <f aca="false">J6*J7/100</f>
        <v>2312.80042733645</v>
      </c>
      <c r="K8" s="0" t="n">
        <f aca="false">K6*K7/100</f>
        <v>2497.82446152337</v>
      </c>
      <c r="L8" s="0" t="n">
        <f aca="false">L6*L7/100</f>
        <v>2669.8968133172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6</v>
      </c>
      <c r="D9" s="4" t="n">
        <f aca="false">Assumptions!D43</f>
        <v>5.8</v>
      </c>
      <c r="E9" s="4" t="n">
        <f aca="false">Assumptions!E43</f>
        <v>5.5</v>
      </c>
      <c r="F9" s="4" t="n">
        <f aca="false">Assumptions!F43</f>
        <v>6.5</v>
      </c>
      <c r="G9" s="4" t="n">
        <f aca="false">Assumptions!G43</f>
        <v>6.3</v>
      </c>
      <c r="H9" s="4" t="n">
        <f aca="false">Assumptions!H43</f>
        <v>6</v>
      </c>
      <c r="I9" s="4" t="n">
        <f aca="false">Assumptions!I43</f>
        <v>5.5</v>
      </c>
      <c r="J9" s="4" t="n">
        <f aca="false">Assumptions!J43</f>
        <v>5.2</v>
      </c>
      <c r="K9" s="4" t="n">
        <f aca="false">Assumptions!K43</f>
        <v>5</v>
      </c>
      <c r="L9" s="4" t="n">
        <f aca="false">Assumptions!L43</f>
        <v>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-348.5762076</v>
      </c>
      <c r="D10" s="0" t="n">
        <f aca="false">-D6*D9/100</f>
        <v>-360.5439907276</v>
      </c>
      <c r="E10" s="0" t="n">
        <f aca="false">-E6*E9/100</f>
        <v>-372.66572834689</v>
      </c>
      <c r="F10" s="0" t="n">
        <f aca="false">-F6*F9/100</f>
        <v>-361.146969470713</v>
      </c>
      <c r="G10" s="0" t="n">
        <f aca="false">-G6*G9/100</f>
        <v>-343.034059924952</v>
      </c>
      <c r="H10" s="0" t="n">
        <f aca="false">-H6*H9/100</f>
        <v>-349.56804201876</v>
      </c>
      <c r="I10" s="0" t="n">
        <f aca="false">-I6*I9/100</f>
        <v>-342.867987880067</v>
      </c>
      <c r="J10" s="0" t="n">
        <f aca="false">-J6*J9/100</f>
        <v>-343.616063489987</v>
      </c>
      <c r="K10" s="0" t="n">
        <f aca="false">-K6*K9/100</f>
        <v>-346.920064100468</v>
      </c>
      <c r="L10" s="0" t="n">
        <f aca="false">-L6*L9/100</f>
        <v>-360.796866664487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1684.7850034</v>
      </c>
      <c r="D11" s="0" t="n">
        <f aca="false">D8+D10+D24</f>
        <v>1815.1525050424</v>
      </c>
      <c r="E11" s="0" t="n">
        <f aca="false">E8+E10+E24</f>
        <v>2134.35826235037</v>
      </c>
      <c r="F11" s="0" t="n">
        <f aca="false">F8+F10+F24</f>
        <v>1194.56305286467</v>
      </c>
      <c r="G11" s="0" t="n">
        <f aca="false">G8+G10+G24</f>
        <v>1181.56176196372</v>
      </c>
      <c r="H11" s="0" t="n">
        <f aca="false">H8+H10+H24</f>
        <v>1456.5335084115</v>
      </c>
      <c r="I11" s="0" t="n">
        <f aca="false">I8+I10+I24</f>
        <v>1714.33993940034</v>
      </c>
      <c r="J11" s="0" t="n">
        <f aca="false">J8+J10+J24</f>
        <v>1969.18436384647</v>
      </c>
      <c r="K11" s="0" t="n">
        <f aca="false">K8+K10+K24</f>
        <v>2150.9043974229</v>
      </c>
      <c r="L11" s="0" t="n">
        <f aca="false">L8+L10+L24</f>
        <v>2309.09994665272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-104.57286228</v>
      </c>
      <c r="D12" s="4" t="n">
        <f aca="false">-D6*Assumptions!D45/100</f>
        <v>-111.8929626396</v>
      </c>
      <c r="E12" s="4" t="n">
        <f aca="false">-E6*Assumptions!E45/100</f>
        <v>-121.963329277164</v>
      </c>
      <c r="F12" s="4" t="n">
        <f aca="false">-F6*Assumptions!F45/100</f>
        <v>-100.009930007274</v>
      </c>
      <c r="G12" s="4" t="n">
        <f aca="false">-G6*Assumptions!G45/100</f>
        <v>-98.009731407129</v>
      </c>
      <c r="H12" s="4" t="n">
        <f aca="false">-H6*Assumptions!H45/100</f>
        <v>-104.870412605628</v>
      </c>
      <c r="I12" s="4" t="n">
        <f aca="false">-I6*Assumptions!I45/100</f>
        <v>-112.211341488022</v>
      </c>
      <c r="J12" s="4" t="n">
        <f aca="false">-J6*Assumptions!J45/100</f>
        <v>-118.944021977303</v>
      </c>
      <c r="K12" s="4" t="n">
        <f aca="false">-K6*Assumptions!K45/100</f>
        <v>-124.891223076169</v>
      </c>
      <c r="L12" s="4" t="n">
        <f aca="false">-L6*Assumptions!L45/100</f>
        <v>-129.886871999215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1580.21214112</v>
      </c>
      <c r="D13" s="0" t="n">
        <f aca="false">D11+D12</f>
        <v>1703.2595424028</v>
      </c>
      <c r="E13" s="0" t="n">
        <f aca="false">E11+E12</f>
        <v>2012.39493307321</v>
      </c>
      <c r="F13" s="0" t="n">
        <f aca="false">F11+F12</f>
        <v>1094.55312285739</v>
      </c>
      <c r="G13" s="0" t="n">
        <f aca="false">G11+G12</f>
        <v>1083.55203055659</v>
      </c>
      <c r="H13" s="0" t="n">
        <f aca="false">H11+H12</f>
        <v>1351.66309580587</v>
      </c>
      <c r="I13" s="0" t="n">
        <f aca="false">I11+I12</f>
        <v>1602.12859791231</v>
      </c>
      <c r="J13" s="0" t="n">
        <f aca="false">J11+J12</f>
        <v>1850.24034186916</v>
      </c>
      <c r="K13" s="0" t="n">
        <f aca="false">K11+K12</f>
        <v>2026.01317434673</v>
      </c>
      <c r="L13" s="0" t="n">
        <f aca="false">L11+L12</f>
        <v>2179.2130746535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15</v>
      </c>
      <c r="D14" s="4" t="n">
        <f aca="false">Assumptions!D47</f>
        <v>17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1343.180319952</v>
      </c>
      <c r="D15" s="0" t="n">
        <f aca="false">D13-MAX(0,D13)*D14/100</f>
        <v>1413.70542019432</v>
      </c>
      <c r="E15" s="0" t="n">
        <f aca="false">E13-MAX(0,E13)*E14/100</f>
        <v>1630.0398957893</v>
      </c>
      <c r="F15" s="0" t="n">
        <f aca="false">F13-MAX(0,F13)*F14/100</f>
        <v>875.642498285914</v>
      </c>
      <c r="G15" s="0" t="n">
        <f aca="false">G13-MAX(0,G13)*G14/100</f>
        <v>866.841624445274</v>
      </c>
      <c r="H15" s="0" t="n">
        <f aca="false">H13-MAX(0,H13)*H14/100</f>
        <v>1081.3304766447</v>
      </c>
      <c r="I15" s="0" t="n">
        <f aca="false">I13-MAX(0,I13)*I14/100</f>
        <v>1281.70287832985</v>
      </c>
      <c r="J15" s="0" t="n">
        <f aca="false">J13-MAX(0,J13)*J14/100</f>
        <v>1480.19227349533</v>
      </c>
      <c r="K15" s="0" t="n">
        <f aca="false">K13-MAX(0,K13)*K14/100</f>
        <v>1620.81053947739</v>
      </c>
      <c r="L15" s="0" t="n">
        <f aca="false">L13-MAX(0,L13)*L14/100</f>
        <v>1743.3704597228</v>
      </c>
    </row>
    <row r="16" customFormat="false" ht="15" hidden="false" customHeight="false" outlineLevel="0" collapsed="false">
      <c r="A16" s="0" t="s">
        <v>126</v>
      </c>
      <c r="C16" s="0" t="n">
        <f aca="false">-C12</f>
        <v>104.57286228</v>
      </c>
      <c r="D16" s="0" t="n">
        <f aca="false">-D12</f>
        <v>111.8929626396</v>
      </c>
      <c r="E16" s="0" t="n">
        <f aca="false">-E12</f>
        <v>121.963329277164</v>
      </c>
      <c r="F16" s="0" t="n">
        <f aca="false">-F12</f>
        <v>100.009930007274</v>
      </c>
      <c r="G16" s="0" t="n">
        <f aca="false">-G12</f>
        <v>98.009731407129</v>
      </c>
      <c r="H16" s="0" t="n">
        <f aca="false">-H12</f>
        <v>104.870412605628</v>
      </c>
      <c r="I16" s="0" t="n">
        <f aca="false">-I12</f>
        <v>112.211341488022</v>
      </c>
      <c r="J16" s="0" t="n">
        <f aca="false">-J12</f>
        <v>118.944021977303</v>
      </c>
      <c r="K16" s="0" t="n">
        <f aca="false">-K12</f>
        <v>124.891223076169</v>
      </c>
      <c r="L16" s="0" t="n">
        <f aca="false">-L12</f>
        <v>129.886871999215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-116.1920692</v>
      </c>
      <c r="D17" s="4" t="n">
        <f aca="false">-D6*Assumptions!D46/100</f>
        <v>-124.325514044</v>
      </c>
      <c r="E17" s="4" t="n">
        <f aca="false">-E6*Assumptions!E46/100</f>
        <v>-135.51481030796</v>
      </c>
      <c r="F17" s="4" t="n">
        <f aca="false">-F6*Assumptions!F46/100</f>
        <v>-111.122144452527</v>
      </c>
      <c r="G17" s="4" t="n">
        <f aca="false">-G6*Assumptions!G46/100</f>
        <v>-108.899701563477</v>
      </c>
      <c r="H17" s="4" t="n">
        <f aca="false">-H6*Assumptions!H46/100</f>
        <v>-116.52268067292</v>
      </c>
      <c r="I17" s="4" t="n">
        <f aca="false">-I6*Assumptions!I46/100</f>
        <v>-124.679268320024</v>
      </c>
      <c r="J17" s="4" t="n">
        <f aca="false">-J6*Assumptions!J46/100</f>
        <v>-132.160024419226</v>
      </c>
      <c r="K17" s="4" t="n">
        <f aca="false">-K6*Assumptions!K46/100</f>
        <v>-138.768025640187</v>
      </c>
      <c r="L17" s="4" t="n">
        <f aca="false">-L6*Assumptions!L46/100</f>
        <v>-144.318746665795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-100.254219</v>
      </c>
      <c r="D18" s="4" t="n">
        <f aca="false">(D6-C6)*Assumptions!$B$51/100</f>
        <v>-61.00083633</v>
      </c>
      <c r="E18" s="4" t="n">
        <f aca="false">(E6-D6)*Assumptions!$B$51/100</f>
        <v>-83.9197219797</v>
      </c>
      <c r="F18" s="4" t="n">
        <f aca="false">(F6-E6)*Assumptions!$B$51/100</f>
        <v>182.944993915746</v>
      </c>
      <c r="G18" s="4" t="n">
        <f aca="false">(G6-F6)*Assumptions!$B$51/100</f>
        <v>16.6683216678791</v>
      </c>
      <c r="H18" s="4" t="n">
        <f aca="false">(H6-G6)*Assumptions!$B$51/100</f>
        <v>-57.1723433208253</v>
      </c>
      <c r="I18" s="4" t="n">
        <f aca="false">(I6-H6)*Assumptions!$B$51/100</f>
        <v>-61.1744073532831</v>
      </c>
      <c r="J18" s="4" t="n">
        <f aca="false">(J6-I6)*Assumptions!$B$51/100</f>
        <v>-56.1056707440111</v>
      </c>
      <c r="K18" s="4" t="n">
        <f aca="false">(K6-J6)*Assumptions!$B$51/100</f>
        <v>-49.5600091572098</v>
      </c>
      <c r="L18" s="4" t="n">
        <f aca="false">(L6-K6)*Assumptions!$B$51/100</f>
        <v>-41.6304076920562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1231.306894032</v>
      </c>
      <c r="D19" s="0" t="n">
        <f aca="false">D15+D16+D17+D18</f>
        <v>1340.27203245992</v>
      </c>
      <c r="E19" s="0" t="n">
        <f aca="false">E15+E16+E17+E18</f>
        <v>1532.5686927788</v>
      </c>
      <c r="F19" s="0" t="n">
        <f aca="false">F15+F16+F17+F18</f>
        <v>1047.47527775641</v>
      </c>
      <c r="G19" s="0" t="n">
        <f aca="false">G15+G16+G17+G18</f>
        <v>872.619975956806</v>
      </c>
      <c r="H19" s="0" t="n">
        <f aca="false">H15+H16+H17+H18</f>
        <v>1012.50586525658</v>
      </c>
      <c r="I19" s="0" t="n">
        <f aca="false">I15+I16+I17+I18</f>
        <v>1208.06054414457</v>
      </c>
      <c r="J19" s="0" t="n">
        <f aca="false">J15+J16+J17+J18</f>
        <v>1410.8706003094</v>
      </c>
      <c r="K19" s="0" t="n">
        <f aca="false">K15+K16+K17+K18</f>
        <v>1557.37372775616</v>
      </c>
      <c r="L19" s="0" t="n">
        <f aca="false">L15+L16+L17+L18</f>
        <v>1687.30817736416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1134.84506362396</v>
      </c>
      <c r="D21" s="0" t="n">
        <f aca="false">D19*D20</f>
        <v>1138.5011637197</v>
      </c>
      <c r="E21" s="0" t="n">
        <f aca="false">E19*E20</f>
        <v>1199.86044097792</v>
      </c>
      <c r="F21" s="0" t="n">
        <f aca="false">F19*F20</f>
        <v>755.831223835455</v>
      </c>
      <c r="G21" s="0" t="n">
        <f aca="false">G19*G20</f>
        <v>580.331921280139</v>
      </c>
      <c r="H21" s="0" t="n">
        <f aca="false">H19*H20</f>
        <v>620.610499301002</v>
      </c>
      <c r="I21" s="0" t="n">
        <f aca="false">I19*I20</f>
        <v>682.465234716118</v>
      </c>
      <c r="J21" s="0" t="n">
        <f aca="false">J19*J20</f>
        <v>734.597216262976</v>
      </c>
      <c r="K21" s="0" t="n">
        <f aca="false">K19*K20</f>
        <v>747.351998819785</v>
      </c>
      <c r="L21" s="0" t="n">
        <f aca="false">L19*L20</f>
        <v>746.271797520657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8340.66656005772</v>
      </c>
    </row>
    <row r="31" customFormat="false" ht="15" hidden="false" customHeight="false" outlineLevel="0" collapsed="false">
      <c r="A31" s="0" t="s">
        <v>135</v>
      </c>
      <c r="B31" s="0" t="n">
        <f aca="false">L19</f>
        <v>1687.30817736416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31598.6804124562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26996.9308378266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26996.9308378266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11940.3487603305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20281.0153203882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22457.4153203882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108.579100325815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-0.130114562363286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2320.95164948819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2988.40813953119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134.249263208469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14482.7285223757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58.4720108569395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36.185528040208</v>
      </c>
      <c r="C4" s="0" t="n">
        <f aca="false">B4/Assumptions!$B$2-1</f>
        <v>-0.710098317255183</v>
      </c>
      <c r="D4" s="4" t="n">
        <f aca="false">Assumptions!$B$24</f>
        <v>0.25</v>
      </c>
      <c r="E4" s="4" t="n">
        <f aca="false">DCF_Bear!$B$43</f>
        <v>55.0517156304188</v>
      </c>
      <c r="F4" s="4" t="n">
        <f aca="false">DCF_Bear!$B$47</f>
        <v>28.0976034379163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69.384780363505</v>
      </c>
      <c r="C5" s="0" t="n">
        <f aca="false">B5/Assumptions!$B$2-1</f>
        <v>-0.444121291752083</v>
      </c>
      <c r="D5" s="4" t="n">
        <f aca="false">Assumptions!$B$38</f>
        <v>0.5</v>
      </c>
      <c r="E5" s="4" t="n">
        <f aca="false">DCF_Base!$B$43</f>
        <v>90.5170894472794</v>
      </c>
      <c r="F5" s="4" t="n">
        <f aca="false">DCF_Base!$B$47</f>
        <v>42.2085435933375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108.579100325815</v>
      </c>
      <c r="C6" s="0" t="n">
        <f aca="false">B6/Assumptions!$B$2-1</f>
        <v>-0.130114562363286</v>
      </c>
      <c r="D6" s="4" t="n">
        <f aca="false">Assumptions!$B$52</f>
        <v>0.25</v>
      </c>
      <c r="E6" s="4" t="n">
        <f aca="false">DCF_Bull!$B$43</f>
        <v>134.249263208469</v>
      </c>
      <c r="F6" s="4" t="n">
        <f aca="false">DCF_Bull!$B$47</f>
        <v>58.4720108569395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70.8835472732581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92.5837894333616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-0.7609163875337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248.55230798256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42.7466753703827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69.384780363505</v>
      </c>
      <c r="C15" s="3" t="n">
        <v>8.5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67.4567597688558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61.4970518923351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55.8110367341336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51.3294644118121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42.2085435933375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78.0509416120354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78.0509416120354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78.0509416120354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78.0509416120354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78.0509416120354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73.5167707641884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73.5167707641884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73.5167707641884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73.5167707641884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73.5167707641884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68.3710657391288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69.384780363505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69.384780363505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69.384780363505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69.384780363505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61.3370145305479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63.0248681166256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64.9538436435715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65.6144517007448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65.6144517007448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55.8830327302092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57.1028398288612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58.4751228148447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60.0303768656261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61.807810066519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2026-09-28T21:54:01Z</dcterms:created>
  <dc:creator>openpyxl</dc:creator>
  <dc:description/>
  <dc:language>en-NZ</dc:language>
  <cp:lastModifiedBy/>
  <dcterms:modified xsi:type="dcterms:W3CDTF">2026-09-28T21:54:01Z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