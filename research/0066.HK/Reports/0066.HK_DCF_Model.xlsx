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<sst xmlns="http://schemas.openxmlformats.org/spreadsheetml/2006/main" count="362" uniqueCount="170">
  <si>
    <t xml:space="preserve">Ticker</t>
  </si>
  <si>
    <t xml:space="preserve">0066.HK</t>
  </si>
  <si>
    <t xml:space="preserve">Company</t>
  </si>
  <si>
    <t xml:space="preserve">MTR Corporation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</si>
  <si>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</si>
  <si>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</si>
  <si>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</si>
  <si>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</si>
  <si>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 Friday close; Yahoo chart API)</t>
  </si>
  <si>
    <t xml:space="preserve">Balance sheet date</t>
  </si>
  <si>
    <t xml:space="preserve">2026-06-30</t>
  </si>
  <si>
    <t xml:space="preserve">Model</t>
  </si>
  <si>
    <t xml:space="preserve">Sum-of-parts: owner FCF DCF of the recurrent businesses plus Rail plus Property pipeline, associates and hybrid capital in the equity bridge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</si>
  <si>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</si>
  <si>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</si>
  <si>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</si>
  <si>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</si>
  <si>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</si>
  <si>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</si>
  <si>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</si>
  <si>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</si>
  <si>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2026-10-10T11:42:49Z</t>
  </si>
  <si>
    <t xml:space="preserve">Drivers file</t>
  </si>
  <si>
    <t xml:space="preserve">0066.HK_Drivers.json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</si>
  <si>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</si>
  <si>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</si>
  <si>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</si>
  <si>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Sum of parts on a cash basis. The market capitalises MTR's underlying profit (~HK$16bn/yr, two-thirds property development) as if it were a perpetual distributable stream; this model does not, for two reasons visible in the filings. First, recurrent accounting profit overstates recurrent cash because existing-network maintenance/renewal capex (~HK$14bn/yr guided 2026-28) is more than double depreciation (HK$6.4bn) while fares are frozen - consolidated FCF has been negative six years running and the ~HK$8.2bn/yr dividend plus HK$1.2bn of perpetual distributions are being funded by debt and property receipts. Second, under R+P the new-line property profit is the land-premium reduction that bridges each line's funding gap, so it is a capital grant matched against HK$140bn of new-line capex, not free earnings; the matched pair is valued at a modest positive NPV. Only the already-granted pipeline on built lines is valued as profit.
key_risks_to_valuation: Fare Adjustment Mechanism: frozen 2025/26 and 2026/27; whether the deferred increments are ever released is the single largest driver of the recurrent value and is a policy decision of the majority owner.; HK residential cycle: the existing-site pipeline (HK$31.5bn) and PDIP recovery (HK$21.7bn) are held at base in all scenarios; a 30% cut moves value by ~HK$2-3/share.; R+P new-line NPV is a judgment (HK$8bn): if land grants prove generous (Southside-style surpluses) the programme could be worth several times that; if construction overruns on six to seven concurrent projects, it is negative.; Maintenance capex: the long-run 18% of revenue assumption is ~1.3x depreciation; each 1pp of revenue in terminal capex is worth ~HK$1.2/share.; Market-implied view differs sharply: the price implies capitalising property development profit as a perpetuity; consensus targets (~HK$32-33) use SOTP with HK rail at regulated asset value and investment property at fair value.</t>
  </si>
  <si>
    <t xml:space="preserve">Data sources</t>
  </si>
  <si>
    <t xml:space="preserve">price: Yahoo Finance chart API at inputs.price_as_of; 52-week range 26.16-37.88
financials: 0066.HK_Metrics.csv and kpis (core_metrics, HKD millions); FY2025 Annual Report consolidated cash flow (lines 12480-12510), segment table (lines 13780-13800), PDIP note 24 (line 15542); Interim Report 2026 business review and financial position (lines 1640-1930), PDIP note 16, related-party note 22 on R+P land premium (line 4300), property packages tables (lines 1180-1215).
qualitative: 0066.HK_Analysis.json (2026-10): fare freezes, HK$140bn new-line pipeline, HK$65bn renewal, UK/Stockholm exits, Hangzhou impairment, Sydney Metro West.</t>
  </si>
  <si>
    <t xml:space="preserve">Scenario narrative: bear</t>
  </si>
  <si>
    <t xml:space="preserve">The majority owner keeps fares capped as costs rise, renewal capex never normalises, and Mainland/overseas operations keep shrinking; recurrent owner FCF stays thin through the decade. A HK residential downturn would additionally cut the existing pipeline (not modelled per scenario: roughly HK$2-3/share for a 30% cut).</t>
  </si>
  <si>
    <t xml:space="preserve">Scenario narrative: base</t>
  </si>
  <si>
    <t xml:space="preserve">The core HK rail network earns little cash while fares are frozen and the HK$65bn renewal programme runs, then recovers to a ~7-8% owner-FCF margin by the early 2030s as the Fare Adjustment Mechanism resumes; the value rests on that recovery, the malls and station retail inside the same flows, and a property pipeline worth roughly HK$61bn (existing sites + PDIP recovery + modest new-line NPV) that is mostly already committed.</t>
  </si>
  <si>
    <t xml:space="preserve">Scenario narrative: bull</t>
  </si>
  <si>
    <t xml:space="preserve">Fare catch-up after 2027/28, tourist-driven station retail and faster capex normalisation take recurrent margin back to the pre-COVID 38.5% and owner-FCF margin above 10%; the property and new-line items are held at base in the bridge, so the bull case here is a recurrent-business bull only (a stronger HK residential market would add roughly HK$2-4/share via the pipeline).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</si>
  <si>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</si>
  <si>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</si>
  <si>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</si>
  <si>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</si>
  <si>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</si>
  <si>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</si>
  <si>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</si>
  <si>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</si>
  <si>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</si>
  <si>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</si>
  <si>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</si>
  <si>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</si>
  <si>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</si>
  <si>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</si>
  <si>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</si>
  <si>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</si>
  <si>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</si>
  <si>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</si>
  <si>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</si>
  <si>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</si>
  <si>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</si>
  <si>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</si>
  <si>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</si>
  <si>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</si>
  <si>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</si>
  <si>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</si>
  <si>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</si>
  <si>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</si>
  <si>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NetIncomeInclNCI</t>
  </si>
  <si>
    <t xml:space="preserve">ShareAwardSettlement</t>
  </si>
  <si>
    <t xml:space="preserve">TotalEquityInclHybridNCI</t>
  </si>
  <si>
    <t xml:space="preserve">UnderlyingProfit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</si>
  <si>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</si>
  <si>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</si>
  <si>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</si>
  <si>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</si>
  <si>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</si>
  <si>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</si>
  <si>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</si>
  <si>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</si>
  <si>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</si>
  <si>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</si>
  <si>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</si>
  <si>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</si>
  <si>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</si>
  <si>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</si>
  <si>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</si>
  <si>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</si>
  <si>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</si>
  <si>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</si>
  <si>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run-rate (base_revenue = 2 x H1-2026 revenue HK$26,231m plus normal H2 seasonality; UK Elizabeth Line/SWR exited May-2025 and Stockholm Metro Nov-2025 are already out of the H1-2026 base). Year 1 of the projection is FY2027.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</si>
  <si>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</si>
  <si>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</si>
  <si>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</si>
  <si>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</si>
  <si>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</si>
  <si>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</si>
  <si>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</si>
  <si>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</si>
  <si>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</si>
  <si>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</si>
  <si>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</si>
  <si>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</si>
  <si>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</si>
  <si>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</si>
  <si>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</si>
  <si>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</si>
  <si>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</si>
  <si>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</si>
  <si>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</si>
  <si>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</si>
  <si>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</si>
  <si>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</si>
  <si>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</si>
  <si>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</si>
  <si>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</si>
  <si>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</si>
  <si>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</si>
  <si>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</si>
  <si>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0066.HK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</si>
  <si>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</si>
  <si>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</si>
  <si>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</si>
  <si>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</si>
  <si>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</si>
  <si>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</si>
  <si>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</si>
  <si>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</si>
  <si>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</si>
  <si>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</si>
  <si>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</si>
  <si>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</si>
  <si>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</si>
  <si>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</si>
  <si>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</si>
  <si>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</si>
  <si>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</si>
  <si>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</si>
  <si>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</si>
  <si>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</si>
  <si>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</si>
  <si>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</si>
  <si>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</si>
  <si>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</si>
  <si>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</si>
  <si>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</si>
  <si>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</si>
  <si>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</si>
  <si>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</si>
  <si>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</si>
  <si>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0066.HK owner-FCF component DCF: base case (millions, HKD)</t>
  </si>
  <si>
    <t xml:space="preserve">0066.HK owner-FCF component DCF: bull case (millions, HKD)</t>
  </si>
  <si>
    <t xml:space="preserve">0066.HK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</si>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</sst>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31.72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55440</v>
      </c>
      <c r="F2" s="0" t="n">
        <v>14794</v>
      </c>
      <c r="G2" s="0" t="n">
        <v>26.7</v>
      </c>
      <c r="H2" s="0" t="n">
        <v>21088</v>
      </c>
      <c r="I2" s="0" t="n">
        <v>16829</v>
      </c>
      <c r="J2" s="0" t="n">
        <v>30.4</v>
      </c>
      <c r="K2" s="0" t="n">
        <v>2.82</v>
      </c>
      <c r="L2" s="0" t="n">
        <v>19603</v>
      </c>
      <c r="M2" s="0" t="n">
        <v>7483</v>
      </c>
      <c r="N2" s="0" t="n">
        <v>12120</v>
      </c>
      <c r="O2" s="0" t="n">
        <v>166304</v>
      </c>
      <c r="P2" s="0" t="n">
        <v>263768</v>
      </c>
      <c r="Q2" s="0" t="n">
        <v>97342</v>
      </c>
      <c r="R2" s="0" t="n">
        <v>42043</v>
      </c>
      <c r="S2" s="0" t="n">
        <v>18354</v>
      </c>
      <c r="T2" s="0" t="n">
        <v>6007.78</v>
      </c>
      <c r="U2" s="0" t="n">
        <v>119</v>
      </c>
      <c r="AA2" s="0" t="s">
        <v>17</v>
      </c>
      <c r="AB2" s="0" t="s">
        <v>14</v>
      </c>
      <c r="AD2" s="0" t="n">
        <v>16885</v>
      </c>
      <c r="AE2" s="0" t="n">
        <v>0</v>
      </c>
      <c r="AF2" s="0" t="n">
        <v>166426</v>
      </c>
      <c r="AG2" s="0" t="n">
        <v>10515</v>
      </c>
    </row>
    <row r="3" customFormat="false" ht="15" hidden="false" customHeight="false" outlineLevel="0" collapsed="false">
      <c r="A3" s="0" t="s">
        <v>69</v>
      </c>
      <c r="B3" s="0" t="n">
        <v>53930</v>
      </c>
      <c r="F3" s="0" t="n">
        <v>14810</v>
      </c>
      <c r="G3" s="0" t="n">
        <v>27.5</v>
      </c>
      <c r="H3" s="0" t="n">
        <v>21442</v>
      </c>
      <c r="I3" s="0" t="n">
        <v>16008</v>
      </c>
      <c r="J3" s="0" t="n">
        <v>29.7</v>
      </c>
      <c r="K3" s="0" t="n">
        <v>2.64</v>
      </c>
      <c r="L3" s="0" t="n">
        <v>10950</v>
      </c>
      <c r="M3" s="0" t="n">
        <v>6447</v>
      </c>
      <c r="N3" s="0" t="n">
        <v>4503</v>
      </c>
      <c r="O3" s="0" t="n">
        <v>180447</v>
      </c>
      <c r="P3" s="0" t="n">
        <v>274687</v>
      </c>
      <c r="Q3" s="0" t="n">
        <v>94068</v>
      </c>
      <c r="R3" s="0" t="n">
        <v>40205</v>
      </c>
      <c r="S3" s="0" t="n">
        <v>18022</v>
      </c>
      <c r="T3" s="0" t="n">
        <v>6139.49</v>
      </c>
      <c r="U3" s="0" t="n">
        <v>110</v>
      </c>
      <c r="AA3" s="0" t="s">
        <v>17</v>
      </c>
      <c r="AB3" s="0" t="s">
        <v>14</v>
      </c>
      <c r="AC3" s="0" t="n">
        <v>5</v>
      </c>
      <c r="AD3" s="0" t="n">
        <v>16156</v>
      </c>
      <c r="AE3" s="0" t="n">
        <v>239</v>
      </c>
      <c r="AF3" s="0" t="n">
        <v>180619</v>
      </c>
      <c r="AG3" s="0" t="n">
        <v>11263</v>
      </c>
    </row>
    <row r="4" customFormat="false" ht="15" hidden="false" customHeight="false" outlineLevel="0" collapsed="false">
      <c r="A4" s="0" t="s">
        <v>70</v>
      </c>
      <c r="B4" s="0" t="n">
        <v>54504</v>
      </c>
      <c r="F4" s="0" t="n">
        <v>13501</v>
      </c>
      <c r="G4" s="0" t="n">
        <v>24.8</v>
      </c>
      <c r="H4" s="0" t="n">
        <v>21033</v>
      </c>
      <c r="I4" s="0" t="n">
        <v>11932</v>
      </c>
      <c r="J4" s="0" t="n">
        <v>21.9</v>
      </c>
      <c r="K4" s="0" t="n">
        <v>1.94</v>
      </c>
      <c r="L4" s="0" t="n">
        <v>17043</v>
      </c>
      <c r="M4" s="0" t="n">
        <v>6072</v>
      </c>
      <c r="N4" s="0" t="n">
        <v>10971</v>
      </c>
      <c r="O4" s="0" t="n">
        <v>186606</v>
      </c>
      <c r="P4" s="0" t="n">
        <v>289214</v>
      </c>
      <c r="Q4" s="0" t="n">
        <v>102416</v>
      </c>
      <c r="R4" s="0" t="n">
        <v>39456</v>
      </c>
      <c r="S4" s="0" t="n">
        <v>21186</v>
      </c>
      <c r="T4" s="0" t="n">
        <v>6157.95</v>
      </c>
      <c r="U4" s="0" t="n">
        <v>122</v>
      </c>
      <c r="AA4" s="0" t="s">
        <v>17</v>
      </c>
      <c r="AB4" s="0" t="s">
        <v>14</v>
      </c>
      <c r="AC4" s="0" t="n">
        <v>165</v>
      </c>
      <c r="AD4" s="0" t="n">
        <v>12092</v>
      </c>
      <c r="AE4" s="0" t="n">
        <v>88</v>
      </c>
      <c r="AF4" s="0" t="n">
        <v>186798</v>
      </c>
      <c r="AG4" s="0" t="n">
        <v>10560</v>
      </c>
    </row>
    <row r="5" customFormat="false" ht="15" hidden="false" customHeight="false" outlineLevel="0" collapsed="false">
      <c r="A5" s="0" t="s">
        <v>71</v>
      </c>
      <c r="B5" s="0" t="n">
        <v>42541</v>
      </c>
      <c r="F5" s="0" t="n">
        <v>-2516</v>
      </c>
      <c r="G5" s="0" t="n">
        <v>-5.9</v>
      </c>
      <c r="H5" s="0" t="n">
        <v>2482</v>
      </c>
      <c r="I5" s="0" t="n">
        <v>-4809</v>
      </c>
      <c r="J5" s="0" t="n">
        <v>-11.3</v>
      </c>
      <c r="K5" s="0" t="n">
        <v>-0.78</v>
      </c>
      <c r="L5" s="0" t="n">
        <v>772</v>
      </c>
      <c r="M5" s="0" t="n">
        <v>9249</v>
      </c>
      <c r="N5" s="0" t="n">
        <v>-8477</v>
      </c>
      <c r="O5" s="0" t="n">
        <v>176788</v>
      </c>
      <c r="P5" s="0" t="n">
        <v>290574</v>
      </c>
      <c r="Q5" s="0" t="n">
        <v>113593</v>
      </c>
      <c r="R5" s="0" t="n">
        <v>50340</v>
      </c>
      <c r="S5" s="0" t="n">
        <v>20906</v>
      </c>
      <c r="T5" s="0" t="n">
        <v>6180.93</v>
      </c>
      <c r="U5" s="0" t="n">
        <v>121</v>
      </c>
      <c r="AA5" s="0" t="s">
        <v>17</v>
      </c>
      <c r="AB5" s="0" t="s">
        <v>14</v>
      </c>
      <c r="AC5" s="0" t="n">
        <v>232</v>
      </c>
      <c r="AD5" s="0" t="n">
        <v>-4821</v>
      </c>
      <c r="AE5" s="0" t="n">
        <v>86</v>
      </c>
      <c r="AF5" s="0" t="n">
        <v>176981</v>
      </c>
      <c r="AG5" s="0" t="n">
        <v>4381</v>
      </c>
    </row>
    <row r="6" customFormat="false" ht="15" hidden="false" customHeight="false" outlineLevel="0" collapsed="false">
      <c r="A6" s="0" t="s">
        <v>72</v>
      </c>
      <c r="B6" s="0" t="n">
        <v>47202</v>
      </c>
      <c r="F6" s="0" t="n">
        <v>12907</v>
      </c>
      <c r="G6" s="0" t="n">
        <v>27.3</v>
      </c>
      <c r="H6" s="0" t="n">
        <v>17629</v>
      </c>
      <c r="I6" s="0" t="n">
        <v>9552</v>
      </c>
      <c r="J6" s="0" t="n">
        <v>20.2</v>
      </c>
      <c r="K6" s="0" t="n">
        <v>1.54</v>
      </c>
      <c r="L6" s="0" t="n">
        <v>7472</v>
      </c>
      <c r="M6" s="0" t="n">
        <v>7785</v>
      </c>
      <c r="N6" s="0" t="n">
        <v>-313</v>
      </c>
      <c r="O6" s="0" t="n">
        <v>179714</v>
      </c>
      <c r="P6" s="0" t="n">
        <v>292082</v>
      </c>
      <c r="Q6" s="0" t="n">
        <v>112045</v>
      </c>
      <c r="R6" s="0" t="n">
        <v>43752</v>
      </c>
      <c r="S6" s="0" t="n">
        <v>20970</v>
      </c>
      <c r="T6" s="0" t="n">
        <v>6193.46</v>
      </c>
      <c r="U6" s="0" t="n">
        <v>83</v>
      </c>
      <c r="AA6" s="0" t="s">
        <v>17</v>
      </c>
      <c r="AB6" s="0" t="s">
        <v>14</v>
      </c>
      <c r="AC6" s="0" t="n">
        <v>206</v>
      </c>
      <c r="AD6" s="0" t="n">
        <v>9679</v>
      </c>
      <c r="AE6" s="0" t="n">
        <v>116</v>
      </c>
      <c r="AF6" s="0" t="n">
        <v>180037</v>
      </c>
      <c r="AG6" s="0" t="n">
        <v>11151</v>
      </c>
    </row>
    <row r="7" customFormat="false" ht="15" hidden="false" customHeight="false" outlineLevel="0" collapsed="false">
      <c r="A7" s="0" t="s">
        <v>73</v>
      </c>
      <c r="B7" s="0" t="n">
        <v>47812</v>
      </c>
      <c r="F7" s="0" t="n">
        <v>12731</v>
      </c>
      <c r="G7" s="0" t="n">
        <v>26.6</v>
      </c>
      <c r="H7" s="0" t="n">
        <v>18690</v>
      </c>
      <c r="I7" s="0" t="n">
        <v>9827</v>
      </c>
      <c r="J7" s="0" t="n">
        <v>20.6</v>
      </c>
      <c r="K7" s="0" t="n">
        <v>1.59</v>
      </c>
      <c r="L7" s="0" t="n">
        <v>6757</v>
      </c>
      <c r="M7" s="0" t="n">
        <v>10808</v>
      </c>
      <c r="N7" s="0" t="n">
        <v>-4051</v>
      </c>
      <c r="O7" s="0" t="n">
        <v>179286</v>
      </c>
      <c r="P7" s="0" t="n">
        <v>327081</v>
      </c>
      <c r="Q7" s="0" t="n">
        <v>147169</v>
      </c>
      <c r="R7" s="0" t="n">
        <v>47846</v>
      </c>
      <c r="S7" s="0" t="n">
        <v>16134</v>
      </c>
      <c r="T7" s="0" t="n">
        <v>6202.06</v>
      </c>
      <c r="U7" s="0" t="n">
        <v>118</v>
      </c>
      <c r="AA7" s="0" t="s">
        <v>17</v>
      </c>
      <c r="AB7" s="0" t="s">
        <v>14</v>
      </c>
      <c r="AC7" s="0" t="n">
        <v>149</v>
      </c>
      <c r="AD7" s="0" t="n">
        <v>10141</v>
      </c>
      <c r="AE7" s="0" t="n">
        <v>109</v>
      </c>
      <c r="AF7" s="0" t="n">
        <v>179912</v>
      </c>
      <c r="AG7" s="0" t="n">
        <v>10637</v>
      </c>
    </row>
    <row r="8" customFormat="false" ht="15" hidden="false" customHeight="false" outlineLevel="0" collapsed="false">
      <c r="A8" s="0" t="s">
        <v>74</v>
      </c>
      <c r="B8" s="0" t="n">
        <v>56982</v>
      </c>
      <c r="F8" s="0" t="n">
        <v>10802</v>
      </c>
      <c r="G8" s="0" t="n">
        <v>19</v>
      </c>
      <c r="H8" s="0" t="n">
        <v>19025</v>
      </c>
      <c r="I8" s="0" t="n">
        <v>7784</v>
      </c>
      <c r="J8" s="0" t="n">
        <v>13.7</v>
      </c>
      <c r="K8" s="0" t="n">
        <v>1.25</v>
      </c>
      <c r="L8" s="0" t="n">
        <v>11197</v>
      </c>
      <c r="M8" s="0" t="n">
        <v>12576</v>
      </c>
      <c r="N8" s="0" t="n">
        <v>-1379</v>
      </c>
      <c r="O8" s="0" t="n">
        <v>178344</v>
      </c>
      <c r="P8" s="0" t="n">
        <v>346426</v>
      </c>
      <c r="Q8" s="0" t="n">
        <v>167570</v>
      </c>
      <c r="R8" s="0" t="n">
        <v>59491</v>
      </c>
      <c r="S8" s="0" t="n">
        <v>22375</v>
      </c>
      <c r="T8" s="0" t="n">
        <v>6217.2</v>
      </c>
      <c r="U8" s="0" t="n">
        <v>119</v>
      </c>
      <c r="AA8" s="0" t="s">
        <v>17</v>
      </c>
      <c r="AB8" s="0" t="s">
        <v>14</v>
      </c>
      <c r="AC8" s="0" t="n">
        <v>567</v>
      </c>
      <c r="AD8" s="0" t="n">
        <v>8088</v>
      </c>
      <c r="AE8" s="0" t="n">
        <v>93</v>
      </c>
      <c r="AF8" s="0" t="n">
        <v>178856</v>
      </c>
      <c r="AG8" s="0" t="n">
        <v>6364</v>
      </c>
    </row>
    <row r="9" customFormat="false" ht="15" hidden="false" customHeight="false" outlineLevel="0" collapsed="false">
      <c r="A9" s="0" t="s">
        <v>75</v>
      </c>
      <c r="B9" s="0" t="n">
        <v>60011</v>
      </c>
      <c r="F9" s="0" t="n">
        <v>20557</v>
      </c>
      <c r="G9" s="0" t="n">
        <v>34.3</v>
      </c>
      <c r="H9" s="0" t="n">
        <v>28386</v>
      </c>
      <c r="I9" s="0" t="n">
        <v>15772</v>
      </c>
      <c r="J9" s="0" t="n">
        <v>26.3</v>
      </c>
      <c r="K9" s="0" t="n">
        <v>2.54</v>
      </c>
      <c r="L9" s="0" t="n">
        <v>18491</v>
      </c>
      <c r="M9" s="0" t="n">
        <v>19416</v>
      </c>
      <c r="N9" s="0" t="n">
        <v>-925</v>
      </c>
      <c r="O9" s="0" t="n">
        <v>185625</v>
      </c>
      <c r="P9" s="0" t="n">
        <v>367499</v>
      </c>
      <c r="Q9" s="0" t="n">
        <v>181366</v>
      </c>
      <c r="R9" s="0" t="n">
        <v>77568</v>
      </c>
      <c r="S9" s="0" t="n">
        <v>27886</v>
      </c>
      <c r="T9" s="0" t="n">
        <v>6224.82</v>
      </c>
      <c r="U9" s="0" t="n">
        <v>137</v>
      </c>
      <c r="AA9" s="0" t="s">
        <v>17</v>
      </c>
      <c r="AB9" s="0" t="s">
        <v>14</v>
      </c>
      <c r="AC9" s="0" t="n">
        <v>189</v>
      </c>
      <c r="AD9" s="0" t="n">
        <v>16067</v>
      </c>
      <c r="AE9" s="0" t="n">
        <v>207</v>
      </c>
      <c r="AF9" s="0" t="n">
        <v>186133</v>
      </c>
      <c r="AG9" s="0" t="n">
        <v>17475</v>
      </c>
    </row>
    <row r="10" customFormat="false" ht="15" hidden="false" customHeight="false" outlineLevel="0" collapsed="false">
      <c r="A10" s="0" t="s">
        <v>76</v>
      </c>
      <c r="B10" s="0" t="n">
        <v>55465</v>
      </c>
      <c r="F10" s="0" t="n">
        <v>19923</v>
      </c>
      <c r="G10" s="0" t="n">
        <v>35.9</v>
      </c>
      <c r="H10" s="0" t="n">
        <v>28862</v>
      </c>
      <c r="I10" s="0" t="n">
        <v>14677</v>
      </c>
      <c r="J10" s="0" t="n">
        <v>26.5</v>
      </c>
      <c r="K10" s="0" t="n">
        <v>2.36</v>
      </c>
      <c r="L10" s="0" t="n">
        <v>11874</v>
      </c>
      <c r="M10" s="0" t="n">
        <v>19594</v>
      </c>
      <c r="N10" s="0" t="n">
        <v>-7720</v>
      </c>
      <c r="O10" s="0" t="n">
        <v>192215</v>
      </c>
      <c r="P10" s="0" t="n">
        <v>398938</v>
      </c>
      <c r="Q10" s="0" t="n">
        <v>182543</v>
      </c>
      <c r="R10" s="0" t="n">
        <v>88923</v>
      </c>
      <c r="S10" s="0" t="n">
        <v>44242</v>
      </c>
      <c r="T10" s="0" t="n">
        <v>6224.82</v>
      </c>
      <c r="U10" s="0" t="n">
        <v>132</v>
      </c>
      <c r="AA10" s="0" t="s">
        <v>17</v>
      </c>
      <c r="AB10" s="0" t="s">
        <v>14</v>
      </c>
      <c r="AC10" s="0" t="n">
        <v>255</v>
      </c>
      <c r="AD10" s="0" t="n">
        <v>15558</v>
      </c>
      <c r="AE10" s="0" t="n">
        <v>113</v>
      </c>
      <c r="AF10" s="0" t="n">
        <v>216395</v>
      </c>
      <c r="AG10" s="0" t="n">
        <v>16737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31.72</v>
      </c>
    </row>
    <row r="3" customFormat="false" ht="15" hidden="false" customHeight="false" outlineLevel="0" collapsed="false">
      <c r="A3" s="0" t="s">
        <v>80</v>
      </c>
      <c r="B3" s="3" t="n">
        <v>6225</v>
      </c>
    </row>
    <row r="4" customFormat="false" ht="15" hidden="false" customHeight="false" outlineLevel="0" collapsed="false">
      <c r="A4" s="0" t="s">
        <v>81</v>
      </c>
      <c r="B4" s="3" t="n">
        <v>49497</v>
      </c>
    </row>
    <row r="5" customFormat="false" ht="15" hidden="false" customHeight="false" outlineLevel="0" collapsed="false">
      <c r="A5" s="0" t="s">
        <v>82</v>
      </c>
      <c r="B5" s="3" t="n">
        <v>52721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53500</v>
      </c>
    </row>
    <row r="8" customFormat="false" ht="15" hidden="false" customHeight="false" outlineLevel="0" collapsed="false">
      <c r="A8" s="0" t="s">
        <v>85</v>
      </c>
      <c r="B8" s="3" t="s">
        <v>86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2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33</v>
      </c>
      <c r="D14" s="3" t="n">
        <v>32.6</v>
      </c>
      <c r="E14" s="3" t="n">
        <v>32.3</v>
      </c>
      <c r="F14" s="3" t="n">
        <v>32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103</v>
      </c>
      <c r="C15" s="3" t="n">
        <v>0.24</v>
      </c>
      <c r="D15" s="3" t="n">
        <v>0.24</v>
      </c>
      <c r="E15" s="3" t="n">
        <v>0.24</v>
      </c>
      <c r="F15" s="3" t="n">
        <v>0.24</v>
      </c>
      <c r="G15" s="3" t="n">
        <v>0.24</v>
      </c>
      <c r="H15" s="3" t="n">
        <v>0.24</v>
      </c>
      <c r="I15" s="3" t="n">
        <v>0.24</v>
      </c>
      <c r="J15" s="3" t="n">
        <v>0.24</v>
      </c>
      <c r="K15" s="3" t="n">
        <v>0.24</v>
      </c>
      <c r="L15" s="3" t="n">
        <v>0.24</v>
      </c>
    </row>
    <row r="16" customFormat="false" ht="15" hidden="false" customHeight="false" outlineLevel="0" collapsed="false">
      <c r="A16" s="0" t="s">
        <v>104</v>
      </c>
      <c r="C16" s="3" t="n">
        <v>6.2</v>
      </c>
      <c r="D16" s="3" t="n">
        <v>6.2</v>
      </c>
      <c r="E16" s="3" t="n">
        <v>6.3</v>
      </c>
      <c r="F16" s="3" t="n">
        <v>6.3</v>
      </c>
      <c r="G16" s="3" t="n">
        <v>6.4</v>
      </c>
      <c r="H16" s="3" t="n">
        <v>6.4</v>
      </c>
      <c r="I16" s="3" t="n">
        <v>6.5</v>
      </c>
      <c r="J16" s="3" t="n">
        <v>6.5</v>
      </c>
      <c r="K16" s="3" t="n">
        <v>6.5</v>
      </c>
      <c r="L16" s="3" t="n">
        <v>6.5</v>
      </c>
    </row>
    <row r="17" customFormat="false" ht="15" hidden="false" customHeight="false" outlineLevel="0" collapsed="false">
      <c r="A17" s="0" t="s">
        <v>105</v>
      </c>
      <c r="C17" s="3" t="n">
        <v>13.2</v>
      </c>
      <c r="D17" s="3" t="n">
        <v>13.6</v>
      </c>
      <c r="E17" s="3" t="n">
        <v>14</v>
      </c>
      <c r="F17" s="3" t="n">
        <v>14.3</v>
      </c>
      <c r="G17" s="3" t="n">
        <v>14.5</v>
      </c>
      <c r="H17" s="3" t="n">
        <v>14.5</v>
      </c>
      <c r="I17" s="3" t="n">
        <v>14.5</v>
      </c>
      <c r="J17" s="3" t="n">
        <v>14.5</v>
      </c>
      <c r="K17" s="3" t="n">
        <v>14.5</v>
      </c>
      <c r="L17" s="3" t="n">
        <v>14.5</v>
      </c>
    </row>
    <row r="18" customFormat="false" ht="15" hidden="false" customHeight="false" outlineLevel="0" collapsed="false">
      <c r="A18" s="0" t="s">
        <v>106</v>
      </c>
      <c r="C18" s="3" t="n">
        <v>27.5</v>
      </c>
      <c r="D18" s="3" t="n">
        <v>27</v>
      </c>
      <c r="E18" s="3" t="n">
        <v>26</v>
      </c>
      <c r="F18" s="3" t="n">
        <v>24.5</v>
      </c>
      <c r="G18" s="3" t="n">
        <v>23</v>
      </c>
      <c r="H18" s="3" t="n">
        <v>21.5</v>
      </c>
      <c r="I18" s="3" t="n">
        <v>20.5</v>
      </c>
      <c r="J18" s="3" t="n">
        <v>20</v>
      </c>
      <c r="K18" s="3" t="n">
        <v>19.5</v>
      </c>
      <c r="L18" s="3" t="n">
        <v>19.5</v>
      </c>
    </row>
    <row r="19" customFormat="false" ht="15" hidden="false" customHeight="false" outlineLevel="0" collapsed="false">
      <c r="A19" s="0" t="s">
        <v>107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108</v>
      </c>
      <c r="B20" s="3" t="n">
        <v>6.5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20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3.5</v>
      </c>
      <c r="D27" s="3" t="n">
        <v>4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33.8</v>
      </c>
      <c r="D28" s="3" t="n">
        <v>34.3</v>
      </c>
      <c r="E28" s="3" t="n">
        <v>34.8</v>
      </c>
      <c r="F28" s="3" t="n">
        <v>35</v>
      </c>
      <c r="G28" s="3" t="n">
        <v>35.2</v>
      </c>
      <c r="H28" s="3" t="n">
        <v>35.3</v>
      </c>
      <c r="I28" s="3" t="n">
        <v>35.4</v>
      </c>
      <c r="J28" s="3" t="n">
        <v>35.5</v>
      </c>
      <c r="K28" s="3" t="n">
        <v>35.5</v>
      </c>
      <c r="L28" s="3" t="n">
        <v>35.5</v>
      </c>
    </row>
    <row r="29" customFormat="false" ht="15" hidden="false" customHeight="false" outlineLevel="0" collapsed="false">
      <c r="A29" s="0" t="s">
        <v>103</v>
      </c>
      <c r="C29" s="3" t="n">
        <v>0.24</v>
      </c>
      <c r="D29" s="3" t="n">
        <v>0.24</v>
      </c>
      <c r="E29" s="3" t="n">
        <v>0.24</v>
      </c>
      <c r="F29" s="3" t="n">
        <v>0.24</v>
      </c>
      <c r="G29" s="3" t="n">
        <v>0.24</v>
      </c>
      <c r="H29" s="3" t="n">
        <v>0.24</v>
      </c>
      <c r="I29" s="3" t="n">
        <v>0.24</v>
      </c>
      <c r="J29" s="3" t="n">
        <v>0.24</v>
      </c>
      <c r="K29" s="3" t="n">
        <v>0.24</v>
      </c>
      <c r="L29" s="3" t="n">
        <v>0.24</v>
      </c>
    </row>
    <row r="30" customFormat="false" ht="15" hidden="false" customHeight="false" outlineLevel="0" collapsed="false">
      <c r="A30" s="0" t="s">
        <v>104</v>
      </c>
      <c r="C30" s="3" t="n">
        <v>6.3</v>
      </c>
      <c r="D30" s="3" t="n">
        <v>6.4</v>
      </c>
      <c r="E30" s="3" t="n">
        <v>6.5</v>
      </c>
      <c r="F30" s="3" t="n">
        <v>6.6</v>
      </c>
      <c r="G30" s="3" t="n">
        <v>6.7</v>
      </c>
      <c r="H30" s="3" t="n">
        <v>6.8</v>
      </c>
      <c r="I30" s="3" t="n">
        <v>6.8</v>
      </c>
      <c r="J30" s="3" t="n">
        <v>6.8</v>
      </c>
      <c r="K30" s="3" t="n">
        <v>6.8</v>
      </c>
      <c r="L30" s="3" t="n">
        <v>6.8</v>
      </c>
    </row>
    <row r="31" customFormat="false" ht="15" hidden="false" customHeight="false" outlineLevel="0" collapsed="false">
      <c r="A31" s="0" t="s">
        <v>105</v>
      </c>
      <c r="C31" s="3" t="n">
        <v>13</v>
      </c>
      <c r="D31" s="3" t="n">
        <v>13.2</v>
      </c>
      <c r="E31" s="3" t="n">
        <v>13.4</v>
      </c>
      <c r="F31" s="3" t="n">
        <v>13.6</v>
      </c>
      <c r="G31" s="3" t="n">
        <v>13.8</v>
      </c>
      <c r="H31" s="3" t="n">
        <v>14</v>
      </c>
      <c r="I31" s="3" t="n">
        <v>14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106</v>
      </c>
      <c r="C32" s="3" t="n">
        <v>26.5</v>
      </c>
      <c r="D32" s="3" t="n">
        <v>25</v>
      </c>
      <c r="E32" s="3" t="n">
        <v>23.5</v>
      </c>
      <c r="F32" s="3" t="n">
        <v>22</v>
      </c>
      <c r="G32" s="3" t="n">
        <v>20.5</v>
      </c>
      <c r="H32" s="3" t="n">
        <v>19.5</v>
      </c>
      <c r="I32" s="3" t="n">
        <v>18.5</v>
      </c>
      <c r="J32" s="3" t="n">
        <v>18</v>
      </c>
      <c r="K32" s="3" t="n">
        <v>18</v>
      </c>
      <c r="L32" s="3" t="n">
        <v>18</v>
      </c>
    </row>
    <row r="33" customFormat="false" ht="15" hidden="false" customHeight="false" outlineLevel="0" collapsed="false">
      <c r="A33" s="0" t="s">
        <v>107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108</v>
      </c>
      <c r="B34" s="3" t="n">
        <v>6.5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4.5</v>
      </c>
      <c r="D41" s="3" t="n">
        <v>5</v>
      </c>
      <c r="E41" s="3" t="n">
        <v>5</v>
      </c>
      <c r="F41" s="3" t="n">
        <v>4.5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34.5</v>
      </c>
      <c r="D42" s="3" t="n">
        <v>35.5</v>
      </c>
      <c r="E42" s="3" t="n">
        <v>36.5</v>
      </c>
      <c r="F42" s="3" t="n">
        <v>37.3</v>
      </c>
      <c r="G42" s="3" t="n">
        <v>37.8</v>
      </c>
      <c r="H42" s="3" t="n">
        <v>38.2</v>
      </c>
      <c r="I42" s="3" t="n">
        <v>38.5</v>
      </c>
      <c r="J42" s="3" t="n">
        <v>38.5</v>
      </c>
      <c r="K42" s="3" t="n">
        <v>38.5</v>
      </c>
      <c r="L42" s="3" t="n">
        <v>38.5</v>
      </c>
    </row>
    <row r="43" customFormat="false" ht="15" hidden="false" customHeight="false" outlineLevel="0" collapsed="false">
      <c r="A43" s="0" t="s">
        <v>103</v>
      </c>
      <c r="C43" s="3" t="n">
        <v>0.24</v>
      </c>
      <c r="D43" s="3" t="n">
        <v>0.24</v>
      </c>
      <c r="E43" s="3" t="n">
        <v>0.24</v>
      </c>
      <c r="F43" s="3" t="n">
        <v>0.24</v>
      </c>
      <c r="G43" s="3" t="n">
        <v>0.24</v>
      </c>
      <c r="H43" s="3" t="n">
        <v>0.24</v>
      </c>
      <c r="I43" s="3" t="n">
        <v>0.24</v>
      </c>
      <c r="J43" s="3" t="n">
        <v>0.24</v>
      </c>
      <c r="K43" s="3" t="n">
        <v>0.24</v>
      </c>
      <c r="L43" s="3" t="n">
        <v>0.24</v>
      </c>
    </row>
    <row r="44" customFormat="false" ht="15" hidden="false" customHeight="false" outlineLevel="0" collapsed="false">
      <c r="A44" s="0" t="s">
        <v>104</v>
      </c>
      <c r="C44" s="3" t="n">
        <v>6.4</v>
      </c>
      <c r="D44" s="3" t="n">
        <v>6.6</v>
      </c>
      <c r="E44" s="3" t="n">
        <v>6.8</v>
      </c>
      <c r="F44" s="3" t="n">
        <v>6.9</v>
      </c>
      <c r="G44" s="3" t="n">
        <v>7</v>
      </c>
      <c r="H44" s="3" t="n">
        <v>7.1</v>
      </c>
      <c r="I44" s="3" t="n">
        <v>7.1</v>
      </c>
      <c r="J44" s="3" t="n">
        <v>7.1</v>
      </c>
      <c r="K44" s="3" t="n">
        <v>7.1</v>
      </c>
      <c r="L44" s="3" t="n">
        <v>7.1</v>
      </c>
    </row>
    <row r="45" customFormat="false" ht="15" hidden="false" customHeight="false" outlineLevel="0" collapsed="false">
      <c r="A45" s="0" t="s">
        <v>105</v>
      </c>
      <c r="C45" s="3" t="n">
        <v>13</v>
      </c>
      <c r="D45" s="3" t="n">
        <v>13.2</v>
      </c>
      <c r="E45" s="3" t="n">
        <v>13.4</v>
      </c>
      <c r="F45" s="3" t="n">
        <v>13.6</v>
      </c>
      <c r="G45" s="3" t="n">
        <v>13.8</v>
      </c>
      <c r="H45" s="3" t="n">
        <v>14</v>
      </c>
      <c r="I45" s="3" t="n">
        <v>14</v>
      </c>
      <c r="J45" s="3" t="n">
        <v>14</v>
      </c>
      <c r="K45" s="3" t="n">
        <v>14</v>
      </c>
      <c r="L45" s="3" t="n">
        <v>14</v>
      </c>
    </row>
    <row r="46" customFormat="false" ht="15" hidden="false" customHeight="false" outlineLevel="0" collapsed="false">
      <c r="A46" s="0" t="s">
        <v>106</v>
      </c>
      <c r="C46" s="3" t="n">
        <v>26</v>
      </c>
      <c r="D46" s="3" t="n">
        <v>24</v>
      </c>
      <c r="E46" s="3" t="n">
        <v>22</v>
      </c>
      <c r="F46" s="3" t="n">
        <v>20</v>
      </c>
      <c r="G46" s="3" t="n">
        <v>18.5</v>
      </c>
      <c r="H46" s="3" t="n">
        <v>17.5</v>
      </c>
      <c r="I46" s="3" t="n">
        <v>17</v>
      </c>
      <c r="J46" s="3" t="n">
        <v>16.5</v>
      </c>
      <c r="K46" s="3" t="n">
        <v>16.5</v>
      </c>
      <c r="L46" s="3" t="n">
        <v>16.5</v>
      </c>
    </row>
    <row r="47" customFormat="false" ht="15" hidden="false" customHeight="false" outlineLevel="0" collapsed="false">
      <c r="A47" s="0" t="s">
        <v>107</v>
      </c>
      <c r="C47" s="3" t="n">
        <v>19</v>
      </c>
      <c r="D47" s="3" t="n">
        <v>19</v>
      </c>
      <c r="E47" s="3" t="n">
        <v>19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108</v>
      </c>
      <c r="B48" s="3" t="n">
        <v>6.5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86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2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53500</v>
      </c>
      <c r="C6" s="0" t="n">
        <f aca="false">B6*(1+C5/100)</f>
        <v>54570</v>
      </c>
      <c r="D6" s="0" t="n">
        <f aca="false">C6*(1+D5/100)</f>
        <v>55661.4</v>
      </c>
      <c r="E6" s="0" t="n">
        <f aca="false">D6*(1+E5/100)</f>
        <v>56774.628</v>
      </c>
      <c r="F6" s="0" t="n">
        <f aca="false">E6*(1+F5/100)</f>
        <v>57910.12056</v>
      </c>
      <c r="G6" s="0" t="n">
        <f aca="false">F6*(1+G5/100)</f>
        <v>59068.3229712</v>
      </c>
      <c r="H6" s="0" t="n">
        <f aca="false">G6*(1+H5/100)</f>
        <v>60249.689430624</v>
      </c>
      <c r="I6" s="0" t="n">
        <f aca="false">H6*(1+I5/100)</f>
        <v>61454.6832192365</v>
      </c>
      <c r="J6" s="0" t="n">
        <f aca="false">I6*(1+J5/100)</f>
        <v>62683.7768836212</v>
      </c>
      <c r="K6" s="0" t="n">
        <f aca="false">J6*(1+K5/100)</f>
        <v>63937.4524212936</v>
      </c>
      <c r="L6" s="0" t="n">
        <f aca="false">K6*(1+L5/100)</f>
        <v>65216.2014697195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33</v>
      </c>
      <c r="D7" s="4" t="n">
        <f aca="false">Assumptions!D14</f>
        <v>32.6</v>
      </c>
      <c r="E7" s="4" t="n">
        <f aca="false">Assumptions!E14</f>
        <v>32.3</v>
      </c>
      <c r="F7" s="4" t="n">
        <f aca="false">Assumptions!F14</f>
        <v>32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18008.1</v>
      </c>
      <c r="D8" s="0" t="n">
        <f aca="false">D6*D7/100</f>
        <v>18145.6164</v>
      </c>
      <c r="E8" s="0" t="n">
        <f aca="false">E6*E7/100</f>
        <v>18338.204844</v>
      </c>
      <c r="F8" s="0" t="n">
        <f aca="false">F6*F7/100</f>
        <v>18531.2385792</v>
      </c>
      <c r="G8" s="0" t="n">
        <f aca="false">G6*G7/100</f>
        <v>18901.863350784</v>
      </c>
      <c r="H8" s="0" t="n">
        <f aca="false">H6*H7/100</f>
        <v>19279.9006177997</v>
      </c>
      <c r="I8" s="0" t="n">
        <f aca="false">I6*I7/100</f>
        <v>19665.4986301557</v>
      </c>
      <c r="J8" s="0" t="n">
        <f aca="false">J6*J7/100</f>
        <v>20058.8086027588</v>
      </c>
      <c r="K8" s="0" t="n">
        <f aca="false">K6*K7/100</f>
        <v>20459.984774814</v>
      </c>
      <c r="L8" s="0" t="n">
        <f aca="false">L6*L7/100</f>
        <v>20869.1844703102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0.24</v>
      </c>
      <c r="D9" s="4" t="n">
        <f aca="false">Assumptions!D15</f>
        <v>0.24</v>
      </c>
      <c r="E9" s="4" t="n">
        <f aca="false">Assumptions!E15</f>
        <v>0.24</v>
      </c>
      <c r="F9" s="4" t="n">
        <f aca="false">Assumptions!F15</f>
        <v>0.24</v>
      </c>
      <c r="G9" s="4" t="n">
        <f aca="false">Assumptions!G15</f>
        <v>0.24</v>
      </c>
      <c r="H9" s="4" t="n">
        <f aca="false">Assumptions!H15</f>
        <v>0.24</v>
      </c>
      <c r="I9" s="4" t="n">
        <f aca="false">Assumptions!I15</f>
        <v>0.24</v>
      </c>
      <c r="J9" s="4" t="n">
        <f aca="false">Assumptions!J15</f>
        <v>0.24</v>
      </c>
      <c r="K9" s="4" t="n">
        <f aca="false">Assumptions!K15</f>
        <v>0.24</v>
      </c>
      <c r="L9" s="4" t="n">
        <f aca="false">Assumptions!L15</f>
        <v>0.24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-130.968</v>
      </c>
      <c r="D10" s="0" t="n">
        <f aca="false">-D6*D9/100</f>
        <v>-133.58736</v>
      </c>
      <c r="E10" s="0" t="n">
        <f aca="false">-E6*E9/100</f>
        <v>-136.2591072</v>
      </c>
      <c r="F10" s="0" t="n">
        <f aca="false">-F6*F9/100</f>
        <v>-138.984289344</v>
      </c>
      <c r="G10" s="0" t="n">
        <f aca="false">-G6*G9/100</f>
        <v>-141.76397513088</v>
      </c>
      <c r="H10" s="0" t="n">
        <f aca="false">-H6*H9/100</f>
        <v>-144.599254633498</v>
      </c>
      <c r="I10" s="0" t="n">
        <f aca="false">-I6*I9/100</f>
        <v>-147.491239726168</v>
      </c>
      <c r="J10" s="0" t="n">
        <f aca="false">-J6*J9/100</f>
        <v>-150.441064520691</v>
      </c>
      <c r="K10" s="0" t="n">
        <f aca="false">-K6*K9/100</f>
        <v>-153.449885811105</v>
      </c>
      <c r="L10" s="0" t="n">
        <f aca="false">-L6*L9/100</f>
        <v>-156.518883527327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14493.792</v>
      </c>
      <c r="D11" s="0" t="n">
        <f aca="false">D8+D10+D24</f>
        <v>14561.02224</v>
      </c>
      <c r="E11" s="0" t="n">
        <f aca="false">E8+E10+E24</f>
        <v>14625.1441728</v>
      </c>
      <c r="F11" s="0" t="n">
        <f aca="false">F8+F10+F24</f>
        <v>14743.916694576</v>
      </c>
      <c r="G11" s="0" t="n">
        <f aca="false">G8+G10+G24</f>
        <v>14979.7267054963</v>
      </c>
      <c r="H11" s="0" t="n">
        <f aca="false">H8+H10+H24</f>
        <v>15279.3212396062</v>
      </c>
      <c r="I11" s="0" t="n">
        <f aca="false">I8+I10+I24</f>
        <v>15523.4529811791</v>
      </c>
      <c r="J11" s="0" t="n">
        <f aca="false">J8+J10+J24</f>
        <v>15833.9220408027</v>
      </c>
      <c r="K11" s="0" t="n">
        <f aca="false">K8+K10+K24</f>
        <v>16150.6004816188</v>
      </c>
      <c r="L11" s="0" t="n">
        <f aca="false">L8+L10+L24</f>
        <v>16473.6124912512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-7203.24</v>
      </c>
      <c r="D12" s="4" t="n">
        <f aca="false">-D6*Assumptions!D17/100</f>
        <v>-7569.9504</v>
      </c>
      <c r="E12" s="4" t="n">
        <f aca="false">-E6*Assumptions!E17/100</f>
        <v>-7948.44792</v>
      </c>
      <c r="F12" s="4" t="n">
        <f aca="false">-F6*Assumptions!F17/100</f>
        <v>-8281.14724008</v>
      </c>
      <c r="G12" s="4" t="n">
        <f aca="false">-G6*Assumptions!G17/100</f>
        <v>-8564.906830824</v>
      </c>
      <c r="H12" s="4" t="n">
        <f aca="false">-H6*Assumptions!H17/100</f>
        <v>-8736.20496744048</v>
      </c>
      <c r="I12" s="4" t="n">
        <f aca="false">-I6*Assumptions!I17/100</f>
        <v>-8910.92906678929</v>
      </c>
      <c r="J12" s="4" t="n">
        <f aca="false">-J6*Assumptions!J17/100</f>
        <v>-9089.14764812508</v>
      </c>
      <c r="K12" s="4" t="n">
        <f aca="false">-K6*Assumptions!K17/100</f>
        <v>-9270.93060108758</v>
      </c>
      <c r="L12" s="4" t="n">
        <f aca="false">-L6*Assumptions!L17/100</f>
        <v>-9456.34921310933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7290.552</v>
      </c>
      <c r="D13" s="0" t="n">
        <f aca="false">D11+D12</f>
        <v>6991.07184</v>
      </c>
      <c r="E13" s="0" t="n">
        <f aca="false">E11+E12</f>
        <v>6676.6962528</v>
      </c>
      <c r="F13" s="0" t="n">
        <f aca="false">F11+F12</f>
        <v>6462.769454496</v>
      </c>
      <c r="G13" s="0" t="n">
        <f aca="false">G11+G12</f>
        <v>6414.81987467232</v>
      </c>
      <c r="H13" s="0" t="n">
        <f aca="false">H11+H12</f>
        <v>6543.11627216577</v>
      </c>
      <c r="I13" s="0" t="n">
        <f aca="false">I11+I12</f>
        <v>6612.52391438985</v>
      </c>
      <c r="J13" s="0" t="n">
        <f aca="false">J11+J12</f>
        <v>6744.77439267764</v>
      </c>
      <c r="K13" s="0" t="n">
        <f aca="false">K11+K12</f>
        <v>6879.6698805312</v>
      </c>
      <c r="L13" s="0" t="n">
        <f aca="false">L11+L12</f>
        <v>7017.26327814182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5759.53608</v>
      </c>
      <c r="D15" s="0" t="n">
        <f aca="false">D13-MAX(0,D13)*D14/100</f>
        <v>5522.9467536</v>
      </c>
      <c r="E15" s="0" t="n">
        <f aca="false">E13-MAX(0,E13)*E14/100</f>
        <v>5274.590039712</v>
      </c>
      <c r="F15" s="0" t="n">
        <f aca="false">F13-MAX(0,F13)*F14/100</f>
        <v>5105.58786905184</v>
      </c>
      <c r="G15" s="0" t="n">
        <f aca="false">G13-MAX(0,G13)*G14/100</f>
        <v>5067.70770099113</v>
      </c>
      <c r="H15" s="0" t="n">
        <f aca="false">H13-MAX(0,H13)*H14/100</f>
        <v>5169.06185501096</v>
      </c>
      <c r="I15" s="0" t="n">
        <f aca="false">I13-MAX(0,I13)*I14/100</f>
        <v>5223.89389236798</v>
      </c>
      <c r="J15" s="0" t="n">
        <f aca="false">J13-MAX(0,J13)*J14/100</f>
        <v>5328.37177021534</v>
      </c>
      <c r="K15" s="0" t="n">
        <f aca="false">K13-MAX(0,K13)*K14/100</f>
        <v>5434.93920561965</v>
      </c>
      <c r="L15" s="0" t="n">
        <f aca="false">L13-MAX(0,L13)*L14/100</f>
        <v>5543.63798973204</v>
      </c>
    </row>
    <row r="16" customFormat="false" ht="15" hidden="false" customHeight="false" outlineLevel="0" collapsed="false">
      <c r="A16" s="0" t="s">
        <v>123</v>
      </c>
      <c r="C16" s="0" t="n">
        <f aca="false">-C12</f>
        <v>7203.24</v>
      </c>
      <c r="D16" s="0" t="n">
        <f aca="false">-D12</f>
        <v>7569.9504</v>
      </c>
      <c r="E16" s="0" t="n">
        <f aca="false">-E12</f>
        <v>7948.44792</v>
      </c>
      <c r="F16" s="0" t="n">
        <f aca="false">-F12</f>
        <v>8281.14724008</v>
      </c>
      <c r="G16" s="0" t="n">
        <f aca="false">-G12</f>
        <v>8564.906830824</v>
      </c>
      <c r="H16" s="0" t="n">
        <f aca="false">-H12</f>
        <v>8736.20496744048</v>
      </c>
      <c r="I16" s="0" t="n">
        <f aca="false">-I12</f>
        <v>8910.92906678929</v>
      </c>
      <c r="J16" s="0" t="n">
        <f aca="false">-J12</f>
        <v>9089.14764812508</v>
      </c>
      <c r="K16" s="0" t="n">
        <f aca="false">-K12</f>
        <v>9270.93060108758</v>
      </c>
      <c r="L16" s="0" t="n">
        <f aca="false">-L12</f>
        <v>9456.34921310933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-15006.75</v>
      </c>
      <c r="D17" s="4" t="n">
        <f aca="false">-D6*Assumptions!D18/100</f>
        <v>-15028.578</v>
      </c>
      <c r="E17" s="4" t="n">
        <f aca="false">-E6*Assumptions!E18/100</f>
        <v>-14761.40328</v>
      </c>
      <c r="F17" s="4" t="n">
        <f aca="false">-F6*Assumptions!F18/100</f>
        <v>-14187.9795372</v>
      </c>
      <c r="G17" s="4" t="n">
        <f aca="false">-G6*Assumptions!G18/100</f>
        <v>-13585.714283376</v>
      </c>
      <c r="H17" s="4" t="n">
        <f aca="false">-H6*Assumptions!H18/100</f>
        <v>-12953.6832275842</v>
      </c>
      <c r="I17" s="4" t="n">
        <f aca="false">-I6*Assumptions!I18/100</f>
        <v>-12598.2100599435</v>
      </c>
      <c r="J17" s="4" t="n">
        <f aca="false">-J6*Assumptions!J18/100</f>
        <v>-12536.7553767242</v>
      </c>
      <c r="K17" s="4" t="n">
        <f aca="false">-K6*Assumptions!K18/100</f>
        <v>-12467.8032221523</v>
      </c>
      <c r="L17" s="4" t="n">
        <f aca="false">-L6*Assumptions!L18/100</f>
        <v>-12717.1592865953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-2043.97392</v>
      </c>
      <c r="D19" s="0" t="n">
        <f aca="false">D15+D16+D17+D18</f>
        <v>-1935.6808464</v>
      </c>
      <c r="E19" s="0" t="n">
        <f aca="false">E15+E16+E17+E18</f>
        <v>-1538.365320288</v>
      </c>
      <c r="F19" s="0" t="n">
        <f aca="false">F15+F16+F17+F18</f>
        <v>-801.244428068159</v>
      </c>
      <c r="G19" s="0" t="n">
        <f aca="false">G15+G16+G17+G18</f>
        <v>46.9002484391312</v>
      </c>
      <c r="H19" s="0" t="n">
        <f aca="false">H15+H16+H17+H18</f>
        <v>951.583594867276</v>
      </c>
      <c r="I19" s="0" t="n">
        <f aca="false">I15+I16+I17+I18</f>
        <v>1536.61289921379</v>
      </c>
      <c r="J19" s="0" t="n">
        <f aca="false">J15+J16+J17+J18</f>
        <v>1880.76404161617</v>
      </c>
      <c r="K19" s="0" t="n">
        <f aca="false">K15+K16+K17+K18</f>
        <v>2238.06658455496</v>
      </c>
      <c r="L19" s="0" t="n">
        <f aca="false">L15+L16+L17+L18</f>
        <v>2282.82791624606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-1919.22433802817</v>
      </c>
      <c r="D21" s="0" t="n">
        <f aca="false">D19*D20</f>
        <v>-1706.61098670899</v>
      </c>
      <c r="E21" s="0" t="n">
        <f aca="false">E19*E20</f>
        <v>-1273.53433326162</v>
      </c>
      <c r="F21" s="0" t="n">
        <f aca="false">F19*F20</f>
        <v>-622.825795388191</v>
      </c>
      <c r="G21" s="0" t="n">
        <f aca="false">G19*G20</f>
        <v>34.2315925637937</v>
      </c>
      <c r="H21" s="0" t="n">
        <f aca="false">H19*H20</f>
        <v>652.152704451967</v>
      </c>
      <c r="I21" s="0" t="n">
        <f aca="false">I19*I20</f>
        <v>988.819950439331</v>
      </c>
      <c r="J21" s="0" t="n">
        <f aca="false">J19*J20</f>
        <v>1136.41629053309</v>
      </c>
      <c r="K21" s="0" t="n">
        <f aca="false">K19*K20</f>
        <v>1269.7743008443</v>
      </c>
      <c r="L21" s="0" t="n">
        <f aca="false">L19*L20</f>
        <v>1216.12186559735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6.2</v>
      </c>
      <c r="D23" s="4" t="n">
        <f aca="false">Assumptions!D16</f>
        <v>6.2</v>
      </c>
      <c r="E23" s="4" t="n">
        <f aca="false">Assumptions!E16</f>
        <v>6.3</v>
      </c>
      <c r="F23" s="4" t="n">
        <f aca="false">Assumptions!F16</f>
        <v>6.3</v>
      </c>
      <c r="G23" s="4" t="n">
        <f aca="false">Assumptions!G16</f>
        <v>6.4</v>
      </c>
      <c r="H23" s="4" t="n">
        <f aca="false">Assumptions!H16</f>
        <v>6.4</v>
      </c>
      <c r="I23" s="4" t="n">
        <f aca="false">Assumptions!I16</f>
        <v>6.5</v>
      </c>
      <c r="J23" s="4" t="n">
        <f aca="false">Assumptions!J16</f>
        <v>6.5</v>
      </c>
      <c r="K23" s="4" t="n">
        <f aca="false">Assumptions!K16</f>
        <v>6.5</v>
      </c>
      <c r="L23" s="4" t="n">
        <f aca="false">Assumptions!L16</f>
        <v>6.5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-3383.34</v>
      </c>
      <c r="D24" s="0" t="n">
        <f aca="false">-D6*D23/100</f>
        <v>-3451.0068</v>
      </c>
      <c r="E24" s="0" t="n">
        <f aca="false">-E6*E23/100</f>
        <v>-3576.801564</v>
      </c>
      <c r="F24" s="0" t="n">
        <f aca="false">-F6*F23/100</f>
        <v>-3648.33759528</v>
      </c>
      <c r="G24" s="0" t="n">
        <f aca="false">-G6*G23/100</f>
        <v>-3780.3726701568</v>
      </c>
      <c r="H24" s="0" t="n">
        <f aca="false">-H6*H23/100</f>
        <v>-3855.98012355994</v>
      </c>
      <c r="I24" s="0" t="n">
        <f aca="false">-I6*I23/100</f>
        <v>-3994.55440925037</v>
      </c>
      <c r="J24" s="0" t="n">
        <f aca="false">-J6*J23/100</f>
        <v>-4074.44549743538</v>
      </c>
      <c r="K24" s="0" t="n">
        <f aca="false">-K6*K23/100</f>
        <v>-4155.93440738409</v>
      </c>
      <c r="L24" s="0" t="n">
        <f aca="false">-L6*L23/100</f>
        <v>-4239.05309553177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-224.678748957136</v>
      </c>
    </row>
    <row r="31" customFormat="false" ht="15" hidden="false" customHeight="false" outlineLevel="0" collapsed="false">
      <c r="A31" s="0" t="s">
        <v>132</v>
      </c>
      <c r="B31" s="0" t="n">
        <f aca="false">L19</f>
        <v>2282.82791624606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51744.0994349107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45656.5583249212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45656.5583249212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24322.4373119471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24097.75856299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27321.75856299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4.38903752015903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-0.861631856237105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1020.41515573946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1889.98484426054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4.85657165670521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17911.4190351614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0.926663431070998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86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3.5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53500</v>
      </c>
      <c r="C6" s="0" t="n">
        <f aca="false">B6*(1+C5/100)</f>
        <v>55372.5</v>
      </c>
      <c r="D6" s="0" t="n">
        <f aca="false">C6*(1+D5/100)</f>
        <v>57587.4</v>
      </c>
      <c r="E6" s="0" t="n">
        <f aca="false">D6*(1+E5/100)</f>
        <v>59602.959</v>
      </c>
      <c r="F6" s="0" t="n">
        <f aca="false">E6*(1+F5/100)</f>
        <v>61689.062565</v>
      </c>
      <c r="G6" s="0" t="n">
        <f aca="false">F6*(1+G5/100)</f>
        <v>63848.179754775</v>
      </c>
      <c r="H6" s="0" t="n">
        <f aca="false">G6*(1+H5/100)</f>
        <v>65763.6251474182</v>
      </c>
      <c r="I6" s="0" t="n">
        <f aca="false">H6*(1+I5/100)</f>
        <v>67736.5339018408</v>
      </c>
      <c r="J6" s="0" t="n">
        <f aca="false">I6*(1+J5/100)</f>
        <v>69768.629918896</v>
      </c>
      <c r="K6" s="0" t="n">
        <f aca="false">J6*(1+K5/100)</f>
        <v>71861.6888164629</v>
      </c>
      <c r="L6" s="0" t="n">
        <f aca="false">K6*(1+L5/100)</f>
        <v>74017.5394809568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33.8</v>
      </c>
      <c r="D7" s="4" t="n">
        <f aca="false">Assumptions!D28</f>
        <v>34.3</v>
      </c>
      <c r="E7" s="4" t="n">
        <f aca="false">Assumptions!E28</f>
        <v>34.8</v>
      </c>
      <c r="F7" s="4" t="n">
        <f aca="false">Assumptions!F28</f>
        <v>35</v>
      </c>
      <c r="G7" s="4" t="n">
        <f aca="false">Assumptions!G28</f>
        <v>35.2</v>
      </c>
      <c r="H7" s="4" t="n">
        <f aca="false">Assumptions!H28</f>
        <v>35.3</v>
      </c>
      <c r="I7" s="4" t="n">
        <f aca="false">Assumptions!I28</f>
        <v>35.4</v>
      </c>
      <c r="J7" s="4" t="n">
        <f aca="false">Assumptions!J28</f>
        <v>35.5</v>
      </c>
      <c r="K7" s="4" t="n">
        <f aca="false">Assumptions!K28</f>
        <v>35.5</v>
      </c>
      <c r="L7" s="4" t="n">
        <f aca="false">Assumptions!L28</f>
        <v>35.5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18715.905</v>
      </c>
      <c r="D8" s="0" t="n">
        <f aca="false">D6*D7/100</f>
        <v>19752.4782</v>
      </c>
      <c r="E8" s="0" t="n">
        <f aca="false">E6*E7/100</f>
        <v>20741.829732</v>
      </c>
      <c r="F8" s="0" t="n">
        <f aca="false">F6*F7/100</f>
        <v>21591.17189775</v>
      </c>
      <c r="G8" s="0" t="n">
        <f aca="false">G6*G7/100</f>
        <v>22474.5592736808</v>
      </c>
      <c r="H8" s="0" t="n">
        <f aca="false">H6*H7/100</f>
        <v>23214.5596770386</v>
      </c>
      <c r="I8" s="0" t="n">
        <f aca="false">I6*I7/100</f>
        <v>23978.7330012516</v>
      </c>
      <c r="J8" s="0" t="n">
        <f aca="false">J6*J7/100</f>
        <v>24767.8636212081</v>
      </c>
      <c r="K8" s="0" t="n">
        <f aca="false">K6*K7/100</f>
        <v>25510.8995298443</v>
      </c>
      <c r="L8" s="0" t="n">
        <f aca="false">L6*L7/100</f>
        <v>26276.2265157397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0.24</v>
      </c>
      <c r="D9" s="4" t="n">
        <f aca="false">Assumptions!D29</f>
        <v>0.24</v>
      </c>
      <c r="E9" s="4" t="n">
        <f aca="false">Assumptions!E29</f>
        <v>0.24</v>
      </c>
      <c r="F9" s="4" t="n">
        <f aca="false">Assumptions!F29</f>
        <v>0.24</v>
      </c>
      <c r="G9" s="4" t="n">
        <f aca="false">Assumptions!G29</f>
        <v>0.24</v>
      </c>
      <c r="H9" s="4" t="n">
        <f aca="false">Assumptions!H29</f>
        <v>0.24</v>
      </c>
      <c r="I9" s="4" t="n">
        <f aca="false">Assumptions!I29</f>
        <v>0.24</v>
      </c>
      <c r="J9" s="4" t="n">
        <f aca="false">Assumptions!J29</f>
        <v>0.24</v>
      </c>
      <c r="K9" s="4" t="n">
        <f aca="false">Assumptions!K29</f>
        <v>0.24</v>
      </c>
      <c r="L9" s="4" t="n">
        <f aca="false">Assumptions!L29</f>
        <v>0.24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-132.894</v>
      </c>
      <c r="D10" s="0" t="n">
        <f aca="false">-D6*D9/100</f>
        <v>-138.20976</v>
      </c>
      <c r="E10" s="0" t="n">
        <f aca="false">-E6*E9/100</f>
        <v>-143.0471016</v>
      </c>
      <c r="F10" s="0" t="n">
        <f aca="false">-F6*F9/100</f>
        <v>-148.053750156</v>
      </c>
      <c r="G10" s="0" t="n">
        <f aca="false">-G6*G9/100</f>
        <v>-153.23563141146</v>
      </c>
      <c r="H10" s="0" t="n">
        <f aca="false">-H6*H9/100</f>
        <v>-157.832700353804</v>
      </c>
      <c r="I10" s="0" t="n">
        <f aca="false">-I6*I9/100</f>
        <v>-162.567681364418</v>
      </c>
      <c r="J10" s="0" t="n">
        <f aca="false">-J6*J9/100</f>
        <v>-167.44471180535</v>
      </c>
      <c r="K10" s="0" t="n">
        <f aca="false">-K6*K9/100</f>
        <v>-172.468053159511</v>
      </c>
      <c r="L10" s="0" t="n">
        <f aca="false">-L6*L9/100</f>
        <v>-177.642094754296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15094.5435</v>
      </c>
      <c r="D11" s="0" t="n">
        <f aca="false">D8+D10+D24</f>
        <v>15928.67484</v>
      </c>
      <c r="E11" s="0" t="n">
        <f aca="false">E8+E10+E24</f>
        <v>16724.5902954</v>
      </c>
      <c r="F11" s="0" t="n">
        <f aca="false">F8+F10+F24</f>
        <v>17371.640018304</v>
      </c>
      <c r="G11" s="0" t="n">
        <f aca="false">G8+G10+G24</f>
        <v>18043.4955986994</v>
      </c>
      <c r="H11" s="0" t="n">
        <f aca="false">H8+H10+H24</f>
        <v>18584.8004666604</v>
      </c>
      <c r="I11" s="0" t="n">
        <f aca="false">I8+I10+I24</f>
        <v>19210.081014562</v>
      </c>
      <c r="J11" s="0" t="n">
        <f aca="false">J8+J10+J24</f>
        <v>19856.1520749178</v>
      </c>
      <c r="K11" s="0" t="n">
        <f aca="false">K8+K10+K24</f>
        <v>20451.8366371653</v>
      </c>
      <c r="L11" s="0" t="n">
        <f aca="false">L8+L10+L24</f>
        <v>21065.3917362803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-7198.425</v>
      </c>
      <c r="D12" s="4" t="n">
        <f aca="false">-D6*Assumptions!D31/100</f>
        <v>-7601.5368</v>
      </c>
      <c r="E12" s="4" t="n">
        <f aca="false">-E6*Assumptions!E31/100</f>
        <v>-7986.796506</v>
      </c>
      <c r="F12" s="4" t="n">
        <f aca="false">-F6*Assumptions!F31/100</f>
        <v>-8389.71250884</v>
      </c>
      <c r="G12" s="4" t="n">
        <f aca="false">-G6*Assumptions!G31/100</f>
        <v>-8811.04880615895</v>
      </c>
      <c r="H12" s="4" t="n">
        <f aca="false">-H6*Assumptions!H31/100</f>
        <v>-9206.90752063855</v>
      </c>
      <c r="I12" s="4" t="n">
        <f aca="false">-I6*Assumptions!I31/100</f>
        <v>-9483.11474625771</v>
      </c>
      <c r="J12" s="4" t="n">
        <f aca="false">-J6*Assumptions!J31/100</f>
        <v>-9767.60818864544</v>
      </c>
      <c r="K12" s="4" t="n">
        <f aca="false">-K6*Assumptions!K31/100</f>
        <v>-10060.6364343048</v>
      </c>
      <c r="L12" s="4" t="n">
        <f aca="false">-L6*Assumptions!L31/100</f>
        <v>-10362.4555273339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7896.1185</v>
      </c>
      <c r="D13" s="0" t="n">
        <f aca="false">D11+D12</f>
        <v>8327.13804</v>
      </c>
      <c r="E13" s="0" t="n">
        <f aca="false">E11+E12</f>
        <v>8737.7937894</v>
      </c>
      <c r="F13" s="0" t="n">
        <f aca="false">F11+F12</f>
        <v>8981.927509464</v>
      </c>
      <c r="G13" s="0" t="n">
        <f aca="false">G11+G12</f>
        <v>9232.44679254046</v>
      </c>
      <c r="H13" s="0" t="n">
        <f aca="false">H11+H12</f>
        <v>9377.89294602184</v>
      </c>
      <c r="I13" s="0" t="n">
        <f aca="false">I11+I12</f>
        <v>9726.96626830434</v>
      </c>
      <c r="J13" s="0" t="n">
        <f aca="false">J11+J12</f>
        <v>10088.5438862724</v>
      </c>
      <c r="K13" s="0" t="n">
        <f aca="false">K11+K12</f>
        <v>10391.2002028605</v>
      </c>
      <c r="L13" s="0" t="n">
        <f aca="false">L11+L12</f>
        <v>10702.9362089464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6316.8948</v>
      </c>
      <c r="D15" s="0" t="n">
        <f aca="false">D13-MAX(0,D13)*D14/100</f>
        <v>6661.710432</v>
      </c>
      <c r="E15" s="0" t="n">
        <f aca="false">E13-MAX(0,E13)*E14/100</f>
        <v>6990.23503152</v>
      </c>
      <c r="F15" s="0" t="n">
        <f aca="false">F13-MAX(0,F13)*F14/100</f>
        <v>7185.5420075712</v>
      </c>
      <c r="G15" s="0" t="n">
        <f aca="false">G13-MAX(0,G13)*G14/100</f>
        <v>7385.95743403237</v>
      </c>
      <c r="H15" s="0" t="n">
        <f aca="false">H13-MAX(0,H13)*H14/100</f>
        <v>7502.31435681747</v>
      </c>
      <c r="I15" s="0" t="n">
        <f aca="false">I13-MAX(0,I13)*I14/100</f>
        <v>7781.57301464347</v>
      </c>
      <c r="J15" s="0" t="n">
        <f aca="false">J13-MAX(0,J13)*J14/100</f>
        <v>8070.83510901789</v>
      </c>
      <c r="K15" s="0" t="n">
        <f aca="false">K13-MAX(0,K13)*K14/100</f>
        <v>8312.96016228843</v>
      </c>
      <c r="L15" s="0" t="n">
        <f aca="false">L13-MAX(0,L13)*L14/100</f>
        <v>8562.34896715708</v>
      </c>
    </row>
    <row r="16" customFormat="false" ht="15" hidden="false" customHeight="false" outlineLevel="0" collapsed="false">
      <c r="A16" s="0" t="s">
        <v>123</v>
      </c>
      <c r="C16" s="0" t="n">
        <f aca="false">-C12</f>
        <v>7198.425</v>
      </c>
      <c r="D16" s="0" t="n">
        <f aca="false">-D12</f>
        <v>7601.5368</v>
      </c>
      <c r="E16" s="0" t="n">
        <f aca="false">-E12</f>
        <v>7986.796506</v>
      </c>
      <c r="F16" s="0" t="n">
        <f aca="false">-F12</f>
        <v>8389.71250884</v>
      </c>
      <c r="G16" s="0" t="n">
        <f aca="false">-G12</f>
        <v>8811.04880615895</v>
      </c>
      <c r="H16" s="0" t="n">
        <f aca="false">-H12</f>
        <v>9206.90752063855</v>
      </c>
      <c r="I16" s="0" t="n">
        <f aca="false">-I12</f>
        <v>9483.11474625771</v>
      </c>
      <c r="J16" s="0" t="n">
        <f aca="false">-J12</f>
        <v>9767.60818864544</v>
      </c>
      <c r="K16" s="0" t="n">
        <f aca="false">-K12</f>
        <v>10060.6364343048</v>
      </c>
      <c r="L16" s="0" t="n">
        <f aca="false">-L12</f>
        <v>10362.4555273339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-14673.7125</v>
      </c>
      <c r="D17" s="4" t="n">
        <f aca="false">-D6*Assumptions!D32/100</f>
        <v>-14396.85</v>
      </c>
      <c r="E17" s="4" t="n">
        <f aca="false">-E6*Assumptions!E32/100</f>
        <v>-14006.695365</v>
      </c>
      <c r="F17" s="4" t="n">
        <f aca="false">-F6*Assumptions!F32/100</f>
        <v>-13571.5937643</v>
      </c>
      <c r="G17" s="4" t="n">
        <f aca="false">-G6*Assumptions!G32/100</f>
        <v>-13088.8768497289</v>
      </c>
      <c r="H17" s="4" t="n">
        <f aca="false">-H6*Assumptions!H32/100</f>
        <v>-12823.9069037466</v>
      </c>
      <c r="I17" s="4" t="n">
        <f aca="false">-I6*Assumptions!I32/100</f>
        <v>-12531.2587718405</v>
      </c>
      <c r="J17" s="4" t="n">
        <f aca="false">-J6*Assumptions!J32/100</f>
        <v>-12558.3533854013</v>
      </c>
      <c r="K17" s="4" t="n">
        <f aca="false">-K6*Assumptions!K32/100</f>
        <v>-12935.1039869633</v>
      </c>
      <c r="L17" s="4" t="n">
        <f aca="false">-L6*Assumptions!L32/100</f>
        <v>-13323.1571065722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-1158.3927</v>
      </c>
      <c r="D19" s="0" t="n">
        <f aca="false">D15+D16+D17+D18</f>
        <v>-133.602768000001</v>
      </c>
      <c r="E19" s="0" t="n">
        <f aca="false">E15+E16+E17+E18</f>
        <v>970.336172519996</v>
      </c>
      <c r="F19" s="0" t="n">
        <f aca="false">F15+F16+F17+F18</f>
        <v>2003.6607521112</v>
      </c>
      <c r="G19" s="0" t="n">
        <f aca="false">G15+G16+G17+G18</f>
        <v>3108.12939046245</v>
      </c>
      <c r="H19" s="0" t="n">
        <f aca="false">H15+H16+H17+H18</f>
        <v>3885.31497370947</v>
      </c>
      <c r="I19" s="0" t="n">
        <f aca="false">I15+I16+I17+I18</f>
        <v>4733.42898906063</v>
      </c>
      <c r="J19" s="0" t="n">
        <f aca="false">J15+J16+J17+J18</f>
        <v>5280.08991226205</v>
      </c>
      <c r="K19" s="0" t="n">
        <f aca="false">K15+K16+K17+K18</f>
        <v>5438.49260962991</v>
      </c>
      <c r="L19" s="0" t="n">
        <f aca="false">L15+L16+L17+L18</f>
        <v>5601.64738791881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-1087.69267605634</v>
      </c>
      <c r="D21" s="0" t="n">
        <f aca="false">D19*D20</f>
        <v>-117.79212061099</v>
      </c>
      <c r="E21" s="0" t="n">
        <f aca="false">E19*E20</f>
        <v>803.291919164258</v>
      </c>
      <c r="F21" s="0" t="n">
        <f aca="false">F19*F20</f>
        <v>1557.49176893571</v>
      </c>
      <c r="G21" s="0" t="n">
        <f aca="false">G19*G20</f>
        <v>2268.5640795261</v>
      </c>
      <c r="H21" s="0" t="n">
        <f aca="false">H19*H20</f>
        <v>2662.73891376381</v>
      </c>
      <c r="I21" s="0" t="n">
        <f aca="false">I19*I20</f>
        <v>3045.99097193953</v>
      </c>
      <c r="J21" s="0" t="n">
        <f aca="false">J19*J20</f>
        <v>3190.39499852296</v>
      </c>
      <c r="K21" s="0" t="n">
        <f aca="false">K19*K20</f>
        <v>3085.54633659967</v>
      </c>
      <c r="L21" s="0" t="n">
        <f aca="false">L19*L20</f>
        <v>2984.14340534991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6.3</v>
      </c>
      <c r="D23" s="4" t="n">
        <f aca="false">Assumptions!D30</f>
        <v>6.4</v>
      </c>
      <c r="E23" s="4" t="n">
        <f aca="false">Assumptions!E30</f>
        <v>6.5</v>
      </c>
      <c r="F23" s="4" t="n">
        <f aca="false">Assumptions!F30</f>
        <v>6.6</v>
      </c>
      <c r="G23" s="4" t="n">
        <f aca="false">Assumptions!G30</f>
        <v>6.7</v>
      </c>
      <c r="H23" s="4" t="n">
        <f aca="false">Assumptions!H30</f>
        <v>6.8</v>
      </c>
      <c r="I23" s="4" t="n">
        <f aca="false">Assumptions!I30</f>
        <v>6.8</v>
      </c>
      <c r="J23" s="4" t="n">
        <f aca="false">Assumptions!J30</f>
        <v>6.8</v>
      </c>
      <c r="K23" s="4" t="n">
        <f aca="false">Assumptions!K30</f>
        <v>6.8</v>
      </c>
      <c r="L23" s="4" t="n">
        <f aca="false">Assumptions!L30</f>
        <v>6.8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-3488.4675</v>
      </c>
      <c r="D24" s="0" t="n">
        <f aca="false">-D6*D23/100</f>
        <v>-3685.5936</v>
      </c>
      <c r="E24" s="0" t="n">
        <f aca="false">-E6*E23/100</f>
        <v>-3874.192335</v>
      </c>
      <c r="F24" s="0" t="n">
        <f aca="false">-F6*F23/100</f>
        <v>-4071.47812929</v>
      </c>
      <c r="G24" s="0" t="n">
        <f aca="false">-G6*G23/100</f>
        <v>-4277.82804356992</v>
      </c>
      <c r="H24" s="0" t="n">
        <f aca="false">-H6*H23/100</f>
        <v>-4471.92651002444</v>
      </c>
      <c r="I24" s="0" t="n">
        <f aca="false">-I6*I23/100</f>
        <v>-4606.08430532517</v>
      </c>
      <c r="J24" s="0" t="n">
        <f aca="false">-J6*J23/100</f>
        <v>-4744.26683448493</v>
      </c>
      <c r="K24" s="0" t="n">
        <f aca="false">-K6*K23/100</f>
        <v>-4886.59483951948</v>
      </c>
      <c r="L24" s="0" t="n">
        <f aca="false">-L6*L23/100</f>
        <v>-5033.19268470506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18392.6775971346</v>
      </c>
    </row>
    <row r="31" customFormat="false" ht="15" hidden="false" customHeight="false" outlineLevel="0" collapsed="false">
      <c r="A31" s="0" t="s">
        <v>132</v>
      </c>
      <c r="B31" s="0" t="n">
        <f aca="false">L19</f>
        <v>5601.64738791881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143542.214315419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112032.947758376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112032.947758376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59682.8681069983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78075.5457041329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81299.5457041329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13.0601679845997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-0.588267087496858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1098.42941965817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2425.01082755047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13.6261824821432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45933.5085809342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4.00233130796092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86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4.5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53500</v>
      </c>
      <c r="C6" s="0" t="n">
        <f aca="false">B6*(1+C5/100)</f>
        <v>55907.5</v>
      </c>
      <c r="D6" s="0" t="n">
        <f aca="false">C6*(1+D5/100)</f>
        <v>58702.875</v>
      </c>
      <c r="E6" s="0" t="n">
        <f aca="false">D6*(1+E5/100)</f>
        <v>61638.01875</v>
      </c>
      <c r="F6" s="0" t="n">
        <f aca="false">E6*(1+F5/100)</f>
        <v>64411.72959375</v>
      </c>
      <c r="G6" s="0" t="n">
        <f aca="false">F6*(1+G5/100)</f>
        <v>67310.2574254687</v>
      </c>
      <c r="H6" s="0" t="n">
        <f aca="false">G6*(1+H5/100)</f>
        <v>70002.6677224875</v>
      </c>
      <c r="I6" s="0" t="n">
        <f aca="false">H6*(1+I5/100)</f>
        <v>72802.774431387</v>
      </c>
      <c r="J6" s="0" t="n">
        <f aca="false">I6*(1+J5/100)</f>
        <v>75350.8715364855</v>
      </c>
      <c r="K6" s="0" t="n">
        <f aca="false">J6*(1+K5/100)</f>
        <v>77988.1520402625</v>
      </c>
      <c r="L6" s="0" t="n">
        <f aca="false">K6*(1+L5/100)</f>
        <v>80717.7373616717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34.5</v>
      </c>
      <c r="D7" s="4" t="n">
        <f aca="false">Assumptions!D42</f>
        <v>35.5</v>
      </c>
      <c r="E7" s="4" t="n">
        <f aca="false">Assumptions!E42</f>
        <v>36.5</v>
      </c>
      <c r="F7" s="4" t="n">
        <f aca="false">Assumptions!F42</f>
        <v>37.3</v>
      </c>
      <c r="G7" s="4" t="n">
        <f aca="false">Assumptions!G42</f>
        <v>37.8</v>
      </c>
      <c r="H7" s="4" t="n">
        <f aca="false">Assumptions!H42</f>
        <v>38.2</v>
      </c>
      <c r="I7" s="4" t="n">
        <f aca="false">Assumptions!I42</f>
        <v>38.5</v>
      </c>
      <c r="J7" s="4" t="n">
        <f aca="false">Assumptions!J42</f>
        <v>38.5</v>
      </c>
      <c r="K7" s="4" t="n">
        <f aca="false">Assumptions!K42</f>
        <v>38.5</v>
      </c>
      <c r="L7" s="4" t="n">
        <f aca="false">Assumptions!L42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19288.0875</v>
      </c>
      <c r="D8" s="0" t="n">
        <f aca="false">D6*D7/100</f>
        <v>20839.520625</v>
      </c>
      <c r="E8" s="0" t="n">
        <f aca="false">E6*E7/100</f>
        <v>22497.87684375</v>
      </c>
      <c r="F8" s="0" t="n">
        <f aca="false">F6*F7/100</f>
        <v>24025.5751384687</v>
      </c>
      <c r="G8" s="0" t="n">
        <f aca="false">G6*G7/100</f>
        <v>25443.2773068272</v>
      </c>
      <c r="H8" s="0" t="n">
        <f aca="false">H6*H7/100</f>
        <v>26741.0190699902</v>
      </c>
      <c r="I8" s="0" t="n">
        <f aca="false">I6*I7/100</f>
        <v>28029.068156084</v>
      </c>
      <c r="J8" s="0" t="n">
        <f aca="false">J6*J7/100</f>
        <v>29010.0855415469</v>
      </c>
      <c r="K8" s="0" t="n">
        <f aca="false">K6*K7/100</f>
        <v>30025.4385355011</v>
      </c>
      <c r="L8" s="0" t="n">
        <f aca="false">L6*L7/100</f>
        <v>31076.3288842436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0.24</v>
      </c>
      <c r="D9" s="4" t="n">
        <f aca="false">Assumptions!D43</f>
        <v>0.24</v>
      </c>
      <c r="E9" s="4" t="n">
        <f aca="false">Assumptions!E43</f>
        <v>0.24</v>
      </c>
      <c r="F9" s="4" t="n">
        <f aca="false">Assumptions!F43</f>
        <v>0.24</v>
      </c>
      <c r="G9" s="4" t="n">
        <f aca="false">Assumptions!G43</f>
        <v>0.24</v>
      </c>
      <c r="H9" s="4" t="n">
        <f aca="false">Assumptions!H43</f>
        <v>0.24</v>
      </c>
      <c r="I9" s="4" t="n">
        <f aca="false">Assumptions!I43</f>
        <v>0.24</v>
      </c>
      <c r="J9" s="4" t="n">
        <f aca="false">Assumptions!J43</f>
        <v>0.24</v>
      </c>
      <c r="K9" s="4" t="n">
        <f aca="false">Assumptions!K43</f>
        <v>0.24</v>
      </c>
      <c r="L9" s="4" t="n">
        <f aca="false">Assumptions!L43</f>
        <v>0.24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-134.178</v>
      </c>
      <c r="D10" s="0" t="n">
        <f aca="false">-D6*D9/100</f>
        <v>-140.8869</v>
      </c>
      <c r="E10" s="0" t="n">
        <f aca="false">-E6*E9/100</f>
        <v>-147.931245</v>
      </c>
      <c r="F10" s="0" t="n">
        <f aca="false">-F6*F9/100</f>
        <v>-154.588151025</v>
      </c>
      <c r="G10" s="0" t="n">
        <f aca="false">-G6*G9/100</f>
        <v>-161.544617821125</v>
      </c>
      <c r="H10" s="0" t="n">
        <f aca="false">-H6*H9/100</f>
        <v>-168.00640253397</v>
      </c>
      <c r="I10" s="0" t="n">
        <f aca="false">-I6*I9/100</f>
        <v>-174.726658635329</v>
      </c>
      <c r="J10" s="0" t="n">
        <f aca="false">-J6*J9/100</f>
        <v>-180.842091687565</v>
      </c>
      <c r="K10" s="0" t="n">
        <f aca="false">-K6*K9/100</f>
        <v>-187.17156489663</v>
      </c>
      <c r="L10" s="0" t="n">
        <f aca="false">-L6*L9/100</f>
        <v>-193.722569668012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15575.8295</v>
      </c>
      <c r="D11" s="0" t="n">
        <f aca="false">D8+D10+D24</f>
        <v>16824.243975</v>
      </c>
      <c r="E11" s="0" t="n">
        <f aca="false">E8+E10+E24</f>
        <v>18158.56032375</v>
      </c>
      <c r="F11" s="0" t="n">
        <f aca="false">F8+F10+F24</f>
        <v>19426.577645475</v>
      </c>
      <c r="G11" s="0" t="n">
        <f aca="false">G8+G10+G24</f>
        <v>20570.0146692232</v>
      </c>
      <c r="H11" s="0" t="n">
        <f aca="false">H8+H10+H24</f>
        <v>21602.8232591596</v>
      </c>
      <c r="I11" s="0" t="n">
        <f aca="false">I8+I10+I24</f>
        <v>22685.3445128202</v>
      </c>
      <c r="J11" s="0" t="n">
        <f aca="false">J8+J10+J24</f>
        <v>23479.3315707689</v>
      </c>
      <c r="K11" s="0" t="n">
        <f aca="false">K8+K10+K24</f>
        <v>24301.1081757458</v>
      </c>
      <c r="L11" s="0" t="n">
        <f aca="false">L8+L10+L24</f>
        <v>25151.6469618969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-7267.975</v>
      </c>
      <c r="D12" s="4" t="n">
        <f aca="false">-D6*Assumptions!D45/100</f>
        <v>-7748.7795</v>
      </c>
      <c r="E12" s="4" t="n">
        <f aca="false">-E6*Assumptions!E45/100</f>
        <v>-8259.4945125</v>
      </c>
      <c r="F12" s="4" t="n">
        <f aca="false">-F6*Assumptions!F45/100</f>
        <v>-8759.99522475</v>
      </c>
      <c r="G12" s="4" t="n">
        <f aca="false">-G6*Assumptions!G45/100</f>
        <v>-9288.81552471469</v>
      </c>
      <c r="H12" s="4" t="n">
        <f aca="false">-H6*Assumptions!H45/100</f>
        <v>-9800.37348114825</v>
      </c>
      <c r="I12" s="4" t="n">
        <f aca="false">-I6*Assumptions!I45/100</f>
        <v>-10192.3884203942</v>
      </c>
      <c r="J12" s="4" t="n">
        <f aca="false">-J6*Assumptions!J45/100</f>
        <v>-10549.122015108</v>
      </c>
      <c r="K12" s="4" t="n">
        <f aca="false">-K6*Assumptions!K45/100</f>
        <v>-10918.3412856368</v>
      </c>
      <c r="L12" s="4" t="n">
        <f aca="false">-L6*Assumptions!L45/100</f>
        <v>-11300.483230634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8307.8545</v>
      </c>
      <c r="D13" s="0" t="n">
        <f aca="false">D11+D12</f>
        <v>9075.464475</v>
      </c>
      <c r="E13" s="0" t="n">
        <f aca="false">E11+E12</f>
        <v>9899.06581125</v>
      </c>
      <c r="F13" s="0" t="n">
        <f aca="false">F11+F12</f>
        <v>10666.582420725</v>
      </c>
      <c r="G13" s="0" t="n">
        <f aca="false">G11+G12</f>
        <v>11281.1991445086</v>
      </c>
      <c r="H13" s="0" t="n">
        <f aca="false">H11+H12</f>
        <v>11802.4497780114</v>
      </c>
      <c r="I13" s="0" t="n">
        <f aca="false">I11+I12</f>
        <v>12492.956092426</v>
      </c>
      <c r="J13" s="0" t="n">
        <f aca="false">J11+J12</f>
        <v>12930.2095556609</v>
      </c>
      <c r="K13" s="0" t="n">
        <f aca="false">K11+K12</f>
        <v>13382.766890109</v>
      </c>
      <c r="L13" s="0" t="n">
        <f aca="false">L11+L12</f>
        <v>13851.1637312629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6729.362145</v>
      </c>
      <c r="D15" s="0" t="n">
        <f aca="false">D13-MAX(0,D13)*D14/100</f>
        <v>7351.12622475</v>
      </c>
      <c r="E15" s="0" t="n">
        <f aca="false">E13-MAX(0,E13)*E14/100</f>
        <v>8018.2433071125</v>
      </c>
      <c r="F15" s="0" t="n">
        <f aca="false">F13-MAX(0,F13)*F14/100</f>
        <v>8639.93176078725</v>
      </c>
      <c r="G15" s="0" t="n">
        <f aca="false">G13-MAX(0,G13)*G14/100</f>
        <v>9137.77130705193</v>
      </c>
      <c r="H15" s="0" t="n">
        <f aca="false">H13-MAX(0,H13)*H14/100</f>
        <v>9559.98432018923</v>
      </c>
      <c r="I15" s="0" t="n">
        <f aca="false">I13-MAX(0,I13)*I14/100</f>
        <v>10119.2944348651</v>
      </c>
      <c r="J15" s="0" t="n">
        <f aca="false">J13-MAX(0,J13)*J14/100</f>
        <v>10473.4697400853</v>
      </c>
      <c r="K15" s="0" t="n">
        <f aca="false">K13-MAX(0,K13)*K14/100</f>
        <v>10840.0411809883</v>
      </c>
      <c r="L15" s="0" t="n">
        <f aca="false">L13-MAX(0,L13)*L14/100</f>
        <v>11219.4426223229</v>
      </c>
    </row>
    <row r="16" customFormat="false" ht="15" hidden="false" customHeight="false" outlineLevel="0" collapsed="false">
      <c r="A16" s="0" t="s">
        <v>123</v>
      </c>
      <c r="C16" s="0" t="n">
        <f aca="false">-C12</f>
        <v>7267.975</v>
      </c>
      <c r="D16" s="0" t="n">
        <f aca="false">-D12</f>
        <v>7748.7795</v>
      </c>
      <c r="E16" s="0" t="n">
        <f aca="false">-E12</f>
        <v>8259.4945125</v>
      </c>
      <c r="F16" s="0" t="n">
        <f aca="false">-F12</f>
        <v>8759.99522475</v>
      </c>
      <c r="G16" s="0" t="n">
        <f aca="false">-G12</f>
        <v>9288.81552471469</v>
      </c>
      <c r="H16" s="0" t="n">
        <f aca="false">-H12</f>
        <v>9800.37348114825</v>
      </c>
      <c r="I16" s="0" t="n">
        <f aca="false">-I12</f>
        <v>10192.3884203942</v>
      </c>
      <c r="J16" s="0" t="n">
        <f aca="false">-J12</f>
        <v>10549.122015108</v>
      </c>
      <c r="K16" s="0" t="n">
        <f aca="false">-K12</f>
        <v>10918.3412856368</v>
      </c>
      <c r="L16" s="0" t="n">
        <f aca="false">-L12</f>
        <v>11300.483230634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-14535.95</v>
      </c>
      <c r="D17" s="4" t="n">
        <f aca="false">-D6*Assumptions!D46/100</f>
        <v>-14088.69</v>
      </c>
      <c r="E17" s="4" t="n">
        <f aca="false">-E6*Assumptions!E46/100</f>
        <v>-13560.364125</v>
      </c>
      <c r="F17" s="4" t="n">
        <f aca="false">-F6*Assumptions!F46/100</f>
        <v>-12882.34591875</v>
      </c>
      <c r="G17" s="4" t="n">
        <f aca="false">-G6*Assumptions!G46/100</f>
        <v>-12452.3976237117</v>
      </c>
      <c r="H17" s="4" t="n">
        <f aca="false">-H6*Assumptions!H46/100</f>
        <v>-12250.4668514353</v>
      </c>
      <c r="I17" s="4" t="n">
        <f aca="false">-I6*Assumptions!I46/100</f>
        <v>-12376.4716533358</v>
      </c>
      <c r="J17" s="4" t="n">
        <f aca="false">-J6*Assumptions!J46/100</f>
        <v>-12432.8938035201</v>
      </c>
      <c r="K17" s="4" t="n">
        <f aca="false">-K6*Assumptions!K46/100</f>
        <v>-12868.0450866433</v>
      </c>
      <c r="L17" s="4" t="n">
        <f aca="false">-L6*Assumptions!L46/100</f>
        <v>-13318.4266646758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-538.612854999999</v>
      </c>
      <c r="D19" s="0" t="n">
        <f aca="false">D15+D16+D17+D18</f>
        <v>1011.21572475</v>
      </c>
      <c r="E19" s="0" t="n">
        <f aca="false">E15+E16+E17+E18</f>
        <v>2717.3736946125</v>
      </c>
      <c r="F19" s="0" t="n">
        <f aca="false">F15+F16+F17+F18</f>
        <v>4517.58106678725</v>
      </c>
      <c r="G19" s="0" t="n">
        <f aca="false">G15+G16+G17+G18</f>
        <v>5974.1892080549</v>
      </c>
      <c r="H19" s="0" t="n">
        <f aca="false">H15+H16+H17+H18</f>
        <v>7109.89094990216</v>
      </c>
      <c r="I19" s="0" t="n">
        <f aca="false">I15+I16+I17+I18</f>
        <v>7935.21120192345</v>
      </c>
      <c r="J19" s="0" t="n">
        <f aca="false">J15+J16+J17+J18</f>
        <v>8589.6979516732</v>
      </c>
      <c r="K19" s="0" t="n">
        <f aca="false">K15+K16+K17+K18</f>
        <v>8890.33737998176</v>
      </c>
      <c r="L19" s="0" t="n">
        <f aca="false">L15+L16+L17+L18</f>
        <v>9201.49918828113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-505.739769953051</v>
      </c>
      <c r="D21" s="0" t="n">
        <f aca="false">D19*D20</f>
        <v>891.547730609008</v>
      </c>
      <c r="E21" s="0" t="n">
        <f aca="false">E19*E20</f>
        <v>2249.57534517427</v>
      </c>
      <c r="F21" s="0" t="n">
        <f aca="false">F19*F20</f>
        <v>3511.62007820297</v>
      </c>
      <c r="G21" s="0" t="n">
        <f aca="false">G19*G20</f>
        <v>4360.44621670957</v>
      </c>
      <c r="H21" s="0" t="n">
        <f aca="false">H19*H20</f>
        <v>4872.65084890832</v>
      </c>
      <c r="I21" s="0" t="n">
        <f aca="false">I19*I20</f>
        <v>5106.35772446414</v>
      </c>
      <c r="J21" s="0" t="n">
        <f aca="false">J19*J20</f>
        <v>5190.16339479353</v>
      </c>
      <c r="K21" s="0" t="n">
        <f aca="false">K19*K20</f>
        <v>5043.9616090247</v>
      </c>
      <c r="L21" s="0" t="n">
        <f aca="false">L19*L20</f>
        <v>4901.87818341837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6.4</v>
      </c>
      <c r="D23" s="4" t="n">
        <f aca="false">Assumptions!D44</f>
        <v>6.6</v>
      </c>
      <c r="E23" s="4" t="n">
        <f aca="false">Assumptions!E44</f>
        <v>6.8</v>
      </c>
      <c r="F23" s="4" t="n">
        <f aca="false">Assumptions!F44</f>
        <v>6.9</v>
      </c>
      <c r="G23" s="4" t="n">
        <f aca="false">Assumptions!G44</f>
        <v>7</v>
      </c>
      <c r="H23" s="4" t="n">
        <f aca="false">Assumptions!H44</f>
        <v>7.1</v>
      </c>
      <c r="I23" s="4" t="n">
        <f aca="false">Assumptions!I44</f>
        <v>7.1</v>
      </c>
      <c r="J23" s="4" t="n">
        <f aca="false">Assumptions!J44</f>
        <v>7.1</v>
      </c>
      <c r="K23" s="4" t="n">
        <f aca="false">Assumptions!K44</f>
        <v>7.1</v>
      </c>
      <c r="L23" s="4" t="n">
        <f aca="false">Assumptions!L44</f>
        <v>7.1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-3578.08</v>
      </c>
      <c r="D24" s="0" t="n">
        <f aca="false">-D6*D23/100</f>
        <v>-3874.38975</v>
      </c>
      <c r="E24" s="0" t="n">
        <f aca="false">-E6*E23/100</f>
        <v>-4191.385275</v>
      </c>
      <c r="F24" s="0" t="n">
        <f aca="false">-F6*F23/100</f>
        <v>-4444.40934196875</v>
      </c>
      <c r="G24" s="0" t="n">
        <f aca="false">-G6*G23/100</f>
        <v>-4711.71801978281</v>
      </c>
      <c r="H24" s="0" t="n">
        <f aca="false">-H6*H23/100</f>
        <v>-4970.18940829661</v>
      </c>
      <c r="I24" s="0" t="n">
        <f aca="false">-I6*I23/100</f>
        <v>-5168.99698462848</v>
      </c>
      <c r="J24" s="0" t="n">
        <f aca="false">-J6*J23/100</f>
        <v>-5349.91187909047</v>
      </c>
      <c r="K24" s="0" t="n">
        <f aca="false">-K6*K23/100</f>
        <v>-5537.15879485864</v>
      </c>
      <c r="L24" s="0" t="n">
        <f aca="false">-L6*L23/100</f>
        <v>-5730.95935267869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35622.4613613518</v>
      </c>
    </row>
    <row r="31" customFormat="false" ht="15" hidden="false" customHeight="false" outlineLevel="0" collapsed="false">
      <c r="A31" s="0" t="s">
        <v>132</v>
      </c>
      <c r="B31" s="0" t="n">
        <f aca="false">L19</f>
        <v>9201.49918828113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270786.976112273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184029.983765623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184029.983765623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98037.5636683674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133660.025029719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136884.025029719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21.9894016111999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-0.30676539687264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1156.98307301361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3037.05966359978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22.6631434162783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78979.534699413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7.07618847604589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4.38903752015903</v>
      </c>
      <c r="C4" s="0" t="n">
        <f aca="false">B4/Assumptions!$B$2-1</f>
        <v>-0.861631856237105</v>
      </c>
      <c r="D4" s="4" t="n">
        <f aca="false">Assumptions!$B$24</f>
        <v>0.25</v>
      </c>
      <c r="E4" s="4" t="n">
        <f aca="false">DCF_Bear!$B$43</f>
        <v>4.85657165670521</v>
      </c>
      <c r="F4" s="4" t="n">
        <f aca="false">DCF_Bear!$B$47</f>
        <v>0.926663431070998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13.0601679845997</v>
      </c>
      <c r="C5" s="0" t="n">
        <f aca="false">B5/Assumptions!$B$2-1</f>
        <v>-0.588267087496858</v>
      </c>
      <c r="D5" s="4" t="n">
        <f aca="false">Assumptions!$B$38</f>
        <v>0.5</v>
      </c>
      <c r="E5" s="4" t="n">
        <f aca="false">DCF_Base!$B$43</f>
        <v>13.6261824821432</v>
      </c>
      <c r="F5" s="4" t="n">
        <f aca="false">DCF_Base!$B$47</f>
        <v>4.00233130796092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21.9894016111999</v>
      </c>
      <c r="C6" s="0" t="n">
        <f aca="false">B6/Assumptions!$B$2-1</f>
        <v>-0.30676539687264</v>
      </c>
      <c r="D6" s="4" t="n">
        <f aca="false">Assumptions!$B$52</f>
        <v>0.25</v>
      </c>
      <c r="E6" s="4" t="n">
        <f aca="false">DCF_Bull!$B$43</f>
        <v>22.6631434162783</v>
      </c>
      <c r="F6" s="4" t="n">
        <f aca="false">DCF_Bull!$B$47</f>
        <v>7.07618847604589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13.1246937751396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13.6930200093175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-1.41681829255957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3271.94225896642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4.00187863075968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13.0601679845997</v>
      </c>
      <c r="C15" s="3" t="n">
        <v>6.5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8.99226593858179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7.57510671409713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6.50326794349228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5.66705907289742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4.00233130796092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15.518100622583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15.518100622583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15.518100622583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15.518100622583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15.518100622583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14.2274605848768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14.2274605848768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14.2274605848768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14.2274605848768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14.2274605848768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13.0601679845997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13.0601679845997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13.0601679845997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13.0601679845997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13.0601679845997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10.6571078987552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11.3682498480522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12.0033161469593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12.0033161469593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12.0033161469593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8.8564792555452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9.3310133002504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9.88463635240646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10.5389181413182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11.0454588811208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2026-10-10T11:42:49Z</dcterms:created>
  <dc:creator>openpyxl</dc:creator>
  <dc:description/>
  <dc:language>en-NZ</dc:language>
  <cp:lastModifiedBy/>
  <dcterms:modified xsi:type="dcterms:W3CDTF">2026-10-10T11:42:49Z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