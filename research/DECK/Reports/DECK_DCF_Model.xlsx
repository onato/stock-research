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<sst xmlns="http://schemas.openxmlformats.org/spreadsheetml/2006/main" count="387" uniqueCount="174">
  <si>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</si>
  <si>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DECK</t>
  </si>
  <si>
    <t xml:space="preserve">Company</t>
  </si>
  <si>
    <t xml:space="preserve">Deckers Outdoor Corporation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</si>
  <si>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</si>
  <si>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</si>
  <si>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</si>
  <si>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</si>
  <si>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2026-09-25T20:00:03Z regular close (Yahoo chart API regularMarketTime)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</si>
  <si>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</si>
  <si>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</si>
  <si>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</si>
  <si>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</si>
  <si>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</si>
  <si>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</si>
  <si>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</si>
  <si>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</si>
  <si>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</si>
  <si>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</si>
  <si>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</si>
  <si>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</si>
  <si>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2026-09-26T01:24:43Z</t>
  </si>
  <si>
    <t xml:space="preserve">Drivers file</t>
  </si>
  <si>
    <t xml:space="preserve">DECK_Drivers.json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</si>
  <si>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</si>
  <si>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</si>
  <si>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</si>
  <si>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 guidance-anchored FY2027 with margins drifting slightly below guidance on structural tariffs. At the anchor price DECK trades near 10.5x FY2027 guided EPS, below its 52-week range midpoint -- the market is pricing something between our base and bear cases, i.e. a UGG/HOKA fade. The valuation turns on brand durability, not on cost of capital or SBC (SBC is &lt;1% of revenue, so house and street bases sit close together).
key_risks_to_valuation: UGG fashion-cycle reversal (FY2012-16 precedent) -- half of revenue; HOKA share loss to On, Nike and Adidas in specialty running; Tariffs on Vietnam/Indonesia sourcing above the 12.5% guided rate; refunds uncertain; Consumer discretionary slowdown hitting wholesale sell-in; Terminal multiple: a 2-point swing in the cap moves base IV by roughly 8%</t>
  </si>
  <si>
    <t xml:space="preserve">Data sources</t>
  </si>
  <si>
    <t xml:space="preserve">price: Yahoo Finance chart API at inputs.price_as_of; 52-week range 77.37-122.29
financials: SEC XBRL companyfacts (CIK 910521) via DECK_Metrics.csv / DECK.duckdb; FY2026 10-K and Q1 FY2027 10-Q for D&amp;A, lease, SBC withholding, interest income, dilutive shares and cover-page share count
qualitative: DECK_Analysis.json (2026-09-26): FY2027 guidance from the Q1 FY2027 release (2026-07-23)</t>
  </si>
  <si>
    <t xml:space="preserve">Scenario narrative: bear</t>
  </si>
  <si>
    <t xml:space="preserve">UGG's fashion cycle rolls over and HOKA's deceleration turns into share loss: revenue falls ~9% over two years, wholesale destocks, promotions and tariffs take EBITDA ex-SBC to ~19% (FY2022-23 level). Two-brand concentration means there is no third leg to cushion it.</t>
  </si>
  <si>
    <t xml:space="preserve">Scenario narrative: base</t>
  </si>
  <si>
    <t xml:space="preserve">Guidance year delivered, then HOKA settles at mid-single-digit growth as door expansion and Asia offset On/Nike/Adidas competition, and UGG's year-round diversification holds the brand without a fad collapse. Structural tariffs keep margins ~1pp under FY2027 guidance (22.5% EBITDA ex-SBC). The axes are HOKA's share trajectory in performance running and whether UGG's current cycle is a cycle or a platform.</t>
  </si>
  <si>
    <t xml:space="preserve">Scenario narrative: bull</t>
  </si>
  <si>
    <t xml:space="preserve">HOKA re-accelerates on sporting-goods distribution and international, UGG becomes a year-round lifestyle franchise, and tariff refunds plus DTC mix restore FY2025-26 margins (~25.5%). Revenue compounds ~8% for five years.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</si>
  <si>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</si>
  <si>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</si>
  <si>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</si>
  <si>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</si>
  <si>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</si>
  <si>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</si>
  <si>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</si>
  <si>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</si>
  <si>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</si>
  <si>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</si>
  <si>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</si>
  <si>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</si>
  <si>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</si>
  <si>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</si>
  <si>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</si>
  <si>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</si>
  <si>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</si>
  <si>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</si>
  <si>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</si>
  <si>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</si>
  <si>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</si>
  <si>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</si>
  <si>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</si>
  <si>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</si>
  <si>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</si>
  <si>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</si>
  <si>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</si>
  <si>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</si>
  <si>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</si>
  <si>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</si>
  <si>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</si>
  <si>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</si>
  <si>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</si>
  <si>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</si>
  <si>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</si>
  <si>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</si>
  <si>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</si>
  <si>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</si>
  <si>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</si>
  <si>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</si>
  <si>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</si>
  <si>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</si>
  <si>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</si>
  <si>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</si>
  <si>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</si>
  <si>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</si>
  <si>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</si>
  <si>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</si>
  <si>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</si>
  <si>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</si>
  <si>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</si>
  <si>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</si>
  <si>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</si>
  <si>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</si>
  <si>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</si>
  <si>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</si>
  <si>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</si>
  <si>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</si>
  <si>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</si>
  <si>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</si>
  <si>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</si>
  <si>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</si>
  <si>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</si>
  <si>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</si>
  <si>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</si>
  <si>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</si>
  <si>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</si>
  <si>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</si>
  <si>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</si>
  <si>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</si>
  <si>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</si>
  <si>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</si>
  <si>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</si>
  <si>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</si>
  <si>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</si>
  <si>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</si>
  <si>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</si>
  <si>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</si>
  <si>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</si>
  <si>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</si>
  <si>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</si>
  <si>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</si>
  <si>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</si>
  <si>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DECK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</si>
  <si>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</si>
  <si>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</si>
  <si>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</si>
  <si>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</si>
  <si>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</si>
  <si>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</si>
  <si>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</si>
  <si>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</si>
  <si>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</si>
  <si>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</si>
  <si>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</si>
  <si>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</si>
  <si>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</si>
  <si>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</si>
  <si>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</si>
  <si>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</si>
  <si>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</si>
  <si>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</si>
  <si>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</si>
  <si>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</si>
  <si>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</si>
  <si>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</si>
  <si>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</si>
  <si>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</si>
  <si>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</si>
  <si>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</si>
  <si>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</si>
  <si>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</si>
  <si>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</si>
  <si>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</si>
  <si>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DECK owner-FCF component DCF: base case (millions, USD)</t>
  </si>
  <si>
    <t xml:space="preserve">DECK owner-FCF component DCF: bull case (millions, USD)</t>
  </si>
  <si>
    <t xml:space="preserve">DECK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</si>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</sst>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78.67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D2" s="0" t="n">
        <v>305.318</v>
      </c>
      <c r="F2" s="0" t="n">
        <v>116.919</v>
      </c>
      <c r="I2" s="0" t="n">
        <v>73.948</v>
      </c>
      <c r="K2" s="0" t="n">
        <v>1.89</v>
      </c>
      <c r="L2" s="0" t="n">
        <v>53.276</v>
      </c>
      <c r="M2" s="0" t="n">
        <v>22.218</v>
      </c>
      <c r="N2" s="0" t="n">
        <v>31.058</v>
      </c>
      <c r="T2" s="0" t="n">
        <v>39.585</v>
      </c>
      <c r="U2" s="0" t="n">
        <v>10.193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D3" s="0" t="n">
        <v>371.09</v>
      </c>
      <c r="F3" s="0" t="n">
        <v>181.247</v>
      </c>
      <c r="I3" s="0" t="n">
        <v>116.919</v>
      </c>
      <c r="K3" s="0" t="n">
        <v>2.99</v>
      </c>
      <c r="L3" s="0" t="n">
        <v>185.474</v>
      </c>
      <c r="M3" s="0" t="n">
        <v>13.699</v>
      </c>
      <c r="N3" s="0" t="n">
        <v>171.775</v>
      </c>
      <c r="T3" s="0" t="n">
        <v>39.393</v>
      </c>
      <c r="U3" s="0" t="n">
        <v>13.016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D4" s="0" t="n">
        <v>502.938</v>
      </c>
      <c r="F4" s="0" t="n">
        <v>249.088</v>
      </c>
      <c r="I4" s="0" t="n">
        <v>160.377</v>
      </c>
      <c r="K4" s="0" t="n">
        <v>4.1</v>
      </c>
      <c r="L4" s="0" t="n">
        <v>139.922</v>
      </c>
      <c r="M4" s="0" t="n">
        <v>22.489</v>
      </c>
      <c r="N4" s="0" t="n">
        <v>117.433</v>
      </c>
      <c r="S4" s="0" t="n">
        <v>357.328</v>
      </c>
      <c r="T4" s="0" t="n">
        <v>39.292</v>
      </c>
      <c r="U4" s="0" t="n">
        <v>12.782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D5" s="0" t="n">
        <v>678.995</v>
      </c>
      <c r="F5" s="0" t="n">
        <v>284.838</v>
      </c>
      <c r="H5" s="0" t="n">
        <v>310.265</v>
      </c>
      <c r="I5" s="0" t="n">
        <v>201.858</v>
      </c>
      <c r="K5" s="0" t="n">
        <v>5.16</v>
      </c>
      <c r="M5" s="0" t="n">
        <v>55.538</v>
      </c>
      <c r="O5" s="0" t="n">
        <v>675.207</v>
      </c>
      <c r="P5" s="0" t="n">
        <v>753.93</v>
      </c>
      <c r="S5" s="0" t="n">
        <v>437.9</v>
      </c>
      <c r="T5" s="0" t="n">
        <v>39.265</v>
      </c>
      <c r="U5" s="0" t="n">
        <v>14.803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D6" s="0" t="n">
        <v>632.154</v>
      </c>
      <c r="F6" s="0" t="n">
        <v>186.948</v>
      </c>
      <c r="H6" s="0" t="n">
        <v>220.368</v>
      </c>
      <c r="I6" s="0" t="n">
        <v>129.014</v>
      </c>
      <c r="K6" s="0" t="n">
        <v>3.49</v>
      </c>
      <c r="M6" s="0" t="n">
        <v>61.575</v>
      </c>
      <c r="O6" s="0" t="n">
        <v>833.159</v>
      </c>
      <c r="P6" s="0" t="n">
        <v>980.371</v>
      </c>
      <c r="S6" s="0" t="n">
        <v>228.571</v>
      </c>
      <c r="T6" s="0" t="n">
        <v>37.334</v>
      </c>
      <c r="U6" s="0" t="n">
        <v>14.661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D7" s="0" t="n">
        <v>736.483</v>
      </c>
      <c r="F7" s="0" t="n">
        <v>207.897</v>
      </c>
      <c r="H7" s="0" t="n">
        <v>249.267</v>
      </c>
      <c r="I7" s="0" t="n">
        <v>145.689</v>
      </c>
      <c r="K7" s="0" t="n">
        <v>4.23</v>
      </c>
      <c r="M7" s="0" t="n">
        <v>79.829</v>
      </c>
      <c r="O7" s="0" t="n">
        <v>744.875</v>
      </c>
      <c r="P7" s="0" t="n">
        <v>917.443</v>
      </c>
      <c r="S7" s="0" t="n">
        <v>64.591</v>
      </c>
      <c r="T7" s="0" t="n">
        <v>34.829</v>
      </c>
      <c r="U7" s="0" t="n">
        <v>13.136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O8" s="0" t="n">
        <v>888.849</v>
      </c>
      <c r="P8" s="0" t="n">
        <v>1064.204</v>
      </c>
      <c r="S8" s="0" t="n">
        <v>245.088</v>
      </c>
      <c r="T8" s="0" t="n">
        <v>34.624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D9" s="0" t="n">
        <v>878.108</v>
      </c>
      <c r="F9" s="0" t="n">
        <v>224.419</v>
      </c>
      <c r="H9" s="0" t="n">
        <v>273.569</v>
      </c>
      <c r="I9" s="0" t="n">
        <v>161.78</v>
      </c>
      <c r="K9" s="0" t="n">
        <v>4.7</v>
      </c>
      <c r="M9" s="0" t="n">
        <v>91.147</v>
      </c>
      <c r="O9" s="0" t="n">
        <v>937.012</v>
      </c>
      <c r="P9" s="0" t="n">
        <v>1169.933</v>
      </c>
      <c r="S9" s="0" t="n">
        <v>225.143</v>
      </c>
      <c r="T9" s="0" t="n">
        <v>34.733</v>
      </c>
      <c r="U9" s="0" t="n">
        <v>13.524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D10" s="0" t="n">
        <v>846.668</v>
      </c>
      <c r="F10" s="0" t="n">
        <v>162.127</v>
      </c>
      <c r="H10" s="0" t="n">
        <v>211.868</v>
      </c>
      <c r="I10" s="0" t="n">
        <v>122.265</v>
      </c>
      <c r="K10" s="0" t="n">
        <v>3.76</v>
      </c>
      <c r="L10" s="0" t="n">
        <v>125.813</v>
      </c>
      <c r="M10" s="0" t="n">
        <v>66.186</v>
      </c>
      <c r="N10" s="0" t="n">
        <v>59.627</v>
      </c>
      <c r="O10" s="0" t="n">
        <v>967.471</v>
      </c>
      <c r="P10" s="0" t="n">
        <v>1278.068</v>
      </c>
      <c r="S10" s="0" t="n">
        <v>245.956</v>
      </c>
      <c r="T10" s="0" t="n">
        <v>33.039</v>
      </c>
      <c r="U10" s="0" t="n">
        <v>6.622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1790.147</v>
      </c>
      <c r="C11" s="0" t="n">
        <v>954.912</v>
      </c>
      <c r="D11" s="0" t="n">
        <v>835.235</v>
      </c>
      <c r="E11" s="0" t="n">
        <v>46.6573415479288</v>
      </c>
      <c r="F11" s="0" t="n">
        <v>-1.919</v>
      </c>
      <c r="G11" s="0" t="n">
        <v>-0.107197900507612</v>
      </c>
      <c r="I11" s="0" t="n">
        <v>5.71</v>
      </c>
      <c r="J11" s="0" t="n">
        <v>0.318968218811081</v>
      </c>
      <c r="K11" s="0" t="n">
        <v>0.18</v>
      </c>
      <c r="L11" s="0" t="n">
        <v>199.33</v>
      </c>
      <c r="M11" s="0" t="n">
        <v>44.499</v>
      </c>
      <c r="N11" s="0" t="n">
        <v>154.831</v>
      </c>
      <c r="O11" s="0" t="n">
        <v>954.255</v>
      </c>
      <c r="P11" s="0" t="n">
        <v>1191.78</v>
      </c>
      <c r="S11" s="0" t="n">
        <v>291.764</v>
      </c>
      <c r="T11" s="0" t="n">
        <v>32.355</v>
      </c>
      <c r="U11" s="0" t="n">
        <v>6.011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1903.339</v>
      </c>
      <c r="C12" s="0" t="n">
        <v>971.697</v>
      </c>
      <c r="D12" s="0" t="n">
        <v>931.642</v>
      </c>
      <c r="E12" s="0" t="n">
        <v>48.9477702080397</v>
      </c>
      <c r="F12" s="0" t="n">
        <v>222.584</v>
      </c>
      <c r="G12" s="0" t="n">
        <v>11.6943960061765</v>
      </c>
      <c r="I12" s="0" t="n">
        <v>114.394</v>
      </c>
      <c r="J12" s="0" t="n">
        <v>6.01017475079321</v>
      </c>
      <c r="K12" s="0" t="n">
        <v>3.6</v>
      </c>
      <c r="L12" s="0" t="n">
        <v>327.355</v>
      </c>
      <c r="M12" s="0" t="n">
        <v>34.813</v>
      </c>
      <c r="N12" s="0" t="n">
        <v>292.542</v>
      </c>
      <c r="O12" s="0" t="n">
        <v>940.779</v>
      </c>
      <c r="P12" s="0" t="n">
        <v>1264.379</v>
      </c>
      <c r="S12" s="0" t="n">
        <v>429.97</v>
      </c>
      <c r="T12" s="0" t="n">
        <v>31.996</v>
      </c>
      <c r="U12" s="0" t="n">
        <v>14.306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2020.437</v>
      </c>
      <c r="C13" s="0" t="n">
        <v>980.187</v>
      </c>
      <c r="D13" s="0" t="n">
        <v>1040.25</v>
      </c>
      <c r="E13" s="0" t="n">
        <v>51.4863863609704</v>
      </c>
      <c r="F13" s="0" t="n">
        <v>327.32</v>
      </c>
      <c r="G13" s="0" t="n">
        <v>16.2004556440018</v>
      </c>
      <c r="I13" s="0" t="n">
        <v>264.308</v>
      </c>
      <c r="J13" s="0" t="n">
        <v>13.0817243992265</v>
      </c>
      <c r="K13" s="0" t="n">
        <v>8.92</v>
      </c>
      <c r="L13" s="0" t="n">
        <v>359.505</v>
      </c>
      <c r="M13" s="0" t="n">
        <v>29.086</v>
      </c>
      <c r="N13" s="0" t="n">
        <v>330.419</v>
      </c>
      <c r="O13" s="0" t="n">
        <v>1045.13</v>
      </c>
      <c r="P13" s="0" t="n">
        <v>1427.206</v>
      </c>
      <c r="S13" s="0" t="n">
        <v>589.692</v>
      </c>
      <c r="T13" s="0" t="n">
        <v>29.903</v>
      </c>
      <c r="U13" s="0" t="n">
        <v>14.774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2132.689</v>
      </c>
      <c r="C14" s="0" t="n">
        <v>1029.016</v>
      </c>
      <c r="D14" s="0" t="n">
        <v>1103.673</v>
      </c>
      <c r="E14" s="0" t="n">
        <v>51.7503020834261</v>
      </c>
      <c r="F14" s="0" t="n">
        <v>338.135</v>
      </c>
      <c r="G14" s="0" t="n">
        <v>15.8548667902352</v>
      </c>
      <c r="I14" s="0" t="n">
        <v>276.142</v>
      </c>
      <c r="J14" s="0" t="n">
        <v>12.9480669708523</v>
      </c>
      <c r="K14" s="0" t="n">
        <v>9.73</v>
      </c>
      <c r="L14" s="0" t="n">
        <v>286.334</v>
      </c>
      <c r="M14" s="0" t="n">
        <v>32.455</v>
      </c>
      <c r="N14" s="0" t="n">
        <v>253.879</v>
      </c>
      <c r="O14" s="0" t="n">
        <v>1140.12</v>
      </c>
      <c r="P14" s="0" t="n">
        <v>1765.118</v>
      </c>
      <c r="S14" s="0" t="n">
        <v>649.436</v>
      </c>
      <c r="T14" s="0" t="n">
        <v>28.694</v>
      </c>
      <c r="U14" s="0" t="n">
        <v>14.477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2545.641</v>
      </c>
      <c r="C15" s="0" t="n">
        <v>1171.551</v>
      </c>
      <c r="D15" s="0" t="n">
        <v>1374.09</v>
      </c>
      <c r="E15" s="0" t="n">
        <v>53.9781532431321</v>
      </c>
      <c r="F15" s="0" t="n">
        <v>504.205</v>
      </c>
      <c r="G15" s="0" t="n">
        <v>19.806602737778</v>
      </c>
      <c r="I15" s="0" t="n">
        <v>382.575</v>
      </c>
      <c r="J15" s="0" t="n">
        <v>15.0286312956147</v>
      </c>
      <c r="K15" s="0" t="n">
        <v>13.64</v>
      </c>
      <c r="L15" s="0" t="n">
        <v>596.217</v>
      </c>
      <c r="M15" s="0" t="n">
        <v>32.218</v>
      </c>
      <c r="N15" s="0" t="n">
        <v>563.999</v>
      </c>
      <c r="O15" s="0" t="n">
        <v>1444.225</v>
      </c>
      <c r="P15" s="0" t="n">
        <v>2167.705</v>
      </c>
      <c r="S15" s="0" t="n">
        <v>1089.361</v>
      </c>
      <c r="T15" s="0" t="n">
        <v>28.406</v>
      </c>
      <c r="U15" s="0" t="n">
        <v>22.701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3150.339</v>
      </c>
      <c r="C16" s="0" t="n">
        <v>1542.788</v>
      </c>
      <c r="D16" s="0" t="n">
        <v>1607.551</v>
      </c>
      <c r="E16" s="0" t="n">
        <v>51.0278735082161</v>
      </c>
      <c r="F16" s="0" t="n">
        <v>564.707</v>
      </c>
      <c r="G16" s="0" t="n">
        <v>17.9252772479406</v>
      </c>
      <c r="I16" s="0" t="n">
        <v>451.949</v>
      </c>
      <c r="J16" s="0" t="n">
        <v>14.3460433940601</v>
      </c>
      <c r="K16" s="0" t="n">
        <v>16.43</v>
      </c>
      <c r="L16" s="0" t="n">
        <v>172.353</v>
      </c>
      <c r="M16" s="0" t="n">
        <v>51.017</v>
      </c>
      <c r="N16" s="0" t="n">
        <v>121.336</v>
      </c>
      <c r="O16" s="0" t="n">
        <v>1538.825</v>
      </c>
      <c r="P16" s="0" t="n">
        <v>2332.25</v>
      </c>
      <c r="S16" s="0" t="n">
        <v>843.527</v>
      </c>
      <c r="T16" s="0" t="n">
        <v>27.789</v>
      </c>
      <c r="U16" s="0" t="n">
        <v>26.816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3627.286</v>
      </c>
      <c r="C17" s="0" t="n">
        <v>1801.916</v>
      </c>
      <c r="D17" s="0" t="n">
        <v>1825.37</v>
      </c>
      <c r="E17" s="0" t="n">
        <v>50.3232995688788</v>
      </c>
      <c r="F17" s="0" t="n">
        <v>652.751</v>
      </c>
      <c r="G17" s="0" t="n">
        <v>17.9955757555373</v>
      </c>
      <c r="I17" s="0" t="n">
        <v>516.822</v>
      </c>
      <c r="J17" s="0" t="n">
        <v>14.2481734277363</v>
      </c>
      <c r="K17" s="0" t="n">
        <v>3.25</v>
      </c>
      <c r="L17" s="0" t="n">
        <v>537.422</v>
      </c>
      <c r="M17" s="0" t="n">
        <v>81.025</v>
      </c>
      <c r="N17" s="0" t="n">
        <v>456.397</v>
      </c>
      <c r="O17" s="0" t="n">
        <v>1765.733</v>
      </c>
      <c r="P17" s="0" t="n">
        <v>2556.203</v>
      </c>
      <c r="S17" s="0" t="n">
        <v>981.795</v>
      </c>
      <c r="T17" s="0" t="n">
        <v>160.111</v>
      </c>
      <c r="U17" s="0" t="n">
        <v>26.897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4287.763</v>
      </c>
      <c r="C18" s="0" t="n">
        <v>1902.275</v>
      </c>
      <c r="D18" s="0" t="n">
        <v>2385.488</v>
      </c>
      <c r="E18" s="0" t="n">
        <v>55.6347913818931</v>
      </c>
      <c r="F18" s="0" t="n">
        <v>927.514</v>
      </c>
      <c r="G18" s="0" t="n">
        <v>21.6316526822961</v>
      </c>
      <c r="I18" s="0" t="n">
        <v>759.563</v>
      </c>
      <c r="J18" s="0" t="n">
        <v>17.7146684646516</v>
      </c>
      <c r="K18" s="0" t="n">
        <v>4.89</v>
      </c>
      <c r="L18" s="0" t="n">
        <v>1033.184</v>
      </c>
      <c r="M18" s="0" t="n">
        <v>89.365</v>
      </c>
      <c r="N18" s="0" t="n">
        <v>943.819</v>
      </c>
      <c r="O18" s="0" t="n">
        <v>2107.468</v>
      </c>
      <c r="P18" s="0" t="n">
        <v>3135.579</v>
      </c>
      <c r="S18" s="0" t="n">
        <v>1502.051</v>
      </c>
      <c r="T18" s="0" t="n">
        <v>156.285</v>
      </c>
      <c r="U18" s="0" t="n">
        <v>37.288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4985.612</v>
      </c>
      <c r="C19" s="0" t="n">
        <v>2099.949</v>
      </c>
      <c r="D19" s="0" t="n">
        <v>2885.663</v>
      </c>
      <c r="E19" s="0" t="n">
        <v>57.879814955516</v>
      </c>
      <c r="F19" s="0" t="n">
        <v>1179.092</v>
      </c>
      <c r="G19" s="0" t="n">
        <v>23.6498949376727</v>
      </c>
      <c r="I19" s="0" t="n">
        <v>966.091</v>
      </c>
      <c r="J19" s="0" t="n">
        <v>19.3775809268752</v>
      </c>
      <c r="K19" s="0" t="n">
        <v>6.36</v>
      </c>
      <c r="L19" s="0" t="n">
        <v>1044.523</v>
      </c>
      <c r="M19" s="0" t="n">
        <v>86.171</v>
      </c>
      <c r="N19" s="0" t="n">
        <v>958.352</v>
      </c>
      <c r="O19" s="0" t="n">
        <v>2513.013</v>
      </c>
      <c r="P19" s="0" t="n">
        <v>3570.252</v>
      </c>
      <c r="S19" s="0" t="n">
        <v>1889.188</v>
      </c>
      <c r="T19" s="0" t="n">
        <v>152.67</v>
      </c>
      <c r="U19" s="0" t="n">
        <v>37.943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5472.296</v>
      </c>
      <c r="C20" s="0" t="n">
        <v>2314.57</v>
      </c>
      <c r="D20" s="0" t="n">
        <v>3157.726</v>
      </c>
      <c r="E20" s="0" t="n">
        <v>57.7038595865428</v>
      </c>
      <c r="F20" s="0" t="n">
        <v>1262.903</v>
      </c>
      <c r="G20" s="0" t="n">
        <v>23.0781193122594</v>
      </c>
      <c r="I20" s="0" t="n">
        <v>1024.071</v>
      </c>
      <c r="J20" s="0" t="n">
        <v>18.713735514307</v>
      </c>
      <c r="K20" s="0" t="n">
        <v>7.04</v>
      </c>
      <c r="L20" s="0" t="n">
        <v>1181.955</v>
      </c>
      <c r="M20" s="0" t="n">
        <v>84.623</v>
      </c>
      <c r="N20" s="0" t="n">
        <v>1097.332</v>
      </c>
      <c r="O20" s="0" t="n">
        <v>2499.638</v>
      </c>
      <c r="P20" s="0" t="n">
        <v>3687.765</v>
      </c>
      <c r="S20" s="0" t="n">
        <v>1907.249</v>
      </c>
      <c r="T20" s="0" t="n">
        <v>145.805</v>
      </c>
      <c r="U20" s="0" t="n">
        <v>44.835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78.67</v>
      </c>
    </row>
    <row r="3" customFormat="false" ht="15" hidden="false" customHeight="false" outlineLevel="0" collapsed="false">
      <c r="A3" s="0" t="s">
        <v>85</v>
      </c>
      <c r="B3" s="3" t="n">
        <v>136.71</v>
      </c>
    </row>
    <row r="4" customFormat="false" ht="15" hidden="false" customHeight="false" outlineLevel="0" collapsed="false">
      <c r="A4" s="0" t="s">
        <v>86</v>
      </c>
      <c r="B4" s="3" t="n">
        <v>-1602.589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5472.296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4</v>
      </c>
      <c r="D13" s="3" t="n">
        <v>-4</v>
      </c>
      <c r="E13" s="3" t="n">
        <v>-5</v>
      </c>
      <c r="F13" s="3" t="n">
        <v>0</v>
      </c>
      <c r="G13" s="3" t="n">
        <v>2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106</v>
      </c>
      <c r="C14" s="3" t="n">
        <v>22.5</v>
      </c>
      <c r="D14" s="3" t="n">
        <v>20</v>
      </c>
      <c r="E14" s="3" t="n">
        <v>18.5</v>
      </c>
      <c r="F14" s="3" t="n">
        <v>18.5</v>
      </c>
      <c r="G14" s="3" t="n">
        <v>19</v>
      </c>
      <c r="H14" s="3" t="n">
        <v>19</v>
      </c>
      <c r="I14" s="3" t="n">
        <v>19</v>
      </c>
      <c r="J14" s="3" t="n">
        <v>19</v>
      </c>
      <c r="K14" s="3" t="n">
        <v>19</v>
      </c>
      <c r="L14" s="3" t="n">
        <v>19</v>
      </c>
    </row>
    <row r="15" customFormat="false" ht="15" hidden="false" customHeight="false" outlineLevel="0" collapsed="false">
      <c r="A15" s="0" t="s">
        <v>107</v>
      </c>
      <c r="C15" s="3" t="n">
        <v>0.95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1.4</v>
      </c>
      <c r="D17" s="3" t="n">
        <v>1.5</v>
      </c>
      <c r="E17" s="3" t="n">
        <v>1.6</v>
      </c>
      <c r="F17" s="3" t="n">
        <v>1.6</v>
      </c>
      <c r="G17" s="3" t="n">
        <v>1.6</v>
      </c>
      <c r="H17" s="3" t="n">
        <v>1.6</v>
      </c>
      <c r="I17" s="3" t="n">
        <v>1.6</v>
      </c>
      <c r="J17" s="3" t="n">
        <v>1.6</v>
      </c>
      <c r="K17" s="3" t="n">
        <v>1.6</v>
      </c>
      <c r="L17" s="3" t="n">
        <v>1.6</v>
      </c>
    </row>
    <row r="18" customFormat="false" ht="15" hidden="false" customHeight="false" outlineLevel="0" collapsed="false">
      <c r="A18" s="0" t="s">
        <v>110</v>
      </c>
      <c r="C18" s="3" t="n">
        <v>1.8</v>
      </c>
      <c r="D18" s="3" t="n">
        <v>1.8</v>
      </c>
      <c r="E18" s="3" t="n">
        <v>1.8</v>
      </c>
      <c r="F18" s="3" t="n">
        <v>1.8</v>
      </c>
      <c r="G18" s="3" t="n">
        <v>1.8</v>
      </c>
      <c r="H18" s="3" t="n">
        <v>1.8</v>
      </c>
      <c r="I18" s="3" t="n">
        <v>1.8</v>
      </c>
      <c r="J18" s="3" t="n">
        <v>1.8</v>
      </c>
      <c r="K18" s="3" t="n">
        <v>1.8</v>
      </c>
      <c r="L18" s="3" t="n">
        <v>1.8</v>
      </c>
    </row>
    <row r="19" customFormat="false" ht="15" hidden="false" customHeight="false" outlineLevel="0" collapsed="false">
      <c r="A19" s="0" t="s">
        <v>111</v>
      </c>
      <c r="C19" s="3" t="n">
        <v>22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112</v>
      </c>
      <c r="B20" s="3" t="n">
        <v>9.5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11</v>
      </c>
    </row>
    <row r="23" customFormat="false" ht="15" hidden="false" customHeight="false" outlineLevel="0" collapsed="false">
      <c r="A23" s="0" t="s">
        <v>115</v>
      </c>
      <c r="B23" s="3" t="n">
        <v>-8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7.5</v>
      </c>
      <c r="D27" s="3" t="n">
        <v>6.5</v>
      </c>
      <c r="E27" s="3" t="n">
        <v>6</v>
      </c>
      <c r="F27" s="3" t="n">
        <v>5.5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106</v>
      </c>
      <c r="C28" s="3" t="n">
        <v>23.4</v>
      </c>
      <c r="D28" s="3" t="n">
        <v>23.2</v>
      </c>
      <c r="E28" s="3" t="n">
        <v>23</v>
      </c>
      <c r="F28" s="3" t="n">
        <v>22.8</v>
      </c>
      <c r="G28" s="3" t="n">
        <v>22.6</v>
      </c>
      <c r="H28" s="3" t="n">
        <v>22.5</v>
      </c>
      <c r="I28" s="3" t="n">
        <v>22.5</v>
      </c>
      <c r="J28" s="3" t="n">
        <v>22.5</v>
      </c>
      <c r="K28" s="3" t="n">
        <v>22.5</v>
      </c>
      <c r="L28" s="3" t="n">
        <v>22.5</v>
      </c>
    </row>
    <row r="29" customFormat="false" ht="15" hidden="false" customHeight="false" outlineLevel="0" collapsed="false">
      <c r="A29" s="0" t="s">
        <v>107</v>
      </c>
      <c r="C29" s="3" t="n">
        <v>0.95</v>
      </c>
      <c r="D29" s="3" t="n">
        <v>0.95</v>
      </c>
      <c r="E29" s="3" t="n">
        <v>0.95</v>
      </c>
      <c r="F29" s="3" t="n">
        <v>0.95</v>
      </c>
      <c r="G29" s="3" t="n">
        <v>0.95</v>
      </c>
      <c r="H29" s="3" t="n">
        <v>0.95</v>
      </c>
      <c r="I29" s="3" t="n">
        <v>0.95</v>
      </c>
      <c r="J29" s="3" t="n">
        <v>0.95</v>
      </c>
      <c r="K29" s="3" t="n">
        <v>0.95</v>
      </c>
      <c r="L29" s="3" t="n">
        <v>0.95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1.4</v>
      </c>
      <c r="D31" s="3" t="n">
        <v>1.4</v>
      </c>
      <c r="E31" s="3" t="n">
        <v>1.4</v>
      </c>
      <c r="F31" s="3" t="n">
        <v>1.4</v>
      </c>
      <c r="G31" s="3" t="n">
        <v>1.4</v>
      </c>
      <c r="H31" s="3" t="n">
        <v>1.4</v>
      </c>
      <c r="I31" s="3" t="n">
        <v>1.4</v>
      </c>
      <c r="J31" s="3" t="n">
        <v>1.4</v>
      </c>
      <c r="K31" s="3" t="n">
        <v>1.4</v>
      </c>
      <c r="L31" s="3" t="n">
        <v>1.4</v>
      </c>
    </row>
    <row r="32" customFormat="false" ht="15" hidden="false" customHeight="false" outlineLevel="0" collapsed="false">
      <c r="A32" s="0" t="s">
        <v>110</v>
      </c>
      <c r="C32" s="3" t="n">
        <v>1.8</v>
      </c>
      <c r="D32" s="3" t="n">
        <v>1.8</v>
      </c>
      <c r="E32" s="3" t="n">
        <v>1.8</v>
      </c>
      <c r="F32" s="3" t="n">
        <v>1.8</v>
      </c>
      <c r="G32" s="3" t="n">
        <v>1.8</v>
      </c>
      <c r="H32" s="3" t="n">
        <v>1.8</v>
      </c>
      <c r="I32" s="3" t="n">
        <v>1.8</v>
      </c>
      <c r="J32" s="3" t="n">
        <v>1.8</v>
      </c>
      <c r="K32" s="3" t="n">
        <v>1.8</v>
      </c>
      <c r="L32" s="3" t="n">
        <v>1.8</v>
      </c>
    </row>
    <row r="33" customFormat="false" ht="15" hidden="false" customHeight="false" outlineLevel="0" collapsed="false">
      <c r="A33" s="0" t="s">
        <v>111</v>
      </c>
      <c r="C33" s="3" t="n">
        <v>22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112</v>
      </c>
      <c r="B34" s="3" t="n">
        <v>9.5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13</v>
      </c>
    </row>
    <row r="37" customFormat="false" ht="15" hidden="false" customHeight="false" outlineLevel="0" collapsed="false">
      <c r="A37" s="0" t="s">
        <v>115</v>
      </c>
      <c r="B37" s="3" t="n">
        <v>-8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8.5</v>
      </c>
      <c r="D41" s="3" t="n">
        <v>9</v>
      </c>
      <c r="E41" s="3" t="n">
        <v>8.5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23.8</v>
      </c>
      <c r="D42" s="3" t="n">
        <v>24.3</v>
      </c>
      <c r="E42" s="3" t="n">
        <v>24.8</v>
      </c>
      <c r="F42" s="3" t="n">
        <v>25.2</v>
      </c>
      <c r="G42" s="3" t="n">
        <v>25.5</v>
      </c>
      <c r="H42" s="3" t="n">
        <v>25.5</v>
      </c>
      <c r="I42" s="3" t="n">
        <v>25.5</v>
      </c>
      <c r="J42" s="3" t="n">
        <v>25.5</v>
      </c>
      <c r="K42" s="3" t="n">
        <v>25.5</v>
      </c>
      <c r="L42" s="3" t="n">
        <v>25.5</v>
      </c>
    </row>
    <row r="43" customFormat="false" ht="15" hidden="false" customHeight="false" outlineLevel="0" collapsed="false">
      <c r="A43" s="0" t="s">
        <v>107</v>
      </c>
      <c r="C43" s="3" t="n">
        <v>0.95</v>
      </c>
      <c r="D43" s="3" t="n">
        <v>0.95</v>
      </c>
      <c r="E43" s="3" t="n">
        <v>0.95</v>
      </c>
      <c r="F43" s="3" t="n">
        <v>0.95</v>
      </c>
      <c r="G43" s="3" t="n">
        <v>0.95</v>
      </c>
      <c r="H43" s="3" t="n">
        <v>0.95</v>
      </c>
      <c r="I43" s="3" t="n">
        <v>0.95</v>
      </c>
      <c r="J43" s="3" t="n">
        <v>0.95</v>
      </c>
      <c r="K43" s="3" t="n">
        <v>0.95</v>
      </c>
      <c r="L43" s="3" t="n">
        <v>0.95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1.4</v>
      </c>
      <c r="D45" s="3" t="n">
        <v>1.4</v>
      </c>
      <c r="E45" s="3" t="n">
        <v>1.4</v>
      </c>
      <c r="F45" s="3" t="n">
        <v>1.4</v>
      </c>
      <c r="G45" s="3" t="n">
        <v>1.4</v>
      </c>
      <c r="H45" s="3" t="n">
        <v>1.4</v>
      </c>
      <c r="I45" s="3" t="n">
        <v>1.4</v>
      </c>
      <c r="J45" s="3" t="n">
        <v>1.4</v>
      </c>
      <c r="K45" s="3" t="n">
        <v>1.4</v>
      </c>
      <c r="L45" s="3" t="n">
        <v>1.4</v>
      </c>
    </row>
    <row r="46" customFormat="false" ht="15" hidden="false" customHeight="false" outlineLevel="0" collapsed="false">
      <c r="A46" s="0" t="s">
        <v>110</v>
      </c>
      <c r="C46" s="3" t="n">
        <v>1.8</v>
      </c>
      <c r="D46" s="3" t="n">
        <v>1.8</v>
      </c>
      <c r="E46" s="3" t="n">
        <v>1.8</v>
      </c>
      <c r="F46" s="3" t="n">
        <v>1.8</v>
      </c>
      <c r="G46" s="3" t="n">
        <v>1.8</v>
      </c>
      <c r="H46" s="3" t="n">
        <v>1.8</v>
      </c>
      <c r="I46" s="3" t="n">
        <v>1.8</v>
      </c>
      <c r="J46" s="3" t="n">
        <v>1.8</v>
      </c>
      <c r="K46" s="3" t="n">
        <v>1.8</v>
      </c>
      <c r="L46" s="3" t="n">
        <v>1.8</v>
      </c>
    </row>
    <row r="47" customFormat="false" ht="15" hidden="false" customHeight="false" outlineLevel="0" collapsed="false">
      <c r="A47" s="0" t="s">
        <v>111</v>
      </c>
      <c r="C47" s="3" t="n">
        <v>22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112</v>
      </c>
      <c r="B48" s="3" t="n">
        <v>9.5</v>
      </c>
    </row>
    <row r="49" customFormat="false" ht="15" hidden="false" customHeight="false" outlineLevel="0" collapsed="false">
      <c r="A49" s="0" t="s">
        <v>113</v>
      </c>
      <c r="B49" s="3" t="n">
        <v>2.5</v>
      </c>
    </row>
    <row r="50" customFormat="false" ht="15" hidden="false" customHeight="false" outlineLevel="0" collapsed="false">
      <c r="A50" s="0" t="s">
        <v>114</v>
      </c>
      <c r="B50" s="3" t="n">
        <v>15</v>
      </c>
    </row>
    <row r="51" customFormat="false" ht="15" hidden="false" customHeight="false" outlineLevel="0" collapsed="false">
      <c r="A51" s="0" t="s">
        <v>115</v>
      </c>
      <c r="B51" s="3" t="n">
        <v>-8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4</v>
      </c>
      <c r="D5" s="4" t="n">
        <f aca="false">Assumptions!D13</f>
        <v>-4</v>
      </c>
      <c r="E5" s="4" t="n">
        <f aca="false">Assumptions!E13</f>
        <v>-5</v>
      </c>
      <c r="F5" s="4" t="n">
        <f aca="false">Assumptions!F13</f>
        <v>0</v>
      </c>
      <c r="G5" s="4" t="n">
        <f aca="false">Assumptions!G13</f>
        <v>2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5472.296</v>
      </c>
      <c r="C6" s="0" t="n">
        <f aca="false">B6*(1+C5/100)</f>
        <v>5691.18784</v>
      </c>
      <c r="D6" s="0" t="n">
        <f aca="false">C6*(1+D5/100)</f>
        <v>5463.5403264</v>
      </c>
      <c r="E6" s="0" t="n">
        <f aca="false">D6*(1+E5/100)</f>
        <v>5190.36331008</v>
      </c>
      <c r="F6" s="0" t="n">
        <f aca="false">E6*(1+F5/100)</f>
        <v>5190.36331008</v>
      </c>
      <c r="G6" s="0" t="n">
        <f aca="false">F6*(1+G5/100)</f>
        <v>5294.1705762816</v>
      </c>
      <c r="H6" s="0" t="n">
        <f aca="false">G6*(1+H5/100)</f>
        <v>5426.52484068864</v>
      </c>
      <c r="I6" s="0" t="n">
        <f aca="false">H6*(1+I5/100)</f>
        <v>5562.18796170586</v>
      </c>
      <c r="J6" s="0" t="n">
        <f aca="false">I6*(1+J5/100)</f>
        <v>5701.2426607485</v>
      </c>
      <c r="K6" s="0" t="n">
        <f aca="false">J6*(1+K5/100)</f>
        <v>5843.77372726721</v>
      </c>
      <c r="L6" s="0" t="n">
        <f aca="false">K6*(1+L5/100)</f>
        <v>5989.86807044889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22.5</v>
      </c>
      <c r="D7" s="4" t="n">
        <f aca="false">Assumptions!D14</f>
        <v>20</v>
      </c>
      <c r="E7" s="4" t="n">
        <f aca="false">Assumptions!E14</f>
        <v>18.5</v>
      </c>
      <c r="F7" s="4" t="n">
        <f aca="false">Assumptions!F14</f>
        <v>18.5</v>
      </c>
      <c r="G7" s="4" t="n">
        <f aca="false">Assumptions!G14</f>
        <v>19</v>
      </c>
      <c r="H7" s="4" t="n">
        <f aca="false">Assumptions!H14</f>
        <v>19</v>
      </c>
      <c r="I7" s="4" t="n">
        <f aca="false">Assumptions!I14</f>
        <v>19</v>
      </c>
      <c r="J7" s="4" t="n">
        <f aca="false">Assumptions!J14</f>
        <v>19</v>
      </c>
      <c r="K7" s="4" t="n">
        <f aca="false">Assumptions!K14</f>
        <v>19</v>
      </c>
      <c r="L7" s="4" t="n">
        <f aca="false">Assumptions!L14</f>
        <v>19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1280.517264</v>
      </c>
      <c r="D8" s="0" t="n">
        <f aca="false">D6*D7/100</f>
        <v>1092.70806528</v>
      </c>
      <c r="E8" s="0" t="n">
        <f aca="false">E6*E7/100</f>
        <v>960.2172123648</v>
      </c>
      <c r="F8" s="0" t="n">
        <f aca="false">F6*F7/100</f>
        <v>960.2172123648</v>
      </c>
      <c r="G8" s="0" t="n">
        <f aca="false">G6*G7/100</f>
        <v>1005.8924094935</v>
      </c>
      <c r="H8" s="0" t="n">
        <f aca="false">H6*H7/100</f>
        <v>1031.03971973084</v>
      </c>
      <c r="I8" s="0" t="n">
        <f aca="false">I6*I7/100</f>
        <v>1056.81571272411</v>
      </c>
      <c r="J8" s="0" t="n">
        <f aca="false">J6*J7/100</f>
        <v>1083.23610554222</v>
      </c>
      <c r="K8" s="0" t="n">
        <f aca="false">K6*K7/100</f>
        <v>1110.31700818077</v>
      </c>
      <c r="L8" s="0" t="n">
        <f aca="false">L6*L7/100</f>
        <v>1138.07493338529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0.95</v>
      </c>
      <c r="D9" s="4" t="n">
        <f aca="false">Assumptions!D15</f>
        <v>1</v>
      </c>
      <c r="E9" s="4" t="n">
        <f aca="false">Assumptions!E15</f>
        <v>1</v>
      </c>
      <c r="F9" s="4" t="n">
        <f aca="false">Assumptions!F15</f>
        <v>1</v>
      </c>
      <c r="G9" s="4" t="n">
        <f aca="false">Assumptions!G15</f>
        <v>1</v>
      </c>
      <c r="H9" s="4" t="n">
        <f aca="false">Assumptions!H15</f>
        <v>1</v>
      </c>
      <c r="I9" s="4" t="n">
        <f aca="false">Assumptions!I15</f>
        <v>1</v>
      </c>
      <c r="J9" s="4" t="n">
        <f aca="false">Assumptions!J15</f>
        <v>1</v>
      </c>
      <c r="K9" s="4" t="n">
        <f aca="false">Assumptions!K15</f>
        <v>1</v>
      </c>
      <c r="L9" s="4" t="n">
        <f aca="false">Assumptions!L15</f>
        <v>1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-54.06628448</v>
      </c>
      <c r="D10" s="0" t="n">
        <f aca="false">-D6*D9/100</f>
        <v>-54.635403264</v>
      </c>
      <c r="E10" s="0" t="n">
        <f aca="false">-E6*E9/100</f>
        <v>-51.9036331008</v>
      </c>
      <c r="F10" s="0" t="n">
        <f aca="false">-F6*F9/100</f>
        <v>-51.9036331008</v>
      </c>
      <c r="G10" s="0" t="n">
        <f aca="false">-G6*G9/100</f>
        <v>-52.941705762816</v>
      </c>
      <c r="H10" s="0" t="n">
        <f aca="false">-H6*H9/100</f>
        <v>-54.2652484068864</v>
      </c>
      <c r="I10" s="0" t="n">
        <f aca="false">-I6*I9/100</f>
        <v>-55.6218796170586</v>
      </c>
      <c r="J10" s="0" t="n">
        <f aca="false">-J6*J9/100</f>
        <v>-57.012426607485</v>
      </c>
      <c r="K10" s="0" t="n">
        <f aca="false">-K6*K9/100</f>
        <v>-58.4377372726721</v>
      </c>
      <c r="L10" s="0" t="n">
        <f aca="false">-L6*L9/100</f>
        <v>-59.8986807044889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1226.45097952</v>
      </c>
      <c r="D11" s="0" t="n">
        <f aca="false">D8+D10+D24</f>
        <v>1038.072662016</v>
      </c>
      <c r="E11" s="0" t="n">
        <f aca="false">E8+E10+E24</f>
        <v>908.313579264</v>
      </c>
      <c r="F11" s="0" t="n">
        <f aca="false">F8+F10+F24</f>
        <v>908.313579264</v>
      </c>
      <c r="G11" s="0" t="n">
        <f aca="false">G8+G10+G24</f>
        <v>952.950703730688</v>
      </c>
      <c r="H11" s="0" t="n">
        <f aca="false">H8+H10+H24</f>
        <v>976.774471323955</v>
      </c>
      <c r="I11" s="0" t="n">
        <f aca="false">I8+I10+I24</f>
        <v>1001.19383310705</v>
      </c>
      <c r="J11" s="0" t="n">
        <f aca="false">J8+J10+J24</f>
        <v>1026.22367893473</v>
      </c>
      <c r="K11" s="0" t="n">
        <f aca="false">K8+K10+K24</f>
        <v>1051.8792709081</v>
      </c>
      <c r="L11" s="0" t="n">
        <f aca="false">L8+L10+L24</f>
        <v>1078.1762526808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-79.67662976</v>
      </c>
      <c r="D12" s="4" t="n">
        <f aca="false">-D6*Assumptions!D17/100</f>
        <v>-81.953104896</v>
      </c>
      <c r="E12" s="4" t="n">
        <f aca="false">-E6*Assumptions!E17/100</f>
        <v>-83.04581296128</v>
      </c>
      <c r="F12" s="4" t="n">
        <f aca="false">-F6*Assumptions!F17/100</f>
        <v>-83.04581296128</v>
      </c>
      <c r="G12" s="4" t="n">
        <f aca="false">-G6*Assumptions!G17/100</f>
        <v>-84.7067292205056</v>
      </c>
      <c r="H12" s="4" t="n">
        <f aca="false">-H6*Assumptions!H17/100</f>
        <v>-86.8243974510182</v>
      </c>
      <c r="I12" s="4" t="n">
        <f aca="false">-I6*Assumptions!I17/100</f>
        <v>-88.9950073872937</v>
      </c>
      <c r="J12" s="4" t="n">
        <f aca="false">-J6*Assumptions!J17/100</f>
        <v>-91.219882571976</v>
      </c>
      <c r="K12" s="4" t="n">
        <f aca="false">-K6*Assumptions!K17/100</f>
        <v>-93.5003796362754</v>
      </c>
      <c r="L12" s="4" t="n">
        <f aca="false">-L6*Assumptions!L17/100</f>
        <v>-95.8378891271823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1146.77434976</v>
      </c>
      <c r="D13" s="0" t="n">
        <f aca="false">D11+D12</f>
        <v>956.11955712</v>
      </c>
      <c r="E13" s="0" t="n">
        <f aca="false">E11+E12</f>
        <v>825.26776630272</v>
      </c>
      <c r="F13" s="0" t="n">
        <f aca="false">F11+F12</f>
        <v>825.26776630272</v>
      </c>
      <c r="G13" s="0" t="n">
        <f aca="false">G11+G12</f>
        <v>868.243974510183</v>
      </c>
      <c r="H13" s="0" t="n">
        <f aca="false">H11+H12</f>
        <v>889.950073872937</v>
      </c>
      <c r="I13" s="0" t="n">
        <f aca="false">I11+I12</f>
        <v>912.19882571976</v>
      </c>
      <c r="J13" s="0" t="n">
        <f aca="false">J11+J12</f>
        <v>935.003796362754</v>
      </c>
      <c r="K13" s="0" t="n">
        <f aca="false">K11+K12</f>
        <v>958.378891271823</v>
      </c>
      <c r="L13" s="0" t="n">
        <f aca="false">L11+L12</f>
        <v>982.338363553618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22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894.4839928128</v>
      </c>
      <c r="D15" s="0" t="n">
        <f aca="false">D13-MAX(0,D13)*D14/100</f>
        <v>736.2120589824</v>
      </c>
      <c r="E15" s="0" t="n">
        <f aca="false">E13-MAX(0,E13)*E14/100</f>
        <v>635.456180053094</v>
      </c>
      <c r="F15" s="0" t="n">
        <f aca="false">F13-MAX(0,F13)*F14/100</f>
        <v>635.456180053094</v>
      </c>
      <c r="G15" s="0" t="n">
        <f aca="false">G13-MAX(0,G13)*G14/100</f>
        <v>668.547860372841</v>
      </c>
      <c r="H15" s="0" t="n">
        <f aca="false">H13-MAX(0,H13)*H14/100</f>
        <v>685.261556882162</v>
      </c>
      <c r="I15" s="0" t="n">
        <f aca="false">I13-MAX(0,I13)*I14/100</f>
        <v>702.393095804215</v>
      </c>
      <c r="J15" s="0" t="n">
        <f aca="false">J13-MAX(0,J13)*J14/100</f>
        <v>719.952923199321</v>
      </c>
      <c r="K15" s="0" t="n">
        <f aca="false">K13-MAX(0,K13)*K14/100</f>
        <v>737.951746279304</v>
      </c>
      <c r="L15" s="0" t="n">
        <f aca="false">L13-MAX(0,L13)*L14/100</f>
        <v>756.400539936286</v>
      </c>
    </row>
    <row r="16" customFormat="false" ht="15" hidden="false" customHeight="false" outlineLevel="0" collapsed="false">
      <c r="A16" s="0" t="s">
        <v>127</v>
      </c>
      <c r="C16" s="0" t="n">
        <f aca="false">-C12</f>
        <v>79.67662976</v>
      </c>
      <c r="D16" s="0" t="n">
        <f aca="false">-D12</f>
        <v>81.953104896</v>
      </c>
      <c r="E16" s="0" t="n">
        <f aca="false">-E12</f>
        <v>83.04581296128</v>
      </c>
      <c r="F16" s="0" t="n">
        <f aca="false">-F12</f>
        <v>83.04581296128</v>
      </c>
      <c r="G16" s="0" t="n">
        <f aca="false">-G12</f>
        <v>84.7067292205056</v>
      </c>
      <c r="H16" s="0" t="n">
        <f aca="false">-H12</f>
        <v>86.8243974510182</v>
      </c>
      <c r="I16" s="0" t="n">
        <f aca="false">-I12</f>
        <v>88.9950073872937</v>
      </c>
      <c r="J16" s="0" t="n">
        <f aca="false">-J12</f>
        <v>91.219882571976</v>
      </c>
      <c r="K16" s="0" t="n">
        <f aca="false">-K12</f>
        <v>93.5003796362754</v>
      </c>
      <c r="L16" s="0" t="n">
        <f aca="false">-L12</f>
        <v>95.8378891271823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-102.44138112</v>
      </c>
      <c r="D17" s="4" t="n">
        <f aca="false">-D6*Assumptions!D18/100</f>
        <v>-98.3437258752</v>
      </c>
      <c r="E17" s="4" t="n">
        <f aca="false">-E6*Assumptions!E18/100</f>
        <v>-93.42653958144</v>
      </c>
      <c r="F17" s="4" t="n">
        <f aca="false">-F6*Assumptions!F18/100</f>
        <v>-93.42653958144</v>
      </c>
      <c r="G17" s="4" t="n">
        <f aca="false">-G6*Assumptions!G18/100</f>
        <v>-95.2950703730688</v>
      </c>
      <c r="H17" s="4" t="n">
        <f aca="false">-H6*Assumptions!H18/100</f>
        <v>-97.6774471323955</v>
      </c>
      <c r="I17" s="4" t="n">
        <f aca="false">-I6*Assumptions!I18/100</f>
        <v>-100.119383310705</v>
      </c>
      <c r="J17" s="4" t="n">
        <f aca="false">-J6*Assumptions!J18/100</f>
        <v>-102.622367893473</v>
      </c>
      <c r="K17" s="4" t="n">
        <f aca="false">-K6*Assumptions!K18/100</f>
        <v>-105.18792709081</v>
      </c>
      <c r="L17" s="4" t="n">
        <f aca="false">-L6*Assumptions!L18/100</f>
        <v>-107.81762526808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-17.5113472</v>
      </c>
      <c r="D18" s="4" t="n">
        <f aca="false">(D6-C6)*Assumptions!$B$23/100</f>
        <v>18.211801088</v>
      </c>
      <c r="E18" s="4" t="n">
        <f aca="false">(E6-D6)*Assumptions!$B$23/100</f>
        <v>21.8541613056</v>
      </c>
      <c r="F18" s="4" t="n">
        <f aca="false">(F6-E6)*Assumptions!$B$23/100</f>
        <v>-0</v>
      </c>
      <c r="G18" s="4" t="n">
        <f aca="false">(G6-F6)*Assumptions!$B$23/100</f>
        <v>-8.30458129612802</v>
      </c>
      <c r="H18" s="4" t="n">
        <f aca="false">(H6-G6)*Assumptions!$B$23/100</f>
        <v>-10.5883411525632</v>
      </c>
      <c r="I18" s="4" t="n">
        <f aca="false">(I6-H6)*Assumptions!$B$23/100</f>
        <v>-10.8530496813772</v>
      </c>
      <c r="J18" s="4" t="n">
        <f aca="false">(J6-I6)*Assumptions!$B$23/100</f>
        <v>-11.1243759234116</v>
      </c>
      <c r="K18" s="4" t="n">
        <f aca="false">(K6-J6)*Assumptions!$B$23/100</f>
        <v>-11.4024853214969</v>
      </c>
      <c r="L18" s="4" t="n">
        <f aca="false">(L6-K6)*Assumptions!$B$23/100</f>
        <v>-11.6875474545344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854.2078942528</v>
      </c>
      <c r="D19" s="0" t="n">
        <f aca="false">D15+D16+D17+D18</f>
        <v>738.0332390912</v>
      </c>
      <c r="E19" s="0" t="n">
        <f aca="false">E15+E16+E17+E18</f>
        <v>646.929614738534</v>
      </c>
      <c r="F19" s="0" t="n">
        <f aca="false">F15+F16+F17+F18</f>
        <v>625.075453432934</v>
      </c>
      <c r="G19" s="0" t="n">
        <f aca="false">G15+G16+G17+G18</f>
        <v>649.654937924149</v>
      </c>
      <c r="H19" s="0" t="n">
        <f aca="false">H15+H16+H17+H18</f>
        <v>663.820166048221</v>
      </c>
      <c r="I19" s="0" t="n">
        <f aca="false">I15+I16+I17+I18</f>
        <v>680.415670199427</v>
      </c>
      <c r="J19" s="0" t="n">
        <f aca="false">J15+J16+J17+J18</f>
        <v>697.426061954412</v>
      </c>
      <c r="K19" s="0" t="n">
        <f aca="false">K15+K16+K17+K18</f>
        <v>714.861713503272</v>
      </c>
      <c r="L19" s="0" t="n">
        <f aca="false">L15+L16+L17+L18</f>
        <v>732.733256340854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780.098533564201</v>
      </c>
      <c r="D21" s="0" t="n">
        <f aca="false">D19*D20</f>
        <v>615.527815592836</v>
      </c>
      <c r="E21" s="0" t="n">
        <f aca="false">E19*E20</f>
        <v>492.736432627411</v>
      </c>
      <c r="F21" s="0" t="n">
        <f aca="false">F19*F20</f>
        <v>434.786416895578</v>
      </c>
      <c r="G21" s="0" t="n">
        <f aca="false">G19*G20</f>
        <v>412.67878945639</v>
      </c>
      <c r="H21" s="0" t="n">
        <f aca="false">H19*H20</f>
        <v>385.09309063546</v>
      </c>
      <c r="I21" s="0" t="n">
        <f aca="false">I19*I20</f>
        <v>360.475267489814</v>
      </c>
      <c r="J21" s="0" t="n">
        <f aca="false">J19*J20</f>
        <v>337.431186463068</v>
      </c>
      <c r="K21" s="0" t="n">
        <f aca="false">K19*K20</f>
        <v>315.860243036205</v>
      </c>
      <c r="L21" s="0" t="n">
        <f aca="false">L19*L20</f>
        <v>295.668264029325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4430.35603979029</v>
      </c>
    </row>
    <row r="31" customFormat="false" ht="15" hidden="false" customHeight="false" outlineLevel="0" collapsed="false">
      <c r="A31" s="0" t="s">
        <v>136</v>
      </c>
      <c r="B31" s="0" t="n">
        <f aca="false">L19</f>
        <v>732.733256340854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9965.17228623562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8060.06581974939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8060.06581974939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3252.35090432257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7682.70694411286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9285.29594411286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67.9196543348172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-0.136651146119014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342.730033686488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328.71155706483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72.8310843015447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5749.13785744362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48.170473002191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7.5</v>
      </c>
      <c r="D5" s="4" t="n">
        <f aca="false">Assumptions!D27</f>
        <v>6.5</v>
      </c>
      <c r="E5" s="4" t="n">
        <f aca="false">Assumptions!E27</f>
        <v>6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5472.296</v>
      </c>
      <c r="C6" s="0" t="n">
        <f aca="false">B6*(1+C5/100)</f>
        <v>5882.7182</v>
      </c>
      <c r="D6" s="0" t="n">
        <f aca="false">C6*(1+D5/100)</f>
        <v>6265.094883</v>
      </c>
      <c r="E6" s="0" t="n">
        <f aca="false">D6*(1+E5/100)</f>
        <v>6641.00057598</v>
      </c>
      <c r="F6" s="0" t="n">
        <f aca="false">E6*(1+F5/100)</f>
        <v>7006.2556076589</v>
      </c>
      <c r="G6" s="0" t="n">
        <f aca="false">F6*(1+G5/100)</f>
        <v>7356.56838804185</v>
      </c>
      <c r="H6" s="0" t="n">
        <f aca="false">G6*(1+H5/100)</f>
        <v>7687.61396550373</v>
      </c>
      <c r="I6" s="0" t="n">
        <f aca="false">H6*(1+I5/100)</f>
        <v>7995.11852412388</v>
      </c>
      <c r="J6" s="0" t="n">
        <f aca="false">I6*(1+J5/100)</f>
        <v>8274.94767246821</v>
      </c>
      <c r="K6" s="0" t="n">
        <f aca="false">J6*(1+K5/100)</f>
        <v>8523.19610264226</v>
      </c>
      <c r="L6" s="0" t="n">
        <f aca="false">K6*(1+L5/100)</f>
        <v>8778.89198572153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23.4</v>
      </c>
      <c r="D7" s="4" t="n">
        <f aca="false">Assumptions!D28</f>
        <v>23.2</v>
      </c>
      <c r="E7" s="4" t="n">
        <f aca="false">Assumptions!E28</f>
        <v>23</v>
      </c>
      <c r="F7" s="4" t="n">
        <f aca="false">Assumptions!F28</f>
        <v>22.8</v>
      </c>
      <c r="G7" s="4" t="n">
        <f aca="false">Assumptions!G28</f>
        <v>22.6</v>
      </c>
      <c r="H7" s="4" t="n">
        <f aca="false">Assumptions!H28</f>
        <v>22.5</v>
      </c>
      <c r="I7" s="4" t="n">
        <f aca="false">Assumptions!I28</f>
        <v>22.5</v>
      </c>
      <c r="J7" s="4" t="n">
        <f aca="false">Assumptions!J28</f>
        <v>22.5</v>
      </c>
      <c r="K7" s="4" t="n">
        <f aca="false">Assumptions!K28</f>
        <v>22.5</v>
      </c>
      <c r="L7" s="4" t="n">
        <f aca="false">Assumptions!L28</f>
        <v>22.5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1376.5560588</v>
      </c>
      <c r="D8" s="0" t="n">
        <f aca="false">D6*D7/100</f>
        <v>1453.502012856</v>
      </c>
      <c r="E8" s="0" t="n">
        <f aca="false">E6*E7/100</f>
        <v>1527.4301324754</v>
      </c>
      <c r="F8" s="0" t="n">
        <f aca="false">F6*F7/100</f>
        <v>1597.42627854623</v>
      </c>
      <c r="G8" s="0" t="n">
        <f aca="false">G6*G7/100</f>
        <v>1662.58445569746</v>
      </c>
      <c r="H8" s="0" t="n">
        <f aca="false">H6*H7/100</f>
        <v>1729.71314223834</v>
      </c>
      <c r="I8" s="0" t="n">
        <f aca="false">I6*I7/100</f>
        <v>1798.90166792787</v>
      </c>
      <c r="J8" s="0" t="n">
        <f aca="false">J6*J7/100</f>
        <v>1861.86322630535</v>
      </c>
      <c r="K8" s="0" t="n">
        <f aca="false">K6*K7/100</f>
        <v>1917.71912309451</v>
      </c>
      <c r="L8" s="0" t="n">
        <f aca="false">L6*L7/100</f>
        <v>1975.25069678734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0.95</v>
      </c>
      <c r="D9" s="4" t="n">
        <f aca="false">Assumptions!D29</f>
        <v>0.95</v>
      </c>
      <c r="E9" s="4" t="n">
        <f aca="false">Assumptions!E29</f>
        <v>0.95</v>
      </c>
      <c r="F9" s="4" t="n">
        <f aca="false">Assumptions!F29</f>
        <v>0.95</v>
      </c>
      <c r="G9" s="4" t="n">
        <f aca="false">Assumptions!G29</f>
        <v>0.95</v>
      </c>
      <c r="H9" s="4" t="n">
        <f aca="false">Assumptions!H29</f>
        <v>0.95</v>
      </c>
      <c r="I9" s="4" t="n">
        <f aca="false">Assumptions!I29</f>
        <v>0.95</v>
      </c>
      <c r="J9" s="4" t="n">
        <f aca="false">Assumptions!J29</f>
        <v>0.95</v>
      </c>
      <c r="K9" s="4" t="n">
        <f aca="false">Assumptions!K29</f>
        <v>0.95</v>
      </c>
      <c r="L9" s="4" t="n">
        <f aca="false">Assumptions!L29</f>
        <v>0.95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-55.8858229</v>
      </c>
      <c r="D10" s="0" t="n">
        <f aca="false">-D6*D9/100</f>
        <v>-59.5184013885</v>
      </c>
      <c r="E10" s="0" t="n">
        <f aca="false">-E6*E9/100</f>
        <v>-63.08950547181</v>
      </c>
      <c r="F10" s="0" t="n">
        <f aca="false">-F6*F9/100</f>
        <v>-66.5594282727595</v>
      </c>
      <c r="G10" s="0" t="n">
        <f aca="false">-G6*G9/100</f>
        <v>-69.8873996863975</v>
      </c>
      <c r="H10" s="0" t="n">
        <f aca="false">-H6*H9/100</f>
        <v>-73.0323326722854</v>
      </c>
      <c r="I10" s="0" t="n">
        <f aca="false">-I6*I9/100</f>
        <v>-75.9536259791768</v>
      </c>
      <c r="J10" s="0" t="n">
        <f aca="false">-J6*J9/100</f>
        <v>-78.612002888448</v>
      </c>
      <c r="K10" s="0" t="n">
        <f aca="false">-K6*K9/100</f>
        <v>-80.9703629751014</v>
      </c>
      <c r="L10" s="0" t="n">
        <f aca="false">-L6*L9/100</f>
        <v>-83.3994738643545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1320.6702359</v>
      </c>
      <c r="D11" s="0" t="n">
        <f aca="false">D8+D10+D24</f>
        <v>1393.9836114675</v>
      </c>
      <c r="E11" s="0" t="n">
        <f aca="false">E8+E10+E24</f>
        <v>1464.34062700359</v>
      </c>
      <c r="F11" s="0" t="n">
        <f aca="false">F8+F10+F24</f>
        <v>1530.86685027347</v>
      </c>
      <c r="G11" s="0" t="n">
        <f aca="false">G8+G10+G24</f>
        <v>1592.69705601106</v>
      </c>
      <c r="H11" s="0" t="n">
        <f aca="false">H8+H10+H24</f>
        <v>1656.68080956605</v>
      </c>
      <c r="I11" s="0" t="n">
        <f aca="false">I8+I10+I24</f>
        <v>1722.9480419487</v>
      </c>
      <c r="J11" s="0" t="n">
        <f aca="false">J8+J10+J24</f>
        <v>1783.2512234169</v>
      </c>
      <c r="K11" s="0" t="n">
        <f aca="false">K8+K10+K24</f>
        <v>1836.74876011941</v>
      </c>
      <c r="L11" s="0" t="n">
        <f aca="false">L8+L10+L24</f>
        <v>1891.85122292299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-82.3580548</v>
      </c>
      <c r="D12" s="4" t="n">
        <f aca="false">-D6*Assumptions!D31/100</f>
        <v>-87.711328362</v>
      </c>
      <c r="E12" s="4" t="n">
        <f aca="false">-E6*Assumptions!E31/100</f>
        <v>-92.97400806372</v>
      </c>
      <c r="F12" s="4" t="n">
        <f aca="false">-F6*Assumptions!F31/100</f>
        <v>-98.0875785072246</v>
      </c>
      <c r="G12" s="4" t="n">
        <f aca="false">-G6*Assumptions!G31/100</f>
        <v>-102.991957432586</v>
      </c>
      <c r="H12" s="4" t="n">
        <f aca="false">-H6*Assumptions!H31/100</f>
        <v>-107.626595517052</v>
      </c>
      <c r="I12" s="4" t="n">
        <f aca="false">-I6*Assumptions!I31/100</f>
        <v>-111.931659337734</v>
      </c>
      <c r="J12" s="4" t="n">
        <f aca="false">-J6*Assumptions!J31/100</f>
        <v>-115.849267414555</v>
      </c>
      <c r="K12" s="4" t="n">
        <f aca="false">-K6*Assumptions!K31/100</f>
        <v>-119.324745436992</v>
      </c>
      <c r="L12" s="4" t="n">
        <f aca="false">-L6*Assumptions!L31/100</f>
        <v>-122.904487800101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1238.3121811</v>
      </c>
      <c r="D13" s="0" t="n">
        <f aca="false">D11+D12</f>
        <v>1306.2722831055</v>
      </c>
      <c r="E13" s="0" t="n">
        <f aca="false">E11+E12</f>
        <v>1371.36661893987</v>
      </c>
      <c r="F13" s="0" t="n">
        <f aca="false">F11+F12</f>
        <v>1432.77927176624</v>
      </c>
      <c r="G13" s="0" t="n">
        <f aca="false">G11+G12</f>
        <v>1489.70509857847</v>
      </c>
      <c r="H13" s="0" t="n">
        <f aca="false">H11+H12</f>
        <v>1549.054214049</v>
      </c>
      <c r="I13" s="0" t="n">
        <f aca="false">I11+I12</f>
        <v>1611.01638261096</v>
      </c>
      <c r="J13" s="0" t="n">
        <f aca="false">J11+J12</f>
        <v>1667.40195600234</v>
      </c>
      <c r="K13" s="0" t="n">
        <f aca="false">K11+K12</f>
        <v>1717.42401468242</v>
      </c>
      <c r="L13" s="0" t="n">
        <f aca="false">L11+L12</f>
        <v>1768.94673512289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22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965.883501258</v>
      </c>
      <c r="D15" s="0" t="n">
        <f aca="false">D13-MAX(0,D13)*D14/100</f>
        <v>1005.82965799124</v>
      </c>
      <c r="E15" s="0" t="n">
        <f aca="false">E13-MAX(0,E13)*E14/100</f>
        <v>1055.9522965837</v>
      </c>
      <c r="F15" s="0" t="n">
        <f aca="false">F13-MAX(0,F13)*F14/100</f>
        <v>1103.24003926001</v>
      </c>
      <c r="G15" s="0" t="n">
        <f aca="false">G13-MAX(0,G13)*G14/100</f>
        <v>1147.07292590542</v>
      </c>
      <c r="H15" s="0" t="n">
        <f aca="false">H13-MAX(0,H13)*H14/100</f>
        <v>1192.77174481773</v>
      </c>
      <c r="I15" s="0" t="n">
        <f aca="false">I13-MAX(0,I13)*I14/100</f>
        <v>1240.48261461044</v>
      </c>
      <c r="J15" s="0" t="n">
        <f aca="false">J13-MAX(0,J13)*J14/100</f>
        <v>1283.89950612181</v>
      </c>
      <c r="K15" s="0" t="n">
        <f aca="false">K13-MAX(0,K13)*K14/100</f>
        <v>1322.41649130546</v>
      </c>
      <c r="L15" s="0" t="n">
        <f aca="false">L13-MAX(0,L13)*L14/100</f>
        <v>1362.08898604462</v>
      </c>
    </row>
    <row r="16" customFormat="false" ht="15" hidden="false" customHeight="false" outlineLevel="0" collapsed="false">
      <c r="A16" s="0" t="s">
        <v>127</v>
      </c>
      <c r="C16" s="0" t="n">
        <f aca="false">-C12</f>
        <v>82.3580548</v>
      </c>
      <c r="D16" s="0" t="n">
        <f aca="false">-D12</f>
        <v>87.711328362</v>
      </c>
      <c r="E16" s="0" t="n">
        <f aca="false">-E12</f>
        <v>92.97400806372</v>
      </c>
      <c r="F16" s="0" t="n">
        <f aca="false">-F12</f>
        <v>98.0875785072246</v>
      </c>
      <c r="G16" s="0" t="n">
        <f aca="false">-G12</f>
        <v>102.991957432586</v>
      </c>
      <c r="H16" s="0" t="n">
        <f aca="false">-H12</f>
        <v>107.626595517052</v>
      </c>
      <c r="I16" s="0" t="n">
        <f aca="false">-I12</f>
        <v>111.931659337734</v>
      </c>
      <c r="J16" s="0" t="n">
        <f aca="false">-J12</f>
        <v>115.849267414555</v>
      </c>
      <c r="K16" s="0" t="n">
        <f aca="false">-K12</f>
        <v>119.324745436992</v>
      </c>
      <c r="L16" s="0" t="n">
        <f aca="false">-L12</f>
        <v>122.904487800101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-105.8889276</v>
      </c>
      <c r="D17" s="4" t="n">
        <f aca="false">-D6*Assumptions!D32/100</f>
        <v>-112.771707894</v>
      </c>
      <c r="E17" s="4" t="n">
        <f aca="false">-E6*Assumptions!E32/100</f>
        <v>-119.53801036764</v>
      </c>
      <c r="F17" s="4" t="n">
        <f aca="false">-F6*Assumptions!F32/100</f>
        <v>-126.11260093786</v>
      </c>
      <c r="G17" s="4" t="n">
        <f aca="false">-G6*Assumptions!G32/100</f>
        <v>-132.418230984753</v>
      </c>
      <c r="H17" s="4" t="n">
        <f aca="false">-H6*Assumptions!H32/100</f>
        <v>-138.377051379067</v>
      </c>
      <c r="I17" s="4" t="n">
        <f aca="false">-I6*Assumptions!I32/100</f>
        <v>-143.91213343423</v>
      </c>
      <c r="J17" s="4" t="n">
        <f aca="false">-J6*Assumptions!J32/100</f>
        <v>-148.949058104428</v>
      </c>
      <c r="K17" s="4" t="n">
        <f aca="false">-K6*Assumptions!K32/100</f>
        <v>-153.417529847561</v>
      </c>
      <c r="L17" s="4" t="n">
        <f aca="false">-L6*Assumptions!L32/100</f>
        <v>-158.020055742987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-32.833776</v>
      </c>
      <c r="D18" s="4" t="n">
        <f aca="false">(D6-C6)*Assumptions!$B$37/100</f>
        <v>-30.59013464</v>
      </c>
      <c r="E18" s="4" t="n">
        <f aca="false">(E6-D6)*Assumptions!$B$37/100</f>
        <v>-30.0724554384</v>
      </c>
      <c r="F18" s="4" t="n">
        <f aca="false">(F6-E6)*Assumptions!$B$37/100</f>
        <v>-29.2204025343119</v>
      </c>
      <c r="G18" s="4" t="n">
        <f aca="false">(G6-F6)*Assumptions!$B$37/100</f>
        <v>-28.0250224306357</v>
      </c>
      <c r="H18" s="4" t="n">
        <f aca="false">(H6-G6)*Assumptions!$B$37/100</f>
        <v>-26.4836461969506</v>
      </c>
      <c r="I18" s="4" t="n">
        <f aca="false">(I6-H6)*Assumptions!$B$37/100</f>
        <v>-24.600364689612</v>
      </c>
      <c r="J18" s="4" t="n">
        <f aca="false">(J6-I6)*Assumptions!$B$37/100</f>
        <v>-22.3863318675468</v>
      </c>
      <c r="K18" s="4" t="n">
        <f aca="false">(K6-J6)*Assumptions!$B$37/100</f>
        <v>-19.8598744139237</v>
      </c>
      <c r="L18" s="4" t="n">
        <f aca="false">(L6-K6)*Assumptions!$B$37/100</f>
        <v>-20.4556706463415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909.518852458</v>
      </c>
      <c r="D19" s="0" t="n">
        <f aca="false">D15+D16+D17+D18</f>
        <v>950.179143819235</v>
      </c>
      <c r="E19" s="0" t="n">
        <f aca="false">E15+E16+E17+E18</f>
        <v>999.31583884138</v>
      </c>
      <c r="F19" s="0" t="n">
        <f aca="false">F15+F16+F17+F18</f>
        <v>1045.99461429506</v>
      </c>
      <c r="G19" s="0" t="n">
        <f aca="false">G15+G16+G17+G18</f>
        <v>1089.62162992262</v>
      </c>
      <c r="H19" s="0" t="n">
        <f aca="false">H15+H16+H17+H18</f>
        <v>1135.53764275877</v>
      </c>
      <c r="I19" s="0" t="n">
        <f aca="false">I15+I16+I17+I18</f>
        <v>1183.90177582433</v>
      </c>
      <c r="J19" s="0" t="n">
        <f aca="false">J15+J16+J17+J18</f>
        <v>1228.41338356439</v>
      </c>
      <c r="K19" s="0" t="n">
        <f aca="false">K15+K16+K17+K18</f>
        <v>1268.46383248097</v>
      </c>
      <c r="L19" s="0" t="n">
        <f aca="false">L15+L16+L17+L18</f>
        <v>1306.5177474554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830.610824162557</v>
      </c>
      <c r="D21" s="0" t="n">
        <f aca="false">D19*D20</f>
        <v>792.459826791964</v>
      </c>
      <c r="E21" s="0" t="n">
        <f aca="false">E19*E20</f>
        <v>761.132757383167</v>
      </c>
      <c r="F21" s="0" t="n">
        <f aca="false">F19*F20</f>
        <v>727.566964825978</v>
      </c>
      <c r="G21" s="0" t="n">
        <f aca="false">G19*G20</f>
        <v>692.157804016364</v>
      </c>
      <c r="H21" s="0" t="n">
        <f aca="false">H19*H20</f>
        <v>658.744224337278</v>
      </c>
      <c r="I21" s="0" t="n">
        <f aca="false">I19*I20</f>
        <v>627.215580142149</v>
      </c>
      <c r="J21" s="0" t="n">
        <f aca="false">J19*J20</f>
        <v>594.335382766836</v>
      </c>
      <c r="K21" s="0" t="n">
        <f aca="false">K19*K20</f>
        <v>560.468251190292</v>
      </c>
      <c r="L21" s="0" t="n">
        <f aca="false">L19*L20</f>
        <v>527.198446325115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6771.8900619417</v>
      </c>
    </row>
    <row r="31" customFormat="false" ht="15" hidden="false" customHeight="false" outlineLevel="0" collapsed="false">
      <c r="A31" s="0" t="s">
        <v>136</v>
      </c>
      <c r="B31" s="0" t="n">
        <f aca="false">L19</f>
        <v>1306.5177474554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19131.1527305969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16984.7307169202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16984.7307169202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6853.5798022265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13625.4698641682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15228.0588641682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111.389502334637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0.415908253904116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429.490390416657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492.774180609205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118.135640664136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10713.4455291342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70.0613971753733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8.5</v>
      </c>
      <c r="D5" s="4" t="n">
        <f aca="false">Assumptions!D41</f>
        <v>9</v>
      </c>
      <c r="E5" s="4" t="n">
        <f aca="false">Assumptions!E41</f>
        <v>8.5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5472.296</v>
      </c>
      <c r="C6" s="0" t="n">
        <f aca="false">B6*(1+C5/100)</f>
        <v>5937.44116</v>
      </c>
      <c r="D6" s="0" t="n">
        <f aca="false">C6*(1+D5/100)</f>
        <v>6471.8108644</v>
      </c>
      <c r="E6" s="0" t="n">
        <f aca="false">D6*(1+E5/100)</f>
        <v>7021.914787874</v>
      </c>
      <c r="F6" s="0" t="n">
        <f aca="false">E6*(1+F5/100)</f>
        <v>7583.66797090392</v>
      </c>
      <c r="G6" s="0" t="n">
        <f aca="false">F6*(1+G5/100)</f>
        <v>8114.5247288672</v>
      </c>
      <c r="H6" s="0" t="n">
        <f aca="false">G6*(1+H5/100)</f>
        <v>8601.39621259923</v>
      </c>
      <c r="I6" s="0" t="n">
        <f aca="false">H6*(1+I5/100)</f>
        <v>9031.46602322919</v>
      </c>
      <c r="J6" s="0" t="n">
        <f aca="false">I6*(1+J5/100)</f>
        <v>9392.72466415836</v>
      </c>
      <c r="K6" s="0" t="n">
        <f aca="false">J6*(1+K5/100)</f>
        <v>9721.4700274039</v>
      </c>
      <c r="L6" s="0" t="n">
        <f aca="false">K6*(1+L5/100)</f>
        <v>10013.114128226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23.8</v>
      </c>
      <c r="D7" s="4" t="n">
        <f aca="false">Assumptions!D42</f>
        <v>24.3</v>
      </c>
      <c r="E7" s="4" t="n">
        <f aca="false">Assumptions!E42</f>
        <v>24.8</v>
      </c>
      <c r="F7" s="4" t="n">
        <f aca="false">Assumptions!F42</f>
        <v>25.2</v>
      </c>
      <c r="G7" s="4" t="n">
        <f aca="false">Assumptions!G42</f>
        <v>25.5</v>
      </c>
      <c r="H7" s="4" t="n">
        <f aca="false">Assumptions!H42</f>
        <v>25.5</v>
      </c>
      <c r="I7" s="4" t="n">
        <f aca="false">Assumptions!I42</f>
        <v>25.5</v>
      </c>
      <c r="J7" s="4" t="n">
        <f aca="false">Assumptions!J42</f>
        <v>25.5</v>
      </c>
      <c r="K7" s="4" t="n">
        <f aca="false">Assumptions!K42</f>
        <v>25.5</v>
      </c>
      <c r="L7" s="4" t="n">
        <f aca="false">Assumptions!L42</f>
        <v>25.5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1413.11099608</v>
      </c>
      <c r="D8" s="0" t="n">
        <f aca="false">D6*D7/100</f>
        <v>1572.6500400492</v>
      </c>
      <c r="E8" s="0" t="n">
        <f aca="false">E6*E7/100</f>
        <v>1741.43486739275</v>
      </c>
      <c r="F8" s="0" t="n">
        <f aca="false">F6*F7/100</f>
        <v>1911.08432866779</v>
      </c>
      <c r="G8" s="0" t="n">
        <f aca="false">G6*G7/100</f>
        <v>2069.20380586114</v>
      </c>
      <c r="H8" s="0" t="n">
        <f aca="false">H6*H7/100</f>
        <v>2193.3560342128</v>
      </c>
      <c r="I8" s="0" t="n">
        <f aca="false">I6*I7/100</f>
        <v>2303.02383592344</v>
      </c>
      <c r="J8" s="0" t="n">
        <f aca="false">J6*J7/100</f>
        <v>2395.14478936038</v>
      </c>
      <c r="K8" s="0" t="n">
        <f aca="false">K6*K7/100</f>
        <v>2478.97485698799</v>
      </c>
      <c r="L8" s="0" t="n">
        <f aca="false">L6*L7/100</f>
        <v>2553.34410269763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0.95</v>
      </c>
      <c r="D9" s="4" t="n">
        <f aca="false">Assumptions!D43</f>
        <v>0.95</v>
      </c>
      <c r="E9" s="4" t="n">
        <f aca="false">Assumptions!E43</f>
        <v>0.95</v>
      </c>
      <c r="F9" s="4" t="n">
        <f aca="false">Assumptions!F43</f>
        <v>0.95</v>
      </c>
      <c r="G9" s="4" t="n">
        <f aca="false">Assumptions!G43</f>
        <v>0.95</v>
      </c>
      <c r="H9" s="4" t="n">
        <f aca="false">Assumptions!H43</f>
        <v>0.95</v>
      </c>
      <c r="I9" s="4" t="n">
        <f aca="false">Assumptions!I43</f>
        <v>0.95</v>
      </c>
      <c r="J9" s="4" t="n">
        <f aca="false">Assumptions!J43</f>
        <v>0.95</v>
      </c>
      <c r="K9" s="4" t="n">
        <f aca="false">Assumptions!K43</f>
        <v>0.95</v>
      </c>
      <c r="L9" s="4" t="n">
        <f aca="false">Assumptions!L43</f>
        <v>0.95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-56.40569102</v>
      </c>
      <c r="D10" s="0" t="n">
        <f aca="false">-D6*D9/100</f>
        <v>-61.4822032118</v>
      </c>
      <c r="E10" s="0" t="n">
        <f aca="false">-E6*E9/100</f>
        <v>-66.708190484803</v>
      </c>
      <c r="F10" s="0" t="n">
        <f aca="false">-F6*F9/100</f>
        <v>-72.0448457235872</v>
      </c>
      <c r="G10" s="0" t="n">
        <f aca="false">-G6*G9/100</f>
        <v>-77.0879849242384</v>
      </c>
      <c r="H10" s="0" t="n">
        <f aca="false">-H6*H9/100</f>
        <v>-81.7132640196927</v>
      </c>
      <c r="I10" s="0" t="n">
        <f aca="false">-I6*I9/100</f>
        <v>-85.7989272206773</v>
      </c>
      <c r="J10" s="0" t="n">
        <f aca="false">-J6*J9/100</f>
        <v>-89.2308843095044</v>
      </c>
      <c r="K10" s="0" t="n">
        <f aca="false">-K6*K9/100</f>
        <v>-92.3539652603371</v>
      </c>
      <c r="L10" s="0" t="n">
        <f aca="false">-L6*L9/100</f>
        <v>-95.1245842181472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1356.70530506</v>
      </c>
      <c r="D11" s="0" t="n">
        <f aca="false">D8+D10+D24</f>
        <v>1511.1678368374</v>
      </c>
      <c r="E11" s="0" t="n">
        <f aca="false">E8+E10+E24</f>
        <v>1674.72667690795</v>
      </c>
      <c r="F11" s="0" t="n">
        <f aca="false">F8+F10+F24</f>
        <v>1839.0394829442</v>
      </c>
      <c r="G11" s="0" t="n">
        <f aca="false">G8+G10+G24</f>
        <v>1992.1158209369</v>
      </c>
      <c r="H11" s="0" t="n">
        <f aca="false">H8+H10+H24</f>
        <v>2111.64277019311</v>
      </c>
      <c r="I11" s="0" t="n">
        <f aca="false">I8+I10+I24</f>
        <v>2217.22490870277</v>
      </c>
      <c r="J11" s="0" t="n">
        <f aca="false">J8+J10+J24</f>
        <v>2305.91390505088</v>
      </c>
      <c r="K11" s="0" t="n">
        <f aca="false">K8+K10+K24</f>
        <v>2386.62089172766</v>
      </c>
      <c r="L11" s="0" t="n">
        <f aca="false">L8+L10+L24</f>
        <v>2458.21951847949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-83.12417624</v>
      </c>
      <c r="D12" s="4" t="n">
        <f aca="false">-D6*Assumptions!D45/100</f>
        <v>-90.6053521016</v>
      </c>
      <c r="E12" s="4" t="n">
        <f aca="false">-E6*Assumptions!E45/100</f>
        <v>-98.306807030236</v>
      </c>
      <c r="F12" s="4" t="n">
        <f aca="false">-F6*Assumptions!F45/100</f>
        <v>-106.171351592655</v>
      </c>
      <c r="G12" s="4" t="n">
        <f aca="false">-G6*Assumptions!G45/100</f>
        <v>-113.603346204141</v>
      </c>
      <c r="H12" s="4" t="n">
        <f aca="false">-H6*Assumptions!H45/100</f>
        <v>-120.419546976389</v>
      </c>
      <c r="I12" s="4" t="n">
        <f aca="false">-I6*Assumptions!I45/100</f>
        <v>-126.440524325209</v>
      </c>
      <c r="J12" s="4" t="n">
        <f aca="false">-J6*Assumptions!J45/100</f>
        <v>-131.498145298217</v>
      </c>
      <c r="K12" s="4" t="n">
        <f aca="false">-K6*Assumptions!K45/100</f>
        <v>-136.100580383655</v>
      </c>
      <c r="L12" s="4" t="n">
        <f aca="false">-L6*Assumptions!L45/100</f>
        <v>-140.183597795164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1273.58112882</v>
      </c>
      <c r="D13" s="0" t="n">
        <f aca="false">D11+D12</f>
        <v>1420.5624847358</v>
      </c>
      <c r="E13" s="0" t="n">
        <f aca="false">E11+E12</f>
        <v>1576.41986987771</v>
      </c>
      <c r="F13" s="0" t="n">
        <f aca="false">F11+F12</f>
        <v>1732.86813135155</v>
      </c>
      <c r="G13" s="0" t="n">
        <f aca="false">G11+G12</f>
        <v>1878.51247473276</v>
      </c>
      <c r="H13" s="0" t="n">
        <f aca="false">H11+H12</f>
        <v>1991.22322321672</v>
      </c>
      <c r="I13" s="0" t="n">
        <f aca="false">I11+I12</f>
        <v>2090.78438437756</v>
      </c>
      <c r="J13" s="0" t="n">
        <f aca="false">J11+J12</f>
        <v>2174.41575975266</v>
      </c>
      <c r="K13" s="0" t="n">
        <f aca="false">K11+K12</f>
        <v>2250.520311344</v>
      </c>
      <c r="L13" s="0" t="n">
        <f aca="false">L11+L12</f>
        <v>2318.03592068432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22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993.3932804796</v>
      </c>
      <c r="D15" s="0" t="n">
        <f aca="false">D13-MAX(0,D13)*D14/100</f>
        <v>1093.83311324657</v>
      </c>
      <c r="E15" s="0" t="n">
        <f aca="false">E13-MAX(0,E13)*E14/100</f>
        <v>1213.84329980584</v>
      </c>
      <c r="F15" s="0" t="n">
        <f aca="false">F13-MAX(0,F13)*F14/100</f>
        <v>1334.30846114069</v>
      </c>
      <c r="G15" s="0" t="n">
        <f aca="false">G13-MAX(0,G13)*G14/100</f>
        <v>1446.45460554422</v>
      </c>
      <c r="H15" s="0" t="n">
        <f aca="false">H13-MAX(0,H13)*H14/100</f>
        <v>1533.24188187688</v>
      </c>
      <c r="I15" s="0" t="n">
        <f aca="false">I13-MAX(0,I13)*I14/100</f>
        <v>1609.90397597072</v>
      </c>
      <c r="J15" s="0" t="n">
        <f aca="false">J13-MAX(0,J13)*J14/100</f>
        <v>1674.30013500955</v>
      </c>
      <c r="K15" s="0" t="n">
        <f aca="false">K13-MAX(0,K13)*K14/100</f>
        <v>1732.90063973488</v>
      </c>
      <c r="L15" s="0" t="n">
        <f aca="false">L13-MAX(0,L13)*L14/100</f>
        <v>1784.88765892693</v>
      </c>
    </row>
    <row r="16" customFormat="false" ht="15" hidden="false" customHeight="false" outlineLevel="0" collapsed="false">
      <c r="A16" s="0" t="s">
        <v>127</v>
      </c>
      <c r="C16" s="0" t="n">
        <f aca="false">-C12</f>
        <v>83.12417624</v>
      </c>
      <c r="D16" s="0" t="n">
        <f aca="false">-D12</f>
        <v>90.6053521016</v>
      </c>
      <c r="E16" s="0" t="n">
        <f aca="false">-E12</f>
        <v>98.306807030236</v>
      </c>
      <c r="F16" s="0" t="n">
        <f aca="false">-F12</f>
        <v>106.171351592655</v>
      </c>
      <c r="G16" s="0" t="n">
        <f aca="false">-G12</f>
        <v>113.603346204141</v>
      </c>
      <c r="H16" s="0" t="n">
        <f aca="false">-H12</f>
        <v>120.419546976389</v>
      </c>
      <c r="I16" s="0" t="n">
        <f aca="false">-I12</f>
        <v>126.440524325209</v>
      </c>
      <c r="J16" s="0" t="n">
        <f aca="false">-J12</f>
        <v>131.498145298217</v>
      </c>
      <c r="K16" s="0" t="n">
        <f aca="false">-K12</f>
        <v>136.100580383655</v>
      </c>
      <c r="L16" s="0" t="n">
        <f aca="false">-L12</f>
        <v>140.183597795164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-106.87394088</v>
      </c>
      <c r="D17" s="4" t="n">
        <f aca="false">-D6*Assumptions!D46/100</f>
        <v>-116.4925955592</v>
      </c>
      <c r="E17" s="4" t="n">
        <f aca="false">-E6*Assumptions!E46/100</f>
        <v>-126.394466181732</v>
      </c>
      <c r="F17" s="4" t="n">
        <f aca="false">-F6*Assumptions!F46/100</f>
        <v>-136.506023476271</v>
      </c>
      <c r="G17" s="4" t="n">
        <f aca="false">-G6*Assumptions!G46/100</f>
        <v>-146.06144511961</v>
      </c>
      <c r="H17" s="4" t="n">
        <f aca="false">-H6*Assumptions!H46/100</f>
        <v>-154.825131826786</v>
      </c>
      <c r="I17" s="4" t="n">
        <f aca="false">-I6*Assumptions!I46/100</f>
        <v>-162.566388418125</v>
      </c>
      <c r="J17" s="4" t="n">
        <f aca="false">-J6*Assumptions!J46/100</f>
        <v>-169.06904395485</v>
      </c>
      <c r="K17" s="4" t="n">
        <f aca="false">-K6*Assumptions!K46/100</f>
        <v>-174.98646049327</v>
      </c>
      <c r="L17" s="4" t="n">
        <f aca="false">-L6*Assumptions!L46/100</f>
        <v>-180.236054308068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-37.2116128</v>
      </c>
      <c r="D18" s="4" t="n">
        <f aca="false">(D6-C6)*Assumptions!$B$51/100</f>
        <v>-42.7495763520001</v>
      </c>
      <c r="E18" s="4" t="n">
        <f aca="false">(E6-D6)*Assumptions!$B$51/100</f>
        <v>-44.00831387792</v>
      </c>
      <c r="F18" s="4" t="n">
        <f aca="false">(F6-E6)*Assumptions!$B$51/100</f>
        <v>-44.9402546423936</v>
      </c>
      <c r="G18" s="4" t="n">
        <f aca="false">(G6-F6)*Assumptions!$B$51/100</f>
        <v>-42.468540637062</v>
      </c>
      <c r="H18" s="4" t="n">
        <f aca="false">(H6-G6)*Assumptions!$B$51/100</f>
        <v>-38.9497186985626</v>
      </c>
      <c r="I18" s="4" t="n">
        <f aca="false">(I6-H6)*Assumptions!$B$51/100</f>
        <v>-34.405584850397</v>
      </c>
      <c r="J18" s="4" t="n">
        <f aca="false">(J6-I6)*Assumptions!$B$51/100</f>
        <v>-28.9006912743334</v>
      </c>
      <c r="K18" s="4" t="n">
        <f aca="false">(K6-J6)*Assumptions!$B$51/100</f>
        <v>-26.2996290596433</v>
      </c>
      <c r="L18" s="4" t="n">
        <f aca="false">(L6-K6)*Assumptions!$B$51/100</f>
        <v>-23.3315280657694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932.4319030396</v>
      </c>
      <c r="D19" s="0" t="n">
        <f aca="false">D15+D16+D17+D18</f>
        <v>1025.19629343697</v>
      </c>
      <c r="E19" s="0" t="n">
        <f aca="false">E15+E16+E17+E18</f>
        <v>1141.74732677642</v>
      </c>
      <c r="F19" s="0" t="n">
        <f aca="false">F15+F16+F17+F18</f>
        <v>1259.03353461468</v>
      </c>
      <c r="G19" s="0" t="n">
        <f aca="false">G15+G16+G17+G18</f>
        <v>1371.52796599169</v>
      </c>
      <c r="H19" s="0" t="n">
        <f aca="false">H15+H16+H17+H18</f>
        <v>1459.88657832792</v>
      </c>
      <c r="I19" s="0" t="n">
        <f aca="false">I15+I16+I17+I18</f>
        <v>1539.37252702741</v>
      </c>
      <c r="J19" s="0" t="n">
        <f aca="false">J15+J16+J17+J18</f>
        <v>1607.82854507858</v>
      </c>
      <c r="K19" s="0" t="n">
        <f aca="false">K15+K16+K17+K18</f>
        <v>1667.71513056562</v>
      </c>
      <c r="L19" s="0" t="n">
        <f aca="false">L15+L16+L17+L18</f>
        <v>1721.50367434826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851.535984511051</v>
      </c>
      <c r="D21" s="0" t="n">
        <f aca="false">D19*D20</f>
        <v>855.024952304553</v>
      </c>
      <c r="E21" s="0" t="n">
        <f aca="false">E19*E20</f>
        <v>869.616248724481</v>
      </c>
      <c r="F21" s="0" t="n">
        <f aca="false">F19*F20</f>
        <v>875.751361311815</v>
      </c>
      <c r="G21" s="0" t="n">
        <f aca="false">G19*G20</f>
        <v>871.232507705683</v>
      </c>
      <c r="H21" s="0" t="n">
        <f aca="false">H19*H20</f>
        <v>846.904422582254</v>
      </c>
      <c r="I21" s="0" t="n">
        <f aca="false">I19*I20</f>
        <v>815.539305971651</v>
      </c>
      <c r="J21" s="0" t="n">
        <f aca="false">J19*J20</f>
        <v>777.905391253529</v>
      </c>
      <c r="K21" s="0" t="n">
        <f aca="false">K19*K20</f>
        <v>736.876652512463</v>
      </c>
      <c r="L21" s="0" t="n">
        <f aca="false">L19*L20</f>
        <v>694.651155123602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8195.03798200108</v>
      </c>
    </row>
    <row r="31" customFormat="false" ht="15" hidden="false" customHeight="false" outlineLevel="0" collapsed="false">
      <c r="A31" s="0" t="s">
        <v>136</v>
      </c>
      <c r="B31" s="0" t="n">
        <f aca="false">L19</f>
        <v>1721.50367434826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25207.7323743852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25822.5551152238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25207.7323743852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10171.6776285956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18366.7156105967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19969.3046105967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146.070547952576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0.856750323535987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467.899299166725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562.053174581518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153.604396784031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14116.3301296557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83.8670044016968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67.9196543348172</v>
      </c>
      <c r="C4" s="0" t="n">
        <f aca="false">B4/Assumptions!$B$2-1</f>
        <v>-0.136651146119014</v>
      </c>
      <c r="D4" s="4" t="n">
        <f aca="false">Assumptions!$B$24</f>
        <v>0.25</v>
      </c>
      <c r="E4" s="4" t="n">
        <f aca="false">DCF_Bear!$B$43</f>
        <v>72.8310843015447</v>
      </c>
      <c r="F4" s="4" t="n">
        <f aca="false">DCF_Bear!$B$47</f>
        <v>48.170473002191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111.389502334637</v>
      </c>
      <c r="C5" s="0" t="n">
        <f aca="false">B5/Assumptions!$B$2-1</f>
        <v>0.415908253904116</v>
      </c>
      <c r="D5" s="4" t="n">
        <f aca="false">Assumptions!$B$38</f>
        <v>0.5</v>
      </c>
      <c r="E5" s="4" t="n">
        <f aca="false">DCF_Base!$B$43</f>
        <v>118.135640664136</v>
      </c>
      <c r="F5" s="4" t="n">
        <f aca="false">DCF_Base!$B$47</f>
        <v>70.0613971753733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146.070547952576</v>
      </c>
      <c r="C6" s="0" t="n">
        <f aca="false">B6/Assumptions!$B$2-1</f>
        <v>0.856750323535987</v>
      </c>
      <c r="D6" s="4" t="n">
        <f aca="false">Assumptions!$B$52</f>
        <v>0.25</v>
      </c>
      <c r="E6" s="4" t="n">
        <f aca="false">DCF_Bull!$B$43</f>
        <v>153.604396784031</v>
      </c>
      <c r="F6" s="4" t="n">
        <f aca="false">DCF_Bull!$B$47</f>
        <v>83.8670044016968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109.192301739167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115.676690603462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0.279527963537914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-470.704369801599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68.0400679386586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114.909481728585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111.389502334637</v>
      </c>
      <c r="C16" s="3" t="n">
        <v>9.5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108.024939831228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98.56339004354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89.1687148578947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70.0613971753733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126.487341506266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126.487341506266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126.487341506266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126.487341506266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126.487341506266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118.593170644674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118.593170644674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118.593170644674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118.593170644674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118.593170644674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110.184400187928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111.389502334637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111.389502334637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111.389502334637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111.389502334637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98.7436534482775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101.286751453118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104.147736708563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104.807964075205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104.807964075205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89.6167144397614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91.5050867462429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93.603278197889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95.9483157026699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98.5864828955485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2026-09-26T01:24:43Z</dcterms:created>
  <dc:creator>openpyxl</dc:creator>
  <dc:description/>
  <dc:language>en-NZ</dc:language>
  <cp:lastModifiedBy/>
  <dcterms:modified xsi:type="dcterms:W3CDTF">2026-09-26T01:24:43Z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