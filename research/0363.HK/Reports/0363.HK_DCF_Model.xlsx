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<sst xmlns="http://schemas.openxmlformats.org/spreadsheetml/2006/main" count="357" uniqueCount="164">
  <si>
    <t xml:space="preserve">Ticker</t>
  </si>
  <si>
    <t xml:space="preserve">0363.HK</t>
  </si>
  <si>
    <t xml:space="preserve">Company</t>
  </si>
  <si>
    <t xml:space="preserve">Shanghai Industrial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</si>
  <si>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</si>
  <si>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</si>
  <si>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</si>
  <si>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</si>
  <si>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(HKEX regular close, Friday)</t>
  </si>
  <si>
    <t xml:space="preserve">Balance sheet date</t>
  </si>
  <si>
    <t xml:space="preserve">2026-06-30</t>
  </si>
  <si>
    <t xml:space="preserve">Model</t>
  </si>
  <si>
    <t xml:space="preserve">Holdco look-through distributable cash capitalisation at cost of equity, segment sum-of-parts (engine route)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</si>
  <si>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</si>
  <si>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</si>
  <si>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</si>
  <si>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</si>
  <si>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</si>
  <si>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</si>
  <si>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</si>
  <si>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</si>
  <si>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2026-10-10T22:30:56Z</t>
  </si>
  <si>
    <t xml:space="preserve">Drivers file</t>
  </si>
  <si>
    <t xml:space="preserve">0363.HK_Drivers.json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</si>
  <si>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</si>
  <si>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</si>
  <si>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</si>
  <si>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reaches SIHL shareholders, not what the consolidated statements show. The reported P/E of ~7x looks cheap, but ~HK$340m/yr of reported profit is non-cash release of 2021 toll compensation and the toll roads that earn over half the Group's cash have contractual end-dates within four years. The valuation is therefore a segment-by-segment attributable cash build, with the concession calendar written explicitly into the paths, capitalised at the cost of equity with no consolidated net-debt deduction.
key_risks_to_valuation: Toll-period extension on widening is assumed partially (base) or fully (bull) but has not been disclosed; if none is granted the bear case applies; Toll-company and holdco debt maturities are not separately disclosed in the extracted text; if toll subsidiaries carry debt that must be retired before concession end, toll cash is overstated; Real estate subsidiaries (listed, 43-49% owned) may require equity support; bear charges HK$1.75bn over ten years; RMB/HKD: ~all operating cash is RMB; a 5% RMB move shifts value ~5%; Holdco cash from the Canvest/SPG/SUS disposals is not credited -- upside of up to ~HK$3-4/share if it sits unencumbered at the parent; Water platform returns: SIIC Environment ROE is low; growth at 3-5% only adds value if incremental returns exceed the ~10% cost of equity</t>
  </si>
  <si>
    <t xml:space="preserve">Data sources</t>
  </si>
  <si>
    <t xml:space="preserve">price: Yahoo Finance chart API at inputs.price_as_of; 52-week range 12.15-16.19
financials: 0363.HK_Metrics.csv (core_metrics, HKD millions); FY2025 Annual Report (segment profit p.29-30, toll-road table p.14, note 17 toll-road operating rights and expiry dates, note 32 deferred income, cash flow statement); H1 FY2026 Interim Report (segment profit p.22, toll-road table p.10, group structure p.7)
qualitative: 0363.HK_Analysis.json (2026-10-11)</t>
  </si>
  <si>
    <t xml:space="preserve">Scenario narrative: bear</t>
  </si>
  <si>
    <t xml:space="preserve">The concessions simply end: toll cash -- over half of the Group's distributable cash today -- is gone by FY2031, tobacco shrinks under repeated HK duty hikes, water growth stalls, and the property subsidiaries need ongoing support. What remains is a ~HK$0.6bn/yr water-and-tobacco holdco.</t>
  </si>
  <si>
    <t xml:space="preserve">Scenario narrative: base</t>
  </si>
  <si>
    <t xml:space="preserve">SIHL's value is three different things stapled together: Shanghai toll roads that are cash cows with expiry dates (2027/2028/2030), a growing but capital-hungry minority-held water platform, and a declining-but-cash-generative HK tobacco/printing business; real estate is a drag carried at a heavy discount to the market value of its listed stakes. Base assumes the widening projects buy partial new toll periods after a gap, at lower equity returns, and the water business compounds at ~3% while consuming ~40% of its profit.</t>
  </si>
  <si>
    <t xml:space="preserve">Scenario narrative: bull</t>
  </si>
  <si>
    <t xml:space="preserve">Shanghai grants new toll periods on all three expressways as part of the widening programme with little interruption, water compounds at 5% as the 'environmental health' track absorbs disposal proceeds, tobacco holds up, and real estate turns to a modest contributor as core-city Shanghai stabilises.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</si>
  <si>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</si>
  <si>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</si>
  <si>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</si>
  <si>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</si>
  <si>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</si>
  <si>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</si>
  <si>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</si>
  <si>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</si>
  <si>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</si>
  <si>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</si>
  <si>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</si>
  <si>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</si>
  <si>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</si>
  <si>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</si>
  <si>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</si>
  <si>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</si>
  <si>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</si>
  <si>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</si>
  <si>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</si>
  <si>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</si>
  <si>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</si>
  <si>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</si>
  <si>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</si>
  <si>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</si>
  <si>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</si>
  <si>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</si>
  <si>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</si>
  <si>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ProfitForPeriodInclNCI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</si>
  <si>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</si>
  <si>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</si>
  <si>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</si>
  <si>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</si>
  <si>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</si>
  <si>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</si>
  <si>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</si>
  <si>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</si>
  <si>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</si>
  <si>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</si>
  <si>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</si>
  <si>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</si>
  <si>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</si>
  <si>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</si>
  <si>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</si>
  <si>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</si>
  <si>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</si>
  <si>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</si>
  <si>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</si>
  <si>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</si>
  <si>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</si>
  <si>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</si>
  <si>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</si>
  <si>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</si>
  <si>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</si>
  <si>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</si>
  <si>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</si>
  <si>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</si>
  <si>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</si>
  <si>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</si>
  <si>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</si>
  <si>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</si>
  <si>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</si>
  <si>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</si>
  <si>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</si>
  <si>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</si>
  <si>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</si>
  <si>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</si>
  <si>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</si>
  <si>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</si>
  <si>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</si>
  <si>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</si>
  <si>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</si>
  <si>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</si>
  <si>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</si>
  <si>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</si>
  <si>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0363.HK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</si>
  <si>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</si>
  <si>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</si>
  <si>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</si>
  <si>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</si>
  <si>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</si>
  <si>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</si>
  <si>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</si>
  <si>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</si>
  <si>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</si>
  <si>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</si>
  <si>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</si>
  <si>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</si>
  <si>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</si>
  <si>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</si>
  <si>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</si>
  <si>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</si>
  <si>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</si>
  <si>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</si>
  <si>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</si>
  <si>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</si>
  <si>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</si>
  <si>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</si>
  <si>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</si>
  <si>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</si>
  <si>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</si>
  <si>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</si>
  <si>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</si>
  <si>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</si>
  <si>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</si>
  <si>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</si>
  <si>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0363.HK owner-FCF component DCF: base case (millions, HKD)</t>
  </si>
  <si>
    <t xml:space="preserve">0363.HK owner-FCF component DCF: bull case (millions, HKD)</t>
  </si>
  <si>
    <t xml:space="preserve">0363.HK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</si>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</sst>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13.18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29520.325</v>
      </c>
      <c r="C2" s="0" t="n">
        <v>17678.032</v>
      </c>
      <c r="D2" s="0" t="n">
        <v>11842.293</v>
      </c>
      <c r="E2" s="0" t="n">
        <v>40.1</v>
      </c>
      <c r="I2" s="0" t="n">
        <v>3135.182</v>
      </c>
      <c r="J2" s="0" t="n">
        <v>10.6</v>
      </c>
      <c r="K2" s="0" t="n">
        <v>2.882</v>
      </c>
      <c r="L2" s="0" t="n">
        <v>3032.451</v>
      </c>
      <c r="M2" s="0" t="n">
        <v>872.058</v>
      </c>
      <c r="N2" s="0" t="n">
        <v>2160.393</v>
      </c>
      <c r="O2" s="0" t="n">
        <v>41742.566</v>
      </c>
      <c r="P2" s="0" t="n">
        <v>174382.141</v>
      </c>
      <c r="Q2" s="0" t="n">
        <v>103194.201</v>
      </c>
      <c r="R2" s="0" t="n">
        <v>53122.411</v>
      </c>
      <c r="S2" s="0" t="n">
        <v>32137.738</v>
      </c>
      <c r="T2" s="0" t="n">
        <v>1087.2116</v>
      </c>
      <c r="U2" s="0" t="n">
        <v>0</v>
      </c>
      <c r="AA2" s="0" t="s">
        <v>17</v>
      </c>
      <c r="AB2" s="0" t="s">
        <v>14</v>
      </c>
      <c r="AC2" s="0" t="n">
        <v>5134.725</v>
      </c>
    </row>
    <row r="3" customFormat="false" ht="15" hidden="false" customHeight="false" outlineLevel="0" collapsed="false">
      <c r="A3" s="0" t="s">
        <v>65</v>
      </c>
      <c r="B3" s="0" t="n">
        <v>30412.883</v>
      </c>
      <c r="C3" s="0" t="n">
        <v>18764.622</v>
      </c>
      <c r="D3" s="0" t="n">
        <v>11648.261</v>
      </c>
      <c r="E3" s="0" t="n">
        <v>38.3</v>
      </c>
      <c r="I3" s="0" t="n">
        <v>3333.02</v>
      </c>
      <c r="J3" s="0" t="n">
        <v>11</v>
      </c>
      <c r="K3" s="0" t="n">
        <v>3.065</v>
      </c>
      <c r="L3" s="0" t="n">
        <v>359.411</v>
      </c>
      <c r="M3" s="0" t="n">
        <v>609.166</v>
      </c>
      <c r="N3" s="0" t="n">
        <v>-249.755</v>
      </c>
      <c r="O3" s="0" t="n">
        <v>41275.296</v>
      </c>
      <c r="P3" s="0" t="n">
        <v>167419.445</v>
      </c>
      <c r="Q3" s="0" t="n">
        <v>97916.477</v>
      </c>
      <c r="R3" s="0" t="n">
        <v>51481.497</v>
      </c>
      <c r="S3" s="0" t="n">
        <v>25132.47</v>
      </c>
      <c r="T3" s="0" t="n">
        <v>1087.2116</v>
      </c>
      <c r="U3" s="0" t="n">
        <v>0</v>
      </c>
      <c r="AA3" s="0" t="s">
        <v>17</v>
      </c>
      <c r="AB3" s="0" t="s">
        <v>14</v>
      </c>
      <c r="AC3" s="0" t="n">
        <v>5093.671</v>
      </c>
    </row>
    <row r="4" customFormat="false" ht="15" hidden="false" customHeight="false" outlineLevel="0" collapsed="false">
      <c r="A4" s="0" t="s">
        <v>66</v>
      </c>
      <c r="B4" s="0" t="n">
        <v>32345.473</v>
      </c>
      <c r="C4" s="0" t="n">
        <v>19813.289</v>
      </c>
      <c r="D4" s="0" t="n">
        <v>12532.184</v>
      </c>
      <c r="E4" s="0" t="n">
        <v>38.7</v>
      </c>
      <c r="I4" s="0" t="n">
        <v>3349.531</v>
      </c>
      <c r="J4" s="0" t="n">
        <v>10.4</v>
      </c>
      <c r="K4" s="0" t="n">
        <v>3.081</v>
      </c>
      <c r="L4" s="0" t="n">
        <v>4884.617</v>
      </c>
      <c r="M4" s="0" t="n">
        <v>491.86</v>
      </c>
      <c r="N4" s="0" t="n">
        <v>4392.757</v>
      </c>
      <c r="O4" s="0" t="n">
        <v>40239.812</v>
      </c>
      <c r="P4" s="0" t="n">
        <v>174942.29</v>
      </c>
      <c r="Q4" s="0" t="n">
        <v>102137.73</v>
      </c>
      <c r="R4" s="0" t="n">
        <v>54427.588</v>
      </c>
      <c r="S4" s="0" t="n">
        <v>27904.781</v>
      </c>
      <c r="T4" s="0" t="n">
        <v>1087.2116</v>
      </c>
      <c r="U4" s="0" t="n">
        <v>0</v>
      </c>
      <c r="AA4" s="0" t="s">
        <v>17</v>
      </c>
      <c r="AB4" s="0" t="s">
        <v>14</v>
      </c>
      <c r="AC4" s="0" t="n">
        <v>5333.556</v>
      </c>
    </row>
    <row r="5" customFormat="false" ht="15" hidden="false" customHeight="false" outlineLevel="0" collapsed="false">
      <c r="A5" s="0" t="s">
        <v>67</v>
      </c>
      <c r="B5" s="0" t="n">
        <v>27137.601</v>
      </c>
      <c r="C5" s="0" t="n">
        <v>17319.822</v>
      </c>
      <c r="D5" s="0" t="n">
        <v>9817.779</v>
      </c>
      <c r="E5" s="0" t="n">
        <v>36.2</v>
      </c>
      <c r="I5" s="0" t="n">
        <v>2218.877</v>
      </c>
      <c r="J5" s="0" t="n">
        <v>8.2</v>
      </c>
      <c r="K5" s="0" t="n">
        <v>2.014</v>
      </c>
      <c r="L5" s="0" t="n">
        <v>6968.122</v>
      </c>
      <c r="M5" s="0" t="n">
        <v>219.545</v>
      </c>
      <c r="N5" s="0" t="n">
        <v>6748.577</v>
      </c>
      <c r="O5" s="0" t="n">
        <v>43678.766</v>
      </c>
      <c r="P5" s="0" t="n">
        <v>194882.37</v>
      </c>
      <c r="Q5" s="0" t="n">
        <v>112814.987</v>
      </c>
      <c r="R5" s="0" t="n">
        <v>56942.146</v>
      </c>
      <c r="S5" s="0" t="n">
        <v>28354.355</v>
      </c>
      <c r="T5" s="0" t="n">
        <v>1087.2116</v>
      </c>
      <c r="U5" s="0" t="n">
        <v>0</v>
      </c>
      <c r="AA5" s="0" t="s">
        <v>17</v>
      </c>
      <c r="AB5" s="0" t="s">
        <v>14</v>
      </c>
      <c r="AC5" s="0" t="n">
        <v>3923.143</v>
      </c>
    </row>
    <row r="6" customFormat="false" ht="15" hidden="false" customHeight="false" outlineLevel="0" collapsed="false">
      <c r="A6" s="0" t="s">
        <v>68</v>
      </c>
      <c r="B6" s="0" t="n">
        <v>38747.951</v>
      </c>
      <c r="C6" s="0" t="n">
        <v>23878.335</v>
      </c>
      <c r="D6" s="0" t="n">
        <v>14869.616</v>
      </c>
      <c r="E6" s="0" t="n">
        <v>38.4</v>
      </c>
      <c r="I6" s="0" t="n">
        <v>3745.505</v>
      </c>
      <c r="J6" s="0" t="n">
        <v>9.7</v>
      </c>
      <c r="K6" s="0" t="n">
        <v>3.429</v>
      </c>
      <c r="L6" s="0" t="n">
        <v>9559.455</v>
      </c>
      <c r="M6" s="0" t="n">
        <v>596.26</v>
      </c>
      <c r="N6" s="0" t="n">
        <v>8963.195</v>
      </c>
      <c r="O6" s="0" t="n">
        <v>47439.454</v>
      </c>
      <c r="P6" s="0" t="n">
        <v>207710.535</v>
      </c>
      <c r="Q6" s="0" t="n">
        <v>126352.834</v>
      </c>
      <c r="R6" s="0" t="n">
        <v>64257.135</v>
      </c>
      <c r="S6" s="0" t="n">
        <v>38149.742</v>
      </c>
      <c r="T6" s="0" t="n">
        <v>1087.2116</v>
      </c>
      <c r="U6" s="0" t="n">
        <v>0</v>
      </c>
      <c r="AA6" s="0" t="s">
        <v>17</v>
      </c>
      <c r="AB6" s="0" t="s">
        <v>14</v>
      </c>
      <c r="AC6" s="0" t="n">
        <v>4112.966</v>
      </c>
    </row>
    <row r="7" customFormat="false" ht="15" hidden="false" customHeight="false" outlineLevel="0" collapsed="false">
      <c r="A7" s="0" t="s">
        <v>69</v>
      </c>
      <c r="B7" s="0" t="n">
        <v>31348.592</v>
      </c>
      <c r="C7" s="0" t="n">
        <v>22317.753</v>
      </c>
      <c r="D7" s="0" t="n">
        <v>9030.839</v>
      </c>
      <c r="E7" s="0" t="n">
        <v>28.8</v>
      </c>
      <c r="I7" s="0" t="n">
        <v>2313.924</v>
      </c>
      <c r="J7" s="0" t="n">
        <v>7.4</v>
      </c>
      <c r="K7" s="0" t="n">
        <v>2.128</v>
      </c>
      <c r="L7" s="0" t="n">
        <v>526.181</v>
      </c>
      <c r="M7" s="0" t="n">
        <v>450.616</v>
      </c>
      <c r="N7" s="0" t="n">
        <v>75.565</v>
      </c>
      <c r="O7" s="0" t="n">
        <v>45524.021</v>
      </c>
      <c r="P7" s="0" t="n">
        <v>193933.752</v>
      </c>
      <c r="Q7" s="0" t="n">
        <v>117139.841</v>
      </c>
      <c r="R7" s="0" t="n">
        <v>58730.993</v>
      </c>
      <c r="S7" s="0" t="n">
        <v>28870.193</v>
      </c>
      <c r="T7" s="0" t="n">
        <v>1087.2116</v>
      </c>
      <c r="U7" s="0" t="n">
        <v>0</v>
      </c>
      <c r="AA7" s="0" t="s">
        <v>17</v>
      </c>
      <c r="AB7" s="0" t="s">
        <v>14</v>
      </c>
      <c r="AC7" s="0" t="n">
        <v>3329.77</v>
      </c>
    </row>
    <row r="8" customFormat="false" ht="15" hidden="false" customHeight="false" outlineLevel="0" collapsed="false">
      <c r="A8" s="0" t="s">
        <v>70</v>
      </c>
      <c r="B8" s="0" t="n">
        <v>32697.955</v>
      </c>
      <c r="C8" s="0" t="n">
        <v>19908.262</v>
      </c>
      <c r="D8" s="0" t="n">
        <v>12789.693</v>
      </c>
      <c r="E8" s="0" t="n">
        <v>39.1</v>
      </c>
      <c r="I8" s="0" t="n">
        <v>3423.695</v>
      </c>
      <c r="J8" s="0" t="n">
        <v>10.5</v>
      </c>
      <c r="K8" s="0" t="n">
        <v>3.149</v>
      </c>
      <c r="L8" s="0" t="n">
        <v>4354.928</v>
      </c>
      <c r="M8" s="0" t="n">
        <v>1010.811</v>
      </c>
      <c r="N8" s="0" t="n">
        <v>3344.117</v>
      </c>
      <c r="O8" s="0" t="n">
        <v>46603.04</v>
      </c>
      <c r="P8" s="0" t="n">
        <v>179311.612</v>
      </c>
      <c r="Q8" s="0" t="n">
        <v>101851.509</v>
      </c>
      <c r="R8" s="0" t="n">
        <v>58663.361</v>
      </c>
      <c r="S8" s="0" t="n">
        <v>25225.026</v>
      </c>
      <c r="T8" s="0" t="n">
        <v>1087.2116</v>
      </c>
      <c r="U8" s="0" t="n">
        <v>0</v>
      </c>
      <c r="AA8" s="0" t="s">
        <v>17</v>
      </c>
      <c r="AB8" s="0" t="s">
        <v>14</v>
      </c>
      <c r="AC8" s="0" t="n">
        <v>4525.667</v>
      </c>
    </row>
    <row r="9" customFormat="false" ht="15" hidden="false" customHeight="false" outlineLevel="0" collapsed="false">
      <c r="A9" s="0" t="s">
        <v>71</v>
      </c>
      <c r="B9" s="0" t="n">
        <v>28917.697</v>
      </c>
      <c r="C9" s="0" t="n">
        <v>21016.595</v>
      </c>
      <c r="D9" s="0" t="n">
        <v>7901.102</v>
      </c>
      <c r="E9" s="0" t="n">
        <v>27.3</v>
      </c>
      <c r="I9" s="0" t="n">
        <v>2807.653</v>
      </c>
      <c r="J9" s="0" t="n">
        <v>9.7</v>
      </c>
      <c r="K9" s="0" t="n">
        <v>2.582</v>
      </c>
      <c r="L9" s="0" t="n">
        <v>4813.265</v>
      </c>
      <c r="M9" s="0" t="n">
        <v>374.228</v>
      </c>
      <c r="N9" s="0" t="n">
        <v>4439.037</v>
      </c>
      <c r="O9" s="0" t="n">
        <v>47570.505</v>
      </c>
      <c r="P9" s="0" t="n">
        <v>168512.693</v>
      </c>
      <c r="Q9" s="0" t="n">
        <v>90219.363</v>
      </c>
      <c r="R9" s="0" t="n">
        <v>59479.093</v>
      </c>
      <c r="S9" s="0" t="n">
        <v>20841.493</v>
      </c>
      <c r="T9" s="0" t="n">
        <v>1087.2116</v>
      </c>
      <c r="U9" s="0" t="n">
        <v>0</v>
      </c>
      <c r="AA9" s="0" t="s">
        <v>17</v>
      </c>
      <c r="AB9" s="0" t="s">
        <v>14</v>
      </c>
      <c r="AC9" s="0" t="n">
        <v>3002.324</v>
      </c>
    </row>
    <row r="10" customFormat="false" ht="15" hidden="false" customHeight="false" outlineLevel="0" collapsed="false">
      <c r="A10" s="0" t="s">
        <v>72</v>
      </c>
      <c r="B10" s="0" t="n">
        <v>20831.514</v>
      </c>
      <c r="C10" s="0" t="n">
        <v>14629.646</v>
      </c>
      <c r="D10" s="0" t="n">
        <v>6201.868</v>
      </c>
      <c r="E10" s="0" t="n">
        <v>29.8</v>
      </c>
      <c r="I10" s="0" t="n">
        <v>2019.868</v>
      </c>
      <c r="J10" s="0" t="n">
        <v>9.7</v>
      </c>
      <c r="K10" s="0" t="n">
        <v>1.858</v>
      </c>
      <c r="L10" s="0" t="n">
        <v>8787.009</v>
      </c>
      <c r="M10" s="0" t="n">
        <v>362.762</v>
      </c>
      <c r="N10" s="0" t="n">
        <v>8424.247</v>
      </c>
      <c r="O10" s="0" t="n">
        <v>50155.543</v>
      </c>
      <c r="P10" s="0" t="n">
        <v>164965.711</v>
      </c>
      <c r="Q10" s="0" t="n">
        <v>83236.045</v>
      </c>
      <c r="R10" s="0" t="n">
        <v>55621.108</v>
      </c>
      <c r="S10" s="0" t="n">
        <v>28241.335</v>
      </c>
      <c r="T10" s="0" t="n">
        <v>1087.2116</v>
      </c>
      <c r="U10" s="0" t="n">
        <v>0</v>
      </c>
      <c r="AA10" s="0" t="s">
        <v>17</v>
      </c>
      <c r="AB10" s="0" t="s">
        <v>14</v>
      </c>
      <c r="AC10" s="0" t="n">
        <v>1771.91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13.18</v>
      </c>
    </row>
    <row r="3" customFormat="false" ht="15" hidden="false" customHeight="false" outlineLevel="0" collapsed="false">
      <c r="A3" s="0" t="s">
        <v>76</v>
      </c>
      <c r="B3" s="3" t="n">
        <v>1087.212</v>
      </c>
    </row>
    <row r="4" customFormat="false" ht="15" hidden="false" customHeight="false" outlineLevel="0" collapsed="false">
      <c r="A4" s="0" t="s">
        <v>77</v>
      </c>
      <c r="B4" s="3" t="n">
        <v>0</v>
      </c>
    </row>
    <row r="5" customFormat="false" ht="15" hidden="false" customHeight="false" outlineLevel="0" collapsed="false">
      <c r="A5" s="0" t="s">
        <v>78</v>
      </c>
      <c r="B5" s="3" t="n">
        <v>2000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2527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-18.48</v>
      </c>
      <c r="D13" s="3" t="n">
        <v>-9.43</v>
      </c>
      <c r="E13" s="3" t="n">
        <v>-22.12</v>
      </c>
      <c r="F13" s="3" t="n">
        <v>-15.92</v>
      </c>
      <c r="G13" s="3" t="n">
        <v>-2.46</v>
      </c>
      <c r="H13" s="3" t="n">
        <v>-42.7</v>
      </c>
      <c r="I13" s="3" t="n">
        <v>-2.59</v>
      </c>
      <c r="J13" s="3" t="n">
        <v>-2.49</v>
      </c>
      <c r="K13" s="3" t="n">
        <v>-2.39</v>
      </c>
      <c r="L13" s="3" t="n">
        <v>-2.28</v>
      </c>
    </row>
    <row r="14" customFormat="false" ht="15" hidden="false" customHeight="false" outlineLevel="0" collapsed="false">
      <c r="A14" s="0" t="s">
        <v>97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101</v>
      </c>
      <c r="C18" s="3" t="n">
        <v>9.71</v>
      </c>
      <c r="D18" s="3" t="n">
        <v>10.72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 customFormat="false" ht="15" hidden="false" customHeight="false" outlineLevel="0" collapsed="false">
      <c r="A19" s="0" t="s">
        <v>102</v>
      </c>
      <c r="C19" s="3" t="n">
        <v>4</v>
      </c>
      <c r="D19" s="3" t="n">
        <v>4</v>
      </c>
      <c r="E19" s="3" t="n">
        <v>4</v>
      </c>
      <c r="F19" s="3" t="n">
        <v>4</v>
      </c>
      <c r="G19" s="3" t="n">
        <v>4</v>
      </c>
      <c r="H19" s="3" t="n">
        <v>4</v>
      </c>
      <c r="I19" s="3" t="n">
        <v>4</v>
      </c>
      <c r="J19" s="3" t="n">
        <v>4</v>
      </c>
      <c r="K19" s="3" t="n">
        <v>4</v>
      </c>
      <c r="L19" s="3" t="n">
        <v>4</v>
      </c>
    </row>
    <row r="20" customFormat="false" ht="15" hidden="false" customHeight="false" outlineLevel="0" collapsed="false">
      <c r="A20" s="0" t="s">
        <v>103</v>
      </c>
      <c r="B20" s="3" t="n">
        <v>11</v>
      </c>
    </row>
    <row r="21" customFormat="false" ht="15" hidden="false" customHeight="false" outlineLevel="0" collapsed="false">
      <c r="A21" s="0" t="s">
        <v>104</v>
      </c>
      <c r="B21" s="3" t="n">
        <v>0</v>
      </c>
    </row>
    <row r="22" customFormat="false" ht="15" hidden="false" customHeight="false" outlineLevel="0" collapsed="false">
      <c r="A22" s="0" t="s">
        <v>105</v>
      </c>
      <c r="B22" s="3" t="n">
        <v>9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-4.23</v>
      </c>
      <c r="D27" s="3" t="n">
        <v>-5.35</v>
      </c>
      <c r="E27" s="3" t="n">
        <v>-17.54</v>
      </c>
      <c r="F27" s="3" t="n">
        <v>-13.35</v>
      </c>
      <c r="G27" s="3" t="n">
        <v>14.63</v>
      </c>
      <c r="H27" s="3" t="n">
        <v>-35.55</v>
      </c>
      <c r="I27" s="3" t="n">
        <v>40.83</v>
      </c>
      <c r="J27" s="3" t="n">
        <v>1.14</v>
      </c>
      <c r="K27" s="3" t="n">
        <v>1.17</v>
      </c>
      <c r="L27" s="3" t="n">
        <v>1.19</v>
      </c>
    </row>
    <row r="28" customFormat="false" ht="15" hidden="false" customHeight="false" outlineLevel="0" collapsed="false">
      <c r="A28" s="0" t="s">
        <v>97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101</v>
      </c>
      <c r="C32" s="3" t="n">
        <v>12.4</v>
      </c>
      <c r="D32" s="3" t="n">
        <v>21.83</v>
      </c>
      <c r="E32" s="3" t="n">
        <v>26.47</v>
      </c>
      <c r="F32" s="3" t="n">
        <v>30.55</v>
      </c>
      <c r="G32" s="3" t="n">
        <v>21.32</v>
      </c>
      <c r="H32" s="3" t="n">
        <v>33.08</v>
      </c>
      <c r="I32" s="3" t="n">
        <v>20.55</v>
      </c>
      <c r="J32" s="3" t="n">
        <v>14.51</v>
      </c>
      <c r="K32" s="3" t="n">
        <v>8.61</v>
      </c>
      <c r="L32" s="3" t="n">
        <v>8.51</v>
      </c>
    </row>
    <row r="33" customFormat="false" ht="15" hidden="false" customHeight="false" outlineLevel="0" collapsed="false">
      <c r="A33" s="0" t="s">
        <v>102</v>
      </c>
      <c r="C33" s="3" t="n">
        <v>4</v>
      </c>
      <c r="D33" s="3" t="n">
        <v>4</v>
      </c>
      <c r="E33" s="3" t="n">
        <v>4</v>
      </c>
      <c r="F33" s="3" t="n">
        <v>4</v>
      </c>
      <c r="G33" s="3" t="n">
        <v>4</v>
      </c>
      <c r="H33" s="3" t="n">
        <v>4</v>
      </c>
      <c r="I33" s="3" t="n">
        <v>4</v>
      </c>
      <c r="J33" s="3" t="n">
        <v>4</v>
      </c>
      <c r="K33" s="3" t="n">
        <v>4</v>
      </c>
      <c r="L33" s="3" t="n">
        <v>4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1</v>
      </c>
    </row>
    <row r="36" customFormat="false" ht="15" hidden="false" customHeight="false" outlineLevel="0" collapsed="false">
      <c r="A36" s="0" t="s">
        <v>105</v>
      </c>
      <c r="B36" s="3" t="n">
        <v>11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-1.07</v>
      </c>
      <c r="D41" s="3" t="n">
        <v>-2.3</v>
      </c>
      <c r="E41" s="3" t="n">
        <v>-3.13</v>
      </c>
      <c r="F41" s="3" t="n">
        <v>-1.06</v>
      </c>
      <c r="G41" s="3" t="n">
        <v>9.66</v>
      </c>
      <c r="H41" s="3" t="n">
        <v>-4.78</v>
      </c>
      <c r="I41" s="3" t="n">
        <v>5.27</v>
      </c>
      <c r="J41" s="3" t="n">
        <v>3.12</v>
      </c>
      <c r="K41" s="3" t="n">
        <v>2.7</v>
      </c>
      <c r="L41" s="3" t="n">
        <v>2.69</v>
      </c>
    </row>
    <row r="42" customFormat="false" ht="15" hidden="false" customHeight="false" outlineLevel="0" collapsed="false">
      <c r="A42" s="0" t="s">
        <v>97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101</v>
      </c>
      <c r="C46" s="3" t="n">
        <v>12</v>
      </c>
      <c r="D46" s="3" t="n">
        <v>20.47</v>
      </c>
      <c r="E46" s="3" t="n">
        <v>25.36</v>
      </c>
      <c r="F46" s="3" t="n">
        <v>25.63</v>
      </c>
      <c r="G46" s="3" t="n">
        <v>23.37</v>
      </c>
      <c r="H46" s="3" t="n">
        <v>20.46</v>
      </c>
      <c r="I46" s="3" t="n">
        <v>15.55</v>
      </c>
      <c r="J46" s="3" t="n">
        <v>11.31</v>
      </c>
      <c r="K46" s="3" t="n">
        <v>9.17</v>
      </c>
      <c r="L46" s="3" t="n">
        <v>8.93</v>
      </c>
    </row>
    <row r="47" customFormat="false" ht="15" hidden="false" customHeight="false" outlineLevel="0" collapsed="false">
      <c r="A47" s="0" t="s">
        <v>102</v>
      </c>
      <c r="C47" s="3" t="n">
        <v>4</v>
      </c>
      <c r="D47" s="3" t="n">
        <v>4</v>
      </c>
      <c r="E47" s="3" t="n">
        <v>4</v>
      </c>
      <c r="F47" s="3" t="n">
        <v>4</v>
      </c>
      <c r="G47" s="3" t="n">
        <v>4</v>
      </c>
      <c r="H47" s="3" t="n">
        <v>4</v>
      </c>
      <c r="I47" s="3" t="n">
        <v>4</v>
      </c>
      <c r="J47" s="3" t="n">
        <v>4</v>
      </c>
      <c r="K47" s="3" t="n">
        <v>4</v>
      </c>
      <c r="L47" s="3" t="n">
        <v>4</v>
      </c>
    </row>
    <row r="48" customFormat="false" ht="15" hidden="false" customHeight="false" outlineLevel="0" collapsed="false">
      <c r="A48" s="0" t="s">
        <v>103</v>
      </c>
      <c r="B48" s="3" t="n">
        <v>9.5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13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-18.48</v>
      </c>
      <c r="D5" s="4" t="n">
        <f aca="false">Assumptions!D13</f>
        <v>-9.43</v>
      </c>
      <c r="E5" s="4" t="n">
        <f aca="false">Assumptions!E13</f>
        <v>-22.12</v>
      </c>
      <c r="F5" s="4" t="n">
        <f aca="false">Assumptions!F13</f>
        <v>-15.92</v>
      </c>
      <c r="G5" s="4" t="n">
        <f aca="false">Assumptions!G13</f>
        <v>-2.46</v>
      </c>
      <c r="H5" s="4" t="n">
        <f aca="false">Assumptions!H13</f>
        <v>-42.7</v>
      </c>
      <c r="I5" s="4" t="n">
        <f aca="false">Assumptions!I13</f>
        <v>-2.59</v>
      </c>
      <c r="J5" s="4" t="n">
        <f aca="false">Assumptions!J13</f>
        <v>-2.49</v>
      </c>
      <c r="K5" s="4" t="n">
        <f aca="false">Assumptions!K13</f>
        <v>-2.39</v>
      </c>
      <c r="L5" s="4" t="n">
        <f aca="false">Assumptions!L13</f>
        <v>-2.28</v>
      </c>
    </row>
    <row r="6" customFormat="false" ht="15" hidden="false" customHeight="false" outlineLevel="0" collapsed="false">
      <c r="A6" s="0" t="s">
        <v>37</v>
      </c>
      <c r="B6" s="3" t="n">
        <v>2527</v>
      </c>
      <c r="C6" s="0" t="n">
        <f aca="false">B6*(1+C5/100)</f>
        <v>2060.0104</v>
      </c>
      <c r="D6" s="0" t="n">
        <f aca="false">C6*(1+D5/100)</f>
        <v>1865.75141928</v>
      </c>
      <c r="E6" s="0" t="n">
        <f aca="false">D6*(1+E5/100)</f>
        <v>1453.04720533526</v>
      </c>
      <c r="F6" s="0" t="n">
        <f aca="false">E6*(1+F5/100)</f>
        <v>1221.72209024589</v>
      </c>
      <c r="G6" s="0" t="n">
        <f aca="false">F6*(1+G5/100)</f>
        <v>1191.66772682584</v>
      </c>
      <c r="H6" s="0" t="n">
        <f aca="false">G6*(1+H5/100)</f>
        <v>682.825607471207</v>
      </c>
      <c r="I6" s="0" t="n">
        <f aca="false">H6*(1+I5/100)</f>
        <v>665.140424237703</v>
      </c>
      <c r="J6" s="0" t="n">
        <f aca="false">I6*(1+J5/100)</f>
        <v>648.578427674184</v>
      </c>
      <c r="K6" s="0" t="n">
        <f aca="false">J6*(1+K5/100)</f>
        <v>633.077403252771</v>
      </c>
      <c r="L6" s="0" t="n">
        <f aca="false">K6*(1+L5/100)</f>
        <v>618.643238458608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2060.0104</v>
      </c>
      <c r="D8" s="0" t="n">
        <f aca="false">D6*D7/100</f>
        <v>1865.75141928</v>
      </c>
      <c r="E8" s="0" t="n">
        <f aca="false">E6*E7/100</f>
        <v>1453.04720533526</v>
      </c>
      <c r="F8" s="0" t="n">
        <f aca="false">F6*F7/100</f>
        <v>1221.72209024589</v>
      </c>
      <c r="G8" s="0" t="n">
        <f aca="false">G6*G7/100</f>
        <v>1191.66772682584</v>
      </c>
      <c r="H8" s="0" t="n">
        <f aca="false">H6*H7/100</f>
        <v>682.825607471207</v>
      </c>
      <c r="I8" s="0" t="n">
        <f aca="false">I6*I7/100</f>
        <v>665.140424237703</v>
      </c>
      <c r="J8" s="0" t="n">
        <f aca="false">J6*J7/100</f>
        <v>648.578427674184</v>
      </c>
      <c r="K8" s="0" t="n">
        <f aca="false">K6*K7/100</f>
        <v>633.077403252771</v>
      </c>
      <c r="L8" s="0" t="n">
        <f aca="false">L6*L7/100</f>
        <v>618.643238458608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2060.0104</v>
      </c>
      <c r="D11" s="0" t="n">
        <f aca="false">D8+D10+D24</f>
        <v>1865.75141928</v>
      </c>
      <c r="E11" s="0" t="n">
        <f aca="false">E8+E10+E24</f>
        <v>1453.04720533526</v>
      </c>
      <c r="F11" s="0" t="n">
        <f aca="false">F8+F10+F24</f>
        <v>1221.72209024589</v>
      </c>
      <c r="G11" s="0" t="n">
        <f aca="false">G8+G10+G24</f>
        <v>1191.66772682584</v>
      </c>
      <c r="H11" s="0" t="n">
        <f aca="false">H8+H10+H24</f>
        <v>682.825607471207</v>
      </c>
      <c r="I11" s="0" t="n">
        <f aca="false">I8+I10+I24</f>
        <v>665.140424237703</v>
      </c>
      <c r="J11" s="0" t="n">
        <f aca="false">J8+J10+J24</f>
        <v>648.578427674184</v>
      </c>
      <c r="K11" s="0" t="n">
        <f aca="false">K8+K10+K24</f>
        <v>633.077403252771</v>
      </c>
      <c r="L11" s="0" t="n">
        <f aca="false">L8+L10+L24</f>
        <v>618.643238458608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2060.0104</v>
      </c>
      <c r="D13" s="0" t="n">
        <f aca="false">D11+D12</f>
        <v>1865.75141928</v>
      </c>
      <c r="E13" s="0" t="n">
        <f aca="false">E11+E12</f>
        <v>1453.04720533526</v>
      </c>
      <c r="F13" s="0" t="n">
        <f aca="false">F11+F12</f>
        <v>1221.72209024589</v>
      </c>
      <c r="G13" s="0" t="n">
        <f aca="false">G11+G12</f>
        <v>1191.66772682584</v>
      </c>
      <c r="H13" s="0" t="n">
        <f aca="false">H11+H12</f>
        <v>682.825607471207</v>
      </c>
      <c r="I13" s="0" t="n">
        <f aca="false">I11+I12</f>
        <v>665.140424237703</v>
      </c>
      <c r="J13" s="0" t="n">
        <f aca="false">J11+J12</f>
        <v>648.578427674184</v>
      </c>
      <c r="K13" s="0" t="n">
        <f aca="false">K11+K12</f>
        <v>633.077403252771</v>
      </c>
      <c r="L13" s="0" t="n">
        <f aca="false">L11+L12</f>
        <v>618.643238458608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4</v>
      </c>
      <c r="D14" s="4" t="n">
        <f aca="false">Assumptions!D19</f>
        <v>4</v>
      </c>
      <c r="E14" s="4" t="n">
        <f aca="false">Assumptions!E19</f>
        <v>4</v>
      </c>
      <c r="F14" s="4" t="n">
        <f aca="false">Assumptions!F19</f>
        <v>4</v>
      </c>
      <c r="G14" s="4" t="n">
        <f aca="false">Assumptions!G19</f>
        <v>4</v>
      </c>
      <c r="H14" s="4" t="n">
        <f aca="false">Assumptions!H19</f>
        <v>4</v>
      </c>
      <c r="I14" s="4" t="n">
        <f aca="false">Assumptions!I19</f>
        <v>4</v>
      </c>
      <c r="J14" s="4" t="n">
        <f aca="false">Assumptions!J19</f>
        <v>4</v>
      </c>
      <c r="K14" s="4" t="n">
        <f aca="false">Assumptions!K19</f>
        <v>4</v>
      </c>
      <c r="L14" s="4" t="n">
        <f aca="false">Assumptions!L19</f>
        <v>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1977.609984</v>
      </c>
      <c r="D15" s="0" t="n">
        <f aca="false">D13-MAX(0,D13)*D14/100</f>
        <v>1791.1213625088</v>
      </c>
      <c r="E15" s="0" t="n">
        <f aca="false">E13-MAX(0,E13)*E14/100</f>
        <v>1394.92531712185</v>
      </c>
      <c r="F15" s="0" t="n">
        <f aca="false">F13-MAX(0,F13)*F14/100</f>
        <v>1172.85320663605</v>
      </c>
      <c r="G15" s="0" t="n">
        <f aca="false">G13-MAX(0,G13)*G14/100</f>
        <v>1144.00101775281</v>
      </c>
      <c r="H15" s="0" t="n">
        <f aca="false">H13-MAX(0,H13)*H14/100</f>
        <v>655.512583172359</v>
      </c>
      <c r="I15" s="0" t="n">
        <f aca="false">I13-MAX(0,I13)*I14/100</f>
        <v>638.534807268195</v>
      </c>
      <c r="J15" s="0" t="n">
        <f aca="false">J13-MAX(0,J13)*J14/100</f>
        <v>622.635290567216</v>
      </c>
      <c r="K15" s="0" t="n">
        <f aca="false">K13-MAX(0,K13)*K14/100</f>
        <v>607.75430712266</v>
      </c>
      <c r="L15" s="0" t="n">
        <f aca="false">L13-MAX(0,L13)*L14/100</f>
        <v>593.897508920263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-200.02700984</v>
      </c>
      <c r="D17" s="4" t="n">
        <f aca="false">-D6*Assumptions!D18/100</f>
        <v>-200.008552146816</v>
      </c>
      <c r="E17" s="4" t="n">
        <f aca="false">-E6*Assumptions!E18/100</f>
        <v>-0</v>
      </c>
      <c r="F17" s="4" t="n">
        <f aca="false">-F6*Assumptions!F18/100</f>
        <v>-0</v>
      </c>
      <c r="G17" s="4" t="n">
        <f aca="false">-G6*Assumptions!G18/100</f>
        <v>-0</v>
      </c>
      <c r="H17" s="4" t="n">
        <f aca="false">-H6*Assumptions!H18/100</f>
        <v>-0</v>
      </c>
      <c r="I17" s="4" t="n">
        <f aca="false">-I6*Assumptions!I18/100</f>
        <v>-0</v>
      </c>
      <c r="J17" s="4" t="n">
        <f aca="false">-J6*Assumptions!J18/100</f>
        <v>-0</v>
      </c>
      <c r="K17" s="4" t="n">
        <f aca="false">-K6*Assumptions!K18/100</f>
        <v>-0</v>
      </c>
      <c r="L17" s="4" t="n">
        <f aca="false">-L6*Assumptions!L18/100</f>
        <v>-0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1777.58297416</v>
      </c>
      <c r="D19" s="0" t="n">
        <f aca="false">D15+D16+D17+D18</f>
        <v>1591.11281036198</v>
      </c>
      <c r="E19" s="0" t="n">
        <f aca="false">E15+E16+E17+E18</f>
        <v>1394.92531712185</v>
      </c>
      <c r="F19" s="0" t="n">
        <f aca="false">F15+F16+F17+F18</f>
        <v>1172.85320663605</v>
      </c>
      <c r="G19" s="0" t="n">
        <f aca="false">G15+G16+G17+G18</f>
        <v>1144.00101775281</v>
      </c>
      <c r="H19" s="0" t="n">
        <f aca="false">H15+H16+H17+H18</f>
        <v>655.512583172359</v>
      </c>
      <c r="I19" s="0" t="n">
        <f aca="false">I15+I16+I17+I18</f>
        <v>638.534807268195</v>
      </c>
      <c r="J19" s="0" t="n">
        <f aca="false">J15+J16+J17+J18</f>
        <v>622.635290567216</v>
      </c>
      <c r="K19" s="0" t="n">
        <f aca="false">K15+K16+K17+K18</f>
        <v>607.75430712266</v>
      </c>
      <c r="L19" s="0" t="n">
        <f aca="false">L15+L16+L17+L18</f>
        <v>593.897508920263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1601.42610284685</v>
      </c>
      <c r="D21" s="0" t="n">
        <f aca="false">D19*D20</f>
        <v>1291.38285071178</v>
      </c>
      <c r="E21" s="0" t="n">
        <f aca="false">E19*E20</f>
        <v>1019.95736943799</v>
      </c>
      <c r="F21" s="0" t="n">
        <f aca="false">F19*F20</f>
        <v>772.594735336455</v>
      </c>
      <c r="G21" s="0" t="n">
        <f aca="false">G19*G20</f>
        <v>678.908923285746</v>
      </c>
      <c r="H21" s="0" t="n">
        <f aca="false">H19*H20</f>
        <v>350.463795533993</v>
      </c>
      <c r="I21" s="0" t="n">
        <f aca="false">I19*I20</f>
        <v>307.555660567264</v>
      </c>
      <c r="J21" s="0" t="n">
        <f aca="false">J19*J20</f>
        <v>270.177950107332</v>
      </c>
      <c r="K21" s="0" t="n">
        <f aca="false">K19*K20</f>
        <v>237.586213603394</v>
      </c>
      <c r="L21" s="0" t="n">
        <f aca="false">L19*L20</f>
        <v>209.161484624537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6739.21508605534</v>
      </c>
    </row>
    <row r="31" customFormat="false" ht="15" hidden="false" customHeight="false" outlineLevel="0" collapsed="false">
      <c r="A31" s="0" t="s">
        <v>127</v>
      </c>
      <c r="B31" s="0" t="n">
        <f aca="false">L19</f>
        <v>593.897508920263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5399.06826291148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5345.07758028237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5345.07758028237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1882.45336162084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8621.66844767618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10621.6684476762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9.76963871597828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-0.258752752960677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9.76963871597828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3959.31672613509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8.21422669351537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-4.23</v>
      </c>
      <c r="D5" s="4" t="n">
        <f aca="false">Assumptions!D27</f>
        <v>-5.35</v>
      </c>
      <c r="E5" s="4" t="n">
        <f aca="false">Assumptions!E27</f>
        <v>-17.54</v>
      </c>
      <c r="F5" s="4" t="n">
        <f aca="false">Assumptions!F27</f>
        <v>-13.35</v>
      </c>
      <c r="G5" s="4" t="n">
        <f aca="false">Assumptions!G27</f>
        <v>14.63</v>
      </c>
      <c r="H5" s="4" t="n">
        <f aca="false">Assumptions!H27</f>
        <v>-35.55</v>
      </c>
      <c r="I5" s="4" t="n">
        <f aca="false">Assumptions!I27</f>
        <v>40.83</v>
      </c>
      <c r="J5" s="4" t="n">
        <f aca="false">Assumptions!J27</f>
        <v>1.14</v>
      </c>
      <c r="K5" s="4" t="n">
        <f aca="false">Assumptions!K27</f>
        <v>1.17</v>
      </c>
      <c r="L5" s="4" t="n">
        <f aca="false">Assumptions!L27</f>
        <v>1.19</v>
      </c>
    </row>
    <row r="6" customFormat="false" ht="15" hidden="false" customHeight="false" outlineLevel="0" collapsed="false">
      <c r="A6" s="0" t="s">
        <v>37</v>
      </c>
      <c r="B6" s="3" t="n">
        <v>2527</v>
      </c>
      <c r="C6" s="0" t="n">
        <f aca="false">B6*(1+C5/100)</f>
        <v>2420.1079</v>
      </c>
      <c r="D6" s="0" t="n">
        <f aca="false">C6*(1+D5/100)</f>
        <v>2290.63212735</v>
      </c>
      <c r="E6" s="0" t="n">
        <f aca="false">D6*(1+E5/100)</f>
        <v>1888.85525221281</v>
      </c>
      <c r="F6" s="0" t="n">
        <f aca="false">E6*(1+F5/100)</f>
        <v>1636.6930760424</v>
      </c>
      <c r="G6" s="0" t="n">
        <f aca="false">F6*(1+G5/100)</f>
        <v>1876.1412730674</v>
      </c>
      <c r="H6" s="0" t="n">
        <f aca="false">G6*(1+H5/100)</f>
        <v>1209.17305049194</v>
      </c>
      <c r="I6" s="0" t="n">
        <f aca="false">H6*(1+I5/100)</f>
        <v>1702.8784070078</v>
      </c>
      <c r="J6" s="0" t="n">
        <f aca="false">I6*(1+J5/100)</f>
        <v>1722.29122084769</v>
      </c>
      <c r="K6" s="0" t="n">
        <f aca="false">J6*(1+K5/100)</f>
        <v>1742.44202813161</v>
      </c>
      <c r="L6" s="0" t="n">
        <f aca="false">K6*(1+L5/100)</f>
        <v>1763.17708826637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2420.1079</v>
      </c>
      <c r="D8" s="0" t="n">
        <f aca="false">D6*D7/100</f>
        <v>2290.63212735</v>
      </c>
      <c r="E8" s="0" t="n">
        <f aca="false">E6*E7/100</f>
        <v>1888.85525221281</v>
      </c>
      <c r="F8" s="0" t="n">
        <f aca="false">F6*F7/100</f>
        <v>1636.6930760424</v>
      </c>
      <c r="G8" s="0" t="n">
        <f aca="false">G6*G7/100</f>
        <v>1876.1412730674</v>
      </c>
      <c r="H8" s="0" t="n">
        <f aca="false">H6*H7/100</f>
        <v>1209.17305049194</v>
      </c>
      <c r="I8" s="0" t="n">
        <f aca="false">I6*I7/100</f>
        <v>1702.8784070078</v>
      </c>
      <c r="J8" s="0" t="n">
        <f aca="false">J6*J7/100</f>
        <v>1722.29122084769</v>
      </c>
      <c r="K8" s="0" t="n">
        <f aca="false">K6*K7/100</f>
        <v>1742.44202813161</v>
      </c>
      <c r="L8" s="0" t="n">
        <f aca="false">L6*L7/100</f>
        <v>1763.17708826637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2420.1079</v>
      </c>
      <c r="D11" s="0" t="n">
        <f aca="false">D8+D10+D24</f>
        <v>2290.63212735</v>
      </c>
      <c r="E11" s="0" t="n">
        <f aca="false">E8+E10+E24</f>
        <v>1888.85525221281</v>
      </c>
      <c r="F11" s="0" t="n">
        <f aca="false">F8+F10+F24</f>
        <v>1636.6930760424</v>
      </c>
      <c r="G11" s="0" t="n">
        <f aca="false">G8+G10+G24</f>
        <v>1876.1412730674</v>
      </c>
      <c r="H11" s="0" t="n">
        <f aca="false">H8+H10+H24</f>
        <v>1209.17305049194</v>
      </c>
      <c r="I11" s="0" t="n">
        <f aca="false">I8+I10+I24</f>
        <v>1702.8784070078</v>
      </c>
      <c r="J11" s="0" t="n">
        <f aca="false">J8+J10+J24</f>
        <v>1722.29122084769</v>
      </c>
      <c r="K11" s="0" t="n">
        <f aca="false">K8+K10+K24</f>
        <v>1742.44202813161</v>
      </c>
      <c r="L11" s="0" t="n">
        <f aca="false">L8+L10+L24</f>
        <v>1763.17708826637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2420.1079</v>
      </c>
      <c r="D13" s="0" t="n">
        <f aca="false">D11+D12</f>
        <v>2290.63212735</v>
      </c>
      <c r="E13" s="0" t="n">
        <f aca="false">E11+E12</f>
        <v>1888.85525221281</v>
      </c>
      <c r="F13" s="0" t="n">
        <f aca="false">F11+F12</f>
        <v>1636.6930760424</v>
      </c>
      <c r="G13" s="0" t="n">
        <f aca="false">G11+G12</f>
        <v>1876.1412730674</v>
      </c>
      <c r="H13" s="0" t="n">
        <f aca="false">H11+H12</f>
        <v>1209.17305049194</v>
      </c>
      <c r="I13" s="0" t="n">
        <f aca="false">I11+I12</f>
        <v>1702.8784070078</v>
      </c>
      <c r="J13" s="0" t="n">
        <f aca="false">J11+J12</f>
        <v>1722.29122084769</v>
      </c>
      <c r="K13" s="0" t="n">
        <f aca="false">K11+K12</f>
        <v>1742.44202813161</v>
      </c>
      <c r="L13" s="0" t="n">
        <f aca="false">L11+L12</f>
        <v>1763.17708826637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4</v>
      </c>
      <c r="D14" s="4" t="n">
        <f aca="false">Assumptions!D33</f>
        <v>4</v>
      </c>
      <c r="E14" s="4" t="n">
        <f aca="false">Assumptions!E33</f>
        <v>4</v>
      </c>
      <c r="F14" s="4" t="n">
        <f aca="false">Assumptions!F33</f>
        <v>4</v>
      </c>
      <c r="G14" s="4" t="n">
        <f aca="false">Assumptions!G33</f>
        <v>4</v>
      </c>
      <c r="H14" s="4" t="n">
        <f aca="false">Assumptions!H33</f>
        <v>4</v>
      </c>
      <c r="I14" s="4" t="n">
        <f aca="false">Assumptions!I33</f>
        <v>4</v>
      </c>
      <c r="J14" s="4" t="n">
        <f aca="false">Assumptions!J33</f>
        <v>4</v>
      </c>
      <c r="K14" s="4" t="n">
        <f aca="false">Assumptions!K33</f>
        <v>4</v>
      </c>
      <c r="L14" s="4" t="n">
        <f aca="false">Assumptions!L33</f>
        <v>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2323.303584</v>
      </c>
      <c r="D15" s="0" t="n">
        <f aca="false">D13-MAX(0,D13)*D14/100</f>
        <v>2199.006842256</v>
      </c>
      <c r="E15" s="0" t="n">
        <f aca="false">E13-MAX(0,E13)*E14/100</f>
        <v>1813.3010421243</v>
      </c>
      <c r="F15" s="0" t="n">
        <f aca="false">F13-MAX(0,F13)*F14/100</f>
        <v>1571.2253530007</v>
      </c>
      <c r="G15" s="0" t="n">
        <f aca="false">G13-MAX(0,G13)*G14/100</f>
        <v>1801.09562214471</v>
      </c>
      <c r="H15" s="0" t="n">
        <f aca="false">H13-MAX(0,H13)*H14/100</f>
        <v>1160.80612847226</v>
      </c>
      <c r="I15" s="0" t="n">
        <f aca="false">I13-MAX(0,I13)*I14/100</f>
        <v>1634.76327072749</v>
      </c>
      <c r="J15" s="0" t="n">
        <f aca="false">J13-MAX(0,J13)*J14/100</f>
        <v>1653.39957201378</v>
      </c>
      <c r="K15" s="0" t="n">
        <f aca="false">K13-MAX(0,K13)*K14/100</f>
        <v>1672.74434700634</v>
      </c>
      <c r="L15" s="0" t="n">
        <f aca="false">L13-MAX(0,L13)*L14/100</f>
        <v>1692.65000473572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-300.0933796</v>
      </c>
      <c r="D17" s="4" t="n">
        <f aca="false">-D6*Assumptions!D32/100</f>
        <v>-500.044993400505</v>
      </c>
      <c r="E17" s="4" t="n">
        <f aca="false">-E6*Assumptions!E32/100</f>
        <v>-499.979985260731</v>
      </c>
      <c r="F17" s="4" t="n">
        <f aca="false">-F6*Assumptions!F32/100</f>
        <v>-500.009734730953</v>
      </c>
      <c r="G17" s="4" t="n">
        <f aca="false">-G6*Assumptions!G32/100</f>
        <v>-399.99331941797</v>
      </c>
      <c r="H17" s="4" t="n">
        <f aca="false">-H6*Assumptions!H32/100</f>
        <v>-399.994445102734</v>
      </c>
      <c r="I17" s="4" t="n">
        <f aca="false">-I6*Assumptions!I32/100</f>
        <v>-349.941512640103</v>
      </c>
      <c r="J17" s="4" t="n">
        <f aca="false">-J6*Assumptions!J32/100</f>
        <v>-249.904456145</v>
      </c>
      <c r="K17" s="4" t="n">
        <f aca="false">-K6*Assumptions!K32/100</f>
        <v>-150.024258622132</v>
      </c>
      <c r="L17" s="4" t="n">
        <f aca="false">-L6*Assumptions!L32/100</f>
        <v>-150.046370211468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-0</v>
      </c>
      <c r="G18" s="4" t="n">
        <f aca="false">(G6-F6)*Assumptions!$B$37/100</f>
        <v>0</v>
      </c>
      <c r="H18" s="4" t="n">
        <f aca="false">(H6-G6)*Assumptions!$B$37/100</f>
        <v>-0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2023.2102044</v>
      </c>
      <c r="D19" s="0" t="n">
        <f aca="false">D15+D16+D17+D18</f>
        <v>1698.9618488555</v>
      </c>
      <c r="E19" s="0" t="n">
        <f aca="false">E15+E16+E17+E18</f>
        <v>1313.32105686357</v>
      </c>
      <c r="F19" s="0" t="n">
        <f aca="false">F15+F16+F17+F18</f>
        <v>1071.21561826975</v>
      </c>
      <c r="G19" s="0" t="n">
        <f aca="false">G15+G16+G17+G18</f>
        <v>1401.10230272674</v>
      </c>
      <c r="H19" s="0" t="n">
        <f aca="false">H15+H16+H17+H18</f>
        <v>760.811683369529</v>
      </c>
      <c r="I19" s="0" t="n">
        <f aca="false">I15+I16+I17+I18</f>
        <v>1284.82175808739</v>
      </c>
      <c r="J19" s="0" t="n">
        <f aca="false">J15+J16+J17+J18</f>
        <v>1403.49511586878</v>
      </c>
      <c r="K19" s="0" t="n">
        <f aca="false">K15+K16+K17+K18</f>
        <v>1522.72008838421</v>
      </c>
      <c r="L19" s="0" t="n">
        <f aca="false">L15+L16+L17+L18</f>
        <v>1542.60363452425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1839.282004</v>
      </c>
      <c r="D21" s="0" t="n">
        <f aca="false">D19*D20</f>
        <v>1404.10070153347</v>
      </c>
      <c r="E21" s="0" t="n">
        <f aca="false">E19*E20</f>
        <v>986.7175483573</v>
      </c>
      <c r="F21" s="0" t="n">
        <f aca="false">F19*F20</f>
        <v>731.654680875453</v>
      </c>
      <c r="G21" s="0" t="n">
        <f aca="false">G19*G20</f>
        <v>869.974295550314</v>
      </c>
      <c r="H21" s="0" t="n">
        <f aca="false">H19*H20</f>
        <v>429.458360942428</v>
      </c>
      <c r="I21" s="0" t="n">
        <f aca="false">I19*I20</f>
        <v>659.316715641991</v>
      </c>
      <c r="J21" s="0" t="n">
        <f aca="false">J19*J20</f>
        <v>654.740829641102</v>
      </c>
      <c r="K21" s="0" t="n">
        <f aca="false">K19*K20</f>
        <v>645.781962931684</v>
      </c>
      <c r="L21" s="0" t="n">
        <f aca="false">L19*L20</f>
        <v>594.74047954043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11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8815.76757901417</v>
      </c>
    </row>
    <row r="31" customFormat="false" ht="15" hidden="false" customHeight="false" outlineLevel="0" collapsed="false">
      <c r="A31" s="0" t="s">
        <v>127</v>
      </c>
      <c r="B31" s="0" t="n">
        <f aca="false">L19</f>
        <v>1542.60363452425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17311.4407874388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16968.6399797668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16968.6399797668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6542.14527494473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15357.9128539589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17357.9128539589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15.9655272881084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0.21134501427226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15.9655272881084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11128.7833633535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11.0855389993918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-1.07</v>
      </c>
      <c r="D5" s="4" t="n">
        <f aca="false">Assumptions!D41</f>
        <v>-2.3</v>
      </c>
      <c r="E5" s="4" t="n">
        <f aca="false">Assumptions!E41</f>
        <v>-3.13</v>
      </c>
      <c r="F5" s="4" t="n">
        <f aca="false">Assumptions!F41</f>
        <v>-1.06</v>
      </c>
      <c r="G5" s="4" t="n">
        <f aca="false">Assumptions!G41</f>
        <v>9.66</v>
      </c>
      <c r="H5" s="4" t="n">
        <f aca="false">Assumptions!H41</f>
        <v>-4.78</v>
      </c>
      <c r="I5" s="4" t="n">
        <f aca="false">Assumptions!I41</f>
        <v>5.27</v>
      </c>
      <c r="J5" s="4" t="n">
        <f aca="false">Assumptions!J41</f>
        <v>3.12</v>
      </c>
      <c r="K5" s="4" t="n">
        <f aca="false">Assumptions!K41</f>
        <v>2.7</v>
      </c>
      <c r="L5" s="4" t="n">
        <f aca="false">Assumptions!L41</f>
        <v>2.69</v>
      </c>
    </row>
    <row r="6" customFormat="false" ht="15" hidden="false" customHeight="false" outlineLevel="0" collapsed="false">
      <c r="A6" s="0" t="s">
        <v>37</v>
      </c>
      <c r="B6" s="3" t="n">
        <v>2527</v>
      </c>
      <c r="C6" s="0" t="n">
        <f aca="false">B6*(1+C5/100)</f>
        <v>2499.9611</v>
      </c>
      <c r="D6" s="0" t="n">
        <f aca="false">C6*(1+D5/100)</f>
        <v>2442.4619947</v>
      </c>
      <c r="E6" s="0" t="n">
        <f aca="false">D6*(1+E5/100)</f>
        <v>2366.01293426589</v>
      </c>
      <c r="F6" s="0" t="n">
        <f aca="false">E6*(1+F5/100)</f>
        <v>2340.93319716267</v>
      </c>
      <c r="G6" s="0" t="n">
        <f aca="false">F6*(1+G5/100)</f>
        <v>2567.06734400859</v>
      </c>
      <c r="H6" s="0" t="n">
        <f aca="false">G6*(1+H5/100)</f>
        <v>2444.36152496498</v>
      </c>
      <c r="I6" s="0" t="n">
        <f aca="false">H6*(1+I5/100)</f>
        <v>2573.17937733063</v>
      </c>
      <c r="J6" s="0" t="n">
        <f aca="false">I6*(1+J5/100)</f>
        <v>2653.46257390335</v>
      </c>
      <c r="K6" s="0" t="n">
        <f aca="false">J6*(1+K5/100)</f>
        <v>2725.10606339874</v>
      </c>
      <c r="L6" s="0" t="n">
        <f aca="false">K6*(1+L5/100)</f>
        <v>2798.41141650416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2499.9611</v>
      </c>
      <c r="D8" s="0" t="n">
        <f aca="false">D6*D7/100</f>
        <v>2442.4619947</v>
      </c>
      <c r="E8" s="0" t="n">
        <f aca="false">E6*E7/100</f>
        <v>2366.01293426589</v>
      </c>
      <c r="F8" s="0" t="n">
        <f aca="false">F6*F7/100</f>
        <v>2340.93319716267</v>
      </c>
      <c r="G8" s="0" t="n">
        <f aca="false">G6*G7/100</f>
        <v>2567.06734400859</v>
      </c>
      <c r="H8" s="0" t="n">
        <f aca="false">H6*H7/100</f>
        <v>2444.36152496498</v>
      </c>
      <c r="I8" s="0" t="n">
        <f aca="false">I6*I7/100</f>
        <v>2573.17937733063</v>
      </c>
      <c r="J8" s="0" t="n">
        <f aca="false">J6*J7/100</f>
        <v>2653.46257390335</v>
      </c>
      <c r="K8" s="0" t="n">
        <f aca="false">K6*K7/100</f>
        <v>2725.10606339874</v>
      </c>
      <c r="L8" s="0" t="n">
        <f aca="false">L6*L7/100</f>
        <v>2798.41141650416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2499.9611</v>
      </c>
      <c r="D11" s="0" t="n">
        <f aca="false">D8+D10+D24</f>
        <v>2442.4619947</v>
      </c>
      <c r="E11" s="0" t="n">
        <f aca="false">E8+E10+E24</f>
        <v>2366.01293426589</v>
      </c>
      <c r="F11" s="0" t="n">
        <f aca="false">F8+F10+F24</f>
        <v>2340.93319716267</v>
      </c>
      <c r="G11" s="0" t="n">
        <f aca="false">G8+G10+G24</f>
        <v>2567.06734400859</v>
      </c>
      <c r="H11" s="0" t="n">
        <f aca="false">H8+H10+H24</f>
        <v>2444.36152496498</v>
      </c>
      <c r="I11" s="0" t="n">
        <f aca="false">I8+I10+I24</f>
        <v>2573.17937733063</v>
      </c>
      <c r="J11" s="0" t="n">
        <f aca="false">J8+J10+J24</f>
        <v>2653.46257390335</v>
      </c>
      <c r="K11" s="0" t="n">
        <f aca="false">K8+K10+K24</f>
        <v>2725.10606339874</v>
      </c>
      <c r="L11" s="0" t="n">
        <f aca="false">L8+L10+L24</f>
        <v>2798.41141650416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2499.9611</v>
      </c>
      <c r="D13" s="0" t="n">
        <f aca="false">D11+D12</f>
        <v>2442.4619947</v>
      </c>
      <c r="E13" s="0" t="n">
        <f aca="false">E11+E12</f>
        <v>2366.01293426589</v>
      </c>
      <c r="F13" s="0" t="n">
        <f aca="false">F11+F12</f>
        <v>2340.93319716267</v>
      </c>
      <c r="G13" s="0" t="n">
        <f aca="false">G11+G12</f>
        <v>2567.06734400859</v>
      </c>
      <c r="H13" s="0" t="n">
        <f aca="false">H11+H12</f>
        <v>2444.36152496498</v>
      </c>
      <c r="I13" s="0" t="n">
        <f aca="false">I11+I12</f>
        <v>2573.17937733063</v>
      </c>
      <c r="J13" s="0" t="n">
        <f aca="false">J11+J12</f>
        <v>2653.46257390335</v>
      </c>
      <c r="K13" s="0" t="n">
        <f aca="false">K11+K12</f>
        <v>2725.10606339874</v>
      </c>
      <c r="L13" s="0" t="n">
        <f aca="false">L11+L12</f>
        <v>2798.41141650416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4</v>
      </c>
      <c r="D14" s="4" t="n">
        <f aca="false">Assumptions!D47</f>
        <v>4</v>
      </c>
      <c r="E14" s="4" t="n">
        <f aca="false">Assumptions!E47</f>
        <v>4</v>
      </c>
      <c r="F14" s="4" t="n">
        <f aca="false">Assumptions!F47</f>
        <v>4</v>
      </c>
      <c r="G14" s="4" t="n">
        <f aca="false">Assumptions!G47</f>
        <v>4</v>
      </c>
      <c r="H14" s="4" t="n">
        <f aca="false">Assumptions!H47</f>
        <v>4</v>
      </c>
      <c r="I14" s="4" t="n">
        <f aca="false">Assumptions!I47</f>
        <v>4</v>
      </c>
      <c r="J14" s="4" t="n">
        <f aca="false">Assumptions!J47</f>
        <v>4</v>
      </c>
      <c r="K14" s="4" t="n">
        <f aca="false">Assumptions!K47</f>
        <v>4</v>
      </c>
      <c r="L14" s="4" t="n">
        <f aca="false">Assumptions!L47</f>
        <v>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2399.962656</v>
      </c>
      <c r="D15" s="0" t="n">
        <f aca="false">D13-MAX(0,D13)*D14/100</f>
        <v>2344.763514912</v>
      </c>
      <c r="E15" s="0" t="n">
        <f aca="false">E13-MAX(0,E13)*E14/100</f>
        <v>2271.37241689525</v>
      </c>
      <c r="F15" s="0" t="n">
        <f aca="false">F13-MAX(0,F13)*F14/100</f>
        <v>2247.29586927617</v>
      </c>
      <c r="G15" s="0" t="n">
        <f aca="false">G13-MAX(0,G13)*G14/100</f>
        <v>2464.38465024824</v>
      </c>
      <c r="H15" s="0" t="n">
        <f aca="false">H13-MAX(0,H13)*H14/100</f>
        <v>2346.58706396638</v>
      </c>
      <c r="I15" s="0" t="n">
        <f aca="false">I13-MAX(0,I13)*I14/100</f>
        <v>2470.2522022374</v>
      </c>
      <c r="J15" s="0" t="n">
        <f aca="false">J13-MAX(0,J13)*J14/100</f>
        <v>2547.32407094721</v>
      </c>
      <c r="K15" s="0" t="n">
        <f aca="false">K13-MAX(0,K13)*K14/100</f>
        <v>2616.10182086279</v>
      </c>
      <c r="L15" s="0" t="n">
        <f aca="false">L13-MAX(0,L13)*L14/100</f>
        <v>2686.47495984399</v>
      </c>
    </row>
    <row r="16" customFormat="false" ht="15" hidden="false" customHeight="false" outlineLevel="0" collapsed="false">
      <c r="A16" s="0" t="s">
        <v>118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-299.995332</v>
      </c>
      <c r="D17" s="4" t="n">
        <f aca="false">-D6*Assumptions!D46/100</f>
        <v>-499.97197031509</v>
      </c>
      <c r="E17" s="4" t="n">
        <f aca="false">-E6*Assumptions!E46/100</f>
        <v>-600.02088012983</v>
      </c>
      <c r="F17" s="4" t="n">
        <f aca="false">-F6*Assumptions!F46/100</f>
        <v>-599.981178432793</v>
      </c>
      <c r="G17" s="4" t="n">
        <f aca="false">-G6*Assumptions!G46/100</f>
        <v>-599.923638294807</v>
      </c>
      <c r="H17" s="4" t="n">
        <f aca="false">-H6*Assumptions!H46/100</f>
        <v>-500.116368007834</v>
      </c>
      <c r="I17" s="4" t="n">
        <f aca="false">-I6*Assumptions!I46/100</f>
        <v>-400.129393174913</v>
      </c>
      <c r="J17" s="4" t="n">
        <f aca="false">-J6*Assumptions!J46/100</f>
        <v>-300.106617108468</v>
      </c>
      <c r="K17" s="4" t="n">
        <f aca="false">-K6*Assumptions!K46/100</f>
        <v>-249.892226013664</v>
      </c>
      <c r="L17" s="4" t="n">
        <f aca="false">-L6*Assumptions!L46/100</f>
        <v>-249.898139493822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-0</v>
      </c>
      <c r="D18" s="4" t="n">
        <f aca="false">(D6-C6)*Assumptions!$B$51/100</f>
        <v>-0</v>
      </c>
      <c r="E18" s="4" t="n">
        <f aca="false">(E6-D6)*Assumptions!$B$51/100</f>
        <v>-0</v>
      </c>
      <c r="F18" s="4" t="n">
        <f aca="false">(F6-E6)*Assumptions!$B$51/100</f>
        <v>-0</v>
      </c>
      <c r="G18" s="4" t="n">
        <f aca="false">(G6-F6)*Assumptions!$B$51/100</f>
        <v>0</v>
      </c>
      <c r="H18" s="4" t="n">
        <f aca="false">(H6-G6)*Assumptions!$B$51/100</f>
        <v>-0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2099.967324</v>
      </c>
      <c r="D19" s="0" t="n">
        <f aca="false">D15+D16+D17+D18</f>
        <v>1844.79154459691</v>
      </c>
      <c r="E19" s="0" t="n">
        <f aca="false">E15+E16+E17+E18</f>
        <v>1671.35153676542</v>
      </c>
      <c r="F19" s="0" t="n">
        <f aca="false">F15+F16+F17+F18</f>
        <v>1647.31469084337</v>
      </c>
      <c r="G19" s="0" t="n">
        <f aca="false">G15+G16+G17+G18</f>
        <v>1864.46101195344</v>
      </c>
      <c r="H19" s="0" t="n">
        <f aca="false">H15+H16+H17+H18</f>
        <v>1846.47069595854</v>
      </c>
      <c r="I19" s="0" t="n">
        <f aca="false">I15+I16+I17+I18</f>
        <v>2070.12280906249</v>
      </c>
      <c r="J19" s="0" t="n">
        <f aca="false">J15+J16+J17+J18</f>
        <v>2247.21745383874</v>
      </c>
      <c r="K19" s="0" t="n">
        <f aca="false">K15+K16+K17+K18</f>
        <v>2366.20959484912</v>
      </c>
      <c r="L19" s="0" t="n">
        <f aca="false">L15+L16+L17+L18</f>
        <v>2436.57682035017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1917.77837808219</v>
      </c>
      <c r="D21" s="0" t="n">
        <f aca="false">D19*D20</f>
        <v>1538.57638047323</v>
      </c>
      <c r="E21" s="0" t="n">
        <f aca="false">E19*E20</f>
        <v>1272.9913349615</v>
      </c>
      <c r="F21" s="0" t="n">
        <f aca="false">F19*F20</f>
        <v>1145.8297522286</v>
      </c>
      <c r="G21" s="0" t="n">
        <f aca="false">G19*G20</f>
        <v>1184.35721563224</v>
      </c>
      <c r="H21" s="0" t="n">
        <f aca="false">H19*H20</f>
        <v>1071.1682823791</v>
      </c>
      <c r="I21" s="0" t="n">
        <f aca="false">I19*I20</f>
        <v>1096.72382047705</v>
      </c>
      <c r="J21" s="0" t="n">
        <f aca="false">J19*J20</f>
        <v>1087.25683345468</v>
      </c>
      <c r="K21" s="0" t="n">
        <f aca="false">K19*K20</f>
        <v>1045.50505865107</v>
      </c>
      <c r="L21" s="0" t="n">
        <f aca="false">L19*L20</f>
        <v>983.193314091782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12343.3803704314</v>
      </c>
    </row>
    <row r="31" customFormat="false" ht="15" hidden="false" customHeight="false" outlineLevel="0" collapsed="false">
      <c r="A31" s="0" t="s">
        <v>127</v>
      </c>
      <c r="B31" s="0" t="n">
        <f aca="false">L19</f>
        <v>2436.57682035017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33137.4447567624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31675.4986645522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31675.4986645522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12781.5130831932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25124.8934536246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27124.8934536246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24.9490379554536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0.892946734101183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24.9490379554536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19117.7565904398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15.176812230366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9.76963871597828</v>
      </c>
      <c r="C4" s="0" t="n">
        <f aca="false">B4/Assumptions!$B$2-1</f>
        <v>-0.258752752960677</v>
      </c>
      <c r="D4" s="4" t="n">
        <f aca="false">Assumptions!$B$24</f>
        <v>0.25</v>
      </c>
      <c r="E4" s="4" t="n">
        <f aca="false">DCF_Bear!$B$43</f>
        <v>9.76963871597828</v>
      </c>
      <c r="F4" s="4" t="n">
        <f aca="false">DCF_Bear!$B$47</f>
        <v>8.21422669351537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15.9655272881084</v>
      </c>
      <c r="C5" s="0" t="n">
        <f aca="false">B5/Assumptions!$B$2-1</f>
        <v>0.21134501427226</v>
      </c>
      <c r="D5" s="4" t="n">
        <f aca="false">Assumptions!$B$38</f>
        <v>0.5</v>
      </c>
      <c r="E5" s="4" t="n">
        <f aca="false">DCF_Base!$B$43</f>
        <v>15.9655272881084</v>
      </c>
      <c r="F5" s="4" t="n">
        <f aca="false">DCF_Base!$B$47</f>
        <v>11.0855389993918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24.9490379554536</v>
      </c>
      <c r="C6" s="0" t="n">
        <f aca="false">B6/Assumptions!$B$2-1</f>
        <v>0.892946734101183</v>
      </c>
      <c r="D6" s="4" t="n">
        <f aca="false">Assumptions!$B$52</f>
        <v>0.25</v>
      </c>
      <c r="E6" s="4" t="n">
        <f aca="false">DCF_Bull!$B$43</f>
        <v>24.9490379554536</v>
      </c>
      <c r="F6" s="4" t="n">
        <f aca="false">DCF_Bull!$B$47</f>
        <v>15.176812230366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16.6624328119122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16.6624328119122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0.20899906101482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11.3905292306662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16.8790145684491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15.9655272881084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14.6791555531921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13.5310377837875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11.0855389993918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0</v>
      </c>
      <c r="C22" s="3" t="n">
        <v>0.5</v>
      </c>
      <c r="D22" s="3" t="n">
        <v>1</v>
      </c>
      <c r="E22" s="3" t="n">
        <v>1.5</v>
      </c>
      <c r="F22" s="3" t="n">
        <v>2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17.8776912233312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17.8776912233312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17.8776912233312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17.8776912233312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17.8776912233312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16.8790145684491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16.8790145684491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16.8790145684491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16.8790145684491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16.8790145684491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15.4184946214892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15.7351977442687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15.9655272881084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15.9655272881084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15.9655272881084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14.1749116930431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14.4150278169236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14.6791555531921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14.9710862090679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15.1288865635953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13.1434197468279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13.3288022862434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13.5310377837875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13.7525338049072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13.9961794281389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2026-10-10T22:30:56Z</dcterms:created>
  <dc:creator>openpyxl</dc:creator>
  <dc:description/>
  <dc:language>en-NZ</dc:language>
  <cp:lastModifiedBy/>
  <dcterms:modified xsi:type="dcterms:W3CDTF">2026-10-10T22:30:56Z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