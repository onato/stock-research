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<sst xmlns="http://schemas.openxmlformats.org/spreadsheetml/2006/main" count="352" uniqueCount="164">
  <si>
    <t xml:space="preserve">Ticker</t>
  </si>
  <si>
    <t xml:space="preserve">0013.HK</t>
  </si>
  <si>
    <t xml:space="preserve">Company</t>
  </si>
  <si>
    <t xml:space="preserve">HUTCHMED (China) Limited</t>
  </si>
  <si>
    <t xml:space="preserve">Valuation date</t>
  </si>
  <si>
    <t xml:space="preserve">2026-10-11</t>
  </si>
  <si>
    <t xml:space="preserve">Current price</t>
  </si>
  <si>
    <t xml:space="preserve">Price as of</t>
  </si>
  <si>
    <t xml:space="preserve">2026-10-09T08:08:05Z regular close (HKEX)</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</si>
  <si>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</si>
  <si>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</si>
  <si>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</si>
  <si>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</si>
  <si>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</si>
  <si>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</si>
  <si>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</si>
  <si>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</si>
  <si>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</si>
  <si>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</si>
  <si>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</si>
  <si>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</si>
  <si>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</si>
  <si>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2026-10-10T11:34:45Z</t>
  </si>
  <si>
    <t xml:space="preserve">Drivers file</t>
  </si>
  <si>
    <t xml:space="preserve">0013.HK_Drivers.json</t>
  </si>
  <si>
    <t xml:space="preserve">Convention</t>
  </si>
  <si>
    <t xml:space="preserve">Percents stored as percents; formulas divide by 100. Blue = input, green = link, black = formula.</t>
  </si>
  <si>
    <t xml:space="preserve">Methodology</t>
  </si>
  <si>
    <t xml:space="preserve">summary: Value = net cash (US$1.28bn, ~HK$11.5/share) + the GSK upfront less SHPL obligations + a DCF of the operating franchise built from near-breakeven margins today. Owner-FCF basis: SBC fully expensed, interest income stripped because the cash is in the bridge, the SHPL divestment gain excluded from earnings power. Pipeline optionality (GSK milestones, SAFFRON, further ATTC deals) is priced through the bull scenario rather than a separate rNPV.
key_risks_to_valuation: Operating value is long-dated: margins are ~breakeven today, so terminal value carries most of the franchise value; Binary clinical readouts (SAFFRON, SANOVO, ATTC Phase I) swing the bull/bear weights; NRDL price cuts and domestic competition in China oncology; Cash is in PRC/HK entities; PRC FX controls apply to part of the balance; SHPL profit-guarantee provision could rise to its US$103.5m cap; CEO on leave of absence; acting CEO is also CFO</t>
  </si>
  <si>
    <t xml:space="preserve">Data sources</t>
  </si>
  <si>
    <t xml:space="preserve">price: Yahoo Finance chart API at inputs.price_as_of (0013.HK, HKEX); 52-week range HK$15.57-25.58; parity vs Nasdaq ADS HCM in inputs.fx_note
financials: 0013.HK_Metrics.csv / core_metrics (FY2019-FY2025, H1 FY2023-H1 FY2026); H1 2026 interim report balance sheet, cash flow and notes 3, 7, 16
qualitative: 0013.HK_Analysis.json (2026-10-11), including the September 2026 GSK HMPL-A830 licence</t>
  </si>
  <si>
    <t xml:space="preserve">Scenario narrative: bear</t>
  </si>
  <si>
    <t xml:space="preserve">SAFFRON fails after SAMETA, NRDL renegotiations and domestic competitors (Hengrui, BeiGene, Innovent) compress ELUNATE/SULANDA/ORPATHYS pricing, FRUZAQLA royalties plateau as Lonsurf/regorafenib and newer CRC regimens hold share, ATTC data disappoint and GSK hands back A830, and leadership uncertainty (CEO on leave) slows partnering. The company keeps spending on R&amp;D to defend its pipeline, so margins stay in low single digits and the cash pile, not the franchise, is the floor. Geopolitical scrutiny of China-originated biotech licensing (BIOSECURE-style) caps future deal flow.</t>
  </si>
  <si>
    <t xml:space="preserve">Scenario narrative: base</t>
  </si>
  <si>
    <t xml:space="preserve">FRUZAQLA keeps compounding ex-US royalties through its 41-country rollout, the China commercial reset holds (H1 2026 in-market +32%), savolitinib adds 3L MET-amplified gastric cancer and sovleplenib launches in ITP/wAIHA in China, while Other Ventures distribution shrinks. SAFFRON/SANOVO produce mixed results, and the ATTC platform earns the GSK upfront and modest milestones only. R&amp;D stays near US$160-200m, so the operating business climbs slowly from breakeven to a ~22% pre-SBC EBITDA margin over a decade. The US$1.37bn cash pile is most of today's value; the operating franchise adds roughly the remainder.</t>
  </si>
  <si>
    <t xml:space="preserve">Scenario narrative: bull</t>
  </si>
  <si>
    <t xml:space="preserve">SAFFRON reads out positive in H2 2026 and supports global savolitinib filings with AstraZeneca; GSK advances HMPL-A830 and milestones flow; HMPL-A251/A580 secure a second multinational partnership; FRUZAQLA ex-US growth stays high and sovleplenib becomes a meaningful China immunology product. O/I revenue roughly doubles within five years, royalty-heavy mix carries margins to ~30%, and licensing income recurs rather than spiking once.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</si>
  <si>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</si>
  <si>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</si>
  <si>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</si>
  <si>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</si>
  <si>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</si>
  <si>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</si>
  <si>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</si>
  <si>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</si>
  <si>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</si>
  <si>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</si>
  <si>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</si>
  <si>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</si>
  <si>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</si>
  <si>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</si>
  <si>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</si>
  <si>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</si>
  <si>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</si>
  <si>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</si>
  <si>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</si>
  <si>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</si>
  <si>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</si>
  <si>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</si>
  <si>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</si>
  <si>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</si>
  <si>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</si>
  <si>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</si>
  <si>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</si>
  <si>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NetIncomeInclNCI</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</si>
  <si>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</si>
  <si>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</si>
  <si>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</si>
  <si>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</si>
  <si>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</si>
  <si>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</si>
  <si>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</si>
  <si>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</si>
  <si>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</si>
  <si>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</si>
  <si>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</si>
  <si>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</si>
  <si>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</si>
  <si>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</si>
  <si>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</si>
  <si>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</si>
  <si>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</si>
  <si>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</si>
  <si>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</si>
  <si>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</si>
  <si>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</si>
  <si>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</si>
  <si>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</si>
  <si>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</si>
  <si>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</si>
  <si>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</si>
  <si>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</si>
  <si>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</si>
  <si>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</si>
  <si>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</si>
  <si>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</si>
  <si>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</si>
  <si>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</si>
  <si>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</si>
  <si>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</si>
  <si>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</si>
  <si>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</si>
  <si>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</si>
  <si>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</si>
  <si>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</si>
  <si>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</si>
  <si>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</si>
  <si>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</si>
  <si>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</si>
  <si>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0013.HK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</si>
  <si>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</si>
  <si>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</si>
  <si>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</si>
  <si>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</si>
  <si>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</si>
  <si>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</si>
  <si>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</si>
  <si>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</si>
  <si>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</si>
  <si>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</si>
  <si>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</si>
  <si>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</si>
  <si>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</si>
  <si>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</si>
  <si>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</si>
  <si>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</si>
  <si>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</si>
  <si>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</si>
  <si>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</si>
  <si>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</si>
  <si>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</si>
  <si>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</si>
  <si>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</si>
  <si>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</si>
  <si>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</si>
  <si>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</si>
  <si>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</si>
  <si>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</si>
  <si>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</si>
  <si>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</si>
  <si>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0013.HK owner-FCF component DCF: base case (millions, USD)</t>
  </si>
  <si>
    <t xml:space="preserve">0013.HK owner-FCF component DCF: bull case (millions, USD)</t>
  </si>
  <si>
    <t xml:space="preserve">0013.HK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</si>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</sst>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21.74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204.89</v>
      </c>
      <c r="C2" s="0" t="n">
        <v>160.152</v>
      </c>
      <c r="D2" s="0" t="n">
        <v>44.738</v>
      </c>
      <c r="E2" s="0" t="n">
        <v>21.8</v>
      </c>
      <c r="F2" s="0" t="n">
        <v>-146.386</v>
      </c>
      <c r="G2" s="0" t="n">
        <v>-71.4</v>
      </c>
      <c r="H2" s="0" t="n">
        <v>-141.444</v>
      </c>
      <c r="I2" s="0" t="n">
        <v>-106.024</v>
      </c>
      <c r="J2" s="0" t="n">
        <v>-51.7</v>
      </c>
      <c r="K2" s="0" t="n">
        <v>-0.16</v>
      </c>
      <c r="L2" s="0" t="n">
        <v>-80.912</v>
      </c>
      <c r="M2" s="0" t="n">
        <v>8.565</v>
      </c>
      <c r="N2" s="0" t="n">
        <v>-89.477</v>
      </c>
      <c r="O2" s="0" t="n">
        <v>288.012</v>
      </c>
      <c r="T2" s="0" t="n">
        <v>665.683</v>
      </c>
      <c r="U2" s="0" t="n">
        <v>11.592</v>
      </c>
      <c r="V2" s="0" t="n">
        <v>0</v>
      </c>
      <c r="AA2" s="0" t="s">
        <v>18</v>
      </c>
      <c r="AB2" s="0" t="s">
        <v>14</v>
      </c>
      <c r="AC2" s="0" t="n">
        <v>-103.679</v>
      </c>
    </row>
    <row r="3" customFormat="false" ht="15" hidden="false" customHeight="false" outlineLevel="0" collapsed="false">
      <c r="A3" s="0" t="s">
        <v>66</v>
      </c>
      <c r="B3" s="0" t="n">
        <v>227.976</v>
      </c>
      <c r="C3" s="0" t="n">
        <v>188.519</v>
      </c>
      <c r="D3" s="0" t="n">
        <v>39.457</v>
      </c>
      <c r="E3" s="0" t="n">
        <v>17.3</v>
      </c>
      <c r="F3" s="0" t="n">
        <v>-196.668</v>
      </c>
      <c r="G3" s="0" t="n">
        <v>-86.3</v>
      </c>
      <c r="H3" s="0" t="n">
        <v>-190.607</v>
      </c>
      <c r="I3" s="0" t="n">
        <v>-125.73</v>
      </c>
      <c r="J3" s="0" t="n">
        <v>-55.2</v>
      </c>
      <c r="K3" s="0" t="n">
        <v>-0.18</v>
      </c>
      <c r="L3" s="0" t="n">
        <v>-62.066</v>
      </c>
      <c r="M3" s="0" t="n">
        <v>19.58</v>
      </c>
      <c r="N3" s="0" t="n">
        <v>-81.646</v>
      </c>
      <c r="O3" s="0" t="n">
        <v>484.116</v>
      </c>
      <c r="P3" s="0" t="n">
        <v>724.118</v>
      </c>
      <c r="Q3" s="0" t="n">
        <v>205.169</v>
      </c>
      <c r="R3" s="0" t="n">
        <v>26.861</v>
      </c>
      <c r="S3" s="0" t="n">
        <v>435.176</v>
      </c>
      <c r="T3" s="0" t="n">
        <v>697.931</v>
      </c>
      <c r="U3" s="0" t="n">
        <v>19.642</v>
      </c>
      <c r="V3" s="0" t="n">
        <v>0</v>
      </c>
      <c r="AA3" s="0" t="s">
        <v>18</v>
      </c>
      <c r="AB3" s="0" t="s">
        <v>14</v>
      </c>
      <c r="AC3" s="0" t="n">
        <v>-115.517</v>
      </c>
    </row>
    <row r="4" customFormat="false" ht="15" hidden="false" customHeight="false" outlineLevel="0" collapsed="false">
      <c r="A4" s="0" t="s">
        <v>67</v>
      </c>
      <c r="B4" s="0" t="n">
        <v>356.128</v>
      </c>
      <c r="C4" s="0" t="n">
        <v>258.234</v>
      </c>
      <c r="D4" s="0" t="n">
        <v>97.894</v>
      </c>
      <c r="E4" s="0" t="n">
        <v>27.5</v>
      </c>
      <c r="F4" s="0" t="n">
        <v>-328.317</v>
      </c>
      <c r="G4" s="0" t="n">
        <v>-92.2</v>
      </c>
      <c r="H4" s="0" t="n">
        <v>-321.127</v>
      </c>
      <c r="I4" s="0" t="n">
        <v>-194.648</v>
      </c>
      <c r="J4" s="0" t="n">
        <v>-54.7</v>
      </c>
      <c r="K4" s="0" t="n">
        <v>-0.25</v>
      </c>
      <c r="L4" s="0" t="n">
        <v>-204.223</v>
      </c>
      <c r="M4" s="0" t="n">
        <v>16.756</v>
      </c>
      <c r="N4" s="0" t="n">
        <v>-220.979</v>
      </c>
      <c r="O4" s="0" t="n">
        <v>986.893</v>
      </c>
      <c r="P4" s="0" t="n">
        <v>1372.661</v>
      </c>
      <c r="Q4" s="0" t="n">
        <v>333.147</v>
      </c>
      <c r="R4" s="0" t="n">
        <v>26.905</v>
      </c>
      <c r="S4" s="0" t="n">
        <v>1011.7</v>
      </c>
      <c r="T4" s="0" t="n">
        <v>792.685</v>
      </c>
      <c r="U4" s="0" t="n">
        <v>41.99</v>
      </c>
      <c r="V4" s="0" t="n">
        <v>0</v>
      </c>
      <c r="AA4" s="0" t="s">
        <v>18</v>
      </c>
      <c r="AB4" s="0" t="s">
        <v>14</v>
      </c>
      <c r="AC4" s="0" t="n">
        <v>-167.041</v>
      </c>
    </row>
    <row r="5" customFormat="false" ht="15" hidden="false" customHeight="false" outlineLevel="0" collapsed="false">
      <c r="A5" s="0" t="s">
        <v>68</v>
      </c>
      <c r="B5" s="0" t="n">
        <v>426.409</v>
      </c>
      <c r="C5" s="0" t="n">
        <v>311.103</v>
      </c>
      <c r="D5" s="0" t="n">
        <v>115.306</v>
      </c>
      <c r="E5" s="0" t="n">
        <v>27</v>
      </c>
      <c r="F5" s="0" t="n">
        <v>-407.693</v>
      </c>
      <c r="G5" s="0" t="n">
        <v>-95.6</v>
      </c>
      <c r="H5" s="0" t="n">
        <v>-399.029</v>
      </c>
      <c r="I5" s="0" t="n">
        <v>-360.835</v>
      </c>
      <c r="J5" s="0" t="n">
        <v>-84.6</v>
      </c>
      <c r="K5" s="0" t="n">
        <v>-0.43</v>
      </c>
      <c r="L5" s="0" t="n">
        <v>-268.599</v>
      </c>
      <c r="M5" s="0" t="n">
        <v>36.664</v>
      </c>
      <c r="N5" s="0" t="n">
        <v>-305.263</v>
      </c>
      <c r="O5" s="0" t="n">
        <v>610.367</v>
      </c>
      <c r="P5" s="0" t="n">
        <v>1029.445</v>
      </c>
      <c r="Q5" s="0" t="n">
        <v>392.575</v>
      </c>
      <c r="R5" s="0" t="n">
        <v>18.104</v>
      </c>
      <c r="S5" s="0" t="n">
        <v>630.996</v>
      </c>
      <c r="T5" s="0" t="n">
        <v>847.144</v>
      </c>
      <c r="U5" s="0" t="n">
        <v>30.586</v>
      </c>
      <c r="V5" s="0" t="n">
        <v>0</v>
      </c>
      <c r="AA5" s="0" t="s">
        <v>18</v>
      </c>
      <c r="AB5" s="0" t="s">
        <v>14</v>
      </c>
      <c r="AC5" s="0" t="n">
        <v>-360.386</v>
      </c>
    </row>
    <row r="6" customFormat="false" ht="15" hidden="false" customHeight="false" outlineLevel="0" collapsed="false">
      <c r="A6" s="0" t="s">
        <v>69</v>
      </c>
      <c r="B6" s="0" t="n">
        <v>837.999</v>
      </c>
      <c r="C6" s="0" t="n">
        <v>384.447</v>
      </c>
      <c r="D6" s="0" t="n">
        <v>453.552</v>
      </c>
      <c r="E6" s="0" t="n">
        <v>54.1</v>
      </c>
      <c r="F6" s="0" t="n">
        <v>18.375</v>
      </c>
      <c r="G6" s="0" t="n">
        <v>2.2</v>
      </c>
      <c r="H6" s="0" t="n">
        <v>26.582</v>
      </c>
      <c r="I6" s="0" t="n">
        <v>100.78</v>
      </c>
      <c r="J6" s="0" t="n">
        <v>12</v>
      </c>
      <c r="K6" s="0" t="n">
        <v>0.12</v>
      </c>
      <c r="L6" s="0" t="n">
        <v>219.258</v>
      </c>
      <c r="M6" s="0" t="n">
        <v>32.612</v>
      </c>
      <c r="N6" s="0" t="n">
        <v>186.646</v>
      </c>
      <c r="O6" s="0" t="n">
        <v>730.541</v>
      </c>
      <c r="P6" s="0" t="n">
        <v>1279.773</v>
      </c>
      <c r="Q6" s="0" t="n">
        <v>536.386</v>
      </c>
      <c r="R6" s="0" t="n">
        <v>79.344</v>
      </c>
      <c r="S6" s="0" t="n">
        <v>886.336</v>
      </c>
      <c r="T6" s="0" t="n">
        <v>869.196</v>
      </c>
      <c r="U6" s="0" t="n">
        <v>36.6</v>
      </c>
      <c r="V6" s="0" t="n">
        <v>0</v>
      </c>
      <c r="AA6" s="0" t="s">
        <v>18</v>
      </c>
      <c r="AB6" s="0" t="s">
        <v>14</v>
      </c>
      <c r="AC6" s="0" t="n">
        <v>101.094</v>
      </c>
    </row>
    <row r="7" customFormat="false" ht="15" hidden="false" customHeight="false" outlineLevel="0" collapsed="false">
      <c r="A7" s="0" t="s">
        <v>70</v>
      </c>
      <c r="B7" s="0" t="n">
        <v>630.201</v>
      </c>
      <c r="C7" s="0" t="n">
        <v>348.884</v>
      </c>
      <c r="D7" s="0" t="n">
        <v>281.317</v>
      </c>
      <c r="E7" s="0" t="n">
        <v>44.6</v>
      </c>
      <c r="F7" s="0" t="n">
        <v>-43.705</v>
      </c>
      <c r="G7" s="0" t="n">
        <v>-6.9</v>
      </c>
      <c r="H7" s="0" t="n">
        <v>-31.364</v>
      </c>
      <c r="I7" s="0" t="n">
        <v>37.729</v>
      </c>
      <c r="J7" s="0" t="n">
        <v>6</v>
      </c>
      <c r="K7" s="0" t="n">
        <v>0.04</v>
      </c>
      <c r="L7" s="0" t="n">
        <v>0.497</v>
      </c>
      <c r="M7" s="0" t="n">
        <v>17.933</v>
      </c>
      <c r="N7" s="0" t="n">
        <v>-17.436</v>
      </c>
      <c r="O7" s="0" t="n">
        <v>759.929</v>
      </c>
      <c r="P7" s="0" t="n">
        <v>1274.196</v>
      </c>
      <c r="Q7" s="0" t="n">
        <v>502.343</v>
      </c>
      <c r="R7" s="0" t="n">
        <v>82.806</v>
      </c>
      <c r="S7" s="0" t="n">
        <v>836.11</v>
      </c>
      <c r="T7" s="0" t="n">
        <v>872.829</v>
      </c>
      <c r="U7" s="0" t="n">
        <v>21.609</v>
      </c>
      <c r="V7" s="0" t="n">
        <v>0</v>
      </c>
      <c r="AA7" s="0" t="s">
        <v>18</v>
      </c>
      <c r="AB7" s="0" t="s">
        <v>14</v>
      </c>
      <c r="AC7" s="0" t="n">
        <v>38.17</v>
      </c>
    </row>
    <row r="8" customFormat="false" ht="15" hidden="false" customHeight="false" outlineLevel="0" collapsed="false">
      <c r="A8" s="0" t="s">
        <v>71</v>
      </c>
      <c r="B8" s="0" t="n">
        <v>548.512</v>
      </c>
      <c r="C8" s="0" t="n">
        <v>336.349</v>
      </c>
      <c r="D8" s="0" t="n">
        <v>212.163</v>
      </c>
      <c r="E8" s="0" t="n">
        <v>38.7</v>
      </c>
      <c r="F8" s="0" t="n">
        <v>-39.16</v>
      </c>
      <c r="G8" s="0" t="n">
        <v>-7.1</v>
      </c>
      <c r="H8" s="0" t="n">
        <v>-25.852</v>
      </c>
      <c r="I8" s="0" t="n">
        <v>456.909</v>
      </c>
      <c r="J8" s="0" t="n">
        <v>83.3</v>
      </c>
      <c r="K8" s="0" t="n">
        <v>0.52</v>
      </c>
      <c r="L8" s="0" t="n">
        <v>-64.657</v>
      </c>
      <c r="M8" s="0" t="n">
        <v>14.148</v>
      </c>
      <c r="N8" s="0" t="n">
        <v>-78.805</v>
      </c>
      <c r="O8" s="0" t="n">
        <v>1237.926</v>
      </c>
      <c r="P8" s="0" t="n">
        <v>1753.097</v>
      </c>
      <c r="Q8" s="0" t="n">
        <v>501.835</v>
      </c>
      <c r="R8" s="0" t="n">
        <v>93.16</v>
      </c>
      <c r="S8" s="0" t="n">
        <v>1367.275</v>
      </c>
      <c r="T8" s="0" t="n">
        <v>872.891</v>
      </c>
      <c r="U8" s="0" t="n">
        <v>15.292</v>
      </c>
      <c r="V8" s="0" t="n">
        <v>0</v>
      </c>
      <c r="AA8" s="0" t="s">
        <v>18</v>
      </c>
      <c r="AB8" s="0" t="s">
        <v>14</v>
      </c>
      <c r="AC8" s="0" t="n">
        <v>457.732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21.74</v>
      </c>
    </row>
    <row r="3" customFormat="false" ht="15" hidden="false" customHeight="false" outlineLevel="0" collapsed="false">
      <c r="A3" s="0" t="s">
        <v>75</v>
      </c>
      <c r="B3" s="3" t="n">
        <v>872.869</v>
      </c>
    </row>
    <row r="4" customFormat="false" ht="15" hidden="false" customHeight="false" outlineLevel="0" collapsed="false">
      <c r="A4" s="0" t="s">
        <v>76</v>
      </c>
      <c r="B4" s="3" t="n">
        <v>-1280.309</v>
      </c>
    </row>
    <row r="5" customFormat="false" ht="15" hidden="false" customHeight="false" outlineLevel="0" collapsed="false">
      <c r="A5" s="0" t="s">
        <v>77</v>
      </c>
      <c r="B5" s="3" t="n">
        <v>12.2</v>
      </c>
    </row>
    <row r="6" customFormat="false" ht="15" hidden="false" customHeight="false" outlineLevel="0" collapsed="false">
      <c r="A6" s="0" t="s">
        <v>78</v>
      </c>
      <c r="B6" s="3" t="n">
        <v>15</v>
      </c>
    </row>
    <row r="7" customFormat="false" ht="15" hidden="false" customHeight="false" outlineLevel="0" collapsed="false">
      <c r="A7" s="0" t="s">
        <v>79</v>
      </c>
      <c r="B7" s="3" t="n">
        <v>548.512</v>
      </c>
    </row>
    <row r="8" customFormat="false" ht="15" hidden="false" customHeight="false" outlineLevel="0" collapsed="false">
      <c r="A8" s="0" t="s">
        <v>80</v>
      </c>
      <c r="B8" s="3" t="s">
        <v>71</v>
      </c>
    </row>
    <row r="9" customFormat="false" ht="15" hidden="false" customHeight="false" outlineLevel="0" collapsed="false">
      <c r="A9" s="0" t="s">
        <v>81</v>
      </c>
      <c r="B9" s="3" t="s">
        <v>82</v>
      </c>
    </row>
    <row r="10" customFormat="false" ht="15" hidden="false" customHeight="false" outlineLevel="0" collapsed="false">
      <c r="A10" s="0" t="s">
        <v>83</v>
      </c>
      <c r="B10" s="3" t="n">
        <v>7.8472</v>
      </c>
    </row>
    <row r="12" customFormat="false" ht="15" hidden="false" customHeight="false" outlineLevel="0" collapsed="false">
      <c r="A12" s="2" t="s">
        <v>84</v>
      </c>
      <c r="C12" s="2" t="s">
        <v>85</v>
      </c>
      <c r="D12" s="2" t="s">
        <v>86</v>
      </c>
      <c r="E12" s="2" t="s">
        <v>87</v>
      </c>
      <c r="F12" s="2" t="s">
        <v>88</v>
      </c>
      <c r="G12" s="2" t="s">
        <v>89</v>
      </c>
      <c r="H12" s="2" t="s">
        <v>90</v>
      </c>
      <c r="I12" s="2" t="s">
        <v>91</v>
      </c>
      <c r="J12" s="2" t="s">
        <v>92</v>
      </c>
      <c r="K12" s="2" t="s">
        <v>93</v>
      </c>
      <c r="L12" s="2" t="s">
        <v>94</v>
      </c>
    </row>
    <row r="13" customFormat="false" ht="15" hidden="false" customHeight="false" outlineLevel="0" collapsed="false">
      <c r="A13" s="0" t="s">
        <v>95</v>
      </c>
      <c r="C13" s="3" t="n">
        <v>-2</v>
      </c>
      <c r="D13" s="3" t="n">
        <v>1</v>
      </c>
      <c r="E13" s="3" t="n">
        <v>2</v>
      </c>
      <c r="F13" s="3" t="n">
        <v>2</v>
      </c>
      <c r="G13" s="3" t="n">
        <v>2</v>
      </c>
      <c r="H13" s="3" t="n">
        <v>2</v>
      </c>
      <c r="I13" s="3" t="n">
        <v>2</v>
      </c>
      <c r="J13" s="3" t="n">
        <v>2</v>
      </c>
      <c r="K13" s="3" t="n">
        <v>2</v>
      </c>
      <c r="L13" s="3" t="n">
        <v>2</v>
      </c>
    </row>
    <row r="14" customFormat="false" ht="15" hidden="false" customHeight="false" outlineLevel="0" collapsed="false">
      <c r="A14" s="0" t="s">
        <v>96</v>
      </c>
      <c r="C14" s="3" t="n">
        <v>0</v>
      </c>
      <c r="D14" s="3" t="n">
        <v>1</v>
      </c>
      <c r="E14" s="3" t="n">
        <v>2</v>
      </c>
      <c r="F14" s="3" t="n">
        <v>3</v>
      </c>
      <c r="G14" s="3" t="n">
        <v>4</v>
      </c>
      <c r="H14" s="3" t="n">
        <v>5</v>
      </c>
      <c r="I14" s="3" t="n">
        <v>6</v>
      </c>
      <c r="J14" s="3" t="n">
        <v>7</v>
      </c>
      <c r="K14" s="3" t="n">
        <v>8</v>
      </c>
      <c r="L14" s="3" t="n">
        <v>8</v>
      </c>
    </row>
    <row r="15" customFormat="false" ht="15" hidden="false" customHeight="false" outlineLevel="0" collapsed="false">
      <c r="A15" s="0" t="s">
        <v>97</v>
      </c>
      <c r="C15" s="3" t="n">
        <v>2.5</v>
      </c>
      <c r="D15" s="3" t="n">
        <v>2.4</v>
      </c>
      <c r="E15" s="3" t="n">
        <v>2.3</v>
      </c>
      <c r="F15" s="3" t="n">
        <v>2.2</v>
      </c>
      <c r="G15" s="3" t="n">
        <v>2.1</v>
      </c>
      <c r="H15" s="3" t="n">
        <v>2</v>
      </c>
      <c r="I15" s="3" t="n">
        <v>2</v>
      </c>
      <c r="J15" s="3" t="n">
        <v>2</v>
      </c>
      <c r="K15" s="3" t="n">
        <v>2</v>
      </c>
      <c r="L15" s="3" t="n">
        <v>2</v>
      </c>
    </row>
    <row r="16" customFormat="false" ht="15" hidden="false" customHeight="false" outlineLevel="0" collapsed="false">
      <c r="A16" s="0" t="s">
        <v>98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99</v>
      </c>
      <c r="C17" s="3" t="n">
        <v>2.4</v>
      </c>
      <c r="D17" s="3" t="n">
        <v>2.4</v>
      </c>
      <c r="E17" s="3" t="n">
        <v>2.4</v>
      </c>
      <c r="F17" s="3" t="n">
        <v>2.4</v>
      </c>
      <c r="G17" s="3" t="n">
        <v>2.4</v>
      </c>
      <c r="H17" s="3" t="n">
        <v>2.4</v>
      </c>
      <c r="I17" s="3" t="n">
        <v>2.4</v>
      </c>
      <c r="J17" s="3" t="n">
        <v>2.4</v>
      </c>
      <c r="K17" s="3" t="n">
        <v>2.4</v>
      </c>
      <c r="L17" s="3" t="n">
        <v>2.4</v>
      </c>
    </row>
    <row r="18" customFormat="false" ht="15" hidden="false" customHeight="false" outlineLevel="0" collapsed="false">
      <c r="A18" s="0" t="s">
        <v>100</v>
      </c>
      <c r="C18" s="3" t="n">
        <v>2.5</v>
      </c>
      <c r="D18" s="3" t="n">
        <v>2.5</v>
      </c>
      <c r="E18" s="3" t="n">
        <v>2.5</v>
      </c>
      <c r="F18" s="3" t="n">
        <v>2.5</v>
      </c>
      <c r="G18" s="3" t="n">
        <v>2.5</v>
      </c>
      <c r="H18" s="3" t="n">
        <v>2.5</v>
      </c>
      <c r="I18" s="3" t="n">
        <v>2.5</v>
      </c>
      <c r="J18" s="3" t="n">
        <v>2.5</v>
      </c>
      <c r="K18" s="3" t="n">
        <v>2.5</v>
      </c>
      <c r="L18" s="3" t="n">
        <v>2.5</v>
      </c>
    </row>
    <row r="19" customFormat="false" ht="15" hidden="false" customHeight="false" outlineLevel="0" collapsed="false">
      <c r="A19" s="0" t="s">
        <v>101</v>
      </c>
      <c r="C19" s="3" t="n">
        <v>5</v>
      </c>
      <c r="D19" s="3" t="n">
        <v>8</v>
      </c>
      <c r="E19" s="3" t="n">
        <v>10</v>
      </c>
      <c r="F19" s="3" t="n">
        <v>12</v>
      </c>
      <c r="G19" s="3" t="n">
        <v>14</v>
      </c>
      <c r="H19" s="3" t="n">
        <v>15</v>
      </c>
      <c r="I19" s="3" t="n">
        <v>16</v>
      </c>
      <c r="J19" s="3" t="n">
        <v>16</v>
      </c>
      <c r="K19" s="3" t="n">
        <v>16</v>
      </c>
      <c r="L19" s="3" t="n">
        <v>16</v>
      </c>
    </row>
    <row r="20" customFormat="false" ht="15" hidden="false" customHeight="false" outlineLevel="0" collapsed="false">
      <c r="A20" s="0" t="s">
        <v>102</v>
      </c>
      <c r="B20" s="3" t="n">
        <v>10.5</v>
      </c>
    </row>
    <row r="21" customFormat="false" ht="15" hidden="false" customHeight="false" outlineLevel="0" collapsed="false">
      <c r="A21" s="0" t="s">
        <v>103</v>
      </c>
      <c r="B21" s="3" t="n">
        <v>2</v>
      </c>
    </row>
    <row r="22" customFormat="false" ht="15" hidden="false" customHeight="false" outlineLevel="0" collapsed="false">
      <c r="A22" s="0" t="s">
        <v>104</v>
      </c>
      <c r="B22" s="3" t="n">
        <v>12</v>
      </c>
    </row>
    <row r="23" customFormat="false" ht="15" hidden="false" customHeight="false" outlineLevel="0" collapsed="false">
      <c r="A23" s="0" t="s">
        <v>105</v>
      </c>
      <c r="B23" s="3" t="n">
        <v>-10</v>
      </c>
    </row>
    <row r="24" customFormat="false" ht="15" hidden="false" customHeight="false" outlineLevel="0" collapsed="false">
      <c r="A24" s="0" t="s">
        <v>106</v>
      </c>
      <c r="B24" s="3" t="n">
        <v>0.25</v>
      </c>
    </row>
    <row r="26" customFormat="false" ht="15" hidden="false" customHeight="false" outlineLevel="0" collapsed="false">
      <c r="A26" s="2" t="s">
        <v>107</v>
      </c>
      <c r="C26" s="2" t="s">
        <v>85</v>
      </c>
      <c r="D26" s="2" t="s">
        <v>86</v>
      </c>
      <c r="E26" s="2" t="s">
        <v>87</v>
      </c>
      <c r="F26" s="2" t="s">
        <v>88</v>
      </c>
      <c r="G26" s="2" t="s">
        <v>89</v>
      </c>
      <c r="H26" s="2" t="s">
        <v>90</v>
      </c>
      <c r="I26" s="2" t="s">
        <v>91</v>
      </c>
      <c r="J26" s="2" t="s">
        <v>92</v>
      </c>
      <c r="K26" s="2" t="s">
        <v>93</v>
      </c>
      <c r="L26" s="2" t="s">
        <v>94</v>
      </c>
    </row>
    <row r="27" customFormat="false" ht="15" hidden="false" customHeight="false" outlineLevel="0" collapsed="false">
      <c r="A27" s="0" t="s">
        <v>95</v>
      </c>
      <c r="C27" s="3" t="n">
        <v>1</v>
      </c>
      <c r="D27" s="3" t="n">
        <v>4.5</v>
      </c>
      <c r="E27" s="3" t="n">
        <v>5</v>
      </c>
      <c r="F27" s="3" t="n">
        <v>6</v>
      </c>
      <c r="G27" s="3" t="n">
        <v>6</v>
      </c>
      <c r="H27" s="3" t="n">
        <v>6</v>
      </c>
      <c r="I27" s="3" t="n">
        <v>5</v>
      </c>
      <c r="J27" s="3" t="n">
        <v>4.5</v>
      </c>
      <c r="K27" s="3" t="n">
        <v>4</v>
      </c>
      <c r="L27" s="3" t="n">
        <v>3.5</v>
      </c>
    </row>
    <row r="28" customFormat="false" ht="15" hidden="false" customHeight="false" outlineLevel="0" collapsed="false">
      <c r="A28" s="0" t="s">
        <v>96</v>
      </c>
      <c r="C28" s="3" t="n">
        <v>3</v>
      </c>
      <c r="D28" s="3" t="n">
        <v>5</v>
      </c>
      <c r="E28" s="3" t="n">
        <v>8</v>
      </c>
      <c r="F28" s="3" t="n">
        <v>11</v>
      </c>
      <c r="G28" s="3" t="n">
        <v>14</v>
      </c>
      <c r="H28" s="3" t="n">
        <v>17</v>
      </c>
      <c r="I28" s="3" t="n">
        <v>19</v>
      </c>
      <c r="J28" s="3" t="n">
        <v>21</v>
      </c>
      <c r="K28" s="3" t="n">
        <v>22</v>
      </c>
      <c r="L28" s="3" t="n">
        <v>22</v>
      </c>
    </row>
    <row r="29" customFormat="false" ht="15" hidden="false" customHeight="false" outlineLevel="0" collapsed="false">
      <c r="A29" s="0" t="s">
        <v>97</v>
      </c>
      <c r="C29" s="3" t="n">
        <v>2.5</v>
      </c>
      <c r="D29" s="3" t="n">
        <v>2.4</v>
      </c>
      <c r="E29" s="3" t="n">
        <v>2.3</v>
      </c>
      <c r="F29" s="3" t="n">
        <v>2.2</v>
      </c>
      <c r="G29" s="3" t="n">
        <v>2.1</v>
      </c>
      <c r="H29" s="3" t="n">
        <v>2</v>
      </c>
      <c r="I29" s="3" t="n">
        <v>2</v>
      </c>
      <c r="J29" s="3" t="n">
        <v>2</v>
      </c>
      <c r="K29" s="3" t="n">
        <v>2</v>
      </c>
      <c r="L29" s="3" t="n">
        <v>2</v>
      </c>
    </row>
    <row r="30" customFormat="false" ht="15" hidden="false" customHeight="false" outlineLevel="0" collapsed="false">
      <c r="A30" s="0" t="s">
        <v>98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99</v>
      </c>
      <c r="C31" s="3" t="n">
        <v>2.4</v>
      </c>
      <c r="D31" s="3" t="n">
        <v>2.4</v>
      </c>
      <c r="E31" s="3" t="n">
        <v>2.4</v>
      </c>
      <c r="F31" s="3" t="n">
        <v>2.4</v>
      </c>
      <c r="G31" s="3" t="n">
        <v>2.4</v>
      </c>
      <c r="H31" s="3" t="n">
        <v>2.4</v>
      </c>
      <c r="I31" s="3" t="n">
        <v>2.4</v>
      </c>
      <c r="J31" s="3" t="n">
        <v>2.4</v>
      </c>
      <c r="K31" s="3" t="n">
        <v>2.4</v>
      </c>
      <c r="L31" s="3" t="n">
        <v>2.4</v>
      </c>
    </row>
    <row r="32" customFormat="false" ht="15" hidden="false" customHeight="false" outlineLevel="0" collapsed="false">
      <c r="A32" s="0" t="s">
        <v>100</v>
      </c>
      <c r="C32" s="3" t="n">
        <v>2.5</v>
      </c>
      <c r="D32" s="3" t="n">
        <v>2.5</v>
      </c>
      <c r="E32" s="3" t="n">
        <v>2.5</v>
      </c>
      <c r="F32" s="3" t="n">
        <v>2.5</v>
      </c>
      <c r="G32" s="3" t="n">
        <v>2.5</v>
      </c>
      <c r="H32" s="3" t="n">
        <v>2.5</v>
      </c>
      <c r="I32" s="3" t="n">
        <v>2.5</v>
      </c>
      <c r="J32" s="3" t="n">
        <v>2.5</v>
      </c>
      <c r="K32" s="3" t="n">
        <v>2.5</v>
      </c>
      <c r="L32" s="3" t="n">
        <v>2.5</v>
      </c>
    </row>
    <row r="33" customFormat="false" ht="15" hidden="false" customHeight="false" outlineLevel="0" collapsed="false">
      <c r="A33" s="0" t="s">
        <v>101</v>
      </c>
      <c r="C33" s="3" t="n">
        <v>5</v>
      </c>
      <c r="D33" s="3" t="n">
        <v>8</v>
      </c>
      <c r="E33" s="3" t="n">
        <v>10</v>
      </c>
      <c r="F33" s="3" t="n">
        <v>12</v>
      </c>
      <c r="G33" s="3" t="n">
        <v>14</v>
      </c>
      <c r="H33" s="3" t="n">
        <v>15</v>
      </c>
      <c r="I33" s="3" t="n">
        <v>16</v>
      </c>
      <c r="J33" s="3" t="n">
        <v>16</v>
      </c>
      <c r="K33" s="3" t="n">
        <v>16</v>
      </c>
      <c r="L33" s="3" t="n">
        <v>16</v>
      </c>
    </row>
    <row r="34" customFormat="false" ht="15" hidden="false" customHeight="false" outlineLevel="0" collapsed="false">
      <c r="A34" s="0" t="s">
        <v>102</v>
      </c>
      <c r="B34" s="3" t="n">
        <v>10.5</v>
      </c>
    </row>
    <row r="35" customFormat="false" ht="15" hidden="false" customHeight="false" outlineLevel="0" collapsed="false">
      <c r="A35" s="0" t="s">
        <v>103</v>
      </c>
      <c r="B35" s="3" t="n">
        <v>3</v>
      </c>
    </row>
    <row r="36" customFormat="false" ht="15" hidden="false" customHeight="false" outlineLevel="0" collapsed="false">
      <c r="A36" s="0" t="s">
        <v>104</v>
      </c>
      <c r="B36" s="3" t="n">
        <v>14</v>
      </c>
    </row>
    <row r="37" customFormat="false" ht="15" hidden="false" customHeight="false" outlineLevel="0" collapsed="false">
      <c r="A37" s="0" t="s">
        <v>105</v>
      </c>
      <c r="B37" s="3" t="n">
        <v>-10</v>
      </c>
    </row>
    <row r="38" customFormat="false" ht="15" hidden="false" customHeight="false" outlineLevel="0" collapsed="false">
      <c r="A38" s="0" t="s">
        <v>106</v>
      </c>
      <c r="B38" s="3" t="n">
        <v>0.5</v>
      </c>
    </row>
    <row r="40" customFormat="false" ht="15" hidden="false" customHeight="false" outlineLevel="0" collapsed="false">
      <c r="A40" s="2" t="s">
        <v>108</v>
      </c>
      <c r="C40" s="2" t="s">
        <v>85</v>
      </c>
      <c r="D40" s="2" t="s">
        <v>86</v>
      </c>
      <c r="E40" s="2" t="s">
        <v>87</v>
      </c>
      <c r="F40" s="2" t="s">
        <v>88</v>
      </c>
      <c r="G40" s="2" t="s">
        <v>89</v>
      </c>
      <c r="H40" s="2" t="s">
        <v>90</v>
      </c>
      <c r="I40" s="2" t="s">
        <v>91</v>
      </c>
      <c r="J40" s="2" t="s">
        <v>92</v>
      </c>
      <c r="K40" s="2" t="s">
        <v>93</v>
      </c>
      <c r="L40" s="2" t="s">
        <v>94</v>
      </c>
    </row>
    <row r="41" customFormat="false" ht="15" hidden="false" customHeight="false" outlineLevel="0" collapsed="false">
      <c r="A41" s="0" t="s">
        <v>95</v>
      </c>
      <c r="C41" s="3" t="n">
        <v>4</v>
      </c>
      <c r="D41" s="3" t="n">
        <v>10</v>
      </c>
      <c r="E41" s="3" t="n">
        <v>12</v>
      </c>
      <c r="F41" s="3" t="n">
        <v>12</v>
      </c>
      <c r="G41" s="3" t="n">
        <v>11</v>
      </c>
      <c r="H41" s="3" t="n">
        <v>10</v>
      </c>
      <c r="I41" s="3" t="n">
        <v>8</v>
      </c>
      <c r="J41" s="3" t="n">
        <v>7</v>
      </c>
      <c r="K41" s="3" t="n">
        <v>6</v>
      </c>
      <c r="L41" s="3" t="n">
        <v>5</v>
      </c>
    </row>
    <row r="42" customFormat="false" ht="15" hidden="false" customHeight="false" outlineLevel="0" collapsed="false">
      <c r="A42" s="0" t="s">
        <v>96</v>
      </c>
      <c r="C42" s="3" t="n">
        <v>6</v>
      </c>
      <c r="D42" s="3" t="n">
        <v>10</v>
      </c>
      <c r="E42" s="3" t="n">
        <v>14</v>
      </c>
      <c r="F42" s="3" t="n">
        <v>18</v>
      </c>
      <c r="G42" s="3" t="n">
        <v>22</v>
      </c>
      <c r="H42" s="3" t="n">
        <v>25</v>
      </c>
      <c r="I42" s="3" t="n">
        <v>27</v>
      </c>
      <c r="J42" s="3" t="n">
        <v>29</v>
      </c>
      <c r="K42" s="3" t="n">
        <v>30</v>
      </c>
      <c r="L42" s="3" t="n">
        <v>30</v>
      </c>
    </row>
    <row r="43" customFormat="false" ht="15" hidden="false" customHeight="false" outlineLevel="0" collapsed="false">
      <c r="A43" s="0" t="s">
        <v>97</v>
      </c>
      <c r="C43" s="3" t="n">
        <v>2.5</v>
      </c>
      <c r="D43" s="3" t="n">
        <v>2.4</v>
      </c>
      <c r="E43" s="3" t="n">
        <v>2.3</v>
      </c>
      <c r="F43" s="3" t="n">
        <v>2.2</v>
      </c>
      <c r="G43" s="3" t="n">
        <v>2.1</v>
      </c>
      <c r="H43" s="3" t="n">
        <v>2</v>
      </c>
      <c r="I43" s="3" t="n">
        <v>2</v>
      </c>
      <c r="J43" s="3" t="n">
        <v>2</v>
      </c>
      <c r="K43" s="3" t="n">
        <v>2</v>
      </c>
      <c r="L43" s="3" t="n">
        <v>2</v>
      </c>
    </row>
    <row r="44" customFormat="false" ht="15" hidden="false" customHeight="false" outlineLevel="0" collapsed="false">
      <c r="A44" s="0" t="s">
        <v>98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99</v>
      </c>
      <c r="C45" s="3" t="n">
        <v>2.4</v>
      </c>
      <c r="D45" s="3" t="n">
        <v>2.4</v>
      </c>
      <c r="E45" s="3" t="n">
        <v>2.4</v>
      </c>
      <c r="F45" s="3" t="n">
        <v>2.4</v>
      </c>
      <c r="G45" s="3" t="n">
        <v>2.4</v>
      </c>
      <c r="H45" s="3" t="n">
        <v>2.4</v>
      </c>
      <c r="I45" s="3" t="n">
        <v>2.4</v>
      </c>
      <c r="J45" s="3" t="n">
        <v>2.4</v>
      </c>
      <c r="K45" s="3" t="n">
        <v>2.4</v>
      </c>
      <c r="L45" s="3" t="n">
        <v>2.4</v>
      </c>
    </row>
    <row r="46" customFormat="false" ht="15" hidden="false" customHeight="false" outlineLevel="0" collapsed="false">
      <c r="A46" s="0" t="s">
        <v>100</v>
      </c>
      <c r="C46" s="3" t="n">
        <v>2.5</v>
      </c>
      <c r="D46" s="3" t="n">
        <v>2.5</v>
      </c>
      <c r="E46" s="3" t="n">
        <v>2.5</v>
      </c>
      <c r="F46" s="3" t="n">
        <v>2.5</v>
      </c>
      <c r="G46" s="3" t="n">
        <v>2.5</v>
      </c>
      <c r="H46" s="3" t="n">
        <v>2.5</v>
      </c>
      <c r="I46" s="3" t="n">
        <v>2.5</v>
      </c>
      <c r="J46" s="3" t="n">
        <v>2.5</v>
      </c>
      <c r="K46" s="3" t="n">
        <v>2.5</v>
      </c>
      <c r="L46" s="3" t="n">
        <v>2.5</v>
      </c>
    </row>
    <row r="47" customFormat="false" ht="15" hidden="false" customHeight="false" outlineLevel="0" collapsed="false">
      <c r="A47" s="0" t="s">
        <v>101</v>
      </c>
      <c r="C47" s="3" t="n">
        <v>5</v>
      </c>
      <c r="D47" s="3" t="n">
        <v>8</v>
      </c>
      <c r="E47" s="3" t="n">
        <v>10</v>
      </c>
      <c r="F47" s="3" t="n">
        <v>12</v>
      </c>
      <c r="G47" s="3" t="n">
        <v>14</v>
      </c>
      <c r="H47" s="3" t="n">
        <v>15</v>
      </c>
      <c r="I47" s="3" t="n">
        <v>16</v>
      </c>
      <c r="J47" s="3" t="n">
        <v>16</v>
      </c>
      <c r="K47" s="3" t="n">
        <v>16</v>
      </c>
      <c r="L47" s="3" t="n">
        <v>16</v>
      </c>
    </row>
    <row r="48" customFormat="false" ht="15" hidden="false" customHeight="false" outlineLevel="0" collapsed="false">
      <c r="A48" s="0" t="s">
        <v>102</v>
      </c>
      <c r="B48" s="3" t="n">
        <v>10.5</v>
      </c>
    </row>
    <row r="49" customFormat="false" ht="15" hidden="false" customHeight="false" outlineLevel="0" collapsed="false">
      <c r="A49" s="0" t="s">
        <v>103</v>
      </c>
      <c r="B49" s="3" t="n">
        <v>3</v>
      </c>
    </row>
    <row r="50" customFormat="false" ht="15" hidden="false" customHeight="false" outlineLevel="0" collapsed="false">
      <c r="A50" s="0" t="s">
        <v>104</v>
      </c>
      <c r="B50" s="3" t="n">
        <v>14</v>
      </c>
    </row>
    <row r="51" customFormat="false" ht="15" hidden="false" customHeight="false" outlineLevel="0" collapsed="false">
      <c r="A51" s="0" t="s">
        <v>105</v>
      </c>
      <c r="B51" s="3" t="n">
        <v>-10</v>
      </c>
    </row>
    <row r="52" customFormat="false" ht="15" hidden="false" customHeight="false" outlineLevel="0" collapsed="false">
      <c r="A52" s="0" t="s">
        <v>106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109</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Assumptions!C13</f>
        <v>-2</v>
      </c>
      <c r="D5" s="4" t="n">
        <f aca="false">Assumptions!D13</f>
        <v>1</v>
      </c>
      <c r="E5" s="4" t="n">
        <f aca="false">Assumptions!E13</f>
        <v>2</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548.512</v>
      </c>
      <c r="C6" s="0" t="n">
        <f aca="false">B6*(1+C5/100)</f>
        <v>537.54176</v>
      </c>
      <c r="D6" s="0" t="n">
        <f aca="false">C6*(1+D5/100)</f>
        <v>542.9171776</v>
      </c>
      <c r="E6" s="0" t="n">
        <f aca="false">D6*(1+E5/100)</f>
        <v>553.775521152</v>
      </c>
      <c r="F6" s="0" t="n">
        <f aca="false">E6*(1+F5/100)</f>
        <v>564.85103157504</v>
      </c>
      <c r="G6" s="0" t="n">
        <f aca="false">F6*(1+G5/100)</f>
        <v>576.148052206541</v>
      </c>
      <c r="H6" s="0" t="n">
        <f aca="false">G6*(1+H5/100)</f>
        <v>587.671013250672</v>
      </c>
      <c r="I6" s="0" t="n">
        <f aca="false">H6*(1+I5/100)</f>
        <v>599.424433515685</v>
      </c>
      <c r="J6" s="0" t="n">
        <f aca="false">I6*(1+J5/100)</f>
        <v>611.412922185999</v>
      </c>
      <c r="K6" s="0" t="n">
        <f aca="false">J6*(1+K5/100)</f>
        <v>623.641180629719</v>
      </c>
      <c r="L6" s="0" t="n">
        <f aca="false">K6*(1+L5/100)</f>
        <v>636.114004242313</v>
      </c>
    </row>
    <row r="7" customFormat="false" ht="15" hidden="false" customHeight="false" outlineLevel="0" collapsed="false">
      <c r="A7" s="0" t="s">
        <v>96</v>
      </c>
      <c r="C7" s="4" t="n">
        <f aca="false">Assumptions!C14</f>
        <v>0</v>
      </c>
      <c r="D7" s="4" t="n">
        <f aca="false">Assumptions!D14</f>
        <v>1</v>
      </c>
      <c r="E7" s="4" t="n">
        <f aca="false">Assumptions!E14</f>
        <v>2</v>
      </c>
      <c r="F7" s="4" t="n">
        <f aca="false">Assumptions!F14</f>
        <v>3</v>
      </c>
      <c r="G7" s="4" t="n">
        <f aca="false">Assumptions!G14</f>
        <v>4</v>
      </c>
      <c r="H7" s="4" t="n">
        <f aca="false">Assumptions!H14</f>
        <v>5</v>
      </c>
      <c r="I7" s="4" t="n">
        <f aca="false">Assumptions!I14</f>
        <v>6</v>
      </c>
      <c r="J7" s="4" t="n">
        <f aca="false">Assumptions!J14</f>
        <v>7</v>
      </c>
      <c r="K7" s="4" t="n">
        <f aca="false">Assumptions!K14</f>
        <v>8</v>
      </c>
      <c r="L7" s="4" t="n">
        <f aca="false">Assumptions!L14</f>
        <v>8</v>
      </c>
    </row>
    <row r="8" customFormat="false" ht="15" hidden="false" customHeight="false" outlineLevel="0" collapsed="false">
      <c r="A8" s="0" t="s">
        <v>44</v>
      </c>
      <c r="C8" s="0" t="n">
        <f aca="false">C6*C7/100</f>
        <v>0</v>
      </c>
      <c r="D8" s="0" t="n">
        <f aca="false">D6*D7/100</f>
        <v>5.429171776</v>
      </c>
      <c r="E8" s="0" t="n">
        <f aca="false">E6*E7/100</f>
        <v>11.07551042304</v>
      </c>
      <c r="F8" s="0" t="n">
        <f aca="false">F6*F7/100</f>
        <v>16.9455309472512</v>
      </c>
      <c r="G8" s="0" t="n">
        <f aca="false">G6*G7/100</f>
        <v>23.0459220882616</v>
      </c>
      <c r="H8" s="0" t="n">
        <f aca="false">H6*H7/100</f>
        <v>29.3835506625336</v>
      </c>
      <c r="I8" s="0" t="n">
        <f aca="false">I6*I7/100</f>
        <v>35.9654660109411</v>
      </c>
      <c r="J8" s="0" t="n">
        <f aca="false">J6*J7/100</f>
        <v>42.7989045530199</v>
      </c>
      <c r="K8" s="0" t="n">
        <f aca="false">K6*K7/100</f>
        <v>49.8912944503775</v>
      </c>
      <c r="L8" s="0" t="n">
        <f aca="false">L6*L7/100</f>
        <v>50.8891203393851</v>
      </c>
    </row>
    <row r="9" customFormat="false" ht="15" hidden="false" customHeight="false" outlineLevel="0" collapsed="false">
      <c r="A9" s="0" t="s">
        <v>97</v>
      </c>
      <c r="C9" s="4" t="n">
        <f aca="false">Assumptions!C15</f>
        <v>2.5</v>
      </c>
      <c r="D9" s="4" t="n">
        <f aca="false">Assumptions!D15</f>
        <v>2.4</v>
      </c>
      <c r="E9" s="4" t="n">
        <f aca="false">Assumptions!E15</f>
        <v>2.3</v>
      </c>
      <c r="F9" s="4" t="n">
        <f aca="false">Assumptions!F15</f>
        <v>2.2</v>
      </c>
      <c r="G9" s="4" t="n">
        <f aca="false">Assumptions!G15</f>
        <v>2.1</v>
      </c>
      <c r="H9" s="4" t="n">
        <f aca="false">Assumptions!H15</f>
        <v>2</v>
      </c>
      <c r="I9" s="4" t="n">
        <f aca="false">Assumptions!I15</f>
        <v>2</v>
      </c>
      <c r="J9" s="4" t="n">
        <f aca="false">Assumptions!J15</f>
        <v>2</v>
      </c>
      <c r="K9" s="4" t="n">
        <f aca="false">Assumptions!K15</f>
        <v>2</v>
      </c>
      <c r="L9" s="4" t="n">
        <f aca="false">Assumptions!L15</f>
        <v>2</v>
      </c>
    </row>
    <row r="10" customFormat="false" ht="15" hidden="false" customHeight="false" outlineLevel="0" collapsed="false">
      <c r="A10" s="0" t="s">
        <v>112</v>
      </c>
      <c r="C10" s="0" t="n">
        <f aca="false">-C6*C9/100</f>
        <v>-13.438544</v>
      </c>
      <c r="D10" s="0" t="n">
        <f aca="false">-D6*D9/100</f>
        <v>-13.0300122624</v>
      </c>
      <c r="E10" s="0" t="n">
        <f aca="false">-E6*E9/100</f>
        <v>-12.736836986496</v>
      </c>
      <c r="F10" s="0" t="n">
        <f aca="false">-F6*F9/100</f>
        <v>-12.4267226946509</v>
      </c>
      <c r="G10" s="0" t="n">
        <f aca="false">-G6*G9/100</f>
        <v>-12.0991090963374</v>
      </c>
      <c r="H10" s="0" t="n">
        <f aca="false">-H6*H9/100</f>
        <v>-11.7534202650134</v>
      </c>
      <c r="I10" s="0" t="n">
        <f aca="false">-I6*I9/100</f>
        <v>-11.9884886703137</v>
      </c>
      <c r="J10" s="0" t="n">
        <f aca="false">-J6*J9/100</f>
        <v>-12.22825844372</v>
      </c>
      <c r="K10" s="0" t="n">
        <f aca="false">-K6*K9/100</f>
        <v>-12.4728236125944</v>
      </c>
      <c r="L10" s="0" t="n">
        <f aca="false">-L6*L9/100</f>
        <v>-12.7222800848463</v>
      </c>
    </row>
    <row r="11" customFormat="false" ht="15" hidden="false" customHeight="false" outlineLevel="0" collapsed="false">
      <c r="A11" s="0" t="s">
        <v>113</v>
      </c>
      <c r="C11" s="0" t="n">
        <f aca="false">C8+C10+C24</f>
        <v>-13.438544</v>
      </c>
      <c r="D11" s="0" t="n">
        <f aca="false">D8+D10+D24</f>
        <v>-7.6008404864</v>
      </c>
      <c r="E11" s="0" t="n">
        <f aca="false">E8+E10+E24</f>
        <v>-1.661326563456</v>
      </c>
      <c r="F11" s="0" t="n">
        <f aca="false">F8+F10+F24</f>
        <v>4.51880825260032</v>
      </c>
      <c r="G11" s="0" t="n">
        <f aca="false">G8+G10+G24</f>
        <v>10.9468129919243</v>
      </c>
      <c r="H11" s="0" t="n">
        <f aca="false">H8+H10+H24</f>
        <v>17.6301303975201</v>
      </c>
      <c r="I11" s="0" t="n">
        <f aca="false">I8+I10+I24</f>
        <v>23.9769773406274</v>
      </c>
      <c r="J11" s="0" t="n">
        <f aca="false">J8+J10+J24</f>
        <v>30.5706461092999</v>
      </c>
      <c r="K11" s="0" t="n">
        <f aca="false">K8+K10+K24</f>
        <v>37.4184708377831</v>
      </c>
      <c r="L11" s="0" t="n">
        <f aca="false">L8+L10+L24</f>
        <v>38.1668402545388</v>
      </c>
    </row>
    <row r="12" customFormat="false" ht="15" hidden="false" customHeight="false" outlineLevel="0" collapsed="false">
      <c r="A12" s="0" t="s">
        <v>114</v>
      </c>
      <c r="C12" s="4" t="n">
        <f aca="false">-C6*Assumptions!C17/100</f>
        <v>-12.90100224</v>
      </c>
      <c r="D12" s="4" t="n">
        <f aca="false">-D6*Assumptions!D17/100</f>
        <v>-13.0300122624</v>
      </c>
      <c r="E12" s="4" t="n">
        <f aca="false">-E6*Assumptions!E17/100</f>
        <v>-13.290612507648</v>
      </c>
      <c r="F12" s="4" t="n">
        <f aca="false">-F6*Assumptions!F17/100</f>
        <v>-13.556424757801</v>
      </c>
      <c r="G12" s="4" t="n">
        <f aca="false">-G6*Assumptions!G17/100</f>
        <v>-13.827553252957</v>
      </c>
      <c r="H12" s="4" t="n">
        <f aca="false">-H6*Assumptions!H17/100</f>
        <v>-14.1041043180161</v>
      </c>
      <c r="I12" s="4" t="n">
        <f aca="false">-I6*Assumptions!I17/100</f>
        <v>-14.3861864043764</v>
      </c>
      <c r="J12" s="4" t="n">
        <f aca="false">-J6*Assumptions!J17/100</f>
        <v>-14.673910132464</v>
      </c>
      <c r="K12" s="4" t="n">
        <f aca="false">-K6*Assumptions!K17/100</f>
        <v>-14.9673883351132</v>
      </c>
      <c r="L12" s="4" t="n">
        <f aca="false">-L6*Assumptions!L17/100</f>
        <v>-15.2667361018155</v>
      </c>
    </row>
    <row r="13" customFormat="false" ht="15" hidden="false" customHeight="false" outlineLevel="0" collapsed="false">
      <c r="A13" s="0" t="s">
        <v>115</v>
      </c>
      <c r="C13" s="0" t="n">
        <f aca="false">C11+C12</f>
        <v>-26.33954624</v>
      </c>
      <c r="D13" s="0" t="n">
        <f aca="false">D11+D12</f>
        <v>-20.6308527488</v>
      </c>
      <c r="E13" s="0" t="n">
        <f aca="false">E11+E12</f>
        <v>-14.951939071104</v>
      </c>
      <c r="F13" s="0" t="n">
        <f aca="false">F11+F12</f>
        <v>-9.03761650520064</v>
      </c>
      <c r="G13" s="0" t="n">
        <f aca="false">G11+G12</f>
        <v>-2.8807402610327</v>
      </c>
      <c r="H13" s="0" t="n">
        <f aca="false">H11+H12</f>
        <v>3.52602607950403</v>
      </c>
      <c r="I13" s="0" t="n">
        <f aca="false">I11+I12</f>
        <v>9.59079093625097</v>
      </c>
      <c r="J13" s="0" t="n">
        <f aca="false">J11+J12</f>
        <v>15.896735976836</v>
      </c>
      <c r="K13" s="0" t="n">
        <f aca="false">K11+K12</f>
        <v>22.4510825026699</v>
      </c>
      <c r="L13" s="0" t="n">
        <f aca="false">L11+L12</f>
        <v>22.9001041527233</v>
      </c>
    </row>
    <row r="14" customFormat="false" ht="15" hidden="false" customHeight="false" outlineLevel="0" collapsed="false">
      <c r="A14" s="0" t="s">
        <v>101</v>
      </c>
      <c r="C14" s="4" t="n">
        <f aca="false">Assumptions!C19</f>
        <v>5</v>
      </c>
      <c r="D14" s="4" t="n">
        <f aca="false">Assumptions!D19</f>
        <v>8</v>
      </c>
      <c r="E14" s="4" t="n">
        <f aca="false">Assumptions!E19</f>
        <v>10</v>
      </c>
      <c r="F14" s="4" t="n">
        <f aca="false">Assumptions!F19</f>
        <v>12</v>
      </c>
      <c r="G14" s="4" t="n">
        <f aca="false">Assumptions!G19</f>
        <v>14</v>
      </c>
      <c r="H14" s="4" t="n">
        <f aca="false">Assumptions!H19</f>
        <v>15</v>
      </c>
      <c r="I14" s="4" t="n">
        <f aca="false">Assumptions!I19</f>
        <v>16</v>
      </c>
      <c r="J14" s="4" t="n">
        <f aca="false">Assumptions!J19</f>
        <v>16</v>
      </c>
      <c r="K14" s="4" t="n">
        <f aca="false">Assumptions!K19</f>
        <v>16</v>
      </c>
      <c r="L14" s="4" t="n">
        <f aca="false">Assumptions!L19</f>
        <v>16</v>
      </c>
    </row>
    <row r="15" customFormat="false" ht="15" hidden="false" customHeight="false" outlineLevel="0" collapsed="false">
      <c r="A15" s="0" t="s">
        <v>116</v>
      </c>
      <c r="C15" s="0" t="n">
        <f aca="false">C13-MAX(0,C13)*C14/100</f>
        <v>-26.33954624</v>
      </c>
      <c r="D15" s="0" t="n">
        <f aca="false">D13-MAX(0,D13)*D14/100</f>
        <v>-20.6308527488</v>
      </c>
      <c r="E15" s="0" t="n">
        <f aca="false">E13-MAX(0,E13)*E14/100</f>
        <v>-14.951939071104</v>
      </c>
      <c r="F15" s="0" t="n">
        <f aca="false">F13-MAX(0,F13)*F14/100</f>
        <v>-9.03761650520064</v>
      </c>
      <c r="G15" s="0" t="n">
        <f aca="false">G13-MAX(0,G13)*G14/100</f>
        <v>-2.8807402610327</v>
      </c>
      <c r="H15" s="0" t="n">
        <f aca="false">H13-MAX(0,H13)*H14/100</f>
        <v>2.99712216757843</v>
      </c>
      <c r="I15" s="0" t="n">
        <f aca="false">I13-MAX(0,I13)*I14/100</f>
        <v>8.05626438645081</v>
      </c>
      <c r="J15" s="0" t="n">
        <f aca="false">J13-MAX(0,J13)*J14/100</f>
        <v>13.3532582205422</v>
      </c>
      <c r="K15" s="0" t="n">
        <f aca="false">K13-MAX(0,K13)*K14/100</f>
        <v>18.8589093022427</v>
      </c>
      <c r="L15" s="0" t="n">
        <f aca="false">L13-MAX(0,L13)*L14/100</f>
        <v>19.2360874882876</v>
      </c>
    </row>
    <row r="16" customFormat="false" ht="15" hidden="false" customHeight="false" outlineLevel="0" collapsed="false">
      <c r="A16" s="0" t="s">
        <v>117</v>
      </c>
      <c r="C16" s="0" t="n">
        <f aca="false">-C12</f>
        <v>12.90100224</v>
      </c>
      <c r="D16" s="0" t="n">
        <f aca="false">-D12</f>
        <v>13.0300122624</v>
      </c>
      <c r="E16" s="0" t="n">
        <f aca="false">-E12</f>
        <v>13.290612507648</v>
      </c>
      <c r="F16" s="0" t="n">
        <f aca="false">-F12</f>
        <v>13.556424757801</v>
      </c>
      <c r="G16" s="0" t="n">
        <f aca="false">-G12</f>
        <v>13.827553252957</v>
      </c>
      <c r="H16" s="0" t="n">
        <f aca="false">-H12</f>
        <v>14.1041043180161</v>
      </c>
      <c r="I16" s="0" t="n">
        <f aca="false">-I12</f>
        <v>14.3861864043764</v>
      </c>
      <c r="J16" s="0" t="n">
        <f aca="false">-J12</f>
        <v>14.673910132464</v>
      </c>
      <c r="K16" s="0" t="n">
        <f aca="false">-K12</f>
        <v>14.9673883351132</v>
      </c>
      <c r="L16" s="0" t="n">
        <f aca="false">-L12</f>
        <v>15.2667361018155</v>
      </c>
    </row>
    <row r="17" customFormat="false" ht="15" hidden="false" customHeight="false" outlineLevel="0" collapsed="false">
      <c r="A17" s="0" t="s">
        <v>118</v>
      </c>
      <c r="C17" s="4" t="n">
        <f aca="false">-C6*Assumptions!C18/100</f>
        <v>-13.438544</v>
      </c>
      <c r="D17" s="4" t="n">
        <f aca="false">-D6*Assumptions!D18/100</f>
        <v>-13.57292944</v>
      </c>
      <c r="E17" s="4" t="n">
        <f aca="false">-E6*Assumptions!E18/100</f>
        <v>-13.8443880288</v>
      </c>
      <c r="F17" s="4" t="n">
        <f aca="false">-F6*Assumptions!F18/100</f>
        <v>-14.121275789376</v>
      </c>
      <c r="G17" s="4" t="n">
        <f aca="false">-G6*Assumptions!G18/100</f>
        <v>-14.4037013051635</v>
      </c>
      <c r="H17" s="4" t="n">
        <f aca="false">-H6*Assumptions!H18/100</f>
        <v>-14.6917753312668</v>
      </c>
      <c r="I17" s="4" t="n">
        <f aca="false">-I6*Assumptions!I18/100</f>
        <v>-14.9856108378921</v>
      </c>
      <c r="J17" s="4" t="n">
        <f aca="false">-J6*Assumptions!J18/100</f>
        <v>-15.28532305465</v>
      </c>
      <c r="K17" s="4" t="n">
        <f aca="false">-K6*Assumptions!K18/100</f>
        <v>-15.591029515743</v>
      </c>
      <c r="L17" s="4" t="n">
        <f aca="false">-L6*Assumptions!L18/100</f>
        <v>-15.9028501060578</v>
      </c>
    </row>
    <row r="18" customFormat="false" ht="15" hidden="false" customHeight="false" outlineLevel="0" collapsed="false">
      <c r="A18" s="0" t="s">
        <v>119</v>
      </c>
      <c r="C18" s="4" t="n">
        <f aca="false">(C6-B6)*Assumptions!$B$23/100</f>
        <v>1.097024</v>
      </c>
      <c r="D18" s="4" t="n">
        <f aca="false">(D6-C6)*Assumptions!$B$23/100</f>
        <v>-0.537541759999999</v>
      </c>
      <c r="E18" s="4" t="n">
        <f aca="false">(E6-D6)*Assumptions!$B$23/100</f>
        <v>-1.08583435520001</v>
      </c>
      <c r="F18" s="4" t="n">
        <f aca="false">(F6-E6)*Assumptions!$B$23/100</f>
        <v>-1.107551042304</v>
      </c>
      <c r="G18" s="4" t="n">
        <f aca="false">(G6-F6)*Assumptions!$B$23/100</f>
        <v>-1.12970206315008</v>
      </c>
      <c r="H18" s="4" t="n">
        <f aca="false">(H6-G6)*Assumptions!$B$23/100</f>
        <v>-1.15229610441309</v>
      </c>
      <c r="I18" s="4" t="n">
        <f aca="false">(I6-H6)*Assumptions!$B$23/100</f>
        <v>-1.17534202650135</v>
      </c>
      <c r="J18" s="4" t="n">
        <f aca="false">(J6-I6)*Assumptions!$B$23/100</f>
        <v>-1.19884886703137</v>
      </c>
      <c r="K18" s="4" t="n">
        <f aca="false">(K6-J6)*Assumptions!$B$23/100</f>
        <v>-1.22282584437199</v>
      </c>
      <c r="L18" s="4" t="n">
        <f aca="false">(L6-K6)*Assumptions!$B$23/100</f>
        <v>-1.24728236125944</v>
      </c>
    </row>
    <row r="19" customFormat="false" ht="15" hidden="false" customHeight="false" outlineLevel="0" collapsed="false">
      <c r="A19" s="0" t="s">
        <v>120</v>
      </c>
      <c r="C19" s="0" t="n">
        <f aca="false">C15+C16+C17+C18</f>
        <v>-25.780064</v>
      </c>
      <c r="D19" s="0" t="n">
        <f aca="false">D15+D16+D17+D18</f>
        <v>-21.7113116864</v>
      </c>
      <c r="E19" s="0" t="n">
        <f aca="false">E15+E16+E17+E18</f>
        <v>-16.591548947456</v>
      </c>
      <c r="F19" s="0" t="n">
        <f aca="false">F15+F16+F17+F18</f>
        <v>-10.7100185790797</v>
      </c>
      <c r="G19" s="0" t="n">
        <f aca="false">G15+G16+G17+G18</f>
        <v>-4.58659037638932</v>
      </c>
      <c r="H19" s="0" t="n">
        <f aca="false">H15+H16+H17+H18</f>
        <v>1.25715504991467</v>
      </c>
      <c r="I19" s="0" t="n">
        <f aca="false">I15+I16+I17+I18</f>
        <v>6.28149792643378</v>
      </c>
      <c r="J19" s="0" t="n">
        <f aca="false">J15+J16+J17+J18</f>
        <v>11.5429964313248</v>
      </c>
      <c r="K19" s="0" t="n">
        <f aca="false">K15+K16+K17+K18</f>
        <v>17.012442277241</v>
      </c>
      <c r="L19" s="0" t="n">
        <f aca="false">L15+L16+L17+L18</f>
        <v>17.3526911227858</v>
      </c>
    </row>
    <row r="20" customFormat="false" ht="15" hidden="false" customHeight="false" outlineLevel="0" collapsed="false">
      <c r="A20" s="0" t="s">
        <v>121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122</v>
      </c>
      <c r="C21" s="0" t="n">
        <f aca="false">C19*C20</f>
        <v>-23.3303746606335</v>
      </c>
      <c r="D21" s="0" t="n">
        <f aca="false">D19*D20</f>
        <v>-17.7812179819414</v>
      </c>
      <c r="E21" s="0" t="n">
        <f aca="false">E19*E20</f>
        <v>-12.297026205882</v>
      </c>
      <c r="F21" s="0" t="n">
        <f aca="false">F19*F20</f>
        <v>-7.18358296884087</v>
      </c>
      <c r="G21" s="0" t="n">
        <f aca="false">G19*G20</f>
        <v>-2.78405983805526</v>
      </c>
      <c r="H21" s="0" t="n">
        <f aca="false">H19*H20</f>
        <v>0.690581875707076</v>
      </c>
      <c r="I21" s="0" t="n">
        <f aca="false">I19*I20</f>
        <v>3.12267851077676</v>
      </c>
      <c r="J21" s="0" t="n">
        <f aca="false">J19*J20</f>
        <v>5.19302408959998</v>
      </c>
      <c r="K21" s="0" t="n">
        <f aca="false">K19*K20</f>
        <v>6.92637757635113</v>
      </c>
      <c r="L21" s="0" t="n">
        <f aca="false">L19*L20</f>
        <v>6.39357930124719</v>
      </c>
    </row>
    <row r="23" customFormat="false" ht="15" hidden="false" customHeight="false" outlineLevel="0" collapsed="false">
      <c r="A23" s="0" t="s">
        <v>98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Assumptions!$B$20</f>
        <v>10.5</v>
      </c>
    </row>
    <row r="28" customFormat="false" ht="15" hidden="false" customHeight="false" outlineLevel="0" collapsed="false">
      <c r="A28" s="0" t="s">
        <v>103</v>
      </c>
      <c r="B28" s="4" t="n">
        <f aca="false">Assumptions!$B$21</f>
        <v>2</v>
      </c>
    </row>
    <row r="29" customFormat="false" ht="15" hidden="false" customHeight="false" outlineLevel="0" collapsed="false">
      <c r="A29" s="0" t="s">
        <v>104</v>
      </c>
      <c r="B29" s="4" t="n">
        <f aca="false">Assumptions!$B$22</f>
        <v>12</v>
      </c>
    </row>
    <row r="30" customFormat="false" ht="15" hidden="false" customHeight="false" outlineLevel="0" collapsed="false">
      <c r="A30" s="0" t="s">
        <v>125</v>
      </c>
      <c r="B30" s="0" t="n">
        <f aca="false">SUM(C21:L21)</f>
        <v>-41.0500203016709</v>
      </c>
    </row>
    <row r="31" customFormat="false" ht="15" hidden="false" customHeight="false" outlineLevel="0" collapsed="false">
      <c r="A31" s="0" t="s">
        <v>126</v>
      </c>
      <c r="B31" s="0" t="n">
        <f aca="false">L19</f>
        <v>17.3526911227858</v>
      </c>
    </row>
    <row r="32" customFormat="false" ht="15" hidden="false" customHeight="false" outlineLevel="0" collapsed="false">
      <c r="A32" s="0" t="s">
        <v>127</v>
      </c>
      <c r="B32" s="0" t="n">
        <f aca="false">IF(B27&gt;B28,B31*(1+B28/100)/((B27-B28)/100),B31*B29)</f>
        <v>208.23229347343</v>
      </c>
    </row>
    <row r="33" customFormat="false" ht="15" hidden="false" customHeight="false" outlineLevel="0" collapsed="false">
      <c r="A33" s="0" t="s">
        <v>128</v>
      </c>
      <c r="B33" s="0" t="n">
        <f aca="false">B31*B29</f>
        <v>208.23229347343</v>
      </c>
    </row>
    <row r="34" customFormat="false" ht="15" hidden="false" customHeight="false" outlineLevel="0" collapsed="false">
      <c r="A34" s="0" t="s">
        <v>129</v>
      </c>
      <c r="B34" s="0" t="n">
        <f aca="false">MAX(0,MIN(B32,B33))</f>
        <v>208.23229347343</v>
      </c>
    </row>
    <row r="35" customFormat="false" ht="15" hidden="false" customHeight="false" outlineLevel="0" collapsed="false">
      <c r="A35" s="0" t="s">
        <v>130</v>
      </c>
      <c r="B35" s="0" t="n">
        <f aca="false">B34/(1+B27/100)^L4</f>
        <v>76.7229516149663</v>
      </c>
    </row>
    <row r="36" customFormat="false" ht="15" hidden="false" customHeight="false" outlineLevel="0" collapsed="false">
      <c r="A36" s="0" t="s">
        <v>131</v>
      </c>
      <c r="B36" s="0" t="n">
        <f aca="false">B30+B35</f>
        <v>35.6729313132954</v>
      </c>
    </row>
    <row r="37" customFormat="false" ht="15" hidden="false" customHeight="false" outlineLevel="0" collapsed="false">
      <c r="A37" s="0" t="s">
        <v>132</v>
      </c>
      <c r="B37" s="0" t="n">
        <f aca="false">B36+Assumptions!$B$5-Assumptions!$B$4</f>
        <v>1328.1819313133</v>
      </c>
    </row>
    <row r="38" customFormat="false" ht="15" hidden="false" customHeight="false" outlineLevel="0" collapsed="false">
      <c r="A38" s="0" t="s">
        <v>133</v>
      </c>
      <c r="B38" s="0" t="n">
        <f aca="false">B37/Assumptions!$B$3*Assumptions!$B$10</f>
        <v>11.9405194266284</v>
      </c>
    </row>
    <row r="39" customFormat="false" ht="15" hidden="false" customHeight="false" outlineLevel="0" collapsed="false">
      <c r="A39" s="0" t="s">
        <v>134</v>
      </c>
      <c r="B39" s="4" t="n">
        <f aca="false">B38/Assumptions!$B$2-1</f>
        <v>-0.450758076052052</v>
      </c>
    </row>
    <row r="41" customFormat="false" ht="15" hidden="false" customHeight="false" outlineLevel="0" collapsed="false">
      <c r="A41" s="0" t="s">
        <v>135</v>
      </c>
      <c r="B41" s="0" t="n">
        <f aca="false">SUMPRODUCT(-C10:L10/(1+$B$27/100)^C4:L4)</f>
        <v>75.6353217602254</v>
      </c>
    </row>
    <row r="42" customFormat="false" ht="15" hidden="false" customHeight="false" outlineLevel="0" collapsed="false">
      <c r="A42" s="0" t="s">
        <v>136</v>
      </c>
      <c r="B42" s="0" t="n">
        <f aca="false">IF(B27&gt;B28,-L10*(1+B28/100)/((B27-B28)/100),-L10*20)/(1+B27/100)^L4</f>
        <v>56.2501154705627</v>
      </c>
    </row>
    <row r="43" customFormat="false" ht="15" hidden="false" customHeight="false" outlineLevel="0" collapsed="false">
      <c r="A43" s="0" t="s">
        <v>137</v>
      </c>
      <c r="B43" s="0" t="n">
        <f aca="false">(B37+B41+B42)/Assumptions!$B$3*Assumptions!$B$10</f>
        <v>13.1261857786668</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136.151884194165</v>
      </c>
    </row>
    <row r="47" customFormat="false" ht="15" hidden="false" customHeight="false" outlineLevel="0" collapsed="false">
      <c r="A47" s="0" t="s">
        <v>139</v>
      </c>
      <c r="B47" s="0" t="n">
        <f aca="false">(SUMPRODUCT(C19:L19/(1+B45/100)^C4:L4)+B46/(1+B45/100)^L4+Assumptions!$B$5-Assumptions!$B$4)/Assumptions!$B$3*Assumptions!$B$10</f>
        <v>11.5417001308992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Assumptions!C27</f>
        <v>1</v>
      </c>
      <c r="D5" s="4" t="n">
        <f aca="false">Assumptions!D27</f>
        <v>4.5</v>
      </c>
      <c r="E5" s="4" t="n">
        <f aca="false">Assumptions!E27</f>
        <v>5</v>
      </c>
      <c r="F5" s="4" t="n">
        <f aca="false">Assumptions!F27</f>
        <v>6</v>
      </c>
      <c r="G5" s="4" t="n">
        <f aca="false">Assumptions!G27</f>
        <v>6</v>
      </c>
      <c r="H5" s="4" t="n">
        <f aca="false">Assumptions!H27</f>
        <v>6</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38</v>
      </c>
      <c r="B6" s="3" t="n">
        <v>548.512</v>
      </c>
      <c r="C6" s="0" t="n">
        <f aca="false">B6*(1+C5/100)</f>
        <v>553.99712</v>
      </c>
      <c r="D6" s="0" t="n">
        <f aca="false">C6*(1+D5/100)</f>
        <v>578.9269904</v>
      </c>
      <c r="E6" s="0" t="n">
        <f aca="false">D6*(1+E5/100)</f>
        <v>607.87333992</v>
      </c>
      <c r="F6" s="0" t="n">
        <f aca="false">E6*(1+F5/100)</f>
        <v>644.3457403152</v>
      </c>
      <c r="G6" s="0" t="n">
        <f aca="false">F6*(1+G5/100)</f>
        <v>683.006484734112</v>
      </c>
      <c r="H6" s="0" t="n">
        <f aca="false">G6*(1+H5/100)</f>
        <v>723.986873818159</v>
      </c>
      <c r="I6" s="0" t="n">
        <f aca="false">H6*(1+I5/100)</f>
        <v>760.186217509067</v>
      </c>
      <c r="J6" s="0" t="n">
        <f aca="false">I6*(1+J5/100)</f>
        <v>794.394597296975</v>
      </c>
      <c r="K6" s="0" t="n">
        <f aca="false">J6*(1+K5/100)</f>
        <v>826.170381188854</v>
      </c>
      <c r="L6" s="0" t="n">
        <f aca="false">K6*(1+L5/100)</f>
        <v>855.086344530463</v>
      </c>
    </row>
    <row r="7" customFormat="false" ht="15" hidden="false" customHeight="false" outlineLevel="0" collapsed="false">
      <c r="A7" s="0" t="s">
        <v>96</v>
      </c>
      <c r="C7" s="4" t="n">
        <f aca="false">Assumptions!C28</f>
        <v>3</v>
      </c>
      <c r="D7" s="4" t="n">
        <f aca="false">Assumptions!D28</f>
        <v>5</v>
      </c>
      <c r="E7" s="4" t="n">
        <f aca="false">Assumptions!E28</f>
        <v>8</v>
      </c>
      <c r="F7" s="4" t="n">
        <f aca="false">Assumptions!F28</f>
        <v>11</v>
      </c>
      <c r="G7" s="4" t="n">
        <f aca="false">Assumptions!G28</f>
        <v>14</v>
      </c>
      <c r="H7" s="4" t="n">
        <f aca="false">Assumptions!H28</f>
        <v>17</v>
      </c>
      <c r="I7" s="4" t="n">
        <f aca="false">Assumptions!I28</f>
        <v>19</v>
      </c>
      <c r="J7" s="4" t="n">
        <f aca="false">Assumptions!J28</f>
        <v>21</v>
      </c>
      <c r="K7" s="4" t="n">
        <f aca="false">Assumptions!K28</f>
        <v>22</v>
      </c>
      <c r="L7" s="4" t="n">
        <f aca="false">Assumptions!L28</f>
        <v>22</v>
      </c>
    </row>
    <row r="8" customFormat="false" ht="15" hidden="false" customHeight="false" outlineLevel="0" collapsed="false">
      <c r="A8" s="0" t="s">
        <v>44</v>
      </c>
      <c r="C8" s="0" t="n">
        <f aca="false">C6*C7/100</f>
        <v>16.6199136</v>
      </c>
      <c r="D8" s="0" t="n">
        <f aca="false">D6*D7/100</f>
        <v>28.94634952</v>
      </c>
      <c r="E8" s="0" t="n">
        <f aca="false">E6*E7/100</f>
        <v>48.6298671936</v>
      </c>
      <c r="F8" s="0" t="n">
        <f aca="false">F6*F7/100</f>
        <v>70.878031434672</v>
      </c>
      <c r="G8" s="0" t="n">
        <f aca="false">G6*G7/100</f>
        <v>95.6209078627757</v>
      </c>
      <c r="H8" s="0" t="n">
        <f aca="false">H6*H7/100</f>
        <v>123.077768549087</v>
      </c>
      <c r="I8" s="0" t="n">
        <f aca="false">I6*I7/100</f>
        <v>144.435381326723</v>
      </c>
      <c r="J8" s="0" t="n">
        <f aca="false">J6*J7/100</f>
        <v>166.822865432365</v>
      </c>
      <c r="K8" s="0" t="n">
        <f aca="false">K6*K7/100</f>
        <v>181.757483861548</v>
      </c>
      <c r="L8" s="0" t="n">
        <f aca="false">L6*L7/100</f>
        <v>188.118995796702</v>
      </c>
    </row>
    <row r="9" customFormat="false" ht="15" hidden="false" customHeight="false" outlineLevel="0" collapsed="false">
      <c r="A9" s="0" t="s">
        <v>97</v>
      </c>
      <c r="C9" s="4" t="n">
        <f aca="false">Assumptions!C29</f>
        <v>2.5</v>
      </c>
      <c r="D9" s="4" t="n">
        <f aca="false">Assumptions!D29</f>
        <v>2.4</v>
      </c>
      <c r="E9" s="4" t="n">
        <f aca="false">Assumptions!E29</f>
        <v>2.3</v>
      </c>
      <c r="F9" s="4" t="n">
        <f aca="false">Assumptions!F29</f>
        <v>2.2</v>
      </c>
      <c r="G9" s="4" t="n">
        <f aca="false">Assumptions!G29</f>
        <v>2.1</v>
      </c>
      <c r="H9" s="4" t="n">
        <f aca="false">Assumptions!H29</f>
        <v>2</v>
      </c>
      <c r="I9" s="4" t="n">
        <f aca="false">Assumptions!I29</f>
        <v>2</v>
      </c>
      <c r="J9" s="4" t="n">
        <f aca="false">Assumptions!J29</f>
        <v>2</v>
      </c>
      <c r="K9" s="4" t="n">
        <f aca="false">Assumptions!K29</f>
        <v>2</v>
      </c>
      <c r="L9" s="4" t="n">
        <f aca="false">Assumptions!L29</f>
        <v>2</v>
      </c>
    </row>
    <row r="10" customFormat="false" ht="15" hidden="false" customHeight="false" outlineLevel="0" collapsed="false">
      <c r="A10" s="0" t="s">
        <v>112</v>
      </c>
      <c r="C10" s="0" t="n">
        <f aca="false">-C6*C9/100</f>
        <v>-13.849928</v>
      </c>
      <c r="D10" s="0" t="n">
        <f aca="false">-D6*D9/100</f>
        <v>-13.8942477696</v>
      </c>
      <c r="E10" s="0" t="n">
        <f aca="false">-E6*E9/100</f>
        <v>-13.98108681816</v>
      </c>
      <c r="F10" s="0" t="n">
        <f aca="false">-F6*F9/100</f>
        <v>-14.1756062869344</v>
      </c>
      <c r="G10" s="0" t="n">
        <f aca="false">-G6*G9/100</f>
        <v>-14.3431361794164</v>
      </c>
      <c r="H10" s="0" t="n">
        <f aca="false">-H6*H9/100</f>
        <v>-14.4797374763632</v>
      </c>
      <c r="I10" s="0" t="n">
        <f aca="false">-I6*I9/100</f>
        <v>-15.2037243501813</v>
      </c>
      <c r="J10" s="0" t="n">
        <f aca="false">-J6*J9/100</f>
        <v>-15.8878919459395</v>
      </c>
      <c r="K10" s="0" t="n">
        <f aca="false">-K6*K9/100</f>
        <v>-16.5234076237771</v>
      </c>
      <c r="L10" s="0" t="n">
        <f aca="false">-L6*L9/100</f>
        <v>-17.1017268906093</v>
      </c>
    </row>
    <row r="11" customFormat="false" ht="15" hidden="false" customHeight="false" outlineLevel="0" collapsed="false">
      <c r="A11" s="0" t="s">
        <v>113</v>
      </c>
      <c r="C11" s="0" t="n">
        <f aca="false">C8+C10+C24</f>
        <v>2.7699856</v>
      </c>
      <c r="D11" s="0" t="n">
        <f aca="false">D8+D10+D24</f>
        <v>15.0521017504</v>
      </c>
      <c r="E11" s="0" t="n">
        <f aca="false">E8+E10+E24</f>
        <v>34.64878037544</v>
      </c>
      <c r="F11" s="0" t="n">
        <f aca="false">F8+F10+F24</f>
        <v>56.7024251477376</v>
      </c>
      <c r="G11" s="0" t="n">
        <f aca="false">G8+G10+G24</f>
        <v>81.2777716833593</v>
      </c>
      <c r="H11" s="0" t="n">
        <f aca="false">H8+H10+H24</f>
        <v>108.598031072724</v>
      </c>
      <c r="I11" s="0" t="n">
        <f aca="false">I8+I10+I24</f>
        <v>129.231656976541</v>
      </c>
      <c r="J11" s="0" t="n">
        <f aca="false">J8+J10+J24</f>
        <v>150.934973486425</v>
      </c>
      <c r="K11" s="0" t="n">
        <f aca="false">K8+K10+K24</f>
        <v>165.234076237771</v>
      </c>
      <c r="L11" s="0" t="n">
        <f aca="false">L8+L10+L24</f>
        <v>171.017268906093</v>
      </c>
    </row>
    <row r="12" customFormat="false" ht="15" hidden="false" customHeight="false" outlineLevel="0" collapsed="false">
      <c r="A12" s="0" t="s">
        <v>114</v>
      </c>
      <c r="C12" s="4" t="n">
        <f aca="false">-C6*Assumptions!C31/100</f>
        <v>-13.29593088</v>
      </c>
      <c r="D12" s="4" t="n">
        <f aca="false">-D6*Assumptions!D31/100</f>
        <v>-13.8942477696</v>
      </c>
      <c r="E12" s="4" t="n">
        <f aca="false">-E6*Assumptions!E31/100</f>
        <v>-14.58896015808</v>
      </c>
      <c r="F12" s="4" t="n">
        <f aca="false">-F6*Assumptions!F31/100</f>
        <v>-15.4642977675648</v>
      </c>
      <c r="G12" s="4" t="n">
        <f aca="false">-G6*Assumptions!G31/100</f>
        <v>-16.3921556336187</v>
      </c>
      <c r="H12" s="4" t="n">
        <f aca="false">-H6*Assumptions!H31/100</f>
        <v>-17.3756849716358</v>
      </c>
      <c r="I12" s="4" t="n">
        <f aca="false">-I6*Assumptions!I31/100</f>
        <v>-18.2444692202176</v>
      </c>
      <c r="J12" s="4" t="n">
        <f aca="false">-J6*Assumptions!J31/100</f>
        <v>-19.0654703351274</v>
      </c>
      <c r="K12" s="4" t="n">
        <f aca="false">-K6*Assumptions!K31/100</f>
        <v>-19.8280891485325</v>
      </c>
      <c r="L12" s="4" t="n">
        <f aca="false">-L6*Assumptions!L31/100</f>
        <v>-20.5220722687311</v>
      </c>
    </row>
    <row r="13" customFormat="false" ht="15" hidden="false" customHeight="false" outlineLevel="0" collapsed="false">
      <c r="A13" s="0" t="s">
        <v>115</v>
      </c>
      <c r="C13" s="0" t="n">
        <f aca="false">C11+C12</f>
        <v>-10.52594528</v>
      </c>
      <c r="D13" s="0" t="n">
        <f aca="false">D11+D12</f>
        <v>1.1578539808</v>
      </c>
      <c r="E13" s="0" t="n">
        <f aca="false">E11+E12</f>
        <v>20.05982021736</v>
      </c>
      <c r="F13" s="0" t="n">
        <f aca="false">F11+F12</f>
        <v>41.2381273801728</v>
      </c>
      <c r="G13" s="0" t="n">
        <f aca="false">G11+G12</f>
        <v>64.8856160497407</v>
      </c>
      <c r="H13" s="0" t="n">
        <f aca="false">H11+H12</f>
        <v>91.222346101088</v>
      </c>
      <c r="I13" s="0" t="n">
        <f aca="false">I11+I12</f>
        <v>110.987187756324</v>
      </c>
      <c r="J13" s="0" t="n">
        <f aca="false">J11+J12</f>
        <v>131.869503151298</v>
      </c>
      <c r="K13" s="0" t="n">
        <f aca="false">K11+K12</f>
        <v>145.405987089238</v>
      </c>
      <c r="L13" s="0" t="n">
        <f aca="false">L11+L12</f>
        <v>150.495196637362</v>
      </c>
    </row>
    <row r="14" customFormat="false" ht="15" hidden="false" customHeight="false" outlineLevel="0" collapsed="false">
      <c r="A14" s="0" t="s">
        <v>101</v>
      </c>
      <c r="C14" s="4" t="n">
        <f aca="false">Assumptions!C33</f>
        <v>5</v>
      </c>
      <c r="D14" s="4" t="n">
        <f aca="false">Assumptions!D33</f>
        <v>8</v>
      </c>
      <c r="E14" s="4" t="n">
        <f aca="false">Assumptions!E33</f>
        <v>10</v>
      </c>
      <c r="F14" s="4" t="n">
        <f aca="false">Assumptions!F33</f>
        <v>12</v>
      </c>
      <c r="G14" s="4" t="n">
        <f aca="false">Assumptions!G33</f>
        <v>14</v>
      </c>
      <c r="H14" s="4" t="n">
        <f aca="false">Assumptions!H33</f>
        <v>15</v>
      </c>
      <c r="I14" s="4" t="n">
        <f aca="false">Assumptions!I33</f>
        <v>16</v>
      </c>
      <c r="J14" s="4" t="n">
        <f aca="false">Assumptions!J33</f>
        <v>16</v>
      </c>
      <c r="K14" s="4" t="n">
        <f aca="false">Assumptions!K33</f>
        <v>16</v>
      </c>
      <c r="L14" s="4" t="n">
        <f aca="false">Assumptions!L33</f>
        <v>16</v>
      </c>
    </row>
    <row r="15" customFormat="false" ht="15" hidden="false" customHeight="false" outlineLevel="0" collapsed="false">
      <c r="A15" s="0" t="s">
        <v>116</v>
      </c>
      <c r="C15" s="0" t="n">
        <f aca="false">C13-MAX(0,C13)*C14/100</f>
        <v>-10.52594528</v>
      </c>
      <c r="D15" s="0" t="n">
        <f aca="false">D13-MAX(0,D13)*D14/100</f>
        <v>1.065225662336</v>
      </c>
      <c r="E15" s="0" t="n">
        <f aca="false">E13-MAX(0,E13)*E14/100</f>
        <v>18.053838195624</v>
      </c>
      <c r="F15" s="0" t="n">
        <f aca="false">F13-MAX(0,F13)*F14/100</f>
        <v>36.2895520945521</v>
      </c>
      <c r="G15" s="0" t="n">
        <f aca="false">G13-MAX(0,G13)*G14/100</f>
        <v>55.801629802777</v>
      </c>
      <c r="H15" s="0" t="n">
        <f aca="false">H13-MAX(0,H13)*H14/100</f>
        <v>77.5389941859248</v>
      </c>
      <c r="I15" s="0" t="n">
        <f aca="false">I13-MAX(0,I13)*I14/100</f>
        <v>93.2292377153119</v>
      </c>
      <c r="J15" s="0" t="n">
        <f aca="false">J13-MAX(0,J13)*J14/100</f>
        <v>110.77038264709</v>
      </c>
      <c r="K15" s="0" t="n">
        <f aca="false">K13-MAX(0,K13)*K14/100</f>
        <v>122.14102915496</v>
      </c>
      <c r="L15" s="0" t="n">
        <f aca="false">L13-MAX(0,L13)*L14/100</f>
        <v>126.415965175384</v>
      </c>
    </row>
    <row r="16" customFormat="false" ht="15" hidden="false" customHeight="false" outlineLevel="0" collapsed="false">
      <c r="A16" s="0" t="s">
        <v>117</v>
      </c>
      <c r="C16" s="0" t="n">
        <f aca="false">-C12</f>
        <v>13.29593088</v>
      </c>
      <c r="D16" s="0" t="n">
        <f aca="false">-D12</f>
        <v>13.8942477696</v>
      </c>
      <c r="E16" s="0" t="n">
        <f aca="false">-E12</f>
        <v>14.58896015808</v>
      </c>
      <c r="F16" s="0" t="n">
        <f aca="false">-F12</f>
        <v>15.4642977675648</v>
      </c>
      <c r="G16" s="0" t="n">
        <f aca="false">-G12</f>
        <v>16.3921556336187</v>
      </c>
      <c r="H16" s="0" t="n">
        <f aca="false">-H12</f>
        <v>17.3756849716358</v>
      </c>
      <c r="I16" s="0" t="n">
        <f aca="false">-I12</f>
        <v>18.2444692202176</v>
      </c>
      <c r="J16" s="0" t="n">
        <f aca="false">-J12</f>
        <v>19.0654703351274</v>
      </c>
      <c r="K16" s="0" t="n">
        <f aca="false">-K12</f>
        <v>19.8280891485325</v>
      </c>
      <c r="L16" s="0" t="n">
        <f aca="false">-L12</f>
        <v>20.5220722687311</v>
      </c>
    </row>
    <row r="17" customFormat="false" ht="15" hidden="false" customHeight="false" outlineLevel="0" collapsed="false">
      <c r="A17" s="0" t="s">
        <v>118</v>
      </c>
      <c r="C17" s="4" t="n">
        <f aca="false">-C6*Assumptions!C32/100</f>
        <v>-13.849928</v>
      </c>
      <c r="D17" s="4" t="n">
        <f aca="false">-D6*Assumptions!D32/100</f>
        <v>-14.47317476</v>
      </c>
      <c r="E17" s="4" t="n">
        <f aca="false">-E6*Assumptions!E32/100</f>
        <v>-15.196833498</v>
      </c>
      <c r="F17" s="4" t="n">
        <f aca="false">-F6*Assumptions!F32/100</f>
        <v>-16.10864350788</v>
      </c>
      <c r="G17" s="4" t="n">
        <f aca="false">-G6*Assumptions!G32/100</f>
        <v>-17.0751621183528</v>
      </c>
      <c r="H17" s="4" t="n">
        <f aca="false">-H6*Assumptions!H32/100</f>
        <v>-18.099671845454</v>
      </c>
      <c r="I17" s="4" t="n">
        <f aca="false">-I6*Assumptions!I32/100</f>
        <v>-19.0046554377267</v>
      </c>
      <c r="J17" s="4" t="n">
        <f aca="false">-J6*Assumptions!J32/100</f>
        <v>-19.8598649324244</v>
      </c>
      <c r="K17" s="4" t="n">
        <f aca="false">-K6*Assumptions!K32/100</f>
        <v>-20.6542595297213</v>
      </c>
      <c r="L17" s="4" t="n">
        <f aca="false">-L6*Assumptions!L32/100</f>
        <v>-21.3771586132616</v>
      </c>
    </row>
    <row r="18" customFormat="false" ht="15" hidden="false" customHeight="false" outlineLevel="0" collapsed="false">
      <c r="A18" s="0" t="s">
        <v>119</v>
      </c>
      <c r="C18" s="4" t="n">
        <f aca="false">(C6-B6)*Assumptions!$B$37/100</f>
        <v>-0.548512000000005</v>
      </c>
      <c r="D18" s="4" t="n">
        <f aca="false">(D6-C6)*Assumptions!$B$37/100</f>
        <v>-2.49298703999999</v>
      </c>
      <c r="E18" s="4" t="n">
        <f aca="false">(E6-D6)*Assumptions!$B$37/100</f>
        <v>-2.894634952</v>
      </c>
      <c r="F18" s="4" t="n">
        <f aca="false">(F6-E6)*Assumptions!$B$37/100</f>
        <v>-3.64724003952</v>
      </c>
      <c r="G18" s="4" t="n">
        <f aca="false">(G6-F6)*Assumptions!$B$37/100</f>
        <v>-3.8660744418912</v>
      </c>
      <c r="H18" s="4" t="n">
        <f aca="false">(H6-G6)*Assumptions!$B$37/100</f>
        <v>-4.09803890840468</v>
      </c>
      <c r="I18" s="4" t="n">
        <f aca="false">(I6-H6)*Assumptions!$B$37/100</f>
        <v>-3.6199343690908</v>
      </c>
      <c r="J18" s="4" t="n">
        <f aca="false">(J6-I6)*Assumptions!$B$37/100</f>
        <v>-3.42083797879079</v>
      </c>
      <c r="K18" s="4" t="n">
        <f aca="false">(K6-J6)*Assumptions!$B$37/100</f>
        <v>-3.1775783891879</v>
      </c>
      <c r="L18" s="4" t="n">
        <f aca="false">(L6-K6)*Assumptions!$B$37/100</f>
        <v>-2.89159633416098</v>
      </c>
    </row>
    <row r="19" customFormat="false" ht="15" hidden="false" customHeight="false" outlineLevel="0" collapsed="false">
      <c r="A19" s="0" t="s">
        <v>120</v>
      </c>
      <c r="C19" s="0" t="n">
        <f aca="false">C15+C16+C17+C18</f>
        <v>-11.6284544</v>
      </c>
      <c r="D19" s="0" t="n">
        <f aca="false">D15+D16+D17+D18</f>
        <v>-2.00668836806399</v>
      </c>
      <c r="E19" s="0" t="n">
        <f aca="false">E15+E16+E17+E18</f>
        <v>14.551329903704</v>
      </c>
      <c r="F19" s="0" t="n">
        <f aca="false">F15+F16+F17+F18</f>
        <v>31.9979663147169</v>
      </c>
      <c r="G19" s="0" t="n">
        <f aca="false">G15+G16+G17+G18</f>
        <v>51.2525488761517</v>
      </c>
      <c r="H19" s="0" t="n">
        <f aca="false">H15+H16+H17+H18</f>
        <v>72.716968403702</v>
      </c>
      <c r="I19" s="0" t="n">
        <f aca="false">I15+I16+I17+I18</f>
        <v>88.8491171287121</v>
      </c>
      <c r="J19" s="0" t="n">
        <f aca="false">J15+J16+J17+J18</f>
        <v>106.555150071002</v>
      </c>
      <c r="K19" s="0" t="n">
        <f aca="false">K15+K16+K17+K18</f>
        <v>118.137280384583</v>
      </c>
      <c r="L19" s="0" t="n">
        <f aca="false">L15+L16+L17+L18</f>
        <v>122.669282496692</v>
      </c>
    </row>
    <row r="20" customFormat="false" ht="15" hidden="false" customHeight="false" outlineLevel="0" collapsed="false">
      <c r="A20" s="0" t="s">
        <v>121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122</v>
      </c>
      <c r="C21" s="0" t="n">
        <f aca="false">C19*C20</f>
        <v>-10.5234881447964</v>
      </c>
      <c r="D21" s="0" t="n">
        <f aca="false">D19*D20</f>
        <v>-1.64344576733809</v>
      </c>
      <c r="E21" s="0" t="n">
        <f aca="false">E19*E20</f>
        <v>10.7848933045953</v>
      </c>
      <c r="F21" s="0" t="n">
        <f aca="false">F19*F20</f>
        <v>21.4621519242683</v>
      </c>
      <c r="G21" s="0" t="n">
        <f aca="false">G19*G20</f>
        <v>31.110291352503</v>
      </c>
      <c r="H21" s="0" t="n">
        <f aca="false">H19*H20</f>
        <v>39.9449697468655</v>
      </c>
      <c r="I21" s="0" t="n">
        <f aca="false">I19*I20</f>
        <v>44.1689596985719</v>
      </c>
      <c r="J21" s="0" t="n">
        <f aca="false">J19*J20</f>
        <v>47.9375926763712</v>
      </c>
      <c r="K21" s="0" t="n">
        <f aca="false">K19*K20</f>
        <v>48.097938935055</v>
      </c>
      <c r="L21" s="0" t="n">
        <f aca="false">L19*L20</f>
        <v>45.1973575695034</v>
      </c>
    </row>
    <row r="23" customFormat="false" ht="15" hidden="false" customHeight="false" outlineLevel="0" collapsed="false">
      <c r="A23" s="0" t="s">
        <v>98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Assumptions!$B$34</f>
        <v>10.5</v>
      </c>
    </row>
    <row r="28" customFormat="false" ht="15" hidden="false" customHeight="false" outlineLevel="0" collapsed="false">
      <c r="A28" s="0" t="s">
        <v>103</v>
      </c>
      <c r="B28" s="4" t="n">
        <f aca="false">Assumptions!$B$35</f>
        <v>3</v>
      </c>
    </row>
    <row r="29" customFormat="false" ht="15" hidden="false" customHeight="false" outlineLevel="0" collapsed="false">
      <c r="A29" s="0" t="s">
        <v>104</v>
      </c>
      <c r="B29" s="4" t="n">
        <f aca="false">Assumptions!$B$36</f>
        <v>14</v>
      </c>
    </row>
    <row r="30" customFormat="false" ht="15" hidden="false" customHeight="false" outlineLevel="0" collapsed="false">
      <c r="A30" s="0" t="s">
        <v>125</v>
      </c>
      <c r="B30" s="0" t="n">
        <f aca="false">SUM(C21:L21)</f>
        <v>276.537221295599</v>
      </c>
    </row>
    <row r="31" customFormat="false" ht="15" hidden="false" customHeight="false" outlineLevel="0" collapsed="false">
      <c r="A31" s="0" t="s">
        <v>126</v>
      </c>
      <c r="B31" s="0" t="n">
        <f aca="false">L19</f>
        <v>122.669282496692</v>
      </c>
    </row>
    <row r="32" customFormat="false" ht="15" hidden="false" customHeight="false" outlineLevel="0" collapsed="false">
      <c r="A32" s="0" t="s">
        <v>127</v>
      </c>
      <c r="B32" s="0" t="n">
        <f aca="false">IF(B27&gt;B28,B31*(1+B28/100)/((B27-B28)/100),B31*B29)</f>
        <v>1684.65814628791</v>
      </c>
    </row>
    <row r="33" customFormat="false" ht="15" hidden="false" customHeight="false" outlineLevel="0" collapsed="false">
      <c r="A33" s="0" t="s">
        <v>128</v>
      </c>
      <c r="B33" s="0" t="n">
        <f aca="false">B31*B29</f>
        <v>1717.36995495369</v>
      </c>
    </row>
    <row r="34" customFormat="false" ht="15" hidden="false" customHeight="false" outlineLevel="0" collapsed="false">
      <c r="A34" s="0" t="s">
        <v>129</v>
      </c>
      <c r="B34" s="0" t="n">
        <f aca="false">MAX(0,MIN(B32,B33))</f>
        <v>1684.65814628791</v>
      </c>
    </row>
    <row r="35" customFormat="false" ht="15" hidden="false" customHeight="false" outlineLevel="0" collapsed="false">
      <c r="A35" s="0" t="s">
        <v>130</v>
      </c>
      <c r="B35" s="0" t="n">
        <f aca="false">B34/(1+B27/100)^L4</f>
        <v>620.710377287846</v>
      </c>
    </row>
    <row r="36" customFormat="false" ht="15" hidden="false" customHeight="false" outlineLevel="0" collapsed="false">
      <c r="A36" s="0" t="s">
        <v>131</v>
      </c>
      <c r="B36" s="0" t="n">
        <f aca="false">B30+B35</f>
        <v>897.247598583445</v>
      </c>
    </row>
    <row r="37" customFormat="false" ht="15" hidden="false" customHeight="false" outlineLevel="0" collapsed="false">
      <c r="A37" s="0" t="s">
        <v>132</v>
      </c>
      <c r="B37" s="0" t="n">
        <f aca="false">B36+Assumptions!$B$5-Assumptions!$B$4</f>
        <v>2189.75659858345</v>
      </c>
    </row>
    <row r="38" customFormat="false" ht="15" hidden="false" customHeight="false" outlineLevel="0" collapsed="false">
      <c r="A38" s="0" t="s">
        <v>133</v>
      </c>
      <c r="B38" s="0" t="n">
        <f aca="false">B37/Assumptions!$B$3*Assumptions!$B$10</f>
        <v>19.6861819819515</v>
      </c>
    </row>
    <row r="39" customFormat="false" ht="15" hidden="false" customHeight="false" outlineLevel="0" collapsed="false">
      <c r="A39" s="0" t="s">
        <v>134</v>
      </c>
      <c r="B39" s="4" t="n">
        <f aca="false">B38/Assumptions!$B$2-1</f>
        <v>-0.0944718499562334</v>
      </c>
    </row>
    <row r="41" customFormat="false" ht="15" hidden="false" customHeight="false" outlineLevel="0" collapsed="false">
      <c r="A41" s="0" t="s">
        <v>135</v>
      </c>
      <c r="B41" s="0" t="n">
        <f aca="false">SUMPRODUCT(-C10:L10/(1+$B$27/100)^C4:L4)</f>
        <v>88.1779102362364</v>
      </c>
    </row>
    <row r="42" customFormat="false" ht="15" hidden="false" customHeight="false" outlineLevel="0" collapsed="false">
      <c r="A42" s="0" t="s">
        <v>136</v>
      </c>
      <c r="B42" s="0" t="n">
        <f aca="false">IF(B27&gt;B28,-L10*(1+B28/100)/((B27-B28)/100),-L10*20)/(1+B27/100)^L4</f>
        <v>86.5352689319758</v>
      </c>
    </row>
    <row r="43" customFormat="false" ht="15" hidden="false" customHeight="false" outlineLevel="0" collapsed="false">
      <c r="A43" s="0" t="s">
        <v>137</v>
      </c>
      <c r="B43" s="0" t="n">
        <f aca="false">(B37+B41+B42)/Assumptions!$B$3*Assumptions!$B$10</f>
        <v>21.2568750178696</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1052.91134142994</v>
      </c>
    </row>
    <row r="47" customFormat="false" ht="15" hidden="false" customHeight="false" outlineLevel="0" collapsed="false">
      <c r="A47" s="0" t="s">
        <v>139</v>
      </c>
      <c r="B47" s="0" t="n">
        <f aca="false">(SUMPRODUCT(C19:L19/(1+B45/100)^C4:L4)+B46/(1+B45/100)^L4+Assumptions!$B$5-Assumptions!$B$4)/Assumptions!$B$3*Assumptions!$B$10</f>
        <v>15.8052126254603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110</v>
      </c>
      <c r="B3" s="0" t="s">
        <v>71</v>
      </c>
      <c r="C3" s="2" t="s">
        <v>85</v>
      </c>
      <c r="D3" s="2" t="s">
        <v>86</v>
      </c>
      <c r="E3" s="2" t="s">
        <v>87</v>
      </c>
      <c r="F3" s="2" t="s">
        <v>88</v>
      </c>
      <c r="G3" s="2" t="s">
        <v>89</v>
      </c>
      <c r="H3" s="2" t="s">
        <v>90</v>
      </c>
      <c r="I3" s="2" t="s">
        <v>91</v>
      </c>
      <c r="J3" s="2" t="s">
        <v>92</v>
      </c>
      <c r="K3" s="2" t="s">
        <v>93</v>
      </c>
      <c r="L3" s="2" t="s">
        <v>94</v>
      </c>
    </row>
    <row r="4" customFormat="false" ht="15" hidden="false" customHeight="false" outlineLevel="0" collapsed="false">
      <c r="A4" s="0" t="s">
        <v>111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95</v>
      </c>
      <c r="C5" s="4" t="n">
        <f aca="false">Assumptions!C41</f>
        <v>4</v>
      </c>
      <c r="D5" s="4" t="n">
        <f aca="false">Assumptions!D41</f>
        <v>10</v>
      </c>
      <c r="E5" s="4" t="n">
        <f aca="false">Assumptions!E41</f>
        <v>12</v>
      </c>
      <c r="F5" s="4" t="n">
        <f aca="false">Assumptions!F41</f>
        <v>12</v>
      </c>
      <c r="G5" s="4" t="n">
        <f aca="false">Assumptions!G41</f>
        <v>11</v>
      </c>
      <c r="H5" s="4" t="n">
        <f aca="false">Assumptions!H41</f>
        <v>10</v>
      </c>
      <c r="I5" s="4" t="n">
        <f aca="false">Assumptions!I41</f>
        <v>8</v>
      </c>
      <c r="J5" s="4" t="n">
        <f aca="false">Assumptions!J41</f>
        <v>7</v>
      </c>
      <c r="K5" s="4" t="n">
        <f aca="false">Assumptions!K41</f>
        <v>6</v>
      </c>
      <c r="L5" s="4" t="n">
        <f aca="false">Assumptions!L41</f>
        <v>5</v>
      </c>
    </row>
    <row r="6" customFormat="false" ht="15" hidden="false" customHeight="false" outlineLevel="0" collapsed="false">
      <c r="A6" s="0" t="s">
        <v>38</v>
      </c>
      <c r="B6" s="3" t="n">
        <v>548.512</v>
      </c>
      <c r="C6" s="0" t="n">
        <f aca="false">B6*(1+C5/100)</f>
        <v>570.45248</v>
      </c>
      <c r="D6" s="0" t="n">
        <f aca="false">C6*(1+D5/100)</f>
        <v>627.497728</v>
      </c>
      <c r="E6" s="0" t="n">
        <f aca="false">D6*(1+E5/100)</f>
        <v>702.79745536</v>
      </c>
      <c r="F6" s="0" t="n">
        <f aca="false">E6*(1+F5/100)</f>
        <v>787.1331500032</v>
      </c>
      <c r="G6" s="0" t="n">
        <f aca="false">F6*(1+G5/100)</f>
        <v>873.717796503552</v>
      </c>
      <c r="H6" s="0" t="n">
        <f aca="false">G6*(1+H5/100)</f>
        <v>961.089576153907</v>
      </c>
      <c r="I6" s="0" t="n">
        <f aca="false">H6*(1+I5/100)</f>
        <v>1037.97674224622</v>
      </c>
      <c r="J6" s="0" t="n">
        <f aca="false">I6*(1+J5/100)</f>
        <v>1110.63511420346</v>
      </c>
      <c r="K6" s="0" t="n">
        <f aca="false">J6*(1+K5/100)</f>
        <v>1177.27322105566</v>
      </c>
      <c r="L6" s="0" t="n">
        <f aca="false">K6*(1+L5/100)</f>
        <v>1236.13688210845</v>
      </c>
    </row>
    <row r="7" customFormat="false" ht="15" hidden="false" customHeight="false" outlineLevel="0" collapsed="false">
      <c r="A7" s="0" t="s">
        <v>96</v>
      </c>
      <c r="C7" s="4" t="n">
        <f aca="false">Assumptions!C42</f>
        <v>6</v>
      </c>
      <c r="D7" s="4" t="n">
        <f aca="false">Assumptions!D42</f>
        <v>10</v>
      </c>
      <c r="E7" s="4" t="n">
        <f aca="false">Assumptions!E42</f>
        <v>14</v>
      </c>
      <c r="F7" s="4" t="n">
        <f aca="false">Assumptions!F42</f>
        <v>18</v>
      </c>
      <c r="G7" s="4" t="n">
        <f aca="false">Assumptions!G42</f>
        <v>22</v>
      </c>
      <c r="H7" s="4" t="n">
        <f aca="false">Assumptions!H42</f>
        <v>25</v>
      </c>
      <c r="I7" s="4" t="n">
        <f aca="false">Assumptions!I42</f>
        <v>27</v>
      </c>
      <c r="J7" s="4" t="n">
        <f aca="false">Assumptions!J42</f>
        <v>29</v>
      </c>
      <c r="K7" s="4" t="n">
        <f aca="false">Assumptions!K42</f>
        <v>30</v>
      </c>
      <c r="L7" s="4" t="n">
        <f aca="false">Assumptions!L42</f>
        <v>30</v>
      </c>
    </row>
    <row r="8" customFormat="false" ht="15" hidden="false" customHeight="false" outlineLevel="0" collapsed="false">
      <c r="A8" s="0" t="s">
        <v>44</v>
      </c>
      <c r="C8" s="0" t="n">
        <f aca="false">C6*C7/100</f>
        <v>34.2271488</v>
      </c>
      <c r="D8" s="0" t="n">
        <f aca="false">D6*D7/100</f>
        <v>62.7497728</v>
      </c>
      <c r="E8" s="0" t="n">
        <f aca="false">E6*E7/100</f>
        <v>98.3916437504</v>
      </c>
      <c r="F8" s="0" t="n">
        <f aca="false">F6*F7/100</f>
        <v>141.683967000576</v>
      </c>
      <c r="G8" s="0" t="n">
        <f aca="false">G6*G7/100</f>
        <v>192.217915230781</v>
      </c>
      <c r="H8" s="0" t="n">
        <f aca="false">H6*H7/100</f>
        <v>240.272394038477</v>
      </c>
      <c r="I8" s="0" t="n">
        <f aca="false">I6*I7/100</f>
        <v>280.253720406479</v>
      </c>
      <c r="J8" s="0" t="n">
        <f aca="false">J6*J7/100</f>
        <v>322.084183119002</v>
      </c>
      <c r="K8" s="0" t="n">
        <f aca="false">K6*K7/100</f>
        <v>353.181966316699</v>
      </c>
      <c r="L8" s="0" t="n">
        <f aca="false">L6*L7/100</f>
        <v>370.841064632534</v>
      </c>
    </row>
    <row r="9" customFormat="false" ht="15" hidden="false" customHeight="false" outlineLevel="0" collapsed="false">
      <c r="A9" s="0" t="s">
        <v>97</v>
      </c>
      <c r="C9" s="4" t="n">
        <f aca="false">Assumptions!C43</f>
        <v>2.5</v>
      </c>
      <c r="D9" s="4" t="n">
        <f aca="false">Assumptions!D43</f>
        <v>2.4</v>
      </c>
      <c r="E9" s="4" t="n">
        <f aca="false">Assumptions!E43</f>
        <v>2.3</v>
      </c>
      <c r="F9" s="4" t="n">
        <f aca="false">Assumptions!F43</f>
        <v>2.2</v>
      </c>
      <c r="G9" s="4" t="n">
        <f aca="false">Assumptions!G43</f>
        <v>2.1</v>
      </c>
      <c r="H9" s="4" t="n">
        <f aca="false">Assumptions!H43</f>
        <v>2</v>
      </c>
      <c r="I9" s="4" t="n">
        <f aca="false">Assumptions!I43</f>
        <v>2</v>
      </c>
      <c r="J9" s="4" t="n">
        <f aca="false">Assumptions!J43</f>
        <v>2</v>
      </c>
      <c r="K9" s="4" t="n">
        <f aca="false">Assumptions!K43</f>
        <v>2</v>
      </c>
      <c r="L9" s="4" t="n">
        <f aca="false">Assumptions!L43</f>
        <v>2</v>
      </c>
    </row>
    <row r="10" customFormat="false" ht="15" hidden="false" customHeight="false" outlineLevel="0" collapsed="false">
      <c r="A10" s="0" t="s">
        <v>112</v>
      </c>
      <c r="C10" s="0" t="n">
        <f aca="false">-C6*C9/100</f>
        <v>-14.261312</v>
      </c>
      <c r="D10" s="0" t="n">
        <f aca="false">-D6*D9/100</f>
        <v>-15.059945472</v>
      </c>
      <c r="E10" s="0" t="n">
        <f aca="false">-E6*E9/100</f>
        <v>-16.16434147328</v>
      </c>
      <c r="F10" s="0" t="n">
        <f aca="false">-F6*F9/100</f>
        <v>-17.3169293000704</v>
      </c>
      <c r="G10" s="0" t="n">
        <f aca="false">-G6*G9/100</f>
        <v>-18.3480737265746</v>
      </c>
      <c r="H10" s="0" t="n">
        <f aca="false">-H6*H9/100</f>
        <v>-19.2217915230782</v>
      </c>
      <c r="I10" s="0" t="n">
        <f aca="false">-I6*I9/100</f>
        <v>-20.7595348449244</v>
      </c>
      <c r="J10" s="0" t="n">
        <f aca="false">-J6*J9/100</f>
        <v>-22.2127022840691</v>
      </c>
      <c r="K10" s="0" t="n">
        <f aca="false">-K6*K9/100</f>
        <v>-23.5454644211133</v>
      </c>
      <c r="L10" s="0" t="n">
        <f aca="false">-L6*L9/100</f>
        <v>-24.7227376421689</v>
      </c>
    </row>
    <row r="11" customFormat="false" ht="15" hidden="false" customHeight="false" outlineLevel="0" collapsed="false">
      <c r="A11" s="0" t="s">
        <v>113</v>
      </c>
      <c r="C11" s="0" t="n">
        <f aca="false">C8+C10+C24</f>
        <v>19.9658368</v>
      </c>
      <c r="D11" s="0" t="n">
        <f aca="false">D8+D10+D24</f>
        <v>47.689827328</v>
      </c>
      <c r="E11" s="0" t="n">
        <f aca="false">E8+E10+E24</f>
        <v>82.22730227712</v>
      </c>
      <c r="F11" s="0" t="n">
        <f aca="false">F8+F10+F24</f>
        <v>124.367037700506</v>
      </c>
      <c r="G11" s="0" t="n">
        <f aca="false">G8+G10+G24</f>
        <v>173.869841504207</v>
      </c>
      <c r="H11" s="0" t="n">
        <f aca="false">H8+H10+H24</f>
        <v>221.050602515399</v>
      </c>
      <c r="I11" s="0" t="n">
        <f aca="false">I8+I10+I24</f>
        <v>259.494185561555</v>
      </c>
      <c r="J11" s="0" t="n">
        <f aca="false">J8+J10+J24</f>
        <v>299.871480834933</v>
      </c>
      <c r="K11" s="0" t="n">
        <f aca="false">K8+K10+K24</f>
        <v>329.636501895586</v>
      </c>
      <c r="L11" s="0" t="n">
        <f aca="false">L8+L10+L24</f>
        <v>346.118326990365</v>
      </c>
    </row>
    <row r="12" customFormat="false" ht="15" hidden="false" customHeight="false" outlineLevel="0" collapsed="false">
      <c r="A12" s="0" t="s">
        <v>114</v>
      </c>
      <c r="C12" s="4" t="n">
        <f aca="false">-C6*Assumptions!C45/100</f>
        <v>-13.69085952</v>
      </c>
      <c r="D12" s="4" t="n">
        <f aca="false">-D6*Assumptions!D45/100</f>
        <v>-15.059945472</v>
      </c>
      <c r="E12" s="4" t="n">
        <f aca="false">-E6*Assumptions!E45/100</f>
        <v>-16.86713892864</v>
      </c>
      <c r="F12" s="4" t="n">
        <f aca="false">-F6*Assumptions!F45/100</f>
        <v>-18.8911956000768</v>
      </c>
      <c r="G12" s="4" t="n">
        <f aca="false">-G6*Assumptions!G45/100</f>
        <v>-20.9692271160853</v>
      </c>
      <c r="H12" s="4" t="n">
        <f aca="false">-H6*Assumptions!H45/100</f>
        <v>-23.0661498276938</v>
      </c>
      <c r="I12" s="4" t="n">
        <f aca="false">-I6*Assumptions!I45/100</f>
        <v>-24.9114418139093</v>
      </c>
      <c r="J12" s="4" t="n">
        <f aca="false">-J6*Assumptions!J45/100</f>
        <v>-26.6552427408829</v>
      </c>
      <c r="K12" s="4" t="n">
        <f aca="false">-K6*Assumptions!K45/100</f>
        <v>-28.2545573053359</v>
      </c>
      <c r="L12" s="4" t="n">
        <f aca="false">-L6*Assumptions!L45/100</f>
        <v>-29.6672851706027</v>
      </c>
    </row>
    <row r="13" customFormat="false" ht="15" hidden="false" customHeight="false" outlineLevel="0" collapsed="false">
      <c r="A13" s="0" t="s">
        <v>115</v>
      </c>
      <c r="C13" s="0" t="n">
        <f aca="false">C11+C12</f>
        <v>6.27497728</v>
      </c>
      <c r="D13" s="0" t="n">
        <f aca="false">D11+D12</f>
        <v>32.629881856</v>
      </c>
      <c r="E13" s="0" t="n">
        <f aca="false">E11+E12</f>
        <v>65.36016334848</v>
      </c>
      <c r="F13" s="0" t="n">
        <f aca="false">F11+F12</f>
        <v>105.475842100429</v>
      </c>
      <c r="G13" s="0" t="n">
        <f aca="false">G11+G12</f>
        <v>152.900614388122</v>
      </c>
      <c r="H13" s="0" t="n">
        <f aca="false">H11+H12</f>
        <v>197.984452687705</v>
      </c>
      <c r="I13" s="0" t="n">
        <f aca="false">I11+I12</f>
        <v>234.582743747646</v>
      </c>
      <c r="J13" s="0" t="n">
        <f aca="false">J11+J12</f>
        <v>273.21623809405</v>
      </c>
      <c r="K13" s="0" t="n">
        <f aca="false">K11+K12</f>
        <v>301.38194459025</v>
      </c>
      <c r="L13" s="0" t="n">
        <f aca="false">L11+L12</f>
        <v>316.451041819762</v>
      </c>
    </row>
    <row r="14" customFormat="false" ht="15" hidden="false" customHeight="false" outlineLevel="0" collapsed="false">
      <c r="A14" s="0" t="s">
        <v>101</v>
      </c>
      <c r="C14" s="4" t="n">
        <f aca="false">Assumptions!C47</f>
        <v>5</v>
      </c>
      <c r="D14" s="4" t="n">
        <f aca="false">Assumptions!D47</f>
        <v>8</v>
      </c>
      <c r="E14" s="4" t="n">
        <f aca="false">Assumptions!E47</f>
        <v>10</v>
      </c>
      <c r="F14" s="4" t="n">
        <f aca="false">Assumptions!F47</f>
        <v>12</v>
      </c>
      <c r="G14" s="4" t="n">
        <f aca="false">Assumptions!G47</f>
        <v>14</v>
      </c>
      <c r="H14" s="4" t="n">
        <f aca="false">Assumptions!H47</f>
        <v>15</v>
      </c>
      <c r="I14" s="4" t="n">
        <f aca="false">Assumptions!I47</f>
        <v>16</v>
      </c>
      <c r="J14" s="4" t="n">
        <f aca="false">Assumptions!J47</f>
        <v>16</v>
      </c>
      <c r="K14" s="4" t="n">
        <f aca="false">Assumptions!K47</f>
        <v>16</v>
      </c>
      <c r="L14" s="4" t="n">
        <f aca="false">Assumptions!L47</f>
        <v>16</v>
      </c>
    </row>
    <row r="15" customFormat="false" ht="15" hidden="false" customHeight="false" outlineLevel="0" collapsed="false">
      <c r="A15" s="0" t="s">
        <v>116</v>
      </c>
      <c r="C15" s="0" t="n">
        <f aca="false">C13-MAX(0,C13)*C14/100</f>
        <v>5.961228416</v>
      </c>
      <c r="D15" s="0" t="n">
        <f aca="false">D13-MAX(0,D13)*D14/100</f>
        <v>30.01949130752</v>
      </c>
      <c r="E15" s="0" t="n">
        <f aca="false">E13-MAX(0,E13)*E14/100</f>
        <v>58.824147013632</v>
      </c>
      <c r="F15" s="0" t="n">
        <f aca="false">F13-MAX(0,F13)*F14/100</f>
        <v>92.8187410483774</v>
      </c>
      <c r="G15" s="0" t="n">
        <f aca="false">G13-MAX(0,G13)*G14/100</f>
        <v>131.494528373785</v>
      </c>
      <c r="H15" s="0" t="n">
        <f aca="false">H13-MAX(0,H13)*H14/100</f>
        <v>168.286784784549</v>
      </c>
      <c r="I15" s="0" t="n">
        <f aca="false">I13-MAX(0,I13)*I14/100</f>
        <v>197.049504748022</v>
      </c>
      <c r="J15" s="0" t="n">
        <f aca="false">J13-MAX(0,J13)*J14/100</f>
        <v>229.501639999002</v>
      </c>
      <c r="K15" s="0" t="n">
        <f aca="false">K13-MAX(0,K13)*K14/100</f>
        <v>253.16083345581</v>
      </c>
      <c r="L15" s="0" t="n">
        <f aca="false">L13-MAX(0,L13)*L14/100</f>
        <v>265.8188751286</v>
      </c>
    </row>
    <row r="16" customFormat="false" ht="15" hidden="false" customHeight="false" outlineLevel="0" collapsed="false">
      <c r="A16" s="0" t="s">
        <v>117</v>
      </c>
      <c r="C16" s="0" t="n">
        <f aca="false">-C12</f>
        <v>13.69085952</v>
      </c>
      <c r="D16" s="0" t="n">
        <f aca="false">-D12</f>
        <v>15.059945472</v>
      </c>
      <c r="E16" s="0" t="n">
        <f aca="false">-E12</f>
        <v>16.86713892864</v>
      </c>
      <c r="F16" s="0" t="n">
        <f aca="false">-F12</f>
        <v>18.8911956000768</v>
      </c>
      <c r="G16" s="0" t="n">
        <f aca="false">-G12</f>
        <v>20.9692271160853</v>
      </c>
      <c r="H16" s="0" t="n">
        <f aca="false">-H12</f>
        <v>23.0661498276938</v>
      </c>
      <c r="I16" s="0" t="n">
        <f aca="false">-I12</f>
        <v>24.9114418139093</v>
      </c>
      <c r="J16" s="0" t="n">
        <f aca="false">-J12</f>
        <v>26.6552427408829</v>
      </c>
      <c r="K16" s="0" t="n">
        <f aca="false">-K12</f>
        <v>28.2545573053359</v>
      </c>
      <c r="L16" s="0" t="n">
        <f aca="false">-L12</f>
        <v>29.6672851706027</v>
      </c>
    </row>
    <row r="17" customFormat="false" ht="15" hidden="false" customHeight="false" outlineLevel="0" collapsed="false">
      <c r="A17" s="0" t="s">
        <v>118</v>
      </c>
      <c r="C17" s="4" t="n">
        <f aca="false">-C6*Assumptions!C46/100</f>
        <v>-14.261312</v>
      </c>
      <c r="D17" s="4" t="n">
        <f aca="false">-D6*Assumptions!D46/100</f>
        <v>-15.6874432</v>
      </c>
      <c r="E17" s="4" t="n">
        <f aca="false">-E6*Assumptions!E46/100</f>
        <v>-17.569936384</v>
      </c>
      <c r="F17" s="4" t="n">
        <f aca="false">-F6*Assumptions!F46/100</f>
        <v>-19.67832875008</v>
      </c>
      <c r="G17" s="4" t="n">
        <f aca="false">-G6*Assumptions!G46/100</f>
        <v>-21.8429449125888</v>
      </c>
      <c r="H17" s="4" t="n">
        <f aca="false">-H6*Assumptions!H46/100</f>
        <v>-24.0272394038477</v>
      </c>
      <c r="I17" s="4" t="n">
        <f aca="false">-I6*Assumptions!I46/100</f>
        <v>-25.9494185561555</v>
      </c>
      <c r="J17" s="4" t="n">
        <f aca="false">-J6*Assumptions!J46/100</f>
        <v>-27.7658778550864</v>
      </c>
      <c r="K17" s="4" t="n">
        <f aca="false">-K6*Assumptions!K46/100</f>
        <v>-29.4318305263916</v>
      </c>
      <c r="L17" s="4" t="n">
        <f aca="false">-L6*Assumptions!L46/100</f>
        <v>-30.9034220527112</v>
      </c>
    </row>
    <row r="18" customFormat="false" ht="15" hidden="false" customHeight="false" outlineLevel="0" collapsed="false">
      <c r="A18" s="0" t="s">
        <v>119</v>
      </c>
      <c r="C18" s="4" t="n">
        <f aca="false">(C6-B6)*Assumptions!$B$51/100</f>
        <v>-2.194048</v>
      </c>
      <c r="D18" s="4" t="n">
        <f aca="false">(D6-C6)*Assumptions!$B$51/100</f>
        <v>-5.7045248</v>
      </c>
      <c r="E18" s="4" t="n">
        <f aca="false">(E6-D6)*Assumptions!$B$51/100</f>
        <v>-7.529972736</v>
      </c>
      <c r="F18" s="4" t="n">
        <f aca="false">(F6-E6)*Assumptions!$B$51/100</f>
        <v>-8.43356946432001</v>
      </c>
      <c r="G18" s="4" t="n">
        <f aca="false">(G6-F6)*Assumptions!$B$51/100</f>
        <v>-8.65846465003521</v>
      </c>
      <c r="H18" s="4" t="n">
        <f aca="false">(H6-G6)*Assumptions!$B$51/100</f>
        <v>-8.73717796503553</v>
      </c>
      <c r="I18" s="4" t="n">
        <f aca="false">(I6-H6)*Assumptions!$B$51/100</f>
        <v>-7.68871660923127</v>
      </c>
      <c r="J18" s="4" t="n">
        <f aca="false">(J6-I6)*Assumptions!$B$51/100</f>
        <v>-7.26583719572354</v>
      </c>
      <c r="K18" s="4" t="n">
        <f aca="false">(K6-J6)*Assumptions!$B$51/100</f>
        <v>-6.66381068522073</v>
      </c>
      <c r="L18" s="4" t="n">
        <f aca="false">(L6-K6)*Assumptions!$B$51/100</f>
        <v>-5.88636610527833</v>
      </c>
    </row>
    <row r="19" customFormat="false" ht="15" hidden="false" customHeight="false" outlineLevel="0" collapsed="false">
      <c r="A19" s="0" t="s">
        <v>120</v>
      </c>
      <c r="C19" s="0" t="n">
        <f aca="false">C15+C16+C17+C18</f>
        <v>3.196727936</v>
      </c>
      <c r="D19" s="0" t="n">
        <f aca="false">D15+D16+D17+D18</f>
        <v>23.68746877952</v>
      </c>
      <c r="E19" s="0" t="n">
        <f aca="false">E15+E16+E17+E18</f>
        <v>50.591376822272</v>
      </c>
      <c r="F19" s="0" t="n">
        <f aca="false">F15+F16+F17+F18</f>
        <v>83.5980384340542</v>
      </c>
      <c r="G19" s="0" t="n">
        <f aca="false">G15+G16+G17+G18</f>
        <v>121.962345927246</v>
      </c>
      <c r="H19" s="0" t="n">
        <f aca="false">H15+H16+H17+H18</f>
        <v>158.58851724336</v>
      </c>
      <c r="I19" s="0" t="n">
        <f aca="false">I15+I16+I17+I18</f>
        <v>188.322811396545</v>
      </c>
      <c r="J19" s="0" t="n">
        <f aca="false">J15+J16+J17+J18</f>
        <v>221.125167689075</v>
      </c>
      <c r="K19" s="0" t="n">
        <f aca="false">K15+K16+K17+K18</f>
        <v>245.319749549533</v>
      </c>
      <c r="L19" s="0" t="n">
        <f aca="false">L15+L16+L17+L18</f>
        <v>258.696372141213</v>
      </c>
    </row>
    <row r="20" customFormat="false" ht="15" hidden="false" customHeight="false" outlineLevel="0" collapsed="false">
      <c r="A20" s="0" t="s">
        <v>121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122</v>
      </c>
      <c r="C21" s="0" t="n">
        <f aca="false">C19*C20</f>
        <v>2.89296645791855</v>
      </c>
      <c r="D21" s="0" t="n">
        <f aca="false">D19*D20</f>
        <v>19.3996591220655</v>
      </c>
      <c r="E21" s="0" t="n">
        <f aca="false">E19*E20</f>
        <v>37.4964078727877</v>
      </c>
      <c r="F21" s="0" t="n">
        <f aca="false">F19*F20</f>
        <v>56.0721198277305</v>
      </c>
      <c r="G21" s="0" t="n">
        <f aca="false">G19*G20</f>
        <v>74.0311301394982</v>
      </c>
      <c r="H21" s="0" t="n">
        <f aca="false">H19*H20</f>
        <v>87.1160289345033</v>
      </c>
      <c r="I21" s="0" t="n">
        <f aca="false">I19*I20</f>
        <v>93.6196434551598</v>
      </c>
      <c r="J21" s="0" t="n">
        <f aca="false">J19*J20</f>
        <v>99.4809562194766</v>
      </c>
      <c r="K21" s="0" t="n">
        <f aca="false">K19*K20</f>
        <v>99.8784997841902</v>
      </c>
      <c r="L21" s="0" t="n">
        <f aca="false">L19*L20</f>
        <v>95.3163839848416</v>
      </c>
    </row>
    <row r="23" customFormat="false" ht="15" hidden="false" customHeight="false" outlineLevel="0" collapsed="false">
      <c r="A23" s="0" t="s">
        <v>98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124</v>
      </c>
    </row>
    <row r="27" customFormat="false" ht="15" hidden="false" customHeight="false" outlineLevel="0" collapsed="false">
      <c r="A27" s="0" t="s">
        <v>102</v>
      </c>
      <c r="B27" s="4" t="n">
        <f aca="false">Assumptions!$B$48</f>
        <v>10.5</v>
      </c>
    </row>
    <row r="28" customFormat="false" ht="15" hidden="false" customHeight="false" outlineLevel="0" collapsed="false">
      <c r="A28" s="0" t="s">
        <v>103</v>
      </c>
      <c r="B28" s="4" t="n">
        <f aca="false">Assumptions!$B$49</f>
        <v>3</v>
      </c>
    </row>
    <row r="29" customFormat="false" ht="15" hidden="false" customHeight="false" outlineLevel="0" collapsed="false">
      <c r="A29" s="0" t="s">
        <v>104</v>
      </c>
      <c r="B29" s="4" t="n">
        <f aca="false">Assumptions!$B$50</f>
        <v>14</v>
      </c>
    </row>
    <row r="30" customFormat="false" ht="15" hidden="false" customHeight="false" outlineLevel="0" collapsed="false">
      <c r="A30" s="0" t="s">
        <v>125</v>
      </c>
      <c r="B30" s="0" t="n">
        <f aca="false">SUM(C21:L21)</f>
        <v>665.303795798172</v>
      </c>
    </row>
    <row r="31" customFormat="false" ht="15" hidden="false" customHeight="false" outlineLevel="0" collapsed="false">
      <c r="A31" s="0" t="s">
        <v>126</v>
      </c>
      <c r="B31" s="0" t="n">
        <f aca="false">L19</f>
        <v>258.696372141213</v>
      </c>
    </row>
    <row r="32" customFormat="false" ht="15" hidden="false" customHeight="false" outlineLevel="0" collapsed="false">
      <c r="A32" s="0" t="s">
        <v>127</v>
      </c>
      <c r="B32" s="0" t="n">
        <f aca="false">IF(B27&gt;B28,B31*(1+B28/100)/((B27-B28)/100),B31*B29)</f>
        <v>3552.76351073933</v>
      </c>
    </row>
    <row r="33" customFormat="false" ht="15" hidden="false" customHeight="false" outlineLevel="0" collapsed="false">
      <c r="A33" s="0" t="s">
        <v>128</v>
      </c>
      <c r="B33" s="0" t="n">
        <f aca="false">B31*B29</f>
        <v>3621.74920997699</v>
      </c>
    </row>
    <row r="34" customFormat="false" ht="15" hidden="false" customHeight="false" outlineLevel="0" collapsed="false">
      <c r="A34" s="0" t="s">
        <v>129</v>
      </c>
      <c r="B34" s="0" t="n">
        <f aca="false">MAX(0,MIN(B32,B33))</f>
        <v>3552.76351073933</v>
      </c>
    </row>
    <row r="35" customFormat="false" ht="15" hidden="false" customHeight="false" outlineLevel="0" collapsed="false">
      <c r="A35" s="0" t="s">
        <v>130</v>
      </c>
      <c r="B35" s="0" t="n">
        <f aca="false">B34/(1+B27/100)^L4</f>
        <v>1309.01167339182</v>
      </c>
    </row>
    <row r="36" customFormat="false" ht="15" hidden="false" customHeight="false" outlineLevel="0" collapsed="false">
      <c r="A36" s="0" t="s">
        <v>131</v>
      </c>
      <c r="B36" s="0" t="n">
        <f aca="false">B30+B35</f>
        <v>1974.31546919</v>
      </c>
    </row>
    <row r="37" customFormat="false" ht="15" hidden="false" customHeight="false" outlineLevel="0" collapsed="false">
      <c r="A37" s="0" t="s">
        <v>132</v>
      </c>
      <c r="B37" s="0" t="n">
        <f aca="false">B36+Assumptions!$B$5-Assumptions!$B$4</f>
        <v>3266.82446919</v>
      </c>
    </row>
    <row r="38" customFormat="false" ht="15" hidden="false" customHeight="false" outlineLevel="0" collapsed="false">
      <c r="A38" s="0" t="s">
        <v>133</v>
      </c>
      <c r="B38" s="0" t="n">
        <f aca="false">B37/Assumptions!$B$3*Assumptions!$B$10</f>
        <v>29.3691550216902</v>
      </c>
    </row>
    <row r="39" customFormat="false" ht="15" hidden="false" customHeight="false" outlineLevel="0" collapsed="false">
      <c r="A39" s="0" t="s">
        <v>134</v>
      </c>
      <c r="B39" s="4" t="n">
        <f aca="false">B38/Assumptions!$B$2-1</f>
        <v>0.350927093913995</v>
      </c>
    </row>
    <row r="41" customFormat="false" ht="15" hidden="false" customHeight="false" outlineLevel="0" collapsed="false">
      <c r="A41" s="0" t="s">
        <v>135</v>
      </c>
      <c r="B41" s="0" t="n">
        <f aca="false">SUMPRODUCT(-C10:L10/(1+$B$27/100)^C4:L4)</f>
        <v>109.5401851848</v>
      </c>
    </row>
    <row r="42" customFormat="false" ht="15" hidden="false" customHeight="false" outlineLevel="0" collapsed="false">
      <c r="A42" s="0" t="s">
        <v>136</v>
      </c>
      <c r="B42" s="0" t="n">
        <f aca="false">IF(B27&gt;B28,-L10*(1+B28/100)/((B27-B28)/100),-L10*20)/(1+B27/100)^L4</f>
        <v>125.09781990347</v>
      </c>
    </row>
    <row r="43" customFormat="false" ht="15" hidden="false" customHeight="false" outlineLevel="0" collapsed="false">
      <c r="A43" s="0" t="s">
        <v>137</v>
      </c>
      <c r="B43" s="0" t="n">
        <f aca="false">(B37+B41+B42)/Assumptions!$B$3*Assumptions!$B$10</f>
        <v>31.4785796358405</v>
      </c>
    </row>
    <row r="45" customFormat="false" ht="15" hidden="false" customHeight="false" outlineLevel="0" collapsed="false">
      <c r="A45" s="0" t="s">
        <v>78</v>
      </c>
      <c r="B45" s="4" t="n">
        <f aca="false">Assumptions!$B$6</f>
        <v>15</v>
      </c>
    </row>
    <row r="46" customFormat="false" ht="15" hidden="false" customHeight="false" outlineLevel="0" collapsed="false">
      <c r="A46" s="0" t="s">
        <v>138</v>
      </c>
      <c r="B46" s="0" t="n">
        <f aca="false">MAX(0,MIN(IF(B45&gt;B28,B31*(1+B28/100)/((B45-B28)/100),B31*B29),B31*B29))</f>
        <v>2220.47719421208</v>
      </c>
    </row>
    <row r="47" customFormat="false" ht="15" hidden="false" customHeight="false" outlineLevel="0" collapsed="false">
      <c r="A47" s="0" t="s">
        <v>139</v>
      </c>
      <c r="B47" s="0" t="n">
        <f aca="false">(SUMPRODUCT(C19:L19/(1+B45/100)^C4:L4)+B46/(1+B45/100)^L4+Assumptions!$B$5-Assumptions!$B$4)/Assumptions!$B$3*Assumptions!$B$10</f>
        <v>21.1186424566971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142</v>
      </c>
    </row>
    <row r="3" customFormat="false" ht="15" hidden="false" customHeight="false" outlineLevel="0" collapsed="false">
      <c r="A3" s="2" t="s">
        <v>143</v>
      </c>
      <c r="B3" s="2" t="s">
        <v>144</v>
      </c>
      <c r="C3" s="2" t="s">
        <v>134</v>
      </c>
      <c r="D3" s="2" t="s">
        <v>145</v>
      </c>
      <c r="E3" s="2" t="s">
        <v>137</v>
      </c>
      <c r="F3" s="2" t="s">
        <v>146</v>
      </c>
    </row>
    <row r="4" customFormat="false" ht="15" hidden="false" customHeight="false" outlineLevel="0" collapsed="false">
      <c r="A4" s="0" t="s">
        <v>147</v>
      </c>
      <c r="B4" s="4" t="n">
        <f aca="false">DCF_Bear!$B$38</f>
        <v>11.9405194266284</v>
      </c>
      <c r="C4" s="0" t="n">
        <f aca="false">B4/Assumptions!$B$2-1</f>
        <v>-0.450758076052052</v>
      </c>
      <c r="D4" s="4" t="n">
        <f aca="false">Assumptions!$B$24</f>
        <v>0.25</v>
      </c>
      <c r="E4" s="4" t="n">
        <f aca="false">DCF_Bear!$B$43</f>
        <v>13.1261857786668</v>
      </c>
      <c r="F4" s="4" t="n">
        <f aca="false">DCF_Bear!$B$47</f>
        <v>11.5417001308992</v>
      </c>
    </row>
    <row r="5" customFormat="false" ht="15" hidden="false" customHeight="false" outlineLevel="0" collapsed="false">
      <c r="A5" s="0" t="s">
        <v>148</v>
      </c>
      <c r="B5" s="4" t="n">
        <f aca="false">DCF_Base!$B$38</f>
        <v>19.6861819819515</v>
      </c>
      <c r="C5" s="0" t="n">
        <f aca="false">B5/Assumptions!$B$2-1</f>
        <v>-0.0944718499562334</v>
      </c>
      <c r="D5" s="4" t="n">
        <f aca="false">Assumptions!$B$38</f>
        <v>0.5</v>
      </c>
      <c r="E5" s="4" t="n">
        <f aca="false">DCF_Base!$B$43</f>
        <v>21.2568750178696</v>
      </c>
      <c r="F5" s="4" t="n">
        <f aca="false">DCF_Base!$B$47</f>
        <v>15.8052126254603</v>
      </c>
    </row>
    <row r="6" customFormat="false" ht="15" hidden="false" customHeight="false" outlineLevel="0" collapsed="false">
      <c r="A6" s="0" t="s">
        <v>149</v>
      </c>
      <c r="B6" s="4" t="n">
        <f aca="false">DCF_Bull!$B$38</f>
        <v>29.3691550216902</v>
      </c>
      <c r="C6" s="0" t="n">
        <f aca="false">B6/Assumptions!$B$2-1</f>
        <v>0.350927093913995</v>
      </c>
      <c r="D6" s="4" t="n">
        <f aca="false">Assumptions!$B$52</f>
        <v>0.25</v>
      </c>
      <c r="E6" s="4" t="n">
        <f aca="false">DCF_Bull!$B$43</f>
        <v>31.4785796358405</v>
      </c>
      <c r="F6" s="4" t="n">
        <f aca="false">DCF_Bull!$B$47</f>
        <v>21.1186424566971</v>
      </c>
    </row>
    <row r="8" customFormat="false" ht="15" hidden="false" customHeight="false" outlineLevel="0" collapsed="false">
      <c r="A8" s="0" t="s">
        <v>150</v>
      </c>
      <c r="B8" s="0" t="n">
        <f aca="false">SUMPRODUCT(B4:B6,D4:D6)</f>
        <v>20.1705096030554</v>
      </c>
    </row>
    <row r="9" customFormat="false" ht="15" hidden="false" customHeight="false" outlineLevel="0" collapsed="false">
      <c r="A9" s="0" t="s">
        <v>151</v>
      </c>
      <c r="B9" s="0" t="n">
        <f aca="false">SUMPRODUCT(E4:E6,D4:D6)</f>
        <v>21.7796288625616</v>
      </c>
    </row>
    <row r="10" customFormat="false" ht="15" hidden="false" customHeight="false" outlineLevel="0" collapsed="false">
      <c r="A10" s="0" t="s">
        <v>152</v>
      </c>
      <c r="B10" s="0" t="n">
        <f aca="false">1-Assumptions!$B$2/B8</f>
        <v>-0.077811142496214</v>
      </c>
    </row>
    <row r="11" customFormat="false" ht="15" hidden="false" customHeight="false" outlineLevel="0" collapsed="false">
      <c r="A11" s="0" t="s">
        <v>153</v>
      </c>
      <c r="B11" s="0" t="n">
        <f aca="false">IF(ABS(B9-B8)&gt;0.01*ABS(B8),(Assumptions!$B$2-B8)/(B9-B8)*100,"n/a")</f>
        <v>97.537232723585</v>
      </c>
    </row>
    <row r="12" customFormat="false" ht="15" hidden="false" customHeight="false" outlineLevel="0" collapsed="false">
      <c r="A12" s="0" t="s">
        <v>154</v>
      </c>
      <c r="B12" s="0" t="n">
        <f aca="false">SUMPRODUCT(F4:F6,D4:D6)</f>
        <v>16.0676919596292</v>
      </c>
    </row>
    <row r="14" customFormat="false" ht="15" hidden="false" customHeight="false" outlineLevel="0" collapsed="false">
      <c r="A14" s="2" t="s">
        <v>155</v>
      </c>
      <c r="C14" s="0" t="s">
        <v>156</v>
      </c>
    </row>
    <row r="15" customFormat="false" ht="15" hidden="false" customHeight="false" outlineLevel="0" collapsed="false">
      <c r="A15" s="0" t="s">
        <v>157</v>
      </c>
      <c r="B15" s="0" t="n">
        <f aca="false">(SUMPRODUCT(DCF_Base!$C$19:$L$19/(1+$C$15/100)^DCF_Base!$C$4:$L$4)+MAX(0,MIN(IF($C$15&gt;DCF_Base!$B$28,DCF_Base!$L$19*(1+DCF_Base!$B$28/100)/(($C$15-DCF_Base!$B$28)/100),DCF_Base!$L$19*DCF_Base!$B$29),DCF_Base!$L$19*DCF_Base!$B$29))/(1+$C$15/100)^DCF_Base!$L$4+Assumptions!$B$5-Assumptions!$B$4)/Assumptions!$B$3*Assumptions!$B$10</f>
        <v>20.8971071122558</v>
      </c>
      <c r="C15" s="3" t="n">
        <v>9</v>
      </c>
    </row>
    <row r="16" customFormat="false" ht="15" hidden="false" customHeight="false" outlineLevel="0" collapsed="false">
      <c r="A16" s="0" t="s">
        <v>158</v>
      </c>
      <c r="B16" s="0" t="n">
        <f aca="false">(SUMPRODUCT(DCF_Base!$C$19:$L$19/(1+$C$16/100)^DCF_Base!$C$4:$L$4)+MAX(0,MIN(IF($C$16&gt;DCF_Base!$B$28,DCF_Base!$L$19*(1+DCF_Base!$B$28/100)/(($C$16-DCF_Base!$B$28)/100),DCF_Base!$L$19*DCF_Base!$B$29),DCF_Base!$L$19*DCF_Base!$B$29))/(1+$C$16/100)^DCF_Base!$L$4+Assumptions!$B$5-Assumptions!$B$4)/Assumptions!$B$3*Assumptions!$B$10</f>
        <v>20.1446773099198</v>
      </c>
      <c r="C16" s="3" t="n">
        <v>10</v>
      </c>
    </row>
    <row r="17" customFormat="false" ht="15" hidden="false" customHeight="false" outlineLevel="0" collapsed="false">
      <c r="A17" s="0" t="s">
        <v>159</v>
      </c>
      <c r="B17" s="0" t="n">
        <f aca="false">(SUMPRODUCT(DCF_Base!$C$19:$L$19/(1+$C$17/100)^DCF_Base!$C$4:$L$4)+MAX(0,MIN(IF($C$17&gt;DCF_Base!$B$28,DCF_Base!$L$19*(1+DCF_Base!$B$28/100)/(($C$17-DCF_Base!$B$28)/100),DCF_Base!$L$19*DCF_Base!$B$29),DCF_Base!$L$19*DCF_Base!$B$29))/(1+$C$17/100)^DCF_Base!$L$4+Assumptions!$B$5-Assumptions!$B$4)/Assumptions!$B$3*Assumptions!$B$10</f>
        <v>19.6861819819515</v>
      </c>
      <c r="C17" s="3" t="n">
        <v>10.5</v>
      </c>
    </row>
    <row r="18" customFormat="false" ht="15" hidden="false" customHeight="false" outlineLevel="0" collapsed="false">
      <c r="A18" s="0" t="s">
        <v>160</v>
      </c>
      <c r="B18" s="0" t="n">
        <f aca="false">(SUMPRODUCT(DCF_Base!$C$19:$L$19/(1+$C$18/100)^DCF_Base!$C$4:$L$4)+MAX(0,MIN(IF($C$18&gt;DCF_Base!$B$28,DCF_Base!$L$19*(1+DCF_Base!$B$28/100)/(($C$18-DCF_Base!$B$28)/100),DCF_Base!$L$19*DCF_Base!$B$29),DCF_Base!$L$19*DCF_Base!$B$29))/(1+$C$18/100)^DCF_Base!$L$4+Assumptions!$B$5-Assumptions!$B$4)/Assumptions!$B$3*Assumptions!$B$10</f>
        <v>19.0236497847502</v>
      </c>
      <c r="C18" s="3" t="n">
        <v>11</v>
      </c>
    </row>
    <row r="19" customFormat="false" ht="15" hidden="false" customHeight="false" outlineLevel="0" collapsed="false">
      <c r="A19" s="0" t="s">
        <v>161</v>
      </c>
      <c r="B19" s="0" t="n">
        <f aca="false">(SUMPRODUCT(DCF_Base!$C$19:$L$19/(1+$C$19/100)^DCF_Base!$C$4:$L$4)+MAX(0,MIN(IF($C$19&gt;DCF_Base!$B$28,DCF_Base!$L$19*(1+DCF_Base!$B$28/100)/(($C$19-DCF_Base!$B$28)/100),DCF_Base!$L$19*DCF_Base!$B$29),DCF_Base!$L$19*DCF_Base!$B$29))/(1+$C$19/100)^DCF_Base!$L$4+Assumptions!$B$5-Assumptions!$B$4)/Assumptions!$B$3*Assumptions!$B$10</f>
        <v>17.9306110385681</v>
      </c>
      <c r="C19" s="3" t="n">
        <v>12</v>
      </c>
    </row>
    <row r="20" customFormat="false" ht="15" hidden="false" customHeight="false" outlineLevel="0" collapsed="false">
      <c r="A20" s="0" t="s">
        <v>162</v>
      </c>
      <c r="B20" s="0" t="n">
        <f aca="false">(SUMPRODUCT(DCF_Base!$C$19:$L$19/(1+$C$20/100)^DCF_Base!$C$4:$L$4)+MAX(0,MIN(IF($C$20&gt;DCF_Base!$B$28,DCF_Base!$L$19*(1+DCF_Base!$B$28/100)/(($C$20-DCF_Base!$B$28)/100),DCF_Base!$L$19*DCF_Base!$B$29),DCF_Base!$L$19*DCF_Base!$B$29))/(1+$C$20/100)^DCF_Base!$L$4+Assumptions!$B$5-Assumptions!$B$4)/Assumptions!$B$3*Assumptions!$B$10</f>
        <v>15.8052126254603</v>
      </c>
      <c r="C20" s="3" t="n">
        <v>15</v>
      </c>
    </row>
    <row r="22" customFormat="false" ht="15" hidden="false" customHeight="false" outlineLevel="0" collapsed="false">
      <c r="A22" s="2" t="s">
        <v>163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21.3013098034617</v>
      </c>
      <c r="C24" s="0" t="n">
        <f aca="false">(SUMPRODUCT(DCF_Base!$C$19:$L$19/(1+$A$24/100)^DCF_Base!$C$4:$L$4)+MAX(0,MIN(IF($A$24&gt;$C$23,DCF_Base!$L$19*(1+$C$23/100)/(($A$24-$C$23)/100),DCF_Base!$L$19*DCF_Base!$B$29),DCF_Base!$L$19*DCF_Base!$B$29))/(1+$A$24/100)^DCF_Base!$L$4+Assumptions!$B$5-Assumptions!$B$4)/Assumptions!$B$3*Assumptions!$B$10</f>
        <v>21.3013098034617</v>
      </c>
      <c r="D24" s="0" t="n">
        <f aca="false">(SUMPRODUCT(DCF_Base!$C$19:$L$19/(1+$A$24/100)^DCF_Base!$C$4:$L$4)+MAX(0,MIN(IF($A$24&gt;$D$23,DCF_Base!$L$19*(1+$D$23/100)/(($A$24-$D$23)/100),DCF_Base!$L$19*DCF_Base!$B$29),DCF_Base!$L$19*DCF_Base!$B$29))/(1+$A$24/100)^DCF_Base!$L$4+Assumptions!$B$5-Assumptions!$B$4)/Assumptions!$B$3*Assumptions!$B$10</f>
        <v>21.3013098034617</v>
      </c>
      <c r="E24" s="0" t="n">
        <f aca="false">(SUMPRODUCT(DCF_Base!$C$19:$L$19/(1+$A$24/100)^DCF_Base!$C$4:$L$4)+MAX(0,MIN(IF($A$24&gt;$E$23,DCF_Base!$L$19*(1+$E$23/100)/(($A$24-$E$23)/100),DCF_Base!$L$19*DCF_Base!$B$29),DCF_Base!$L$19*DCF_Base!$B$29))/(1+$A$24/100)^DCF_Base!$L$4+Assumptions!$B$5-Assumptions!$B$4)/Assumptions!$B$3*Assumptions!$B$10</f>
        <v>21.3013098034617</v>
      </c>
      <c r="F24" s="0" t="n">
        <f aca="false">(SUMPRODUCT(DCF_Base!$C$19:$L$19/(1+$A$24/100)^DCF_Base!$C$4:$L$4)+MAX(0,MIN(IF($A$24&gt;$F$23,DCF_Base!$L$19*(1+$F$23/100)/(($A$24-$F$23)/100),DCF_Base!$L$19*DCF_Base!$B$29),DCF_Base!$L$19*DCF_Base!$B$29))/(1+$A$24/100)^DCF_Base!$L$4+Assumptions!$B$5-Assumptions!$B$4)/Assumptions!$B$3*Assumptions!$B$10</f>
        <v>21.3013098034617</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20.3338910319149</v>
      </c>
      <c r="C25" s="0" t="n">
        <f aca="false">(SUMPRODUCT(DCF_Base!$C$19:$L$19/(1+$A$25/100)^DCF_Base!$C$4:$L$4)+MAX(0,MIN(IF($A$25&gt;$C$23,DCF_Base!$L$19*(1+$C$23/100)/(($A$25-$C$23)/100),DCF_Base!$L$19*DCF_Base!$B$29),DCF_Base!$L$19*DCF_Base!$B$29))/(1+$A$25/100)^DCF_Base!$L$4+Assumptions!$B$5-Assumptions!$B$4)/Assumptions!$B$3*Assumptions!$B$10</f>
        <v>20.511891144245</v>
      </c>
      <c r="D25" s="0" t="n">
        <f aca="false">(SUMPRODUCT(DCF_Base!$C$19:$L$19/(1+$A$25/100)^DCF_Base!$C$4:$L$4)+MAX(0,MIN(IF($A$25&gt;$D$23,DCF_Base!$L$19*(1+$D$23/100)/(($A$25-$D$23)/100),DCF_Base!$L$19*DCF_Base!$B$29),DCF_Base!$L$19*DCF_Base!$B$29))/(1+$A$25/100)^DCF_Base!$L$4+Assumptions!$B$5-Assumptions!$B$4)/Assumptions!$B$3*Assumptions!$B$10</f>
        <v>20.511891144245</v>
      </c>
      <c r="E25" s="0" t="n">
        <f aca="false">(SUMPRODUCT(DCF_Base!$C$19:$L$19/(1+$A$25/100)^DCF_Base!$C$4:$L$4)+MAX(0,MIN(IF($A$25&gt;$E$23,DCF_Base!$L$19*(1+$E$23/100)/(($A$25-$E$23)/100),DCF_Base!$L$19*DCF_Base!$B$29),DCF_Base!$L$19*DCF_Base!$B$29))/(1+$A$25/100)^DCF_Base!$L$4+Assumptions!$B$5-Assumptions!$B$4)/Assumptions!$B$3*Assumptions!$B$10</f>
        <v>20.511891144245</v>
      </c>
      <c r="F25" s="0" t="n">
        <f aca="false">(SUMPRODUCT(DCF_Base!$C$19:$L$19/(1+$A$25/100)^DCF_Base!$C$4:$L$4)+MAX(0,MIN(IF($A$25&gt;$F$23,DCF_Base!$L$19*(1+$F$23/100)/(($A$25-$F$23)/100),DCF_Base!$L$19*DCF_Base!$B$29),DCF_Base!$L$19*DCF_Base!$B$29))/(1+$A$25/100)^DCF_Base!$L$4+Assumptions!$B$5-Assumptions!$B$4)/Assumptions!$B$3*Assumptions!$B$10</f>
        <v>20.511891144245</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18.981876959296</v>
      </c>
      <c r="C26" s="0" t="n">
        <f aca="false">(SUMPRODUCT(DCF_Base!$C$19:$L$19/(1+$A$26/100)^DCF_Base!$C$4:$L$4)+MAX(0,MIN(IF($A$26&gt;$C$23,DCF_Base!$L$19*(1+$C$23/100)/(($A$26-$C$23)/100),DCF_Base!$L$19*DCF_Base!$B$29),DCF_Base!$L$19*DCF_Base!$B$29))/(1+$A$26/100)^DCF_Base!$L$4+Assumptions!$B$5-Assumptions!$B$4)/Assumptions!$B$3*Assumptions!$B$10</f>
        <v>19.3120199386657</v>
      </c>
      <c r="D26" s="0" t="n">
        <f aca="false">(SUMPRODUCT(DCF_Base!$C$19:$L$19/(1+$A$26/100)^DCF_Base!$C$4:$L$4)+MAX(0,MIN(IF($A$26&gt;$D$23,DCF_Base!$L$19*(1+$D$23/100)/(($A$26-$D$23)/100),DCF_Base!$L$19*DCF_Base!$B$29),DCF_Base!$L$19*DCF_Base!$B$29))/(1+$A$26/100)^DCF_Base!$L$4+Assumptions!$B$5-Assumptions!$B$4)/Assumptions!$B$3*Assumptions!$B$10</f>
        <v>19.6861819819515</v>
      </c>
      <c r="E26" s="0" t="n">
        <f aca="false">(SUMPRODUCT(DCF_Base!$C$19:$L$19/(1+$A$26/100)^DCF_Base!$C$4:$L$4)+MAX(0,MIN(IF($A$26&gt;$E$23,DCF_Base!$L$19*(1+$E$23/100)/(($A$26-$E$23)/100),DCF_Base!$L$19*DCF_Base!$B$29),DCF_Base!$L$19*DCF_Base!$B$29))/(1+$A$26/100)^DCF_Base!$L$4+Assumptions!$B$5-Assumptions!$B$4)/Assumptions!$B$3*Assumptions!$B$10</f>
        <v>19.7945366008216</v>
      </c>
      <c r="F26" s="0" t="n">
        <f aca="false">(SUMPRODUCT(DCF_Base!$C$19:$L$19/(1+$A$26/100)^DCF_Base!$C$4:$L$4)+MAX(0,MIN(IF($A$26&gt;$F$23,DCF_Base!$L$19*(1+$F$23/100)/(($A$26-$F$23)/100),DCF_Base!$L$19*DCF_Base!$B$29),DCF_Base!$L$19*DCF_Base!$B$29))/(1+$A$26/100)^DCF_Base!$L$4+Assumptions!$B$5-Assumptions!$B$4)/Assumptions!$B$3*Assumptions!$B$10</f>
        <v>19.7945366008216</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17.9303281155484</v>
      </c>
      <c r="C27" s="0" t="n">
        <f aca="false">(SUMPRODUCT(DCF_Base!$C$19:$L$19/(1+$A$27/100)^DCF_Base!$C$4:$L$4)+MAX(0,MIN(IF($A$27&gt;$C$23,DCF_Base!$L$19*(1+$C$23/100)/(($A$27-$C$23)/100),DCF_Base!$L$19*DCF_Base!$B$29),DCF_Base!$L$19*DCF_Base!$B$29))/(1+$A$27/100)^DCF_Base!$L$4+Assumptions!$B$5-Assumptions!$B$4)/Assumptions!$B$3*Assumptions!$B$10</f>
        <v>18.1724486143577</v>
      </c>
      <c r="D27" s="0" t="n">
        <f aca="false">(SUMPRODUCT(DCF_Base!$C$19:$L$19/(1+$A$27/100)^DCF_Base!$C$4:$L$4)+MAX(0,MIN(IF($A$27&gt;$D$23,DCF_Base!$L$19*(1+$D$23/100)/(($A$27-$D$23)/100),DCF_Base!$L$19*DCF_Base!$B$29),DCF_Base!$L$19*DCF_Base!$B$29))/(1+$A$27/100)^DCF_Base!$L$4+Assumptions!$B$5-Assumptions!$B$4)/Assumptions!$B$3*Assumptions!$B$10</f>
        <v>18.4430538777328</v>
      </c>
      <c r="E27" s="0" t="n">
        <f aca="false">(SUMPRODUCT(DCF_Base!$C$19:$L$19/(1+$A$27/100)^DCF_Base!$C$4:$L$4)+MAX(0,MIN(IF($A$27&gt;$E$23,DCF_Base!$L$19*(1+$E$23/100)/(($A$27-$E$23)/100),DCF_Base!$L$19*DCF_Base!$B$29),DCF_Base!$L$19*DCF_Base!$B$29))/(1+$A$27/100)^DCF_Base!$L$4+Assumptions!$B$5-Assumptions!$B$4)/Assumptions!$B$3*Assumptions!$B$10</f>
        <v>18.7474847990299</v>
      </c>
      <c r="F27" s="0" t="n">
        <f aca="false">(SUMPRODUCT(DCF_Base!$C$19:$L$19/(1+$A$27/100)^DCF_Base!$C$4:$L$4)+MAX(0,MIN(IF($A$27&gt;$F$23,DCF_Base!$L$19*(1+$F$23/100)/(($A$27-$F$23)/100),DCF_Base!$L$19*DCF_Base!$B$29),DCF_Base!$L$19*DCF_Base!$B$29))/(1+$A$27/100)^DCF_Base!$L$4+Assumptions!$B$5-Assumptions!$B$4)/Assumptions!$B$3*Assumptions!$B$10</f>
        <v>19.0925065098332</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17.0924294893463</v>
      </c>
      <c r="C28" s="0" t="n">
        <f aca="false">(SUMPRODUCT(DCF_Base!$C$19:$L$19/(1+$A$28/100)^DCF_Base!$C$4:$L$4)+MAX(0,MIN(IF($A$28&gt;$C$23,DCF_Base!$L$19*(1+$C$23/100)/(($A$28-$C$23)/100),DCF_Base!$L$19*DCF_Base!$B$29),DCF_Base!$L$19*DCF_Base!$B$29))/(1+$A$28/100)^DCF_Base!$L$4+Assumptions!$B$5-Assumptions!$B$4)/Assumptions!$B$3*Assumptions!$B$10</f>
        <v>17.2743616511556</v>
      </c>
      <c r="D28" s="0" t="n">
        <f aca="false">(SUMPRODUCT(DCF_Base!$C$19:$L$19/(1+$A$28/100)^DCF_Base!$C$4:$L$4)+MAX(0,MIN(IF($A$28&gt;$D$23,DCF_Base!$L$19*(1+$D$23/100)/(($A$28-$D$23)/100),DCF_Base!$L$19*DCF_Base!$B$29),DCF_Base!$L$19*DCF_Base!$B$29))/(1+$A$28/100)^DCF_Base!$L$4+Assumptions!$B$5-Assumptions!$B$4)/Assumptions!$B$3*Assumptions!$B$10</f>
        <v>17.4754445668397</v>
      </c>
      <c r="E28" s="0" t="n">
        <f aca="false">(SUMPRODUCT(DCF_Base!$C$19:$L$19/(1+$A$28/100)^DCF_Base!$C$4:$L$4)+MAX(0,MIN(IF($A$28&gt;$E$23,DCF_Base!$L$19*(1+$E$23/100)/(($A$28-$E$23)/100),DCF_Base!$L$19*DCF_Base!$B$29),DCF_Base!$L$19*DCF_Base!$B$29))/(1+$A$28/100)^DCF_Base!$L$4+Assumptions!$B$5-Assumptions!$B$4)/Assumptions!$B$3*Assumptions!$B$10</f>
        <v>17.6988700287109</v>
      </c>
      <c r="F28" s="0" t="n">
        <f aca="false">(SUMPRODUCT(DCF_Base!$C$19:$L$19/(1+$A$28/100)^DCF_Base!$C$4:$L$4)+MAX(0,MIN(IF($A$28&gt;$F$23,DCF_Base!$L$19*(1+$F$23/100)/(($A$28-$F$23)/100),DCF_Base!$L$19*DCF_Base!$B$29),DCF_Base!$L$19*DCF_Base!$B$29))/(1+$A$28/100)^DCF_Base!$L$4+Assumptions!$B$5-Assumptions!$B$4)/Assumptions!$B$3*Assumptions!$B$10</f>
        <v>17.9485808390375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2026-10-10T11:34:45Z</dcterms:created>
  <dc:creator>openpyxl</dc:creator>
  <dc:description/>
  <dc:language>en-NZ</dc:language>
  <cp:lastModifiedBy/>
  <dcterms:modified xsi:type="dcterms:W3CDTF">2026-10-10T11:34:45Z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