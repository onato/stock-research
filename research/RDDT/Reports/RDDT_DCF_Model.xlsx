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<sst xmlns="http://schemas.openxmlformats.org/spreadsheetml/2006/main" count="382" uniqueCount="196">
  <si>
    <t xml:space="preserve">Ticker</t>
  </si>
  <si>
    <t xml:space="preserve">RDDT</t>
  </si>
  <si>
    <t xml:space="preserve">Company</t>
  </si>
  <si>
    <t xml:space="preserve">Reddit, Inc.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</si>
  <si>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</si>
  <si>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</si>
  <si>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</si>
  <si>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</si>
  <si>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2026-10-30T20:03:23Z regular close (NYSE)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</si>
  <si>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</si>
  <si>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</si>
  <si>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</si>
  <si>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</si>
  <si>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</si>
  <si>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</si>
  <si>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</si>
  <si>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</si>
  <si>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</si>
  <si>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</si>
  <si>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</si>
  <si>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</si>
  <si>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2026-10-30T23:09:32Z</t>
  </si>
  <si>
    <t xml:space="preserve">Drivers file</t>
  </si>
  <si>
    <t xml:space="preserve">RDDT_Drivers.json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</si>
  <si>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</si>
  <si>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</si>
  <si>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</si>
  <si>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Updated 2026-10-31 on the Q3-2026 print. The thesis has moved from 'monetisation outgrowing users' to 'can monetisation outgrow a shrinking, search-dependent user base'. The model charges SBC in full (~$413m TTM incl. taxes, 37% of reported FCF), strips the ~$98m of interest on the $3.03bn cash pile and adds that cash back once, holds the fully diluted count flat at 206.3m, and - a correction to the prior build - treats working capital as the receivables drag an ad business actually carries rather than a prepaid-subscription inflow. Growth is anchored on the Q4 guide and a glide path, not on the 50-60% 2025-26 rates. The bear case models an actual DAU and ad-revenue hit (revenue +3% then -3%) with data licensing lost, and is weighted 35%. Net cash is ~$14.70/share and the bear value is roughly a quarter cash.
key_risks_to_valuation: Google AI Overviews/AI Mode: referrals fell &gt;1m/week in October; a persistent low-double-digit DAUq decline is the bear path and the base already assumes no recovery of the lost logged-out traffic; US DAUq (-2% y/y) carries ~80% of revenue; growth now depends on ARPU, which has limits in ad load and inventory (September delivery shortfalls); Logged-in pivot execution: reach-for-engagement trade-off could cut traffic before targeting gains arrive; Data-licensing concentration: Google (~$60m/yr) and OpenAI (~$70m/yr est.) renewals unresolved; ~5% of revenue; SBC at 13-15% of revenue and rising in dollars (+57% y/y in Q3); the house/street band is wide; Terminal value is ~half of base EV at a 12% WACC; +/-1pp of terminal growth or WACC moves the base by roughly $10-15/share (see sensitivity); Ad-market cyclicality: 95% of revenue is discretionary advertising</t>
  </si>
  <si>
    <t xml:space="preserve">Data sources</t>
  </si>
  <si>
    <t xml:space="preserve">price: Yahoo Finance chart API regular close at inputs.price_as_of; 52-week range 89.28-263.50
financials: SEC 10-Q Q3-2026 (research/RDDT/Extracted/RDDT_Quarterly_Q3-2026.txt: balance sheet l.993, income statement l.962-973, cash flow l.1117-1140, adjusted-EBITDA reconciliation l.1681, share classes l.2452-2454), 10-K FY2025 (other income l.2057, SBC-and-taxes l.1961), RDDT_Metrics.csv through Q3-2026, Q4-2026 guidance from the 2026-10-29 8-K
qualitative: RDDT_Analysis.json 2026-10-31 (Q3 call commentary, guidance, bull/bear points)</t>
  </si>
  <si>
    <t xml:space="preserve">Scenario narrative: bear</t>
  </si>
  <si>
    <t xml:space="preserve">The Google search funnel does not come back. Referrals keep falling at the October pace (&gt;1m/week), logged-out DAUq (59% of the total) contracts through 2027, US DAUq falls high-single-digits and inventory shortfalls (the CFO already could not deliver some September bookings) cap ad delivery. The logged-in wall costs reach before it buys targeting. Google declines to renew data licensing on Reddit's terms (~$60m/yr lost) and OpenAI reprices down. Revenue +3% in FY2027 (DAUq ~-15%, ARPU ~+18%), -3% in FY2028, then 2-3% a year - a real revenue hit, not a slower climb. Adjusted EBITDA compresses to 37-40% as the cost base built for 50% growth meets flat revenue, recovering to 43% by year 10 after restructuring; SBC stays 16% -&gt; 11.5% of revenue because the share price fall raises grant counts for the same dollar comp. WACC 13.5%, terminal growth 2.5%, 15x FCF cap. Net cash still provides a floor: the bear value is ~26% cash.</t>
  </si>
  <si>
    <t xml:space="preserve">Scenario narrative: base</t>
  </si>
  <si>
    <t xml:space="preserve">Monetisation keeps outrunning a flat-to-shrinking user base, but not by as much as 2025-26. Google AI Overviews/AI Mode take a low-double-digit bite out of logged-out DAUq in Q4-2026 and the base does not recover it; US DAUq drifts down ~2-5% a year while the logged-in/app cohort (&gt;80% of monetisation) holds. Revenue +22% in FY2027 (vs the +38-42% Q4 guide, the 61-&gt;53-&gt;40 deceleration continued) on ARPU gains from Reddit Max, shopping/app-install and video formats and international (ARPU ~18% of US), then glides to 5%. Adjusted EBITDA 46% -&gt; 52%; SBC incl. taxes 14.5% -&gt; 7.5% of revenue and fully expensed (~$600m in FY2027, ~37% of reported FCF - the single largest owner-FCF deduction). Data licensing (~$48m/qtr, ~5% of revenue) is assumed renewed at roughly flat dollars inside the growth path - no step-up for usage-based pricing and no loss. Receivables growth is a -12% working-capital drag on each year's revenue increase. Net cash of $3.03bn (~16% of the $18.9bn market cap) is added at face value and its ~$98m of interest income stripped from the flows.</t>
  </si>
  <si>
    <t xml:space="preserve">Scenario narrative: bull</t>
  </si>
  <si>
    <t xml:space="preserve">The logged-in pivot works: tests in non-US markets in Q4-2026 convert mobile-web and search-referred visitors into app/logged-in users, DAUq stabilises in 1H27 and returns to growth in 2H27 on international (+24% y/y today) and Reddit Answers habit; US ARPU keeps compounding on Reddit Max (adoption &gt;3x QoQ in Q3) and lower-funnel formats (+95%). Revenue +30% FY2027 (the Q4 guide beaten as Q3 beat its guide by ~$30m) decaying to 8% by year 10 (~$13bn). Adjusted EBITDA scales to 57% on a 91% gross margin and fixed cost base; SBC falls to 6% of revenue. Google and OpenAI licensing renew on usage-based terms and the Anthropic suit sets a paid-access precedent - modelled only as a modestly higher growth path, not a separate licensing step-up. Still SBC-expensed; the street basis is the memo.</t>
  </si>
  <si>
    <t xml:space="preserve">Item</t>
  </si>
  <si>
    <t xml:space="preserve">Value</t>
  </si>
  <si>
    <t xml:space="preserve">Note</t>
  </si>
  <si>
    <t xml:space="preserve">Prior valuation_date</t>
  </si>
  <si>
    <t xml:space="preserve">2026-08-28 (price refreshed 2026-10-18)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</si>
  <si>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</si>
  <si>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</si>
  <si>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</si>
  <si>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</si>
  <si>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</si>
  <si>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</si>
  <si>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</si>
  <si>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</si>
  <si>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</si>
  <si>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</si>
  <si>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</si>
  <si>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</si>
  <si>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 (2026-08-28 model, price refreshed 2026-10-18 at $156.14)</t>
  </si>
  <si>
    <t xml:space="preserve">Anchor refresh on the legacy model: divisor 192.3m stale basic count -&gt; 206.3m fully diluted (Q3-2026), net cash $2,800m -&gt; $3,033m incl. marketable securities (2026-09-30)</t>
  </si>
  <si>
    <t xml:space="preserve">(160.67 x 192.321 + 233.4) / 206.3 = 150.92</t>
  </si>
  <si>
    <t xml:space="preserve">Methodology: hand-built FCF-growth model -&gt; component owner-FCF engine (make build-dcf) on FY2026E revenue $3,378m with the PRIOR driver paths; SBC basis moved to the company's combined SBC-and-taxes line</t>
  </si>
  <si>
    <t xml:space="preserve">engine run with prior growth/margin/WC paths and 25/50/25 weights = 157.43</t>
  </si>
  <si>
    <t xml:space="preserve">Working-capital sign corrected: +17/18/15% prepaid-style capture -&gt; -12/-12/-8% receivables drag (ad business)</t>
  </si>
  <si>
    <t xml:space="preserve">157.43 -&gt; 147.08</t>
  </si>
  <si>
    <t xml:space="preserve">Driver re-judgment on the Q3 print and the search-referral warning: base FY2027 growth 20% -&gt; 22% then 16-&gt;5% glide (was 18-&gt;7%), base year-1 EBITDA margin 45 -&gt; 46%; bull 28-&gt;30% then lower glide; bear rebuilt as a real DAU/ad-revenue hit (+3%, -3%, then 2-3%; margin 40 -&gt; 37% trough)</t>
  </si>
  <si>
    <t xml:space="preserve">147.08 -&gt; 133.60 at the prior 25/50/25 weights</t>
  </si>
  <si>
    <t xml:space="preserve">Weights 25/50/25 -&gt; 35/45/20 (Google single-channel dependency, unproven logged-in pivot)</t>
  </si>
  <si>
    <t xml:space="preserve">133.60 -&gt; 120.24</t>
  </si>
  <si>
    <t xml:space="preserve">Price move $156.14 -&gt; $91.73: no effect on IV; weighted upside moves from +2.9% to ~+31%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</si>
  <si>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</si>
  <si>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</si>
  <si>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</si>
  <si>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</si>
  <si>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</si>
  <si>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</si>
  <si>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</si>
  <si>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</si>
  <si>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</si>
  <si>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</si>
  <si>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</si>
  <si>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</si>
  <si>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</si>
  <si>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</si>
  <si>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</si>
  <si>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</si>
  <si>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</si>
  <si>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</si>
  <si>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</si>
  <si>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</si>
  <si>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</si>
  <si>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</si>
  <si>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</si>
  <si>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</si>
  <si>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</si>
  <si>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</si>
  <si>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</si>
  <si>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</si>
  <si>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</si>
  <si>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ARPU</t>
  </si>
  <si>
    <t xml:space="preserve">ARPUIntl</t>
  </si>
  <si>
    <t xml:space="preserve">ARPUUS</t>
  </si>
  <si>
    <t xml:space="preserve">AdRevenue</t>
  </si>
  <si>
    <t xml:space="preserve">DAU</t>
  </si>
  <si>
    <t xml:space="preserve">OtherRevenue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</si>
  <si>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</si>
  <si>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</si>
  <si>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</si>
  <si>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</si>
  <si>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</si>
  <si>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</si>
  <si>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</si>
  <si>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</si>
  <si>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</si>
  <si>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</si>
  <si>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</si>
  <si>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</si>
  <si>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</si>
  <si>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</si>
  <si>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</si>
  <si>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</si>
  <si>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</si>
  <si>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</si>
  <si>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</si>
  <si>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</si>
  <si>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</si>
  <si>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</si>
  <si>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</si>
  <si>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</si>
  <si>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</si>
  <si>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</si>
  <si>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</si>
  <si>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</si>
  <si>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</si>
  <si>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</si>
  <si>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</si>
  <si>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</si>
  <si>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</si>
  <si>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</si>
  <si>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</si>
  <si>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</si>
  <si>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</si>
  <si>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</si>
  <si>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</si>
  <si>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</si>
  <si>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</si>
  <si>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</si>
  <si>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RDDT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</si>
  <si>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</si>
  <si>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</si>
  <si>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</si>
  <si>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</si>
  <si>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</si>
  <si>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</si>
  <si>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</si>
  <si>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</si>
  <si>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</si>
  <si>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</si>
  <si>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</si>
  <si>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</si>
  <si>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</si>
  <si>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</si>
  <si>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</si>
  <si>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</si>
  <si>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</si>
  <si>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</si>
  <si>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</si>
  <si>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</si>
  <si>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</si>
  <si>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</si>
  <si>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</si>
  <si>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</si>
  <si>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</si>
  <si>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</si>
  <si>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</si>
  <si>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</si>
  <si>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</si>
  <si>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</si>
  <si>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RDDT owner-FCF component DCF: base case (millions, USD)</t>
  </si>
  <si>
    <t xml:space="preserve">RDDT owner-FCF component DCF: bull case (millions, USD)</t>
  </si>
  <si>
    <t xml:space="preserve">RDDT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</si>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</sst>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91.73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n">
        <v>156.14</v>
      </c>
    </row>
    <row r="4" customFormat="false" ht="15" hidden="false" customHeight="false" outlineLevel="0" collapsed="false">
      <c r="A4" s="0" t="s">
        <v>42</v>
      </c>
      <c r="B4" s="0" t="n">
        <v>80.14</v>
      </c>
    </row>
    <row r="5" customFormat="false" ht="15" hidden="false" customHeight="false" outlineLevel="0" collapsed="false">
      <c r="A5" s="0" t="s">
        <v>43</v>
      </c>
      <c r="B5" s="0" t="n">
        <v>157.36</v>
      </c>
    </row>
    <row r="6" customFormat="false" ht="15" hidden="false" customHeight="false" outlineLevel="0" collapsed="false">
      <c r="A6" s="0" t="s">
        <v>44</v>
      </c>
      <c r="B6" s="0" t="n">
        <v>247.81</v>
      </c>
    </row>
    <row r="7" customFormat="false" ht="15" hidden="false" customHeight="false" outlineLevel="0" collapsed="false">
      <c r="A7" s="0" t="s">
        <v>45</v>
      </c>
      <c r="B7" s="0" t="n">
        <v>160.67</v>
      </c>
    </row>
    <row r="8" customFormat="false" ht="15" hidden="false" customHeight="false" outlineLevel="0" collapsed="false">
      <c r="A8" s="0" t="s">
        <v>46</v>
      </c>
      <c r="B8" s="0" t="s">
        <v>5</v>
      </c>
    </row>
    <row r="9" customFormat="false" ht="15" hidden="false" customHeight="false" outlineLevel="0" collapsed="false">
      <c r="A9" s="0" t="s">
        <v>47</v>
      </c>
      <c r="B9" s="0" t="n">
        <v>91.73</v>
      </c>
    </row>
    <row r="10" customFormat="false" ht="15" hidden="false" customHeight="false" outlineLevel="0" collapsed="false">
      <c r="A10" s="0" t="s">
        <v>48</v>
      </c>
      <c r="B10" s="0" t="n">
        <v>46.89</v>
      </c>
    </row>
    <row r="11" customFormat="false" ht="15" hidden="false" customHeight="false" outlineLevel="0" collapsed="false">
      <c r="A11" s="0" t="s">
        <v>49</v>
      </c>
      <c r="B11" s="0" t="n">
        <v>126.6</v>
      </c>
    </row>
    <row r="12" customFormat="false" ht="15" hidden="false" customHeight="false" outlineLevel="0" collapsed="false">
      <c r="A12" s="0" t="s">
        <v>50</v>
      </c>
      <c r="B12" s="0" t="n">
        <v>234.31</v>
      </c>
    </row>
    <row r="13" customFormat="false" ht="15" hidden="false" customHeight="false" outlineLevel="0" collapsed="false">
      <c r="A13" s="0" t="s">
        <v>51</v>
      </c>
      <c r="B13" s="0" t="n">
        <v>120.24</v>
      </c>
    </row>
    <row r="15" customFormat="false" ht="15" hidden="false" customHeight="false" outlineLevel="0" collapsed="false">
      <c r="A15" s="2" t="s">
        <v>52</v>
      </c>
    </row>
    <row r="16" customFormat="false" ht="15" hidden="false" customHeight="false" outlineLevel="0" collapsed="false">
      <c r="A16" s="0" t="s">
        <v>53</v>
      </c>
      <c r="B16" s="0" t="n">
        <v>160.67</v>
      </c>
    </row>
    <row r="17" customFormat="false" ht="15" hidden="false" customHeight="false" outlineLevel="0" collapsed="false">
      <c r="A17" s="0" t="s">
        <v>54</v>
      </c>
      <c r="B17" s="0" t="n">
        <v>-9.75</v>
      </c>
      <c r="C17" s="0" t="s">
        <v>55</v>
      </c>
    </row>
    <row r="18" customFormat="false" ht="15" hidden="false" customHeight="false" outlineLevel="0" collapsed="false">
      <c r="A18" s="0" t="s">
        <v>56</v>
      </c>
      <c r="B18" s="0" t="n">
        <v>6.51</v>
      </c>
      <c r="C18" s="0" t="s">
        <v>57</v>
      </c>
    </row>
    <row r="19" customFormat="false" ht="15" hidden="false" customHeight="false" outlineLevel="0" collapsed="false">
      <c r="A19" s="0" t="s">
        <v>58</v>
      </c>
      <c r="B19" s="0" t="n">
        <v>-10.35</v>
      </c>
      <c r="C19" s="0" t="s">
        <v>59</v>
      </c>
    </row>
    <row r="20" customFormat="false" ht="15" hidden="false" customHeight="false" outlineLevel="0" collapsed="false">
      <c r="A20" s="0" t="s">
        <v>60</v>
      </c>
      <c r="B20" s="0" t="n">
        <v>-13.48</v>
      </c>
      <c r="C20" s="0" t="s">
        <v>61</v>
      </c>
    </row>
    <row r="21" customFormat="false" ht="15" hidden="false" customHeight="false" outlineLevel="0" collapsed="false">
      <c r="A21" s="0" t="s">
        <v>62</v>
      </c>
      <c r="B21" s="0" t="n">
        <v>-13.36</v>
      </c>
      <c r="C21" s="0" t="s">
        <v>63</v>
      </c>
    </row>
    <row r="22" customFormat="false" ht="15" hidden="false" customHeight="false" outlineLevel="0" collapsed="false">
      <c r="A22" s="0" t="s">
        <v>64</v>
      </c>
      <c r="B22" s="0" t="n">
        <v>0</v>
      </c>
    </row>
    <row r="23" customFormat="false" ht="15" hidden="false" customHeight="false" outlineLevel="0" collapsed="false">
      <c r="A23" s="0" t="s">
        <v>65</v>
      </c>
      <c r="B23" s="0" t="n">
        <v>120.24</v>
      </c>
      <c r="C23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87</v>
      </c>
      <c r="V1" s="2" t="s">
        <v>88</v>
      </c>
      <c r="W1" s="2" t="s">
        <v>89</v>
      </c>
      <c r="X1" s="2" t="s">
        <v>90</v>
      </c>
      <c r="Y1" s="2" t="s">
        <v>91</v>
      </c>
      <c r="Z1" s="2" t="s">
        <v>92</v>
      </c>
      <c r="AA1" s="2" t="s">
        <v>16</v>
      </c>
      <c r="AB1" s="2" t="s">
        <v>93</v>
      </c>
      <c r="AC1" s="2" t="s">
        <v>94</v>
      </c>
      <c r="AD1" s="2" t="s">
        <v>95</v>
      </c>
      <c r="AE1" s="2" t="s">
        <v>96</v>
      </c>
      <c r="AF1" s="2" t="s">
        <v>97</v>
      </c>
      <c r="AG1" s="2" t="s">
        <v>98</v>
      </c>
      <c r="AH1" s="2" t="s">
        <v>99</v>
      </c>
    </row>
    <row r="2" customFormat="false" ht="15" hidden="false" customHeight="false" outlineLevel="0" collapsed="false">
      <c r="A2" s="0" t="s">
        <v>100</v>
      </c>
      <c r="O2" s="0" t="n">
        <v>-286.013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101</v>
      </c>
      <c r="B3" s="0" t="n">
        <v>666.701</v>
      </c>
      <c r="C3" s="0" t="n">
        <v>104.799</v>
      </c>
      <c r="D3" s="0" t="n">
        <v>561.902</v>
      </c>
      <c r="F3" s="0" t="n">
        <v>-172.162</v>
      </c>
      <c r="G3" s="0" t="n">
        <v>-25.822970117039</v>
      </c>
      <c r="H3" s="0" t="n">
        <v>-164.162</v>
      </c>
      <c r="I3" s="0" t="n">
        <v>-158.55</v>
      </c>
      <c r="J3" s="0" t="n">
        <v>-23.7812752643239</v>
      </c>
      <c r="K3" s="0" t="n">
        <v>-2.77</v>
      </c>
      <c r="L3" s="0" t="n">
        <v>-94.021</v>
      </c>
      <c r="M3" s="0" t="n">
        <v>6.233</v>
      </c>
      <c r="N3" s="0" t="n">
        <v>-100.254</v>
      </c>
      <c r="O3" s="0" t="n">
        <v>-379.064</v>
      </c>
      <c r="S3" s="0" t="n">
        <v>435.81</v>
      </c>
      <c r="T3" s="0" t="n">
        <v>57.251112</v>
      </c>
      <c r="U3" s="0" t="n">
        <v>55.31</v>
      </c>
      <c r="AA3" s="0" t="s">
        <v>17</v>
      </c>
      <c r="AB3" s="0" t="s">
        <v>14</v>
      </c>
      <c r="AF3" s="0" t="n">
        <v>652.562</v>
      </c>
      <c r="AH3" s="0" t="n">
        <v>14.139</v>
      </c>
    </row>
    <row r="4" customFormat="false" ht="15" hidden="false" customHeight="false" outlineLevel="0" collapsed="false">
      <c r="A4" s="0" t="s">
        <v>102</v>
      </c>
      <c r="B4" s="0" t="n">
        <v>804.029</v>
      </c>
      <c r="C4" s="0" t="n">
        <v>111.011</v>
      </c>
      <c r="D4" s="0" t="n">
        <v>693.018</v>
      </c>
      <c r="F4" s="0" t="n">
        <v>-140.161</v>
      </c>
      <c r="G4" s="0" t="n">
        <v>-17.4323314208816</v>
      </c>
      <c r="H4" s="0" t="n">
        <v>-126.459</v>
      </c>
      <c r="I4" s="0" t="n">
        <v>-90.824</v>
      </c>
      <c r="J4" s="0" t="n">
        <v>-11.2961099661828</v>
      </c>
      <c r="K4" s="0" t="n">
        <v>-1.54</v>
      </c>
      <c r="L4" s="0" t="n">
        <v>-75.114</v>
      </c>
      <c r="M4" s="0" t="n">
        <v>9.724</v>
      </c>
      <c r="N4" s="0" t="n">
        <v>-84.838</v>
      </c>
      <c r="O4" s="0" t="n">
        <v>-412.922</v>
      </c>
      <c r="P4" s="0" t="n">
        <v>1596.467</v>
      </c>
      <c r="Q4" s="0" t="n">
        <v>155.897</v>
      </c>
      <c r="S4" s="0" t="n">
        <v>401.176</v>
      </c>
      <c r="T4" s="0" t="n">
        <v>59.138086</v>
      </c>
      <c r="U4" s="0" t="n">
        <v>47.598</v>
      </c>
      <c r="AA4" s="0" t="s">
        <v>17</v>
      </c>
      <c r="AB4" s="0" t="s">
        <v>14</v>
      </c>
      <c r="AF4" s="0" t="n">
        <v>788.782</v>
      </c>
      <c r="AH4" s="0" t="n">
        <v>15.247</v>
      </c>
    </row>
    <row r="5" customFormat="false" ht="15" hidden="false" customHeight="false" outlineLevel="0" collapsed="false">
      <c r="A5" s="0" t="s">
        <v>103</v>
      </c>
      <c r="B5" s="0" t="n">
        <v>1300.205</v>
      </c>
      <c r="C5" s="0" t="n">
        <v>123.595</v>
      </c>
      <c r="D5" s="0" t="n">
        <v>1176.61</v>
      </c>
      <c r="F5" s="0" t="n">
        <v>-560.568</v>
      </c>
      <c r="G5" s="0" t="n">
        <v>-43.1138166673717</v>
      </c>
      <c r="H5" s="0" t="n">
        <v>-544.925</v>
      </c>
      <c r="I5" s="0" t="n">
        <v>-484.276</v>
      </c>
      <c r="J5" s="0" t="n">
        <v>-37.2461265723482</v>
      </c>
      <c r="K5" s="0" t="n">
        <v>-3.33</v>
      </c>
      <c r="L5" s="0" t="n">
        <v>222.068</v>
      </c>
      <c r="M5" s="0" t="n">
        <v>6.248</v>
      </c>
      <c r="N5" s="0" t="n">
        <v>215.82</v>
      </c>
      <c r="O5" s="0" t="n">
        <v>2130.749</v>
      </c>
      <c r="P5" s="0" t="n">
        <v>2336.595</v>
      </c>
      <c r="Q5" s="0" t="n">
        <v>205.846</v>
      </c>
      <c r="R5" s="0" t="n">
        <v>0</v>
      </c>
      <c r="S5" s="0" t="n">
        <v>562.092</v>
      </c>
      <c r="T5" s="0" t="n">
        <v>145.472389</v>
      </c>
      <c r="U5" s="0" t="n">
        <v>801.646</v>
      </c>
      <c r="AA5" s="0" t="s">
        <v>17</v>
      </c>
      <c r="AB5" s="0" t="s">
        <v>14</v>
      </c>
      <c r="AF5" s="0" t="n">
        <v>1185.456</v>
      </c>
      <c r="AH5" s="0" t="n">
        <v>114.749</v>
      </c>
    </row>
    <row r="6" customFormat="false" ht="15" hidden="false" customHeight="false" outlineLevel="0" collapsed="false">
      <c r="A6" s="0" t="s">
        <v>104</v>
      </c>
      <c r="B6" s="0" t="n">
        <v>2202.506</v>
      </c>
      <c r="C6" s="0" t="n">
        <v>194.216</v>
      </c>
      <c r="D6" s="0" t="n">
        <v>2008.29</v>
      </c>
      <c r="F6" s="0" t="n">
        <v>441.984</v>
      </c>
      <c r="G6" s="0" t="n">
        <v>20.0673233126266</v>
      </c>
      <c r="H6" s="0" t="n">
        <v>457.932</v>
      </c>
      <c r="I6" s="0" t="n">
        <v>529.721</v>
      </c>
      <c r="J6" s="0" t="n">
        <v>24.0508311895632</v>
      </c>
      <c r="K6" s="0" t="n">
        <v>2.62</v>
      </c>
      <c r="L6" s="0" t="n">
        <v>690.875</v>
      </c>
      <c r="M6" s="0" t="n">
        <v>6.706</v>
      </c>
      <c r="N6" s="0" t="n">
        <v>684.169</v>
      </c>
      <c r="O6" s="0" t="n">
        <v>2929.038</v>
      </c>
      <c r="P6" s="0" t="n">
        <v>3239.173</v>
      </c>
      <c r="Q6" s="0" t="n">
        <v>310.135</v>
      </c>
      <c r="R6" s="0" t="n">
        <v>0</v>
      </c>
      <c r="S6" s="0" t="n">
        <v>953.569</v>
      </c>
      <c r="T6" s="0" t="n">
        <v>202.107978</v>
      </c>
      <c r="U6" s="0" t="n">
        <v>343.18</v>
      </c>
      <c r="AA6" s="0" t="s">
        <v>17</v>
      </c>
      <c r="AB6" s="0" t="s">
        <v>14</v>
      </c>
      <c r="AF6" s="0" t="n">
        <v>2062.48</v>
      </c>
      <c r="AH6" s="0" t="n">
        <v>140.026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105</v>
      </c>
      <c r="B1" s="2" t="s">
        <v>37</v>
      </c>
    </row>
    <row r="2" customFormat="false" ht="15" hidden="false" customHeight="false" outlineLevel="0" collapsed="false">
      <c r="A2" s="0" t="s">
        <v>106</v>
      </c>
      <c r="B2" s="3" t="n">
        <v>91.73</v>
      </c>
    </row>
    <row r="3" customFormat="false" ht="15" hidden="false" customHeight="false" outlineLevel="0" collapsed="false">
      <c r="A3" s="0" t="s">
        <v>107</v>
      </c>
      <c r="B3" s="3" t="n">
        <v>206.3</v>
      </c>
    </row>
    <row r="4" customFormat="false" ht="15" hidden="false" customHeight="false" outlineLevel="0" collapsed="false">
      <c r="A4" s="0" t="s">
        <v>108</v>
      </c>
      <c r="B4" s="3" t="n">
        <v>-3033.4</v>
      </c>
    </row>
    <row r="5" customFormat="false" ht="15" hidden="false" customHeight="false" outlineLevel="0" collapsed="false">
      <c r="A5" s="0" t="s">
        <v>109</v>
      </c>
      <c r="B5" s="3" t="n">
        <v>0</v>
      </c>
    </row>
    <row r="6" customFormat="false" ht="15" hidden="false" customHeight="false" outlineLevel="0" collapsed="false">
      <c r="A6" s="0" t="s">
        <v>110</v>
      </c>
      <c r="B6" s="3" t="n">
        <v>15</v>
      </c>
    </row>
    <row r="7" customFormat="false" ht="15" hidden="false" customHeight="false" outlineLevel="0" collapsed="false">
      <c r="A7" s="0" t="s">
        <v>111</v>
      </c>
      <c r="B7" s="3" t="n">
        <v>3378.3</v>
      </c>
    </row>
    <row r="8" customFormat="false" ht="15" hidden="false" customHeight="false" outlineLevel="0" collapsed="false">
      <c r="A8" s="0" t="s">
        <v>112</v>
      </c>
      <c r="B8" s="3" t="s">
        <v>113</v>
      </c>
    </row>
    <row r="9" customFormat="false" ht="15" hidden="false" customHeight="false" outlineLevel="0" collapsed="false">
      <c r="A9" s="0" t="s">
        <v>114</v>
      </c>
      <c r="B9" s="3" t="s">
        <v>115</v>
      </c>
    </row>
    <row r="10" customFormat="false" ht="15" hidden="false" customHeight="false" outlineLevel="0" collapsed="false">
      <c r="A10" s="0" t="s">
        <v>116</v>
      </c>
      <c r="B10" s="3" t="n">
        <v>1</v>
      </c>
    </row>
    <row r="12" customFormat="false" ht="15" hidden="false" customHeight="false" outlineLevel="0" collapsed="false">
      <c r="A12" s="2" t="s">
        <v>117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122</v>
      </c>
      <c r="H12" s="2" t="s">
        <v>123</v>
      </c>
      <c r="I12" s="2" t="s">
        <v>124</v>
      </c>
      <c r="J12" s="2" t="s">
        <v>125</v>
      </c>
      <c r="K12" s="2" t="s">
        <v>126</v>
      </c>
      <c r="L12" s="2" t="s">
        <v>127</v>
      </c>
    </row>
    <row r="13" customFormat="false" ht="15" hidden="false" customHeight="false" outlineLevel="0" collapsed="false">
      <c r="A13" s="0" t="s">
        <v>128</v>
      </c>
      <c r="C13" s="3" t="n">
        <v>3</v>
      </c>
      <c r="D13" s="3" t="n">
        <v>-3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129</v>
      </c>
      <c r="C14" s="3" t="n">
        <v>40</v>
      </c>
      <c r="D14" s="3" t="n">
        <v>37</v>
      </c>
      <c r="E14" s="3" t="n">
        <v>38</v>
      </c>
      <c r="F14" s="3" t="n">
        <v>39</v>
      </c>
      <c r="G14" s="3" t="n">
        <v>40</v>
      </c>
      <c r="H14" s="3" t="n">
        <v>41</v>
      </c>
      <c r="I14" s="3" t="n">
        <v>42</v>
      </c>
      <c r="J14" s="3" t="n">
        <v>42</v>
      </c>
      <c r="K14" s="3" t="n">
        <v>43</v>
      </c>
      <c r="L14" s="3" t="n">
        <v>43</v>
      </c>
    </row>
    <row r="15" customFormat="false" ht="15" hidden="false" customHeight="false" outlineLevel="0" collapsed="false">
      <c r="A15" s="0" t="s">
        <v>130</v>
      </c>
      <c r="C15" s="3" t="n">
        <v>16</v>
      </c>
      <c r="D15" s="3" t="n">
        <v>15.5</v>
      </c>
      <c r="E15" s="3" t="n">
        <v>15</v>
      </c>
      <c r="F15" s="3" t="n">
        <v>14.5</v>
      </c>
      <c r="G15" s="3" t="n">
        <v>14</v>
      </c>
      <c r="H15" s="3" t="n">
        <v>13.5</v>
      </c>
      <c r="I15" s="3" t="n">
        <v>13</v>
      </c>
      <c r="J15" s="3" t="n">
        <v>12.5</v>
      </c>
      <c r="K15" s="3" t="n">
        <v>12</v>
      </c>
      <c r="L15" s="3" t="n">
        <v>11.5</v>
      </c>
    </row>
    <row r="16" customFormat="false" ht="15" hidden="false" customHeight="false" outlineLevel="0" collapsed="false">
      <c r="A16" s="0" t="s">
        <v>131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132</v>
      </c>
      <c r="C17" s="3" t="n">
        <v>0.7</v>
      </c>
      <c r="D17" s="3" t="n">
        <v>0.7</v>
      </c>
      <c r="E17" s="3" t="n">
        <v>0.7</v>
      </c>
      <c r="F17" s="3" t="n">
        <v>0.7</v>
      </c>
      <c r="G17" s="3" t="n">
        <v>0.7</v>
      </c>
      <c r="H17" s="3" t="n">
        <v>0.7</v>
      </c>
      <c r="I17" s="3" t="n">
        <v>0.7</v>
      </c>
      <c r="J17" s="3" t="n">
        <v>0.7</v>
      </c>
      <c r="K17" s="3" t="n">
        <v>0.7</v>
      </c>
      <c r="L17" s="3" t="n">
        <v>0.7</v>
      </c>
    </row>
    <row r="18" customFormat="false" ht="15" hidden="false" customHeight="false" outlineLevel="0" collapsed="false">
      <c r="A18" s="0" t="s">
        <v>133</v>
      </c>
      <c r="C18" s="3" t="n">
        <v>0.5</v>
      </c>
      <c r="D18" s="3" t="n">
        <v>0.5</v>
      </c>
      <c r="E18" s="3" t="n">
        <v>0.5</v>
      </c>
      <c r="F18" s="3" t="n">
        <v>0.5</v>
      </c>
      <c r="G18" s="3" t="n">
        <v>0.5</v>
      </c>
      <c r="H18" s="3" t="n">
        <v>0.5</v>
      </c>
      <c r="I18" s="3" t="n">
        <v>0.5</v>
      </c>
      <c r="J18" s="3" t="n">
        <v>0.5</v>
      </c>
      <c r="K18" s="3" t="n">
        <v>0.5</v>
      </c>
      <c r="L18" s="3" t="n">
        <v>0.5</v>
      </c>
    </row>
    <row r="19" customFormat="false" ht="15" hidden="false" customHeight="false" outlineLevel="0" collapsed="false">
      <c r="A19" s="0" t="s">
        <v>134</v>
      </c>
      <c r="C19" s="3" t="n">
        <v>3</v>
      </c>
      <c r="D19" s="3" t="n">
        <v>8</v>
      </c>
      <c r="E19" s="3" t="n">
        <v>14</v>
      </c>
      <c r="F19" s="3" t="n">
        <v>20</v>
      </c>
      <c r="G19" s="3" t="n">
        <v>23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135</v>
      </c>
      <c r="B20" s="3" t="n">
        <v>13.5</v>
      </c>
    </row>
    <row r="21" customFormat="false" ht="15" hidden="false" customHeight="false" outlineLevel="0" collapsed="false">
      <c r="A21" s="0" t="s">
        <v>136</v>
      </c>
      <c r="B21" s="3" t="n">
        <v>2.5</v>
      </c>
    </row>
    <row r="22" customFormat="false" ht="15" hidden="false" customHeight="false" outlineLevel="0" collapsed="false">
      <c r="A22" s="0" t="s">
        <v>137</v>
      </c>
      <c r="B22" s="3" t="n">
        <v>15</v>
      </c>
    </row>
    <row r="23" customFormat="false" ht="15" hidden="false" customHeight="false" outlineLevel="0" collapsed="false">
      <c r="A23" s="0" t="s">
        <v>138</v>
      </c>
      <c r="B23" s="3" t="n">
        <v>-8</v>
      </c>
    </row>
    <row r="24" customFormat="false" ht="15" hidden="false" customHeight="false" outlineLevel="0" collapsed="false">
      <c r="A24" s="0" t="s">
        <v>139</v>
      </c>
      <c r="B24" s="3" t="n">
        <v>0.35</v>
      </c>
    </row>
    <row r="26" customFormat="false" ht="15" hidden="false" customHeight="false" outlineLevel="0" collapsed="false">
      <c r="A26" s="2" t="s">
        <v>140</v>
      </c>
      <c r="C26" s="2" t="s">
        <v>118</v>
      </c>
      <c r="D26" s="2" t="s">
        <v>119</v>
      </c>
      <c r="E26" s="2" t="s">
        <v>120</v>
      </c>
      <c r="F26" s="2" t="s">
        <v>121</v>
      </c>
      <c r="G26" s="2" t="s">
        <v>122</v>
      </c>
      <c r="H26" s="2" t="s">
        <v>123</v>
      </c>
      <c r="I26" s="2" t="s">
        <v>124</v>
      </c>
      <c r="J26" s="2" t="s">
        <v>125</v>
      </c>
      <c r="K26" s="2" t="s">
        <v>126</v>
      </c>
      <c r="L26" s="2" t="s">
        <v>127</v>
      </c>
    </row>
    <row r="27" customFormat="false" ht="15" hidden="false" customHeight="false" outlineLevel="0" collapsed="false">
      <c r="A27" s="0" t="s">
        <v>128</v>
      </c>
      <c r="C27" s="3" t="n">
        <v>22</v>
      </c>
      <c r="D27" s="3" t="n">
        <v>16</v>
      </c>
      <c r="E27" s="3" t="n">
        <v>13</v>
      </c>
      <c r="F27" s="3" t="n">
        <v>11</v>
      </c>
      <c r="G27" s="3" t="n">
        <v>10</v>
      </c>
      <c r="H27" s="3" t="n">
        <v>9</v>
      </c>
      <c r="I27" s="3" t="n">
        <v>8</v>
      </c>
      <c r="J27" s="3" t="n">
        <v>7</v>
      </c>
      <c r="K27" s="3" t="n">
        <v>6</v>
      </c>
      <c r="L27" s="3" t="n">
        <v>5</v>
      </c>
    </row>
    <row r="28" customFormat="false" ht="15" hidden="false" customHeight="false" outlineLevel="0" collapsed="false">
      <c r="A28" s="0" t="s">
        <v>129</v>
      </c>
      <c r="C28" s="3" t="n">
        <v>46</v>
      </c>
      <c r="D28" s="3" t="n">
        <v>47.5</v>
      </c>
      <c r="E28" s="3" t="n">
        <v>48.5</v>
      </c>
      <c r="F28" s="3" t="n">
        <v>49.5</v>
      </c>
      <c r="G28" s="3" t="n">
        <v>50</v>
      </c>
      <c r="H28" s="3" t="n">
        <v>50.5</v>
      </c>
      <c r="I28" s="3" t="n">
        <v>51</v>
      </c>
      <c r="J28" s="3" t="n">
        <v>51.5</v>
      </c>
      <c r="K28" s="3" t="n">
        <v>52</v>
      </c>
      <c r="L28" s="3" t="n">
        <v>52</v>
      </c>
    </row>
    <row r="29" customFormat="false" ht="15" hidden="false" customHeight="false" outlineLevel="0" collapsed="false">
      <c r="A29" s="0" t="s">
        <v>130</v>
      </c>
      <c r="C29" s="3" t="n">
        <v>14.5</v>
      </c>
      <c r="D29" s="3" t="n">
        <v>13.5</v>
      </c>
      <c r="E29" s="3" t="n">
        <v>12.5</v>
      </c>
      <c r="F29" s="3" t="n">
        <v>11.5</v>
      </c>
      <c r="G29" s="3" t="n">
        <v>10.5</v>
      </c>
      <c r="H29" s="3" t="n">
        <v>9.7</v>
      </c>
      <c r="I29" s="3" t="n">
        <v>9</v>
      </c>
      <c r="J29" s="3" t="n">
        <v>8.5</v>
      </c>
      <c r="K29" s="3" t="n">
        <v>8</v>
      </c>
      <c r="L29" s="3" t="n">
        <v>7.5</v>
      </c>
    </row>
    <row r="30" customFormat="false" ht="15" hidden="false" customHeight="false" outlineLevel="0" collapsed="false">
      <c r="A30" s="0" t="s">
        <v>131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132</v>
      </c>
      <c r="C31" s="3" t="n">
        <v>0.6</v>
      </c>
      <c r="D31" s="3" t="n">
        <v>0.6</v>
      </c>
      <c r="E31" s="3" t="n">
        <v>0.6</v>
      </c>
      <c r="F31" s="3" t="n">
        <v>0.6</v>
      </c>
      <c r="G31" s="3" t="n">
        <v>0.6</v>
      </c>
      <c r="H31" s="3" t="n">
        <v>0.6</v>
      </c>
      <c r="I31" s="3" t="n">
        <v>0.6</v>
      </c>
      <c r="J31" s="3" t="n">
        <v>0.6</v>
      </c>
      <c r="K31" s="3" t="n">
        <v>0.6</v>
      </c>
      <c r="L31" s="3" t="n">
        <v>0.6</v>
      </c>
    </row>
    <row r="32" customFormat="false" ht="15" hidden="false" customHeight="false" outlineLevel="0" collapsed="false">
      <c r="A32" s="0" t="s">
        <v>133</v>
      </c>
      <c r="C32" s="3" t="n">
        <v>0.4</v>
      </c>
      <c r="D32" s="3" t="n">
        <v>0.4</v>
      </c>
      <c r="E32" s="3" t="n">
        <v>0.4</v>
      </c>
      <c r="F32" s="3" t="n">
        <v>0.4</v>
      </c>
      <c r="G32" s="3" t="n">
        <v>0.4</v>
      </c>
      <c r="H32" s="3" t="n">
        <v>0.4</v>
      </c>
      <c r="I32" s="3" t="n">
        <v>0.4</v>
      </c>
      <c r="J32" s="3" t="n">
        <v>0.4</v>
      </c>
      <c r="K32" s="3" t="n">
        <v>0.4</v>
      </c>
      <c r="L32" s="3" t="n">
        <v>0.4</v>
      </c>
    </row>
    <row r="33" customFormat="false" ht="15" hidden="false" customHeight="false" outlineLevel="0" collapsed="false">
      <c r="A33" s="0" t="s">
        <v>134</v>
      </c>
      <c r="C33" s="3" t="n">
        <v>2</v>
      </c>
      <c r="D33" s="3" t="n">
        <v>5</v>
      </c>
      <c r="E33" s="3" t="n">
        <v>10</v>
      </c>
      <c r="F33" s="3" t="n">
        <v>16</v>
      </c>
      <c r="G33" s="3" t="n">
        <v>21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135</v>
      </c>
      <c r="B34" s="3" t="n">
        <v>12</v>
      </c>
    </row>
    <row r="35" customFormat="false" ht="15" hidden="false" customHeight="false" outlineLevel="0" collapsed="false">
      <c r="A35" s="0" t="s">
        <v>136</v>
      </c>
      <c r="B35" s="3" t="n">
        <v>3.5</v>
      </c>
    </row>
    <row r="36" customFormat="false" ht="15" hidden="false" customHeight="false" outlineLevel="0" collapsed="false">
      <c r="A36" s="0" t="s">
        <v>137</v>
      </c>
      <c r="B36" s="3" t="n">
        <v>20</v>
      </c>
    </row>
    <row r="37" customFormat="false" ht="15" hidden="false" customHeight="false" outlineLevel="0" collapsed="false">
      <c r="A37" s="0" t="s">
        <v>138</v>
      </c>
      <c r="B37" s="3" t="n">
        <v>-12</v>
      </c>
    </row>
    <row r="38" customFormat="false" ht="15" hidden="false" customHeight="false" outlineLevel="0" collapsed="false">
      <c r="A38" s="0" t="s">
        <v>139</v>
      </c>
      <c r="B38" s="3" t="n">
        <v>0.45</v>
      </c>
    </row>
    <row r="40" customFormat="false" ht="15" hidden="false" customHeight="false" outlineLevel="0" collapsed="false">
      <c r="A40" s="2" t="s">
        <v>141</v>
      </c>
      <c r="C40" s="2" t="s">
        <v>118</v>
      </c>
      <c r="D40" s="2" t="s">
        <v>119</v>
      </c>
      <c r="E40" s="2" t="s">
        <v>120</v>
      </c>
      <c r="F40" s="2" t="s">
        <v>121</v>
      </c>
      <c r="G40" s="2" t="s">
        <v>122</v>
      </c>
      <c r="H40" s="2" t="s">
        <v>123</v>
      </c>
      <c r="I40" s="2" t="s">
        <v>124</v>
      </c>
      <c r="J40" s="2" t="s">
        <v>125</v>
      </c>
      <c r="K40" s="2" t="s">
        <v>126</v>
      </c>
      <c r="L40" s="2" t="s">
        <v>127</v>
      </c>
    </row>
    <row r="41" customFormat="false" ht="15" hidden="false" customHeight="false" outlineLevel="0" collapsed="false">
      <c r="A41" s="0" t="s">
        <v>128</v>
      </c>
      <c r="C41" s="3" t="n">
        <v>30</v>
      </c>
      <c r="D41" s="3" t="n">
        <v>24</v>
      </c>
      <c r="E41" s="3" t="n">
        <v>20</v>
      </c>
      <c r="F41" s="3" t="n">
        <v>17</v>
      </c>
      <c r="G41" s="3" t="n">
        <v>14</v>
      </c>
      <c r="H41" s="3" t="n">
        <v>12</v>
      </c>
      <c r="I41" s="3" t="n">
        <v>11</v>
      </c>
      <c r="J41" s="3" t="n">
        <v>10</v>
      </c>
      <c r="K41" s="3" t="n">
        <v>9</v>
      </c>
      <c r="L41" s="3" t="n">
        <v>8</v>
      </c>
    </row>
    <row r="42" customFormat="false" ht="15" hidden="false" customHeight="false" outlineLevel="0" collapsed="false">
      <c r="A42" s="0" t="s">
        <v>129</v>
      </c>
      <c r="C42" s="3" t="n">
        <v>48</v>
      </c>
      <c r="D42" s="3" t="n">
        <v>49.5</v>
      </c>
      <c r="E42" s="3" t="n">
        <v>51</v>
      </c>
      <c r="F42" s="3" t="n">
        <v>52.5</v>
      </c>
      <c r="G42" s="3" t="n">
        <v>54</v>
      </c>
      <c r="H42" s="3" t="n">
        <v>55</v>
      </c>
      <c r="I42" s="3" t="n">
        <v>56</v>
      </c>
      <c r="J42" s="3" t="n">
        <v>56.5</v>
      </c>
      <c r="K42" s="3" t="n">
        <v>57</v>
      </c>
      <c r="L42" s="3" t="n">
        <v>57</v>
      </c>
    </row>
    <row r="43" customFormat="false" ht="15" hidden="false" customHeight="false" outlineLevel="0" collapsed="false">
      <c r="A43" s="0" t="s">
        <v>130</v>
      </c>
      <c r="C43" s="3" t="n">
        <v>13.5</v>
      </c>
      <c r="D43" s="3" t="n">
        <v>12</v>
      </c>
      <c r="E43" s="3" t="n">
        <v>10.5</v>
      </c>
      <c r="F43" s="3" t="n">
        <v>9.5</v>
      </c>
      <c r="G43" s="3" t="n">
        <v>8.5</v>
      </c>
      <c r="H43" s="3" t="n">
        <v>8</v>
      </c>
      <c r="I43" s="3" t="n">
        <v>7.5</v>
      </c>
      <c r="J43" s="3" t="n">
        <v>7</v>
      </c>
      <c r="K43" s="3" t="n">
        <v>6.5</v>
      </c>
      <c r="L43" s="3" t="n">
        <v>6</v>
      </c>
    </row>
    <row r="44" customFormat="false" ht="15" hidden="false" customHeight="false" outlineLevel="0" collapsed="false">
      <c r="A44" s="0" t="s">
        <v>131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132</v>
      </c>
      <c r="C45" s="3" t="n">
        <v>0.5</v>
      </c>
      <c r="D45" s="3" t="n">
        <v>0.5</v>
      </c>
      <c r="E45" s="3" t="n">
        <v>0.5</v>
      </c>
      <c r="F45" s="3" t="n">
        <v>0.5</v>
      </c>
      <c r="G45" s="3" t="n">
        <v>0.5</v>
      </c>
      <c r="H45" s="3" t="n">
        <v>0.5</v>
      </c>
      <c r="I45" s="3" t="n">
        <v>0.5</v>
      </c>
      <c r="J45" s="3" t="n">
        <v>0.5</v>
      </c>
      <c r="K45" s="3" t="n">
        <v>0.5</v>
      </c>
      <c r="L45" s="3" t="n">
        <v>0.5</v>
      </c>
    </row>
    <row r="46" customFormat="false" ht="15" hidden="false" customHeight="false" outlineLevel="0" collapsed="false">
      <c r="A46" s="0" t="s">
        <v>133</v>
      </c>
      <c r="C46" s="3" t="n">
        <v>0.4</v>
      </c>
      <c r="D46" s="3" t="n">
        <v>0.4</v>
      </c>
      <c r="E46" s="3" t="n">
        <v>0.4</v>
      </c>
      <c r="F46" s="3" t="n">
        <v>0.4</v>
      </c>
      <c r="G46" s="3" t="n">
        <v>0.4</v>
      </c>
      <c r="H46" s="3" t="n">
        <v>0.4</v>
      </c>
      <c r="I46" s="3" t="n">
        <v>0.4</v>
      </c>
      <c r="J46" s="3" t="n">
        <v>0.4</v>
      </c>
      <c r="K46" s="3" t="n">
        <v>0.4</v>
      </c>
      <c r="L46" s="3" t="n">
        <v>0.4</v>
      </c>
    </row>
    <row r="47" customFormat="false" ht="15" hidden="false" customHeight="false" outlineLevel="0" collapsed="false">
      <c r="A47" s="0" t="s">
        <v>134</v>
      </c>
      <c r="C47" s="3" t="n">
        <v>1</v>
      </c>
      <c r="D47" s="3" t="n">
        <v>4</v>
      </c>
      <c r="E47" s="3" t="n">
        <v>8</v>
      </c>
      <c r="F47" s="3" t="n">
        <v>14</v>
      </c>
      <c r="G47" s="3" t="n">
        <v>19</v>
      </c>
      <c r="H47" s="3" t="n">
        <v>22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135</v>
      </c>
      <c r="B48" s="3" t="n">
        <v>11</v>
      </c>
    </row>
    <row r="49" customFormat="false" ht="15" hidden="false" customHeight="false" outlineLevel="0" collapsed="false">
      <c r="A49" s="0" t="s">
        <v>136</v>
      </c>
      <c r="B49" s="3" t="n">
        <v>4</v>
      </c>
    </row>
    <row r="50" customFormat="false" ht="15" hidden="false" customHeight="false" outlineLevel="0" collapsed="false">
      <c r="A50" s="0" t="s">
        <v>137</v>
      </c>
      <c r="B50" s="3" t="n">
        <v>20</v>
      </c>
    </row>
    <row r="51" customFormat="false" ht="15" hidden="false" customHeight="false" outlineLevel="0" collapsed="false">
      <c r="A51" s="0" t="s">
        <v>138</v>
      </c>
      <c r="B51" s="3" t="n">
        <v>-12</v>
      </c>
    </row>
    <row r="52" customFormat="false" ht="15" hidden="false" customHeight="false" outlineLevel="0" collapsed="false">
      <c r="A52" s="0" t="s">
        <v>139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143</v>
      </c>
      <c r="B3" s="0" t="s">
        <v>113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</row>
    <row r="4" customFormat="false" ht="15" hidden="false" customHeight="false" outlineLevel="0" collapsed="false">
      <c r="A4" s="0" t="s">
        <v>144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128</v>
      </c>
      <c r="C5" s="4" t="n">
        <f aca="false">Assumptions!C13</f>
        <v>3</v>
      </c>
      <c r="D5" s="4" t="n">
        <f aca="false">Assumptions!D13</f>
        <v>-3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68</v>
      </c>
      <c r="B6" s="3" t="n">
        <v>3378.3</v>
      </c>
      <c r="C6" s="0" t="n">
        <f aca="false">B6*(1+C5/100)</f>
        <v>3479.649</v>
      </c>
      <c r="D6" s="0" t="n">
        <f aca="false">C6*(1+D5/100)</f>
        <v>3375.25953</v>
      </c>
      <c r="E6" s="0" t="n">
        <f aca="false">D6*(1+E5/100)</f>
        <v>3442.7647206</v>
      </c>
      <c r="F6" s="0" t="n">
        <f aca="false">E6*(1+F5/100)</f>
        <v>3546.047662218</v>
      </c>
      <c r="G6" s="0" t="n">
        <f aca="false">F6*(1+G5/100)</f>
        <v>3652.42909208454</v>
      </c>
      <c r="H6" s="0" t="n">
        <f aca="false">G6*(1+H5/100)</f>
        <v>3762.00196484708</v>
      </c>
      <c r="I6" s="0" t="n">
        <f aca="false">H6*(1+I5/100)</f>
        <v>3874.86202379249</v>
      </c>
      <c r="J6" s="0" t="n">
        <f aca="false">I6*(1+J5/100)</f>
        <v>3991.10788450626</v>
      </c>
      <c r="K6" s="0" t="n">
        <f aca="false">J6*(1+K5/100)</f>
        <v>4110.84112104145</v>
      </c>
      <c r="L6" s="0" t="n">
        <f aca="false">K6*(1+L5/100)</f>
        <v>4234.1663546727</v>
      </c>
    </row>
    <row r="7" customFormat="false" ht="15" hidden="false" customHeight="false" outlineLevel="0" collapsed="false">
      <c r="A7" s="0" t="s">
        <v>129</v>
      </c>
      <c r="C7" s="4" t="n">
        <f aca="false">Assumptions!C14</f>
        <v>40</v>
      </c>
      <c r="D7" s="4" t="n">
        <f aca="false">Assumptions!D14</f>
        <v>37</v>
      </c>
      <c r="E7" s="4" t="n">
        <f aca="false">Assumptions!E14</f>
        <v>38</v>
      </c>
      <c r="F7" s="4" t="n">
        <f aca="false">Assumptions!F14</f>
        <v>39</v>
      </c>
      <c r="G7" s="4" t="n">
        <f aca="false">Assumptions!G14</f>
        <v>40</v>
      </c>
      <c r="H7" s="4" t="n">
        <f aca="false">Assumptions!H14</f>
        <v>41</v>
      </c>
      <c r="I7" s="4" t="n">
        <f aca="false">Assumptions!I14</f>
        <v>42</v>
      </c>
      <c r="J7" s="4" t="n">
        <f aca="false">Assumptions!J14</f>
        <v>42</v>
      </c>
      <c r="K7" s="4" t="n">
        <f aca="false">Assumptions!K14</f>
        <v>43</v>
      </c>
      <c r="L7" s="4" t="n">
        <f aca="false">Assumptions!L14</f>
        <v>43</v>
      </c>
    </row>
    <row r="8" customFormat="false" ht="15" hidden="false" customHeight="false" outlineLevel="0" collapsed="false">
      <c r="A8" s="0" t="s">
        <v>74</v>
      </c>
      <c r="C8" s="0" t="n">
        <f aca="false">C6*C7/100</f>
        <v>1391.8596</v>
      </c>
      <c r="D8" s="0" t="n">
        <f aca="false">D6*D7/100</f>
        <v>1248.8460261</v>
      </c>
      <c r="E8" s="0" t="n">
        <f aca="false">E6*E7/100</f>
        <v>1308.250593828</v>
      </c>
      <c r="F8" s="0" t="n">
        <f aca="false">F6*F7/100</f>
        <v>1382.95858826502</v>
      </c>
      <c r="G8" s="0" t="n">
        <f aca="false">G6*G7/100</f>
        <v>1460.97163683382</v>
      </c>
      <c r="H8" s="0" t="n">
        <f aca="false">H6*H7/100</f>
        <v>1542.4208055873</v>
      </c>
      <c r="I8" s="0" t="n">
        <f aca="false">I6*I7/100</f>
        <v>1627.44204999285</v>
      </c>
      <c r="J8" s="0" t="n">
        <f aca="false">J6*J7/100</f>
        <v>1676.26531149263</v>
      </c>
      <c r="K8" s="0" t="n">
        <f aca="false">K6*K7/100</f>
        <v>1767.66168204782</v>
      </c>
      <c r="L8" s="0" t="n">
        <f aca="false">L6*L7/100</f>
        <v>1820.69153250926</v>
      </c>
    </row>
    <row r="9" customFormat="false" ht="15" hidden="false" customHeight="false" outlineLevel="0" collapsed="false">
      <c r="A9" s="0" t="s">
        <v>130</v>
      </c>
      <c r="C9" s="4" t="n">
        <f aca="false">Assumptions!C15</f>
        <v>16</v>
      </c>
      <c r="D9" s="4" t="n">
        <f aca="false">Assumptions!D15</f>
        <v>15.5</v>
      </c>
      <c r="E9" s="4" t="n">
        <f aca="false">Assumptions!E15</f>
        <v>15</v>
      </c>
      <c r="F9" s="4" t="n">
        <f aca="false">Assumptions!F15</f>
        <v>14.5</v>
      </c>
      <c r="G9" s="4" t="n">
        <f aca="false">Assumptions!G15</f>
        <v>14</v>
      </c>
      <c r="H9" s="4" t="n">
        <f aca="false">Assumptions!H15</f>
        <v>13.5</v>
      </c>
      <c r="I9" s="4" t="n">
        <f aca="false">Assumptions!I15</f>
        <v>13</v>
      </c>
      <c r="J9" s="4" t="n">
        <f aca="false">Assumptions!J15</f>
        <v>12.5</v>
      </c>
      <c r="K9" s="4" t="n">
        <f aca="false">Assumptions!K15</f>
        <v>12</v>
      </c>
      <c r="L9" s="4" t="n">
        <f aca="false">Assumptions!L15</f>
        <v>11.5</v>
      </c>
    </row>
    <row r="10" customFormat="false" ht="15" hidden="false" customHeight="false" outlineLevel="0" collapsed="false">
      <c r="A10" s="0" t="s">
        <v>145</v>
      </c>
      <c r="C10" s="0" t="n">
        <f aca="false">-C6*C9/100</f>
        <v>-556.74384</v>
      </c>
      <c r="D10" s="0" t="n">
        <f aca="false">-D6*D9/100</f>
        <v>-523.16522715</v>
      </c>
      <c r="E10" s="0" t="n">
        <f aca="false">-E6*E9/100</f>
        <v>-516.41470809</v>
      </c>
      <c r="F10" s="0" t="n">
        <f aca="false">-F6*F9/100</f>
        <v>-514.17691102161</v>
      </c>
      <c r="G10" s="0" t="n">
        <f aca="false">-G6*G9/100</f>
        <v>-511.340072891836</v>
      </c>
      <c r="H10" s="0" t="n">
        <f aca="false">-H6*H9/100</f>
        <v>-507.870265254355</v>
      </c>
      <c r="I10" s="0" t="n">
        <f aca="false">-I6*I9/100</f>
        <v>-503.732063093024</v>
      </c>
      <c r="J10" s="0" t="n">
        <f aca="false">-J6*J9/100</f>
        <v>-498.888485563283</v>
      </c>
      <c r="K10" s="0" t="n">
        <f aca="false">-K6*K9/100</f>
        <v>-493.300934524974</v>
      </c>
      <c r="L10" s="0" t="n">
        <f aca="false">-L6*L9/100</f>
        <v>-486.92913078736</v>
      </c>
    </row>
    <row r="11" customFormat="false" ht="15" hidden="false" customHeight="false" outlineLevel="0" collapsed="false">
      <c r="A11" s="0" t="s">
        <v>146</v>
      </c>
      <c r="C11" s="0" t="n">
        <f aca="false">C8+C10+C24</f>
        <v>835.11576</v>
      </c>
      <c r="D11" s="0" t="n">
        <f aca="false">D8+D10+D24</f>
        <v>725.68079895</v>
      </c>
      <c r="E11" s="0" t="n">
        <f aca="false">E8+E10+E24</f>
        <v>791.835885738</v>
      </c>
      <c r="F11" s="0" t="n">
        <f aca="false">F8+F10+F24</f>
        <v>868.78167724341</v>
      </c>
      <c r="G11" s="0" t="n">
        <f aca="false">G8+G10+G24</f>
        <v>949.631563941981</v>
      </c>
      <c r="H11" s="0" t="n">
        <f aca="false">H8+H10+H24</f>
        <v>1034.55054033295</v>
      </c>
      <c r="I11" s="0" t="n">
        <f aca="false">I8+I10+I24</f>
        <v>1123.70998689982</v>
      </c>
      <c r="J11" s="0" t="n">
        <f aca="false">J8+J10+J24</f>
        <v>1177.37682592935</v>
      </c>
      <c r="K11" s="0" t="n">
        <f aca="false">K8+K10+K24</f>
        <v>1274.36074752285</v>
      </c>
      <c r="L11" s="0" t="n">
        <f aca="false">L8+L10+L24</f>
        <v>1333.7624017219</v>
      </c>
    </row>
    <row r="12" customFormat="false" ht="15" hidden="false" customHeight="false" outlineLevel="0" collapsed="false">
      <c r="A12" s="0" t="s">
        <v>147</v>
      </c>
      <c r="C12" s="4" t="n">
        <f aca="false">-C6*Assumptions!C17/100</f>
        <v>-24.357543</v>
      </c>
      <c r="D12" s="4" t="n">
        <f aca="false">-D6*Assumptions!D17/100</f>
        <v>-23.62681671</v>
      </c>
      <c r="E12" s="4" t="n">
        <f aca="false">-E6*Assumptions!E17/100</f>
        <v>-24.0993530442</v>
      </c>
      <c r="F12" s="4" t="n">
        <f aca="false">-F6*Assumptions!F17/100</f>
        <v>-24.822333635526</v>
      </c>
      <c r="G12" s="4" t="n">
        <f aca="false">-G6*Assumptions!G17/100</f>
        <v>-25.5670036445918</v>
      </c>
      <c r="H12" s="4" t="n">
        <f aca="false">-H6*Assumptions!H17/100</f>
        <v>-26.3340137539295</v>
      </c>
      <c r="I12" s="4" t="n">
        <f aca="false">-I6*Assumptions!I17/100</f>
        <v>-27.1240341665474</v>
      </c>
      <c r="J12" s="4" t="n">
        <f aca="false">-J6*Assumptions!J17/100</f>
        <v>-27.9377551915438</v>
      </c>
      <c r="K12" s="4" t="n">
        <f aca="false">-K6*Assumptions!K17/100</f>
        <v>-28.7758878472902</v>
      </c>
      <c r="L12" s="4" t="n">
        <f aca="false">-L6*Assumptions!L17/100</f>
        <v>-29.6391644827089</v>
      </c>
    </row>
    <row r="13" customFormat="false" ht="15" hidden="false" customHeight="false" outlineLevel="0" collapsed="false">
      <c r="A13" s="0" t="s">
        <v>148</v>
      </c>
      <c r="C13" s="0" t="n">
        <f aca="false">C11+C12</f>
        <v>810.758217</v>
      </c>
      <c r="D13" s="0" t="n">
        <f aca="false">D11+D12</f>
        <v>702.05398224</v>
      </c>
      <c r="E13" s="0" t="n">
        <f aca="false">E11+E12</f>
        <v>767.7365326938</v>
      </c>
      <c r="F13" s="0" t="n">
        <f aca="false">F11+F12</f>
        <v>843.959343607884</v>
      </c>
      <c r="G13" s="0" t="n">
        <f aca="false">G11+G12</f>
        <v>924.064560297389</v>
      </c>
      <c r="H13" s="0" t="n">
        <f aca="false">H11+H12</f>
        <v>1008.21652657902</v>
      </c>
      <c r="I13" s="0" t="n">
        <f aca="false">I11+I12</f>
        <v>1096.58595273327</v>
      </c>
      <c r="J13" s="0" t="n">
        <f aca="false">J11+J12</f>
        <v>1149.4390707378</v>
      </c>
      <c r="K13" s="0" t="n">
        <f aca="false">K11+K12</f>
        <v>1245.58485967556</v>
      </c>
      <c r="L13" s="0" t="n">
        <f aca="false">L11+L12</f>
        <v>1304.12323723919</v>
      </c>
    </row>
    <row r="14" customFormat="false" ht="15" hidden="false" customHeight="false" outlineLevel="0" collapsed="false">
      <c r="A14" s="0" t="s">
        <v>134</v>
      </c>
      <c r="C14" s="4" t="n">
        <f aca="false">Assumptions!C19</f>
        <v>3</v>
      </c>
      <c r="D14" s="4" t="n">
        <f aca="false">Assumptions!D19</f>
        <v>8</v>
      </c>
      <c r="E14" s="4" t="n">
        <f aca="false">Assumptions!E19</f>
        <v>14</v>
      </c>
      <c r="F14" s="4" t="n">
        <f aca="false">Assumptions!F19</f>
        <v>20</v>
      </c>
      <c r="G14" s="4" t="n">
        <f aca="false">Assumptions!G19</f>
        <v>23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149</v>
      </c>
      <c r="C15" s="0" t="n">
        <f aca="false">C13-MAX(0,C13)*C14/100</f>
        <v>786.43547049</v>
      </c>
      <c r="D15" s="0" t="n">
        <f aca="false">D13-MAX(0,D13)*D14/100</f>
        <v>645.8896636608</v>
      </c>
      <c r="E15" s="0" t="n">
        <f aca="false">E13-MAX(0,E13)*E14/100</f>
        <v>660.253418116668</v>
      </c>
      <c r="F15" s="0" t="n">
        <f aca="false">F13-MAX(0,F13)*F14/100</f>
        <v>675.167474886307</v>
      </c>
      <c r="G15" s="0" t="n">
        <f aca="false">G13-MAX(0,G13)*G14/100</f>
        <v>711.52971142899</v>
      </c>
      <c r="H15" s="0" t="n">
        <f aca="false">H13-MAX(0,H13)*H14/100</f>
        <v>766.244560200053</v>
      </c>
      <c r="I15" s="0" t="n">
        <f aca="false">I13-MAX(0,I13)*I14/100</f>
        <v>833.405324077289</v>
      </c>
      <c r="J15" s="0" t="n">
        <f aca="false">J13-MAX(0,J13)*J14/100</f>
        <v>873.573693760731</v>
      </c>
      <c r="K15" s="0" t="n">
        <f aca="false">K13-MAX(0,K13)*K14/100</f>
        <v>946.644493353426</v>
      </c>
      <c r="L15" s="0" t="n">
        <f aca="false">L13-MAX(0,L13)*L14/100</f>
        <v>991.133660301785</v>
      </c>
    </row>
    <row r="16" customFormat="false" ht="15" hidden="false" customHeight="false" outlineLevel="0" collapsed="false">
      <c r="A16" s="0" t="s">
        <v>150</v>
      </c>
      <c r="C16" s="0" t="n">
        <f aca="false">-C12</f>
        <v>24.357543</v>
      </c>
      <c r="D16" s="0" t="n">
        <f aca="false">-D12</f>
        <v>23.62681671</v>
      </c>
      <c r="E16" s="0" t="n">
        <f aca="false">-E12</f>
        <v>24.0993530442</v>
      </c>
      <c r="F16" s="0" t="n">
        <f aca="false">-F12</f>
        <v>24.822333635526</v>
      </c>
      <c r="G16" s="0" t="n">
        <f aca="false">-G12</f>
        <v>25.5670036445918</v>
      </c>
      <c r="H16" s="0" t="n">
        <f aca="false">-H12</f>
        <v>26.3340137539295</v>
      </c>
      <c r="I16" s="0" t="n">
        <f aca="false">-I12</f>
        <v>27.1240341665474</v>
      </c>
      <c r="J16" s="0" t="n">
        <f aca="false">-J12</f>
        <v>27.9377551915438</v>
      </c>
      <c r="K16" s="0" t="n">
        <f aca="false">-K12</f>
        <v>28.7758878472902</v>
      </c>
      <c r="L16" s="0" t="n">
        <f aca="false">-L12</f>
        <v>29.6391644827089</v>
      </c>
    </row>
    <row r="17" customFormat="false" ht="15" hidden="false" customHeight="false" outlineLevel="0" collapsed="false">
      <c r="A17" s="0" t="s">
        <v>151</v>
      </c>
      <c r="C17" s="4" t="n">
        <f aca="false">-C6*Assumptions!C18/100</f>
        <v>-17.398245</v>
      </c>
      <c r="D17" s="4" t="n">
        <f aca="false">-D6*Assumptions!D18/100</f>
        <v>-16.87629765</v>
      </c>
      <c r="E17" s="4" t="n">
        <f aca="false">-E6*Assumptions!E18/100</f>
        <v>-17.213823603</v>
      </c>
      <c r="F17" s="4" t="n">
        <f aca="false">-F6*Assumptions!F18/100</f>
        <v>-17.73023831109</v>
      </c>
      <c r="G17" s="4" t="n">
        <f aca="false">-G6*Assumptions!G18/100</f>
        <v>-18.2621454604227</v>
      </c>
      <c r="H17" s="4" t="n">
        <f aca="false">-H6*Assumptions!H18/100</f>
        <v>-18.8100098242354</v>
      </c>
      <c r="I17" s="4" t="n">
        <f aca="false">-I6*Assumptions!I18/100</f>
        <v>-19.3743101189624</v>
      </c>
      <c r="J17" s="4" t="n">
        <f aca="false">-J6*Assumptions!J18/100</f>
        <v>-19.9555394225313</v>
      </c>
      <c r="K17" s="4" t="n">
        <f aca="false">-K6*Assumptions!K18/100</f>
        <v>-20.5542056052073</v>
      </c>
      <c r="L17" s="4" t="n">
        <f aca="false">-L6*Assumptions!L18/100</f>
        <v>-21.1708317733635</v>
      </c>
    </row>
    <row r="18" customFormat="false" ht="15" hidden="false" customHeight="false" outlineLevel="0" collapsed="false">
      <c r="A18" s="0" t="s">
        <v>152</v>
      </c>
      <c r="C18" s="4" t="n">
        <f aca="false">(C6-B6)*Assumptions!$B$23/100</f>
        <v>-8.10792000000001</v>
      </c>
      <c r="D18" s="4" t="n">
        <f aca="false">(D6-C6)*Assumptions!$B$23/100</f>
        <v>8.35115760000001</v>
      </c>
      <c r="E18" s="4" t="n">
        <f aca="false">(E6-D6)*Assumptions!$B$23/100</f>
        <v>-5.40041524799999</v>
      </c>
      <c r="F18" s="4" t="n">
        <f aca="false">(F6-E6)*Assumptions!$B$23/100</f>
        <v>-8.26263532944002</v>
      </c>
      <c r="G18" s="4" t="n">
        <f aca="false">(G6-F6)*Assumptions!$B$23/100</f>
        <v>-8.51051438932322</v>
      </c>
      <c r="H18" s="4" t="n">
        <f aca="false">(H6-G6)*Assumptions!$B$23/100</f>
        <v>-8.76582982100292</v>
      </c>
      <c r="I18" s="4" t="n">
        <f aca="false">(I6-H6)*Assumptions!$B$23/100</f>
        <v>-9.02880471563298</v>
      </c>
      <c r="J18" s="4" t="n">
        <f aca="false">(J6-I6)*Assumptions!$B$23/100</f>
        <v>-9.29966885710197</v>
      </c>
      <c r="K18" s="4" t="n">
        <f aca="false">(K6-J6)*Assumptions!$B$23/100</f>
        <v>-9.57865892281501</v>
      </c>
      <c r="L18" s="4" t="n">
        <f aca="false">(L6-K6)*Assumptions!$B$23/100</f>
        <v>-9.86601869049948</v>
      </c>
    </row>
    <row r="19" customFormat="false" ht="15" hidden="false" customHeight="false" outlineLevel="0" collapsed="false">
      <c r="A19" s="0" t="s">
        <v>153</v>
      </c>
      <c r="C19" s="0" t="n">
        <f aca="false">C15+C16+C17+C18</f>
        <v>785.28684849</v>
      </c>
      <c r="D19" s="0" t="n">
        <f aca="false">D15+D16+D17+D18</f>
        <v>660.9913403208</v>
      </c>
      <c r="E19" s="0" t="n">
        <f aca="false">E15+E16+E17+E18</f>
        <v>661.738532309868</v>
      </c>
      <c r="F19" s="0" t="n">
        <f aca="false">F15+F16+F17+F18</f>
        <v>673.996934881303</v>
      </c>
      <c r="G19" s="0" t="n">
        <f aca="false">G15+G16+G17+G18</f>
        <v>710.324055223835</v>
      </c>
      <c r="H19" s="0" t="n">
        <f aca="false">H15+H16+H17+H18</f>
        <v>765.002734308744</v>
      </c>
      <c r="I19" s="0" t="n">
        <f aca="false">I15+I16+I17+I18</f>
        <v>832.126243409241</v>
      </c>
      <c r="J19" s="0" t="n">
        <f aca="false">J15+J16+J17+J18</f>
        <v>872.256240672642</v>
      </c>
      <c r="K19" s="0" t="n">
        <f aca="false">K15+K16+K17+K18</f>
        <v>945.287516672693</v>
      </c>
      <c r="L19" s="0" t="n">
        <f aca="false">L15+L16+L17+L18</f>
        <v>989.735974320631</v>
      </c>
    </row>
    <row r="20" customFormat="false" ht="15" hidden="false" customHeight="false" outlineLevel="0" collapsed="false">
      <c r="A20" s="0" t="s">
        <v>154</v>
      </c>
      <c r="C20" s="0" t="n">
        <f aca="false">1/(1+$B$27/100)^C4</f>
        <v>0.881057268722467</v>
      </c>
      <c r="D20" s="0" t="n">
        <f aca="false">1/(1+$B$27/100)^D4</f>
        <v>0.776261910768693</v>
      </c>
      <c r="E20" s="0" t="n">
        <f aca="false">1/(1+$B$27/100)^E4</f>
        <v>0.683931198915148</v>
      </c>
      <c r="F20" s="0" t="n">
        <f aca="false">1/(1+$B$27/100)^F4</f>
        <v>0.602582554110263</v>
      </c>
      <c r="G20" s="0" t="n">
        <f aca="false">1/(1+$B$27/100)^G4</f>
        <v>0.530909739304196</v>
      </c>
      <c r="H20" s="0" t="n">
        <f aca="false">1/(1+$B$27/100)^H4</f>
        <v>0.467761884849512</v>
      </c>
      <c r="I20" s="0" t="n">
        <f aca="false">1/(1+$B$27/100)^I4</f>
        <v>0.412125008677984</v>
      </c>
      <c r="J20" s="0" t="n">
        <f aca="false">1/(1+$B$27/100)^J4</f>
        <v>0.363105734518048</v>
      </c>
      <c r="K20" s="0" t="n">
        <f aca="false">1/(1+$B$27/100)^K4</f>
        <v>0.319916946711936</v>
      </c>
      <c r="L20" s="0" t="n">
        <f aca="false">1/(1+$B$27/100)^L4</f>
        <v>0.28186515128805</v>
      </c>
    </row>
    <row r="21" customFormat="false" ht="15" hidden="false" customHeight="false" outlineLevel="0" collapsed="false">
      <c r="A21" s="0" t="s">
        <v>155</v>
      </c>
      <c r="C21" s="0" t="n">
        <f aca="false">C19*C20</f>
        <v>691.882685894273</v>
      </c>
      <c r="D21" s="0" t="n">
        <f aca="false">D19*D20</f>
        <v>513.102400838984</v>
      </c>
      <c r="E21" s="0" t="n">
        <f aca="false">E19*E20</f>
        <v>452.583627771039</v>
      </c>
      <c r="F21" s="0" t="n">
        <f aca="false">F19*F20</f>
        <v>406.138794483264</v>
      </c>
      <c r="G21" s="0" t="n">
        <f aca="false">G19*G20</f>
        <v>377.117958980386</v>
      </c>
      <c r="H21" s="0" t="n">
        <f aca="false">H19*H20</f>
        <v>357.839120915289</v>
      </c>
      <c r="I21" s="0" t="n">
        <f aca="false">I19*I20</f>
        <v>342.940035286212</v>
      </c>
      <c r="J21" s="0" t="n">
        <f aca="false">J19*J20</f>
        <v>316.721242957391</v>
      </c>
      <c r="K21" s="0" t="n">
        <f aca="false">K19*K20</f>
        <v>302.413496098837</v>
      </c>
      <c r="L21" s="0" t="n">
        <f aca="false">L19*L20</f>
        <v>278.97208013711</v>
      </c>
    </row>
    <row r="23" customFormat="false" ht="15" hidden="false" customHeight="false" outlineLevel="0" collapsed="false">
      <c r="A23" s="0" t="s">
        <v>131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156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157</v>
      </c>
    </row>
    <row r="27" customFormat="false" ht="15" hidden="false" customHeight="false" outlineLevel="0" collapsed="false">
      <c r="A27" s="0" t="s">
        <v>135</v>
      </c>
      <c r="B27" s="4" t="n">
        <f aca="false">Assumptions!$B$20</f>
        <v>13.5</v>
      </c>
    </row>
    <row r="28" customFormat="false" ht="15" hidden="false" customHeight="false" outlineLevel="0" collapsed="false">
      <c r="A28" s="0" t="s">
        <v>136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137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158</v>
      </c>
      <c r="B30" s="0" t="n">
        <f aca="false">SUM(C21:L21)</f>
        <v>4039.71144336278</v>
      </c>
    </row>
    <row r="31" customFormat="false" ht="15" hidden="false" customHeight="false" outlineLevel="0" collapsed="false">
      <c r="A31" s="0" t="s">
        <v>159</v>
      </c>
      <c r="B31" s="0" t="n">
        <f aca="false">L19</f>
        <v>989.735974320631</v>
      </c>
    </row>
    <row r="32" customFormat="false" ht="15" hidden="false" customHeight="false" outlineLevel="0" collapsed="false">
      <c r="A32" s="0" t="s">
        <v>160</v>
      </c>
      <c r="B32" s="0" t="n">
        <f aca="false">IF(B27&gt;B28,B31*(1+B28/100)/((B27-B28)/100),B31*B29)</f>
        <v>9222.53976071497</v>
      </c>
    </row>
    <row r="33" customFormat="false" ht="15" hidden="false" customHeight="false" outlineLevel="0" collapsed="false">
      <c r="A33" s="0" t="s">
        <v>161</v>
      </c>
      <c r="B33" s="0" t="n">
        <f aca="false">B31*B29</f>
        <v>14846.0396148095</v>
      </c>
    </row>
    <row r="34" customFormat="false" ht="15" hidden="false" customHeight="false" outlineLevel="0" collapsed="false">
      <c r="A34" s="0" t="s">
        <v>162</v>
      </c>
      <c r="B34" s="0" t="n">
        <f aca="false">MAX(0,MIN(B32,B33))</f>
        <v>9222.53976071497</v>
      </c>
    </row>
    <row r="35" customFormat="false" ht="15" hidden="false" customHeight="false" outlineLevel="0" collapsed="false">
      <c r="A35" s="0" t="s">
        <v>163</v>
      </c>
      <c r="B35" s="0" t="n">
        <f aca="false">B34/(1+B27/100)^L4</f>
        <v>2599.51256491398</v>
      </c>
    </row>
    <row r="36" customFormat="false" ht="15" hidden="false" customHeight="false" outlineLevel="0" collapsed="false">
      <c r="A36" s="0" t="s">
        <v>164</v>
      </c>
      <c r="B36" s="0" t="n">
        <f aca="false">B30+B35</f>
        <v>6639.22400827676</v>
      </c>
    </row>
    <row r="37" customFormat="false" ht="15" hidden="false" customHeight="false" outlineLevel="0" collapsed="false">
      <c r="A37" s="0" t="s">
        <v>165</v>
      </c>
      <c r="B37" s="0" t="n">
        <f aca="false">B36+Assumptions!$B$5-Assumptions!$B$4</f>
        <v>9672.62400827676</v>
      </c>
    </row>
    <row r="38" customFormat="false" ht="15" hidden="false" customHeight="false" outlineLevel="0" collapsed="false">
      <c r="A38" s="0" t="s">
        <v>166</v>
      </c>
      <c r="B38" s="0" t="n">
        <f aca="false">B37/Assumptions!$B$3*Assumptions!$B$10</f>
        <v>46.8862045965912</v>
      </c>
    </row>
    <row r="39" customFormat="false" ht="15" hidden="false" customHeight="false" outlineLevel="0" collapsed="false">
      <c r="A39" s="0" t="s">
        <v>167</v>
      </c>
      <c r="B39" s="4" t="n">
        <f aca="false">B38/Assumptions!$B$2-1</f>
        <v>-0.488867277917898</v>
      </c>
    </row>
    <row r="41" customFormat="false" ht="15" hidden="false" customHeight="false" outlineLevel="0" collapsed="false">
      <c r="A41" s="0" t="s">
        <v>168</v>
      </c>
      <c r="B41" s="0" t="n">
        <f aca="false">SUMPRODUCT(-C10:L10/(1+$B$27/100)^C4:L4)</f>
        <v>2752.51392276814</v>
      </c>
    </row>
    <row r="42" customFormat="false" ht="15" hidden="false" customHeight="false" outlineLevel="0" collapsed="false">
      <c r="A42" s="0" t="s">
        <v>169</v>
      </c>
      <c r="B42" s="0" t="n">
        <f aca="false">IF(B27&gt;B28,-L10*(1+B28/100)/((B27-B28)/100),-L10*20)/(1+B27/100)^L4</f>
        <v>1278.90510858033</v>
      </c>
    </row>
    <row r="43" customFormat="false" ht="15" hidden="false" customHeight="false" outlineLevel="0" collapsed="false">
      <c r="A43" s="0" t="s">
        <v>170</v>
      </c>
      <c r="B43" s="0" t="n">
        <f aca="false">(B37+B41+B42)/Assumptions!$B$3*Assumptions!$B$10</f>
        <v>66.4277413457355</v>
      </c>
    </row>
    <row r="45" customFormat="false" ht="15" hidden="false" customHeight="false" outlineLevel="0" collapsed="false">
      <c r="A45" s="0" t="s">
        <v>110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171</v>
      </c>
      <c r="B46" s="0" t="n">
        <f aca="false">MAX(0,MIN(IF(B45&gt;B28,B31*(1+B28/100)/((B45-B28)/100),B31*B29),B31*B29))</f>
        <v>8115.83498942917</v>
      </c>
    </row>
    <row r="47" customFormat="false" ht="15" hidden="false" customHeight="false" outlineLevel="0" collapsed="false">
      <c r="A47" s="0" t="s">
        <v>172</v>
      </c>
      <c r="B47" s="0" t="n">
        <f aca="false">(SUMPRODUCT(C19:L19/(1+B45/100)^C4:L4)+B46/(1+B45/100)^L4+Assumptions!$B$5-Assumptions!$B$4)/Assumptions!$B$3*Assumptions!$B$10</f>
        <v>42.839803568063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173</v>
      </c>
    </row>
    <row r="3" customFormat="false" ht="15" hidden="false" customHeight="false" outlineLevel="0" collapsed="false">
      <c r="A3" s="0" t="s">
        <v>143</v>
      </c>
      <c r="B3" s="0" t="s">
        <v>113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</row>
    <row r="4" customFormat="false" ht="15" hidden="false" customHeight="false" outlineLevel="0" collapsed="false">
      <c r="A4" s="0" t="s">
        <v>144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128</v>
      </c>
      <c r="C5" s="4" t="n">
        <f aca="false">Assumptions!C27</f>
        <v>22</v>
      </c>
      <c r="D5" s="4" t="n">
        <f aca="false">Assumptions!D27</f>
        <v>16</v>
      </c>
      <c r="E5" s="4" t="n">
        <f aca="false">Assumptions!E27</f>
        <v>13</v>
      </c>
      <c r="F5" s="4" t="n">
        <f aca="false">Assumptions!F27</f>
        <v>11</v>
      </c>
      <c r="G5" s="4" t="n">
        <f aca="false">Assumptions!G27</f>
        <v>10</v>
      </c>
      <c r="H5" s="4" t="n">
        <f aca="false">Assumptions!H27</f>
        <v>9</v>
      </c>
      <c r="I5" s="4" t="n">
        <f aca="false">Assumptions!I27</f>
        <v>8</v>
      </c>
      <c r="J5" s="4" t="n">
        <f aca="false">Assumptions!J27</f>
        <v>7</v>
      </c>
      <c r="K5" s="4" t="n">
        <f aca="false">Assumptions!K27</f>
        <v>6</v>
      </c>
      <c r="L5" s="4" t="n">
        <f aca="false">Assumptions!L27</f>
        <v>5</v>
      </c>
    </row>
    <row r="6" customFormat="false" ht="15" hidden="false" customHeight="false" outlineLevel="0" collapsed="false">
      <c r="A6" s="0" t="s">
        <v>68</v>
      </c>
      <c r="B6" s="3" t="n">
        <v>3378.3</v>
      </c>
      <c r="C6" s="0" t="n">
        <f aca="false">B6*(1+C5/100)</f>
        <v>4121.526</v>
      </c>
      <c r="D6" s="0" t="n">
        <f aca="false">C6*(1+D5/100)</f>
        <v>4780.97016</v>
      </c>
      <c r="E6" s="0" t="n">
        <f aca="false">D6*(1+E5/100)</f>
        <v>5402.4962808</v>
      </c>
      <c r="F6" s="0" t="n">
        <f aca="false">E6*(1+F5/100)</f>
        <v>5996.770871688</v>
      </c>
      <c r="G6" s="0" t="n">
        <f aca="false">F6*(1+G5/100)</f>
        <v>6596.4479588568</v>
      </c>
      <c r="H6" s="0" t="n">
        <f aca="false">G6*(1+H5/100)</f>
        <v>7190.12827515391</v>
      </c>
      <c r="I6" s="0" t="n">
        <f aca="false">H6*(1+I5/100)</f>
        <v>7765.33853716623</v>
      </c>
      <c r="J6" s="0" t="n">
        <f aca="false">I6*(1+J5/100)</f>
        <v>8308.91223476786</v>
      </c>
      <c r="K6" s="0" t="n">
        <f aca="false">J6*(1+K5/100)</f>
        <v>8807.44696885393</v>
      </c>
      <c r="L6" s="0" t="n">
        <f aca="false">K6*(1+L5/100)</f>
        <v>9247.81931729663</v>
      </c>
    </row>
    <row r="7" customFormat="false" ht="15" hidden="false" customHeight="false" outlineLevel="0" collapsed="false">
      <c r="A7" s="0" t="s">
        <v>129</v>
      </c>
      <c r="C7" s="4" t="n">
        <f aca="false">Assumptions!C28</f>
        <v>46</v>
      </c>
      <c r="D7" s="4" t="n">
        <f aca="false">Assumptions!D28</f>
        <v>47.5</v>
      </c>
      <c r="E7" s="4" t="n">
        <f aca="false">Assumptions!E28</f>
        <v>48.5</v>
      </c>
      <c r="F7" s="4" t="n">
        <f aca="false">Assumptions!F28</f>
        <v>49.5</v>
      </c>
      <c r="G7" s="4" t="n">
        <f aca="false">Assumptions!G28</f>
        <v>50</v>
      </c>
      <c r="H7" s="4" t="n">
        <f aca="false">Assumptions!H28</f>
        <v>50.5</v>
      </c>
      <c r="I7" s="4" t="n">
        <f aca="false">Assumptions!I28</f>
        <v>51</v>
      </c>
      <c r="J7" s="4" t="n">
        <f aca="false">Assumptions!J28</f>
        <v>51.5</v>
      </c>
      <c r="K7" s="4" t="n">
        <f aca="false">Assumptions!K28</f>
        <v>52</v>
      </c>
      <c r="L7" s="4" t="n">
        <f aca="false">Assumptions!L28</f>
        <v>52</v>
      </c>
    </row>
    <row r="8" customFormat="false" ht="15" hidden="false" customHeight="false" outlineLevel="0" collapsed="false">
      <c r="A8" s="0" t="s">
        <v>74</v>
      </c>
      <c r="C8" s="0" t="n">
        <f aca="false">C6*C7/100</f>
        <v>1895.90196</v>
      </c>
      <c r="D8" s="0" t="n">
        <f aca="false">D6*D7/100</f>
        <v>2270.960826</v>
      </c>
      <c r="E8" s="0" t="n">
        <f aca="false">E6*E7/100</f>
        <v>2620.210696188</v>
      </c>
      <c r="F8" s="0" t="n">
        <f aca="false">F6*F7/100</f>
        <v>2968.40158148556</v>
      </c>
      <c r="G8" s="0" t="n">
        <f aca="false">G6*G7/100</f>
        <v>3298.2239794284</v>
      </c>
      <c r="H8" s="0" t="n">
        <f aca="false">H6*H7/100</f>
        <v>3631.01477895273</v>
      </c>
      <c r="I8" s="0" t="n">
        <f aca="false">I6*I7/100</f>
        <v>3960.32265395478</v>
      </c>
      <c r="J8" s="0" t="n">
        <f aca="false">J6*J7/100</f>
        <v>4279.08980090545</v>
      </c>
      <c r="K8" s="0" t="n">
        <f aca="false">K6*K7/100</f>
        <v>4579.87242380405</v>
      </c>
      <c r="L8" s="0" t="n">
        <f aca="false">L6*L7/100</f>
        <v>4808.86604499425</v>
      </c>
    </row>
    <row r="9" customFormat="false" ht="15" hidden="false" customHeight="false" outlineLevel="0" collapsed="false">
      <c r="A9" s="0" t="s">
        <v>130</v>
      </c>
      <c r="C9" s="4" t="n">
        <f aca="false">Assumptions!C29</f>
        <v>14.5</v>
      </c>
      <c r="D9" s="4" t="n">
        <f aca="false">Assumptions!D29</f>
        <v>13.5</v>
      </c>
      <c r="E9" s="4" t="n">
        <f aca="false">Assumptions!E29</f>
        <v>12.5</v>
      </c>
      <c r="F9" s="4" t="n">
        <f aca="false">Assumptions!F29</f>
        <v>11.5</v>
      </c>
      <c r="G9" s="4" t="n">
        <f aca="false">Assumptions!G29</f>
        <v>10.5</v>
      </c>
      <c r="H9" s="4" t="n">
        <f aca="false">Assumptions!H29</f>
        <v>9.7</v>
      </c>
      <c r="I9" s="4" t="n">
        <f aca="false">Assumptions!I29</f>
        <v>9</v>
      </c>
      <c r="J9" s="4" t="n">
        <f aca="false">Assumptions!J29</f>
        <v>8.5</v>
      </c>
      <c r="K9" s="4" t="n">
        <f aca="false">Assumptions!K29</f>
        <v>8</v>
      </c>
      <c r="L9" s="4" t="n">
        <f aca="false">Assumptions!L29</f>
        <v>7.5</v>
      </c>
    </row>
    <row r="10" customFormat="false" ht="15" hidden="false" customHeight="false" outlineLevel="0" collapsed="false">
      <c r="A10" s="0" t="s">
        <v>145</v>
      </c>
      <c r="C10" s="0" t="n">
        <f aca="false">-C6*C9/100</f>
        <v>-597.62127</v>
      </c>
      <c r="D10" s="0" t="n">
        <f aca="false">-D6*D9/100</f>
        <v>-645.4309716</v>
      </c>
      <c r="E10" s="0" t="n">
        <f aca="false">-E6*E9/100</f>
        <v>-675.3120351</v>
      </c>
      <c r="F10" s="0" t="n">
        <f aca="false">-F6*F9/100</f>
        <v>-689.62865024412</v>
      </c>
      <c r="G10" s="0" t="n">
        <f aca="false">-G6*G9/100</f>
        <v>-692.627035679964</v>
      </c>
      <c r="H10" s="0" t="n">
        <f aca="false">-H6*H9/100</f>
        <v>-697.442442689929</v>
      </c>
      <c r="I10" s="0" t="n">
        <f aca="false">-I6*I9/100</f>
        <v>-698.88046834496</v>
      </c>
      <c r="J10" s="0" t="n">
        <f aca="false">-J6*J9/100</f>
        <v>-706.257539955268</v>
      </c>
      <c r="K10" s="0" t="n">
        <f aca="false">-K6*K9/100</f>
        <v>-704.595757508315</v>
      </c>
      <c r="L10" s="0" t="n">
        <f aca="false">-L6*L9/100</f>
        <v>-693.586448797247</v>
      </c>
    </row>
    <row r="11" customFormat="false" ht="15" hidden="false" customHeight="false" outlineLevel="0" collapsed="false">
      <c r="A11" s="0" t="s">
        <v>146</v>
      </c>
      <c r="C11" s="0" t="n">
        <f aca="false">C8+C10+C24</f>
        <v>1298.28069</v>
      </c>
      <c r="D11" s="0" t="n">
        <f aca="false">D8+D10+D24</f>
        <v>1625.5298544</v>
      </c>
      <c r="E11" s="0" t="n">
        <f aca="false">E8+E10+E24</f>
        <v>1944.898661088</v>
      </c>
      <c r="F11" s="0" t="n">
        <f aca="false">F8+F10+F24</f>
        <v>2278.77293124144</v>
      </c>
      <c r="G11" s="0" t="n">
        <f aca="false">G8+G10+G24</f>
        <v>2605.59694374844</v>
      </c>
      <c r="H11" s="0" t="n">
        <f aca="false">H8+H10+H24</f>
        <v>2933.5723362628</v>
      </c>
      <c r="I11" s="0" t="n">
        <f aca="false">I8+I10+I24</f>
        <v>3261.44218560982</v>
      </c>
      <c r="J11" s="0" t="n">
        <f aca="false">J8+J10+J24</f>
        <v>3572.83226095018</v>
      </c>
      <c r="K11" s="0" t="n">
        <f aca="false">K8+K10+K24</f>
        <v>3875.27666629573</v>
      </c>
      <c r="L11" s="0" t="n">
        <f aca="false">L8+L10+L24</f>
        <v>4115.279596197</v>
      </c>
    </row>
    <row r="12" customFormat="false" ht="15" hidden="false" customHeight="false" outlineLevel="0" collapsed="false">
      <c r="A12" s="0" t="s">
        <v>147</v>
      </c>
      <c r="C12" s="4" t="n">
        <f aca="false">-C6*Assumptions!C31/100</f>
        <v>-24.729156</v>
      </c>
      <c r="D12" s="4" t="n">
        <f aca="false">-D6*Assumptions!D31/100</f>
        <v>-28.68582096</v>
      </c>
      <c r="E12" s="4" t="n">
        <f aca="false">-E6*Assumptions!E31/100</f>
        <v>-32.4149776848</v>
      </c>
      <c r="F12" s="4" t="n">
        <f aca="false">-F6*Assumptions!F31/100</f>
        <v>-35.980625230128</v>
      </c>
      <c r="G12" s="4" t="n">
        <f aca="false">-G6*Assumptions!G31/100</f>
        <v>-39.5786877531408</v>
      </c>
      <c r="H12" s="4" t="n">
        <f aca="false">-H6*Assumptions!H31/100</f>
        <v>-43.1407696509235</v>
      </c>
      <c r="I12" s="4" t="n">
        <f aca="false">-I6*Assumptions!I31/100</f>
        <v>-46.5920312229974</v>
      </c>
      <c r="J12" s="4" t="n">
        <f aca="false">-J6*Assumptions!J31/100</f>
        <v>-49.8534734086072</v>
      </c>
      <c r="K12" s="4" t="n">
        <f aca="false">-K6*Assumptions!K31/100</f>
        <v>-52.8446818131236</v>
      </c>
      <c r="L12" s="4" t="n">
        <f aca="false">-L6*Assumptions!L31/100</f>
        <v>-55.4869159037798</v>
      </c>
    </row>
    <row r="13" customFormat="false" ht="15" hidden="false" customHeight="false" outlineLevel="0" collapsed="false">
      <c r="A13" s="0" t="s">
        <v>148</v>
      </c>
      <c r="C13" s="0" t="n">
        <f aca="false">C11+C12</f>
        <v>1273.551534</v>
      </c>
      <c r="D13" s="0" t="n">
        <f aca="false">D11+D12</f>
        <v>1596.84403344</v>
      </c>
      <c r="E13" s="0" t="n">
        <f aca="false">E11+E12</f>
        <v>1912.4836834032</v>
      </c>
      <c r="F13" s="0" t="n">
        <f aca="false">F11+F12</f>
        <v>2242.79230601131</v>
      </c>
      <c r="G13" s="0" t="n">
        <f aca="false">G11+G12</f>
        <v>2566.0182559953</v>
      </c>
      <c r="H13" s="0" t="n">
        <f aca="false">H11+H12</f>
        <v>2890.43156661187</v>
      </c>
      <c r="I13" s="0" t="n">
        <f aca="false">I11+I12</f>
        <v>3214.85015438682</v>
      </c>
      <c r="J13" s="0" t="n">
        <f aca="false">J11+J12</f>
        <v>3522.97878754157</v>
      </c>
      <c r="K13" s="0" t="n">
        <f aca="false">K11+K12</f>
        <v>3822.43198448261</v>
      </c>
      <c r="L13" s="0" t="n">
        <f aca="false">L11+L12</f>
        <v>4059.79268029322</v>
      </c>
    </row>
    <row r="14" customFormat="false" ht="15" hidden="false" customHeight="false" outlineLevel="0" collapsed="false">
      <c r="A14" s="0" t="s">
        <v>134</v>
      </c>
      <c r="C14" s="4" t="n">
        <f aca="false">Assumptions!C33</f>
        <v>2</v>
      </c>
      <c r="D14" s="4" t="n">
        <f aca="false">Assumptions!D33</f>
        <v>5</v>
      </c>
      <c r="E14" s="4" t="n">
        <f aca="false">Assumptions!E33</f>
        <v>10</v>
      </c>
      <c r="F14" s="4" t="n">
        <f aca="false">Assumptions!F33</f>
        <v>16</v>
      </c>
      <c r="G14" s="4" t="n">
        <f aca="false">Assumptions!G33</f>
        <v>21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149</v>
      </c>
      <c r="C15" s="0" t="n">
        <f aca="false">C13-MAX(0,C13)*C14/100</f>
        <v>1248.08050332</v>
      </c>
      <c r="D15" s="0" t="n">
        <f aca="false">D13-MAX(0,D13)*D14/100</f>
        <v>1517.001831768</v>
      </c>
      <c r="E15" s="0" t="n">
        <f aca="false">E13-MAX(0,E13)*E14/100</f>
        <v>1721.23531506288</v>
      </c>
      <c r="F15" s="0" t="n">
        <f aca="false">F13-MAX(0,F13)*F14/100</f>
        <v>1883.9455370495</v>
      </c>
      <c r="G15" s="0" t="n">
        <f aca="false">G13-MAX(0,G13)*G14/100</f>
        <v>2027.15442223628</v>
      </c>
      <c r="H15" s="0" t="n">
        <f aca="false">H13-MAX(0,H13)*H14/100</f>
        <v>2225.63230629114</v>
      </c>
      <c r="I15" s="0" t="n">
        <f aca="false">I13-MAX(0,I13)*I14/100</f>
        <v>2475.43461887785</v>
      </c>
      <c r="J15" s="0" t="n">
        <f aca="false">J13-MAX(0,J13)*J14/100</f>
        <v>2712.69366640701</v>
      </c>
      <c r="K15" s="0" t="n">
        <f aca="false">K13-MAX(0,K13)*K14/100</f>
        <v>2943.27262805161</v>
      </c>
      <c r="L15" s="0" t="n">
        <f aca="false">L13-MAX(0,L13)*L14/100</f>
        <v>3126.04036382578</v>
      </c>
    </row>
    <row r="16" customFormat="false" ht="15" hidden="false" customHeight="false" outlineLevel="0" collapsed="false">
      <c r="A16" s="0" t="s">
        <v>150</v>
      </c>
      <c r="C16" s="0" t="n">
        <f aca="false">-C12</f>
        <v>24.729156</v>
      </c>
      <c r="D16" s="0" t="n">
        <f aca="false">-D12</f>
        <v>28.68582096</v>
      </c>
      <c r="E16" s="0" t="n">
        <f aca="false">-E12</f>
        <v>32.4149776848</v>
      </c>
      <c r="F16" s="0" t="n">
        <f aca="false">-F12</f>
        <v>35.980625230128</v>
      </c>
      <c r="G16" s="0" t="n">
        <f aca="false">-G12</f>
        <v>39.5786877531408</v>
      </c>
      <c r="H16" s="0" t="n">
        <f aca="false">-H12</f>
        <v>43.1407696509235</v>
      </c>
      <c r="I16" s="0" t="n">
        <f aca="false">-I12</f>
        <v>46.5920312229974</v>
      </c>
      <c r="J16" s="0" t="n">
        <f aca="false">-J12</f>
        <v>49.8534734086072</v>
      </c>
      <c r="K16" s="0" t="n">
        <f aca="false">-K12</f>
        <v>52.8446818131236</v>
      </c>
      <c r="L16" s="0" t="n">
        <f aca="false">-L12</f>
        <v>55.4869159037798</v>
      </c>
    </row>
    <row r="17" customFormat="false" ht="15" hidden="false" customHeight="false" outlineLevel="0" collapsed="false">
      <c r="A17" s="0" t="s">
        <v>151</v>
      </c>
      <c r="C17" s="4" t="n">
        <f aca="false">-C6*Assumptions!C32/100</f>
        <v>-16.486104</v>
      </c>
      <c r="D17" s="4" t="n">
        <f aca="false">-D6*Assumptions!D32/100</f>
        <v>-19.12388064</v>
      </c>
      <c r="E17" s="4" t="n">
        <f aca="false">-E6*Assumptions!E32/100</f>
        <v>-21.6099851232</v>
      </c>
      <c r="F17" s="4" t="n">
        <f aca="false">-F6*Assumptions!F32/100</f>
        <v>-23.987083486752</v>
      </c>
      <c r="G17" s="4" t="n">
        <f aca="false">-G6*Assumptions!G32/100</f>
        <v>-26.3857918354272</v>
      </c>
      <c r="H17" s="4" t="n">
        <f aca="false">-H6*Assumptions!H32/100</f>
        <v>-28.7605131006157</v>
      </c>
      <c r="I17" s="4" t="n">
        <f aca="false">-I6*Assumptions!I32/100</f>
        <v>-31.0613541486649</v>
      </c>
      <c r="J17" s="4" t="n">
        <f aca="false">-J6*Assumptions!J32/100</f>
        <v>-33.2356489390715</v>
      </c>
      <c r="K17" s="4" t="n">
        <f aca="false">-K6*Assumptions!K32/100</f>
        <v>-35.2297878754157</v>
      </c>
      <c r="L17" s="4" t="n">
        <f aca="false">-L6*Assumptions!L32/100</f>
        <v>-36.9912772691865</v>
      </c>
    </row>
    <row r="18" customFormat="false" ht="15" hidden="false" customHeight="false" outlineLevel="0" collapsed="false">
      <c r="A18" s="0" t="s">
        <v>152</v>
      </c>
      <c r="C18" s="4" t="n">
        <f aca="false">(C6-B6)*Assumptions!$B$37/100</f>
        <v>-89.18712</v>
      </c>
      <c r="D18" s="4" t="n">
        <f aca="false">(D6-C6)*Assumptions!$B$37/100</f>
        <v>-79.1332992</v>
      </c>
      <c r="E18" s="4" t="n">
        <f aca="false">(E6-D6)*Assumptions!$B$37/100</f>
        <v>-74.5831344959999</v>
      </c>
      <c r="F18" s="4" t="n">
        <f aca="false">(F6-E6)*Assumptions!$B$37/100</f>
        <v>-71.3129509065601</v>
      </c>
      <c r="G18" s="4" t="n">
        <f aca="false">(G6-F6)*Assumptions!$B$37/100</f>
        <v>-71.9612504602561</v>
      </c>
      <c r="H18" s="4" t="n">
        <f aca="false">(H6-G6)*Assumptions!$B$37/100</f>
        <v>-71.2416379556535</v>
      </c>
      <c r="I18" s="4" t="n">
        <f aca="false">(I6-H6)*Assumptions!$B$37/100</f>
        <v>-69.0252314414776</v>
      </c>
      <c r="J18" s="4" t="n">
        <f aca="false">(J6-I6)*Assumptions!$B$37/100</f>
        <v>-65.2288437121963</v>
      </c>
      <c r="K18" s="4" t="n">
        <f aca="false">(K6-J6)*Assumptions!$B$37/100</f>
        <v>-59.8241680903286</v>
      </c>
      <c r="L18" s="4" t="n">
        <f aca="false">(L6-K6)*Assumptions!$B$37/100</f>
        <v>-52.8446818131237</v>
      </c>
    </row>
    <row r="19" customFormat="false" ht="15" hidden="false" customHeight="false" outlineLevel="0" collapsed="false">
      <c r="A19" s="0" t="s">
        <v>153</v>
      </c>
      <c r="C19" s="0" t="n">
        <f aca="false">C15+C16+C17+C18</f>
        <v>1167.13643532</v>
      </c>
      <c r="D19" s="0" t="n">
        <f aca="false">D15+D16+D17+D18</f>
        <v>1447.430472888</v>
      </c>
      <c r="E19" s="0" t="n">
        <f aca="false">E15+E16+E17+E18</f>
        <v>1657.45717312848</v>
      </c>
      <c r="F19" s="0" t="n">
        <f aca="false">F15+F16+F17+F18</f>
        <v>1824.62612788632</v>
      </c>
      <c r="G19" s="0" t="n">
        <f aca="false">G15+G16+G17+G18</f>
        <v>1968.38606769374</v>
      </c>
      <c r="H19" s="0" t="n">
        <f aca="false">H15+H16+H17+H18</f>
        <v>2168.7709248858</v>
      </c>
      <c r="I19" s="0" t="n">
        <f aca="false">I15+I16+I17+I18</f>
        <v>2421.9400645107</v>
      </c>
      <c r="J19" s="0" t="n">
        <f aca="false">J15+J16+J17+J18</f>
        <v>2664.08264716435</v>
      </c>
      <c r="K19" s="0" t="n">
        <f aca="false">K15+K16+K17+K18</f>
        <v>2901.06335389899</v>
      </c>
      <c r="L19" s="0" t="n">
        <f aca="false">L15+L16+L17+L18</f>
        <v>3091.69132064725</v>
      </c>
    </row>
    <row r="20" customFormat="false" ht="15" hidden="false" customHeight="false" outlineLevel="0" collapsed="false">
      <c r="A20" s="0" t="s">
        <v>154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155</v>
      </c>
      <c r="C21" s="0" t="n">
        <f aca="false">C19*C20</f>
        <v>1042.08610296429</v>
      </c>
      <c r="D21" s="0" t="n">
        <f aca="false">D19*D20</f>
        <v>1153.88271116709</v>
      </c>
      <c r="E21" s="0" t="n">
        <f aca="false">E19*E20</f>
        <v>1179.7452774295</v>
      </c>
      <c r="F21" s="0" t="n">
        <f aca="false">F19*F20</f>
        <v>1159.58289060156</v>
      </c>
      <c r="G21" s="0" t="n">
        <f aca="false">G19*G20</f>
        <v>1116.91511723176</v>
      </c>
      <c r="H21" s="0" t="n">
        <f aca="false">H19*H20</f>
        <v>1098.76684525167</v>
      </c>
      <c r="I21" s="0" t="n">
        <f aca="false">I19*I20</f>
        <v>1095.5626877744</v>
      </c>
      <c r="J21" s="0" t="n">
        <f aca="false">J19*J20</f>
        <v>1075.97829914056</v>
      </c>
      <c r="K21" s="0" t="n">
        <f aca="false">K19*K20</f>
        <v>1046.15252852266</v>
      </c>
      <c r="L21" s="0" t="n">
        <f aca="false">L19*L20</f>
        <v>995.441861048158</v>
      </c>
    </row>
    <row r="23" customFormat="false" ht="15" hidden="false" customHeight="false" outlineLevel="0" collapsed="false">
      <c r="A23" s="0" t="s">
        <v>131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156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157</v>
      </c>
    </row>
    <row r="27" customFormat="false" ht="15" hidden="false" customHeight="false" outlineLevel="0" collapsed="false">
      <c r="A27" s="0" t="s">
        <v>135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136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137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158</v>
      </c>
      <c r="B30" s="0" t="n">
        <f aca="false">SUM(C21:L21)</f>
        <v>10964.1143211316</v>
      </c>
    </row>
    <row r="31" customFormat="false" ht="15" hidden="false" customHeight="false" outlineLevel="0" collapsed="false">
      <c r="A31" s="0" t="s">
        <v>159</v>
      </c>
      <c r="B31" s="0" t="n">
        <f aca="false">L19</f>
        <v>3091.69132064725</v>
      </c>
    </row>
    <row r="32" customFormat="false" ht="15" hidden="false" customHeight="false" outlineLevel="0" collapsed="false">
      <c r="A32" s="0" t="s">
        <v>160</v>
      </c>
      <c r="B32" s="0" t="n">
        <f aca="false">IF(B27&gt;B28,B31*(1+B28/100)/((B27-B28)/100),B31*B29)</f>
        <v>37645.8884337636</v>
      </c>
    </row>
    <row r="33" customFormat="false" ht="15" hidden="false" customHeight="false" outlineLevel="0" collapsed="false">
      <c r="A33" s="0" t="s">
        <v>161</v>
      </c>
      <c r="B33" s="0" t="n">
        <f aca="false">B31*B29</f>
        <v>61833.826412945</v>
      </c>
    </row>
    <row r="34" customFormat="false" ht="15" hidden="false" customHeight="false" outlineLevel="0" collapsed="false">
      <c r="A34" s="0" t="s">
        <v>162</v>
      </c>
      <c r="B34" s="0" t="n">
        <f aca="false">MAX(0,MIN(B32,B33))</f>
        <v>37645.8884337636</v>
      </c>
    </row>
    <row r="35" customFormat="false" ht="15" hidden="false" customHeight="false" outlineLevel="0" collapsed="false">
      <c r="A35" s="0" t="s">
        <v>163</v>
      </c>
      <c r="B35" s="0" t="n">
        <f aca="false">B34/(1+B27/100)^L4</f>
        <v>12120.9685433511</v>
      </c>
    </row>
    <row r="36" customFormat="false" ht="15" hidden="false" customHeight="false" outlineLevel="0" collapsed="false">
      <c r="A36" s="0" t="s">
        <v>164</v>
      </c>
      <c r="B36" s="0" t="n">
        <f aca="false">B30+B35</f>
        <v>23085.0828644827</v>
      </c>
    </row>
    <row r="37" customFormat="false" ht="15" hidden="false" customHeight="false" outlineLevel="0" collapsed="false">
      <c r="A37" s="0" t="s">
        <v>165</v>
      </c>
      <c r="B37" s="0" t="n">
        <f aca="false">B36+Assumptions!$B$5-Assumptions!$B$4</f>
        <v>26118.4828644827</v>
      </c>
    </row>
    <row r="38" customFormat="false" ht="15" hidden="false" customHeight="false" outlineLevel="0" collapsed="false">
      <c r="A38" s="0" t="s">
        <v>166</v>
      </c>
      <c r="B38" s="0" t="n">
        <f aca="false">B37/Assumptions!$B$3*Assumptions!$B$10</f>
        <v>126.604376463804</v>
      </c>
    </row>
    <row r="39" customFormat="false" ht="15" hidden="false" customHeight="false" outlineLevel="0" collapsed="false">
      <c r="A39" s="0" t="s">
        <v>167</v>
      </c>
      <c r="B39" s="4" t="n">
        <f aca="false">B38/Assumptions!$B$2-1</f>
        <v>0.380185069920461</v>
      </c>
    </row>
    <row r="41" customFormat="false" ht="15" hidden="false" customHeight="false" outlineLevel="0" collapsed="false">
      <c r="A41" s="0" t="s">
        <v>168</v>
      </c>
      <c r="B41" s="0" t="n">
        <f aca="false">SUMPRODUCT(-C10:L10/(1+$B$27/100)^C4:L4)</f>
        <v>3792.21468261704</v>
      </c>
    </row>
    <row r="42" customFormat="false" ht="15" hidden="false" customHeight="false" outlineLevel="0" collapsed="false">
      <c r="A42" s="0" t="s">
        <v>169</v>
      </c>
      <c r="B42" s="0" t="n">
        <f aca="false">IF(B27&gt;B28,-L10*(1+B28/100)/((B27-B28)/100),-L10*20)/(1+B27/100)^L4</f>
        <v>2719.2040394919</v>
      </c>
    </row>
    <row r="43" customFormat="false" ht="15" hidden="false" customHeight="false" outlineLevel="0" collapsed="false">
      <c r="A43" s="0" t="s">
        <v>170</v>
      </c>
      <c r="B43" s="0" t="n">
        <f aca="false">(B37+B41+B42)/Assumptions!$B$3*Assumptions!$B$10</f>
        <v>158.167239876838</v>
      </c>
    </row>
    <row r="45" customFormat="false" ht="15" hidden="false" customHeight="false" outlineLevel="0" collapsed="false">
      <c r="A45" s="0" t="s">
        <v>110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171</v>
      </c>
      <c r="B46" s="0" t="n">
        <f aca="false">MAX(0,MIN(IF(B45&gt;B28,B31*(1+B28/100)/((B45-B28)/100),B31*B29),B31*B29))</f>
        <v>27825.2218858252</v>
      </c>
    </row>
    <row r="47" customFormat="false" ht="15" hidden="false" customHeight="false" outlineLevel="0" collapsed="false">
      <c r="A47" s="0" t="s">
        <v>172</v>
      </c>
      <c r="B47" s="0" t="n">
        <f aca="false">(SUMPRODUCT(C19:L19/(1+B45/100)^C4:L4)+B46/(1+B45/100)^L4+Assumptions!$B$5-Assumptions!$B$4)/Assumptions!$B$3*Assumptions!$B$10</f>
        <v>94.233177473921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174</v>
      </c>
    </row>
    <row r="3" customFormat="false" ht="15" hidden="false" customHeight="false" outlineLevel="0" collapsed="false">
      <c r="A3" s="0" t="s">
        <v>143</v>
      </c>
      <c r="B3" s="0" t="s">
        <v>113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</row>
    <row r="4" customFormat="false" ht="15" hidden="false" customHeight="false" outlineLevel="0" collapsed="false">
      <c r="A4" s="0" t="s">
        <v>144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128</v>
      </c>
      <c r="C5" s="4" t="n">
        <f aca="false">Assumptions!C41</f>
        <v>30</v>
      </c>
      <c r="D5" s="4" t="n">
        <f aca="false">Assumptions!D41</f>
        <v>24</v>
      </c>
      <c r="E5" s="4" t="n">
        <f aca="false">Assumptions!E41</f>
        <v>20</v>
      </c>
      <c r="F5" s="4" t="n">
        <f aca="false">Assumptions!F41</f>
        <v>17</v>
      </c>
      <c r="G5" s="4" t="n">
        <f aca="false">Assumptions!G41</f>
        <v>14</v>
      </c>
      <c r="H5" s="4" t="n">
        <f aca="false">Assumptions!H41</f>
        <v>12</v>
      </c>
      <c r="I5" s="4" t="n">
        <f aca="false">Assumptions!I41</f>
        <v>11</v>
      </c>
      <c r="J5" s="4" t="n">
        <f aca="false">Assumptions!J41</f>
        <v>10</v>
      </c>
      <c r="K5" s="4" t="n">
        <f aca="false">Assumptions!K41</f>
        <v>9</v>
      </c>
      <c r="L5" s="4" t="n">
        <f aca="false">Assumptions!L41</f>
        <v>8</v>
      </c>
    </row>
    <row r="6" customFormat="false" ht="15" hidden="false" customHeight="false" outlineLevel="0" collapsed="false">
      <c r="A6" s="0" t="s">
        <v>68</v>
      </c>
      <c r="B6" s="3" t="n">
        <v>3378.3</v>
      </c>
      <c r="C6" s="0" t="n">
        <f aca="false">B6*(1+C5/100)</f>
        <v>4391.79</v>
      </c>
      <c r="D6" s="0" t="n">
        <f aca="false">C6*(1+D5/100)</f>
        <v>5445.8196</v>
      </c>
      <c r="E6" s="0" t="n">
        <f aca="false">D6*(1+E5/100)</f>
        <v>6534.98352</v>
      </c>
      <c r="F6" s="0" t="n">
        <f aca="false">E6*(1+F5/100)</f>
        <v>7645.9307184</v>
      </c>
      <c r="G6" s="0" t="n">
        <f aca="false">F6*(1+G5/100)</f>
        <v>8716.361018976</v>
      </c>
      <c r="H6" s="0" t="n">
        <f aca="false">G6*(1+H5/100)</f>
        <v>9762.32434125312</v>
      </c>
      <c r="I6" s="0" t="n">
        <f aca="false">H6*(1+I5/100)</f>
        <v>10836.180018791</v>
      </c>
      <c r="J6" s="0" t="n">
        <f aca="false">I6*(1+J5/100)</f>
        <v>11919.7980206701</v>
      </c>
      <c r="K6" s="0" t="n">
        <f aca="false">J6*(1+K5/100)</f>
        <v>12992.5798425304</v>
      </c>
      <c r="L6" s="0" t="n">
        <f aca="false">K6*(1+L5/100)</f>
        <v>14031.9862299328</v>
      </c>
    </row>
    <row r="7" customFormat="false" ht="15" hidden="false" customHeight="false" outlineLevel="0" collapsed="false">
      <c r="A7" s="0" t="s">
        <v>129</v>
      </c>
      <c r="C7" s="4" t="n">
        <f aca="false">Assumptions!C42</f>
        <v>48</v>
      </c>
      <c r="D7" s="4" t="n">
        <f aca="false">Assumptions!D42</f>
        <v>49.5</v>
      </c>
      <c r="E7" s="4" t="n">
        <f aca="false">Assumptions!E42</f>
        <v>51</v>
      </c>
      <c r="F7" s="4" t="n">
        <f aca="false">Assumptions!F42</f>
        <v>52.5</v>
      </c>
      <c r="G7" s="4" t="n">
        <f aca="false">Assumptions!G42</f>
        <v>54</v>
      </c>
      <c r="H7" s="4" t="n">
        <f aca="false">Assumptions!H42</f>
        <v>55</v>
      </c>
      <c r="I7" s="4" t="n">
        <f aca="false">Assumptions!I42</f>
        <v>56</v>
      </c>
      <c r="J7" s="4" t="n">
        <f aca="false">Assumptions!J42</f>
        <v>56.5</v>
      </c>
      <c r="K7" s="4" t="n">
        <f aca="false">Assumptions!K42</f>
        <v>57</v>
      </c>
      <c r="L7" s="4" t="n">
        <f aca="false">Assumptions!L42</f>
        <v>57</v>
      </c>
    </row>
    <row r="8" customFormat="false" ht="15" hidden="false" customHeight="false" outlineLevel="0" collapsed="false">
      <c r="A8" s="0" t="s">
        <v>74</v>
      </c>
      <c r="C8" s="0" t="n">
        <f aca="false">C6*C7/100</f>
        <v>2108.0592</v>
      </c>
      <c r="D8" s="0" t="n">
        <f aca="false">D6*D7/100</f>
        <v>2695.680702</v>
      </c>
      <c r="E8" s="0" t="n">
        <f aca="false">E6*E7/100</f>
        <v>3332.8415952</v>
      </c>
      <c r="F8" s="0" t="n">
        <f aca="false">F6*F7/100</f>
        <v>4014.11362716</v>
      </c>
      <c r="G8" s="0" t="n">
        <f aca="false">G6*G7/100</f>
        <v>4706.83495024704</v>
      </c>
      <c r="H8" s="0" t="n">
        <f aca="false">H6*H7/100</f>
        <v>5369.27838768922</v>
      </c>
      <c r="I8" s="0" t="n">
        <f aca="false">I6*I7/100</f>
        <v>6068.26081052294</v>
      </c>
      <c r="J8" s="0" t="n">
        <f aca="false">J6*J7/100</f>
        <v>6734.68588167859</v>
      </c>
      <c r="K8" s="0" t="n">
        <f aca="false">K6*K7/100</f>
        <v>7405.77051024231</v>
      </c>
      <c r="L8" s="0" t="n">
        <f aca="false">L6*L7/100</f>
        <v>7998.2321510617</v>
      </c>
    </row>
    <row r="9" customFormat="false" ht="15" hidden="false" customHeight="false" outlineLevel="0" collapsed="false">
      <c r="A9" s="0" t="s">
        <v>130</v>
      </c>
      <c r="C9" s="4" t="n">
        <f aca="false">Assumptions!C43</f>
        <v>13.5</v>
      </c>
      <c r="D9" s="4" t="n">
        <f aca="false">Assumptions!D43</f>
        <v>12</v>
      </c>
      <c r="E9" s="4" t="n">
        <f aca="false">Assumptions!E43</f>
        <v>10.5</v>
      </c>
      <c r="F9" s="4" t="n">
        <f aca="false">Assumptions!F43</f>
        <v>9.5</v>
      </c>
      <c r="G9" s="4" t="n">
        <f aca="false">Assumptions!G43</f>
        <v>8.5</v>
      </c>
      <c r="H9" s="4" t="n">
        <f aca="false">Assumptions!H43</f>
        <v>8</v>
      </c>
      <c r="I9" s="4" t="n">
        <f aca="false">Assumptions!I43</f>
        <v>7.5</v>
      </c>
      <c r="J9" s="4" t="n">
        <f aca="false">Assumptions!J43</f>
        <v>7</v>
      </c>
      <c r="K9" s="4" t="n">
        <f aca="false">Assumptions!K43</f>
        <v>6.5</v>
      </c>
      <c r="L9" s="4" t="n">
        <f aca="false">Assumptions!L43</f>
        <v>6</v>
      </c>
    </row>
    <row r="10" customFormat="false" ht="15" hidden="false" customHeight="false" outlineLevel="0" collapsed="false">
      <c r="A10" s="0" t="s">
        <v>145</v>
      </c>
      <c r="C10" s="0" t="n">
        <f aca="false">-C6*C9/100</f>
        <v>-592.89165</v>
      </c>
      <c r="D10" s="0" t="n">
        <f aca="false">-D6*D9/100</f>
        <v>-653.498352</v>
      </c>
      <c r="E10" s="0" t="n">
        <f aca="false">-E6*E9/100</f>
        <v>-686.1732696</v>
      </c>
      <c r="F10" s="0" t="n">
        <f aca="false">-F6*F9/100</f>
        <v>-726.363418248</v>
      </c>
      <c r="G10" s="0" t="n">
        <f aca="false">-G6*G9/100</f>
        <v>-740.89068661296</v>
      </c>
      <c r="H10" s="0" t="n">
        <f aca="false">-H6*H9/100</f>
        <v>-780.98594730025</v>
      </c>
      <c r="I10" s="0" t="n">
        <f aca="false">-I6*I9/100</f>
        <v>-812.713501409322</v>
      </c>
      <c r="J10" s="0" t="n">
        <f aca="false">-J6*J9/100</f>
        <v>-834.385861446904</v>
      </c>
      <c r="K10" s="0" t="n">
        <f aca="false">-K6*K9/100</f>
        <v>-844.517689764474</v>
      </c>
      <c r="L10" s="0" t="n">
        <f aca="false">-L6*L9/100</f>
        <v>-841.919173795968</v>
      </c>
    </row>
    <row r="11" customFormat="false" ht="15" hidden="false" customHeight="false" outlineLevel="0" collapsed="false">
      <c r="A11" s="0" t="s">
        <v>146</v>
      </c>
      <c r="C11" s="0" t="n">
        <f aca="false">C8+C10+C24</f>
        <v>1515.16755</v>
      </c>
      <c r="D11" s="0" t="n">
        <f aca="false">D8+D10+D24</f>
        <v>2042.18235</v>
      </c>
      <c r="E11" s="0" t="n">
        <f aca="false">E8+E10+E24</f>
        <v>2646.6683256</v>
      </c>
      <c r="F11" s="0" t="n">
        <f aca="false">F8+F10+F24</f>
        <v>3287.750208912</v>
      </c>
      <c r="G11" s="0" t="n">
        <f aca="false">G8+G10+G24</f>
        <v>3965.94426363408</v>
      </c>
      <c r="H11" s="0" t="n">
        <f aca="false">H8+H10+H24</f>
        <v>4588.29244038897</v>
      </c>
      <c r="I11" s="0" t="n">
        <f aca="false">I8+I10+I24</f>
        <v>5255.54730911362</v>
      </c>
      <c r="J11" s="0" t="n">
        <f aca="false">J8+J10+J24</f>
        <v>5900.30002023168</v>
      </c>
      <c r="K11" s="0" t="n">
        <f aca="false">K8+K10+K24</f>
        <v>6561.25282047784</v>
      </c>
      <c r="L11" s="0" t="n">
        <f aca="false">L8+L10+L24</f>
        <v>7156.31297726573</v>
      </c>
    </row>
    <row r="12" customFormat="false" ht="15" hidden="false" customHeight="false" outlineLevel="0" collapsed="false">
      <c r="A12" s="0" t="s">
        <v>147</v>
      </c>
      <c r="C12" s="4" t="n">
        <f aca="false">-C6*Assumptions!C45/100</f>
        <v>-21.95895</v>
      </c>
      <c r="D12" s="4" t="n">
        <f aca="false">-D6*Assumptions!D45/100</f>
        <v>-27.229098</v>
      </c>
      <c r="E12" s="4" t="n">
        <f aca="false">-E6*Assumptions!E45/100</f>
        <v>-32.6749176</v>
      </c>
      <c r="F12" s="4" t="n">
        <f aca="false">-F6*Assumptions!F45/100</f>
        <v>-38.229653592</v>
      </c>
      <c r="G12" s="4" t="n">
        <f aca="false">-G6*Assumptions!G45/100</f>
        <v>-43.58180509488</v>
      </c>
      <c r="H12" s="4" t="n">
        <f aca="false">-H6*Assumptions!H45/100</f>
        <v>-48.8116217062656</v>
      </c>
      <c r="I12" s="4" t="n">
        <f aca="false">-I6*Assumptions!I45/100</f>
        <v>-54.1809000939548</v>
      </c>
      <c r="J12" s="4" t="n">
        <f aca="false">-J6*Assumptions!J45/100</f>
        <v>-59.5989901033503</v>
      </c>
      <c r="K12" s="4" t="n">
        <f aca="false">-K6*Assumptions!K45/100</f>
        <v>-64.9628992126519</v>
      </c>
      <c r="L12" s="4" t="n">
        <f aca="false">-L6*Assumptions!L45/100</f>
        <v>-70.159931149664</v>
      </c>
    </row>
    <row r="13" customFormat="false" ht="15" hidden="false" customHeight="false" outlineLevel="0" collapsed="false">
      <c r="A13" s="0" t="s">
        <v>148</v>
      </c>
      <c r="C13" s="0" t="n">
        <f aca="false">C11+C12</f>
        <v>1493.2086</v>
      </c>
      <c r="D13" s="0" t="n">
        <f aca="false">D11+D12</f>
        <v>2014.953252</v>
      </c>
      <c r="E13" s="0" t="n">
        <f aca="false">E11+E12</f>
        <v>2613.993408</v>
      </c>
      <c r="F13" s="0" t="n">
        <f aca="false">F11+F12</f>
        <v>3249.52055532</v>
      </c>
      <c r="G13" s="0" t="n">
        <f aca="false">G11+G12</f>
        <v>3922.3624585392</v>
      </c>
      <c r="H13" s="0" t="n">
        <f aca="false">H11+H12</f>
        <v>4539.4808186827</v>
      </c>
      <c r="I13" s="0" t="n">
        <f aca="false">I11+I12</f>
        <v>5201.36640901966</v>
      </c>
      <c r="J13" s="0" t="n">
        <f aca="false">J11+J12</f>
        <v>5840.70103012833</v>
      </c>
      <c r="K13" s="0" t="n">
        <f aca="false">K11+K12</f>
        <v>6496.28992126518</v>
      </c>
      <c r="L13" s="0" t="n">
        <f aca="false">L11+L12</f>
        <v>7086.15304611606</v>
      </c>
    </row>
    <row r="14" customFormat="false" ht="15" hidden="false" customHeight="false" outlineLevel="0" collapsed="false">
      <c r="A14" s="0" t="s">
        <v>134</v>
      </c>
      <c r="C14" s="4" t="n">
        <f aca="false">Assumptions!C47</f>
        <v>1</v>
      </c>
      <c r="D14" s="4" t="n">
        <f aca="false">Assumptions!D47</f>
        <v>4</v>
      </c>
      <c r="E14" s="4" t="n">
        <f aca="false">Assumptions!E47</f>
        <v>8</v>
      </c>
      <c r="F14" s="4" t="n">
        <f aca="false">Assumptions!F47</f>
        <v>14</v>
      </c>
      <c r="G14" s="4" t="n">
        <f aca="false">Assumptions!G47</f>
        <v>19</v>
      </c>
      <c r="H14" s="4" t="n">
        <f aca="false">Assumptions!H47</f>
        <v>22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149</v>
      </c>
      <c r="C15" s="0" t="n">
        <f aca="false">C13-MAX(0,C13)*C14/100</f>
        <v>1478.276514</v>
      </c>
      <c r="D15" s="0" t="n">
        <f aca="false">D13-MAX(0,D13)*D14/100</f>
        <v>1934.35512192</v>
      </c>
      <c r="E15" s="0" t="n">
        <f aca="false">E13-MAX(0,E13)*E14/100</f>
        <v>2404.87393536</v>
      </c>
      <c r="F15" s="0" t="n">
        <f aca="false">F13-MAX(0,F13)*F14/100</f>
        <v>2794.5876775752</v>
      </c>
      <c r="G15" s="0" t="n">
        <f aca="false">G13-MAX(0,G13)*G14/100</f>
        <v>3177.11359141675</v>
      </c>
      <c r="H15" s="0" t="n">
        <f aca="false">H13-MAX(0,H13)*H14/100</f>
        <v>3540.79503857251</v>
      </c>
      <c r="I15" s="0" t="n">
        <f aca="false">I13-MAX(0,I13)*I14/100</f>
        <v>4005.05213494514</v>
      </c>
      <c r="J15" s="0" t="n">
        <f aca="false">J13-MAX(0,J13)*J14/100</f>
        <v>4497.33979319882</v>
      </c>
      <c r="K15" s="0" t="n">
        <f aca="false">K13-MAX(0,K13)*K14/100</f>
        <v>5002.14323937419</v>
      </c>
      <c r="L15" s="0" t="n">
        <f aca="false">L13-MAX(0,L13)*L14/100</f>
        <v>5456.33784550937</v>
      </c>
    </row>
    <row r="16" customFormat="false" ht="15" hidden="false" customHeight="false" outlineLevel="0" collapsed="false">
      <c r="A16" s="0" t="s">
        <v>150</v>
      </c>
      <c r="C16" s="0" t="n">
        <f aca="false">-C12</f>
        <v>21.95895</v>
      </c>
      <c r="D16" s="0" t="n">
        <f aca="false">-D12</f>
        <v>27.229098</v>
      </c>
      <c r="E16" s="0" t="n">
        <f aca="false">-E12</f>
        <v>32.6749176</v>
      </c>
      <c r="F16" s="0" t="n">
        <f aca="false">-F12</f>
        <v>38.229653592</v>
      </c>
      <c r="G16" s="0" t="n">
        <f aca="false">-G12</f>
        <v>43.58180509488</v>
      </c>
      <c r="H16" s="0" t="n">
        <f aca="false">-H12</f>
        <v>48.8116217062656</v>
      </c>
      <c r="I16" s="0" t="n">
        <f aca="false">-I12</f>
        <v>54.1809000939548</v>
      </c>
      <c r="J16" s="0" t="n">
        <f aca="false">-J12</f>
        <v>59.5989901033503</v>
      </c>
      <c r="K16" s="0" t="n">
        <f aca="false">-K12</f>
        <v>64.9628992126519</v>
      </c>
      <c r="L16" s="0" t="n">
        <f aca="false">-L12</f>
        <v>70.159931149664</v>
      </c>
    </row>
    <row r="17" customFormat="false" ht="15" hidden="false" customHeight="false" outlineLevel="0" collapsed="false">
      <c r="A17" s="0" t="s">
        <v>151</v>
      </c>
      <c r="C17" s="4" t="n">
        <f aca="false">-C6*Assumptions!C46/100</f>
        <v>-17.56716</v>
      </c>
      <c r="D17" s="4" t="n">
        <f aca="false">-D6*Assumptions!D46/100</f>
        <v>-21.7832784</v>
      </c>
      <c r="E17" s="4" t="n">
        <f aca="false">-E6*Assumptions!E46/100</f>
        <v>-26.13993408</v>
      </c>
      <c r="F17" s="4" t="n">
        <f aca="false">-F6*Assumptions!F46/100</f>
        <v>-30.5837228736</v>
      </c>
      <c r="G17" s="4" t="n">
        <f aca="false">-G6*Assumptions!G46/100</f>
        <v>-34.865444075904</v>
      </c>
      <c r="H17" s="4" t="n">
        <f aca="false">-H6*Assumptions!H46/100</f>
        <v>-39.0492973650125</v>
      </c>
      <c r="I17" s="4" t="n">
        <f aca="false">-I6*Assumptions!I46/100</f>
        <v>-43.3447200751639</v>
      </c>
      <c r="J17" s="4" t="n">
        <f aca="false">-J6*Assumptions!J46/100</f>
        <v>-47.6791920826803</v>
      </c>
      <c r="K17" s="4" t="n">
        <f aca="false">-K6*Assumptions!K46/100</f>
        <v>-51.9703193701215</v>
      </c>
      <c r="L17" s="4" t="n">
        <f aca="false">-L6*Assumptions!L46/100</f>
        <v>-56.1279449197312</v>
      </c>
    </row>
    <row r="18" customFormat="false" ht="15" hidden="false" customHeight="false" outlineLevel="0" collapsed="false">
      <c r="A18" s="0" t="s">
        <v>152</v>
      </c>
      <c r="C18" s="4" t="n">
        <f aca="false">(C6-B6)*Assumptions!$B$51/100</f>
        <v>-121.6188</v>
      </c>
      <c r="D18" s="4" t="n">
        <f aca="false">(D6-C6)*Assumptions!$B$51/100</f>
        <v>-126.483552</v>
      </c>
      <c r="E18" s="4" t="n">
        <f aca="false">(E6-D6)*Assumptions!$B$51/100</f>
        <v>-130.6996704</v>
      </c>
      <c r="F18" s="4" t="n">
        <f aca="false">(F6-E6)*Assumptions!$B$51/100</f>
        <v>-133.313663808</v>
      </c>
      <c r="G18" s="4" t="n">
        <f aca="false">(G6-F6)*Assumptions!$B$51/100</f>
        <v>-128.45163606912</v>
      </c>
      <c r="H18" s="4" t="n">
        <f aca="false">(H6-G6)*Assumptions!$B$51/100</f>
        <v>-125.515598673255</v>
      </c>
      <c r="I18" s="4" t="n">
        <f aca="false">(I6-H6)*Assumptions!$B$51/100</f>
        <v>-128.862681304541</v>
      </c>
      <c r="J18" s="4" t="n">
        <f aca="false">(J6-I6)*Assumptions!$B$51/100</f>
        <v>-130.034160225492</v>
      </c>
      <c r="K18" s="4" t="n">
        <f aca="false">(K6-J6)*Assumptions!$B$51/100</f>
        <v>-128.733818623237</v>
      </c>
      <c r="L18" s="4" t="n">
        <f aca="false">(L6-K6)*Assumptions!$B$51/100</f>
        <v>-124.728766488292</v>
      </c>
    </row>
    <row r="19" customFormat="false" ht="15" hidden="false" customHeight="false" outlineLevel="0" collapsed="false">
      <c r="A19" s="0" t="s">
        <v>153</v>
      </c>
      <c r="C19" s="0" t="n">
        <f aca="false">C15+C16+C17+C18</f>
        <v>1361.049504</v>
      </c>
      <c r="D19" s="0" t="n">
        <f aca="false">D15+D16+D17+D18</f>
        <v>1813.31738952</v>
      </c>
      <c r="E19" s="0" t="n">
        <f aca="false">E15+E16+E17+E18</f>
        <v>2280.70924848</v>
      </c>
      <c r="F19" s="0" t="n">
        <f aca="false">F15+F16+F17+F18</f>
        <v>2668.9199444856</v>
      </c>
      <c r="G19" s="0" t="n">
        <f aca="false">G15+G16+G17+G18</f>
        <v>3057.37831636661</v>
      </c>
      <c r="H19" s="0" t="n">
        <f aca="false">H15+H16+H17+H18</f>
        <v>3425.04176424051</v>
      </c>
      <c r="I19" s="0" t="n">
        <f aca="false">I15+I16+I17+I18</f>
        <v>3887.02563365939</v>
      </c>
      <c r="J19" s="0" t="n">
        <f aca="false">J15+J16+J17+J18</f>
        <v>4379.22543099399</v>
      </c>
      <c r="K19" s="0" t="n">
        <f aca="false">K15+K16+K17+K18</f>
        <v>4886.40200059349</v>
      </c>
      <c r="L19" s="0" t="n">
        <f aca="false">L15+L16+L17+L18</f>
        <v>5345.64106525101</v>
      </c>
    </row>
    <row r="20" customFormat="false" ht="15" hidden="false" customHeight="false" outlineLevel="0" collapsed="false">
      <c r="A20" s="0" t="s">
        <v>154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155</v>
      </c>
      <c r="C21" s="0" t="n">
        <f aca="false">C19*C20</f>
        <v>1226.17072432432</v>
      </c>
      <c r="D21" s="0" t="n">
        <f aca="false">D19*D20</f>
        <v>1471.72907192598</v>
      </c>
      <c r="E21" s="0" t="n">
        <f aca="false">E19*E20</f>
        <v>1667.63494574194</v>
      </c>
      <c r="F21" s="0" t="n">
        <f aca="false">F19*F20</f>
        <v>1758.10023494602</v>
      </c>
      <c r="G21" s="0" t="n">
        <f aca="false">G19*G20</f>
        <v>1814.4052222252</v>
      </c>
      <c r="H21" s="0" t="n">
        <f aca="false">H19*H20</f>
        <v>1831.16719247257</v>
      </c>
      <c r="I21" s="0" t="n">
        <f aca="false">I19*I20</f>
        <v>1872.2185898002</v>
      </c>
      <c r="J21" s="0" t="n">
        <f aca="false">J19*J20</f>
        <v>1900.26194777041</v>
      </c>
      <c r="K21" s="0" t="n">
        <f aca="false">K19*K20</f>
        <v>1910.2155852443</v>
      </c>
      <c r="L21" s="0" t="n">
        <f aca="false">L19*L20</f>
        <v>1882.65181228081</v>
      </c>
    </row>
    <row r="23" customFormat="false" ht="15" hidden="false" customHeight="false" outlineLevel="0" collapsed="false">
      <c r="A23" s="0" t="s">
        <v>131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156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157</v>
      </c>
    </row>
    <row r="27" customFormat="false" ht="15" hidden="false" customHeight="false" outlineLevel="0" collapsed="false">
      <c r="A27" s="0" t="s">
        <v>135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136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137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158</v>
      </c>
      <c r="B30" s="0" t="n">
        <f aca="false">SUM(C21:L21)</f>
        <v>17334.5553267318</v>
      </c>
    </row>
    <row r="31" customFormat="false" ht="15" hidden="false" customHeight="false" outlineLevel="0" collapsed="false">
      <c r="A31" s="0" t="s">
        <v>159</v>
      </c>
      <c r="B31" s="0" t="n">
        <f aca="false">L19</f>
        <v>5345.64106525101</v>
      </c>
    </row>
    <row r="32" customFormat="false" ht="15" hidden="false" customHeight="false" outlineLevel="0" collapsed="false">
      <c r="A32" s="0" t="s">
        <v>160</v>
      </c>
      <c r="B32" s="0" t="n">
        <f aca="false">IF(B27&gt;B28,B31*(1+B28/100)/((B27-B28)/100),B31*B29)</f>
        <v>79420.9529694436</v>
      </c>
    </row>
    <row r="33" customFormat="false" ht="15" hidden="false" customHeight="false" outlineLevel="0" collapsed="false">
      <c r="A33" s="0" t="s">
        <v>161</v>
      </c>
      <c r="B33" s="0" t="n">
        <f aca="false">B31*B29</f>
        <v>106912.82130502</v>
      </c>
    </row>
    <row r="34" customFormat="false" ht="15" hidden="false" customHeight="false" outlineLevel="0" collapsed="false">
      <c r="A34" s="0" t="s">
        <v>162</v>
      </c>
      <c r="B34" s="0" t="n">
        <f aca="false">MAX(0,MIN(B32,B33))</f>
        <v>79420.9529694436</v>
      </c>
    </row>
    <row r="35" customFormat="false" ht="15" hidden="false" customHeight="false" outlineLevel="0" collapsed="false">
      <c r="A35" s="0" t="s">
        <v>163</v>
      </c>
      <c r="B35" s="0" t="n">
        <f aca="false">B34/(1+B27/100)^L4</f>
        <v>27970.8269253149</v>
      </c>
    </row>
    <row r="36" customFormat="false" ht="15" hidden="false" customHeight="false" outlineLevel="0" collapsed="false">
      <c r="A36" s="0" t="s">
        <v>164</v>
      </c>
      <c r="B36" s="0" t="n">
        <f aca="false">B30+B35</f>
        <v>45305.3822520467</v>
      </c>
    </row>
    <row r="37" customFormat="false" ht="15" hidden="false" customHeight="false" outlineLevel="0" collapsed="false">
      <c r="A37" s="0" t="s">
        <v>165</v>
      </c>
      <c r="B37" s="0" t="n">
        <f aca="false">B36+Assumptions!$B$5-Assumptions!$B$4</f>
        <v>48338.7822520467</v>
      </c>
    </row>
    <row r="38" customFormat="false" ht="15" hidden="false" customHeight="false" outlineLevel="0" collapsed="false">
      <c r="A38" s="0" t="s">
        <v>166</v>
      </c>
      <c r="B38" s="0" t="n">
        <f aca="false">B37/Assumptions!$B$3*Assumptions!$B$10</f>
        <v>234.313050179577</v>
      </c>
    </row>
    <row r="39" customFormat="false" ht="15" hidden="false" customHeight="false" outlineLevel="0" collapsed="false">
      <c r="A39" s="0" t="s">
        <v>167</v>
      </c>
      <c r="B39" s="4" t="n">
        <f aca="false">B38/Assumptions!$B$2-1</f>
        <v>1.55437752294317</v>
      </c>
    </row>
    <row r="41" customFormat="false" ht="15" hidden="false" customHeight="false" outlineLevel="0" collapsed="false">
      <c r="A41" s="0" t="s">
        <v>168</v>
      </c>
      <c r="B41" s="0" t="n">
        <f aca="false">SUMPRODUCT(-C10:L10/(1+$B$27/100)^C4:L4)</f>
        <v>4282.1283261022</v>
      </c>
    </row>
    <row r="42" customFormat="false" ht="15" hidden="false" customHeight="false" outlineLevel="0" collapsed="false">
      <c r="A42" s="0" t="s">
        <v>169</v>
      </c>
      <c r="B42" s="0" t="n">
        <f aca="false">IF(B27&gt;B28,-L10*(1+B28/100)/((B27-B28)/100),-L10*20)/(1+B27/100)^L4</f>
        <v>4405.30428584722</v>
      </c>
    </row>
    <row r="43" customFormat="false" ht="15" hidden="false" customHeight="false" outlineLevel="0" collapsed="false">
      <c r="A43" s="0" t="s">
        <v>170</v>
      </c>
      <c r="B43" s="0" t="n">
        <f aca="false">(B37+B41+B42)/Assumptions!$B$3*Assumptions!$B$10</f>
        <v>276.42372692194</v>
      </c>
    </row>
    <row r="45" customFormat="false" ht="15" hidden="false" customHeight="false" outlineLevel="0" collapsed="false">
      <c r="A45" s="0" t="s">
        <v>110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171</v>
      </c>
      <c r="B46" s="0" t="n">
        <f aca="false">MAX(0,MIN(IF(B45&gt;B28,B31*(1+B28/100)/((B45-B28)/100),B31*B29),B31*B29))</f>
        <v>50540.6064351005</v>
      </c>
    </row>
    <row r="47" customFormat="false" ht="15" hidden="false" customHeight="false" outlineLevel="0" collapsed="false">
      <c r="A47" s="0" t="s">
        <v>172</v>
      </c>
      <c r="B47" s="0" t="n">
        <f aca="false">(SUMPRODUCT(C19:L19/(1+B45/100)^C4:L4)+B46/(1+B45/100)^L4+Assumptions!$B$5-Assumptions!$B$4)/Assumptions!$B$3*Assumptions!$B$10</f>
        <v>144.016062816614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175</v>
      </c>
    </row>
    <row r="3" customFormat="false" ht="15" hidden="false" customHeight="false" outlineLevel="0" collapsed="false">
      <c r="A3" s="2" t="s">
        <v>176</v>
      </c>
      <c r="B3" s="2" t="s">
        <v>177</v>
      </c>
      <c r="C3" s="2" t="s">
        <v>167</v>
      </c>
      <c r="D3" s="2" t="s">
        <v>178</v>
      </c>
      <c r="E3" s="2" t="s">
        <v>170</v>
      </c>
      <c r="F3" s="2" t="s">
        <v>179</v>
      </c>
    </row>
    <row r="4" customFormat="false" ht="15" hidden="false" customHeight="false" outlineLevel="0" collapsed="false">
      <c r="A4" s="0" t="s">
        <v>180</v>
      </c>
      <c r="B4" s="4" t="n">
        <f aca="false">DCF_Bear!$B$38</f>
        <v>46.8862045965912</v>
      </c>
      <c r="C4" s="0" t="n">
        <f aca="false">B4/Assumptions!$B$2-1</f>
        <v>-0.488867277917898</v>
      </c>
      <c r="D4" s="4" t="n">
        <f aca="false">Assumptions!$B$24</f>
        <v>0.35</v>
      </c>
      <c r="E4" s="4" t="n">
        <f aca="false">DCF_Bear!$B$43</f>
        <v>66.4277413457355</v>
      </c>
      <c r="F4" s="4" t="n">
        <f aca="false">DCF_Bear!$B$47</f>
        <v>42.839803568063</v>
      </c>
    </row>
    <row r="5" customFormat="false" ht="15" hidden="false" customHeight="false" outlineLevel="0" collapsed="false">
      <c r="A5" s="0" t="s">
        <v>181</v>
      </c>
      <c r="B5" s="4" t="n">
        <f aca="false">DCF_Base!$B$38</f>
        <v>126.604376463804</v>
      </c>
      <c r="C5" s="0" t="n">
        <f aca="false">B5/Assumptions!$B$2-1</f>
        <v>0.380185069920461</v>
      </c>
      <c r="D5" s="4" t="n">
        <f aca="false">Assumptions!$B$38</f>
        <v>0.45</v>
      </c>
      <c r="E5" s="4" t="n">
        <f aca="false">DCF_Base!$B$43</f>
        <v>158.167239876838</v>
      </c>
      <c r="F5" s="4" t="n">
        <f aca="false">DCF_Base!$B$47</f>
        <v>94.233177473921</v>
      </c>
    </row>
    <row r="6" customFormat="false" ht="15" hidden="false" customHeight="false" outlineLevel="0" collapsed="false">
      <c r="A6" s="0" t="s">
        <v>182</v>
      </c>
      <c r="B6" s="4" t="n">
        <f aca="false">DCF_Bull!$B$38</f>
        <v>234.313050179577</v>
      </c>
      <c r="C6" s="0" t="n">
        <f aca="false">B6/Assumptions!$B$2-1</f>
        <v>1.55437752294317</v>
      </c>
      <c r="D6" s="4" t="n">
        <f aca="false">Assumptions!$B$52</f>
        <v>0.2</v>
      </c>
      <c r="E6" s="4" t="n">
        <f aca="false">DCF_Bull!$B$43</f>
        <v>276.42372692194</v>
      </c>
      <c r="F6" s="4" t="n">
        <f aca="false">DCF_Bull!$B$47</f>
        <v>144.016062816614</v>
      </c>
    </row>
    <row r="8" customFormat="false" ht="15" hidden="false" customHeight="false" outlineLevel="0" collapsed="false">
      <c r="A8" s="0" t="s">
        <v>183</v>
      </c>
      <c r="B8" s="0" t="n">
        <f aca="false">SUMPRODUCT(B4:B6,D4:D6)</f>
        <v>120.244751053434</v>
      </c>
    </row>
    <row r="9" customFormat="false" ht="15" hidden="false" customHeight="false" outlineLevel="0" collapsed="false">
      <c r="A9" s="0" t="s">
        <v>184</v>
      </c>
      <c r="B9" s="0" t="n">
        <f aca="false">SUMPRODUCT(E4:E6,D4:D6)</f>
        <v>149.709712799972</v>
      </c>
    </row>
    <row r="10" customFormat="false" ht="15" hidden="false" customHeight="false" outlineLevel="0" collapsed="false">
      <c r="A10" s="0" t="s">
        <v>185</v>
      </c>
      <c r="B10" s="0" t="n">
        <f aca="false">1-Assumptions!$B$2/B8</f>
        <v>0.23713925808506</v>
      </c>
    </row>
    <row r="11" customFormat="false" ht="15" hidden="false" customHeight="false" outlineLevel="0" collapsed="false">
      <c r="A11" s="0" t="s">
        <v>186</v>
      </c>
      <c r="B11" s="0" t="n">
        <f aca="false">IF(ABS(B9-B8)&gt;0.01*ABS(B8),(Assumptions!$B$2-B8)/(B9-B8)*100,"n/a")</f>
        <v>-96.775116488261</v>
      </c>
    </row>
    <row r="12" customFormat="false" ht="15" hidden="false" customHeight="false" outlineLevel="0" collapsed="false">
      <c r="A12" s="0" t="s">
        <v>187</v>
      </c>
      <c r="B12" s="0" t="n">
        <f aca="false">SUMPRODUCT(F4:F6,D4:D6)</f>
        <v>86.2020736754093</v>
      </c>
    </row>
    <row r="14" customFormat="false" ht="15" hidden="false" customHeight="false" outlineLevel="0" collapsed="false">
      <c r="A14" s="2" t="s">
        <v>188</v>
      </c>
      <c r="C14" s="0" t="s">
        <v>189</v>
      </c>
    </row>
    <row r="15" customFormat="false" ht="15" hidden="false" customHeight="false" outlineLevel="0" collapsed="false">
      <c r="A15" s="0" t="s">
        <v>190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195.573689130884</v>
      </c>
      <c r="C15" s="3" t="n">
        <v>9</v>
      </c>
    </row>
    <row r="16" customFormat="false" ht="15" hidden="false" customHeight="false" outlineLevel="0" collapsed="false">
      <c r="A16" s="0" t="s">
        <v>191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165.3735843011</v>
      </c>
      <c r="C16" s="3" t="n">
        <v>10</v>
      </c>
    </row>
    <row r="17" customFormat="false" ht="15" hidden="false" customHeight="false" outlineLevel="0" collapsed="false">
      <c r="A17" s="0" t="s">
        <v>192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143.348182098404</v>
      </c>
      <c r="C17" s="3" t="n">
        <v>11</v>
      </c>
    </row>
    <row r="18" customFormat="false" ht="15" hidden="false" customHeight="false" outlineLevel="0" collapsed="false">
      <c r="A18" s="0" t="s">
        <v>193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126.604376463804</v>
      </c>
      <c r="C18" s="3" t="n">
        <v>12</v>
      </c>
    </row>
    <row r="19" customFormat="false" ht="15" hidden="false" customHeight="false" outlineLevel="0" collapsed="false">
      <c r="A19" s="0" t="s">
        <v>194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94.233177473921</v>
      </c>
      <c r="C19" s="3" t="n">
        <v>15</v>
      </c>
    </row>
    <row r="21" customFormat="false" ht="15" hidden="false" customHeight="false" outlineLevel="0" collapsed="false">
      <c r="A21" s="2" t="s">
        <v>195</v>
      </c>
    </row>
    <row r="22" customFormat="false" ht="15" hidden="false" customHeight="false" outlineLevel="0" collapsed="false">
      <c r="B22" s="3" t="n">
        <v>2.5</v>
      </c>
      <c r="C22" s="3" t="n">
        <v>3</v>
      </c>
      <c r="D22" s="3" t="n">
        <v>3.5</v>
      </c>
      <c r="E22" s="3" t="n">
        <v>4</v>
      </c>
      <c r="F22" s="3" t="n">
        <v>4.5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152.336270696771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158.389309155924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165.3735843011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173.521905303806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183.151739216094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134.158300826044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138.466057672463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143.348182098404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148.927752870908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155.365719146875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119.911818153525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123.072192911157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126.604376463804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130.578082960532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135.081616990157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108.466574241378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110.842164921026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113.467817777479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116.385209840205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119.645824498545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99.0859927953581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100.907507642772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102.902500094701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105.096991791823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107.522482614958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2026-10-30T23:09:32Z</dcterms:created>
  <dc:creator>openpyxl</dc:creator>
  <dc:description/>
  <dc:language>en-NZ</dc:language>
  <cp:lastModifiedBy/>
  <dcterms:modified xsi:type="dcterms:W3CDTF">2026-10-30T23:09:32Z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