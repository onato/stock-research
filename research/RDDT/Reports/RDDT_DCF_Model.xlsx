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Scenarios" sheetId="3" r:id="rId3"/>
    <sheet name="FCF Quality" sheetId="4" r:id="rId4"/>
    <sheet name="Historical" sheetId="5" r:id="rId5"/>
    <sheet name="Sanity Check" sheetId="6" r:id="rId6"/>
    <sheet name="Model_Info" sheetId="7" r:id="rId7"/>
  </sheets>
  <calcPr calcId="124519" fullCalcOnLoad="1"/>
</workbook>
</file>

<file path=xl/sharedStrings.xml><?xml version="1.0" encoding="utf-8"?>
<sst xmlns="http://schemas.openxmlformats.org/spreadsheetml/2006/main" count="187" uniqueCount="169">
  <si>
    <t>RDDT DCF Valuation Model (Base Case, 10-Year Component Build)</t>
  </si>
  <si>
    <t>Gray cells are INPUTS - adjust to see valuation change. Owner FCF = EBITDA - SBC - D&amp;A -&gt; EBIT x(1-tax) + D&amp;A - Capex - WC</t>
  </si>
  <si>
    <t>KEY INPUTS</t>
  </si>
  <si>
    <t>Current Stock Price</t>
  </si>
  <si>
    <t>Shares Outstanding (M, today)</t>
  </si>
  <si>
    <t>Cash &amp; Marketable Securities (M)</t>
  </si>
  <si>
    <t>Total Debt (M)</t>
  </si>
  <si>
    <t>Net Debt (M)</t>
  </si>
  <si>
    <t>TTM Revenue (M, base year)</t>
  </si>
  <si>
    <t>Annual Share Growth (net dilution, no buybacks)</t>
  </si>
  <si>
    <t>WACC</t>
  </si>
  <si>
    <t>Terminal Growth Rate</t>
  </si>
  <si>
    <t>Terminal Cap Multiple (x FCF)</t>
  </si>
  <si>
    <t>D&amp;A % of Revenue</t>
  </si>
  <si>
    <t>Capex % of Revenue</t>
  </si>
  <si>
    <t>Working Capital Capture % (of YoY revenue change)</t>
  </si>
  <si>
    <t>ASSUMPTION PATHS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</si>
  <si>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</si>
  <si>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</si>
  <si>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</si>
  <si>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</si>
  <si>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</si>
  <si>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</si>
  <si>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</si>
  <si>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</si>
  <si>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</si>
  <si>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</si>
  <si>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Revenue Growth %</t>
  </si>
  <si>
    <t>Adj. EBITDA Margin %</t>
  </si>
  <si>
    <t>SBC % of Revenue</t>
  </si>
  <si>
    <t>Cash Tax Rate %</t>
  </si>
  <si>
    <t>PROJECTIONS (Component Build)</t>
  </si>
  <si>
    <t>Revenue</t>
  </si>
  <si>
    <t>Adj. EBITDA</t>
  </si>
  <si>
    <t>Less: SBC</t>
  </si>
  <si>
    <t>Owner EBITDA</t>
  </si>
  <si>
    <t>Less: D&amp;A</t>
  </si>
  <si>
    <t>EBIT</t>
  </si>
  <si>
    <t>NOPAT (EBIT x (1-tax))</t>
  </si>
  <si>
    <t>Less: Capex</t>
  </si>
  <si>
    <t>Less: Working Capital (on rev change)</t>
  </si>
  <si>
    <t>Owner FCF</t>
  </si>
  <si>
    <t>Owner FCF Margin %</t>
  </si>
  <si>
    <t>Diluted Shares Outstanding (M)</t>
  </si>
  <si>
    <t>Discount Factor</t>
  </si>
  <si>
    <t>PV of Owner FCF</t>
  </si>
  <si>
    <t>VALUATION</t>
  </si>
  <si>
    <t>Sum of PV of FCF</t>
  </si>
  <si>
    <t>Terminal FCF (Year N x (1+g))</t>
  </si>
  <si>
    <t>Gordon Terminal Value</t>
  </si>
  <si>
    <t>Cap Terminal Value (multiple x Year N FCF)</t>
  </si>
  <si>
    <t>Terminal Value (lower of Gordon/Cap)</t>
  </si>
  <si>
    <t>PV of Terminal Value</t>
  </si>
  <si>
    <t>Enterprise Value</t>
  </si>
  <si>
    <t>Less: Net Debt</t>
  </si>
  <si>
    <t>Equity Value</t>
  </si>
  <si>
    <t>INTRINSIC VALUE / SHARE</t>
  </si>
  <si>
    <t>ENTRY PRICE (15% IRR Target)</t>
  </si>
  <si>
    <t>PV of Yrs 1-N FCF @15%</t>
  </si>
  <si>
    <t>PV of Terminal Value @15%</t>
  </si>
  <si>
    <t>Entry Price (15% IRR)</t>
  </si>
  <si>
    <t>Upside to Intrinsic Value</t>
  </si>
  <si>
    <t>Discount of Entry Price to Current</t>
  </si>
  <si>
    <t>Sensitivity Analysis (Base Case Intrinsic Value)</t>
  </si>
  <si>
    <t>Values from DCF JSON model output (static - re-run agent to refresh)</t>
  </si>
  <si>
    <t>WACC \ Term G</t>
  </si>
  <si>
    <t>Note: matrix computed off-model in Python using the same 10-yr component build (base-case growth/margin/SBC/tax paths held fixed); recompute via the DCF agent if base assumptions change.</t>
  </si>
  <si>
    <t>Scenario Comparison</t>
  </si>
  <si>
    <t>Metric</t>
  </si>
  <si>
    <t>Bear</t>
  </si>
  <si>
    <t>Base</t>
  </si>
  <si>
    <t>Bull</t>
  </si>
  <si>
    <t>Terminal Growth</t>
  </si>
  <si>
    <t>Year 1 Revenue Growth</t>
  </si>
  <si>
    <t>Year 10 Revenue Growth</t>
  </si>
  <si>
    <t>Year 10 Owner FCF Margin</t>
  </si>
  <si>
    <t>Terminal Value Bound</t>
  </si>
  <si>
    <t>gordon</t>
  </si>
  <si>
    <t>Terminal % of EV</t>
  </si>
  <si>
    <t>Implied Exit Multiple (x)</t>
  </si>
  <si>
    <t>Intrinsic Value / Share</t>
  </si>
  <si>
    <t>Upside / Downside</t>
  </si>
  <si>
    <t>Probability Weight</t>
  </si>
  <si>
    <t>Probability-Weighted IV</t>
  </si>
  <si>
    <t>Weighted Upside</t>
  </si>
  <si>
    <t>Memo: IV if SBC treated as non-cash</t>
  </si>
  <si>
    <t>Spread vs base-case IV</t>
  </si>
  <si>
    <t>The ~$46/share spread (26% of the base-case IV) is the honest measure of how much of Reddit's valuation depends on how SBC is treated. Given RDDT has no buyback program, this spread is real -- shareholders bear the dilution as future SBC-driven share issuance is uncovered.</t>
  </si>
  <si>
    <t>FCF Quality: Reported vs Owner FCF Reconciliation</t>
  </si>
  <si>
    <t>FY2022</t>
  </si>
  <si>
    <t>FY2023</t>
  </si>
  <si>
    <t>FY2024 (as reported)</t>
  </si>
  <si>
    <t>FY2024 (normalized)</t>
  </si>
  <si>
    <t>FY2025</t>
  </si>
  <si>
    <t>TTM (Jul25-Jun26)</t>
  </si>
  <si>
    <t>Reported FCF (company definition)</t>
  </si>
  <si>
    <t>Less: SBC (cash-flow add-back)</t>
  </si>
  <si>
    <t>Less: Equity-award tax withholding</t>
  </si>
  <si>
    <t>Less: Interest income</t>
  </si>
  <si>
    <t>Reported FCF Margin %</t>
  </si>
  <si>
    <t>Notes:</t>
  </si>
  <si>
    <t>FY2024 'as reported' includes a one-time ~$595M IPO RSU cliff-vest SBC charge and a $189.9M one-off equity-settlement tax payment; 'normalized' strips these one-offs (normalized SBC ~$207M, normalized withholding ~$104.7M).</t>
  </si>
  <si>
    <t>Owner FCF only turned durably positive in FY2025 ($150.3M, 6.8% margin) and scaled sharply to $505.0M TTM (18.2% margin) through H1-2026 -- reflecting real operating leverage, not a one-off.</t>
  </si>
  <si>
    <t>FY2025 reported FCF of $684.2M overstates owner cash flow by 78% once SBC+withholding ($447.2M) and interest income ($86.7M) are stripped.</t>
  </si>
  <si>
    <t>Cash tax rate was near-zero in FY2025/H1-2026 (effective ~1-2%) due to accumulated NOLs; the DCF ramps this to ~21-24% by Year 5-6 of the projection -- do not extrapolate the near-zero rate forward.</t>
  </si>
  <si>
    <t>Interest income ($92.9M TTM) is stripped from owner FCF because Reddit holds $2.79B in net cash (&gt;1x the FCF base) which is separately added to equity value -- leaving it in FCF would double-count the cash pile.</t>
  </si>
  <si>
    <t>Historical Growth Rates</t>
  </si>
  <si>
    <t>Value</t>
  </si>
  <si>
    <t>Revenue 3yr CAGR (FY22-FY25)</t>
  </si>
  <si>
    <t>Equity 1yr growth (FY24-FY25)</t>
  </si>
  <si>
    <t>Selected Growth Rate (source)</t>
  </si>
  <si>
    <t>Source</t>
  </si>
  <si>
    <t>revenue_3yr_cagr</t>
  </si>
  <si>
    <t>Divergence Warning:</t>
  </si>
  <si>
    <t>RDDT has only 4 fiscal years of history (IPO Mar-2024) and EPS/equity/owner-FCF all flip sign across the period (losses through FY2023-24, profitable FY2025), so standard CAGRs on EPS, equity and FCF are not meaningful/comparable. Revenue is the only cleanly positive, comparable series and is used as the primary historical growth anchor. FY2024 owner FCF is further distorted by a one-time ~$595M IPO RSU cliff-vest SBC charge and a $189.9M one-off equity-settlement tax payment, both excluded from the projection base (TTM Jul-2025-Jun-2026 used instead).</t>
  </si>
  <si>
    <t>SBC-adjusted (owner) FCF only turned durably positive in FY2025 ($150.3M, 6.8% margin) and has since scaled sharply to $505.0M TTM (18.2% margin) through H1-2026 operating leverage -- this is a genuine margin inflection, not a comparable multi-year CAGR base. Reported FCF materially overstates the cash generated for shareholders in every year: FY2025 reported FCF of $684.2M becomes $150.3M owner FCF once SBC+withholding ($447.2M) and interest income ($86.7M) are stripped -- 78% of reported FCF was SBC/interest, not owner cash flow.</t>
  </si>
  <si>
    <t>Valuation Sanity Check</t>
  </si>
  <si>
    <t>Price History Since Ipo</t>
  </si>
  <si>
    <t>IPO Mar-2024; range $44-$230; FY-end close Dec-2024 $163.44, Dec-2025 $229.87; current $140.67 is mid-range, -39% from the Dec-2025 high.</t>
  </si>
  <si>
    <t>Multiple Anchor Caveat</t>
  </si>
  <si>
    <t>Only 2 FY-end data points exist (Dec-2024, Dec-2025) and both are hypergrowth-era, so historical average multiples are weak anchors. GAAP-published P/S multiples (Dec-2024 ~18.3x, Dec-2025 ~21.1x FY revenue; current ~10.3x TTM revenue) are computed on reported (unadjusted) revenue and are NOT directly comparable to this model's SBC-adjusted owner-FCF basis.</t>
  </si>
  <si>
    <t>Current Market Cap</t>
  </si>
  <si>
    <t>Current Ev</t>
  </si>
  <si>
    <t>Current Ev Over Ttm Owner Fcf</t>
  </si>
  <si>
    <t>Current P S Ttm</t>
  </si>
  <si>
    <t>Current P S Fy2025</t>
  </si>
  <si>
    <t>Base Case Implied P S Ttm</t>
  </si>
  <si>
    <t>Base Case Implied P S Fy2025</t>
  </si>
  <si>
    <t>Flag</t>
  </si>
  <si>
    <t>Base-case intrinsic value ($177.65) implies an equity value of $41.6B, or ~15.0x TTM revenue, versus the current market's ~10.2x TTM revenue. This is ABOVE the current multiple but BELOW the Dec-2025 peak multiple (~21.1x FY2025 revenue). The gap is driven by (a) continued 40%+ near-term growth per management guidance, (b) EBITDA margin expansion toward 50-52% (from 43% in Q2-2026) which is aggressive but directionally consistent with the operating leverage already shown (owner-FCF margin more than doubled from FY2025 6.8% to TTM 18.2%), and (c) a conservative 12% WACC and Gordon-bound (not cap-bound) terminal value at only a 12.2x implied exit multiple -- below the company's own current EV/FCF of ~62x. A reader who believes the referral-traffic/Google-dependence risk is more severe than modeled here (see bear case, IV $53.59, -61.9%) should weight toward the bear/base blend rather than the base case alone.</t>
  </si>
  <si>
    <t>Sanity Passed</t>
  </si>
  <si>
    <t>CONDITIONAL - base case is internally consistent (below-market implied exit multiple, growth/margin assumptions anchored to guidance) but implies P/S expansion versus today's multiple; treat as a genuine growth+margin-inflection thesis, not a value/conservative case. The probability-weighted IV (~$195) is more aggressive still and should be read with the bear case's -62% downside as a counterweight.</t>
  </si>
  <si>
    <t>Model Provenance &amp; Methodology Notes</t>
  </si>
  <si>
    <t>Built by</t>
  </si>
  <si>
    <t>Claude Sonnet 5 dcf-analyst agent, per /Users/swilliams/Stocks/Research/.claude/agents/dcf-analyst.md</t>
  </si>
  <si>
    <t>Valuation date</t>
  </si>
  <si>
    <t>2026-08-03</t>
  </si>
  <si>
    <t>Current price source</t>
  </si>
  <si>
    <t>Yahoo Finance chart API, fetched live 2026-08-03: $140.67</t>
  </si>
  <si>
    <t>Data vintage</t>
  </si>
  <si>
    <t>FY2022-FY2025 annual + Q1/Q2-2026 quarterly from SEC XBRL (pre-verified figures supplied directly, not re-derived). TTM window = Jul-2025 to Jun-2026 (FY2025 full year minus H1-2025 plus H1-2026).</t>
  </si>
  <si>
    <t>Guidance basis</t>
  </si>
  <si>
    <t>Q2-2026 earnings call (reported 2026-07-30): Q3-2026 revenue guide $860-870M (+47-49% YoY), adj. EBITDA margin ~45% midpoint, FY2026 SBC guided to low-to-mid-teens % of revenue (down from high-teens).</t>
  </si>
  <si>
    <t>Horizon</t>
  </si>
  <si>
    <t>10 years (10). Chosen because owner-FCF margin is still steeply ramping (FY2025 6.8% -&gt; TTM 18.2%) and a 5-year horizon would capitalize an immature margin in Gordon growth, understating the business per the component-build methodology.</t>
  </si>
  <si>
    <t>FCF base</t>
  </si>
  <si>
    <t>TTM (Jul-2025 to Jun-2026) owner FCF of $505.0M used as the projection anchor, NOT FY2025 ($150.3M) or FY2024 (negative, IPO-distorted) -- TTM best reflects the current operating-leverage run-rate.</t>
  </si>
  <si>
    <t>SBC treatment</t>
  </si>
  <si>
    <t>Owner FCF = reported FCF - (SBC cash-flow add-back + equity-award tax withholding) - interest income. Forward SBC modeled as declining % of revenue (TTM ~12.2% SBC-only -&gt; glides to 7.5% by Year 10 in base case), not a flat dollar amount. FY2024 SBC ($801.6M) excluded as base-year anchor due to one-time ~$595M IPO RSU cliff-vest charge.</t>
  </si>
  <si>
    <t>Interest income</t>
  </si>
  <si>
    <t>Stripped from owner FCF ($92.9M TTM) because net cash ($2.79B) exceeds 1x the FCF base and is separately added to equity value via net_debt -- avoids double-counting the cash pile.</t>
  </si>
  <si>
    <t>Share count / dilution</t>
  </si>
  <si>
    <t>No buyback program exists. Diluted share count has been roughly flat (~201-203M) since 2025 as net-share settlement offsets RSU issuance. Modeled as flat 1.5%/yr net dilution rather than the max(0, SBC-buyback) formula (buyback_cash=0 would otherwise imply much larger uncovered dilution than observed -- the withholding tax IS the absorption mechanism here, already captured in the owner-FCF deduction, so share count growth is set to the OBSERVED net creep rate directly per task instructions, not derived from the SBC/price formula).</t>
  </si>
  <si>
    <t>Cash tax ramp</t>
  </si>
  <si>
    <t>FY2025/H1-2026 effective cash tax rate ~1-2% (accumulated NOL shield). Ramped in the base case from 2% (Y1) to 23% (Y6+) as NOLs are exhausted -- do not extrapolate the near-zero current rate.</t>
  </si>
  <si>
    <t>Working capital</t>
  </si>
  <si>
    <t>Modeled as a capture rate (17% base case) on the YoY dollar CHANGE in revenue, not as a fixed % of revenue -- this tailwind shrinks mechanically as growth decelerates from ~44% (Y1) to ~10% (Y10).</t>
  </si>
  <si>
    <t>Terminal value</t>
  </si>
  <si>
    <t>Lower of Gordon Growth and 20x (15x in bear case) terminal-year owner FCF. Base case is Gordon-bound at a 12.2x implied exit multiple -- well below the current EV/TTM-owner-FCF of ~62x, i.e. the model does NOT assume multiple expansion.</t>
  </si>
  <si>
    <t>WACC rationale</t>
  </si>
  <si>
    <t>Base 12.0% (vs. a plain-vanilla US growth-stock WACC of ~9-10%) -- includes explicit premia for (a) Google search-referral dependence flagged as "choppy" at Q2-2026 earnings and (b) hypergrowth-deceleration uncertainty (8 consecutive quarters of 60%+ growth must decelerate from here). Bull 11.0% / Bear 13.5%.</t>
  </si>
  <si>
    <t>Entry price</t>
  </si>
  <si>
    <t>Full 5-parameter... 10-year 15%-IRR formula: PV of Years 1-10 base-case owner FCF at 15% + PV of terminal value (computed at WACC, discounted back at 15%) + net cash, all divided by Year-10 diluted share count. NOT terminal-value-only.</t>
  </si>
  <si>
    <t>What to refresh next</t>
  </si>
  <si>
    <t>Re-verify Google AI data-licensing deal renewal outcome (was unresolved as of Jul-2026 earnings call, ~$60M/yr at stake) -- this is a binary swing factor for the "Other revenue" line and sentiment. Refresh TTM FCF/SBC/tax actuals after Q3-2026 print (guided Oct-2026). Re-check share count for any buyback authorization (none as of this vintage).</t>
  </si>
  <si>
    <t>Cell color conventions</t>
  </si>
  <si>
    <t>Gray-shaded cells = editable inputs. White cells = formulas (do not overwrite). Green cells = key outputs (Intrinsic Value, Entry Price).</t>
  </si>
  <si>
    <t>Staleness warning</t>
  </si>
  <si>
    <t>ALL figures in this model reflect data as of 2026-08-03 and the Q2-2026 earnings print (2026-07-30). Stock-based-compensation guidance, growth rates, and margins WILL change with each quarterly print -- re-run the dcf-analyst agent rather than trusting this file beyond one quarter.</t>
  </si>
</sst>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&quot;$&quot;#,##0.00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0" fillId="2" borderId="2" xfId="0" applyNumberFormat="1" applyFill="1" applyBorder="1"/>
    <xf numFmtId="164" fontId="0" fillId="0" borderId="2" xfId="0" applyNumberFormat="1" applyBorder="1"/>
    <xf numFmtId="165" fontId="0" fillId="2" borderId="2" xfId="0" applyNumberFormat="1" applyFill="1" applyBorder="1"/>
    <xf numFmtId="0" fontId="4" fillId="3" borderId="2" xfId="0" applyFont="1" applyFill="1" applyBorder="1"/>
    <xf numFmtId="165" fontId="0" fillId="0" borderId="2" xfId="0" applyNumberFormat="1" applyBorder="1"/>
    <xf numFmtId="0" fontId="5" fillId="0" borderId="0" xfId="0" applyFont="1"/>
    <xf numFmtId="166" fontId="4" fillId="4" borderId="2" xfId="0" applyNumberFormat="1" applyFont="1" applyFill="1" applyBorder="1"/>
    <xf numFmtId="165" fontId="4" fillId="3" borderId="0" xfId="0" applyNumberFormat="1" applyFont="1" applyFill="1"/>
    <xf numFmtId="166" fontId="0" fillId="0" borderId="2" xfId="0" applyNumberFormat="1" applyBorder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61"/>
  <sheetViews>
    <sheetView tabSelected="1" workbookViewId="0"/>
  </sheetViews>
  <sheetFormatPr defaultRowHeight="15"/>
  <cols>
    <col min="1" max="1" width="30.7109375" customWidth="1"/>
    <col min="2" max="16" width="12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</row>
    <row r="5" spans="1:2">
      <c r="A5" t="s">
        <v>3</v>
      </c>
      <c r="B5" s="4">
        <v>140.67</v>
      </c>
    </row>
    <row r="6" spans="1:2">
      <c r="A6" t="s">
        <v>4</v>
      </c>
      <c r="B6" s="4">
        <v>202</v>
      </c>
    </row>
    <row r="7" spans="1:2">
      <c r="A7" t="s">
        <v>5</v>
      </c>
      <c r="B7" s="4">
        <v>2786.3</v>
      </c>
    </row>
    <row r="8" spans="1:2">
      <c r="A8" t="s">
        <v>6</v>
      </c>
      <c r="B8" s="4">
        <v>0</v>
      </c>
    </row>
    <row r="9" spans="1:2">
      <c r="A9" t="s">
        <v>7</v>
      </c>
      <c r="B9" s="5">
        <f>B8-B7</f>
        <v>0</v>
      </c>
    </row>
    <row r="10" spans="1:2">
      <c r="A10" t="s">
        <v>8</v>
      </c>
      <c r="B10" s="4">
        <v>2778.8</v>
      </c>
    </row>
    <row r="11" spans="1:2">
      <c r="A11" t="s">
        <v>9</v>
      </c>
      <c r="B11" s="6">
        <v>0.015</v>
      </c>
    </row>
    <row r="12" spans="1:2">
      <c r="A12" t="s">
        <v>10</v>
      </c>
      <c r="B12" s="6">
        <v>0.12</v>
      </c>
    </row>
    <row r="13" spans="1:2">
      <c r="A13" t="s">
        <v>11</v>
      </c>
      <c r="B13" s="6">
        <v>0.035</v>
      </c>
    </row>
    <row r="14" spans="1:2">
      <c r="A14" t="s">
        <v>12</v>
      </c>
      <c r="B14" s="4">
        <v>20</v>
      </c>
    </row>
    <row r="15" spans="1:2">
      <c r="A15" t="s">
        <v>13</v>
      </c>
      <c r="B15" s="6">
        <v>0.006</v>
      </c>
    </row>
    <row r="16" spans="1:2">
      <c r="A16" t="s">
        <v>14</v>
      </c>
      <c r="B16" s="6">
        <v>0.004</v>
      </c>
    </row>
    <row r="17" spans="1:11">
      <c r="A17" t="s">
        <v>15</v>
      </c>
      <c r="B17" s="6">
        <v>0.17</v>
      </c>
    </row>
    <row r="19" spans="1:11">
      <c r="A19" s="3" t="s">
        <v>16</v>
      </c>
    </row>
    <row r="20" spans="1:11">
      <c r="A20" s="7"/>
      <c r="B20" s="7" t="s">
        <v>17</v>
      </c>
      <c r="C20" s="7" t="s">
        <v>18</v>
      </c>
      <c r="D20" s="7" t="s">
        <v>19</v>
      </c>
      <c r="E20" s="7" t="s">
        <v>20</v>
      </c>
      <c r="F20" s="7" t="s">
        <v>21</v>
      </c>
      <c r="G20" s="7" t="s">
        <v>22</v>
      </c>
      <c r="H20" s="7" t="s">
        <v>23</v>
      </c>
      <c r="I20" s="7" t="s">
        <v>24</v>
      </c>
      <c r="J20" s="7" t="s">
        <v>25</v>
      </c>
      <c r="K20" s="7" t="s">
        <v>26</v>
      </c>
    </row>
    <row r="21" spans="1:11">
      <c r="A21" t="s">
        <v>27</v>
      </c>
      <c r="B21" s="6">
        <v>0.44</v>
      </c>
      <c r="C21" s="6">
        <v>0.36</v>
      </c>
      <c r="D21" s="6">
        <v>0.29</v>
      </c>
      <c r="E21" s="6">
        <v>0.23</v>
      </c>
      <c r="F21" s="6">
        <v>0.18</v>
      </c>
      <c r="G21" s="6">
        <v>0.15</v>
      </c>
      <c r="H21" s="6">
        <v>0.13</v>
      </c>
      <c r="I21" s="6">
        <v>0.12</v>
      </c>
      <c r="J21" s="6">
        <v>0.11</v>
      </c>
      <c r="K21" s="6">
        <v>0.1</v>
      </c>
    </row>
    <row r="22" spans="1:11">
      <c r="A22" t="s">
        <v>28</v>
      </c>
      <c r="B22" s="6">
        <v>0.45</v>
      </c>
      <c r="C22" s="6">
        <v>0.47</v>
      </c>
      <c r="D22" s="6">
        <v>0.485</v>
      </c>
      <c r="E22" s="6">
        <v>0.495</v>
      </c>
      <c r="F22" s="6">
        <v>0.5</v>
      </c>
      <c r="G22" s="6">
        <v>0.505</v>
      </c>
      <c r="H22" s="6">
        <v>0.51</v>
      </c>
      <c r="I22" s="6">
        <v>0.515</v>
      </c>
      <c r="J22" s="6">
        <v>0.52</v>
      </c>
      <c r="K22" s="6">
        <v>0.52</v>
      </c>
    </row>
    <row r="23" spans="1:11">
      <c r="A23" t="s">
        <v>29</v>
      </c>
      <c r="B23" s="6">
        <v>0.145</v>
      </c>
      <c r="C23" s="6">
        <v>0.135</v>
      </c>
      <c r="D23" s="6">
        <v>0.125</v>
      </c>
      <c r="E23" s="6">
        <v>0.115</v>
      </c>
      <c r="F23" s="6">
        <v>0.105</v>
      </c>
      <c r="G23" s="6">
        <v>0.09699999999999999</v>
      </c>
      <c r="H23" s="6">
        <v>0.09</v>
      </c>
      <c r="I23" s="6">
        <v>0.08500000000000001</v>
      </c>
      <c r="J23" s="6">
        <v>0.08</v>
      </c>
      <c r="K23" s="6">
        <v>0.075</v>
      </c>
    </row>
    <row r="24" spans="1:11">
      <c r="A24" t="s">
        <v>30</v>
      </c>
      <c r="B24" s="6">
        <v>0.02</v>
      </c>
      <c r="C24" s="6">
        <v>0.05</v>
      </c>
      <c r="D24" s="6">
        <v>0.1</v>
      </c>
      <c r="E24" s="6">
        <v>0.16</v>
      </c>
      <c r="F24" s="6">
        <v>0.21</v>
      </c>
      <c r="G24" s="6">
        <v>0.23</v>
      </c>
      <c r="H24" s="6">
        <v>0.23</v>
      </c>
      <c r="I24" s="6">
        <v>0.23</v>
      </c>
      <c r="J24" s="6">
        <v>0.23</v>
      </c>
      <c r="K24" s="6">
        <v>0.23</v>
      </c>
    </row>
    <row r="25" spans="1:11">
      <c r="A25" s="3" t="s">
        <v>31</v>
      </c>
    </row>
    <row r="26" spans="1:11">
      <c r="A26" s="7"/>
      <c r="B26" s="7" t="s">
        <v>17</v>
      </c>
      <c r="C26" s="7" t="s">
        <v>18</v>
      </c>
      <c r="D26" s="7" t="s">
        <v>19</v>
      </c>
      <c r="E26" s="7" t="s">
        <v>20</v>
      </c>
      <c r="F26" s="7" t="s">
        <v>21</v>
      </c>
      <c r="G26" s="7" t="s">
        <v>22</v>
      </c>
      <c r="H26" s="7" t="s">
        <v>23</v>
      </c>
      <c r="I26" s="7" t="s">
        <v>24</v>
      </c>
      <c r="J26" s="7" t="s">
        <v>25</v>
      </c>
      <c r="K26" s="7" t="s">
        <v>26</v>
      </c>
    </row>
    <row r="27" spans="1:11">
      <c r="A27" t="s">
        <v>32</v>
      </c>
      <c r="B27" s="5">
        <f>B10*(1+B21)</f>
        <v>0</v>
      </c>
      <c r="C27" s="5">
        <f>B27*(1+C21)</f>
        <v>0</v>
      </c>
      <c r="D27" s="5">
        <f>C27*(1+D21)</f>
        <v>0</v>
      </c>
      <c r="E27" s="5">
        <f>D27*(1+E21)</f>
        <v>0</v>
      </c>
      <c r="F27" s="5">
        <f>E27*(1+F21)</f>
        <v>0</v>
      </c>
      <c r="G27" s="5">
        <f>F27*(1+G21)</f>
        <v>0</v>
      </c>
      <c r="H27" s="5">
        <f>G27*(1+H21)</f>
        <v>0</v>
      </c>
      <c r="I27" s="5">
        <f>H27*(1+I21)</f>
        <v>0</v>
      </c>
      <c r="J27" s="5">
        <f>I27*(1+J21)</f>
        <v>0</v>
      </c>
      <c r="K27" s="5">
        <f>J27*(1+K21)</f>
        <v>0</v>
      </c>
    </row>
    <row r="28" spans="1:11">
      <c r="A28" t="s">
        <v>33</v>
      </c>
      <c r="B28" s="5">
        <f>B27*B22</f>
        <v>0</v>
      </c>
      <c r="C28" s="5">
        <f>C27*C22</f>
        <v>0</v>
      </c>
      <c r="D28" s="5">
        <f>D27*D22</f>
        <v>0</v>
      </c>
      <c r="E28" s="5">
        <f>E27*E22</f>
        <v>0</v>
      </c>
      <c r="F28" s="5">
        <f>F27*F22</f>
        <v>0</v>
      </c>
      <c r="G28" s="5">
        <f>G27*G22</f>
        <v>0</v>
      </c>
      <c r="H28" s="5">
        <f>H27*H22</f>
        <v>0</v>
      </c>
      <c r="I28" s="5">
        <f>I27*I22</f>
        <v>0</v>
      </c>
      <c r="J28" s="5">
        <f>J27*J22</f>
        <v>0</v>
      </c>
      <c r="K28" s="5">
        <f>K27*K22</f>
        <v>0</v>
      </c>
    </row>
    <row r="29" spans="1:11">
      <c r="A29" t="s">
        <v>34</v>
      </c>
      <c r="B29" s="5">
        <f>B27*B23</f>
        <v>0</v>
      </c>
      <c r="C29" s="5">
        <f>C27*C23</f>
        <v>0</v>
      </c>
      <c r="D29" s="5">
        <f>D27*D23</f>
        <v>0</v>
      </c>
      <c r="E29" s="5">
        <f>E27*E23</f>
        <v>0</v>
      </c>
      <c r="F29" s="5">
        <f>F27*F23</f>
        <v>0</v>
      </c>
      <c r="G29" s="5">
        <f>G27*G23</f>
        <v>0</v>
      </c>
      <c r="H29" s="5">
        <f>H27*H23</f>
        <v>0</v>
      </c>
      <c r="I29" s="5">
        <f>I27*I23</f>
        <v>0</v>
      </c>
      <c r="J29" s="5">
        <f>J27*J23</f>
        <v>0</v>
      </c>
      <c r="K29" s="5">
        <f>K27*K23</f>
        <v>0</v>
      </c>
    </row>
    <row r="30" spans="1:11">
      <c r="A30" t="s">
        <v>35</v>
      </c>
      <c r="B30" s="5">
        <f>B28-B29</f>
        <v>0</v>
      </c>
      <c r="C30" s="5">
        <f>C28-C29</f>
        <v>0</v>
      </c>
      <c r="D30" s="5">
        <f>D28-D29</f>
        <v>0</v>
      </c>
      <c r="E30" s="5">
        <f>E28-E29</f>
        <v>0</v>
      </c>
      <c r="F30" s="5">
        <f>F28-F29</f>
        <v>0</v>
      </c>
      <c r="G30" s="5">
        <f>G28-G29</f>
        <v>0</v>
      </c>
      <c r="H30" s="5">
        <f>H28-H29</f>
        <v>0</v>
      </c>
      <c r="I30" s="5">
        <f>I28-I29</f>
        <v>0</v>
      </c>
      <c r="J30" s="5">
        <f>J28-J29</f>
        <v>0</v>
      </c>
      <c r="K30" s="5">
        <f>K28-K29</f>
        <v>0</v>
      </c>
    </row>
    <row r="31" spans="1:11">
      <c r="A31" t="s">
        <v>36</v>
      </c>
      <c r="B31" s="5">
        <f>B27*$B$15</f>
        <v>0</v>
      </c>
      <c r="C31" s="5">
        <f>C27*$B$15</f>
        <v>0</v>
      </c>
      <c r="D31" s="5">
        <f>D27*$B$15</f>
        <v>0</v>
      </c>
      <c r="E31" s="5">
        <f>E27*$B$15</f>
        <v>0</v>
      </c>
      <c r="F31" s="5">
        <f>F27*$B$15</f>
        <v>0</v>
      </c>
      <c r="G31" s="5">
        <f>G27*$B$15</f>
        <v>0</v>
      </c>
      <c r="H31" s="5">
        <f>H27*$B$15</f>
        <v>0</v>
      </c>
      <c r="I31" s="5">
        <f>I27*$B$15</f>
        <v>0</v>
      </c>
      <c r="J31" s="5">
        <f>J27*$B$15</f>
        <v>0</v>
      </c>
      <c r="K31" s="5">
        <f>K27*$B$15</f>
        <v>0</v>
      </c>
    </row>
    <row r="32" spans="1:11">
      <c r="A32" t="s">
        <v>37</v>
      </c>
      <c r="B32" s="5">
        <f>B30-B31</f>
        <v>0</v>
      </c>
      <c r="C32" s="5">
        <f>C30-C31</f>
        <v>0</v>
      </c>
      <c r="D32" s="5">
        <f>D30-D31</f>
        <v>0</v>
      </c>
      <c r="E32" s="5">
        <f>E30-E31</f>
        <v>0</v>
      </c>
      <c r="F32" s="5">
        <f>F30-F31</f>
        <v>0</v>
      </c>
      <c r="G32" s="5">
        <f>G30-G31</f>
        <v>0</v>
      </c>
      <c r="H32" s="5">
        <f>H30-H31</f>
        <v>0</v>
      </c>
      <c r="I32" s="5">
        <f>I30-I31</f>
        <v>0</v>
      </c>
      <c r="J32" s="5">
        <f>J30-J31</f>
        <v>0</v>
      </c>
      <c r="K32" s="5">
        <f>K30-K31</f>
        <v>0</v>
      </c>
    </row>
    <row r="33" spans="1:11">
      <c r="A33" t="s">
        <v>38</v>
      </c>
      <c r="B33" s="5">
        <f>B32*(1-B24)</f>
        <v>0</v>
      </c>
      <c r="C33" s="5">
        <f>C32*(1-C24)</f>
        <v>0</v>
      </c>
      <c r="D33" s="5">
        <f>D32*(1-D24)</f>
        <v>0</v>
      </c>
      <c r="E33" s="5">
        <f>E32*(1-E24)</f>
        <v>0</v>
      </c>
      <c r="F33" s="5">
        <f>F32*(1-F24)</f>
        <v>0</v>
      </c>
      <c r="G33" s="5">
        <f>G32*(1-G24)</f>
        <v>0</v>
      </c>
      <c r="H33" s="5">
        <f>H32*(1-H24)</f>
        <v>0</v>
      </c>
      <c r="I33" s="5">
        <f>I32*(1-I24)</f>
        <v>0</v>
      </c>
      <c r="J33" s="5">
        <f>J32*(1-J24)</f>
        <v>0</v>
      </c>
      <c r="K33" s="5">
        <f>K32*(1-K24)</f>
        <v>0</v>
      </c>
    </row>
    <row r="34" spans="1:11">
      <c r="A34" t="s">
        <v>39</v>
      </c>
      <c r="B34" s="5">
        <f>B27*$B$16</f>
        <v>0</v>
      </c>
      <c r="C34" s="5">
        <f>C27*$B$16</f>
        <v>0</v>
      </c>
      <c r="D34" s="5">
        <f>D27*$B$16</f>
        <v>0</v>
      </c>
      <c r="E34" s="5">
        <f>E27*$B$16</f>
        <v>0</v>
      </c>
      <c r="F34" s="5">
        <f>F27*$B$16</f>
        <v>0</v>
      </c>
      <c r="G34" s="5">
        <f>G27*$B$16</f>
        <v>0</v>
      </c>
      <c r="H34" s="5">
        <f>H27*$B$16</f>
        <v>0</v>
      </c>
      <c r="I34" s="5">
        <f>I27*$B$16</f>
        <v>0</v>
      </c>
      <c r="J34" s="5">
        <f>J27*$B$16</f>
        <v>0</v>
      </c>
      <c r="K34" s="5">
        <f>K27*$B$16</f>
        <v>0</v>
      </c>
    </row>
    <row r="35" spans="1:11">
      <c r="A35" t="s">
        <v>40</v>
      </c>
      <c r="B35" s="5">
        <f>$B$17*(B27-B10)</f>
        <v>0</v>
      </c>
      <c r="C35" s="5">
        <f>$B$17*(C27-B27)</f>
        <v>0</v>
      </c>
      <c r="D35" s="5">
        <f>$B$17*(D27-C27)</f>
        <v>0</v>
      </c>
      <c r="E35" s="5">
        <f>$B$17*(E27-D27)</f>
        <v>0</v>
      </c>
      <c r="F35" s="5">
        <f>$B$17*(F27-E27)</f>
        <v>0</v>
      </c>
      <c r="G35" s="5">
        <f>$B$17*(G27-F27)</f>
        <v>0</v>
      </c>
      <c r="H35" s="5">
        <f>$B$17*(H27-G27)</f>
        <v>0</v>
      </c>
      <c r="I35" s="5">
        <f>$B$17*(I27-H27)</f>
        <v>0</v>
      </c>
      <c r="J35" s="5">
        <f>$B$17*(J27-I27)</f>
        <v>0</v>
      </c>
      <c r="K35" s="5">
        <f>$B$17*(K27-J27)</f>
        <v>0</v>
      </c>
    </row>
    <row r="36" spans="1:11">
      <c r="A36" t="s">
        <v>41</v>
      </c>
      <c r="B36" s="5">
        <f>B33+B31-B34-B35</f>
        <v>0</v>
      </c>
      <c r="C36" s="5">
        <f>C33+C31-C34-C35</f>
        <v>0</v>
      </c>
      <c r="D36" s="5">
        <f>D33+D31-D34-D35</f>
        <v>0</v>
      </c>
      <c r="E36" s="5">
        <f>E33+E31-E34-E35</f>
        <v>0</v>
      </c>
      <c r="F36" s="5">
        <f>F33+F31-F34-F35</f>
        <v>0</v>
      </c>
      <c r="G36" s="5">
        <f>G33+G31-G34-G35</f>
        <v>0</v>
      </c>
      <c r="H36" s="5">
        <f>H33+H31-H34-H35</f>
        <v>0</v>
      </c>
      <c r="I36" s="5">
        <f>I33+I31-I34-I35</f>
        <v>0</v>
      </c>
      <c r="J36" s="5">
        <f>J33+J31-J34-J35</f>
        <v>0</v>
      </c>
      <c r="K36" s="5">
        <f>K33+K31-K34-K35</f>
        <v>0</v>
      </c>
    </row>
    <row r="37" spans="1:11">
      <c r="A37" t="s">
        <v>42</v>
      </c>
      <c r="B37" s="8">
        <f>B36/B27</f>
        <v>0</v>
      </c>
      <c r="C37" s="8">
        <f>C36/C27</f>
        <v>0</v>
      </c>
      <c r="D37" s="8">
        <f>D36/D27</f>
        <v>0</v>
      </c>
      <c r="E37" s="8">
        <f>E36/E27</f>
        <v>0</v>
      </c>
      <c r="F37" s="8">
        <f>F36/F27</f>
        <v>0</v>
      </c>
      <c r="G37" s="8">
        <f>G36/G27</f>
        <v>0</v>
      </c>
      <c r="H37" s="8">
        <f>H36/H27</f>
        <v>0</v>
      </c>
      <c r="I37" s="8">
        <f>I36/I27</f>
        <v>0</v>
      </c>
      <c r="J37" s="8">
        <f>J36/J27</f>
        <v>0</v>
      </c>
      <c r="K37" s="8">
        <f>K36/K27</f>
        <v>0</v>
      </c>
    </row>
    <row r="38" spans="1:11">
      <c r="A38" t="s">
        <v>43</v>
      </c>
      <c r="B38" s="5">
        <f>B6*(1+$B$11)</f>
        <v>0</v>
      </c>
      <c r="C38" s="5">
        <f>B38*(1+$B$11)</f>
        <v>0</v>
      </c>
      <c r="D38" s="5">
        <f>C38*(1+$B$11)</f>
        <v>0</v>
      </c>
      <c r="E38" s="5">
        <f>D38*(1+$B$11)</f>
        <v>0</v>
      </c>
      <c r="F38" s="5">
        <f>E38*(1+$B$11)</f>
        <v>0</v>
      </c>
      <c r="G38" s="5">
        <f>F38*(1+$B$11)</f>
        <v>0</v>
      </c>
      <c r="H38" s="5">
        <f>G38*(1+$B$11)</f>
        <v>0</v>
      </c>
      <c r="I38" s="5">
        <f>H38*(1+$B$11)</f>
        <v>0</v>
      </c>
      <c r="J38" s="5">
        <f>I38*(1+$B$11)</f>
        <v>0</v>
      </c>
      <c r="K38" s="5">
        <f>J38*(1+$B$11)</f>
        <v>0</v>
      </c>
    </row>
    <row r="39" spans="1:11">
      <c r="A39" t="s">
        <v>44</v>
      </c>
      <c r="B39" s="5">
        <f>1/(1+$B$12)^1</f>
        <v>0</v>
      </c>
      <c r="C39" s="5">
        <f>1/(1+$B$12)^2</f>
        <v>0</v>
      </c>
      <c r="D39" s="5">
        <f>1/(1+$B$12)^3</f>
        <v>0</v>
      </c>
      <c r="E39" s="5">
        <f>1/(1+$B$12)^4</f>
        <v>0</v>
      </c>
      <c r="F39" s="5">
        <f>1/(1+$B$12)^5</f>
        <v>0</v>
      </c>
      <c r="G39" s="5">
        <f>1/(1+$B$12)^6</f>
        <v>0</v>
      </c>
      <c r="H39" s="5">
        <f>1/(1+$B$12)^7</f>
        <v>0</v>
      </c>
      <c r="I39" s="5">
        <f>1/(1+$B$12)^8</f>
        <v>0</v>
      </c>
      <c r="J39" s="5">
        <f>1/(1+$B$12)^9</f>
        <v>0</v>
      </c>
      <c r="K39" s="5">
        <f>1/(1+$B$12)^10</f>
        <v>0</v>
      </c>
    </row>
    <row r="40" spans="1:11">
      <c r="A40" t="s">
        <v>45</v>
      </c>
      <c r="B40" s="5">
        <f>B36*B39</f>
        <v>0</v>
      </c>
      <c r="C40" s="5">
        <f>C36*C39</f>
        <v>0</v>
      </c>
      <c r="D40" s="5">
        <f>D36*D39</f>
        <v>0</v>
      </c>
      <c r="E40" s="5">
        <f>E36*E39</f>
        <v>0</v>
      </c>
      <c r="F40" s="5">
        <f>F36*F39</f>
        <v>0</v>
      </c>
      <c r="G40" s="5">
        <f>G36*G39</f>
        <v>0</v>
      </c>
      <c r="H40" s="5">
        <f>H36*H39</f>
        <v>0</v>
      </c>
      <c r="I40" s="5">
        <f>I36*I39</f>
        <v>0</v>
      </c>
      <c r="J40" s="5">
        <f>J36*J39</f>
        <v>0</v>
      </c>
      <c r="K40" s="5">
        <f>K36*K39</f>
        <v>0</v>
      </c>
    </row>
    <row r="42" spans="1:11">
      <c r="A42" s="3" t="s">
        <v>46</v>
      </c>
    </row>
    <row r="43" spans="1:11">
      <c r="A43" t="s">
        <v>47</v>
      </c>
      <c r="B43" s="5">
        <f>SUM(B40:K40)</f>
        <v>0</v>
      </c>
    </row>
    <row r="44" spans="1:11">
      <c r="A44" t="s">
        <v>48</v>
      </c>
      <c r="B44" s="5">
        <f>K36*(1+$B$13)</f>
        <v>0</v>
      </c>
    </row>
    <row r="45" spans="1:11">
      <c r="A45" t="s">
        <v>49</v>
      </c>
      <c r="B45" s="5">
        <f>B44/($B$12-$B$13)</f>
        <v>0</v>
      </c>
    </row>
    <row r="46" spans="1:11">
      <c r="A46" t="s">
        <v>50</v>
      </c>
      <c r="B46" s="5">
        <f>$B$14*K36</f>
        <v>0</v>
      </c>
    </row>
    <row r="47" spans="1:11">
      <c r="A47" t="s">
        <v>51</v>
      </c>
      <c r="B47" s="5">
        <f>MIN(B45,B46)</f>
        <v>0</v>
      </c>
    </row>
    <row r="48" spans="1:11">
      <c r="A48" t="s">
        <v>52</v>
      </c>
      <c r="B48" s="5">
        <f>B47*K39</f>
        <v>0</v>
      </c>
    </row>
    <row r="49" spans="1:2">
      <c r="A49" t="s">
        <v>53</v>
      </c>
      <c r="B49" s="5">
        <f>B43+B48</f>
        <v>0</v>
      </c>
    </row>
    <row r="50" spans="1:2">
      <c r="A50" t="s">
        <v>54</v>
      </c>
      <c r="B50" s="5">
        <f>B9</f>
        <v>0</v>
      </c>
    </row>
    <row r="51" spans="1:2">
      <c r="A51" t="s">
        <v>55</v>
      </c>
      <c r="B51" s="5">
        <f>B49-B50</f>
        <v>0</v>
      </c>
    </row>
    <row r="52" spans="1:2">
      <c r="A52" s="9" t="s">
        <v>56</v>
      </c>
      <c r="B52" s="10">
        <f>B51/K38</f>
        <v>0</v>
      </c>
    </row>
    <row r="54" spans="1:2">
      <c r="A54" s="3" t="s">
        <v>57</v>
      </c>
    </row>
    <row r="55" spans="1:2">
      <c r="A55" t="s">
        <v>58</v>
      </c>
      <c r="B55" s="5">
        <f>NPV(0.15,B36:K36)</f>
        <v>0</v>
      </c>
    </row>
    <row r="56" spans="1:2">
      <c r="A56" t="s">
        <v>59</v>
      </c>
      <c r="B56" s="5">
        <f>B47/(1.15^10)</f>
        <v>0</v>
      </c>
    </row>
    <row r="57" spans="1:2">
      <c r="A57" t="s">
        <v>54</v>
      </c>
      <c r="B57" s="5">
        <f>B9</f>
        <v>0</v>
      </c>
    </row>
    <row r="58" spans="1:2">
      <c r="A58" t="s">
        <v>60</v>
      </c>
      <c r="B58" s="10">
        <f>(B55+B56-B57)/K38</f>
        <v>0</v>
      </c>
    </row>
    <row r="60" spans="1:2">
      <c r="A60" t="s">
        <v>61</v>
      </c>
      <c r="B60" s="8">
        <f>(B52-B5)/B5</f>
        <v>0</v>
      </c>
    </row>
    <row r="61" spans="1:2">
      <c r="A61" t="s">
        <v>62</v>
      </c>
      <c r="B61" s="8">
        <f>(B58-B5)/B5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63</v>
      </c>
    </row>
    <row r="2" spans="1:6">
      <c r="A2" t="s">
        <v>64</v>
      </c>
    </row>
    <row r="4" spans="1:6">
      <c r="A4" s="7" t="s">
        <v>65</v>
      </c>
      <c r="B4" s="11">
        <v>0.025</v>
      </c>
      <c r="C4" s="11">
        <v>0.03</v>
      </c>
      <c r="D4" s="11">
        <v>0.035</v>
      </c>
      <c r="E4" s="11">
        <v>0.04</v>
      </c>
      <c r="F4" s="11">
        <v>0.045</v>
      </c>
    </row>
    <row r="5" spans="1:6">
      <c r="A5" s="11">
        <v>0.1</v>
      </c>
      <c r="B5" s="12">
        <v>219.3</v>
      </c>
      <c r="C5" s="12">
        <v>229.42</v>
      </c>
      <c r="D5" s="12">
        <v>241.1</v>
      </c>
      <c r="E5" s="12">
        <v>254.73</v>
      </c>
      <c r="F5" s="12">
        <v>270.84</v>
      </c>
    </row>
    <row r="6" spans="1:6">
      <c r="A6" s="11">
        <v>0.11</v>
      </c>
      <c r="B6" s="12">
        <v>189.61</v>
      </c>
      <c r="C6" s="12">
        <v>196.82</v>
      </c>
      <c r="D6" s="12">
        <v>204.99</v>
      </c>
      <c r="E6" s="12">
        <v>214.32</v>
      </c>
      <c r="F6" s="12">
        <v>225.09</v>
      </c>
    </row>
    <row r="7" spans="1:6">
      <c r="A7" s="11">
        <v>0.12</v>
      </c>
      <c r="B7" s="12">
        <v>166.45</v>
      </c>
      <c r="C7" s="12">
        <v>171.74</v>
      </c>
      <c r="D7" s="12">
        <v>177.65</v>
      </c>
      <c r="E7" s="12">
        <v>184.3</v>
      </c>
      <c r="F7" s="12">
        <v>191.83</v>
      </c>
    </row>
    <row r="8" spans="1:6">
      <c r="A8" s="11">
        <v>0.13</v>
      </c>
      <c r="B8" s="12">
        <v>147.94</v>
      </c>
      <c r="C8" s="12">
        <v>151.92</v>
      </c>
      <c r="D8" s="12">
        <v>156.31</v>
      </c>
      <c r="E8" s="12">
        <v>161.19</v>
      </c>
      <c r="F8" s="12">
        <v>166.65</v>
      </c>
    </row>
    <row r="9" spans="1:6">
      <c r="A9" s="11">
        <v>0.14</v>
      </c>
      <c r="B9" s="12">
        <v>132.84</v>
      </c>
      <c r="C9" s="12">
        <v>135.89</v>
      </c>
      <c r="D9" s="12">
        <v>139.23</v>
      </c>
      <c r="E9" s="12">
        <v>142.9</v>
      </c>
      <c r="F9" s="12">
        <v>146.95</v>
      </c>
    </row>
    <row r="11" spans="1:6" ht="30" customHeight="1">
      <c r="A11" s="1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21"/>
  <sheetViews>
    <sheetView workbookViewId="0"/>
  </sheetViews>
  <sheetFormatPr defaultRowHeight="15"/>
  <cols>
    <col min="1" max="1" width="28.7109375" customWidth="1"/>
    <col min="2" max="4" width="16.7109375" customWidth="1"/>
  </cols>
  <sheetData>
    <row r="1" spans="1:4">
      <c r="A1" s="1" t="s">
        <v>67</v>
      </c>
    </row>
    <row r="3" spans="1:4">
      <c r="A3" s="7" t="s">
        <v>68</v>
      </c>
      <c r="B3" s="7" t="s">
        <v>69</v>
      </c>
      <c r="C3" s="7" t="s">
        <v>70</v>
      </c>
      <c r="D3" s="7" t="s">
        <v>71</v>
      </c>
    </row>
    <row r="4" spans="1:4">
      <c r="A4" t="s">
        <v>10</v>
      </c>
      <c r="B4" s="8">
        <v>0.135</v>
      </c>
      <c r="C4" s="8">
        <v>0.12</v>
      </c>
      <c r="D4" s="8">
        <v>0.11</v>
      </c>
    </row>
    <row r="5" spans="1:4">
      <c r="A5" t="s">
        <v>72</v>
      </c>
      <c r="B5" s="8">
        <v>0.025</v>
      </c>
      <c r="C5" s="8">
        <v>0.035</v>
      </c>
      <c r="D5" s="8">
        <v>0.04</v>
      </c>
    </row>
    <row r="6" spans="1:4">
      <c r="A6" t="s">
        <v>73</v>
      </c>
      <c r="B6" s="8">
        <v>0.25</v>
      </c>
      <c r="C6" s="8">
        <v>0.44</v>
      </c>
      <c r="D6" s="8">
        <v>0.5</v>
      </c>
    </row>
    <row r="7" spans="1:4">
      <c r="A7" t="s">
        <v>74</v>
      </c>
      <c r="B7" s="8">
        <v>0.05</v>
      </c>
      <c r="C7" s="8">
        <v>0.1</v>
      </c>
      <c r="D7" s="8">
        <v>0.13</v>
      </c>
    </row>
    <row r="8" spans="1:4">
      <c r="A8" t="s">
        <v>75</v>
      </c>
      <c r="B8" s="8">
        <v>0.244</v>
      </c>
      <c r="C8" s="8">
        <v>0.325</v>
      </c>
      <c r="D8" s="8">
        <v>0.369</v>
      </c>
    </row>
    <row r="9" spans="1:4">
      <c r="A9" t="s">
        <v>76</v>
      </c>
      <c r="B9" t="s">
        <v>77</v>
      </c>
      <c r="C9" t="s">
        <v>77</v>
      </c>
      <c r="D9" t="s">
        <v>77</v>
      </c>
    </row>
    <row r="10" spans="1:4">
      <c r="A10" t="s">
        <v>78</v>
      </c>
      <c r="B10" s="8">
        <v>0.441</v>
      </c>
      <c r="C10" s="8">
        <v>0.593</v>
      </c>
      <c r="D10" s="8">
        <v>0.6850000000000001</v>
      </c>
    </row>
    <row r="11" spans="1:4">
      <c r="A11" t="s">
        <v>79</v>
      </c>
      <c r="B11" s="5">
        <v>9.300000000000001</v>
      </c>
      <c r="C11" s="5">
        <v>12.2</v>
      </c>
      <c r="D11" s="5">
        <v>14.9</v>
      </c>
    </row>
    <row r="12" spans="1:4">
      <c r="A12" t="s">
        <v>80</v>
      </c>
      <c r="B12" s="12">
        <v>53.59</v>
      </c>
      <c r="C12" s="12">
        <v>177.65</v>
      </c>
      <c r="D12" s="12">
        <v>372.37</v>
      </c>
    </row>
    <row r="13" spans="1:4">
      <c r="A13" t="s">
        <v>81</v>
      </c>
      <c r="B13" s="8">
        <v>-0.619</v>
      </c>
      <c r="C13" s="8">
        <v>0.263</v>
      </c>
      <c r="D13" s="8">
        <v>1.647</v>
      </c>
    </row>
    <row r="15" spans="1:4">
      <c r="A15" s="9" t="s">
        <v>82</v>
      </c>
      <c r="B15" s="8">
        <v>0.25</v>
      </c>
      <c r="C15" s="8">
        <v>0.5</v>
      </c>
      <c r="D15" s="8">
        <v>0.25</v>
      </c>
    </row>
    <row r="16" spans="1:4">
      <c r="A16" s="9" t="s">
        <v>83</v>
      </c>
      <c r="C16" s="10">
        <v>195.32</v>
      </c>
    </row>
    <row r="17" spans="1:3">
      <c r="A17" t="s">
        <v>84</v>
      </c>
      <c r="C17" s="8">
        <v>0.388</v>
      </c>
    </row>
    <row r="19" spans="1:3">
      <c r="A19" s="9" t="s">
        <v>85</v>
      </c>
      <c r="C19" s="12">
        <v>223.83</v>
      </c>
    </row>
    <row r="20" spans="1:3">
      <c r="A20" t="s">
        <v>86</v>
      </c>
      <c r="C20" s="12">
        <v>46.18</v>
      </c>
    </row>
    <row r="21" spans="1:3" ht="45" customHeight="1">
      <c r="A21" s="13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8"/>
  <sheetViews>
    <sheetView workbookViewId="0"/>
  </sheetViews>
  <sheetFormatPr defaultRowHeight="15"/>
  <cols>
    <col min="1" max="1" width="32.7109375" customWidth="1"/>
    <col min="2" max="7" width="14.7109375" customWidth="1"/>
  </cols>
  <sheetData>
    <row r="1" spans="1:7">
      <c r="A1" s="1" t="s">
        <v>88</v>
      </c>
    </row>
    <row r="3" spans="1:7">
      <c r="A3" s="7"/>
      <c r="B3" s="7" t="s">
        <v>89</v>
      </c>
      <c r="C3" s="7" t="s">
        <v>90</v>
      </c>
      <c r="D3" s="7" t="s">
        <v>91</v>
      </c>
      <c r="E3" s="7" t="s">
        <v>92</v>
      </c>
      <c r="F3" s="7" t="s">
        <v>93</v>
      </c>
      <c r="G3" s="7" t="s">
        <v>94</v>
      </c>
    </row>
    <row r="4" spans="1:7">
      <c r="A4" t="s">
        <v>32</v>
      </c>
      <c r="B4" s="5">
        <v>666.7</v>
      </c>
      <c r="C4" s="5">
        <v>804</v>
      </c>
      <c r="D4" s="5">
        <v>1300.2</v>
      </c>
      <c r="E4" s="5">
        <v>1300.2</v>
      </c>
      <c r="F4" s="5">
        <v>2202.5</v>
      </c>
      <c r="G4" s="5">
        <v>2778.8</v>
      </c>
    </row>
    <row r="5" spans="1:7">
      <c r="A5" t="s">
        <v>95</v>
      </c>
      <c r="B5" s="5">
        <v>-100.3</v>
      </c>
      <c r="C5" s="5">
        <v>-84.8</v>
      </c>
      <c r="D5" s="5">
        <v>215.8</v>
      </c>
      <c r="E5" s="5">
        <v>215.8</v>
      </c>
      <c r="F5" s="5">
        <v>684.2</v>
      </c>
      <c r="G5" s="5">
        <v>1018.7</v>
      </c>
    </row>
    <row r="6" spans="1:7">
      <c r="A6" t="s">
        <v>96</v>
      </c>
      <c r="B6" s="5">
        <v>55.3</v>
      </c>
      <c r="C6" s="5">
        <v>47.6</v>
      </c>
      <c r="D6" s="5">
        <v>801.6</v>
      </c>
      <c r="E6" s="5">
        <v>207</v>
      </c>
      <c r="F6" s="5">
        <v>343.2</v>
      </c>
      <c r="G6" s="5">
        <v>338</v>
      </c>
    </row>
    <row r="7" spans="1:7">
      <c r="A7" t="s">
        <v>97</v>
      </c>
      <c r="B7" s="5">
        <v>0</v>
      </c>
      <c r="C7" s="5">
        <v>4.3</v>
      </c>
      <c r="D7" s="5">
        <v>294.6</v>
      </c>
      <c r="E7" s="5">
        <v>104.7</v>
      </c>
      <c r="F7" s="5">
        <v>104</v>
      </c>
      <c r="G7" s="5">
        <v>82.8</v>
      </c>
    </row>
    <row r="8" spans="1:7">
      <c r="A8" t="s">
        <v>98</v>
      </c>
      <c r="B8" s="5">
        <v>0</v>
      </c>
      <c r="C8" s="5">
        <v>0</v>
      </c>
      <c r="D8" s="5">
        <v>75.40000000000001</v>
      </c>
      <c r="E8" s="5">
        <v>75.40000000000001</v>
      </c>
      <c r="F8" s="5">
        <v>86.7</v>
      </c>
      <c r="G8" s="5">
        <v>92.90000000000001</v>
      </c>
    </row>
    <row r="9" spans="1:7">
      <c r="A9" t="inlineStr">
        <is>
          <t>= Owner FCF</t>
        </is>
      </c>
      <c r="B9" s="5">
        <v>-155.6</v>
      </c>
      <c r="C9" s="5">
        <v>-136.7</v>
      </c>
      <c r="D9" s="5">
        <v>-955.8</v>
      </c>
      <c r="E9" s="5">
        <v>-171.3</v>
      </c>
      <c r="F9" s="5">
        <v>150.3</v>
      </c>
      <c r="G9" s="5">
        <v>505</v>
      </c>
    </row>
    <row r="10" spans="1:7">
      <c r="A10" t="s">
        <v>99</v>
      </c>
      <c r="B10" s="8">
        <v>-0.1504424778761062</v>
      </c>
      <c r="C10" s="8">
        <v>-0.1054726368159204</v>
      </c>
      <c r="D10" s="8">
        <v>0.1659744654668513</v>
      </c>
      <c r="E10" s="8">
        <v>0.1659744654668513</v>
      </c>
      <c r="F10" s="8">
        <v>0.3106469920544835</v>
      </c>
      <c r="G10" s="8">
        <v>0.3665970922700446</v>
      </c>
    </row>
    <row r="11" spans="1:7">
      <c r="A11" t="s">
        <v>42</v>
      </c>
      <c r="B11" s="8">
        <v>-0.2333883305834708</v>
      </c>
      <c r="C11" s="8">
        <v>-0.1700248756218905</v>
      </c>
      <c r="D11" s="8">
        <v>-0.7351176742039686</v>
      </c>
      <c r="E11" s="8">
        <v>-0.1317489616982003</v>
      </c>
      <c r="F11" s="8">
        <v>0.06824063564131669</v>
      </c>
      <c r="G11" s="8">
        <v>0.1817331222110263</v>
      </c>
    </row>
    <row r="13" spans="1:7">
      <c r="A13" s="9" t="s">
        <v>100</v>
      </c>
    </row>
    <row r="14" spans="1:7" ht="30" customHeight="1">
      <c r="A14" s="13" t="s">
        <v>101</v>
      </c>
    </row>
    <row r="15" spans="1:7" ht="30" customHeight="1">
      <c r="A15" s="13" t="s">
        <v>102</v>
      </c>
    </row>
    <row r="16" spans="1:7" ht="30" customHeight="1">
      <c r="A16" s="13" t="s">
        <v>103</v>
      </c>
    </row>
    <row r="17" spans="1:1" ht="30" customHeight="1">
      <c r="A17" s="13" t="s">
        <v>104</v>
      </c>
    </row>
    <row r="18" spans="1:1" ht="30" customHeight="1">
      <c r="A18" s="13" t="s">
        <v>105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8.7109375" customWidth="1"/>
    <col min="2" max="3" width="15.7109375" customWidth="1"/>
  </cols>
  <sheetData>
    <row r="1" spans="1:2">
      <c r="A1" s="1" t="s">
        <v>106</v>
      </c>
    </row>
    <row r="3" spans="1:2">
      <c r="A3" s="7" t="s">
        <v>68</v>
      </c>
      <c r="B3" s="7" t="s">
        <v>107</v>
      </c>
    </row>
    <row r="4" spans="1:2">
      <c r="A4" t="s">
        <v>108</v>
      </c>
      <c r="B4" s="8">
        <v>0.489</v>
      </c>
    </row>
    <row r="5" spans="1:2">
      <c r="A5" t="s">
        <v>109</v>
      </c>
      <c r="B5" s="8">
        <v>0.375</v>
      </c>
    </row>
    <row r="6" spans="1:2">
      <c r="A6" t="s">
        <v>110</v>
      </c>
      <c r="B6" s="8">
        <v>0.489</v>
      </c>
    </row>
    <row r="7" spans="1:2">
      <c r="A7" t="s">
        <v>111</v>
      </c>
      <c r="B7" t="s">
        <v>112</v>
      </c>
    </row>
    <row r="9" spans="1:2">
      <c r="A9" s="9" t="s">
        <v>113</v>
      </c>
    </row>
    <row r="10" spans="1:2" ht="90" customHeight="1">
      <c r="A10" s="13" t="s">
        <v>114</v>
      </c>
    </row>
    <row r="12" spans="1:2">
      <c r="A12" s="9" t="s">
        <v>100</v>
      </c>
    </row>
    <row r="13" spans="1:2" ht="75" customHeight="1">
      <c r="A13" s="13" t="s">
        <v>115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4"/>
  <sheetViews>
    <sheetView workbookViewId="0"/>
  </sheetViews>
  <sheetFormatPr defaultRowHeight="15"/>
  <cols>
    <col min="1" max="1" width="32.7109375" customWidth="1"/>
    <col min="2" max="2" width="60.7109375" customWidth="1"/>
  </cols>
  <sheetData>
    <row r="1" spans="1:2">
      <c r="A1" s="1" t="s">
        <v>116</v>
      </c>
    </row>
    <row r="4" spans="1:2" ht="60" customHeight="1">
      <c r="A4" t="s">
        <v>117</v>
      </c>
      <c r="B4" s="13" t="s">
        <v>118</v>
      </c>
    </row>
    <row r="5" spans="1:2" ht="60" customHeight="1">
      <c r="A5" t="s">
        <v>119</v>
      </c>
      <c r="B5" s="13" t="s">
        <v>120</v>
      </c>
    </row>
    <row r="6" spans="1:2">
      <c r="A6" t="s">
        <v>121</v>
      </c>
      <c r="B6" s="5">
        <v>28415.3</v>
      </c>
    </row>
    <row r="7" spans="1:2">
      <c r="A7" t="s">
        <v>122</v>
      </c>
      <c r="B7" s="5">
        <v>31201.6</v>
      </c>
    </row>
    <row r="8" spans="1:2">
      <c r="A8" t="s">
        <v>123</v>
      </c>
      <c r="B8" s="5">
        <v>61.8</v>
      </c>
    </row>
    <row r="9" spans="1:2">
      <c r="A9" t="s">
        <v>124</v>
      </c>
      <c r="B9" s="5">
        <v>10.2</v>
      </c>
    </row>
    <row r="10" spans="1:2">
      <c r="A10" t="s">
        <v>125</v>
      </c>
      <c r="B10" s="5">
        <v>12.9</v>
      </c>
    </row>
    <row r="11" spans="1:2">
      <c r="A11" t="s">
        <v>126</v>
      </c>
      <c r="B11" s="5">
        <v>15</v>
      </c>
    </row>
    <row r="12" spans="1:2">
      <c r="A12" t="s">
        <v>127</v>
      </c>
      <c r="B12" s="5">
        <v>18.9</v>
      </c>
    </row>
    <row r="13" spans="1:2" ht="60" customHeight="1">
      <c r="A13" t="s">
        <v>128</v>
      </c>
      <c r="B13" s="13" t="s">
        <v>129</v>
      </c>
    </row>
    <row r="14" spans="1:2" ht="60" customHeight="1">
      <c r="A14" t="s">
        <v>130</v>
      </c>
      <c r="B14" s="13" t="s">
        <v>131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20"/>
  <sheetViews>
    <sheetView workbookViewId="0"/>
  </sheetViews>
  <sheetFormatPr defaultRowHeight="15"/>
  <cols>
    <col min="1" max="1" width="28.7109375" customWidth="1"/>
    <col min="2" max="2" width="90.7109375" customWidth="1"/>
  </cols>
  <sheetData>
    <row r="1" spans="1:2">
      <c r="A1" s="1" t="s">
        <v>132</v>
      </c>
    </row>
    <row r="3" spans="1:2" ht="35" customHeight="1">
      <c r="A3" s="9" t="s">
        <v>133</v>
      </c>
      <c r="B3" s="13" t="s">
        <v>134</v>
      </c>
    </row>
    <row r="4" spans="1:2" ht="30" customHeight="1">
      <c r="A4" s="9" t="s">
        <v>135</v>
      </c>
      <c r="B4" s="13" t="s">
        <v>136</v>
      </c>
    </row>
    <row r="5" spans="1:2" ht="30" customHeight="1">
      <c r="A5" s="9" t="s">
        <v>137</v>
      </c>
      <c r="B5" s="13" t="s">
        <v>138</v>
      </c>
    </row>
    <row r="6" spans="1:2" ht="50" customHeight="1">
      <c r="A6" s="9" t="s">
        <v>139</v>
      </c>
      <c r="B6" s="13" t="s">
        <v>140</v>
      </c>
    </row>
    <row r="7" spans="1:2" ht="50" customHeight="1">
      <c r="A7" s="9" t="s">
        <v>141</v>
      </c>
      <c r="B7" s="13" t="s">
        <v>142</v>
      </c>
    </row>
    <row r="8" spans="1:2" ht="50" customHeight="1">
      <c r="A8" s="9" t="s">
        <v>143</v>
      </c>
      <c r="B8" s="13" t="s">
        <v>144</v>
      </c>
    </row>
    <row r="9" spans="1:2" ht="50" customHeight="1">
      <c r="A9" s="9" t="s">
        <v>145</v>
      </c>
      <c r="B9" s="13" t="s">
        <v>146</v>
      </c>
    </row>
    <row r="10" spans="1:2" ht="65" customHeight="1">
      <c r="A10" s="9" t="s">
        <v>147</v>
      </c>
      <c r="B10" s="13" t="s">
        <v>148</v>
      </c>
    </row>
    <row r="11" spans="1:2" ht="50" customHeight="1">
      <c r="A11" s="9" t="s">
        <v>149</v>
      </c>
      <c r="B11" s="13" t="s">
        <v>150</v>
      </c>
    </row>
    <row r="12" spans="1:2" ht="95" customHeight="1">
      <c r="A12" s="9" t="s">
        <v>151</v>
      </c>
      <c r="B12" s="13" t="s">
        <v>152</v>
      </c>
    </row>
    <row r="13" spans="1:2" ht="50" customHeight="1">
      <c r="A13" s="9" t="s">
        <v>153</v>
      </c>
      <c r="B13" s="13" t="s">
        <v>154</v>
      </c>
    </row>
    <row r="14" spans="1:2" ht="50" customHeight="1">
      <c r="A14" s="9" t="s">
        <v>155</v>
      </c>
      <c r="B14" s="13" t="s">
        <v>156</v>
      </c>
    </row>
    <row r="15" spans="1:2" ht="50" customHeight="1">
      <c r="A15" s="9" t="s">
        <v>157</v>
      </c>
      <c r="B15" s="13" t="s">
        <v>158</v>
      </c>
    </row>
    <row r="16" spans="1:2" ht="65" customHeight="1">
      <c r="A16" s="9" t="s">
        <v>159</v>
      </c>
      <c r="B16" s="13" t="s">
        <v>160</v>
      </c>
    </row>
    <row r="17" spans="1:2" ht="50" customHeight="1">
      <c r="A17" s="9" t="s">
        <v>161</v>
      </c>
      <c r="B17" s="13" t="s">
        <v>162</v>
      </c>
    </row>
    <row r="18" spans="1:2" ht="65" customHeight="1">
      <c r="A18" s="9" t="s">
        <v>163</v>
      </c>
      <c r="B18" s="13" t="s">
        <v>164</v>
      </c>
    </row>
    <row r="19" spans="1:2" ht="35" customHeight="1">
      <c r="A19" s="9" t="s">
        <v>165</v>
      </c>
      <c r="B19" s="13" t="s">
        <v>166</v>
      </c>
    </row>
    <row r="20" spans="1:2" ht="65" customHeight="1">
      <c r="A20" s="9" t="s">
        <v>167</v>
      </c>
      <c r="B20" s="13" t="s">
        <v>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DCF Model</vt:lpstr>
      <vt:lpstr>Sensitivity</vt:lpstr>
      <vt:lpstr>Scenarios</vt:lpstr>
      <vt:lpstr>FCF Quality</vt:lpstr>
      <vt:lpstr>Historical</vt:lpstr>
      <vt:lpstr>Sanity Check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2026-08-03T00:46:32Z</dcterms:created>
  <dcterms:modified xsi:type="dcterms:W3CDTF">2026-08-03T00:46:32Z</dcterms:modified>
</cp:coreProperties>
</file>