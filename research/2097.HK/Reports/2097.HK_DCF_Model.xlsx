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<sst xmlns="http://schemas.openxmlformats.org/spreadsheetml/2006/main" count="347" uniqueCount="163">
  <si>
    <t xml:space="preserve">Ticker</t>
  </si>
  <si>
    <t xml:space="preserve">2097.HK</t>
  </si>
  <si>
    <t xml:space="preserve">Company</t>
  </si>
  <si>
    <t xml:space="preserve">MIXUE Group</t>
  </si>
  <si>
    <t xml:space="preserve">Valuation date</t>
  </si>
  <si>
    <t xml:space="preserve">2026-10-17</t>
  </si>
  <si>
    <t xml:space="preserve">Current price</t>
  </si>
  <si>
    <t xml:space="preserve">Price as of</t>
  </si>
  <si>
    <t xml:space="preserve">2026-10-16T08:08:14Z regular close (HKEX)</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</si>
  <si>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</si>
  <si>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</si>
  <si>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</si>
  <si>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</si>
  <si>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</si>
  <si>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</si>
  <si>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</si>
  <si>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</si>
  <si>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</si>
  <si>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</si>
  <si>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</si>
  <si>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</si>
  <si>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</si>
  <si>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2026-10-17T03:12:13Z</t>
  </si>
  <si>
    <t xml:space="preserve">Drivers file</t>
  </si>
  <si>
    <t xml:space="preserve">2097.HK_Drivers.json</t>
  </si>
  <si>
    <t xml:space="preserve">Convention</t>
  </si>
  <si>
    <t xml:space="preserve">Percents stored as percents; formulas divide by 100. Blue = input, green = link, black = formula.</t>
  </si>
  <si>
    <t xml:space="preserve">Methodology</t>
  </si>
  <si>
    <t xml:space="preserve">summary: Owner-FCF DCF on RMB flows discounted at an RMB 9% cost of equity and converted to HKD at 1.1724. Year 1 is anchored to the decelerated H1 FY2026 run-rate, not FY2025. Net cash includes deposits and WMPs, less the declared special dividend, because their income is stripped from the flows. Leases are charged in the flows and NCI in the bridge.
key_risks_to_valuation: Share loss to Chabaidao / Guming / Hushang Ayi turns the H1 FY2026 deceleration into multi-year revenue decline; Food-safety or franchise-liability regulation event (SAMR, CCTV 3.15) across ~64,000 independently owned stores; Margin: ingredient mark-up given back to franchisees in the delivery-platform price war; Cash-pile capital allocation: ~RMB20bn of liquidity spent on low-return M&amp;A (FULU-style) instead of returned; CNY/HKD rate and PRC capital-control risk on the cash pile</t>
  </si>
  <si>
    <t xml:space="preserve">Data sources</t>
  </si>
  <si>
    <t xml:space="preserve">price: Yahoo Finance chart API (2097.HK) at inputs.price_as_of; 52-week range HK$164.2-464.0
fx: Yahoo Finance CNYHKD=X, cross-checked against HKD=X / CNY=X
financials: 2097.HK_Metrics.csv / core_metrics and kpis (FY2021-FY2025, H1 FY2024-FY2026); FY2025 annual report and H1 FY2026 interim report (balance sheet, cash flow statement, liquidity paragraph, special dividend note)
qualitative: 2097.HK_Analysis.json (2026-10-17)</t>
  </si>
  <si>
    <t xml:space="preserve">Scenario narrative: bear</t>
  </si>
  <si>
    <t xml:space="preserve">The analysts disputing management's base-effect story are right. Faster-growing rivals take share in MIXUE's core lower-tier market, closures exceed openings in China, and MIXUE cuts its ingredient mark-up to keep franchisees solvent, pushing operating EBITDA margin toward 18%. A repeat of the 2022/2023/2025 food-safety incidents under heightened SAMR and CCTV 3.15 scrutiny costs a year of growth. Revenue falls ~9% cumulatively over FY2026-FY2028, then grows only at ~2%.</t>
  </si>
  <si>
    <t xml:space="preserve">Scenario narrative: base</t>
  </si>
  <si>
    <t xml:space="preserve">MIXUE remains China's low-price volume leader but the store roll-out has matured. FY2026 revenue is roughly flat (+1%) as H2 laps the 2025 food-delivery subsidy surge. Growth then settles in the mid-single digits, driven by net store adds in lower-tier cities, Lucky Cup coffee, FULU fresh beer and overseas stores, while China same-store volumes go nowhere. Operating EBITDA margin stays near the H1 FY2026 level of ~22%, below the 23-25% of FY2024-25. The supply-chain cost advantage holds, but the price war takes away the margin that scale used to add. The large cash pile (~RMB20.6bn after the special dividend, ~38% of market cap) carries a big share of the value.</t>
  </si>
  <si>
    <t xml:space="preserve">Scenario narrative: bull</t>
  </si>
  <si>
    <t xml:space="preserve">The H1 FY2026 slowdown turns out to be the base effect management described. Once the subsidy war is regulated down, order volumes normalise. Lucky Cup takes share from Luckin and Cotti at the low end on MIXUE's own supply chain, FULU replicates the franchise model in draft beer, and international expansion (Southeast Asia, Kazakhstan, US) becomes a second engine. Revenue compounds at ~10% for five years and margin recovers to ~23.5% as the smart-dispenser rollout and mix lift unit economics.</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</si>
  <si>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</si>
  <si>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</si>
  <si>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</si>
  <si>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</si>
  <si>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</si>
  <si>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</si>
  <si>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</si>
  <si>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</si>
  <si>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</si>
  <si>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</si>
  <si>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</si>
  <si>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</si>
  <si>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</si>
  <si>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</si>
  <si>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</si>
  <si>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</si>
  <si>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</si>
  <si>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</si>
  <si>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</si>
  <si>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</si>
  <si>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</si>
  <si>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</si>
  <si>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</si>
  <si>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</si>
  <si>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</si>
  <si>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</si>
  <si>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</si>
  <si>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FVTPLFinancialAssets</t>
  </si>
  <si>
    <t xml:space="preserve">ProfitForPeriodTotal</t>
  </si>
  <si>
    <t xml:space="preserve">TotalEquityInclNCI</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</si>
  <si>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</si>
  <si>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</si>
  <si>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</si>
  <si>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</si>
  <si>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</si>
  <si>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</si>
  <si>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</si>
  <si>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</si>
  <si>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</si>
  <si>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</si>
  <si>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</si>
  <si>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</si>
  <si>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</si>
  <si>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</si>
  <si>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</si>
  <si>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</si>
  <si>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</si>
  <si>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</si>
  <si>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</si>
  <si>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</si>
  <si>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</si>
  <si>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</si>
  <si>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</si>
  <si>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</si>
  <si>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</si>
  <si>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</si>
  <si>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</si>
  <si>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</si>
  <si>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</si>
  <si>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</si>
  <si>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</si>
  <si>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</si>
  <si>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</si>
  <si>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</si>
  <si>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</si>
  <si>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</si>
  <si>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</si>
  <si>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</si>
  <si>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</si>
  <si>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</si>
  <si>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</si>
  <si>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</si>
  <si>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2097.HK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</si>
  <si>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</si>
  <si>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</si>
  <si>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</si>
  <si>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</si>
  <si>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</si>
  <si>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</si>
  <si>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</si>
  <si>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</si>
  <si>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</si>
  <si>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</si>
  <si>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</si>
  <si>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</si>
  <si>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</si>
  <si>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</si>
  <si>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</si>
  <si>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</si>
  <si>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</si>
  <si>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</si>
  <si>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</si>
  <si>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</si>
  <si>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</si>
  <si>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</si>
  <si>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</si>
  <si>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</si>
  <si>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</si>
  <si>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</si>
  <si>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</si>
  <si>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</si>
  <si>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</si>
  <si>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</si>
  <si>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2097.HK owner-FCF component DCF: base case (millions, CNY)</t>
  </si>
  <si>
    <t xml:space="preserve">2097.HK owner-FCF component DCF: bull case (millions, CNY)</t>
  </si>
  <si>
    <t xml:space="preserve">2097.HK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</si>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</sst>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167.5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46.2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row>
    <row r="2" customFormat="false" ht="15" hidden="false" customHeight="false" outlineLevel="0" collapsed="false">
      <c r="A2" s="0" t="s">
        <v>67</v>
      </c>
      <c r="B2" s="0" t="n">
        <v>10350.986</v>
      </c>
      <c r="D2" s="0" t="n">
        <v>3243.862</v>
      </c>
      <c r="E2" s="0" t="n">
        <v>31.3</v>
      </c>
      <c r="I2" s="0" t="n">
        <v>1911.942</v>
      </c>
      <c r="J2" s="0" t="n">
        <v>18.5</v>
      </c>
      <c r="K2" s="0" t="n">
        <v>5.32</v>
      </c>
      <c r="P2" s="0" t="n">
        <v>7316.383</v>
      </c>
      <c r="Q2" s="0" t="n">
        <v>1773.673</v>
      </c>
      <c r="T2" s="0" t="n">
        <v>360</v>
      </c>
      <c r="AA2" s="0" t="s">
        <v>18</v>
      </c>
      <c r="AB2" s="0" t="s">
        <v>14</v>
      </c>
      <c r="AC2" s="0" t="n">
        <v>900.237</v>
      </c>
      <c r="AE2" s="0" t="n">
        <v>5542.71</v>
      </c>
    </row>
    <row r="3" customFormat="false" ht="15" hidden="false" customHeight="false" outlineLevel="0" collapsed="false">
      <c r="A3" s="0" t="s">
        <v>68</v>
      </c>
      <c r="B3" s="0" t="n">
        <v>13575.577</v>
      </c>
      <c r="D3" s="0" t="n">
        <v>3846.837</v>
      </c>
      <c r="E3" s="0" t="n">
        <v>28.3</v>
      </c>
      <c r="I3" s="0" t="n">
        <v>2013.091</v>
      </c>
      <c r="J3" s="0" t="n">
        <v>14.8</v>
      </c>
      <c r="K3" s="0" t="n">
        <v>5.55</v>
      </c>
      <c r="P3" s="0" t="n">
        <v>9945.356</v>
      </c>
      <c r="Q3" s="0" t="n">
        <v>2466.089</v>
      </c>
      <c r="S3" s="0" t="n">
        <v>2764.138</v>
      </c>
      <c r="T3" s="0" t="n">
        <v>360</v>
      </c>
      <c r="AA3" s="0" t="s">
        <v>18</v>
      </c>
      <c r="AB3" s="0" t="s">
        <v>14</v>
      </c>
      <c r="AC3" s="0" t="n">
        <v>1865.676</v>
      </c>
      <c r="AE3" s="0" t="n">
        <v>7479.267</v>
      </c>
    </row>
    <row r="4" customFormat="false" ht="15" hidden="false" customHeight="false" outlineLevel="0" collapsed="false">
      <c r="A4" s="0" t="s">
        <v>69</v>
      </c>
      <c r="B4" s="0" t="n">
        <v>20302.465</v>
      </c>
      <c r="C4" s="0" t="n">
        <v>14303.498</v>
      </c>
      <c r="D4" s="0" t="n">
        <v>5998.967</v>
      </c>
      <c r="E4" s="0" t="n">
        <v>29.5</v>
      </c>
      <c r="F4" s="0" t="n">
        <v>4168.699</v>
      </c>
      <c r="G4" s="0" t="n">
        <v>20.5</v>
      </c>
      <c r="H4" s="0" t="n">
        <v>4436.475</v>
      </c>
      <c r="I4" s="0" t="n">
        <v>3137.341</v>
      </c>
      <c r="J4" s="0" t="n">
        <v>15.5</v>
      </c>
      <c r="K4" s="0" t="n">
        <v>8.71</v>
      </c>
      <c r="L4" s="0" t="n">
        <v>3793.872</v>
      </c>
      <c r="M4" s="0" t="n">
        <v>1690.766</v>
      </c>
      <c r="N4" s="0" t="n">
        <v>2103.106</v>
      </c>
      <c r="O4" s="0" t="n">
        <v>10506.993</v>
      </c>
      <c r="P4" s="0" t="n">
        <v>14593.566</v>
      </c>
      <c r="Q4" s="0" t="n">
        <v>3998.101</v>
      </c>
      <c r="R4" s="0" t="n">
        <v>259.748</v>
      </c>
      <c r="S4" s="0" t="n">
        <v>5621.904</v>
      </c>
      <c r="T4" s="0" t="n">
        <v>360</v>
      </c>
      <c r="U4" s="0" t="n">
        <v>16.427</v>
      </c>
      <c r="AA4" s="0" t="s">
        <v>18</v>
      </c>
      <c r="AB4" s="0" t="s">
        <v>14</v>
      </c>
      <c r="AC4" s="0" t="n">
        <v>746.046</v>
      </c>
      <c r="AD4" s="0" t="n">
        <v>3186.605</v>
      </c>
      <c r="AE4" s="0" t="n">
        <v>10595.465</v>
      </c>
    </row>
    <row r="5" customFormat="false" ht="15" hidden="false" customHeight="false" outlineLevel="0" collapsed="false">
      <c r="A5" s="0" t="s">
        <v>70</v>
      </c>
      <c r="B5" s="0" t="n">
        <v>24828.874</v>
      </c>
      <c r="C5" s="0" t="n">
        <v>16768.667</v>
      </c>
      <c r="D5" s="0" t="n">
        <v>8060.207</v>
      </c>
      <c r="E5" s="0" t="n">
        <v>32.5</v>
      </c>
      <c r="F5" s="0" t="n">
        <v>5816.95</v>
      </c>
      <c r="G5" s="0" t="n">
        <v>23.4</v>
      </c>
      <c r="H5" s="0" t="n">
        <v>6236.305</v>
      </c>
      <c r="I5" s="0" t="n">
        <v>4436.504</v>
      </c>
      <c r="J5" s="0" t="n">
        <v>17.9</v>
      </c>
      <c r="K5" s="0" t="n">
        <v>12.32</v>
      </c>
      <c r="L5" s="0" t="n">
        <v>6008.708</v>
      </c>
      <c r="M5" s="0" t="n">
        <v>1449.812</v>
      </c>
      <c r="N5" s="0" t="n">
        <v>4558.896</v>
      </c>
      <c r="O5" s="0" t="n">
        <v>14955.519</v>
      </c>
      <c r="P5" s="0" t="n">
        <v>19783.322</v>
      </c>
      <c r="Q5" s="0" t="n">
        <v>4722.502</v>
      </c>
      <c r="R5" s="0" t="n">
        <v>0</v>
      </c>
      <c r="S5" s="0" t="n">
        <v>4335.123</v>
      </c>
      <c r="T5" s="0" t="n">
        <v>360</v>
      </c>
      <c r="U5" s="0" t="n">
        <v>15.786</v>
      </c>
      <c r="AA5" s="0" t="s">
        <v>18</v>
      </c>
      <c r="AB5" s="0" t="s">
        <v>14</v>
      </c>
      <c r="AC5" s="0" t="n">
        <v>3491.643</v>
      </c>
      <c r="AD5" s="0" t="n">
        <v>4454.203</v>
      </c>
      <c r="AE5" s="0" t="n">
        <v>15060.82</v>
      </c>
    </row>
    <row r="6" customFormat="false" ht="15" hidden="false" customHeight="false" outlineLevel="0" collapsed="false">
      <c r="A6" s="0" t="s">
        <v>71</v>
      </c>
      <c r="B6" s="0" t="n">
        <v>33559.923</v>
      </c>
      <c r="C6" s="0" t="n">
        <v>23108.161</v>
      </c>
      <c r="D6" s="0" t="n">
        <v>10451.762</v>
      </c>
      <c r="E6" s="0" t="n">
        <v>31.1</v>
      </c>
      <c r="F6" s="0" t="n">
        <v>7555.095</v>
      </c>
      <c r="G6" s="0" t="n">
        <v>22.5</v>
      </c>
      <c r="H6" s="0" t="n">
        <v>8099.236</v>
      </c>
      <c r="I6" s="0" t="n">
        <v>5886.704</v>
      </c>
      <c r="J6" s="0" t="n">
        <v>17.5</v>
      </c>
      <c r="K6" s="0" t="n">
        <v>15.65</v>
      </c>
      <c r="L6" s="0" t="n">
        <v>6039.033</v>
      </c>
      <c r="M6" s="0" t="n">
        <v>691.535</v>
      </c>
      <c r="N6" s="0" t="n">
        <v>5347.498</v>
      </c>
      <c r="O6" s="0" t="n">
        <v>24449.037</v>
      </c>
      <c r="P6" s="0" t="n">
        <v>30793.625</v>
      </c>
      <c r="Q6" s="0" t="n">
        <v>6024.867</v>
      </c>
      <c r="R6" s="0" t="n">
        <v>28.166</v>
      </c>
      <c r="S6" s="0" t="n">
        <v>7429.1</v>
      </c>
      <c r="T6" s="0" t="n">
        <v>379.619</v>
      </c>
      <c r="U6" s="0" t="n">
        <v>18.531</v>
      </c>
      <c r="AA6" s="0" t="s">
        <v>18</v>
      </c>
      <c r="AB6" s="0" t="s">
        <v>14</v>
      </c>
      <c r="AC6" s="0" t="n">
        <v>8935.127</v>
      </c>
      <c r="AD6" s="0" t="n">
        <v>5927.077</v>
      </c>
      <c r="AE6" s="0" t="n">
        <v>24768.758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72</v>
      </c>
      <c r="B1" s="2" t="s">
        <v>73</v>
      </c>
    </row>
    <row r="2" customFormat="false" ht="15" hidden="false" customHeight="false" outlineLevel="0" collapsed="false">
      <c r="A2" s="0" t="s">
        <v>74</v>
      </c>
      <c r="B2" s="3" t="n">
        <v>167.5</v>
      </c>
    </row>
    <row r="3" customFormat="false" ht="15" hidden="false" customHeight="false" outlineLevel="0" collapsed="false">
      <c r="A3" s="0" t="s">
        <v>75</v>
      </c>
      <c r="B3" s="3" t="n">
        <v>379.619</v>
      </c>
    </row>
    <row r="4" customFormat="false" ht="15" hidden="false" customHeight="false" outlineLevel="0" collapsed="false">
      <c r="A4" s="0" t="s">
        <v>76</v>
      </c>
      <c r="B4" s="3" t="n">
        <v>-20634.7</v>
      </c>
    </row>
    <row r="5" customFormat="false" ht="15" hidden="false" customHeight="false" outlineLevel="0" collapsed="false">
      <c r="A5" s="0" t="s">
        <v>77</v>
      </c>
      <c r="B5" s="3" t="n">
        <v>-214.925</v>
      </c>
    </row>
    <row r="6" customFormat="false" ht="15" hidden="false" customHeight="false" outlineLevel="0" collapsed="false">
      <c r="A6" s="0" t="s">
        <v>78</v>
      </c>
      <c r="B6" s="3" t="n">
        <v>15</v>
      </c>
    </row>
    <row r="7" customFormat="false" ht="15" hidden="false" customHeight="false" outlineLevel="0" collapsed="false">
      <c r="A7" s="0" t="s">
        <v>79</v>
      </c>
      <c r="B7" s="3" t="n">
        <v>33559.923</v>
      </c>
    </row>
    <row r="8" customFormat="false" ht="15" hidden="false" customHeight="false" outlineLevel="0" collapsed="false">
      <c r="A8" s="0" t="s">
        <v>80</v>
      </c>
      <c r="B8" s="3" t="s">
        <v>71</v>
      </c>
    </row>
    <row r="9" customFormat="false" ht="15" hidden="false" customHeight="false" outlineLevel="0" collapsed="false">
      <c r="A9" s="0" t="s">
        <v>81</v>
      </c>
      <c r="B9" s="3" t="s">
        <v>82</v>
      </c>
    </row>
    <row r="10" customFormat="false" ht="15" hidden="false" customHeight="false" outlineLevel="0" collapsed="false">
      <c r="A10" s="0" t="s">
        <v>83</v>
      </c>
      <c r="B10" s="3" t="n">
        <v>1.1724</v>
      </c>
    </row>
    <row r="12" customFormat="false" ht="15" hidden="false" customHeight="false" outlineLevel="0" collapsed="false">
      <c r="A12" s="2" t="s">
        <v>84</v>
      </c>
      <c r="C12" s="2" t="s">
        <v>85</v>
      </c>
      <c r="D12" s="2" t="s">
        <v>86</v>
      </c>
      <c r="E12" s="2" t="s">
        <v>87</v>
      </c>
      <c r="F12" s="2" t="s">
        <v>88</v>
      </c>
      <c r="G12" s="2" t="s">
        <v>89</v>
      </c>
      <c r="H12" s="2" t="s">
        <v>90</v>
      </c>
      <c r="I12" s="2" t="s">
        <v>91</v>
      </c>
      <c r="J12" s="2" t="s">
        <v>92</v>
      </c>
      <c r="K12" s="2" t="s">
        <v>93</v>
      </c>
      <c r="L12" s="2" t="s">
        <v>94</v>
      </c>
    </row>
    <row r="13" customFormat="false" ht="15" hidden="false" customHeight="false" outlineLevel="0" collapsed="false">
      <c r="A13" s="0" t="s">
        <v>95</v>
      </c>
      <c r="C13" s="3" t="n">
        <v>-3</v>
      </c>
      <c r="D13" s="3" t="n">
        <v>-4</v>
      </c>
      <c r="E13" s="3" t="n">
        <v>-2</v>
      </c>
      <c r="F13" s="3" t="n">
        <v>0</v>
      </c>
      <c r="G13" s="3" t="n">
        <v>1.5</v>
      </c>
      <c r="H13" s="3" t="n">
        <v>2</v>
      </c>
      <c r="I13" s="3" t="n">
        <v>2</v>
      </c>
      <c r="J13" s="3" t="n">
        <v>2</v>
      </c>
      <c r="K13" s="3" t="n">
        <v>2</v>
      </c>
      <c r="L13" s="3" t="n">
        <v>2</v>
      </c>
    </row>
    <row r="14" customFormat="false" ht="15" hidden="false" customHeight="false" outlineLevel="0" collapsed="false">
      <c r="A14" s="0" t="s">
        <v>96</v>
      </c>
      <c r="C14" s="3" t="n">
        <v>20.5</v>
      </c>
      <c r="D14" s="3" t="n">
        <v>19</v>
      </c>
      <c r="E14" s="3" t="n">
        <v>18.5</v>
      </c>
      <c r="F14" s="3" t="n">
        <v>18</v>
      </c>
      <c r="G14" s="3" t="n">
        <v>18</v>
      </c>
      <c r="H14" s="3" t="n">
        <v>18</v>
      </c>
      <c r="I14" s="3" t="n">
        <v>18</v>
      </c>
      <c r="J14" s="3" t="n">
        <v>18</v>
      </c>
      <c r="K14" s="3" t="n">
        <v>18</v>
      </c>
      <c r="L14" s="3" t="n">
        <v>18</v>
      </c>
    </row>
    <row r="15" customFormat="false" ht="15" hidden="false" customHeight="false" outlineLevel="0" collapsed="false">
      <c r="A15" s="0" t="s">
        <v>97</v>
      </c>
      <c r="C15" s="3" t="n">
        <v>0.06</v>
      </c>
      <c r="D15" s="3" t="n">
        <v>0.08</v>
      </c>
      <c r="E15" s="3" t="n">
        <v>0.1</v>
      </c>
      <c r="F15" s="3" t="n">
        <v>0.1</v>
      </c>
      <c r="G15" s="3" t="n">
        <v>0.1</v>
      </c>
      <c r="H15" s="3" t="n">
        <v>0.1</v>
      </c>
      <c r="I15" s="3" t="n">
        <v>0.1</v>
      </c>
      <c r="J15" s="3" t="n">
        <v>0.1</v>
      </c>
      <c r="K15" s="3" t="n">
        <v>0.1</v>
      </c>
      <c r="L15" s="3" t="n">
        <v>0.1</v>
      </c>
    </row>
    <row r="16" customFormat="false" ht="15" hidden="false" customHeight="false" outlineLevel="0" collapsed="false">
      <c r="A16" s="0" t="s">
        <v>98</v>
      </c>
      <c r="C16" s="3" t="n">
        <v>0.38</v>
      </c>
      <c r="D16" s="3" t="n">
        <v>0.4</v>
      </c>
      <c r="E16" s="3" t="n">
        <v>0.4</v>
      </c>
      <c r="F16" s="3" t="n">
        <v>0.4</v>
      </c>
      <c r="G16" s="3" t="n">
        <v>0.4</v>
      </c>
      <c r="H16" s="3" t="n">
        <v>0.4</v>
      </c>
      <c r="I16" s="3" t="n">
        <v>0.4</v>
      </c>
      <c r="J16" s="3" t="n">
        <v>0.4</v>
      </c>
      <c r="K16" s="3" t="n">
        <v>0.4</v>
      </c>
      <c r="L16" s="3" t="n">
        <v>0.4</v>
      </c>
    </row>
    <row r="17" customFormat="false" ht="15" hidden="false" customHeight="false" outlineLevel="0" collapsed="false">
      <c r="A17" s="0" t="s">
        <v>99</v>
      </c>
      <c r="C17" s="3" t="n">
        <v>1.6</v>
      </c>
      <c r="D17" s="3" t="n">
        <v>1.7</v>
      </c>
      <c r="E17" s="3" t="n">
        <v>1.8</v>
      </c>
      <c r="F17" s="3" t="n">
        <v>1.9</v>
      </c>
      <c r="G17" s="3" t="n">
        <v>2</v>
      </c>
      <c r="H17" s="3" t="n">
        <v>2</v>
      </c>
      <c r="I17" s="3" t="n">
        <v>2</v>
      </c>
      <c r="J17" s="3" t="n">
        <v>2</v>
      </c>
      <c r="K17" s="3" t="n">
        <v>2</v>
      </c>
      <c r="L17" s="3" t="n">
        <v>2</v>
      </c>
    </row>
    <row r="18" customFormat="false" ht="15" hidden="false" customHeight="false" outlineLevel="0" collapsed="false">
      <c r="A18" s="0" t="s">
        <v>100</v>
      </c>
      <c r="C18" s="3" t="n">
        <v>2.3</v>
      </c>
      <c r="D18" s="3" t="n">
        <v>2.3</v>
      </c>
      <c r="E18" s="3" t="n">
        <v>2.2</v>
      </c>
      <c r="F18" s="3" t="n">
        <v>2.2</v>
      </c>
      <c r="G18" s="3" t="n">
        <v>2.2</v>
      </c>
      <c r="H18" s="3" t="n">
        <v>2.2</v>
      </c>
      <c r="I18" s="3" t="n">
        <v>2.2</v>
      </c>
      <c r="J18" s="3" t="n">
        <v>2.2</v>
      </c>
      <c r="K18" s="3" t="n">
        <v>2.2</v>
      </c>
      <c r="L18" s="3" t="n">
        <v>2.2</v>
      </c>
    </row>
    <row r="19" customFormat="false" ht="15" hidden="false" customHeight="false" outlineLevel="0" collapsed="false">
      <c r="A19" s="0" t="s">
        <v>101</v>
      </c>
      <c r="C19" s="3" t="n">
        <v>23</v>
      </c>
      <c r="D19" s="3" t="n">
        <v>23</v>
      </c>
      <c r="E19" s="3" t="n">
        <v>23</v>
      </c>
      <c r="F19" s="3" t="n">
        <v>23</v>
      </c>
      <c r="G19" s="3" t="n">
        <v>23</v>
      </c>
      <c r="H19" s="3" t="n">
        <v>23</v>
      </c>
      <c r="I19" s="3" t="n">
        <v>23</v>
      </c>
      <c r="J19" s="3" t="n">
        <v>23</v>
      </c>
      <c r="K19" s="3" t="n">
        <v>23</v>
      </c>
      <c r="L19" s="3" t="n">
        <v>23</v>
      </c>
    </row>
    <row r="20" customFormat="false" ht="15" hidden="false" customHeight="false" outlineLevel="0" collapsed="false">
      <c r="A20" s="0" t="s">
        <v>102</v>
      </c>
      <c r="B20" s="3" t="n">
        <v>9</v>
      </c>
    </row>
    <row r="21" customFormat="false" ht="15" hidden="false" customHeight="false" outlineLevel="0" collapsed="false">
      <c r="A21" s="0" t="s">
        <v>103</v>
      </c>
      <c r="B21" s="3" t="n">
        <v>2</v>
      </c>
    </row>
    <row r="22" customFormat="false" ht="15" hidden="false" customHeight="false" outlineLevel="0" collapsed="false">
      <c r="A22" s="0" t="s">
        <v>104</v>
      </c>
      <c r="B22" s="3" t="n">
        <v>15</v>
      </c>
    </row>
    <row r="23" customFormat="false" ht="15" hidden="false" customHeight="false" outlineLevel="0" collapsed="false">
      <c r="A23" s="0" t="s">
        <v>105</v>
      </c>
      <c r="B23" s="3" t="n">
        <v>-8</v>
      </c>
    </row>
    <row r="24" customFormat="false" ht="15" hidden="false" customHeight="false" outlineLevel="0" collapsed="false">
      <c r="A24" s="0" t="s">
        <v>106</v>
      </c>
      <c r="B24" s="3" t="n">
        <v>0.3</v>
      </c>
    </row>
    <row r="26" customFormat="false" ht="15" hidden="false" customHeight="false" outlineLevel="0" collapsed="false">
      <c r="A26" s="2" t="s">
        <v>107</v>
      </c>
      <c r="C26" s="2" t="s">
        <v>85</v>
      </c>
      <c r="D26" s="2" t="s">
        <v>86</v>
      </c>
      <c r="E26" s="2" t="s">
        <v>87</v>
      </c>
      <c r="F26" s="2" t="s">
        <v>88</v>
      </c>
      <c r="G26" s="2" t="s">
        <v>89</v>
      </c>
      <c r="H26" s="2" t="s">
        <v>90</v>
      </c>
      <c r="I26" s="2" t="s">
        <v>91</v>
      </c>
      <c r="J26" s="2" t="s">
        <v>92</v>
      </c>
      <c r="K26" s="2" t="s">
        <v>93</v>
      </c>
      <c r="L26" s="2" t="s">
        <v>94</v>
      </c>
    </row>
    <row r="27" customFormat="false" ht="15" hidden="false" customHeight="false" outlineLevel="0" collapsed="false">
      <c r="A27" s="0" t="s">
        <v>95</v>
      </c>
      <c r="C27" s="3" t="n">
        <v>1</v>
      </c>
      <c r="D27" s="3" t="n">
        <v>6</v>
      </c>
      <c r="E27" s="3" t="n">
        <v>7</v>
      </c>
      <c r="F27" s="3" t="n">
        <v>6.5</v>
      </c>
      <c r="G27" s="3" t="n">
        <v>6</v>
      </c>
      <c r="H27" s="3" t="n">
        <v>5</v>
      </c>
      <c r="I27" s="3" t="n">
        <v>4.5</v>
      </c>
      <c r="J27" s="3" t="n">
        <v>4</v>
      </c>
      <c r="K27" s="3" t="n">
        <v>3.5</v>
      </c>
      <c r="L27" s="3" t="n">
        <v>3</v>
      </c>
    </row>
    <row r="28" customFormat="false" ht="15" hidden="false" customHeight="false" outlineLevel="0" collapsed="false">
      <c r="A28" s="0" t="s">
        <v>96</v>
      </c>
      <c r="C28" s="3" t="n">
        <v>21.5</v>
      </c>
      <c r="D28" s="3" t="n">
        <v>21.8</v>
      </c>
      <c r="E28" s="3" t="n">
        <v>22</v>
      </c>
      <c r="F28" s="3" t="n">
        <v>22</v>
      </c>
      <c r="G28" s="3" t="n">
        <v>22</v>
      </c>
      <c r="H28" s="3" t="n">
        <v>22</v>
      </c>
      <c r="I28" s="3" t="n">
        <v>22</v>
      </c>
      <c r="J28" s="3" t="n">
        <v>22</v>
      </c>
      <c r="K28" s="3" t="n">
        <v>22</v>
      </c>
      <c r="L28" s="3" t="n">
        <v>22</v>
      </c>
    </row>
    <row r="29" customFormat="false" ht="15" hidden="false" customHeight="false" outlineLevel="0" collapsed="false">
      <c r="A29" s="0" t="s">
        <v>97</v>
      </c>
      <c r="C29" s="3" t="n">
        <v>0.06</v>
      </c>
      <c r="D29" s="3" t="n">
        <v>0.08</v>
      </c>
      <c r="E29" s="3" t="n">
        <v>0.1</v>
      </c>
      <c r="F29" s="3" t="n">
        <v>0.1</v>
      </c>
      <c r="G29" s="3" t="n">
        <v>0.1</v>
      </c>
      <c r="H29" s="3" t="n">
        <v>0.1</v>
      </c>
      <c r="I29" s="3" t="n">
        <v>0.1</v>
      </c>
      <c r="J29" s="3" t="n">
        <v>0.1</v>
      </c>
      <c r="K29" s="3" t="n">
        <v>0.1</v>
      </c>
      <c r="L29" s="3" t="n">
        <v>0.1</v>
      </c>
    </row>
    <row r="30" customFormat="false" ht="15" hidden="false" customHeight="false" outlineLevel="0" collapsed="false">
      <c r="A30" s="0" t="s">
        <v>98</v>
      </c>
      <c r="C30" s="3" t="n">
        <v>0.38</v>
      </c>
      <c r="D30" s="3" t="n">
        <v>0.4</v>
      </c>
      <c r="E30" s="3" t="n">
        <v>0.4</v>
      </c>
      <c r="F30" s="3" t="n">
        <v>0.4</v>
      </c>
      <c r="G30" s="3" t="n">
        <v>0.4</v>
      </c>
      <c r="H30" s="3" t="n">
        <v>0.4</v>
      </c>
      <c r="I30" s="3" t="n">
        <v>0.4</v>
      </c>
      <c r="J30" s="3" t="n">
        <v>0.4</v>
      </c>
      <c r="K30" s="3" t="n">
        <v>0.4</v>
      </c>
      <c r="L30" s="3" t="n">
        <v>0.4</v>
      </c>
    </row>
    <row r="31" customFormat="false" ht="15" hidden="false" customHeight="false" outlineLevel="0" collapsed="false">
      <c r="A31" s="0" t="s">
        <v>99</v>
      </c>
      <c r="C31" s="3" t="n">
        <v>1.6</v>
      </c>
      <c r="D31" s="3" t="n">
        <v>1.7</v>
      </c>
      <c r="E31" s="3" t="n">
        <v>1.8</v>
      </c>
      <c r="F31" s="3" t="n">
        <v>1.9</v>
      </c>
      <c r="G31" s="3" t="n">
        <v>1.9</v>
      </c>
      <c r="H31" s="3" t="n">
        <v>2</v>
      </c>
      <c r="I31" s="3" t="n">
        <v>2</v>
      </c>
      <c r="J31" s="3" t="n">
        <v>2</v>
      </c>
      <c r="K31" s="3" t="n">
        <v>2</v>
      </c>
      <c r="L31" s="3" t="n">
        <v>2</v>
      </c>
    </row>
    <row r="32" customFormat="false" ht="15" hidden="false" customHeight="false" outlineLevel="0" collapsed="false">
      <c r="A32" s="0" t="s">
        <v>100</v>
      </c>
      <c r="C32" s="3" t="n">
        <v>2.3</v>
      </c>
      <c r="D32" s="3" t="n">
        <v>2.5</v>
      </c>
      <c r="E32" s="3" t="n">
        <v>2.5</v>
      </c>
      <c r="F32" s="3" t="n">
        <v>2.5</v>
      </c>
      <c r="G32" s="3" t="n">
        <v>2.4</v>
      </c>
      <c r="H32" s="3" t="n">
        <v>2.3</v>
      </c>
      <c r="I32" s="3" t="n">
        <v>2.2</v>
      </c>
      <c r="J32" s="3" t="n">
        <v>2.2</v>
      </c>
      <c r="K32" s="3" t="n">
        <v>2.2</v>
      </c>
      <c r="L32" s="3" t="n">
        <v>2.2</v>
      </c>
    </row>
    <row r="33" customFormat="false" ht="15" hidden="false" customHeight="false" outlineLevel="0" collapsed="false">
      <c r="A33" s="0" t="s">
        <v>101</v>
      </c>
      <c r="C33" s="3" t="n">
        <v>22</v>
      </c>
      <c r="D33" s="3" t="n">
        <v>22</v>
      </c>
      <c r="E33" s="3" t="n">
        <v>22</v>
      </c>
      <c r="F33" s="3" t="n">
        <v>22</v>
      </c>
      <c r="G33" s="3" t="n">
        <v>22</v>
      </c>
      <c r="H33" s="3" t="n">
        <v>22</v>
      </c>
      <c r="I33" s="3" t="n">
        <v>22</v>
      </c>
      <c r="J33" s="3" t="n">
        <v>22</v>
      </c>
      <c r="K33" s="3" t="n">
        <v>22</v>
      </c>
      <c r="L33" s="3" t="n">
        <v>22</v>
      </c>
    </row>
    <row r="34" customFormat="false" ht="15" hidden="false" customHeight="false" outlineLevel="0" collapsed="false">
      <c r="A34" s="0" t="s">
        <v>102</v>
      </c>
      <c r="B34" s="3" t="n">
        <v>9</v>
      </c>
    </row>
    <row r="35" customFormat="false" ht="15" hidden="false" customHeight="false" outlineLevel="0" collapsed="false">
      <c r="A35" s="0" t="s">
        <v>103</v>
      </c>
      <c r="B35" s="3" t="n">
        <v>2</v>
      </c>
    </row>
    <row r="36" customFormat="false" ht="15" hidden="false" customHeight="false" outlineLevel="0" collapsed="false">
      <c r="A36" s="0" t="s">
        <v>104</v>
      </c>
      <c r="B36" s="3" t="n">
        <v>15</v>
      </c>
    </row>
    <row r="37" customFormat="false" ht="15" hidden="false" customHeight="false" outlineLevel="0" collapsed="false">
      <c r="A37" s="0" t="s">
        <v>105</v>
      </c>
      <c r="B37" s="3" t="n">
        <v>-8</v>
      </c>
    </row>
    <row r="38" customFormat="false" ht="15" hidden="false" customHeight="false" outlineLevel="0" collapsed="false">
      <c r="A38" s="0" t="s">
        <v>106</v>
      </c>
      <c r="B38" s="3" t="n">
        <v>0.5</v>
      </c>
    </row>
    <row r="40" customFormat="false" ht="15" hidden="false" customHeight="false" outlineLevel="0" collapsed="false">
      <c r="A40" s="2" t="s">
        <v>108</v>
      </c>
      <c r="C40" s="2" t="s">
        <v>85</v>
      </c>
      <c r="D40" s="2" t="s">
        <v>86</v>
      </c>
      <c r="E40" s="2" t="s">
        <v>87</v>
      </c>
      <c r="F40" s="2" t="s">
        <v>88</v>
      </c>
      <c r="G40" s="2" t="s">
        <v>89</v>
      </c>
      <c r="H40" s="2" t="s">
        <v>90</v>
      </c>
      <c r="I40" s="2" t="s">
        <v>91</v>
      </c>
      <c r="J40" s="2" t="s">
        <v>92</v>
      </c>
      <c r="K40" s="2" t="s">
        <v>93</v>
      </c>
      <c r="L40" s="2" t="s">
        <v>94</v>
      </c>
    </row>
    <row r="41" customFormat="false" ht="15" hidden="false" customHeight="false" outlineLevel="0" collapsed="false">
      <c r="A41" s="0" t="s">
        <v>95</v>
      </c>
      <c r="C41" s="3" t="n">
        <v>3</v>
      </c>
      <c r="D41" s="3" t="n">
        <v>11</v>
      </c>
      <c r="E41" s="3" t="n">
        <v>11</v>
      </c>
      <c r="F41" s="3" t="n">
        <v>10</v>
      </c>
      <c r="G41" s="3" t="n">
        <v>9</v>
      </c>
      <c r="H41" s="3" t="n">
        <v>8</v>
      </c>
      <c r="I41" s="3" t="n">
        <v>7</v>
      </c>
      <c r="J41" s="3" t="n">
        <v>6</v>
      </c>
      <c r="K41" s="3" t="n">
        <v>5</v>
      </c>
      <c r="L41" s="3" t="n">
        <v>4</v>
      </c>
    </row>
    <row r="42" customFormat="false" ht="15" hidden="false" customHeight="false" outlineLevel="0" collapsed="false">
      <c r="A42" s="0" t="s">
        <v>96</v>
      </c>
      <c r="C42" s="3" t="n">
        <v>21.8</v>
      </c>
      <c r="D42" s="3" t="n">
        <v>22.6</v>
      </c>
      <c r="E42" s="3" t="n">
        <v>23.2</v>
      </c>
      <c r="F42" s="3" t="n">
        <v>23.5</v>
      </c>
      <c r="G42" s="3" t="n">
        <v>23.5</v>
      </c>
      <c r="H42" s="3" t="n">
        <v>23.5</v>
      </c>
      <c r="I42" s="3" t="n">
        <v>23.5</v>
      </c>
      <c r="J42" s="3" t="n">
        <v>23.5</v>
      </c>
      <c r="K42" s="3" t="n">
        <v>23.5</v>
      </c>
      <c r="L42" s="3" t="n">
        <v>23.5</v>
      </c>
    </row>
    <row r="43" customFormat="false" ht="15" hidden="false" customHeight="false" outlineLevel="0" collapsed="false">
      <c r="A43" s="0" t="s">
        <v>97</v>
      </c>
      <c r="C43" s="3" t="n">
        <v>0.06</v>
      </c>
      <c r="D43" s="3" t="n">
        <v>0.08</v>
      </c>
      <c r="E43" s="3" t="n">
        <v>0.1</v>
      </c>
      <c r="F43" s="3" t="n">
        <v>0.1</v>
      </c>
      <c r="G43" s="3" t="n">
        <v>0.1</v>
      </c>
      <c r="H43" s="3" t="n">
        <v>0.1</v>
      </c>
      <c r="I43" s="3" t="n">
        <v>0.1</v>
      </c>
      <c r="J43" s="3" t="n">
        <v>0.1</v>
      </c>
      <c r="K43" s="3" t="n">
        <v>0.1</v>
      </c>
      <c r="L43" s="3" t="n">
        <v>0.1</v>
      </c>
    </row>
    <row r="44" customFormat="false" ht="15" hidden="false" customHeight="false" outlineLevel="0" collapsed="false">
      <c r="A44" s="0" t="s">
        <v>98</v>
      </c>
      <c r="C44" s="3" t="n">
        <v>0.38</v>
      </c>
      <c r="D44" s="3" t="n">
        <v>0.4</v>
      </c>
      <c r="E44" s="3" t="n">
        <v>0.4</v>
      </c>
      <c r="F44" s="3" t="n">
        <v>0.4</v>
      </c>
      <c r="G44" s="3" t="n">
        <v>0.4</v>
      </c>
      <c r="H44" s="3" t="n">
        <v>0.4</v>
      </c>
      <c r="I44" s="3" t="n">
        <v>0.4</v>
      </c>
      <c r="J44" s="3" t="n">
        <v>0.4</v>
      </c>
      <c r="K44" s="3" t="n">
        <v>0.4</v>
      </c>
      <c r="L44" s="3" t="n">
        <v>0.4</v>
      </c>
    </row>
    <row r="45" customFormat="false" ht="15" hidden="false" customHeight="false" outlineLevel="0" collapsed="false">
      <c r="A45" s="0" t="s">
        <v>99</v>
      </c>
      <c r="C45" s="3" t="n">
        <v>1.6</v>
      </c>
      <c r="D45" s="3" t="n">
        <v>1.7</v>
      </c>
      <c r="E45" s="3" t="n">
        <v>1.8</v>
      </c>
      <c r="F45" s="3" t="n">
        <v>1.9</v>
      </c>
      <c r="G45" s="3" t="n">
        <v>1.9</v>
      </c>
      <c r="H45" s="3" t="n">
        <v>2</v>
      </c>
      <c r="I45" s="3" t="n">
        <v>2</v>
      </c>
      <c r="J45" s="3" t="n">
        <v>2</v>
      </c>
      <c r="K45" s="3" t="n">
        <v>2</v>
      </c>
      <c r="L45" s="3" t="n">
        <v>2</v>
      </c>
    </row>
    <row r="46" customFormat="false" ht="15" hidden="false" customHeight="false" outlineLevel="0" collapsed="false">
      <c r="A46" s="0" t="s">
        <v>100</v>
      </c>
      <c r="C46" s="3" t="n">
        <v>2.4</v>
      </c>
      <c r="D46" s="3" t="n">
        <v>2.8</v>
      </c>
      <c r="E46" s="3" t="n">
        <v>2.8</v>
      </c>
      <c r="F46" s="3" t="n">
        <v>2.7</v>
      </c>
      <c r="G46" s="3" t="n">
        <v>2.6</v>
      </c>
      <c r="H46" s="3" t="n">
        <v>2.5</v>
      </c>
      <c r="I46" s="3" t="n">
        <v>2.4</v>
      </c>
      <c r="J46" s="3" t="n">
        <v>2.3</v>
      </c>
      <c r="K46" s="3" t="n">
        <v>2.2</v>
      </c>
      <c r="L46" s="3" t="n">
        <v>2.2</v>
      </c>
    </row>
    <row r="47" customFormat="false" ht="15" hidden="false" customHeight="false" outlineLevel="0" collapsed="false">
      <c r="A47" s="0" t="s">
        <v>101</v>
      </c>
      <c r="C47" s="3" t="n">
        <v>21.5</v>
      </c>
      <c r="D47" s="3" t="n">
        <v>21.5</v>
      </c>
      <c r="E47" s="3" t="n">
        <v>21.5</v>
      </c>
      <c r="F47" s="3" t="n">
        <v>21.5</v>
      </c>
      <c r="G47" s="3" t="n">
        <v>21.5</v>
      </c>
      <c r="H47" s="3" t="n">
        <v>21.5</v>
      </c>
      <c r="I47" s="3" t="n">
        <v>21.5</v>
      </c>
      <c r="J47" s="3" t="n">
        <v>21.5</v>
      </c>
      <c r="K47" s="3" t="n">
        <v>21.5</v>
      </c>
      <c r="L47" s="3" t="n">
        <v>21.5</v>
      </c>
    </row>
    <row r="48" customFormat="false" ht="15" hidden="false" customHeight="false" outlineLevel="0" collapsed="false">
      <c r="A48" s="0" t="s">
        <v>102</v>
      </c>
      <c r="B48" s="3" t="n">
        <v>9</v>
      </c>
    </row>
    <row r="49" customFormat="false" ht="15" hidden="false" customHeight="false" outlineLevel="0" collapsed="false">
      <c r="A49" s="0" t="s">
        <v>103</v>
      </c>
      <c r="B49" s="3" t="n">
        <v>2</v>
      </c>
    </row>
    <row r="50" customFormat="false" ht="15" hidden="false" customHeight="false" outlineLevel="0" collapsed="false">
      <c r="A50" s="0" t="s">
        <v>104</v>
      </c>
      <c r="B50" s="3" t="n">
        <v>15</v>
      </c>
    </row>
    <row r="51" customFormat="false" ht="15" hidden="false" customHeight="false" outlineLevel="0" collapsed="false">
      <c r="A51" s="0" t="s">
        <v>105</v>
      </c>
      <c r="B51" s="3" t="n">
        <v>-8</v>
      </c>
    </row>
    <row r="52" customFormat="false" ht="15" hidden="false" customHeight="false" outlineLevel="0" collapsed="false">
      <c r="A52" s="0" t="s">
        <v>106</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109</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Assumptions!C13</f>
        <v>-3</v>
      </c>
      <c r="D5" s="4" t="n">
        <f aca="false">Assumptions!D13</f>
        <v>-4</v>
      </c>
      <c r="E5" s="4" t="n">
        <f aca="false">Assumptions!E13</f>
        <v>-2</v>
      </c>
      <c r="F5" s="4" t="n">
        <f aca="false">Assumptions!F13</f>
        <v>0</v>
      </c>
      <c r="G5" s="4" t="n">
        <f aca="false">Assumptions!G13</f>
        <v>1.5</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33559.923</v>
      </c>
      <c r="C6" s="0" t="n">
        <f aca="false">B6*(1+C5/100)</f>
        <v>32553.12531</v>
      </c>
      <c r="D6" s="0" t="n">
        <f aca="false">C6*(1+D5/100)</f>
        <v>31251.0002976</v>
      </c>
      <c r="E6" s="0" t="n">
        <f aca="false">D6*(1+E5/100)</f>
        <v>30625.980291648</v>
      </c>
      <c r="F6" s="0" t="n">
        <f aca="false">E6*(1+F5/100)</f>
        <v>30625.980291648</v>
      </c>
      <c r="G6" s="0" t="n">
        <f aca="false">F6*(1+G5/100)</f>
        <v>31085.3699960227</v>
      </c>
      <c r="H6" s="0" t="n">
        <f aca="false">G6*(1+H5/100)</f>
        <v>31707.0773959432</v>
      </c>
      <c r="I6" s="0" t="n">
        <f aca="false">H6*(1+I5/100)</f>
        <v>32341.218943862</v>
      </c>
      <c r="J6" s="0" t="n">
        <f aca="false">I6*(1+J5/100)</f>
        <v>32988.0433227393</v>
      </c>
      <c r="K6" s="0" t="n">
        <f aca="false">J6*(1+K5/100)</f>
        <v>33647.8041891941</v>
      </c>
      <c r="L6" s="0" t="n">
        <f aca="false">K6*(1+L5/100)</f>
        <v>34320.760272978</v>
      </c>
    </row>
    <row r="7" customFormat="false" ht="15" hidden="false" customHeight="false" outlineLevel="0" collapsed="false">
      <c r="A7" s="0" t="s">
        <v>96</v>
      </c>
      <c r="C7" s="4" t="n">
        <f aca="false">Assumptions!C14</f>
        <v>20.5</v>
      </c>
      <c r="D7" s="4" t="n">
        <f aca="false">Assumptions!D14</f>
        <v>19</v>
      </c>
      <c r="E7" s="4" t="n">
        <f aca="false">Assumptions!E14</f>
        <v>18.5</v>
      </c>
      <c r="F7" s="4" t="n">
        <f aca="false">Assumptions!F14</f>
        <v>18</v>
      </c>
      <c r="G7" s="4" t="n">
        <f aca="false">Assumptions!G14</f>
        <v>18</v>
      </c>
      <c r="H7" s="4" t="n">
        <f aca="false">Assumptions!H14</f>
        <v>18</v>
      </c>
      <c r="I7" s="4" t="n">
        <f aca="false">Assumptions!I14</f>
        <v>18</v>
      </c>
      <c r="J7" s="4" t="n">
        <f aca="false">Assumptions!J14</f>
        <v>18</v>
      </c>
      <c r="K7" s="4" t="n">
        <f aca="false">Assumptions!K14</f>
        <v>18</v>
      </c>
      <c r="L7" s="4" t="n">
        <f aca="false">Assumptions!L14</f>
        <v>18</v>
      </c>
    </row>
    <row r="8" customFormat="false" ht="15" hidden="false" customHeight="false" outlineLevel="0" collapsed="false">
      <c r="A8" s="0" t="s">
        <v>44</v>
      </c>
      <c r="C8" s="0" t="n">
        <f aca="false">C6*C7/100</f>
        <v>6673.39068855</v>
      </c>
      <c r="D8" s="0" t="n">
        <f aca="false">D6*D7/100</f>
        <v>5937.690056544</v>
      </c>
      <c r="E8" s="0" t="n">
        <f aca="false">E6*E7/100</f>
        <v>5665.80635395488</v>
      </c>
      <c r="F8" s="0" t="n">
        <f aca="false">F6*F7/100</f>
        <v>5512.67645249664</v>
      </c>
      <c r="G8" s="0" t="n">
        <f aca="false">G6*G7/100</f>
        <v>5595.36659928409</v>
      </c>
      <c r="H8" s="0" t="n">
        <f aca="false">H6*H7/100</f>
        <v>5707.27393126977</v>
      </c>
      <c r="I8" s="0" t="n">
        <f aca="false">I6*I7/100</f>
        <v>5821.41940989517</v>
      </c>
      <c r="J8" s="0" t="n">
        <f aca="false">J6*J7/100</f>
        <v>5937.84779809307</v>
      </c>
      <c r="K8" s="0" t="n">
        <f aca="false">K6*K7/100</f>
        <v>6056.60475405493</v>
      </c>
      <c r="L8" s="0" t="n">
        <f aca="false">L6*L7/100</f>
        <v>6177.73684913603</v>
      </c>
    </row>
    <row r="9" customFormat="false" ht="15" hidden="false" customHeight="false" outlineLevel="0" collapsed="false">
      <c r="A9" s="0" t="s">
        <v>97</v>
      </c>
      <c r="C9" s="4" t="n">
        <f aca="false">Assumptions!C15</f>
        <v>0.06</v>
      </c>
      <c r="D9" s="4" t="n">
        <f aca="false">Assumptions!D15</f>
        <v>0.08</v>
      </c>
      <c r="E9" s="4" t="n">
        <f aca="false">Assumptions!E15</f>
        <v>0.1</v>
      </c>
      <c r="F9" s="4" t="n">
        <f aca="false">Assumptions!F15</f>
        <v>0.1</v>
      </c>
      <c r="G9" s="4" t="n">
        <f aca="false">Assumptions!G15</f>
        <v>0.1</v>
      </c>
      <c r="H9" s="4" t="n">
        <f aca="false">Assumptions!H15</f>
        <v>0.1</v>
      </c>
      <c r="I9" s="4" t="n">
        <f aca="false">Assumptions!I15</f>
        <v>0.1</v>
      </c>
      <c r="J9" s="4" t="n">
        <f aca="false">Assumptions!J15</f>
        <v>0.1</v>
      </c>
      <c r="K9" s="4" t="n">
        <f aca="false">Assumptions!K15</f>
        <v>0.1</v>
      </c>
      <c r="L9" s="4" t="n">
        <f aca="false">Assumptions!L15</f>
        <v>0.1</v>
      </c>
    </row>
    <row r="10" customFormat="false" ht="15" hidden="false" customHeight="false" outlineLevel="0" collapsed="false">
      <c r="A10" s="0" t="s">
        <v>112</v>
      </c>
      <c r="C10" s="0" t="n">
        <f aca="false">-C6*C9/100</f>
        <v>-19.531875186</v>
      </c>
      <c r="D10" s="0" t="n">
        <f aca="false">-D6*D9/100</f>
        <v>-25.00080023808</v>
      </c>
      <c r="E10" s="0" t="n">
        <f aca="false">-E6*E9/100</f>
        <v>-30.625980291648</v>
      </c>
      <c r="F10" s="0" t="n">
        <f aca="false">-F6*F9/100</f>
        <v>-30.625980291648</v>
      </c>
      <c r="G10" s="0" t="n">
        <f aca="false">-G6*G9/100</f>
        <v>-31.0853699960227</v>
      </c>
      <c r="H10" s="0" t="n">
        <f aca="false">-H6*H9/100</f>
        <v>-31.7070773959432</v>
      </c>
      <c r="I10" s="0" t="n">
        <f aca="false">-I6*I9/100</f>
        <v>-32.341218943862</v>
      </c>
      <c r="J10" s="0" t="n">
        <f aca="false">-J6*J9/100</f>
        <v>-32.9880433227393</v>
      </c>
      <c r="K10" s="0" t="n">
        <f aca="false">-K6*K9/100</f>
        <v>-33.6478041891941</v>
      </c>
      <c r="L10" s="0" t="n">
        <f aca="false">-L6*L9/100</f>
        <v>-34.320760272978</v>
      </c>
    </row>
    <row r="11" customFormat="false" ht="15" hidden="false" customHeight="false" outlineLevel="0" collapsed="false">
      <c r="A11" s="0" t="s">
        <v>113</v>
      </c>
      <c r="C11" s="0" t="n">
        <f aca="false">C8+C10+C24</f>
        <v>6530.156937186</v>
      </c>
      <c r="D11" s="0" t="n">
        <f aca="false">D8+D10+D24</f>
        <v>5787.68525511552</v>
      </c>
      <c r="E11" s="0" t="n">
        <f aca="false">E8+E10+E24</f>
        <v>5512.67645249664</v>
      </c>
      <c r="F11" s="0" t="n">
        <f aca="false">F8+F10+F24</f>
        <v>5359.5465510384</v>
      </c>
      <c r="G11" s="0" t="n">
        <f aca="false">G8+G10+G24</f>
        <v>5439.93974930398</v>
      </c>
      <c r="H11" s="0" t="n">
        <f aca="false">H8+H10+H24</f>
        <v>5548.73854429006</v>
      </c>
      <c r="I11" s="0" t="n">
        <f aca="false">I8+I10+I24</f>
        <v>5659.71331517586</v>
      </c>
      <c r="J11" s="0" t="n">
        <f aca="false">J8+J10+J24</f>
        <v>5772.90758147938</v>
      </c>
      <c r="K11" s="0" t="n">
        <f aca="false">K8+K10+K24</f>
        <v>5888.36573310896</v>
      </c>
      <c r="L11" s="0" t="n">
        <f aca="false">L8+L10+L24</f>
        <v>6006.13304777114</v>
      </c>
    </row>
    <row r="12" customFormat="false" ht="15" hidden="false" customHeight="false" outlineLevel="0" collapsed="false">
      <c r="A12" s="0" t="s">
        <v>114</v>
      </c>
      <c r="C12" s="4" t="n">
        <f aca="false">-C6*Assumptions!C17/100</f>
        <v>-520.85000496</v>
      </c>
      <c r="D12" s="4" t="n">
        <f aca="false">-D6*Assumptions!D17/100</f>
        <v>-531.2670050592</v>
      </c>
      <c r="E12" s="4" t="n">
        <f aca="false">-E6*Assumptions!E17/100</f>
        <v>-551.267645249664</v>
      </c>
      <c r="F12" s="4" t="n">
        <f aca="false">-F6*Assumptions!F17/100</f>
        <v>-581.893625541312</v>
      </c>
      <c r="G12" s="4" t="n">
        <f aca="false">-G6*Assumptions!G17/100</f>
        <v>-621.707399920455</v>
      </c>
      <c r="H12" s="4" t="n">
        <f aca="false">-H6*Assumptions!H17/100</f>
        <v>-634.141547918864</v>
      </c>
      <c r="I12" s="4" t="n">
        <f aca="false">-I6*Assumptions!I17/100</f>
        <v>-646.824378877241</v>
      </c>
      <c r="J12" s="4" t="n">
        <f aca="false">-J6*Assumptions!J17/100</f>
        <v>-659.760866454786</v>
      </c>
      <c r="K12" s="4" t="n">
        <f aca="false">-K6*Assumptions!K17/100</f>
        <v>-672.956083783881</v>
      </c>
      <c r="L12" s="4" t="n">
        <f aca="false">-L6*Assumptions!L17/100</f>
        <v>-686.415205459559</v>
      </c>
    </row>
    <row r="13" customFormat="false" ht="15" hidden="false" customHeight="false" outlineLevel="0" collapsed="false">
      <c r="A13" s="0" t="s">
        <v>115</v>
      </c>
      <c r="C13" s="0" t="n">
        <f aca="false">C11+C12</f>
        <v>6009.306932226</v>
      </c>
      <c r="D13" s="0" t="n">
        <f aca="false">D11+D12</f>
        <v>5256.41825005632</v>
      </c>
      <c r="E13" s="0" t="n">
        <f aca="false">E11+E12</f>
        <v>4961.40880724698</v>
      </c>
      <c r="F13" s="0" t="n">
        <f aca="false">F11+F12</f>
        <v>4777.65292549709</v>
      </c>
      <c r="G13" s="0" t="n">
        <f aca="false">G11+G12</f>
        <v>4818.23234938352</v>
      </c>
      <c r="H13" s="0" t="n">
        <f aca="false">H11+H12</f>
        <v>4914.59699637119</v>
      </c>
      <c r="I13" s="0" t="n">
        <f aca="false">I11+I12</f>
        <v>5012.88893629862</v>
      </c>
      <c r="J13" s="0" t="n">
        <f aca="false">J11+J12</f>
        <v>5113.14671502459</v>
      </c>
      <c r="K13" s="0" t="n">
        <f aca="false">K11+K12</f>
        <v>5215.40964932508</v>
      </c>
      <c r="L13" s="0" t="n">
        <f aca="false">L11+L12</f>
        <v>5319.71784231158</v>
      </c>
    </row>
    <row r="14" customFormat="false" ht="15" hidden="false" customHeight="false" outlineLevel="0" collapsed="false">
      <c r="A14" s="0" t="s">
        <v>101</v>
      </c>
      <c r="C14" s="4" t="n">
        <f aca="false">Assumptions!C19</f>
        <v>23</v>
      </c>
      <c r="D14" s="4" t="n">
        <f aca="false">Assumptions!D19</f>
        <v>23</v>
      </c>
      <c r="E14" s="4" t="n">
        <f aca="false">Assumptions!E19</f>
        <v>23</v>
      </c>
      <c r="F14" s="4" t="n">
        <f aca="false">Assumptions!F19</f>
        <v>23</v>
      </c>
      <c r="G14" s="4" t="n">
        <f aca="false">Assumptions!G19</f>
        <v>23</v>
      </c>
      <c r="H14" s="4" t="n">
        <f aca="false">Assumptions!H19</f>
        <v>23</v>
      </c>
      <c r="I14" s="4" t="n">
        <f aca="false">Assumptions!I19</f>
        <v>23</v>
      </c>
      <c r="J14" s="4" t="n">
        <f aca="false">Assumptions!J19</f>
        <v>23</v>
      </c>
      <c r="K14" s="4" t="n">
        <f aca="false">Assumptions!K19</f>
        <v>23</v>
      </c>
      <c r="L14" s="4" t="n">
        <f aca="false">Assumptions!L19</f>
        <v>23</v>
      </c>
    </row>
    <row r="15" customFormat="false" ht="15" hidden="false" customHeight="false" outlineLevel="0" collapsed="false">
      <c r="A15" s="0" t="s">
        <v>116</v>
      </c>
      <c r="C15" s="0" t="n">
        <f aca="false">C13-MAX(0,C13)*C14/100</f>
        <v>4627.16633781402</v>
      </c>
      <c r="D15" s="0" t="n">
        <f aca="false">D13-MAX(0,D13)*D14/100</f>
        <v>4047.44205254337</v>
      </c>
      <c r="E15" s="0" t="n">
        <f aca="false">E13-MAX(0,E13)*E14/100</f>
        <v>3820.28478158017</v>
      </c>
      <c r="F15" s="0" t="n">
        <f aca="false">F13-MAX(0,F13)*F14/100</f>
        <v>3678.79275263276</v>
      </c>
      <c r="G15" s="0" t="n">
        <f aca="false">G13-MAX(0,G13)*G14/100</f>
        <v>3710.03890902531</v>
      </c>
      <c r="H15" s="0" t="n">
        <f aca="false">H13-MAX(0,H13)*H14/100</f>
        <v>3784.23968720582</v>
      </c>
      <c r="I15" s="0" t="n">
        <f aca="false">I13-MAX(0,I13)*I14/100</f>
        <v>3859.92448094993</v>
      </c>
      <c r="J15" s="0" t="n">
        <f aca="false">J13-MAX(0,J13)*J14/100</f>
        <v>3937.12297056893</v>
      </c>
      <c r="K15" s="0" t="n">
        <f aca="false">K13-MAX(0,K13)*K14/100</f>
        <v>4015.86542998031</v>
      </c>
      <c r="L15" s="0" t="n">
        <f aca="false">L13-MAX(0,L13)*L14/100</f>
        <v>4096.18273857992</v>
      </c>
    </row>
    <row r="16" customFormat="false" ht="15" hidden="false" customHeight="false" outlineLevel="0" collapsed="false">
      <c r="A16" s="0" t="s">
        <v>117</v>
      </c>
      <c r="C16" s="0" t="n">
        <f aca="false">-C12</f>
        <v>520.85000496</v>
      </c>
      <c r="D16" s="0" t="n">
        <f aca="false">-D12</f>
        <v>531.2670050592</v>
      </c>
      <c r="E16" s="0" t="n">
        <f aca="false">-E12</f>
        <v>551.267645249664</v>
      </c>
      <c r="F16" s="0" t="n">
        <f aca="false">-F12</f>
        <v>581.893625541312</v>
      </c>
      <c r="G16" s="0" t="n">
        <f aca="false">-G12</f>
        <v>621.707399920455</v>
      </c>
      <c r="H16" s="0" t="n">
        <f aca="false">-H12</f>
        <v>634.141547918864</v>
      </c>
      <c r="I16" s="0" t="n">
        <f aca="false">-I12</f>
        <v>646.824378877241</v>
      </c>
      <c r="J16" s="0" t="n">
        <f aca="false">-J12</f>
        <v>659.760866454786</v>
      </c>
      <c r="K16" s="0" t="n">
        <f aca="false">-K12</f>
        <v>672.956083783881</v>
      </c>
      <c r="L16" s="0" t="n">
        <f aca="false">-L12</f>
        <v>686.415205459559</v>
      </c>
    </row>
    <row r="17" customFormat="false" ht="15" hidden="false" customHeight="false" outlineLevel="0" collapsed="false">
      <c r="A17" s="0" t="s">
        <v>118</v>
      </c>
      <c r="C17" s="4" t="n">
        <f aca="false">-C6*Assumptions!C18/100</f>
        <v>-748.72188213</v>
      </c>
      <c r="D17" s="4" t="n">
        <f aca="false">-D6*Assumptions!D18/100</f>
        <v>-718.7730068448</v>
      </c>
      <c r="E17" s="4" t="n">
        <f aca="false">-E6*Assumptions!E18/100</f>
        <v>-673.771566416256</v>
      </c>
      <c r="F17" s="4" t="n">
        <f aca="false">-F6*Assumptions!F18/100</f>
        <v>-673.771566416256</v>
      </c>
      <c r="G17" s="4" t="n">
        <f aca="false">-G6*Assumptions!G18/100</f>
        <v>-683.8781399125</v>
      </c>
      <c r="H17" s="4" t="n">
        <f aca="false">-H6*Assumptions!H18/100</f>
        <v>-697.55570271075</v>
      </c>
      <c r="I17" s="4" t="n">
        <f aca="false">-I6*Assumptions!I18/100</f>
        <v>-711.506816764965</v>
      </c>
      <c r="J17" s="4" t="n">
        <f aca="false">-J6*Assumptions!J18/100</f>
        <v>-725.736953100264</v>
      </c>
      <c r="K17" s="4" t="n">
        <f aca="false">-K6*Assumptions!K18/100</f>
        <v>-740.25169216227</v>
      </c>
      <c r="L17" s="4" t="n">
        <f aca="false">-L6*Assumptions!L18/100</f>
        <v>-755.056726005515</v>
      </c>
    </row>
    <row r="18" customFormat="false" ht="15" hidden="false" customHeight="false" outlineLevel="0" collapsed="false">
      <c r="A18" s="0" t="s">
        <v>119</v>
      </c>
      <c r="C18" s="4" t="n">
        <f aca="false">(C6-B6)*Assumptions!$B$23/100</f>
        <v>80.5438152</v>
      </c>
      <c r="D18" s="4" t="n">
        <f aca="false">(D6-C6)*Assumptions!$B$23/100</f>
        <v>104.170000992</v>
      </c>
      <c r="E18" s="4" t="n">
        <f aca="false">(E6-D6)*Assumptions!$B$23/100</f>
        <v>50.00160047616</v>
      </c>
      <c r="F18" s="4" t="n">
        <f aca="false">(F6-E6)*Assumptions!$B$23/100</f>
        <v>-0</v>
      </c>
      <c r="G18" s="4" t="n">
        <f aca="false">(G6-F6)*Assumptions!$B$23/100</f>
        <v>-36.7511763499773</v>
      </c>
      <c r="H18" s="4" t="n">
        <f aca="false">(H6-G6)*Assumptions!$B$23/100</f>
        <v>-49.7365919936364</v>
      </c>
      <c r="I18" s="4" t="n">
        <f aca="false">(I6-H6)*Assumptions!$B$23/100</f>
        <v>-50.7313238335092</v>
      </c>
      <c r="J18" s="4" t="n">
        <f aca="false">(J6-I6)*Assumptions!$B$23/100</f>
        <v>-51.745950310179</v>
      </c>
      <c r="K18" s="4" t="n">
        <f aca="false">(K6-J6)*Assumptions!$B$23/100</f>
        <v>-52.780869316383</v>
      </c>
      <c r="L18" s="4" t="n">
        <f aca="false">(L6-K6)*Assumptions!$B$23/100</f>
        <v>-53.8364867027104</v>
      </c>
    </row>
    <row r="19" customFormat="false" ht="15" hidden="false" customHeight="false" outlineLevel="0" collapsed="false">
      <c r="A19" s="0" t="s">
        <v>120</v>
      </c>
      <c r="C19" s="0" t="n">
        <f aca="false">C15+C16+C17+C18</f>
        <v>4479.83827584402</v>
      </c>
      <c r="D19" s="0" t="n">
        <f aca="false">D15+D16+D17+D18</f>
        <v>3964.10605174977</v>
      </c>
      <c r="E19" s="0" t="n">
        <f aca="false">E15+E16+E17+E18</f>
        <v>3747.78246088974</v>
      </c>
      <c r="F19" s="0" t="n">
        <f aca="false">F15+F16+F17+F18</f>
        <v>3586.91481175781</v>
      </c>
      <c r="G19" s="0" t="n">
        <f aca="false">G15+G16+G17+G18</f>
        <v>3611.11699268329</v>
      </c>
      <c r="H19" s="0" t="n">
        <f aca="false">H15+H16+H17+H18</f>
        <v>3671.0889404203</v>
      </c>
      <c r="I19" s="0" t="n">
        <f aca="false">I15+I16+I17+I18</f>
        <v>3744.5107192287</v>
      </c>
      <c r="J19" s="0" t="n">
        <f aca="false">J15+J16+J17+J18</f>
        <v>3819.40093361328</v>
      </c>
      <c r="K19" s="0" t="n">
        <f aca="false">K15+K16+K17+K18</f>
        <v>3895.78895228554</v>
      </c>
      <c r="L19" s="0" t="n">
        <f aca="false">L15+L16+L17+L18</f>
        <v>3973.70473133125</v>
      </c>
    </row>
    <row r="20" customFormat="false" ht="15" hidden="false" customHeight="false" outlineLevel="0" collapsed="false">
      <c r="A20" s="0" t="s">
        <v>121</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122</v>
      </c>
      <c r="C21" s="0" t="n">
        <f aca="false">C19*C20</f>
        <v>4109.94337233396</v>
      </c>
      <c r="D21" s="0" t="n">
        <f aca="false">D19*D20</f>
        <v>3336.50875494467</v>
      </c>
      <c r="E21" s="0" t="n">
        <f aca="false">E19*E20</f>
        <v>2893.97570316166</v>
      </c>
      <c r="F21" s="0" t="n">
        <f aca="false">F19*F20</f>
        <v>2541.06088259241</v>
      </c>
      <c r="G21" s="0" t="n">
        <f aca="false">G19*G20</f>
        <v>2346.97827314016</v>
      </c>
      <c r="H21" s="0" t="n">
        <f aca="false">H19*H20</f>
        <v>2188.95038924026</v>
      </c>
      <c r="I21" s="0" t="n">
        <f aca="false">I19*I20</f>
        <v>2048.37559360098</v>
      </c>
      <c r="J21" s="0" t="n">
        <f aca="false">J19*J20</f>
        <v>1916.82853713119</v>
      </c>
      <c r="K21" s="0" t="n">
        <f aca="false">K19*K20</f>
        <v>1793.72945676497</v>
      </c>
      <c r="L21" s="0" t="n">
        <f aca="false">L19*L20</f>
        <v>1678.53582192685</v>
      </c>
    </row>
    <row r="23" customFormat="false" ht="15" hidden="false" customHeight="false" outlineLevel="0" collapsed="false">
      <c r="A23" s="0" t="s">
        <v>98</v>
      </c>
      <c r="C23" s="4" t="n">
        <f aca="false">Assumptions!C16</f>
        <v>0.38</v>
      </c>
      <c r="D23" s="4" t="n">
        <f aca="false">Assumptions!D16</f>
        <v>0.4</v>
      </c>
      <c r="E23" s="4" t="n">
        <f aca="false">Assumptions!E16</f>
        <v>0.4</v>
      </c>
      <c r="F23" s="4" t="n">
        <f aca="false">Assumptions!F16</f>
        <v>0.4</v>
      </c>
      <c r="G23" s="4" t="n">
        <f aca="false">Assumptions!G16</f>
        <v>0.4</v>
      </c>
      <c r="H23" s="4" t="n">
        <f aca="false">Assumptions!H16</f>
        <v>0.4</v>
      </c>
      <c r="I23" s="4" t="n">
        <f aca="false">Assumptions!I16</f>
        <v>0.4</v>
      </c>
      <c r="J23" s="4" t="n">
        <f aca="false">Assumptions!J16</f>
        <v>0.4</v>
      </c>
      <c r="K23" s="4" t="n">
        <f aca="false">Assumptions!K16</f>
        <v>0.4</v>
      </c>
      <c r="L23" s="4" t="n">
        <f aca="false">Assumptions!L16</f>
        <v>0.4</v>
      </c>
    </row>
    <row r="24" customFormat="false" ht="15" hidden="false" customHeight="false" outlineLevel="0" collapsed="false">
      <c r="A24" s="0" t="s">
        <v>123</v>
      </c>
      <c r="C24" s="0" t="n">
        <f aca="false">-C6*C23/100</f>
        <v>-123.701876178</v>
      </c>
      <c r="D24" s="0" t="n">
        <f aca="false">-D6*D23/100</f>
        <v>-125.0040011904</v>
      </c>
      <c r="E24" s="0" t="n">
        <f aca="false">-E6*E23/100</f>
        <v>-122.503921166592</v>
      </c>
      <c r="F24" s="0" t="n">
        <f aca="false">-F6*F23/100</f>
        <v>-122.503921166592</v>
      </c>
      <c r="G24" s="0" t="n">
        <f aca="false">-G6*G23/100</f>
        <v>-124.341479984091</v>
      </c>
      <c r="H24" s="0" t="n">
        <f aca="false">-H6*H23/100</f>
        <v>-126.828309583773</v>
      </c>
      <c r="I24" s="0" t="n">
        <f aca="false">-I6*I23/100</f>
        <v>-129.364875775448</v>
      </c>
      <c r="J24" s="0" t="n">
        <f aca="false">-J6*J23/100</f>
        <v>-131.952173290957</v>
      </c>
      <c r="K24" s="0" t="n">
        <f aca="false">-K6*K23/100</f>
        <v>-134.591216756776</v>
      </c>
      <c r="L24" s="0" t="n">
        <f aca="false">-L6*L23/100</f>
        <v>-137.283041091912</v>
      </c>
    </row>
    <row r="26" customFormat="false" ht="15" hidden="false" customHeight="false" outlineLevel="0" collapsed="false">
      <c r="A26" s="2" t="s">
        <v>124</v>
      </c>
    </row>
    <row r="27" customFormat="false" ht="15" hidden="false" customHeight="false" outlineLevel="0" collapsed="false">
      <c r="A27" s="0" t="s">
        <v>102</v>
      </c>
      <c r="B27" s="4" t="n">
        <f aca="false">Assumptions!$B$20</f>
        <v>9</v>
      </c>
    </row>
    <row r="28" customFormat="false" ht="15" hidden="false" customHeight="false" outlineLevel="0" collapsed="false">
      <c r="A28" s="0" t="s">
        <v>103</v>
      </c>
      <c r="B28" s="4" t="n">
        <f aca="false">Assumptions!$B$21</f>
        <v>2</v>
      </c>
    </row>
    <row r="29" customFormat="false" ht="15" hidden="false" customHeight="false" outlineLevel="0" collapsed="false">
      <c r="A29" s="0" t="s">
        <v>104</v>
      </c>
      <c r="B29" s="4" t="n">
        <f aca="false">Assumptions!$B$22</f>
        <v>15</v>
      </c>
    </row>
    <row r="30" customFormat="false" ht="15" hidden="false" customHeight="false" outlineLevel="0" collapsed="false">
      <c r="A30" s="0" t="s">
        <v>125</v>
      </c>
      <c r="B30" s="0" t="n">
        <f aca="false">SUM(C21:L21)</f>
        <v>24854.8867848371</v>
      </c>
    </row>
    <row r="31" customFormat="false" ht="15" hidden="false" customHeight="false" outlineLevel="0" collapsed="false">
      <c r="A31" s="0" t="s">
        <v>126</v>
      </c>
      <c r="B31" s="0" t="n">
        <f aca="false">L19</f>
        <v>3973.70473133125</v>
      </c>
    </row>
    <row r="32" customFormat="false" ht="15" hidden="false" customHeight="false" outlineLevel="0" collapsed="false">
      <c r="A32" s="0" t="s">
        <v>127</v>
      </c>
      <c r="B32" s="0" t="n">
        <f aca="false">IF(B27&gt;B28,B31*(1+B28/100)/((B27-B28)/100),B31*B29)</f>
        <v>57902.5546565411</v>
      </c>
    </row>
    <row r="33" customFormat="false" ht="15" hidden="false" customHeight="false" outlineLevel="0" collapsed="false">
      <c r="A33" s="0" t="s">
        <v>128</v>
      </c>
      <c r="B33" s="0" t="n">
        <f aca="false">B31*B29</f>
        <v>59605.5709699688</v>
      </c>
    </row>
    <row r="34" customFormat="false" ht="15" hidden="false" customHeight="false" outlineLevel="0" collapsed="false">
      <c r="A34" s="0" t="s">
        <v>129</v>
      </c>
      <c r="B34" s="0" t="n">
        <f aca="false">MAX(0,MIN(B32,B33))</f>
        <v>57902.5546565411</v>
      </c>
    </row>
    <row r="35" customFormat="false" ht="15" hidden="false" customHeight="false" outlineLevel="0" collapsed="false">
      <c r="A35" s="0" t="s">
        <v>130</v>
      </c>
      <c r="B35" s="0" t="n">
        <f aca="false">B34/(1+B27/100)^L4</f>
        <v>24458.6648337913</v>
      </c>
    </row>
    <row r="36" customFormat="false" ht="15" hidden="false" customHeight="false" outlineLevel="0" collapsed="false">
      <c r="A36" s="0" t="s">
        <v>131</v>
      </c>
      <c r="B36" s="0" t="n">
        <f aca="false">B30+B35</f>
        <v>49313.5516186284</v>
      </c>
    </row>
    <row r="37" customFormat="false" ht="15" hidden="false" customHeight="false" outlineLevel="0" collapsed="false">
      <c r="A37" s="0" t="s">
        <v>132</v>
      </c>
      <c r="B37" s="0" t="n">
        <f aca="false">B36+Assumptions!$B$5-Assumptions!$B$4</f>
        <v>69733.3266186284</v>
      </c>
    </row>
    <row r="38" customFormat="false" ht="15" hidden="false" customHeight="false" outlineLevel="0" collapsed="false">
      <c r="A38" s="0" t="s">
        <v>133</v>
      </c>
      <c r="B38" s="0" t="n">
        <f aca="false">B37/Assumptions!$B$3*Assumptions!$B$10</f>
        <v>215.361591826752</v>
      </c>
    </row>
    <row r="39" customFormat="false" ht="15" hidden="false" customHeight="false" outlineLevel="0" collapsed="false">
      <c r="A39" s="0" t="s">
        <v>134</v>
      </c>
      <c r="B39" s="4" t="n">
        <f aca="false">B38/Assumptions!$B$2-1</f>
        <v>0.28574084672688</v>
      </c>
    </row>
    <row r="41" customFormat="false" ht="15" hidden="false" customHeight="false" outlineLevel="0" collapsed="false">
      <c r="A41" s="0" t="s">
        <v>135</v>
      </c>
      <c r="B41" s="0" t="n">
        <f aca="false">SUMPRODUCT(-C10:L10/(1+$B$27/100)^C4:L4)</f>
        <v>187.653354081001</v>
      </c>
    </row>
    <row r="42" customFormat="false" ht="15" hidden="false" customHeight="false" outlineLevel="0" collapsed="false">
      <c r="A42" s="0" t="s">
        <v>136</v>
      </c>
      <c r="B42" s="0" t="n">
        <f aca="false">IF(B27&gt;B28,-L10*(1+B28/100)/((B27-B28)/100),-L10*20)/(1+B27/100)^L4</f>
        <v>211.248703442654</v>
      </c>
    </row>
    <row r="43" customFormat="false" ht="15" hidden="false" customHeight="false" outlineLevel="0" collapsed="false">
      <c r="A43" s="0" t="s">
        <v>137</v>
      </c>
      <c r="B43" s="0" t="n">
        <f aca="false">(B37+B41+B42)/Assumptions!$B$3*Assumptions!$B$10</f>
        <v>216.593544843437</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31178.2986612144</v>
      </c>
    </row>
    <row r="47" customFormat="false" ht="15" hidden="false" customHeight="false" outlineLevel="0" collapsed="false">
      <c r="A47" s="0" t="s">
        <v>139</v>
      </c>
      <c r="B47" s="0" t="n">
        <f aca="false">(SUMPRODUCT(C19:L19/(1+B45/100)^C4:L4)+B46/(1+B45/100)^L4+Assumptions!$B$5-Assumptions!$B$4)/Assumptions!$B$3*Assumptions!$B$10</f>
        <v>147.200448203167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140</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Assumptions!C27</f>
        <v>1</v>
      </c>
      <c r="D5" s="4" t="n">
        <f aca="false">Assumptions!D27</f>
        <v>6</v>
      </c>
      <c r="E5" s="4" t="n">
        <f aca="false">Assumptions!E27</f>
        <v>7</v>
      </c>
      <c r="F5" s="4" t="n">
        <f aca="false">Assumptions!F27</f>
        <v>6.5</v>
      </c>
      <c r="G5" s="4" t="n">
        <f aca="false">Assumptions!G27</f>
        <v>6</v>
      </c>
      <c r="H5" s="4" t="n">
        <f aca="false">Assumptions!H27</f>
        <v>5</v>
      </c>
      <c r="I5" s="4" t="n">
        <f aca="false">Assumptions!I27</f>
        <v>4.5</v>
      </c>
      <c r="J5" s="4" t="n">
        <f aca="false">Assumptions!J27</f>
        <v>4</v>
      </c>
      <c r="K5" s="4" t="n">
        <f aca="false">Assumptions!K27</f>
        <v>3.5</v>
      </c>
      <c r="L5" s="4" t="n">
        <f aca="false">Assumptions!L27</f>
        <v>3</v>
      </c>
    </row>
    <row r="6" customFormat="false" ht="15" hidden="false" customHeight="false" outlineLevel="0" collapsed="false">
      <c r="A6" s="0" t="s">
        <v>38</v>
      </c>
      <c r="B6" s="3" t="n">
        <v>33559.923</v>
      </c>
      <c r="C6" s="0" t="n">
        <f aca="false">B6*(1+C5/100)</f>
        <v>33895.52223</v>
      </c>
      <c r="D6" s="0" t="n">
        <f aca="false">C6*(1+D5/100)</f>
        <v>35929.2535638</v>
      </c>
      <c r="E6" s="0" t="n">
        <f aca="false">D6*(1+E5/100)</f>
        <v>38444.301313266</v>
      </c>
      <c r="F6" s="0" t="n">
        <f aca="false">E6*(1+F5/100)</f>
        <v>40943.1808986283</v>
      </c>
      <c r="G6" s="0" t="n">
        <f aca="false">F6*(1+G5/100)</f>
        <v>43399.771752546</v>
      </c>
      <c r="H6" s="0" t="n">
        <f aca="false">G6*(1+H5/100)</f>
        <v>45569.7603401733</v>
      </c>
      <c r="I6" s="0" t="n">
        <f aca="false">H6*(1+I5/100)</f>
        <v>47620.3995554811</v>
      </c>
      <c r="J6" s="0" t="n">
        <f aca="false">I6*(1+J5/100)</f>
        <v>49525.2155377003</v>
      </c>
      <c r="K6" s="0" t="n">
        <f aca="false">J6*(1+K5/100)</f>
        <v>51258.5980815198</v>
      </c>
      <c r="L6" s="0" t="n">
        <f aca="false">K6*(1+L5/100)</f>
        <v>52796.3560239654</v>
      </c>
    </row>
    <row r="7" customFormat="false" ht="15" hidden="false" customHeight="false" outlineLevel="0" collapsed="false">
      <c r="A7" s="0" t="s">
        <v>96</v>
      </c>
      <c r="C7" s="4" t="n">
        <f aca="false">Assumptions!C28</f>
        <v>21.5</v>
      </c>
      <c r="D7" s="4" t="n">
        <f aca="false">Assumptions!D28</f>
        <v>21.8</v>
      </c>
      <c r="E7" s="4" t="n">
        <f aca="false">Assumptions!E28</f>
        <v>22</v>
      </c>
      <c r="F7" s="4" t="n">
        <f aca="false">Assumptions!F28</f>
        <v>22</v>
      </c>
      <c r="G7" s="4" t="n">
        <f aca="false">Assumptions!G28</f>
        <v>22</v>
      </c>
      <c r="H7" s="4" t="n">
        <f aca="false">Assumptions!H28</f>
        <v>22</v>
      </c>
      <c r="I7" s="4" t="n">
        <f aca="false">Assumptions!I28</f>
        <v>22</v>
      </c>
      <c r="J7" s="4" t="n">
        <f aca="false">Assumptions!J28</f>
        <v>22</v>
      </c>
      <c r="K7" s="4" t="n">
        <f aca="false">Assumptions!K28</f>
        <v>22</v>
      </c>
      <c r="L7" s="4" t="n">
        <f aca="false">Assumptions!L28</f>
        <v>22</v>
      </c>
    </row>
    <row r="8" customFormat="false" ht="15" hidden="false" customHeight="false" outlineLevel="0" collapsed="false">
      <c r="A8" s="0" t="s">
        <v>44</v>
      </c>
      <c r="C8" s="0" t="n">
        <f aca="false">C6*C7/100</f>
        <v>7287.53727945</v>
      </c>
      <c r="D8" s="0" t="n">
        <f aca="false">D6*D7/100</f>
        <v>7832.5772769084</v>
      </c>
      <c r="E8" s="0" t="n">
        <f aca="false">E6*E7/100</f>
        <v>8457.74628891852</v>
      </c>
      <c r="F8" s="0" t="n">
        <f aca="false">F6*F7/100</f>
        <v>9007.49979769823</v>
      </c>
      <c r="G8" s="0" t="n">
        <f aca="false">G6*G7/100</f>
        <v>9547.94978556012</v>
      </c>
      <c r="H8" s="0" t="n">
        <f aca="false">H6*H7/100</f>
        <v>10025.3472748381</v>
      </c>
      <c r="I8" s="0" t="n">
        <f aca="false">I6*I7/100</f>
        <v>10476.4879022058</v>
      </c>
      <c r="J8" s="0" t="n">
        <f aca="false">J6*J7/100</f>
        <v>10895.5474182941</v>
      </c>
      <c r="K8" s="0" t="n">
        <f aca="false">K6*K7/100</f>
        <v>11276.8915779344</v>
      </c>
      <c r="L8" s="0" t="n">
        <f aca="false">L6*L7/100</f>
        <v>11615.1983252724</v>
      </c>
    </row>
    <row r="9" customFormat="false" ht="15" hidden="false" customHeight="false" outlineLevel="0" collapsed="false">
      <c r="A9" s="0" t="s">
        <v>97</v>
      </c>
      <c r="C9" s="4" t="n">
        <f aca="false">Assumptions!C29</f>
        <v>0.06</v>
      </c>
      <c r="D9" s="4" t="n">
        <f aca="false">Assumptions!D29</f>
        <v>0.08</v>
      </c>
      <c r="E9" s="4" t="n">
        <f aca="false">Assumptions!E29</f>
        <v>0.1</v>
      </c>
      <c r="F9" s="4" t="n">
        <f aca="false">Assumptions!F29</f>
        <v>0.1</v>
      </c>
      <c r="G9" s="4" t="n">
        <f aca="false">Assumptions!G29</f>
        <v>0.1</v>
      </c>
      <c r="H9" s="4" t="n">
        <f aca="false">Assumptions!H29</f>
        <v>0.1</v>
      </c>
      <c r="I9" s="4" t="n">
        <f aca="false">Assumptions!I29</f>
        <v>0.1</v>
      </c>
      <c r="J9" s="4" t="n">
        <f aca="false">Assumptions!J29</f>
        <v>0.1</v>
      </c>
      <c r="K9" s="4" t="n">
        <f aca="false">Assumptions!K29</f>
        <v>0.1</v>
      </c>
      <c r="L9" s="4" t="n">
        <f aca="false">Assumptions!L29</f>
        <v>0.1</v>
      </c>
    </row>
    <row r="10" customFormat="false" ht="15" hidden="false" customHeight="false" outlineLevel="0" collapsed="false">
      <c r="A10" s="0" t="s">
        <v>112</v>
      </c>
      <c r="C10" s="0" t="n">
        <f aca="false">-C6*C9/100</f>
        <v>-20.337313338</v>
      </c>
      <c r="D10" s="0" t="n">
        <f aca="false">-D6*D9/100</f>
        <v>-28.74340285104</v>
      </c>
      <c r="E10" s="0" t="n">
        <f aca="false">-E6*E9/100</f>
        <v>-38.444301313266</v>
      </c>
      <c r="F10" s="0" t="n">
        <f aca="false">-F6*F9/100</f>
        <v>-40.9431808986283</v>
      </c>
      <c r="G10" s="0" t="n">
        <f aca="false">-G6*G9/100</f>
        <v>-43.399771752546</v>
      </c>
      <c r="H10" s="0" t="n">
        <f aca="false">-H6*H9/100</f>
        <v>-45.5697603401733</v>
      </c>
      <c r="I10" s="0" t="n">
        <f aca="false">-I6*I9/100</f>
        <v>-47.6203995554811</v>
      </c>
      <c r="J10" s="0" t="n">
        <f aca="false">-J6*J9/100</f>
        <v>-49.5252155377003</v>
      </c>
      <c r="K10" s="0" t="n">
        <f aca="false">-K6*K9/100</f>
        <v>-51.2585980815199</v>
      </c>
      <c r="L10" s="0" t="n">
        <f aca="false">-L6*L9/100</f>
        <v>-52.7963560239654</v>
      </c>
    </row>
    <row r="11" customFormat="false" ht="15" hidden="false" customHeight="false" outlineLevel="0" collapsed="false">
      <c r="A11" s="0" t="s">
        <v>113</v>
      </c>
      <c r="C11" s="0" t="n">
        <f aca="false">C8+C10+C24</f>
        <v>7138.396981638</v>
      </c>
      <c r="D11" s="0" t="n">
        <f aca="false">D8+D10+D24</f>
        <v>7660.11685980216</v>
      </c>
      <c r="E11" s="0" t="n">
        <f aca="false">E8+E10+E24</f>
        <v>8265.52478235219</v>
      </c>
      <c r="F11" s="0" t="n">
        <f aca="false">F8+F10+F24</f>
        <v>8802.78389320508</v>
      </c>
      <c r="G11" s="0" t="n">
        <f aca="false">G8+G10+G24</f>
        <v>9330.95092679739</v>
      </c>
      <c r="H11" s="0" t="n">
        <f aca="false">H8+H10+H24</f>
        <v>9797.49847313726</v>
      </c>
      <c r="I11" s="0" t="n">
        <f aca="false">I8+I10+I24</f>
        <v>10238.3859044284</v>
      </c>
      <c r="J11" s="0" t="n">
        <f aca="false">J8+J10+J24</f>
        <v>10647.9213406056</v>
      </c>
      <c r="K11" s="0" t="n">
        <f aca="false">K8+K10+K24</f>
        <v>11020.5985875268</v>
      </c>
      <c r="L11" s="0" t="n">
        <f aca="false">L8+L10+L24</f>
        <v>11351.2165451526</v>
      </c>
    </row>
    <row r="12" customFormat="false" ht="15" hidden="false" customHeight="false" outlineLevel="0" collapsed="false">
      <c r="A12" s="0" t="s">
        <v>114</v>
      </c>
      <c r="C12" s="4" t="n">
        <f aca="false">-C6*Assumptions!C31/100</f>
        <v>-542.32835568</v>
      </c>
      <c r="D12" s="4" t="n">
        <f aca="false">-D6*Assumptions!D31/100</f>
        <v>-610.7973105846</v>
      </c>
      <c r="E12" s="4" t="n">
        <f aca="false">-E6*Assumptions!E31/100</f>
        <v>-691.997423638788</v>
      </c>
      <c r="F12" s="4" t="n">
        <f aca="false">-F6*Assumptions!F31/100</f>
        <v>-777.920437073938</v>
      </c>
      <c r="G12" s="4" t="n">
        <f aca="false">-G6*Assumptions!G31/100</f>
        <v>-824.595663298374</v>
      </c>
      <c r="H12" s="4" t="n">
        <f aca="false">-H6*Assumptions!H31/100</f>
        <v>-911.395206803466</v>
      </c>
      <c r="I12" s="4" t="n">
        <f aca="false">-I6*Assumptions!I31/100</f>
        <v>-952.407991109622</v>
      </c>
      <c r="J12" s="4" t="n">
        <f aca="false">-J6*Assumptions!J31/100</f>
        <v>-990.504310754007</v>
      </c>
      <c r="K12" s="4" t="n">
        <f aca="false">-K6*Assumptions!K31/100</f>
        <v>-1025.1719616304</v>
      </c>
      <c r="L12" s="4" t="n">
        <f aca="false">-L6*Assumptions!L31/100</f>
        <v>-1055.92712047931</v>
      </c>
    </row>
    <row r="13" customFormat="false" ht="15" hidden="false" customHeight="false" outlineLevel="0" collapsed="false">
      <c r="A13" s="0" t="s">
        <v>115</v>
      </c>
      <c r="C13" s="0" t="n">
        <f aca="false">C11+C12</f>
        <v>6596.068625958</v>
      </c>
      <c r="D13" s="0" t="n">
        <f aca="false">D11+D12</f>
        <v>7049.31954921756</v>
      </c>
      <c r="E13" s="0" t="n">
        <f aca="false">E11+E12</f>
        <v>7573.5273587134</v>
      </c>
      <c r="F13" s="0" t="n">
        <f aca="false">F11+F12</f>
        <v>8024.86345613115</v>
      </c>
      <c r="G13" s="0" t="n">
        <f aca="false">G11+G12</f>
        <v>8506.35526349902</v>
      </c>
      <c r="H13" s="0" t="n">
        <f aca="false">H11+H12</f>
        <v>8886.10326633379</v>
      </c>
      <c r="I13" s="0" t="n">
        <f aca="false">I11+I12</f>
        <v>9285.97791331881</v>
      </c>
      <c r="J13" s="0" t="n">
        <f aca="false">J11+J12</f>
        <v>9657.41702985157</v>
      </c>
      <c r="K13" s="0" t="n">
        <f aca="false">K11+K12</f>
        <v>9995.42662589637</v>
      </c>
      <c r="L13" s="0" t="n">
        <f aca="false">L11+L12</f>
        <v>10295.2894246733</v>
      </c>
    </row>
    <row r="14" customFormat="false" ht="15" hidden="false" customHeight="false" outlineLevel="0" collapsed="false">
      <c r="A14" s="0" t="s">
        <v>101</v>
      </c>
      <c r="C14" s="4" t="n">
        <f aca="false">Assumptions!C33</f>
        <v>22</v>
      </c>
      <c r="D14" s="4" t="n">
        <f aca="false">Assumptions!D33</f>
        <v>22</v>
      </c>
      <c r="E14" s="4" t="n">
        <f aca="false">Assumptions!E33</f>
        <v>22</v>
      </c>
      <c r="F14" s="4" t="n">
        <f aca="false">Assumptions!F33</f>
        <v>22</v>
      </c>
      <c r="G14" s="4" t="n">
        <f aca="false">Assumptions!G33</f>
        <v>22</v>
      </c>
      <c r="H14" s="4" t="n">
        <f aca="false">Assumptions!H33</f>
        <v>22</v>
      </c>
      <c r="I14" s="4" t="n">
        <f aca="false">Assumptions!I33</f>
        <v>22</v>
      </c>
      <c r="J14" s="4" t="n">
        <f aca="false">Assumptions!J33</f>
        <v>22</v>
      </c>
      <c r="K14" s="4" t="n">
        <f aca="false">Assumptions!K33</f>
        <v>22</v>
      </c>
      <c r="L14" s="4" t="n">
        <f aca="false">Assumptions!L33</f>
        <v>22</v>
      </c>
    </row>
    <row r="15" customFormat="false" ht="15" hidden="false" customHeight="false" outlineLevel="0" collapsed="false">
      <c r="A15" s="0" t="s">
        <v>116</v>
      </c>
      <c r="C15" s="0" t="n">
        <f aca="false">C13-MAX(0,C13)*C14/100</f>
        <v>5144.93352824724</v>
      </c>
      <c r="D15" s="0" t="n">
        <f aca="false">D13-MAX(0,D13)*D14/100</f>
        <v>5498.4692483897</v>
      </c>
      <c r="E15" s="0" t="n">
        <f aca="false">E13-MAX(0,E13)*E14/100</f>
        <v>5907.35133979645</v>
      </c>
      <c r="F15" s="0" t="n">
        <f aca="false">F13-MAX(0,F13)*F14/100</f>
        <v>6259.39349578229</v>
      </c>
      <c r="G15" s="0" t="n">
        <f aca="false">G13-MAX(0,G13)*G14/100</f>
        <v>6634.95710552923</v>
      </c>
      <c r="H15" s="0" t="n">
        <f aca="false">H13-MAX(0,H13)*H14/100</f>
        <v>6931.16054774036</v>
      </c>
      <c r="I15" s="0" t="n">
        <f aca="false">I13-MAX(0,I13)*I14/100</f>
        <v>7243.06277238867</v>
      </c>
      <c r="J15" s="0" t="n">
        <f aca="false">J13-MAX(0,J13)*J14/100</f>
        <v>7532.78528328422</v>
      </c>
      <c r="K15" s="0" t="n">
        <f aca="false">K13-MAX(0,K13)*K14/100</f>
        <v>7796.43276819917</v>
      </c>
      <c r="L15" s="0" t="n">
        <f aca="false">L13-MAX(0,L13)*L14/100</f>
        <v>8030.32575124514</v>
      </c>
    </row>
    <row r="16" customFormat="false" ht="15" hidden="false" customHeight="false" outlineLevel="0" collapsed="false">
      <c r="A16" s="0" t="s">
        <v>117</v>
      </c>
      <c r="C16" s="0" t="n">
        <f aca="false">-C12</f>
        <v>542.32835568</v>
      </c>
      <c r="D16" s="0" t="n">
        <f aca="false">-D12</f>
        <v>610.7973105846</v>
      </c>
      <c r="E16" s="0" t="n">
        <f aca="false">-E12</f>
        <v>691.997423638788</v>
      </c>
      <c r="F16" s="0" t="n">
        <f aca="false">-F12</f>
        <v>777.920437073938</v>
      </c>
      <c r="G16" s="0" t="n">
        <f aca="false">-G12</f>
        <v>824.595663298374</v>
      </c>
      <c r="H16" s="0" t="n">
        <f aca="false">-H12</f>
        <v>911.395206803466</v>
      </c>
      <c r="I16" s="0" t="n">
        <f aca="false">-I12</f>
        <v>952.407991109622</v>
      </c>
      <c r="J16" s="0" t="n">
        <f aca="false">-J12</f>
        <v>990.504310754007</v>
      </c>
      <c r="K16" s="0" t="n">
        <f aca="false">-K12</f>
        <v>1025.1719616304</v>
      </c>
      <c r="L16" s="0" t="n">
        <f aca="false">-L12</f>
        <v>1055.92712047931</v>
      </c>
    </row>
    <row r="17" customFormat="false" ht="15" hidden="false" customHeight="false" outlineLevel="0" collapsed="false">
      <c r="A17" s="0" t="s">
        <v>118</v>
      </c>
      <c r="C17" s="4" t="n">
        <f aca="false">-C6*Assumptions!C32/100</f>
        <v>-779.59701129</v>
      </c>
      <c r="D17" s="4" t="n">
        <f aca="false">-D6*Assumptions!D32/100</f>
        <v>-898.231339095</v>
      </c>
      <c r="E17" s="4" t="n">
        <f aca="false">-E6*Assumptions!E32/100</f>
        <v>-961.10753283165</v>
      </c>
      <c r="F17" s="4" t="n">
        <f aca="false">-F6*Assumptions!F32/100</f>
        <v>-1023.57952246571</v>
      </c>
      <c r="G17" s="4" t="n">
        <f aca="false">-G6*Assumptions!G32/100</f>
        <v>-1041.5945220611</v>
      </c>
      <c r="H17" s="4" t="n">
        <f aca="false">-H6*Assumptions!H32/100</f>
        <v>-1048.10448782399</v>
      </c>
      <c r="I17" s="4" t="n">
        <f aca="false">-I6*Assumptions!I32/100</f>
        <v>-1047.64879022058</v>
      </c>
      <c r="J17" s="4" t="n">
        <f aca="false">-J6*Assumptions!J32/100</f>
        <v>-1089.55474182941</v>
      </c>
      <c r="K17" s="4" t="n">
        <f aca="false">-K6*Assumptions!K32/100</f>
        <v>-1127.68915779344</v>
      </c>
      <c r="L17" s="4" t="n">
        <f aca="false">-L6*Assumptions!L32/100</f>
        <v>-1161.51983252724</v>
      </c>
    </row>
    <row r="18" customFormat="false" ht="15" hidden="false" customHeight="false" outlineLevel="0" collapsed="false">
      <c r="A18" s="0" t="s">
        <v>119</v>
      </c>
      <c r="C18" s="4" t="n">
        <f aca="false">(C6-B6)*Assumptions!$B$37/100</f>
        <v>-26.8479384</v>
      </c>
      <c r="D18" s="4" t="n">
        <f aca="false">(D6-C6)*Assumptions!$B$37/100</f>
        <v>-162.698506704</v>
      </c>
      <c r="E18" s="4" t="n">
        <f aca="false">(E6-D6)*Assumptions!$B$37/100</f>
        <v>-201.20381995728</v>
      </c>
      <c r="F18" s="4" t="n">
        <f aca="false">(F6-E6)*Assumptions!$B$37/100</f>
        <v>-199.910366828983</v>
      </c>
      <c r="G18" s="4" t="n">
        <f aca="false">(G6-F6)*Assumptions!$B$37/100</f>
        <v>-196.527268313416</v>
      </c>
      <c r="H18" s="4" t="n">
        <f aca="false">(H6-G6)*Assumptions!$B$37/100</f>
        <v>-173.599087010184</v>
      </c>
      <c r="I18" s="4" t="n">
        <f aca="false">(I6-H6)*Assumptions!$B$37/100</f>
        <v>-164.051137224624</v>
      </c>
      <c r="J18" s="4" t="n">
        <f aca="false">(J6-I6)*Assumptions!$B$37/100</f>
        <v>-152.38527857754</v>
      </c>
      <c r="K18" s="4" t="n">
        <f aca="false">(K6-J6)*Assumptions!$B$37/100</f>
        <v>-138.67060350556</v>
      </c>
      <c r="L18" s="4" t="n">
        <f aca="false">(L6-K6)*Assumptions!$B$37/100</f>
        <v>-123.020635395648</v>
      </c>
    </row>
    <row r="19" customFormat="false" ht="15" hidden="false" customHeight="false" outlineLevel="0" collapsed="false">
      <c r="A19" s="0" t="s">
        <v>120</v>
      </c>
      <c r="C19" s="0" t="n">
        <f aca="false">C15+C16+C17+C18</f>
        <v>4880.81693423724</v>
      </c>
      <c r="D19" s="0" t="n">
        <f aca="false">D15+D16+D17+D18</f>
        <v>5048.3367131753</v>
      </c>
      <c r="E19" s="0" t="n">
        <f aca="false">E15+E16+E17+E18</f>
        <v>5437.03741064631</v>
      </c>
      <c r="F19" s="0" t="n">
        <f aca="false">F15+F16+F17+F18</f>
        <v>5813.82404356154</v>
      </c>
      <c r="G19" s="0" t="n">
        <f aca="false">G15+G16+G17+G18</f>
        <v>6221.43097845309</v>
      </c>
      <c r="H19" s="0" t="n">
        <f aca="false">H15+H16+H17+H18</f>
        <v>6620.85217970966</v>
      </c>
      <c r="I19" s="0" t="n">
        <f aca="false">I15+I16+I17+I18</f>
        <v>6983.77083605309</v>
      </c>
      <c r="J19" s="0" t="n">
        <f aca="false">J15+J16+J17+J18</f>
        <v>7281.34957363128</v>
      </c>
      <c r="K19" s="0" t="n">
        <f aca="false">K15+K16+K17+K18</f>
        <v>7555.24496853057</v>
      </c>
      <c r="L19" s="0" t="n">
        <f aca="false">L15+L16+L17+L18</f>
        <v>7801.71240380156</v>
      </c>
    </row>
    <row r="20" customFormat="false" ht="15" hidden="false" customHeight="false" outlineLevel="0" collapsed="false">
      <c r="A20" s="0" t="s">
        <v>121</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122</v>
      </c>
      <c r="C21" s="0" t="n">
        <f aca="false">C19*C20</f>
        <v>4477.81370113508</v>
      </c>
      <c r="D21" s="0" t="n">
        <f aca="false">D19*D20</f>
        <v>4249.08401075271</v>
      </c>
      <c r="E21" s="0" t="n">
        <f aca="false">E19*E20</f>
        <v>4198.39046897507</v>
      </c>
      <c r="F21" s="0" t="n">
        <f aca="false">F19*F20</f>
        <v>4118.659525156</v>
      </c>
      <c r="G21" s="0" t="n">
        <f aca="false">G19*G20</f>
        <v>4043.50326058549</v>
      </c>
      <c r="H21" s="0" t="n">
        <f aca="false">H19*H20</f>
        <v>3947.79783085791</v>
      </c>
      <c r="I21" s="0" t="n">
        <f aca="false">I19*I20</f>
        <v>3820.36180545908</v>
      </c>
      <c r="J21" s="0" t="n">
        <f aca="false">J19*J20</f>
        <v>3654.26382151523</v>
      </c>
      <c r="K21" s="0" t="n">
        <f aca="false">K19*K20</f>
        <v>3478.64466456223</v>
      </c>
      <c r="L21" s="0" t="n">
        <f aca="false">L19*L20</f>
        <v>3295.52763165792</v>
      </c>
    </row>
    <row r="23" customFormat="false" ht="15" hidden="false" customHeight="false" outlineLevel="0" collapsed="false">
      <c r="A23" s="0" t="s">
        <v>98</v>
      </c>
      <c r="C23" s="4" t="n">
        <f aca="false">Assumptions!C30</f>
        <v>0.38</v>
      </c>
      <c r="D23" s="4" t="n">
        <f aca="false">Assumptions!D30</f>
        <v>0.4</v>
      </c>
      <c r="E23" s="4" t="n">
        <f aca="false">Assumptions!E30</f>
        <v>0.4</v>
      </c>
      <c r="F23" s="4" t="n">
        <f aca="false">Assumptions!F30</f>
        <v>0.4</v>
      </c>
      <c r="G23" s="4" t="n">
        <f aca="false">Assumptions!G30</f>
        <v>0.4</v>
      </c>
      <c r="H23" s="4" t="n">
        <f aca="false">Assumptions!H30</f>
        <v>0.4</v>
      </c>
      <c r="I23" s="4" t="n">
        <f aca="false">Assumptions!I30</f>
        <v>0.4</v>
      </c>
      <c r="J23" s="4" t="n">
        <f aca="false">Assumptions!J30</f>
        <v>0.4</v>
      </c>
      <c r="K23" s="4" t="n">
        <f aca="false">Assumptions!K30</f>
        <v>0.4</v>
      </c>
      <c r="L23" s="4" t="n">
        <f aca="false">Assumptions!L30</f>
        <v>0.4</v>
      </c>
    </row>
    <row r="24" customFormat="false" ht="15" hidden="false" customHeight="false" outlineLevel="0" collapsed="false">
      <c r="A24" s="0" t="s">
        <v>123</v>
      </c>
      <c r="C24" s="0" t="n">
        <f aca="false">-C6*C23/100</f>
        <v>-128.802984474</v>
      </c>
      <c r="D24" s="0" t="n">
        <f aca="false">-D6*D23/100</f>
        <v>-143.7170142552</v>
      </c>
      <c r="E24" s="0" t="n">
        <f aca="false">-E6*E23/100</f>
        <v>-153.777205253064</v>
      </c>
      <c r="F24" s="0" t="n">
        <f aca="false">-F6*F23/100</f>
        <v>-163.772723594513</v>
      </c>
      <c r="G24" s="0" t="n">
        <f aca="false">-G6*G23/100</f>
        <v>-173.599087010184</v>
      </c>
      <c r="H24" s="0" t="n">
        <f aca="false">-H6*H23/100</f>
        <v>-182.279041360693</v>
      </c>
      <c r="I24" s="0" t="n">
        <f aca="false">-I6*I23/100</f>
        <v>-190.481598221924</v>
      </c>
      <c r="J24" s="0" t="n">
        <f aca="false">-J6*J23/100</f>
        <v>-198.100862150801</v>
      </c>
      <c r="K24" s="0" t="n">
        <f aca="false">-K6*K23/100</f>
        <v>-205.034392326079</v>
      </c>
      <c r="L24" s="0" t="n">
        <f aca="false">-L6*L23/100</f>
        <v>-211.185424095862</v>
      </c>
    </row>
    <row r="26" customFormat="false" ht="15" hidden="false" customHeight="false" outlineLevel="0" collapsed="false">
      <c r="A26" s="2" t="s">
        <v>124</v>
      </c>
    </row>
    <row r="27" customFormat="false" ht="15" hidden="false" customHeight="false" outlineLevel="0" collapsed="false">
      <c r="A27" s="0" t="s">
        <v>102</v>
      </c>
      <c r="B27" s="4" t="n">
        <f aca="false">Assumptions!$B$34</f>
        <v>9</v>
      </c>
    </row>
    <row r="28" customFormat="false" ht="15" hidden="false" customHeight="false" outlineLevel="0" collapsed="false">
      <c r="A28" s="0" t="s">
        <v>103</v>
      </c>
      <c r="B28" s="4" t="n">
        <f aca="false">Assumptions!$B$35</f>
        <v>2</v>
      </c>
    </row>
    <row r="29" customFormat="false" ht="15" hidden="false" customHeight="false" outlineLevel="0" collapsed="false">
      <c r="A29" s="0" t="s">
        <v>104</v>
      </c>
      <c r="B29" s="4" t="n">
        <f aca="false">Assumptions!$B$36</f>
        <v>15</v>
      </c>
    </row>
    <row r="30" customFormat="false" ht="15" hidden="false" customHeight="false" outlineLevel="0" collapsed="false">
      <c r="A30" s="0" t="s">
        <v>125</v>
      </c>
      <c r="B30" s="0" t="n">
        <f aca="false">SUM(C21:L21)</f>
        <v>39284.0467206567</v>
      </c>
    </row>
    <row r="31" customFormat="false" ht="15" hidden="false" customHeight="false" outlineLevel="0" collapsed="false">
      <c r="A31" s="0" t="s">
        <v>126</v>
      </c>
      <c r="B31" s="0" t="n">
        <f aca="false">L19</f>
        <v>7801.71240380156</v>
      </c>
    </row>
    <row r="32" customFormat="false" ht="15" hidden="false" customHeight="false" outlineLevel="0" collapsed="false">
      <c r="A32" s="0" t="s">
        <v>127</v>
      </c>
      <c r="B32" s="0" t="n">
        <f aca="false">IF(B27&gt;B28,B31*(1+B28/100)/((B27-B28)/100),B31*B29)</f>
        <v>113682.095026823</v>
      </c>
    </row>
    <row r="33" customFormat="false" ht="15" hidden="false" customHeight="false" outlineLevel="0" collapsed="false">
      <c r="A33" s="0" t="s">
        <v>128</v>
      </c>
      <c r="B33" s="0" t="n">
        <f aca="false">B31*B29</f>
        <v>117025.686057023</v>
      </c>
    </row>
    <row r="34" customFormat="false" ht="15" hidden="false" customHeight="false" outlineLevel="0" collapsed="false">
      <c r="A34" s="0" t="s">
        <v>129</v>
      </c>
      <c r="B34" s="0" t="n">
        <f aca="false">MAX(0,MIN(B32,B33))</f>
        <v>113682.095026823</v>
      </c>
    </row>
    <row r="35" customFormat="false" ht="15" hidden="false" customHeight="false" outlineLevel="0" collapsed="false">
      <c r="A35" s="0" t="s">
        <v>130</v>
      </c>
      <c r="B35" s="0" t="n">
        <f aca="false">B34/(1+B27/100)^L4</f>
        <v>48020.5454898726</v>
      </c>
    </row>
    <row r="36" customFormat="false" ht="15" hidden="false" customHeight="false" outlineLevel="0" collapsed="false">
      <c r="A36" s="0" t="s">
        <v>131</v>
      </c>
      <c r="B36" s="0" t="n">
        <f aca="false">B30+B35</f>
        <v>87304.5922105293</v>
      </c>
    </row>
    <row r="37" customFormat="false" ht="15" hidden="false" customHeight="false" outlineLevel="0" collapsed="false">
      <c r="A37" s="0" t="s">
        <v>132</v>
      </c>
      <c r="B37" s="0" t="n">
        <f aca="false">B36+Assumptions!$B$5-Assumptions!$B$4</f>
        <v>107724.367210529</v>
      </c>
    </row>
    <row r="38" customFormat="false" ht="15" hidden="false" customHeight="false" outlineLevel="0" collapsed="false">
      <c r="A38" s="0" t="s">
        <v>133</v>
      </c>
      <c r="B38" s="0" t="n">
        <f aca="false">B37/Assumptions!$B$3*Assumptions!$B$10</f>
        <v>332.691588454805</v>
      </c>
    </row>
    <row r="39" customFormat="false" ht="15" hidden="false" customHeight="false" outlineLevel="0" collapsed="false">
      <c r="A39" s="0" t="s">
        <v>134</v>
      </c>
      <c r="B39" s="4" t="n">
        <f aca="false">B38/Assumptions!$B$2-1</f>
        <v>0.986218438536148</v>
      </c>
    </row>
    <row r="41" customFormat="false" ht="15" hidden="false" customHeight="false" outlineLevel="0" collapsed="false">
      <c r="A41" s="0" t="s">
        <v>135</v>
      </c>
      <c r="B41" s="0" t="n">
        <f aca="false">SUMPRODUCT(-C10:L10/(1+$B$27/100)^C4:L4)</f>
        <v>253.72836052732</v>
      </c>
    </row>
    <row r="42" customFormat="false" ht="15" hidden="false" customHeight="false" outlineLevel="0" collapsed="false">
      <c r="A42" s="0" t="s">
        <v>136</v>
      </c>
      <c r="B42" s="0" t="n">
        <f aca="false">IF(B27&gt;B28,-L10*(1+B28/100)/((B27-B28)/100),-L10*20)/(1+B27/100)^L4</f>
        <v>324.968376803143</v>
      </c>
    </row>
    <row r="43" customFormat="false" ht="15" hidden="false" customHeight="false" outlineLevel="0" collapsed="false">
      <c r="A43" s="0" t="s">
        <v>137</v>
      </c>
      <c r="B43" s="0" t="n">
        <f aca="false">(B37+B41+B42)/Assumptions!$B$3*Assumptions!$B$10</f>
        <v>334.478812104955</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61213.4357836738</v>
      </c>
    </row>
    <row r="47" customFormat="false" ht="15" hidden="false" customHeight="false" outlineLevel="0" collapsed="false">
      <c r="A47" s="0" t="s">
        <v>139</v>
      </c>
      <c r="B47" s="0" t="n">
        <f aca="false">(SUMPRODUCT(C19:L19/(1+B45/100)^C4:L4)+B46/(1+B45/100)^L4+Assumptions!$B$5-Assumptions!$B$4)/Assumptions!$B$3*Assumptions!$B$10</f>
        <v>202.437891754804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141</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Assumptions!C41</f>
        <v>3</v>
      </c>
      <c r="D5" s="4" t="n">
        <f aca="false">Assumptions!D41</f>
        <v>11</v>
      </c>
      <c r="E5" s="4" t="n">
        <f aca="false">Assumptions!E41</f>
        <v>11</v>
      </c>
      <c r="F5" s="4" t="n">
        <f aca="false">Assumptions!F41</f>
        <v>10</v>
      </c>
      <c r="G5" s="4" t="n">
        <f aca="false">Assumptions!G41</f>
        <v>9</v>
      </c>
      <c r="H5" s="4" t="n">
        <f aca="false">Assumptions!H41</f>
        <v>8</v>
      </c>
      <c r="I5" s="4" t="n">
        <f aca="false">Assumptions!I41</f>
        <v>7</v>
      </c>
      <c r="J5" s="4" t="n">
        <f aca="false">Assumptions!J41</f>
        <v>6</v>
      </c>
      <c r="K5" s="4" t="n">
        <f aca="false">Assumptions!K41</f>
        <v>5</v>
      </c>
      <c r="L5" s="4" t="n">
        <f aca="false">Assumptions!L41</f>
        <v>4</v>
      </c>
    </row>
    <row r="6" customFormat="false" ht="15" hidden="false" customHeight="false" outlineLevel="0" collapsed="false">
      <c r="A6" s="0" t="s">
        <v>38</v>
      </c>
      <c r="B6" s="3" t="n">
        <v>33559.923</v>
      </c>
      <c r="C6" s="0" t="n">
        <f aca="false">B6*(1+C5/100)</f>
        <v>34566.72069</v>
      </c>
      <c r="D6" s="0" t="n">
        <f aca="false">C6*(1+D5/100)</f>
        <v>38369.0599659</v>
      </c>
      <c r="E6" s="0" t="n">
        <f aca="false">D6*(1+E5/100)</f>
        <v>42589.656562149</v>
      </c>
      <c r="F6" s="0" t="n">
        <f aca="false">E6*(1+F5/100)</f>
        <v>46848.6222183639</v>
      </c>
      <c r="G6" s="0" t="n">
        <f aca="false">F6*(1+G5/100)</f>
        <v>51064.9982180167</v>
      </c>
      <c r="H6" s="0" t="n">
        <f aca="false">G6*(1+H5/100)</f>
        <v>55150.198075458</v>
      </c>
      <c r="I6" s="0" t="n">
        <f aca="false">H6*(1+I5/100)</f>
        <v>59010.7119407401</v>
      </c>
      <c r="J6" s="0" t="n">
        <f aca="false">I6*(1+J5/100)</f>
        <v>62551.3546571845</v>
      </c>
      <c r="K6" s="0" t="n">
        <f aca="false">J6*(1+K5/100)</f>
        <v>65678.9223900437</v>
      </c>
      <c r="L6" s="0" t="n">
        <f aca="false">K6*(1+L5/100)</f>
        <v>68306.0792856455</v>
      </c>
    </row>
    <row r="7" customFormat="false" ht="15" hidden="false" customHeight="false" outlineLevel="0" collapsed="false">
      <c r="A7" s="0" t="s">
        <v>96</v>
      </c>
      <c r="C7" s="4" t="n">
        <f aca="false">Assumptions!C42</f>
        <v>21.8</v>
      </c>
      <c r="D7" s="4" t="n">
        <f aca="false">Assumptions!D42</f>
        <v>22.6</v>
      </c>
      <c r="E7" s="4" t="n">
        <f aca="false">Assumptions!E42</f>
        <v>23.2</v>
      </c>
      <c r="F7" s="4" t="n">
        <f aca="false">Assumptions!F42</f>
        <v>23.5</v>
      </c>
      <c r="G7" s="4" t="n">
        <f aca="false">Assumptions!G42</f>
        <v>23.5</v>
      </c>
      <c r="H7" s="4" t="n">
        <f aca="false">Assumptions!H42</f>
        <v>23.5</v>
      </c>
      <c r="I7" s="4" t="n">
        <f aca="false">Assumptions!I42</f>
        <v>23.5</v>
      </c>
      <c r="J7" s="4" t="n">
        <f aca="false">Assumptions!J42</f>
        <v>23.5</v>
      </c>
      <c r="K7" s="4" t="n">
        <f aca="false">Assumptions!K42</f>
        <v>23.5</v>
      </c>
      <c r="L7" s="4" t="n">
        <f aca="false">Assumptions!L42</f>
        <v>23.5</v>
      </c>
    </row>
    <row r="8" customFormat="false" ht="15" hidden="false" customHeight="false" outlineLevel="0" collapsed="false">
      <c r="A8" s="0" t="s">
        <v>44</v>
      </c>
      <c r="C8" s="0" t="n">
        <f aca="false">C6*C7/100</f>
        <v>7535.54511042</v>
      </c>
      <c r="D8" s="0" t="n">
        <f aca="false">D6*D7/100</f>
        <v>8671.4075522934</v>
      </c>
      <c r="E8" s="0" t="n">
        <f aca="false">E6*E7/100</f>
        <v>9880.80032241857</v>
      </c>
      <c r="F8" s="0" t="n">
        <f aca="false">F6*F7/100</f>
        <v>11009.4262213155</v>
      </c>
      <c r="G8" s="0" t="n">
        <f aca="false">G6*G7/100</f>
        <v>12000.2745812339</v>
      </c>
      <c r="H8" s="0" t="n">
        <f aca="false">H6*H7/100</f>
        <v>12960.2965477326</v>
      </c>
      <c r="I8" s="0" t="n">
        <f aca="false">I6*I7/100</f>
        <v>13867.5173060739</v>
      </c>
      <c r="J8" s="0" t="n">
        <f aca="false">J6*J7/100</f>
        <v>14699.5683444384</v>
      </c>
      <c r="K8" s="0" t="n">
        <f aca="false">K6*K7/100</f>
        <v>15434.5467616603</v>
      </c>
      <c r="L8" s="0" t="n">
        <f aca="false">L6*L7/100</f>
        <v>16051.9286321267</v>
      </c>
    </row>
    <row r="9" customFormat="false" ht="15" hidden="false" customHeight="false" outlineLevel="0" collapsed="false">
      <c r="A9" s="0" t="s">
        <v>97</v>
      </c>
      <c r="C9" s="4" t="n">
        <f aca="false">Assumptions!C43</f>
        <v>0.06</v>
      </c>
      <c r="D9" s="4" t="n">
        <f aca="false">Assumptions!D43</f>
        <v>0.08</v>
      </c>
      <c r="E9" s="4" t="n">
        <f aca="false">Assumptions!E43</f>
        <v>0.1</v>
      </c>
      <c r="F9" s="4" t="n">
        <f aca="false">Assumptions!F43</f>
        <v>0.1</v>
      </c>
      <c r="G9" s="4" t="n">
        <f aca="false">Assumptions!G43</f>
        <v>0.1</v>
      </c>
      <c r="H9" s="4" t="n">
        <f aca="false">Assumptions!H43</f>
        <v>0.1</v>
      </c>
      <c r="I9" s="4" t="n">
        <f aca="false">Assumptions!I43</f>
        <v>0.1</v>
      </c>
      <c r="J9" s="4" t="n">
        <f aca="false">Assumptions!J43</f>
        <v>0.1</v>
      </c>
      <c r="K9" s="4" t="n">
        <f aca="false">Assumptions!K43</f>
        <v>0.1</v>
      </c>
      <c r="L9" s="4" t="n">
        <f aca="false">Assumptions!L43</f>
        <v>0.1</v>
      </c>
    </row>
    <row r="10" customFormat="false" ht="15" hidden="false" customHeight="false" outlineLevel="0" collapsed="false">
      <c r="A10" s="0" t="s">
        <v>112</v>
      </c>
      <c r="C10" s="0" t="n">
        <f aca="false">-C6*C9/100</f>
        <v>-20.740032414</v>
      </c>
      <c r="D10" s="0" t="n">
        <f aca="false">-D6*D9/100</f>
        <v>-30.69524797272</v>
      </c>
      <c r="E10" s="0" t="n">
        <f aca="false">-E6*E9/100</f>
        <v>-42.589656562149</v>
      </c>
      <c r="F10" s="0" t="n">
        <f aca="false">-F6*F9/100</f>
        <v>-46.8486222183639</v>
      </c>
      <c r="G10" s="0" t="n">
        <f aca="false">-G6*G9/100</f>
        <v>-51.0649982180167</v>
      </c>
      <c r="H10" s="0" t="n">
        <f aca="false">-H6*H9/100</f>
        <v>-55.150198075458</v>
      </c>
      <c r="I10" s="0" t="n">
        <f aca="false">-I6*I9/100</f>
        <v>-59.0107119407401</v>
      </c>
      <c r="J10" s="0" t="n">
        <f aca="false">-J6*J9/100</f>
        <v>-62.5513546571845</v>
      </c>
      <c r="K10" s="0" t="n">
        <f aca="false">-K6*K9/100</f>
        <v>-65.6789223900437</v>
      </c>
      <c r="L10" s="0" t="n">
        <f aca="false">-L6*L9/100</f>
        <v>-68.3060792856455</v>
      </c>
    </row>
    <row r="11" customFormat="false" ht="15" hidden="false" customHeight="false" outlineLevel="0" collapsed="false">
      <c r="A11" s="0" t="s">
        <v>113</v>
      </c>
      <c r="C11" s="0" t="n">
        <f aca="false">C8+C10+C24</f>
        <v>7383.451539384</v>
      </c>
      <c r="D11" s="0" t="n">
        <f aca="false">D8+D10+D24</f>
        <v>8487.23606445708</v>
      </c>
      <c r="E11" s="0" t="n">
        <f aca="false">E8+E10+E24</f>
        <v>9667.85203960783</v>
      </c>
      <c r="F11" s="0" t="n">
        <f aca="false">F8+F10+F24</f>
        <v>10775.1831102237</v>
      </c>
      <c r="G11" s="0" t="n">
        <f aca="false">G8+G10+G24</f>
        <v>11744.9495901438</v>
      </c>
      <c r="H11" s="0" t="n">
        <f aca="false">H8+H10+H24</f>
        <v>12684.5455573553</v>
      </c>
      <c r="I11" s="0" t="n">
        <f aca="false">I8+I10+I24</f>
        <v>13572.4637463702</v>
      </c>
      <c r="J11" s="0" t="n">
        <f aca="false">J8+J10+J24</f>
        <v>14386.8115711524</v>
      </c>
      <c r="K11" s="0" t="n">
        <f aca="false">K8+K10+K24</f>
        <v>15106.1521497101</v>
      </c>
      <c r="L11" s="0" t="n">
        <f aca="false">L8+L10+L24</f>
        <v>15710.3982356985</v>
      </c>
    </row>
    <row r="12" customFormat="false" ht="15" hidden="false" customHeight="false" outlineLevel="0" collapsed="false">
      <c r="A12" s="0" t="s">
        <v>114</v>
      </c>
      <c r="C12" s="4" t="n">
        <f aca="false">-C6*Assumptions!C45/100</f>
        <v>-553.06753104</v>
      </c>
      <c r="D12" s="4" t="n">
        <f aca="false">-D6*Assumptions!D45/100</f>
        <v>-652.2740194203</v>
      </c>
      <c r="E12" s="4" t="n">
        <f aca="false">-E6*Assumptions!E45/100</f>
        <v>-766.613818118682</v>
      </c>
      <c r="F12" s="4" t="n">
        <f aca="false">-F6*Assumptions!F45/100</f>
        <v>-890.123822148914</v>
      </c>
      <c r="G12" s="4" t="n">
        <f aca="false">-G6*Assumptions!G45/100</f>
        <v>-970.234966142317</v>
      </c>
      <c r="H12" s="4" t="n">
        <f aca="false">-H6*Assumptions!H45/100</f>
        <v>-1103.00396150916</v>
      </c>
      <c r="I12" s="4" t="n">
        <f aca="false">-I6*Assumptions!I45/100</f>
        <v>-1180.2142388148</v>
      </c>
      <c r="J12" s="4" t="n">
        <f aca="false">-J6*Assumptions!J45/100</f>
        <v>-1251.02709314369</v>
      </c>
      <c r="K12" s="4" t="n">
        <f aca="false">-K6*Assumptions!K45/100</f>
        <v>-1313.57844780087</v>
      </c>
      <c r="L12" s="4" t="n">
        <f aca="false">-L6*Assumptions!L45/100</f>
        <v>-1366.12158571291</v>
      </c>
    </row>
    <row r="13" customFormat="false" ht="15" hidden="false" customHeight="false" outlineLevel="0" collapsed="false">
      <c r="A13" s="0" t="s">
        <v>115</v>
      </c>
      <c r="C13" s="0" t="n">
        <f aca="false">C11+C12</f>
        <v>6830.384008344</v>
      </c>
      <c r="D13" s="0" t="n">
        <f aca="false">D11+D12</f>
        <v>7834.96204503678</v>
      </c>
      <c r="E13" s="0" t="n">
        <f aca="false">E11+E12</f>
        <v>8901.23822148914</v>
      </c>
      <c r="F13" s="0" t="n">
        <f aca="false">F11+F12</f>
        <v>9885.05928807479</v>
      </c>
      <c r="G13" s="0" t="n">
        <f aca="false">G11+G12</f>
        <v>10774.7146240015</v>
      </c>
      <c r="H13" s="0" t="n">
        <f aca="false">H11+H12</f>
        <v>11581.5415958462</v>
      </c>
      <c r="I13" s="0" t="n">
        <f aca="false">I11+I12</f>
        <v>12392.2495075554</v>
      </c>
      <c r="J13" s="0" t="n">
        <f aca="false">J11+J12</f>
        <v>13135.7844780087</v>
      </c>
      <c r="K13" s="0" t="n">
        <f aca="false">K11+K12</f>
        <v>13792.5737019092</v>
      </c>
      <c r="L13" s="0" t="n">
        <f aca="false">L11+L12</f>
        <v>14344.2766499856</v>
      </c>
    </row>
    <row r="14" customFormat="false" ht="15" hidden="false" customHeight="false" outlineLevel="0" collapsed="false">
      <c r="A14" s="0" t="s">
        <v>101</v>
      </c>
      <c r="C14" s="4" t="n">
        <f aca="false">Assumptions!C47</f>
        <v>21.5</v>
      </c>
      <c r="D14" s="4" t="n">
        <f aca="false">Assumptions!D47</f>
        <v>21.5</v>
      </c>
      <c r="E14" s="4" t="n">
        <f aca="false">Assumptions!E47</f>
        <v>21.5</v>
      </c>
      <c r="F14" s="4" t="n">
        <f aca="false">Assumptions!F47</f>
        <v>21.5</v>
      </c>
      <c r="G14" s="4" t="n">
        <f aca="false">Assumptions!G47</f>
        <v>21.5</v>
      </c>
      <c r="H14" s="4" t="n">
        <f aca="false">Assumptions!H47</f>
        <v>21.5</v>
      </c>
      <c r="I14" s="4" t="n">
        <f aca="false">Assumptions!I47</f>
        <v>21.5</v>
      </c>
      <c r="J14" s="4" t="n">
        <f aca="false">Assumptions!J47</f>
        <v>21.5</v>
      </c>
      <c r="K14" s="4" t="n">
        <f aca="false">Assumptions!K47</f>
        <v>21.5</v>
      </c>
      <c r="L14" s="4" t="n">
        <f aca="false">Assumptions!L47</f>
        <v>21.5</v>
      </c>
    </row>
    <row r="15" customFormat="false" ht="15" hidden="false" customHeight="false" outlineLevel="0" collapsed="false">
      <c r="A15" s="0" t="s">
        <v>116</v>
      </c>
      <c r="C15" s="0" t="n">
        <f aca="false">C13-MAX(0,C13)*C14/100</f>
        <v>5361.85144655004</v>
      </c>
      <c r="D15" s="0" t="n">
        <f aca="false">D13-MAX(0,D13)*D14/100</f>
        <v>6150.44520535387</v>
      </c>
      <c r="E15" s="0" t="n">
        <f aca="false">E13-MAX(0,E13)*E14/100</f>
        <v>6987.47200386898</v>
      </c>
      <c r="F15" s="0" t="n">
        <f aca="false">F13-MAX(0,F13)*F14/100</f>
        <v>7759.77154113871</v>
      </c>
      <c r="G15" s="0" t="n">
        <f aca="false">G13-MAX(0,G13)*G14/100</f>
        <v>8458.15097984119</v>
      </c>
      <c r="H15" s="0" t="n">
        <f aca="false">H13-MAX(0,H13)*H14/100</f>
        <v>9091.51015273925</v>
      </c>
      <c r="I15" s="0" t="n">
        <f aca="false">I13-MAX(0,I13)*I14/100</f>
        <v>9727.915863431</v>
      </c>
      <c r="J15" s="0" t="n">
        <f aca="false">J13-MAX(0,J13)*J14/100</f>
        <v>10311.5908152369</v>
      </c>
      <c r="K15" s="0" t="n">
        <f aca="false">K13-MAX(0,K13)*K14/100</f>
        <v>10827.1703559987</v>
      </c>
      <c r="L15" s="0" t="n">
        <f aca="false">L13-MAX(0,L13)*L14/100</f>
        <v>11260.2571702387</v>
      </c>
    </row>
    <row r="16" customFormat="false" ht="15" hidden="false" customHeight="false" outlineLevel="0" collapsed="false">
      <c r="A16" s="0" t="s">
        <v>117</v>
      </c>
      <c r="C16" s="0" t="n">
        <f aca="false">-C12</f>
        <v>553.06753104</v>
      </c>
      <c r="D16" s="0" t="n">
        <f aca="false">-D12</f>
        <v>652.2740194203</v>
      </c>
      <c r="E16" s="0" t="n">
        <f aca="false">-E12</f>
        <v>766.613818118682</v>
      </c>
      <c r="F16" s="0" t="n">
        <f aca="false">-F12</f>
        <v>890.123822148914</v>
      </c>
      <c r="G16" s="0" t="n">
        <f aca="false">-G12</f>
        <v>970.234966142317</v>
      </c>
      <c r="H16" s="0" t="n">
        <f aca="false">-H12</f>
        <v>1103.00396150916</v>
      </c>
      <c r="I16" s="0" t="n">
        <f aca="false">-I12</f>
        <v>1180.2142388148</v>
      </c>
      <c r="J16" s="0" t="n">
        <f aca="false">-J12</f>
        <v>1251.02709314369</v>
      </c>
      <c r="K16" s="0" t="n">
        <f aca="false">-K12</f>
        <v>1313.57844780087</v>
      </c>
      <c r="L16" s="0" t="n">
        <f aca="false">-L12</f>
        <v>1366.12158571291</v>
      </c>
    </row>
    <row r="17" customFormat="false" ht="15" hidden="false" customHeight="false" outlineLevel="0" collapsed="false">
      <c r="A17" s="0" t="s">
        <v>118</v>
      </c>
      <c r="C17" s="4" t="n">
        <f aca="false">-C6*Assumptions!C46/100</f>
        <v>-829.60129656</v>
      </c>
      <c r="D17" s="4" t="n">
        <f aca="false">-D6*Assumptions!D46/100</f>
        <v>-1074.3336790452</v>
      </c>
      <c r="E17" s="4" t="n">
        <f aca="false">-E6*Assumptions!E46/100</f>
        <v>-1192.51038374017</v>
      </c>
      <c r="F17" s="4" t="n">
        <f aca="false">-F6*Assumptions!F46/100</f>
        <v>-1264.91279989583</v>
      </c>
      <c r="G17" s="4" t="n">
        <f aca="false">-G6*Assumptions!G46/100</f>
        <v>-1327.68995366843</v>
      </c>
      <c r="H17" s="4" t="n">
        <f aca="false">-H6*Assumptions!H46/100</f>
        <v>-1378.75495188645</v>
      </c>
      <c r="I17" s="4" t="n">
        <f aca="false">-I6*Assumptions!I46/100</f>
        <v>-1416.25708657776</v>
      </c>
      <c r="J17" s="4" t="n">
        <f aca="false">-J6*Assumptions!J46/100</f>
        <v>-1438.68115711524</v>
      </c>
      <c r="K17" s="4" t="n">
        <f aca="false">-K6*Assumptions!K46/100</f>
        <v>-1444.93629258096</v>
      </c>
      <c r="L17" s="4" t="n">
        <f aca="false">-L6*Assumptions!L46/100</f>
        <v>-1502.7337442842</v>
      </c>
    </row>
    <row r="18" customFormat="false" ht="15" hidden="false" customHeight="false" outlineLevel="0" collapsed="false">
      <c r="A18" s="0" t="s">
        <v>119</v>
      </c>
      <c r="C18" s="4" t="n">
        <f aca="false">(C6-B6)*Assumptions!$B$51/100</f>
        <v>-80.5438152</v>
      </c>
      <c r="D18" s="4" t="n">
        <f aca="false">(D6-C6)*Assumptions!$B$51/100</f>
        <v>-304.187142072</v>
      </c>
      <c r="E18" s="4" t="n">
        <f aca="false">(E6-D6)*Assumptions!$B$51/100</f>
        <v>-337.647727699921</v>
      </c>
      <c r="F18" s="4" t="n">
        <f aca="false">(F6-E6)*Assumptions!$B$51/100</f>
        <v>-340.717252497192</v>
      </c>
      <c r="G18" s="4" t="n">
        <f aca="false">(G6-F6)*Assumptions!$B$51/100</f>
        <v>-337.310079972221</v>
      </c>
      <c r="H18" s="4" t="n">
        <f aca="false">(H6-G6)*Assumptions!$B$51/100</f>
        <v>-326.815988595307</v>
      </c>
      <c r="I18" s="4" t="n">
        <f aca="false">(I6-H6)*Assumptions!$B$51/100</f>
        <v>-308.841109222565</v>
      </c>
      <c r="J18" s="4" t="n">
        <f aca="false">(J6-I6)*Assumptions!$B$51/100</f>
        <v>-283.251417315553</v>
      </c>
      <c r="K18" s="4" t="n">
        <f aca="false">(K6-J6)*Assumptions!$B$51/100</f>
        <v>-250.205418628738</v>
      </c>
      <c r="L18" s="4" t="n">
        <f aca="false">(L6-K6)*Assumptions!$B$51/100</f>
        <v>-210.172551648141</v>
      </c>
    </row>
    <row r="19" customFormat="false" ht="15" hidden="false" customHeight="false" outlineLevel="0" collapsed="false">
      <c r="A19" s="0" t="s">
        <v>120</v>
      </c>
      <c r="C19" s="0" t="n">
        <f aca="false">C15+C16+C17+C18</f>
        <v>5004.77386583004</v>
      </c>
      <c r="D19" s="0" t="n">
        <f aca="false">D15+D16+D17+D18</f>
        <v>5424.19840365697</v>
      </c>
      <c r="E19" s="0" t="n">
        <f aca="false">E15+E16+E17+E18</f>
        <v>6223.92771054757</v>
      </c>
      <c r="F19" s="0" t="n">
        <f aca="false">F15+F16+F17+F18</f>
        <v>7044.26531089461</v>
      </c>
      <c r="G19" s="0" t="n">
        <f aca="false">G15+G16+G17+G18</f>
        <v>7763.38591234286</v>
      </c>
      <c r="H19" s="0" t="n">
        <f aca="false">H15+H16+H17+H18</f>
        <v>8488.94317376666</v>
      </c>
      <c r="I19" s="0" t="n">
        <f aca="false">I15+I16+I17+I18</f>
        <v>9183.03190644548</v>
      </c>
      <c r="J19" s="0" t="n">
        <f aca="false">J15+J16+J17+J18</f>
        <v>9840.68533394976</v>
      </c>
      <c r="K19" s="0" t="n">
        <f aca="false">K15+K16+K17+K18</f>
        <v>10445.6070925899</v>
      </c>
      <c r="L19" s="0" t="n">
        <f aca="false">L15+L16+L17+L18</f>
        <v>10913.4724600192</v>
      </c>
    </row>
    <row r="20" customFormat="false" ht="15" hidden="false" customHeight="false" outlineLevel="0" collapsed="false">
      <c r="A20" s="0" t="s">
        <v>121</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122</v>
      </c>
      <c r="C21" s="0" t="n">
        <f aca="false">C19*C20</f>
        <v>4591.53565672481</v>
      </c>
      <c r="D21" s="0" t="n">
        <f aca="false">D19*D20</f>
        <v>4565.43927586649</v>
      </c>
      <c r="E21" s="0" t="n">
        <f aca="false">E19*E20</f>
        <v>4806.01415917911</v>
      </c>
      <c r="F21" s="0" t="n">
        <f aca="false">F19*F20</f>
        <v>4990.33513966975</v>
      </c>
      <c r="G21" s="0" t="n">
        <f aca="false">G19*G20</f>
        <v>5045.66816837804</v>
      </c>
      <c r="H21" s="0" t="n">
        <f aca="false">H19*H20</f>
        <v>5061.67945425141</v>
      </c>
      <c r="I21" s="0" t="n">
        <f aca="false">I19*I20</f>
        <v>5023.43292431449</v>
      </c>
      <c r="J21" s="0" t="n">
        <f aca="false">J19*J20</f>
        <v>4938.70813797974</v>
      </c>
      <c r="K21" s="0" t="n">
        <f aca="false">K19*K20</f>
        <v>4809.44767934088</v>
      </c>
      <c r="L21" s="0" t="n">
        <f aca="false">L19*L20</f>
        <v>4609.9687078706</v>
      </c>
    </row>
    <row r="23" customFormat="false" ht="15" hidden="false" customHeight="false" outlineLevel="0" collapsed="false">
      <c r="A23" s="0" t="s">
        <v>98</v>
      </c>
      <c r="C23" s="4" t="n">
        <f aca="false">Assumptions!C44</f>
        <v>0.38</v>
      </c>
      <c r="D23" s="4" t="n">
        <f aca="false">Assumptions!D44</f>
        <v>0.4</v>
      </c>
      <c r="E23" s="4" t="n">
        <f aca="false">Assumptions!E44</f>
        <v>0.4</v>
      </c>
      <c r="F23" s="4" t="n">
        <f aca="false">Assumptions!F44</f>
        <v>0.4</v>
      </c>
      <c r="G23" s="4" t="n">
        <f aca="false">Assumptions!G44</f>
        <v>0.4</v>
      </c>
      <c r="H23" s="4" t="n">
        <f aca="false">Assumptions!H44</f>
        <v>0.4</v>
      </c>
      <c r="I23" s="4" t="n">
        <f aca="false">Assumptions!I44</f>
        <v>0.4</v>
      </c>
      <c r="J23" s="4" t="n">
        <f aca="false">Assumptions!J44</f>
        <v>0.4</v>
      </c>
      <c r="K23" s="4" t="n">
        <f aca="false">Assumptions!K44</f>
        <v>0.4</v>
      </c>
      <c r="L23" s="4" t="n">
        <f aca="false">Assumptions!L44</f>
        <v>0.4</v>
      </c>
    </row>
    <row r="24" customFormat="false" ht="15" hidden="false" customHeight="false" outlineLevel="0" collapsed="false">
      <c r="A24" s="0" t="s">
        <v>123</v>
      </c>
      <c r="C24" s="0" t="n">
        <f aca="false">-C6*C23/100</f>
        <v>-131.353538622</v>
      </c>
      <c r="D24" s="0" t="n">
        <f aca="false">-D6*D23/100</f>
        <v>-153.4762398636</v>
      </c>
      <c r="E24" s="0" t="n">
        <f aca="false">-E6*E23/100</f>
        <v>-170.358626248596</v>
      </c>
      <c r="F24" s="0" t="n">
        <f aca="false">-F6*F23/100</f>
        <v>-187.394488873456</v>
      </c>
      <c r="G24" s="0" t="n">
        <f aca="false">-G6*G23/100</f>
        <v>-204.259992872067</v>
      </c>
      <c r="H24" s="0" t="n">
        <f aca="false">-H6*H23/100</f>
        <v>-220.600792301832</v>
      </c>
      <c r="I24" s="0" t="n">
        <f aca="false">-I6*I23/100</f>
        <v>-236.04284776296</v>
      </c>
      <c r="J24" s="0" t="n">
        <f aca="false">-J6*J23/100</f>
        <v>-250.205418628738</v>
      </c>
      <c r="K24" s="0" t="n">
        <f aca="false">-K6*K23/100</f>
        <v>-262.715689560175</v>
      </c>
      <c r="L24" s="0" t="n">
        <f aca="false">-L6*L23/100</f>
        <v>-273.224317142582</v>
      </c>
    </row>
    <row r="26" customFormat="false" ht="15" hidden="false" customHeight="false" outlineLevel="0" collapsed="false">
      <c r="A26" s="2" t="s">
        <v>124</v>
      </c>
    </row>
    <row r="27" customFormat="false" ht="15" hidden="false" customHeight="false" outlineLevel="0" collapsed="false">
      <c r="A27" s="0" t="s">
        <v>102</v>
      </c>
      <c r="B27" s="4" t="n">
        <f aca="false">Assumptions!$B$48</f>
        <v>9</v>
      </c>
    </row>
    <row r="28" customFormat="false" ht="15" hidden="false" customHeight="false" outlineLevel="0" collapsed="false">
      <c r="A28" s="0" t="s">
        <v>103</v>
      </c>
      <c r="B28" s="4" t="n">
        <f aca="false">Assumptions!$B$49</f>
        <v>2</v>
      </c>
    </row>
    <row r="29" customFormat="false" ht="15" hidden="false" customHeight="false" outlineLevel="0" collapsed="false">
      <c r="A29" s="0" t="s">
        <v>104</v>
      </c>
      <c r="B29" s="4" t="n">
        <f aca="false">Assumptions!$B$50</f>
        <v>15</v>
      </c>
    </row>
    <row r="30" customFormat="false" ht="15" hidden="false" customHeight="false" outlineLevel="0" collapsed="false">
      <c r="A30" s="0" t="s">
        <v>125</v>
      </c>
      <c r="B30" s="0" t="n">
        <f aca="false">SUM(C21:L21)</f>
        <v>48442.2293035753</v>
      </c>
    </row>
    <row r="31" customFormat="false" ht="15" hidden="false" customHeight="false" outlineLevel="0" collapsed="false">
      <c r="A31" s="0" t="s">
        <v>126</v>
      </c>
      <c r="B31" s="0" t="n">
        <f aca="false">L19</f>
        <v>10913.4724600192</v>
      </c>
    </row>
    <row r="32" customFormat="false" ht="15" hidden="false" customHeight="false" outlineLevel="0" collapsed="false">
      <c r="A32" s="0" t="s">
        <v>127</v>
      </c>
      <c r="B32" s="0" t="n">
        <f aca="false">IF(B27&gt;B28,B31*(1+B28/100)/((B27-B28)/100),B31*B29)</f>
        <v>159024.884417423</v>
      </c>
    </row>
    <row r="33" customFormat="false" ht="15" hidden="false" customHeight="false" outlineLevel="0" collapsed="false">
      <c r="A33" s="0" t="s">
        <v>128</v>
      </c>
      <c r="B33" s="0" t="n">
        <f aca="false">B31*B29</f>
        <v>163702.086900288</v>
      </c>
    </row>
    <row r="34" customFormat="false" ht="15" hidden="false" customHeight="false" outlineLevel="0" collapsed="false">
      <c r="A34" s="0" t="s">
        <v>129</v>
      </c>
      <c r="B34" s="0" t="n">
        <f aca="false">MAX(0,MIN(B32,B33))</f>
        <v>159024.884417423</v>
      </c>
    </row>
    <row r="35" customFormat="false" ht="15" hidden="false" customHeight="false" outlineLevel="0" collapsed="false">
      <c r="A35" s="0" t="s">
        <v>130</v>
      </c>
      <c r="B35" s="0" t="n">
        <f aca="false">B34/(1+B27/100)^L4</f>
        <v>67173.8297432573</v>
      </c>
    </row>
    <row r="36" customFormat="false" ht="15" hidden="false" customHeight="false" outlineLevel="0" collapsed="false">
      <c r="A36" s="0" t="s">
        <v>131</v>
      </c>
      <c r="B36" s="0" t="n">
        <f aca="false">B30+B35</f>
        <v>115616.059046833</v>
      </c>
    </row>
    <row r="37" customFormat="false" ht="15" hidden="false" customHeight="false" outlineLevel="0" collapsed="false">
      <c r="A37" s="0" t="s">
        <v>132</v>
      </c>
      <c r="B37" s="0" t="n">
        <f aca="false">B36+Assumptions!$B$5-Assumptions!$B$4</f>
        <v>136035.834046833</v>
      </c>
    </row>
    <row r="38" customFormat="false" ht="15" hidden="false" customHeight="false" outlineLevel="0" collapsed="false">
      <c r="A38" s="0" t="s">
        <v>133</v>
      </c>
      <c r="B38" s="0" t="n">
        <f aca="false">B37/Assumptions!$B$3*Assumptions!$B$10</f>
        <v>420.127580117187</v>
      </c>
    </row>
    <row r="39" customFormat="false" ht="15" hidden="false" customHeight="false" outlineLevel="0" collapsed="false">
      <c r="A39" s="0" t="s">
        <v>134</v>
      </c>
      <c r="B39" s="4" t="n">
        <f aca="false">B38/Assumptions!$B$2-1</f>
        <v>1.50822435890858</v>
      </c>
    </row>
    <row r="41" customFormat="false" ht="15" hidden="false" customHeight="false" outlineLevel="0" collapsed="false">
      <c r="A41" s="0" t="s">
        <v>135</v>
      </c>
      <c r="B41" s="0" t="n">
        <f aca="false">SUMPRODUCT(-C10:L10/(1+$B$27/100)^C4:L4)</f>
        <v>299.778831707248</v>
      </c>
    </row>
    <row r="42" customFormat="false" ht="15" hidden="false" customHeight="false" outlineLevel="0" collapsed="false">
      <c r="A42" s="0" t="s">
        <v>136</v>
      </c>
      <c r="B42" s="0" t="n">
        <f aca="false">IF(B27&gt;B28,-L10*(1+B28/100)/((B27-B28)/100),-L10*20)/(1+B27/100)^L4</f>
        <v>420.432722689557</v>
      </c>
    </row>
    <row r="43" customFormat="false" ht="15" hidden="false" customHeight="false" outlineLevel="0" collapsed="false">
      <c r="A43" s="0" t="s">
        <v>137</v>
      </c>
      <c r="B43" s="0" t="n">
        <f aca="false">(B37+B41+B42)/Assumptions!$B$3*Assumptions!$B$10</f>
        <v>422.351852417507</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85628.7839170739</v>
      </c>
    </row>
    <row r="47" customFormat="false" ht="15" hidden="false" customHeight="false" outlineLevel="0" collapsed="false">
      <c r="A47" s="0" t="s">
        <v>139</v>
      </c>
      <c r="B47" s="0" t="n">
        <f aca="false">(SUMPRODUCT(C19:L19/(1+B45/100)^C4:L4)+B46/(1+B45/100)^L4+Assumptions!$B$5-Assumptions!$B$4)/Assumptions!$B$3*Assumptions!$B$10</f>
        <v>240.969761353936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142</v>
      </c>
    </row>
    <row r="3" customFormat="false" ht="15" hidden="false" customHeight="false" outlineLevel="0" collapsed="false">
      <c r="A3" s="2" t="s">
        <v>143</v>
      </c>
      <c r="B3" s="2" t="s">
        <v>144</v>
      </c>
      <c r="C3" s="2" t="s">
        <v>134</v>
      </c>
      <c r="D3" s="2" t="s">
        <v>145</v>
      </c>
      <c r="E3" s="2" t="s">
        <v>137</v>
      </c>
      <c r="F3" s="2" t="s">
        <v>146</v>
      </c>
    </row>
    <row r="4" customFormat="false" ht="15" hidden="false" customHeight="false" outlineLevel="0" collapsed="false">
      <c r="A4" s="0" t="s">
        <v>147</v>
      </c>
      <c r="B4" s="4" t="n">
        <f aca="false">DCF_Bear!$B$38</f>
        <v>215.361591826752</v>
      </c>
      <c r="C4" s="0" t="n">
        <f aca="false">B4/Assumptions!$B$2-1</f>
        <v>0.28574084672688</v>
      </c>
      <c r="D4" s="4" t="n">
        <f aca="false">Assumptions!$B$24</f>
        <v>0.3</v>
      </c>
      <c r="E4" s="4" t="n">
        <f aca="false">DCF_Bear!$B$43</f>
        <v>216.593544843437</v>
      </c>
      <c r="F4" s="4" t="n">
        <f aca="false">DCF_Bear!$B$47</f>
        <v>147.200448203167</v>
      </c>
    </row>
    <row r="5" customFormat="false" ht="15" hidden="false" customHeight="false" outlineLevel="0" collapsed="false">
      <c r="A5" s="0" t="s">
        <v>148</v>
      </c>
      <c r="B5" s="4" t="n">
        <f aca="false">DCF_Base!$B$38</f>
        <v>332.691588454805</v>
      </c>
      <c r="C5" s="0" t="n">
        <f aca="false">B5/Assumptions!$B$2-1</f>
        <v>0.986218438536148</v>
      </c>
      <c r="D5" s="4" t="n">
        <f aca="false">Assumptions!$B$38</f>
        <v>0.5</v>
      </c>
      <c r="E5" s="4" t="n">
        <f aca="false">DCF_Base!$B$43</f>
        <v>334.478812104955</v>
      </c>
      <c r="F5" s="4" t="n">
        <f aca="false">DCF_Base!$B$47</f>
        <v>202.437891754804</v>
      </c>
    </row>
    <row r="6" customFormat="false" ht="15" hidden="false" customHeight="false" outlineLevel="0" collapsed="false">
      <c r="A6" s="0" t="s">
        <v>149</v>
      </c>
      <c r="B6" s="4" t="n">
        <f aca="false">DCF_Bull!$B$38</f>
        <v>420.127580117187</v>
      </c>
      <c r="C6" s="0" t="n">
        <f aca="false">B6/Assumptions!$B$2-1</f>
        <v>1.50822435890858</v>
      </c>
      <c r="D6" s="4" t="n">
        <f aca="false">Assumptions!$B$52</f>
        <v>0.2</v>
      </c>
      <c r="E6" s="4" t="n">
        <f aca="false">DCF_Bull!$B$43</f>
        <v>422.351852417507</v>
      </c>
      <c r="F6" s="4" t="n">
        <f aca="false">DCF_Bull!$B$47</f>
        <v>240.969761353936</v>
      </c>
    </row>
    <row r="8" customFormat="false" ht="15" hidden="false" customHeight="false" outlineLevel="0" collapsed="false">
      <c r="A8" s="0" t="s">
        <v>150</v>
      </c>
      <c r="B8" s="0" t="n">
        <f aca="false">SUMPRODUCT(B4:B6,D4:D6)</f>
        <v>314.979787798866</v>
      </c>
    </row>
    <row r="9" customFormat="false" ht="15" hidden="false" customHeight="false" outlineLevel="0" collapsed="false">
      <c r="A9" s="0" t="s">
        <v>151</v>
      </c>
      <c r="B9" s="0" t="n">
        <f aca="false">SUMPRODUCT(E4:E6,D4:D6)</f>
        <v>316.68783998901</v>
      </c>
    </row>
    <row r="10" customFormat="false" ht="15" hidden="false" customHeight="false" outlineLevel="0" collapsed="false">
      <c r="A10" s="0" t="s">
        <v>152</v>
      </c>
      <c r="B10" s="0" t="n">
        <f aca="false">1-Assumptions!$B$2/B8</f>
        <v>0.468219846198642</v>
      </c>
    </row>
    <row r="11" customFormat="false" ht="15" hidden="false" customHeight="false" outlineLevel="0" collapsed="false">
      <c r="A11" s="0" t="s">
        <v>153</v>
      </c>
      <c r="B11" s="0" t="str">
        <f aca="false">IF(ABS(B9-B8)&gt;0.01*ABS(B8),(Assumptions!$B$2-B8)/(B9-B8)*100,"n/a")</f>
        <v>n/a</v>
      </c>
    </row>
    <row r="12" customFormat="false" ht="15" hidden="false" customHeight="false" outlineLevel="0" collapsed="false">
      <c r="A12" s="0" t="s">
        <v>154</v>
      </c>
      <c r="B12" s="0" t="n">
        <f aca="false">SUMPRODUCT(F4:F6,D4:D6)</f>
        <v>193.573032609139</v>
      </c>
    </row>
    <row r="14" customFormat="false" ht="15" hidden="false" customHeight="false" outlineLevel="0" collapsed="false">
      <c r="A14" s="2" t="s">
        <v>155</v>
      </c>
      <c r="C14" s="0" t="s">
        <v>156</v>
      </c>
    </row>
    <row r="15" customFormat="false" ht="15" hidden="false" customHeight="false" outlineLevel="0" collapsed="false">
      <c r="A15" s="0" t="s">
        <v>157</v>
      </c>
      <c r="B15" s="0" t="n">
        <f aca="false">(SUMPRODUCT(DCF_Base!$C$19:$L$19/(1+$C$15/100)^DCF_Base!$C$4:$L$4)+MAX(0,MIN(IF($C$15&gt;DCF_Base!$B$28,DCF_Base!$L$19*(1+DCF_Base!$B$28/100)/(($C$15-DCF_Base!$B$28)/100),DCF_Base!$L$19*DCF_Base!$B$29),DCF_Base!$L$19*DCF_Base!$B$29))/(1+$C$15/100)^DCF_Base!$L$4+Assumptions!$B$5-Assumptions!$B$4)/Assumptions!$B$3*Assumptions!$B$10</f>
        <v>332.691588454805</v>
      </c>
      <c r="C15" s="3" t="n">
        <v>9</v>
      </c>
    </row>
    <row r="16" customFormat="false" ht="15" hidden="false" customHeight="false" outlineLevel="0" collapsed="false">
      <c r="A16" s="0" t="s">
        <v>158</v>
      </c>
      <c r="B16" s="0" t="n">
        <f aca="false">(SUMPRODUCT(DCF_Base!$C$19:$L$19/(1+$C$16/100)^DCF_Base!$C$4:$L$4)+MAX(0,MIN(IF($C$16&gt;DCF_Base!$B$28,DCF_Base!$L$19*(1+DCF_Base!$B$28/100)/(($C$16-DCF_Base!$B$28)/100),DCF_Base!$L$19*DCF_Base!$B$29),DCF_Base!$L$19*DCF_Base!$B$29))/(1+$C$16/100)^DCF_Base!$L$4+Assumptions!$B$5-Assumptions!$B$4)/Assumptions!$B$3*Assumptions!$B$10</f>
        <v>297.188413029396</v>
      </c>
      <c r="C16" s="3" t="n">
        <v>10</v>
      </c>
    </row>
    <row r="17" customFormat="false" ht="15" hidden="false" customHeight="false" outlineLevel="0" collapsed="false">
      <c r="A17" s="0" t="s">
        <v>159</v>
      </c>
      <c r="B17" s="0" t="n">
        <f aca="false">(SUMPRODUCT(DCF_Base!$C$19:$L$19/(1+$C$17/100)^DCF_Base!$C$4:$L$4)+MAX(0,MIN(IF($C$17&gt;DCF_Base!$B$28,DCF_Base!$L$19*(1+DCF_Base!$B$28/100)/(($C$17-DCF_Base!$B$28)/100),DCF_Base!$L$19*DCF_Base!$B$29),DCF_Base!$L$19*DCF_Base!$B$29))/(1+$C$17/100)^DCF_Base!$L$4+Assumptions!$B$5-Assumptions!$B$4)/Assumptions!$B$3*Assumptions!$B$10</f>
        <v>269.662857888342</v>
      </c>
      <c r="C17" s="3" t="n">
        <v>11</v>
      </c>
    </row>
    <row r="18" customFormat="false" ht="15" hidden="false" customHeight="false" outlineLevel="0" collapsed="false">
      <c r="A18" s="0" t="s">
        <v>160</v>
      </c>
      <c r="B18" s="0" t="n">
        <f aca="false">(SUMPRODUCT(DCF_Base!$C$19:$L$19/(1+$C$18/100)^DCF_Base!$C$4:$L$4)+MAX(0,MIN(IF($C$18&gt;DCF_Base!$B$28,DCF_Base!$L$19*(1+DCF_Base!$B$28/100)/(($C$18-DCF_Base!$B$28)/100),DCF_Base!$L$19*DCF_Base!$B$29),DCF_Base!$L$19*DCF_Base!$B$29))/(1+$C$18/100)^DCF_Base!$L$4+Assumptions!$B$5-Assumptions!$B$4)/Assumptions!$B$3*Assumptions!$B$10</f>
        <v>247.716170939122</v>
      </c>
      <c r="C18" s="3" t="n">
        <v>12</v>
      </c>
    </row>
    <row r="19" customFormat="false" ht="15" hidden="false" customHeight="false" outlineLevel="0" collapsed="false">
      <c r="A19" s="0" t="s">
        <v>161</v>
      </c>
      <c r="B19" s="0" t="n">
        <f aca="false">(SUMPRODUCT(DCF_Base!$C$19:$L$19/(1+$C$19/100)^DCF_Base!$C$4:$L$4)+MAX(0,MIN(IF($C$19&gt;DCF_Base!$B$28,DCF_Base!$L$19*(1+DCF_Base!$B$28/100)/(($C$19-DCF_Base!$B$28)/100),DCF_Base!$L$19*DCF_Base!$B$29),DCF_Base!$L$19*DCF_Base!$B$29))/(1+$C$19/100)^DCF_Base!$L$4+Assumptions!$B$5-Assumptions!$B$4)/Assumptions!$B$3*Assumptions!$B$10</f>
        <v>202.437891754804</v>
      </c>
      <c r="C19" s="3" t="n">
        <v>15</v>
      </c>
    </row>
    <row r="21" customFormat="false" ht="15" hidden="false" customHeight="false" outlineLevel="0" collapsed="false">
      <c r="A21" s="2" t="s">
        <v>162</v>
      </c>
    </row>
    <row r="22" customFormat="false" ht="15" hidden="false" customHeight="false" outlineLevel="0" collapsed="false">
      <c r="B22" s="3" t="n">
        <v>1</v>
      </c>
      <c r="C22" s="3" t="n">
        <v>1.5</v>
      </c>
      <c r="D22" s="3" t="n">
        <v>2</v>
      </c>
      <c r="E22" s="3" t="n">
        <v>2.5</v>
      </c>
      <c r="F22" s="3" t="n">
        <v>3</v>
      </c>
    </row>
    <row r="23" customFormat="false" ht="15" hidden="false" customHeight="false" outlineLevel="0" collapsed="false">
      <c r="A23" s="3" t="n">
        <v>7</v>
      </c>
      <c r="B23" s="0" t="n">
        <f aca="false">(SUMPRODUCT(DCF_Base!$C$19:$L$19/(1+$A$23/100)^DCF_Base!$C$4:$L$4)+MAX(0,MIN(IF($A$23&gt;$B$22,DCF_Base!$L$19*(1+$B$22/100)/(($A$23-$B$22)/100),DCF_Base!$L$19*DCF_Base!$B$29),DCF_Base!$L$19*DCF_Base!$B$29))/(1+$A$23/100)^DCF_Base!$L$4+Assumptions!$B$5-Assumptions!$B$4)/Assumptions!$B$3*Assumptions!$B$10</f>
        <v>380.684343969906</v>
      </c>
      <c r="C23" s="0" t="n">
        <f aca="false">(SUMPRODUCT(DCF_Base!$C$19:$L$19/(1+$A$23/100)^DCF_Base!$C$4:$L$4)+MAX(0,MIN(IF($A$23&gt;$C$22,DCF_Base!$L$19*(1+$C$22/100)/(($A$23-$C$22)/100),DCF_Base!$L$19*DCF_Base!$B$29),DCF_Base!$L$19*DCF_Base!$B$29))/(1+$A$23/100)^DCF_Base!$L$4+Assumptions!$B$5-Assumptions!$B$4)/Assumptions!$B$3*Assumptions!$B$10</f>
        <v>380.684343969906</v>
      </c>
      <c r="D23" s="0" t="n">
        <f aca="false">(SUMPRODUCT(DCF_Base!$C$19:$L$19/(1+$A$23/100)^DCF_Base!$C$4:$L$4)+MAX(0,MIN(IF($A$23&gt;$D$22,DCF_Base!$L$19*(1+$D$22/100)/(($A$23-$D$22)/100),DCF_Base!$L$19*DCF_Base!$B$29),DCF_Base!$L$19*DCF_Base!$B$29))/(1+$A$23/100)^DCF_Base!$L$4+Assumptions!$B$5-Assumptions!$B$4)/Assumptions!$B$3*Assumptions!$B$10</f>
        <v>380.684343969906</v>
      </c>
      <c r="E23" s="0" t="n">
        <f aca="false">(SUMPRODUCT(DCF_Base!$C$19:$L$19/(1+$A$23/100)^DCF_Base!$C$4:$L$4)+MAX(0,MIN(IF($A$23&gt;$E$22,DCF_Base!$L$19*(1+$E$22/100)/(($A$23-$E$22)/100),DCF_Base!$L$19*DCF_Base!$B$29),DCF_Base!$L$19*DCF_Base!$B$29))/(1+$A$23/100)^DCF_Base!$L$4+Assumptions!$B$5-Assumptions!$B$4)/Assumptions!$B$3*Assumptions!$B$10</f>
        <v>380.684343969906</v>
      </c>
      <c r="F23" s="0" t="n">
        <f aca="false">(SUMPRODUCT(DCF_Base!$C$19:$L$19/(1+$A$23/100)^DCF_Base!$C$4:$L$4)+MAX(0,MIN(IF($A$23&gt;$F$22,DCF_Base!$L$19*(1+$F$22/100)/(($A$23-$F$22)/100),DCF_Base!$L$19*DCF_Base!$B$29),DCF_Base!$L$19*DCF_Base!$B$29))/(1+$A$23/100)^DCF_Base!$L$4+Assumptions!$B$5-Assumptions!$B$4)/Assumptions!$B$3*Assumptions!$B$10</f>
        <v>380.684343969906</v>
      </c>
    </row>
    <row r="24" customFormat="false" ht="15" hidden="false" customHeight="false" outlineLevel="0" collapsed="false">
      <c r="A24" s="3" t="n">
        <v>8</v>
      </c>
      <c r="B24" s="0" t="n">
        <f aca="false">(SUMPRODUCT(DCF_Base!$C$19:$L$19/(1+$A$24/100)^DCF_Base!$C$4:$L$4)+MAX(0,MIN(IF($A$24&gt;$B$22,DCF_Base!$L$19*(1+$B$22/100)/(($A$24-$B$22)/100),DCF_Base!$L$19*DCF_Base!$B$29),DCF_Base!$L$19*DCF_Base!$B$29))/(1+$A$24/100)^DCF_Base!$L$4+Assumptions!$B$5-Assumptions!$B$4)/Assumptions!$B$3*Assumptions!$B$10</f>
        <v>351.472915042729</v>
      </c>
      <c r="C24" s="0" t="n">
        <f aca="false">(SUMPRODUCT(DCF_Base!$C$19:$L$19/(1+$A$24/100)^DCF_Base!$C$4:$L$4)+MAX(0,MIN(IF($A$24&gt;$C$22,DCF_Base!$L$19*(1+$C$22/100)/(($A$24-$C$22)/100),DCF_Base!$L$19*DCF_Base!$B$29),DCF_Base!$L$19*DCF_Base!$B$29))/(1+$A$24/100)^DCF_Base!$L$4+Assumptions!$B$5-Assumptions!$B$4)/Assumptions!$B$3*Assumptions!$B$10</f>
        <v>357.850293672949</v>
      </c>
      <c r="D24" s="0" t="n">
        <f aca="false">(SUMPRODUCT(DCF_Base!$C$19:$L$19/(1+$A$24/100)^DCF_Base!$C$4:$L$4)+MAX(0,MIN(IF($A$24&gt;$D$22,DCF_Base!$L$19*(1+$D$22/100)/(($A$24-$D$22)/100),DCF_Base!$L$19*DCF_Base!$B$29),DCF_Base!$L$19*DCF_Base!$B$29))/(1+$A$24/100)^DCF_Base!$L$4+Assumptions!$B$5-Assumptions!$B$4)/Assumptions!$B$3*Assumptions!$B$10</f>
        <v>357.850293672949</v>
      </c>
      <c r="E24" s="0" t="n">
        <f aca="false">(SUMPRODUCT(DCF_Base!$C$19:$L$19/(1+$A$24/100)^DCF_Base!$C$4:$L$4)+MAX(0,MIN(IF($A$24&gt;$E$22,DCF_Base!$L$19*(1+$E$22/100)/(($A$24-$E$22)/100),DCF_Base!$L$19*DCF_Base!$B$29),DCF_Base!$L$19*DCF_Base!$B$29))/(1+$A$24/100)^DCF_Base!$L$4+Assumptions!$B$5-Assumptions!$B$4)/Assumptions!$B$3*Assumptions!$B$10</f>
        <v>357.850293672949</v>
      </c>
      <c r="F24" s="0" t="n">
        <f aca="false">(SUMPRODUCT(DCF_Base!$C$19:$L$19/(1+$A$24/100)^DCF_Base!$C$4:$L$4)+MAX(0,MIN(IF($A$24&gt;$F$22,DCF_Base!$L$19*(1+$F$22/100)/(($A$24-$F$22)/100),DCF_Base!$L$19*DCF_Base!$B$29),DCF_Base!$L$19*DCF_Base!$B$29))/(1+$A$24/100)^DCF_Base!$L$4+Assumptions!$B$5-Assumptions!$B$4)/Assumptions!$B$3*Assumptions!$B$10</f>
        <v>357.850293672949</v>
      </c>
    </row>
    <row r="25" customFormat="false" ht="15" hidden="false" customHeight="false" outlineLevel="0" collapsed="false">
      <c r="A25" s="3" t="n">
        <v>9</v>
      </c>
      <c r="B25" s="0" t="n">
        <f aca="false">(SUMPRODUCT(DCF_Base!$C$19:$L$19/(1+$A$25/100)^DCF_Base!$C$4:$L$4)+MAX(0,MIN(IF($A$25&gt;$B$22,DCF_Base!$L$19*(1+$B$22/100)/(($A$25-$B$22)/100),DCF_Base!$L$19*DCF_Base!$B$29),DCF_Base!$L$19*DCF_Base!$B$29))/(1+$A$25/100)^DCF_Base!$L$4+Assumptions!$B$5-Assumptions!$B$4)/Assumptions!$B$3*Assumptions!$B$10</f>
        <v>312.881277285026</v>
      </c>
      <c r="C25" s="0" t="n">
        <f aca="false">(SUMPRODUCT(DCF_Base!$C$19:$L$19/(1+$A$25/100)^DCF_Base!$C$4:$L$4)+MAX(0,MIN(IF($A$25&gt;$C$22,DCF_Base!$L$19*(1+$C$22/100)/(($A$25-$C$22)/100),DCF_Base!$L$19*DCF_Base!$B$29),DCF_Base!$L$19*DCF_Base!$B$29))/(1+$A$25/100)^DCF_Base!$L$4+Assumptions!$B$5-Assumptions!$B$4)/Assumptions!$B$3*Assumptions!$B$10</f>
        <v>322.126089164256</v>
      </c>
      <c r="D25" s="0" t="n">
        <f aca="false">(SUMPRODUCT(DCF_Base!$C$19:$L$19/(1+$A$25/100)^DCF_Base!$C$4:$L$4)+MAX(0,MIN(IF($A$25&gt;$D$22,DCF_Base!$L$19*(1+$D$22/100)/(($A$25-$D$22)/100),DCF_Base!$L$19*DCF_Base!$B$29),DCF_Base!$L$19*DCF_Base!$B$29))/(1+$A$25/100)^DCF_Base!$L$4+Assumptions!$B$5-Assumptions!$B$4)/Assumptions!$B$3*Assumptions!$B$10</f>
        <v>332.691588454805</v>
      </c>
      <c r="E25" s="0" t="n">
        <f aca="false">(SUMPRODUCT(DCF_Base!$C$19:$L$19/(1+$A$25/100)^DCF_Base!$C$4:$L$4)+MAX(0,MIN(IF($A$25&gt;$E$22,DCF_Base!$L$19*(1+$E$22/100)/(($A$25-$E$22)/100),DCF_Base!$L$19*DCF_Base!$B$29),DCF_Base!$L$19*DCF_Base!$B$29))/(1+$A$25/100)^DCF_Base!$L$4+Assumptions!$B$5-Assumptions!$B$4)/Assumptions!$B$3*Assumptions!$B$10</f>
        <v>337.053491831637</v>
      </c>
      <c r="F25" s="0" t="n">
        <f aca="false">(SUMPRODUCT(DCF_Base!$C$19:$L$19/(1+$A$25/100)^DCF_Base!$C$4:$L$4)+MAX(0,MIN(IF($A$25&gt;$F$22,DCF_Base!$L$19*(1+$F$22/100)/(($A$25-$F$22)/100),DCF_Base!$L$19*DCF_Base!$B$29),DCF_Base!$L$19*DCF_Base!$B$29))/(1+$A$25/100)^DCF_Base!$L$4+Assumptions!$B$5-Assumptions!$B$4)/Assumptions!$B$3*Assumptions!$B$10</f>
        <v>337.053491831637</v>
      </c>
    </row>
    <row r="26" customFormat="false" ht="15" hidden="false" customHeight="false" outlineLevel="0" collapsed="false">
      <c r="A26" s="3" t="n">
        <v>10</v>
      </c>
      <c r="B26" s="0" t="n">
        <f aca="false">(SUMPRODUCT(DCF_Base!$C$19:$L$19/(1+$A$26/100)^DCF_Base!$C$4:$L$4)+MAX(0,MIN(IF($A$26&gt;$B$22,DCF_Base!$L$19*(1+$B$22/100)/(($A$26-$B$22)/100),DCF_Base!$L$19*DCF_Base!$B$29),DCF_Base!$L$19*DCF_Base!$B$29))/(1+$A$26/100)^DCF_Base!$L$4+Assumptions!$B$5-Assumptions!$B$4)/Assumptions!$B$3*Assumptions!$B$10</f>
        <v>282.996166620335</v>
      </c>
      <c r="C26" s="0" t="n">
        <f aca="false">(SUMPRODUCT(DCF_Base!$C$19:$L$19/(1+$A$26/100)^DCF_Base!$C$4:$L$4)+MAX(0,MIN(IF($A$26&gt;$C$22,DCF_Base!$L$19*(1+$C$22/100)/(($A$26-$C$22)/100),DCF_Base!$L$19*DCF_Base!$B$29),DCF_Base!$L$19*DCF_Base!$B$29))/(1+$A$26/100)^DCF_Base!$L$4+Assumptions!$B$5-Assumptions!$B$4)/Assumptions!$B$3*Assumptions!$B$10</f>
        <v>289.674870812834</v>
      </c>
      <c r="D26" s="0" t="n">
        <f aca="false">(SUMPRODUCT(DCF_Base!$C$19:$L$19/(1+$A$26/100)^DCF_Base!$C$4:$L$4)+MAX(0,MIN(IF($A$26&gt;$D$22,DCF_Base!$L$19*(1+$D$22/100)/(($A$26-$D$22)/100),DCF_Base!$L$19*DCF_Base!$B$29),DCF_Base!$L$19*DCF_Base!$B$29))/(1+$A$26/100)^DCF_Base!$L$4+Assumptions!$B$5-Assumptions!$B$4)/Assumptions!$B$3*Assumptions!$B$10</f>
        <v>297.188413029396</v>
      </c>
      <c r="E26" s="0" t="n">
        <f aca="false">(SUMPRODUCT(DCF_Base!$C$19:$L$19/(1+$A$26/100)^DCF_Base!$C$4:$L$4)+MAX(0,MIN(IF($A$26&gt;$E$22,DCF_Base!$L$19*(1+$E$22/100)/(($A$26-$E$22)/100),DCF_Base!$L$19*DCF_Base!$B$29),DCF_Base!$L$19*DCF_Base!$B$29))/(1+$A$26/100)^DCF_Base!$L$4+Assumptions!$B$5-Assumptions!$B$4)/Assumptions!$B$3*Assumptions!$B$10</f>
        <v>305.703760874832</v>
      </c>
      <c r="F26" s="0" t="n">
        <f aca="false">(SUMPRODUCT(DCF_Base!$C$19:$L$19/(1+$A$26/100)^DCF_Base!$C$4:$L$4)+MAX(0,MIN(IF($A$26&gt;$F$22,DCF_Base!$L$19*(1+$F$22/100)/(($A$26-$F$22)/100),DCF_Base!$L$19*DCF_Base!$B$29),DCF_Base!$L$19*DCF_Base!$B$29))/(1+$A$26/100)^DCF_Base!$L$4+Assumptions!$B$5-Assumptions!$B$4)/Assumptions!$B$3*Assumptions!$B$10</f>
        <v>315.435586983902</v>
      </c>
    </row>
    <row r="27" customFormat="false" ht="15" hidden="false" customHeight="false" outlineLevel="0" collapsed="false">
      <c r="A27" s="3" t="n">
        <v>11</v>
      </c>
      <c r="B27" s="0" t="n">
        <f aca="false">(SUMPRODUCT(DCF_Base!$C$19:$L$19/(1+$A$27/100)^DCF_Base!$C$4:$L$4)+MAX(0,MIN(IF($A$27&gt;$B$22,DCF_Base!$L$19*(1+$B$22/100)/(($A$27-$B$22)/100),DCF_Base!$L$19*DCF_Base!$B$29),DCF_Base!$L$19*DCF_Base!$B$29))/(1+$A$27/100)^DCF_Base!$L$4+Assumptions!$B$5-Assumptions!$B$4)/Assumptions!$B$3*Assumptions!$B$10</f>
        <v>259.197152931133</v>
      </c>
      <c r="C27" s="0" t="n">
        <f aca="false">(SUMPRODUCT(DCF_Base!$C$19:$L$19/(1+$A$27/100)^DCF_Base!$C$4:$L$4)+MAX(0,MIN(IF($A$27&gt;$C$22,DCF_Base!$L$19*(1+$C$22/100)/(($A$27-$C$22)/100),DCF_Base!$L$19*DCF_Base!$B$29),DCF_Base!$L$19*DCF_Base!$B$29))/(1+$A$27/100)^DCF_Base!$L$4+Assumptions!$B$5-Assumptions!$B$4)/Assumptions!$B$3*Assumptions!$B$10</f>
        <v>264.15459212139</v>
      </c>
      <c r="D27" s="0" t="n">
        <f aca="false">(SUMPRODUCT(DCF_Base!$C$19:$L$19/(1+$A$27/100)^DCF_Base!$C$4:$L$4)+MAX(0,MIN(IF($A$27&gt;$D$22,DCF_Base!$L$19*(1+$D$22/100)/(($A$27-$D$22)/100),DCF_Base!$L$19*DCF_Base!$B$29),DCF_Base!$L$19*DCF_Base!$B$29))/(1+$A$27/100)^DCF_Base!$L$4+Assumptions!$B$5-Assumptions!$B$4)/Assumptions!$B$3*Assumptions!$B$10</f>
        <v>269.662857888342</v>
      </c>
      <c r="E27" s="0" t="n">
        <f aca="false">(SUMPRODUCT(DCF_Base!$C$19:$L$19/(1+$A$27/100)^DCF_Base!$C$4:$L$4)+MAX(0,MIN(IF($A$27&gt;$E$22,DCF_Base!$L$19*(1+$E$22/100)/(($A$27-$E$22)/100),DCF_Base!$L$19*DCF_Base!$B$29),DCF_Base!$L$19*DCF_Base!$B$29))/(1+$A$27/100)^DCF_Base!$L$4+Assumptions!$B$5-Assumptions!$B$4)/Assumptions!$B$3*Assumptions!$B$10</f>
        <v>275.819154921995</v>
      </c>
      <c r="F27" s="0" t="n">
        <f aca="false">(SUMPRODUCT(DCF_Base!$C$19:$L$19/(1+$A$27/100)^DCF_Base!$C$4:$L$4)+MAX(0,MIN(IF($A$27&gt;$F$22,DCF_Base!$L$19*(1+$F$22/100)/(($A$27-$F$22)/100),DCF_Base!$L$19*DCF_Base!$B$29),DCF_Base!$L$19*DCF_Base!$B$29))/(1+$A$27/100)^DCF_Base!$L$4+Assumptions!$B$5-Assumptions!$B$4)/Assumptions!$B$3*Assumptions!$B$10</f>
        <v>282.744989084855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2026-10-17T03:12:13Z</dcterms:created>
  <dc:creator>openpyxl</dc:creator>
  <dc:description/>
  <dc:language>en-NZ</dc:language>
  <cp:lastModifiedBy/>
  <dcterms:modified xsi:type="dcterms:W3CDTF">2026-10-17T03:12:13Z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