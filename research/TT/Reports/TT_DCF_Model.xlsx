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<sst xmlns="http://schemas.openxmlformats.org/spreadsheetml/2006/main" count="389" uniqueCount="174">
  <si>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</si>
  <si>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TT</t>
  </si>
  <si>
    <t xml:space="preserve">Company</t>
  </si>
  <si>
    <t xml:space="preserve">Trane Technologies plc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</si>
  <si>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</si>
  <si>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</si>
  <si>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</si>
  <si>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</si>
  <si>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</si>
  <si>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</si>
  <si>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</si>
  <si>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</si>
  <si>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</si>
  <si>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</si>
  <si>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</si>
  <si>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</si>
  <si>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</si>
  <si>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</si>
  <si>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</si>
  <si>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</si>
  <si>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</si>
  <si>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2026-10-02T09:51:00Z</t>
  </si>
  <si>
    <t xml:space="preserve">Drivers file</t>
  </si>
  <si>
    <t xml:space="preserve">TT_Drivers.json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</si>
  <si>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</si>
  <si>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</si>
  <si>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</si>
  <si>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at a 9% USD WACC with SBC fully expensed and a flat diluted count. TT is a high-quality, moderately cyclical compounder whose current multiple prices in sustained double-digit growth; the house value asks what the flows support if data-center demand normalises on a normal cycle.
key_risks_to_valuation: Data-center/AI capex concentration in the backlog -- a hyperscaler digestion cycle hits orders, advances and margins at once; Terminal value is the majority of EV; the 18x base cap and 3% terminal growth carry most of the value; Tariff cost (~$200M/yr after mitigation) and competitive entry into liquid cooling could cap the margin expansion; Legacy asbestos (Aldrich/Murray) and NCI bridge items are estimates, not disclosed fair values; LiquidStack consideration not closed by 2026-06-30 would reduce net cash further</t>
  </si>
  <si>
    <t xml:space="preserve">Data sources</t>
  </si>
  <si>
    <t xml:space="preserve">price: Yahoo Finance chart API at inputs.price_as_of; 52-week range 348.06-505.87
financials: TT_Metrics.csv (SEC XBRL); SEC companyfacts API for D&amp;A (DepreciationAmortizationAndAccretionNet), cash and debt at 2026-06-30, diluted shares, SBC, NCI dividends, contract liabilities, cash taxes
qualitative: TT_Analysis.json (2026-10-02); Q2 2026 guidance (July 2026)</t>
  </si>
  <si>
    <t xml:space="preserve">Scenario narrative: bear</t>
  </si>
  <si>
    <t xml:space="preserve">Hyperscaler capex digestion in 2027-28 unwinds the data-center backlog and customer advances, coinciding with a housing-driven residential slump and freight recession at Thermo King; revenue falls ~4% in FY2028 and margin reverts to ~19-20%.</t>
  </si>
  <si>
    <t xml:space="preserve">Scenario narrative: base</t>
  </si>
  <si>
    <t xml:space="preserve">Guidance delivered in FY2026, backlog converts at ~10% in FY2027, then growth fades to ~3.5% as data-center build rates normalise; adj EBITDA margin expands ~160bp to 23% on applied-systems and services mix, held back by tariffs and liquid-cooling competition.</t>
  </si>
  <si>
    <t xml:space="preserve">Scenario narrative: bull</t>
  </si>
  <si>
    <t xml:space="preserve">AI-factory cooling (800V DC chillers, LiquidStack liquid cooling, NVIDIA DSX reference designs) becomes a durable double-digit category through FY2029 on top of the A2L replacement cycle and electrification; margin reaches 24.5%.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</si>
  <si>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</si>
  <si>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</si>
  <si>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</si>
  <si>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</si>
  <si>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</si>
  <si>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</si>
  <si>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</si>
  <si>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</si>
  <si>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</si>
  <si>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</si>
  <si>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</si>
  <si>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</si>
  <si>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</si>
  <si>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</si>
  <si>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</si>
  <si>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</si>
  <si>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</si>
  <si>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</si>
  <si>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</si>
  <si>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</si>
  <si>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</si>
  <si>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</si>
  <si>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</si>
  <si>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</si>
  <si>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</si>
  <si>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</si>
  <si>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</si>
  <si>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</si>
  <si>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</si>
  <si>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</si>
  <si>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</si>
  <si>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</si>
  <si>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</si>
  <si>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</si>
  <si>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</si>
  <si>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</si>
  <si>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</si>
  <si>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</si>
  <si>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</si>
  <si>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</si>
  <si>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</si>
  <si>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</si>
  <si>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</si>
  <si>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</si>
  <si>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</si>
  <si>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</si>
  <si>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</si>
  <si>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</si>
  <si>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</si>
  <si>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</si>
  <si>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</si>
  <si>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</si>
  <si>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</si>
  <si>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</si>
  <si>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</si>
  <si>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</si>
  <si>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</si>
  <si>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</si>
  <si>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</si>
  <si>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</si>
  <si>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</si>
  <si>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</si>
  <si>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</si>
  <si>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</si>
  <si>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</si>
  <si>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</si>
  <si>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</si>
  <si>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</si>
  <si>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</si>
  <si>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</si>
  <si>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</si>
  <si>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</si>
  <si>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</si>
  <si>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</si>
  <si>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</si>
  <si>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</si>
  <si>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</si>
  <si>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</si>
  <si>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</si>
  <si>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</si>
  <si>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</si>
  <si>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</si>
  <si>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</si>
  <si>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</si>
  <si>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</si>
  <si>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</si>
  <si>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</si>
  <si>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</si>
  <si>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</si>
  <si>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</si>
  <si>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</si>
  <si>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</si>
  <si>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</si>
  <si>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</si>
  <si>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</si>
  <si>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</si>
  <si>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</si>
  <si>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</si>
  <si>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</si>
  <si>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</si>
  <si>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</si>
  <si>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</si>
  <si>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</si>
  <si>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</si>
  <si>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</si>
  <si>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</si>
  <si>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</si>
  <si>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</si>
  <si>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</si>
  <si>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</si>
  <si>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</si>
  <si>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</si>
  <si>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</si>
  <si>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</si>
  <si>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</si>
  <si>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TT owner-FCF component DCF: base case (millions, USD)</t>
  </si>
  <si>
    <t xml:space="preserve">TT owner-FCF component DCF: bull case (millions, USD)</t>
  </si>
  <si>
    <t xml:space="preserve">TT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</si>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</sst>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458.94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5478.4</v>
      </c>
      <c r="S2" s="0" t="n">
        <v>355.8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8763.1</v>
      </c>
      <c r="F3" s="0" t="n">
        <v>1057.8</v>
      </c>
      <c r="G3" s="0" t="n">
        <v>12.0710707398067</v>
      </c>
      <c r="H3" s="0" t="n">
        <v>1196.6</v>
      </c>
      <c r="I3" s="0" t="n">
        <v>3990</v>
      </c>
      <c r="J3" s="0" t="n">
        <v>45.5318323424359</v>
      </c>
      <c r="K3" s="0" t="n">
        <v>13.64</v>
      </c>
      <c r="M3" s="0" t="n">
        <v>119.7</v>
      </c>
      <c r="O3" s="0" t="n">
        <v>8005.4</v>
      </c>
      <c r="S3" s="0" t="n">
        <v>4735.3</v>
      </c>
      <c r="U3" s="0" t="n">
        <v>31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13045</v>
      </c>
      <c r="F4" s="0" t="n">
        <v>-2521.4</v>
      </c>
      <c r="G4" s="0" t="n">
        <v>-19.3284783441932</v>
      </c>
      <c r="H4" s="0" t="n">
        <v>-2072.4</v>
      </c>
      <c r="I4" s="0" t="n">
        <v>-2624.8</v>
      </c>
      <c r="J4" s="0" t="n">
        <v>-20.1211192027597</v>
      </c>
      <c r="K4" s="0" t="n">
        <v>-8.73</v>
      </c>
      <c r="M4" s="0" t="n">
        <v>305</v>
      </c>
      <c r="O4" s="0" t="n">
        <v>6762.1</v>
      </c>
      <c r="P4" s="0" t="n">
        <v>20924.5</v>
      </c>
      <c r="Q4" s="0" t="n">
        <v>14162.4</v>
      </c>
      <c r="R4" s="0" t="n">
        <v>5124.1</v>
      </c>
      <c r="S4" s="0" t="n">
        <v>550.2</v>
      </c>
      <c r="T4" s="0" t="n">
        <v>303.7</v>
      </c>
      <c r="U4" s="0" t="n">
        <v>27.9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13009.1</v>
      </c>
      <c r="C5" s="0" t="n">
        <v>9437.1</v>
      </c>
      <c r="F5" s="0" t="n">
        <v>885.2</v>
      </c>
      <c r="G5" s="0" t="n">
        <v>6.80446764188145</v>
      </c>
      <c r="H5" s="0" t="n">
        <v>1306.7</v>
      </c>
      <c r="I5" s="0" t="n">
        <v>476.2</v>
      </c>
      <c r="J5" s="0" t="n">
        <v>3.66051456288291</v>
      </c>
      <c r="K5" s="0" t="n">
        <v>1.41</v>
      </c>
      <c r="M5" s="0" t="n">
        <v>204.1</v>
      </c>
      <c r="O5" s="0" t="n">
        <v>7175.7</v>
      </c>
      <c r="P5" s="0" t="n">
        <v>19991</v>
      </c>
      <c r="Q5" s="0" t="n">
        <v>12785.3</v>
      </c>
      <c r="R5" s="0" t="n">
        <v>4096.6</v>
      </c>
      <c r="S5" s="0" t="n">
        <v>840.6</v>
      </c>
      <c r="T5" s="0" t="n">
        <v>329.1</v>
      </c>
      <c r="U5" s="0" t="n">
        <v>70.9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14001.1</v>
      </c>
      <c r="C6" s="0" t="n">
        <v>10059.9</v>
      </c>
      <c r="F6" s="0" t="n">
        <v>1261.4</v>
      </c>
      <c r="G6" s="0" t="n">
        <v>9.00929212704716</v>
      </c>
      <c r="H6" s="0" t="n">
        <v>1698.2</v>
      </c>
      <c r="I6" s="0" t="n">
        <v>665.1</v>
      </c>
      <c r="J6" s="0" t="n">
        <v>4.75034104463221</v>
      </c>
      <c r="K6" s="0" t="n">
        <v>1.98</v>
      </c>
      <c r="L6" s="0" t="n">
        <v>695.4</v>
      </c>
      <c r="M6" s="0" t="n">
        <v>179.5</v>
      </c>
      <c r="N6" s="0" t="n">
        <v>515.9</v>
      </c>
      <c r="O6" s="0" t="n">
        <v>8059.1</v>
      </c>
      <c r="P6" s="0" t="n">
        <v>19990.9</v>
      </c>
      <c r="Q6" s="0" t="n">
        <v>11915.1</v>
      </c>
      <c r="R6" s="0" t="n">
        <v>3683.9</v>
      </c>
      <c r="S6" s="0" t="n">
        <v>840.6</v>
      </c>
      <c r="T6" s="0" t="n">
        <v>339.8</v>
      </c>
      <c r="U6" s="0" t="n">
        <v>75.9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12760.8</v>
      </c>
      <c r="C7" s="0" t="n">
        <v>9280</v>
      </c>
      <c r="F7" s="0" t="n">
        <v>438.7</v>
      </c>
      <c r="G7" s="0" t="n">
        <v>3.43787223371575</v>
      </c>
      <c r="H7" s="0" t="n">
        <v>797.2</v>
      </c>
      <c r="I7" s="0" t="n">
        <v>369.3</v>
      </c>
      <c r="J7" s="0" t="n">
        <v>2.89401918375024</v>
      </c>
      <c r="K7" s="0" t="n">
        <v>1.06</v>
      </c>
      <c r="L7" s="0" t="n">
        <v>1186.8</v>
      </c>
      <c r="M7" s="0" t="n">
        <v>217.1</v>
      </c>
      <c r="N7" s="0" t="n">
        <v>969.7</v>
      </c>
      <c r="O7" s="0" t="n">
        <v>7012.4</v>
      </c>
      <c r="P7" s="0" t="n">
        <v>18844.1</v>
      </c>
      <c r="Q7" s="0" t="n">
        <v>11828.4</v>
      </c>
      <c r="R7" s="0" t="n">
        <v>3642.6</v>
      </c>
      <c r="S7" s="0" t="n">
        <v>987</v>
      </c>
      <c r="T7" s="0" t="n">
        <v>339.3</v>
      </c>
      <c r="U7" s="0" t="n">
        <v>43.1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11988.3</v>
      </c>
      <c r="C8" s="0" t="n">
        <v>8533.5</v>
      </c>
      <c r="F8" s="0" t="n">
        <v>1071.9</v>
      </c>
      <c r="G8" s="0" t="n">
        <v>8.94121768724506</v>
      </c>
      <c r="H8" s="0" t="n">
        <v>1405.7</v>
      </c>
      <c r="I8" s="0" t="n">
        <v>1044</v>
      </c>
      <c r="J8" s="0" t="n">
        <v>8.70849077850905</v>
      </c>
      <c r="K8" s="0" t="n">
        <v>3.35</v>
      </c>
      <c r="L8" s="0" t="n">
        <v>1195.4</v>
      </c>
      <c r="M8" s="0" t="n">
        <v>243.1</v>
      </c>
      <c r="N8" s="0" t="n">
        <v>952.3</v>
      </c>
      <c r="O8" s="0" t="n">
        <v>7229.3</v>
      </c>
      <c r="P8" s="0" t="n">
        <v>18482.1</v>
      </c>
      <c r="Q8" s="0" t="n">
        <v>11252.8</v>
      </c>
      <c r="R8" s="0" t="n">
        <v>3229.4</v>
      </c>
      <c r="S8" s="0" t="n">
        <v>708.4</v>
      </c>
      <c r="T8" s="0" t="n">
        <v>310.6</v>
      </c>
      <c r="U8" s="0" t="n">
        <v>52.6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12350.5</v>
      </c>
      <c r="C9" s="0" t="n">
        <v>8722.3</v>
      </c>
      <c r="F9" s="0" t="n">
        <v>1105</v>
      </c>
      <c r="G9" s="0" t="n">
        <v>8.94700619408121</v>
      </c>
      <c r="H9" s="0" t="n">
        <v>1438.7</v>
      </c>
      <c r="I9" s="0" t="n">
        <v>653.9</v>
      </c>
      <c r="J9" s="0" t="n">
        <v>5.29452248896806</v>
      </c>
      <c r="K9" s="0" t="n">
        <v>2.11</v>
      </c>
      <c r="L9" s="0" t="n">
        <v>1091.5</v>
      </c>
      <c r="M9" s="0" t="n">
        <v>242.2</v>
      </c>
      <c r="N9" s="0" t="n">
        <v>849.3</v>
      </c>
      <c r="O9" s="0" t="n">
        <v>7131.3</v>
      </c>
      <c r="P9" s="0" t="n">
        <v>17658.1</v>
      </c>
      <c r="Q9" s="0" t="n">
        <v>10526.8</v>
      </c>
      <c r="R9" s="0" t="n">
        <v>3521.2</v>
      </c>
      <c r="S9" s="0" t="n">
        <v>1937.2</v>
      </c>
      <c r="T9" s="0" t="n">
        <v>298.3</v>
      </c>
      <c r="U9" s="0" t="n">
        <v>77.9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12891.4</v>
      </c>
      <c r="C10" s="0" t="n">
        <v>8982.8</v>
      </c>
      <c r="F10" s="0" t="n">
        <v>1404.7</v>
      </c>
      <c r="G10" s="0" t="n">
        <v>10.8964115611958</v>
      </c>
      <c r="H10" s="0" t="n">
        <v>1737.1</v>
      </c>
      <c r="I10" s="0" t="n">
        <v>950.4</v>
      </c>
      <c r="J10" s="0" t="n">
        <v>7.3723567649751</v>
      </c>
      <c r="K10" s="0" t="n">
        <v>3.44</v>
      </c>
      <c r="L10" s="0" t="n">
        <v>973.2</v>
      </c>
      <c r="M10" s="0" t="n">
        <v>233.5</v>
      </c>
      <c r="N10" s="0" t="n">
        <v>739.7</v>
      </c>
      <c r="O10" s="0" t="n">
        <v>6045.4</v>
      </c>
      <c r="P10" s="0" t="n">
        <v>17298.5</v>
      </c>
      <c r="Q10" s="0" t="n">
        <v>11253.1</v>
      </c>
      <c r="R10" s="0" t="n">
        <v>4224.4</v>
      </c>
      <c r="S10" s="0" t="n">
        <v>1705.2</v>
      </c>
      <c r="T10" s="0" t="n">
        <v>274.3</v>
      </c>
      <c r="U10" s="0" t="n">
        <v>67.7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13300.7</v>
      </c>
      <c r="C11" s="0" t="n">
        <v>9277.4</v>
      </c>
      <c r="F11" s="0" t="n">
        <v>1491.7</v>
      </c>
      <c r="G11" s="0" t="n">
        <v>11.2151992000421</v>
      </c>
      <c r="H11" s="0" t="n">
        <v>1855.8</v>
      </c>
      <c r="I11" s="0" t="n">
        <v>682.8</v>
      </c>
      <c r="J11" s="0" t="n">
        <v>5.13356439886622</v>
      </c>
      <c r="K11" s="0" t="n">
        <v>2.51</v>
      </c>
      <c r="L11" s="0" t="n">
        <v>888.4</v>
      </c>
      <c r="M11" s="0" t="n">
        <v>249.6</v>
      </c>
      <c r="N11" s="0" t="n">
        <v>638.8</v>
      </c>
      <c r="O11" s="0" t="n">
        <v>5879.2</v>
      </c>
      <c r="P11" s="0" t="n">
        <v>16717.6</v>
      </c>
      <c r="Q11" s="0" t="n">
        <v>10838.4</v>
      </c>
      <c r="R11" s="0" t="n">
        <v>4217.8</v>
      </c>
      <c r="S11" s="0" t="n">
        <v>736.8</v>
      </c>
      <c r="T11" s="0" t="n">
        <v>267.8</v>
      </c>
      <c r="U11" s="0" t="n">
        <v>62.7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13508.9</v>
      </c>
      <c r="C12" s="0" t="n">
        <v>9307.9</v>
      </c>
      <c r="F12" s="0" t="n">
        <v>1603.2</v>
      </c>
      <c r="G12" s="0" t="n">
        <v>11.8677316435831</v>
      </c>
      <c r="H12" s="0" t="n">
        <v>1955.4</v>
      </c>
      <c r="I12" s="0" t="n">
        <v>1492.7</v>
      </c>
      <c r="J12" s="0" t="n">
        <v>11.0497523854644</v>
      </c>
      <c r="K12" s="0" t="n">
        <v>5.7</v>
      </c>
      <c r="L12" s="0" t="n">
        <v>1521.9</v>
      </c>
      <c r="M12" s="0" t="n">
        <v>182.7</v>
      </c>
      <c r="N12" s="0" t="n">
        <v>1339.2</v>
      </c>
      <c r="O12" s="0" t="n">
        <v>6718.3</v>
      </c>
      <c r="P12" s="0" t="n">
        <v>17397.4</v>
      </c>
      <c r="Q12" s="0" t="n">
        <v>10679.1</v>
      </c>
      <c r="R12" s="0" t="n">
        <v>4070.2</v>
      </c>
      <c r="S12" s="0" t="n">
        <v>1714.7</v>
      </c>
      <c r="T12" s="0" t="n">
        <v>261.7</v>
      </c>
      <c r="U12" s="0" t="n">
        <v>69.6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14197.6</v>
      </c>
      <c r="C13" s="0" t="n">
        <v>9811.6</v>
      </c>
      <c r="F13" s="0" t="n">
        <v>1665.3</v>
      </c>
      <c r="G13" s="0" t="n">
        <v>11.7294472305178</v>
      </c>
      <c r="H13" s="0" t="n">
        <v>2018.6</v>
      </c>
      <c r="I13" s="0" t="n">
        <v>1312.3</v>
      </c>
      <c r="J13" s="0" t="n">
        <v>9.24311151180481</v>
      </c>
      <c r="K13" s="0" t="n">
        <v>5.11</v>
      </c>
      <c r="L13" s="0" t="n">
        <v>1523.5</v>
      </c>
      <c r="M13" s="0" t="n">
        <v>221.3</v>
      </c>
      <c r="N13" s="0" t="n">
        <v>1302.2</v>
      </c>
      <c r="O13" s="0" t="n">
        <v>7206.9</v>
      </c>
      <c r="P13" s="0" t="n">
        <v>18173.3</v>
      </c>
      <c r="Q13" s="0" t="n">
        <v>10966.4</v>
      </c>
      <c r="R13" s="0" t="n">
        <v>4064</v>
      </c>
      <c r="S13" s="0" t="n">
        <v>1524.4</v>
      </c>
      <c r="T13" s="0" t="n">
        <v>258.1</v>
      </c>
      <c r="U13" s="0" t="n">
        <v>73.6</v>
      </c>
      <c r="V13" s="0" t="n">
        <v>1.7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12343.8</v>
      </c>
      <c r="C14" s="0" t="n">
        <v>8582.5</v>
      </c>
      <c r="F14" s="0" t="n">
        <v>1512.1</v>
      </c>
      <c r="G14" s="0" t="n">
        <v>12.2498744308884</v>
      </c>
      <c r="H14" s="0" t="n">
        <v>1873.6</v>
      </c>
      <c r="I14" s="0" t="n">
        <v>1357.5</v>
      </c>
      <c r="J14" s="0" t="n">
        <v>10.9974238079036</v>
      </c>
      <c r="K14" s="0" t="n">
        <v>5.41</v>
      </c>
      <c r="L14" s="0" t="n">
        <v>1407.8</v>
      </c>
      <c r="M14" s="0" t="n">
        <v>284.7</v>
      </c>
      <c r="N14" s="0" t="n">
        <v>1123.1</v>
      </c>
      <c r="O14" s="0" t="n">
        <v>7064.8</v>
      </c>
      <c r="P14" s="0" t="n">
        <v>17914.9</v>
      </c>
      <c r="Q14" s="0" t="n">
        <v>10850.1</v>
      </c>
      <c r="R14" s="0" t="n">
        <v>4091.3</v>
      </c>
      <c r="S14" s="0" t="n">
        <v>878.4</v>
      </c>
      <c r="T14" s="0" t="n">
        <v>250.1</v>
      </c>
      <c r="U14" s="0" t="n">
        <v>80.8</v>
      </c>
      <c r="V14" s="0" t="n">
        <v>1.96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13075.9</v>
      </c>
      <c r="C15" s="0" t="n">
        <v>9085.5</v>
      </c>
      <c r="F15" s="0" t="n">
        <v>1670.1</v>
      </c>
      <c r="G15" s="0" t="n">
        <v>12.7723521899066</v>
      </c>
      <c r="H15" s="0" t="n">
        <v>2067.5</v>
      </c>
      <c r="I15" s="0" t="n">
        <v>1428.5</v>
      </c>
      <c r="J15" s="0" t="n">
        <v>10.9246782248258</v>
      </c>
      <c r="K15" s="0" t="n">
        <v>5.84</v>
      </c>
      <c r="L15" s="0" t="n">
        <v>1919.5</v>
      </c>
      <c r="M15" s="0" t="n">
        <v>205.4</v>
      </c>
      <c r="N15" s="0" t="n">
        <v>1714.1</v>
      </c>
      <c r="O15" s="0" t="n">
        <v>7312.4</v>
      </c>
      <c r="P15" s="0" t="n">
        <v>20492.3</v>
      </c>
      <c r="Q15" s="0" t="n">
        <v>13179.9</v>
      </c>
      <c r="R15" s="0" t="n">
        <v>5573.2</v>
      </c>
      <c r="S15" s="0" t="n">
        <v>1278.6</v>
      </c>
      <c r="T15" s="0" t="n">
        <v>244.4</v>
      </c>
      <c r="U15" s="0" t="n">
        <v>71.2</v>
      </c>
      <c r="V15" s="0" t="n">
        <v>2.12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12454.7</v>
      </c>
      <c r="C16" s="0" t="n">
        <v>8651.3</v>
      </c>
      <c r="F16" s="0" t="n">
        <v>1532.8</v>
      </c>
      <c r="G16" s="0" t="n">
        <v>12.3070005700659</v>
      </c>
      <c r="I16" s="0" t="n">
        <v>870</v>
      </c>
      <c r="J16" s="0" t="n">
        <v>6.98531478076549</v>
      </c>
      <c r="K16" s="0" t="n">
        <v>3.56</v>
      </c>
      <c r="L16" s="0" t="n">
        <v>1435</v>
      </c>
      <c r="M16" s="0" t="n">
        <v>146.2</v>
      </c>
      <c r="N16" s="0" t="n">
        <v>1288.8</v>
      </c>
      <c r="O16" s="0" t="n">
        <v>6427.1</v>
      </c>
      <c r="P16" s="0" t="n">
        <v>18156.7</v>
      </c>
      <c r="Q16" s="0" t="n">
        <v>11729.6</v>
      </c>
      <c r="R16" s="0" t="n">
        <v>5272.1</v>
      </c>
      <c r="S16" s="0" t="n">
        <v>3289.9</v>
      </c>
      <c r="T16" s="0" t="n">
        <v>243.1</v>
      </c>
      <c r="U16" s="0" t="n">
        <v>71.8</v>
      </c>
      <c r="V16" s="0" t="n">
        <v>2.12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14136.4</v>
      </c>
      <c r="F17" s="0" t="n">
        <v>2023.3</v>
      </c>
      <c r="G17" s="0" t="n">
        <v>14.3126963017459</v>
      </c>
      <c r="I17" s="0" t="n">
        <v>1436.6</v>
      </c>
      <c r="J17" s="0" t="n">
        <v>10.1624175886364</v>
      </c>
      <c r="K17" s="0" t="n">
        <v>5.96</v>
      </c>
      <c r="L17" s="0" t="n">
        <v>1588.3</v>
      </c>
      <c r="M17" s="0" t="n">
        <v>223</v>
      </c>
      <c r="N17" s="0" t="n">
        <v>1365.3</v>
      </c>
      <c r="O17" s="0" t="n">
        <v>6273.1</v>
      </c>
      <c r="P17" s="0" t="n">
        <v>18059.8</v>
      </c>
      <c r="Q17" s="0" t="n">
        <v>11786.7</v>
      </c>
      <c r="R17" s="0" t="n">
        <v>4842.1</v>
      </c>
      <c r="S17" s="0" t="n">
        <v>2159.2</v>
      </c>
      <c r="T17" s="0" t="n">
        <v>242.3</v>
      </c>
      <c r="U17" s="0" t="n">
        <v>67.7</v>
      </c>
      <c r="V17" s="0" t="n">
        <v>2.36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15991.7</v>
      </c>
      <c r="F18" s="0" t="n">
        <v>2418.9</v>
      </c>
      <c r="G18" s="0" t="n">
        <v>15.1259715977663</v>
      </c>
      <c r="I18" s="0" t="n">
        <v>1774.7</v>
      </c>
      <c r="J18" s="0" t="n">
        <v>11.0976318965463</v>
      </c>
      <c r="K18" s="0" t="n">
        <v>7.55</v>
      </c>
      <c r="L18" s="0" t="n">
        <v>1504</v>
      </c>
      <c r="M18" s="0" t="n">
        <v>291.8</v>
      </c>
      <c r="N18" s="0" t="n">
        <v>1212.2</v>
      </c>
      <c r="O18" s="0" t="n">
        <v>6105.2</v>
      </c>
      <c r="P18" s="0" t="n">
        <v>18081.6</v>
      </c>
      <c r="Q18" s="0" t="n">
        <v>11976.4</v>
      </c>
      <c r="R18" s="0" t="n">
        <v>4836.3</v>
      </c>
      <c r="S18" s="0" t="n">
        <v>1220.5</v>
      </c>
      <c r="T18" s="0" t="n">
        <v>253.3</v>
      </c>
      <c r="U18" s="0" t="n">
        <v>56.3</v>
      </c>
      <c r="V18" s="0" t="n">
        <v>2.68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17677.6</v>
      </c>
      <c r="F19" s="0" t="n">
        <v>2894</v>
      </c>
      <c r="G19" s="0" t="n">
        <v>16.3710005883152</v>
      </c>
      <c r="I19" s="0" t="n">
        <v>2041.7</v>
      </c>
      <c r="J19" s="0" t="n">
        <v>11.5496447481559</v>
      </c>
      <c r="K19" s="0" t="n">
        <v>8.85</v>
      </c>
      <c r="L19" s="0" t="n">
        <v>2389.6</v>
      </c>
      <c r="M19" s="0" t="n">
        <v>300.7</v>
      </c>
      <c r="N19" s="0" t="n">
        <v>2088.9</v>
      </c>
      <c r="O19" s="0" t="n">
        <v>7017</v>
      </c>
      <c r="P19" s="0" t="n">
        <v>19391.9</v>
      </c>
      <c r="Q19" s="0" t="n">
        <v>12374.9</v>
      </c>
      <c r="R19" s="0" t="n">
        <v>4779.8</v>
      </c>
      <c r="S19" s="0" t="n">
        <v>1095.3</v>
      </c>
      <c r="T19" s="0" t="n">
        <v>251.7</v>
      </c>
      <c r="U19" s="0" t="n">
        <v>67.1</v>
      </c>
      <c r="V19" s="0" t="n">
        <v>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19838.2</v>
      </c>
      <c r="F20" s="0" t="n">
        <v>3500.1</v>
      </c>
      <c r="G20" s="0" t="n">
        <v>17.6432337611275</v>
      </c>
      <c r="I20" s="0" t="n">
        <v>2589.5</v>
      </c>
      <c r="J20" s="0" t="n">
        <v>13.0530995755663</v>
      </c>
      <c r="K20" s="0" t="n">
        <v>11.35</v>
      </c>
      <c r="L20" s="0" t="n">
        <v>3145.6</v>
      </c>
      <c r="M20" s="0" t="n">
        <v>370.6</v>
      </c>
      <c r="N20" s="0" t="n">
        <v>2775</v>
      </c>
      <c r="O20" s="0" t="n">
        <v>7486.9</v>
      </c>
      <c r="P20" s="0" t="n">
        <v>20146.7</v>
      </c>
      <c r="Q20" s="0" t="n">
        <v>12659.8</v>
      </c>
      <c r="R20" s="0" t="n">
        <v>4770.3</v>
      </c>
      <c r="S20" s="0" t="n">
        <v>1590.1</v>
      </c>
      <c r="T20" s="0" t="n">
        <v>249</v>
      </c>
      <c r="U20" s="0" t="n">
        <v>85.5</v>
      </c>
      <c r="V20" s="0" t="n">
        <v>3.36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21321.9</v>
      </c>
      <c r="F21" s="0" t="n">
        <v>3967.4</v>
      </c>
      <c r="G21" s="0" t="n">
        <v>18.6071597746918</v>
      </c>
      <c r="I21" s="0" t="n">
        <v>2935.7</v>
      </c>
      <c r="J21" s="0" t="n">
        <v>13.7684727908864</v>
      </c>
      <c r="K21" s="0" t="n">
        <v>13.09</v>
      </c>
      <c r="L21" s="0" t="n">
        <v>3194.5</v>
      </c>
      <c r="M21" s="0" t="n">
        <v>383</v>
      </c>
      <c r="N21" s="0" t="n">
        <v>2811.5</v>
      </c>
      <c r="O21" s="0" t="n">
        <v>8600.9</v>
      </c>
      <c r="P21" s="0" t="n">
        <v>21420.7</v>
      </c>
      <c r="Q21" s="0" t="n">
        <v>12819.8</v>
      </c>
      <c r="R21" s="0" t="n">
        <v>5308.1</v>
      </c>
      <c r="S21" s="0" t="n">
        <v>1763.3</v>
      </c>
      <c r="T21" s="0" t="n">
        <v>224.9</v>
      </c>
      <c r="U21" s="0" t="n">
        <v>88.1</v>
      </c>
      <c r="V21" s="0" t="n">
        <v>3.76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458.94</v>
      </c>
    </row>
    <row r="3" customFormat="false" ht="15" hidden="false" customHeight="false" outlineLevel="0" collapsed="false">
      <c r="A3" s="0" t="s">
        <v>86</v>
      </c>
      <c r="B3" s="3" t="n">
        <v>222.5</v>
      </c>
    </row>
    <row r="4" customFormat="false" ht="15" hidden="false" customHeight="false" outlineLevel="0" collapsed="false">
      <c r="A4" s="0" t="s">
        <v>87</v>
      </c>
      <c r="B4" s="3" t="n">
        <v>3298.5</v>
      </c>
    </row>
    <row r="5" customFormat="false" ht="15" hidden="false" customHeight="false" outlineLevel="0" collapsed="false">
      <c r="A5" s="0" t="s">
        <v>88</v>
      </c>
      <c r="B5" s="3" t="n">
        <v>-850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21321.9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10.5</v>
      </c>
      <c r="D13" s="3" t="n">
        <v>3</v>
      </c>
      <c r="E13" s="3" t="n">
        <v>-4</v>
      </c>
      <c r="F13" s="3" t="n">
        <v>0</v>
      </c>
      <c r="G13" s="3" t="n">
        <v>3</v>
      </c>
      <c r="H13" s="3" t="n">
        <v>3.5</v>
      </c>
      <c r="I13" s="3" t="n">
        <v>3.5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21.2</v>
      </c>
      <c r="D14" s="3" t="n">
        <v>20.5</v>
      </c>
      <c r="E14" s="3" t="n">
        <v>19</v>
      </c>
      <c r="F14" s="3" t="n">
        <v>19</v>
      </c>
      <c r="G14" s="3" t="n">
        <v>19.5</v>
      </c>
      <c r="H14" s="3" t="n">
        <v>19.8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108</v>
      </c>
      <c r="C15" s="3" t="n">
        <v>0.42</v>
      </c>
      <c r="D15" s="3" t="n">
        <v>0.43</v>
      </c>
      <c r="E15" s="3" t="n">
        <v>0.45</v>
      </c>
      <c r="F15" s="3" t="n">
        <v>0.45</v>
      </c>
      <c r="G15" s="3" t="n">
        <v>0.44</v>
      </c>
      <c r="H15" s="3" t="n">
        <v>0.43</v>
      </c>
      <c r="I15" s="3" t="n">
        <v>0.42</v>
      </c>
      <c r="J15" s="3" t="n">
        <v>0.42</v>
      </c>
      <c r="K15" s="3" t="n">
        <v>0.42</v>
      </c>
      <c r="L15" s="3" t="n">
        <v>0.42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1.8</v>
      </c>
      <c r="D17" s="3" t="n">
        <v>1.9</v>
      </c>
      <c r="E17" s="3" t="n">
        <v>2</v>
      </c>
      <c r="F17" s="3" t="n">
        <v>2</v>
      </c>
      <c r="G17" s="3" t="n">
        <v>1.9</v>
      </c>
      <c r="H17" s="3" t="n">
        <v>1.9</v>
      </c>
      <c r="I17" s="3" t="n">
        <v>1.9</v>
      </c>
      <c r="J17" s="3" t="n">
        <v>1.9</v>
      </c>
      <c r="K17" s="3" t="n">
        <v>1.9</v>
      </c>
      <c r="L17" s="3" t="n">
        <v>1.9</v>
      </c>
    </row>
    <row r="18" customFormat="false" ht="15" hidden="false" customHeight="false" outlineLevel="0" collapsed="false">
      <c r="A18" s="0" t="s">
        <v>111</v>
      </c>
      <c r="C18" s="3" t="n">
        <v>1.7</v>
      </c>
      <c r="D18" s="3" t="n">
        <v>1.8</v>
      </c>
      <c r="E18" s="3" t="n">
        <v>1.7</v>
      </c>
      <c r="F18" s="3" t="n">
        <v>1.7</v>
      </c>
      <c r="G18" s="3" t="n">
        <v>1.8</v>
      </c>
      <c r="H18" s="3" t="n">
        <v>1.9</v>
      </c>
      <c r="I18" s="3" t="n">
        <v>1.9</v>
      </c>
      <c r="J18" s="3" t="n">
        <v>1.9</v>
      </c>
      <c r="K18" s="3" t="n">
        <v>1.9</v>
      </c>
      <c r="L18" s="3" t="n">
        <v>1.9</v>
      </c>
    </row>
    <row r="19" customFormat="false" ht="15" hidden="false" customHeight="false" outlineLevel="0" collapsed="false">
      <c r="A19" s="0" t="s">
        <v>112</v>
      </c>
      <c r="C19" s="3" t="n">
        <v>19.5</v>
      </c>
      <c r="D19" s="3" t="n">
        <v>19.5</v>
      </c>
      <c r="E19" s="3" t="n">
        <v>19.5</v>
      </c>
      <c r="F19" s="3" t="n">
        <v>19.5</v>
      </c>
      <c r="G19" s="3" t="n">
        <v>19.5</v>
      </c>
      <c r="H19" s="3" t="n">
        <v>19.5</v>
      </c>
      <c r="I19" s="3" t="n">
        <v>19.5</v>
      </c>
      <c r="J19" s="3" t="n">
        <v>19.5</v>
      </c>
      <c r="K19" s="3" t="n">
        <v>19.5</v>
      </c>
      <c r="L19" s="3" t="n">
        <v>19.5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11.5</v>
      </c>
      <c r="D27" s="3" t="n">
        <v>10</v>
      </c>
      <c r="E27" s="3" t="n">
        <v>8</v>
      </c>
      <c r="F27" s="3" t="n">
        <v>7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21.4</v>
      </c>
      <c r="D28" s="3" t="n">
        <v>21.8</v>
      </c>
      <c r="E28" s="3" t="n">
        <v>22.1</v>
      </c>
      <c r="F28" s="3" t="n">
        <v>22.4</v>
      </c>
      <c r="G28" s="3" t="n">
        <v>22.6</v>
      </c>
      <c r="H28" s="3" t="n">
        <v>22.8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108</v>
      </c>
      <c r="C29" s="3" t="n">
        <v>0.42</v>
      </c>
      <c r="D29" s="3" t="n">
        <v>0.42</v>
      </c>
      <c r="E29" s="3" t="n">
        <v>0.42</v>
      </c>
      <c r="F29" s="3" t="n">
        <v>0.41</v>
      </c>
      <c r="G29" s="3" t="n">
        <v>0.41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1.8</v>
      </c>
      <c r="D31" s="3" t="n">
        <v>1.8</v>
      </c>
      <c r="E31" s="3" t="n">
        <v>1.8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111</v>
      </c>
      <c r="C32" s="3" t="n">
        <v>1.7</v>
      </c>
      <c r="D32" s="3" t="n">
        <v>1.9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112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12</v>
      </c>
      <c r="D41" s="3" t="n">
        <v>14</v>
      </c>
      <c r="E41" s="3" t="n">
        <v>12</v>
      </c>
      <c r="F41" s="3" t="n">
        <v>10</v>
      </c>
      <c r="G41" s="3" t="n">
        <v>8.5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21.6</v>
      </c>
      <c r="D42" s="3" t="n">
        <v>22.3</v>
      </c>
      <c r="E42" s="3" t="n">
        <v>23</v>
      </c>
      <c r="F42" s="3" t="n">
        <v>23.6</v>
      </c>
      <c r="G42" s="3" t="n">
        <v>24</v>
      </c>
      <c r="H42" s="3" t="n">
        <v>24.3</v>
      </c>
      <c r="I42" s="3" t="n">
        <v>24.5</v>
      </c>
      <c r="J42" s="3" t="n">
        <v>24.5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108</v>
      </c>
      <c r="C43" s="3" t="n">
        <v>0.42</v>
      </c>
      <c r="D43" s="3" t="n">
        <v>0.42</v>
      </c>
      <c r="E43" s="3" t="n">
        <v>0.42</v>
      </c>
      <c r="F43" s="3" t="n">
        <v>0.41</v>
      </c>
      <c r="G43" s="3" t="n">
        <v>0.41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1.8</v>
      </c>
      <c r="D45" s="3" t="n">
        <v>1.8</v>
      </c>
      <c r="E45" s="3" t="n">
        <v>1.8</v>
      </c>
      <c r="F45" s="3" t="n">
        <v>1.8</v>
      </c>
      <c r="G45" s="3" t="n">
        <v>1.8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111</v>
      </c>
      <c r="C46" s="3" t="n">
        <v>1.8</v>
      </c>
      <c r="D46" s="3" t="n">
        <v>2.1</v>
      </c>
      <c r="E46" s="3" t="n">
        <v>2.2</v>
      </c>
      <c r="F46" s="3" t="n">
        <v>2.2</v>
      </c>
      <c r="G46" s="3" t="n">
        <v>2.1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112</v>
      </c>
      <c r="C47" s="3" t="n">
        <v>19.5</v>
      </c>
      <c r="D47" s="3" t="n">
        <v>19.5</v>
      </c>
      <c r="E47" s="3" t="n">
        <v>19.5</v>
      </c>
      <c r="F47" s="3" t="n">
        <v>19.5</v>
      </c>
      <c r="G47" s="3" t="n">
        <v>19.5</v>
      </c>
      <c r="H47" s="3" t="n">
        <v>19.5</v>
      </c>
      <c r="I47" s="3" t="n">
        <v>19.5</v>
      </c>
      <c r="J47" s="3" t="n">
        <v>19.5</v>
      </c>
      <c r="K47" s="3" t="n">
        <v>19.5</v>
      </c>
      <c r="L47" s="3" t="n">
        <v>19.5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-6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10.5</v>
      </c>
      <c r="D5" s="4" t="n">
        <f aca="false">Assumptions!D13</f>
        <v>3</v>
      </c>
      <c r="E5" s="4" t="n">
        <f aca="false">Assumptions!E13</f>
        <v>-4</v>
      </c>
      <c r="F5" s="4" t="n">
        <f aca="false">Assumptions!F13</f>
        <v>0</v>
      </c>
      <c r="G5" s="4" t="n">
        <f aca="false">Assumptions!G13</f>
        <v>3</v>
      </c>
      <c r="H5" s="4" t="n">
        <f aca="false">Assumptions!H13</f>
        <v>3.5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21321.9</v>
      </c>
      <c r="C6" s="0" t="n">
        <f aca="false">B6*(1+C5/100)</f>
        <v>23560.6995</v>
      </c>
      <c r="D6" s="0" t="n">
        <f aca="false">C6*(1+D5/100)</f>
        <v>24267.520485</v>
      </c>
      <c r="E6" s="0" t="n">
        <f aca="false">D6*(1+E5/100)</f>
        <v>23296.8196656</v>
      </c>
      <c r="F6" s="0" t="n">
        <f aca="false">E6*(1+F5/100)</f>
        <v>23296.8196656</v>
      </c>
      <c r="G6" s="0" t="n">
        <f aca="false">F6*(1+G5/100)</f>
        <v>23995.724255568</v>
      </c>
      <c r="H6" s="0" t="n">
        <f aca="false">G6*(1+H5/100)</f>
        <v>24835.5746045129</v>
      </c>
      <c r="I6" s="0" t="n">
        <f aca="false">H6*(1+I5/100)</f>
        <v>25704.8197156708</v>
      </c>
      <c r="J6" s="0" t="n">
        <f aca="false">I6*(1+J5/100)</f>
        <v>26475.964307141</v>
      </c>
      <c r="K6" s="0" t="n">
        <f aca="false">J6*(1+K5/100)</f>
        <v>27270.2432363552</v>
      </c>
      <c r="L6" s="0" t="n">
        <f aca="false">K6*(1+L5/100)</f>
        <v>28088.3505334458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21.2</v>
      </c>
      <c r="D7" s="4" t="n">
        <f aca="false">Assumptions!D14</f>
        <v>20.5</v>
      </c>
      <c r="E7" s="4" t="n">
        <f aca="false">Assumptions!E14</f>
        <v>19</v>
      </c>
      <c r="F7" s="4" t="n">
        <f aca="false">Assumptions!F14</f>
        <v>19</v>
      </c>
      <c r="G7" s="4" t="n">
        <f aca="false">Assumptions!G14</f>
        <v>19.5</v>
      </c>
      <c r="H7" s="4" t="n">
        <f aca="false">Assumptions!H14</f>
        <v>19.8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4994.868294</v>
      </c>
      <c r="D8" s="0" t="n">
        <f aca="false">D6*D7/100</f>
        <v>4974.841699425</v>
      </c>
      <c r="E8" s="0" t="n">
        <f aca="false">E6*E7/100</f>
        <v>4426.395736464</v>
      </c>
      <c r="F8" s="0" t="n">
        <f aca="false">F6*F7/100</f>
        <v>4426.395736464</v>
      </c>
      <c r="G8" s="0" t="n">
        <f aca="false">G6*G7/100</f>
        <v>4679.16622983576</v>
      </c>
      <c r="H8" s="0" t="n">
        <f aca="false">H6*H7/100</f>
        <v>4917.44377169355</v>
      </c>
      <c r="I8" s="0" t="n">
        <f aca="false">I6*I7/100</f>
        <v>5140.96394313417</v>
      </c>
      <c r="J8" s="0" t="n">
        <f aca="false">J6*J7/100</f>
        <v>5295.19286142819</v>
      </c>
      <c r="K8" s="0" t="n">
        <f aca="false">K6*K7/100</f>
        <v>5454.04864727104</v>
      </c>
      <c r="L8" s="0" t="n">
        <f aca="false">L6*L7/100</f>
        <v>5617.67010668917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0.42</v>
      </c>
      <c r="D9" s="4" t="n">
        <f aca="false">Assumptions!D15</f>
        <v>0.43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0.44</v>
      </c>
      <c r="H9" s="4" t="n">
        <f aca="false">Assumptions!H15</f>
        <v>0.43</v>
      </c>
      <c r="I9" s="4" t="n">
        <f aca="false">Assumptions!I15</f>
        <v>0.42</v>
      </c>
      <c r="J9" s="4" t="n">
        <f aca="false">Assumptions!J15</f>
        <v>0.42</v>
      </c>
      <c r="K9" s="4" t="n">
        <f aca="false">Assumptions!K15</f>
        <v>0.42</v>
      </c>
      <c r="L9" s="4" t="n">
        <f aca="false">Assumptions!L15</f>
        <v>0.42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-98.9549379</v>
      </c>
      <c r="D10" s="0" t="n">
        <f aca="false">-D6*D9/100</f>
        <v>-104.3503380855</v>
      </c>
      <c r="E10" s="0" t="n">
        <f aca="false">-E6*E9/100</f>
        <v>-104.8356884952</v>
      </c>
      <c r="F10" s="0" t="n">
        <f aca="false">-F6*F9/100</f>
        <v>-104.8356884952</v>
      </c>
      <c r="G10" s="0" t="n">
        <f aca="false">-G6*G9/100</f>
        <v>-105.581186724499</v>
      </c>
      <c r="H10" s="0" t="n">
        <f aca="false">-H6*H9/100</f>
        <v>-106.792970799405</v>
      </c>
      <c r="I10" s="0" t="n">
        <f aca="false">-I6*I9/100</f>
        <v>-107.960242805818</v>
      </c>
      <c r="J10" s="0" t="n">
        <f aca="false">-J6*J9/100</f>
        <v>-111.199050089992</v>
      </c>
      <c r="K10" s="0" t="n">
        <f aca="false">-K6*K9/100</f>
        <v>-114.535021592692</v>
      </c>
      <c r="L10" s="0" t="n">
        <f aca="false">-L6*L9/100</f>
        <v>-117.971072240473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4895.9133561</v>
      </c>
      <c r="D11" s="0" t="n">
        <f aca="false">D8+D10+D24</f>
        <v>4870.4913613395</v>
      </c>
      <c r="E11" s="0" t="n">
        <f aca="false">E8+E10+E24</f>
        <v>4321.5600479688</v>
      </c>
      <c r="F11" s="0" t="n">
        <f aca="false">F8+F10+F24</f>
        <v>4321.5600479688</v>
      </c>
      <c r="G11" s="0" t="n">
        <f aca="false">G8+G10+G24</f>
        <v>4573.58504311126</v>
      </c>
      <c r="H11" s="0" t="n">
        <f aca="false">H8+H10+H24</f>
        <v>4810.65080089415</v>
      </c>
      <c r="I11" s="0" t="n">
        <f aca="false">I8+I10+I24</f>
        <v>5033.00370032835</v>
      </c>
      <c r="J11" s="0" t="n">
        <f aca="false">J8+J10+J24</f>
        <v>5183.9938113382</v>
      </c>
      <c r="K11" s="0" t="n">
        <f aca="false">K8+K10+K24</f>
        <v>5339.51362567835</v>
      </c>
      <c r="L11" s="0" t="n">
        <f aca="false">L8+L10+L24</f>
        <v>5499.6990344487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-424.092591</v>
      </c>
      <c r="D12" s="4" t="n">
        <f aca="false">-D6*Assumptions!D17/100</f>
        <v>-461.082889215</v>
      </c>
      <c r="E12" s="4" t="n">
        <f aca="false">-E6*Assumptions!E17/100</f>
        <v>-465.936393312</v>
      </c>
      <c r="F12" s="4" t="n">
        <f aca="false">-F6*Assumptions!F17/100</f>
        <v>-465.936393312</v>
      </c>
      <c r="G12" s="4" t="n">
        <f aca="false">-G6*Assumptions!G17/100</f>
        <v>-455.918760855792</v>
      </c>
      <c r="H12" s="4" t="n">
        <f aca="false">-H6*Assumptions!H17/100</f>
        <v>-471.875917485745</v>
      </c>
      <c r="I12" s="4" t="n">
        <f aca="false">-I6*Assumptions!I17/100</f>
        <v>-488.391574597746</v>
      </c>
      <c r="J12" s="4" t="n">
        <f aca="false">-J6*Assumptions!J17/100</f>
        <v>-503.043321835678</v>
      </c>
      <c r="K12" s="4" t="n">
        <f aca="false">-K6*Assumptions!K17/100</f>
        <v>-518.134621490749</v>
      </c>
      <c r="L12" s="4" t="n">
        <f aca="false">-L6*Assumptions!L17/100</f>
        <v>-533.678660135471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4471.8207651</v>
      </c>
      <c r="D13" s="0" t="n">
        <f aca="false">D11+D12</f>
        <v>4409.4084721245</v>
      </c>
      <c r="E13" s="0" t="n">
        <f aca="false">E11+E12</f>
        <v>3855.6236546568</v>
      </c>
      <c r="F13" s="0" t="n">
        <f aca="false">F11+F12</f>
        <v>3855.6236546568</v>
      </c>
      <c r="G13" s="0" t="n">
        <f aca="false">G11+G12</f>
        <v>4117.66628225547</v>
      </c>
      <c r="H13" s="0" t="n">
        <f aca="false">H11+H12</f>
        <v>4338.7748834084</v>
      </c>
      <c r="I13" s="0" t="n">
        <f aca="false">I11+I12</f>
        <v>4544.6121257306</v>
      </c>
      <c r="J13" s="0" t="n">
        <f aca="false">J11+J12</f>
        <v>4680.95048950252</v>
      </c>
      <c r="K13" s="0" t="n">
        <f aca="false">K11+K12</f>
        <v>4821.3790041876</v>
      </c>
      <c r="L13" s="0" t="n">
        <f aca="false">L11+L12</f>
        <v>4966.02037431322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19.5</v>
      </c>
      <c r="D14" s="4" t="n">
        <f aca="false">Assumptions!D19</f>
        <v>19.5</v>
      </c>
      <c r="E14" s="4" t="n">
        <f aca="false">Assumptions!E19</f>
        <v>19.5</v>
      </c>
      <c r="F14" s="4" t="n">
        <f aca="false">Assumptions!F19</f>
        <v>19.5</v>
      </c>
      <c r="G14" s="4" t="n">
        <f aca="false">Assumptions!G19</f>
        <v>19.5</v>
      </c>
      <c r="H14" s="4" t="n">
        <f aca="false">Assumptions!H19</f>
        <v>19.5</v>
      </c>
      <c r="I14" s="4" t="n">
        <f aca="false">Assumptions!I19</f>
        <v>19.5</v>
      </c>
      <c r="J14" s="4" t="n">
        <f aca="false">Assumptions!J19</f>
        <v>19.5</v>
      </c>
      <c r="K14" s="4" t="n">
        <f aca="false">Assumptions!K19</f>
        <v>19.5</v>
      </c>
      <c r="L14" s="4" t="n">
        <f aca="false">Assumptions!L19</f>
        <v>19.5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3599.8157159055</v>
      </c>
      <c r="D15" s="0" t="n">
        <f aca="false">D13-MAX(0,D13)*D14/100</f>
        <v>3549.57382006022</v>
      </c>
      <c r="E15" s="0" t="n">
        <f aca="false">E13-MAX(0,E13)*E14/100</f>
        <v>3103.77704199872</v>
      </c>
      <c r="F15" s="0" t="n">
        <f aca="false">F13-MAX(0,F13)*F14/100</f>
        <v>3103.77704199872</v>
      </c>
      <c r="G15" s="0" t="n">
        <f aca="false">G13-MAX(0,G13)*G14/100</f>
        <v>3314.72135721565</v>
      </c>
      <c r="H15" s="0" t="n">
        <f aca="false">H13-MAX(0,H13)*H14/100</f>
        <v>3492.71378114376</v>
      </c>
      <c r="I15" s="0" t="n">
        <f aca="false">I13-MAX(0,I13)*I14/100</f>
        <v>3658.41276121314</v>
      </c>
      <c r="J15" s="0" t="n">
        <f aca="false">J13-MAX(0,J13)*J14/100</f>
        <v>3768.16514404953</v>
      </c>
      <c r="K15" s="0" t="n">
        <f aca="false">K13-MAX(0,K13)*K14/100</f>
        <v>3881.21009837102</v>
      </c>
      <c r="L15" s="0" t="n">
        <f aca="false">L13-MAX(0,L13)*L14/100</f>
        <v>3997.64640132215</v>
      </c>
    </row>
    <row r="16" customFormat="false" ht="15" hidden="false" customHeight="false" outlineLevel="0" collapsed="false">
      <c r="A16" s="0" t="s">
        <v>128</v>
      </c>
      <c r="C16" s="0" t="n">
        <f aca="false">-C12</f>
        <v>424.092591</v>
      </c>
      <c r="D16" s="0" t="n">
        <f aca="false">-D12</f>
        <v>461.082889215</v>
      </c>
      <c r="E16" s="0" t="n">
        <f aca="false">-E12</f>
        <v>465.936393312</v>
      </c>
      <c r="F16" s="0" t="n">
        <f aca="false">-F12</f>
        <v>465.936393312</v>
      </c>
      <c r="G16" s="0" t="n">
        <f aca="false">-G12</f>
        <v>455.918760855792</v>
      </c>
      <c r="H16" s="0" t="n">
        <f aca="false">-H12</f>
        <v>471.875917485745</v>
      </c>
      <c r="I16" s="0" t="n">
        <f aca="false">-I12</f>
        <v>488.391574597746</v>
      </c>
      <c r="J16" s="0" t="n">
        <f aca="false">-J12</f>
        <v>503.043321835678</v>
      </c>
      <c r="K16" s="0" t="n">
        <f aca="false">-K12</f>
        <v>518.134621490749</v>
      </c>
      <c r="L16" s="0" t="n">
        <f aca="false">-L12</f>
        <v>533.678660135471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-400.5318915</v>
      </c>
      <c r="D17" s="4" t="n">
        <f aca="false">-D6*Assumptions!D18/100</f>
        <v>-436.81536873</v>
      </c>
      <c r="E17" s="4" t="n">
        <f aca="false">-E6*Assumptions!E18/100</f>
        <v>-396.0459343152</v>
      </c>
      <c r="F17" s="4" t="n">
        <f aca="false">-F6*Assumptions!F18/100</f>
        <v>-396.0459343152</v>
      </c>
      <c r="G17" s="4" t="n">
        <f aca="false">-G6*Assumptions!G18/100</f>
        <v>-431.923036600224</v>
      </c>
      <c r="H17" s="4" t="n">
        <f aca="false">-H6*Assumptions!H18/100</f>
        <v>-471.875917485745</v>
      </c>
      <c r="I17" s="4" t="n">
        <f aca="false">-I6*Assumptions!I18/100</f>
        <v>-488.391574597746</v>
      </c>
      <c r="J17" s="4" t="n">
        <f aca="false">-J6*Assumptions!J18/100</f>
        <v>-503.043321835678</v>
      </c>
      <c r="K17" s="4" t="n">
        <f aca="false">-K6*Assumptions!K18/100</f>
        <v>-518.134621490749</v>
      </c>
      <c r="L17" s="4" t="n">
        <f aca="false">-L6*Assumptions!L18/100</f>
        <v>-533.678660135471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-223.87995</v>
      </c>
      <c r="D18" s="4" t="n">
        <f aca="false">(D6-C6)*Assumptions!$B$23/100</f>
        <v>-70.6820985000002</v>
      </c>
      <c r="E18" s="4" t="n">
        <f aca="false">(E6-D6)*Assumptions!$B$23/100</f>
        <v>97.0700819400001</v>
      </c>
      <c r="F18" s="4" t="n">
        <f aca="false">(F6-E6)*Assumptions!$B$23/100</f>
        <v>-0</v>
      </c>
      <c r="G18" s="4" t="n">
        <f aca="false">(G6-F6)*Assumptions!$B$23/100</f>
        <v>-69.8904589968002</v>
      </c>
      <c r="H18" s="4" t="n">
        <f aca="false">(H6-G6)*Assumptions!$B$23/100</f>
        <v>-83.9850348944878</v>
      </c>
      <c r="I18" s="4" t="n">
        <f aca="false">(I6-H6)*Assumptions!$B$23/100</f>
        <v>-86.924511115795</v>
      </c>
      <c r="J18" s="4" t="n">
        <f aca="false">(J6-I6)*Assumptions!$B$23/100</f>
        <v>-77.1144591470125</v>
      </c>
      <c r="K18" s="4" t="n">
        <f aca="false">(K6-J6)*Assumptions!$B$23/100</f>
        <v>-79.427892921423</v>
      </c>
      <c r="L18" s="4" t="n">
        <f aca="false">(L6-K6)*Assumptions!$B$23/100</f>
        <v>-81.8107297090657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3399.4964654055</v>
      </c>
      <c r="D19" s="0" t="n">
        <f aca="false">D15+D16+D17+D18</f>
        <v>3503.15924204522</v>
      </c>
      <c r="E19" s="0" t="n">
        <f aca="false">E15+E16+E17+E18</f>
        <v>3270.73758293552</v>
      </c>
      <c r="F19" s="0" t="n">
        <f aca="false">F15+F16+F17+F18</f>
        <v>3173.66750099552</v>
      </c>
      <c r="G19" s="0" t="n">
        <f aca="false">G15+G16+G17+G18</f>
        <v>3268.82662247442</v>
      </c>
      <c r="H19" s="0" t="n">
        <f aca="false">H15+H16+H17+H18</f>
        <v>3408.72874624927</v>
      </c>
      <c r="I19" s="0" t="n">
        <f aca="false">I15+I16+I17+I18</f>
        <v>3571.48825009734</v>
      </c>
      <c r="J19" s="0" t="n">
        <f aca="false">J15+J16+J17+J18</f>
        <v>3691.05068490252</v>
      </c>
      <c r="K19" s="0" t="n">
        <f aca="false">K15+K16+K17+K18</f>
        <v>3801.78220544959</v>
      </c>
      <c r="L19" s="0" t="n">
        <f aca="false">L15+L16+L17+L18</f>
        <v>3915.83567161308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3118.80409670229</v>
      </c>
      <c r="D21" s="0" t="n">
        <f aca="false">D19*D20</f>
        <v>2948.53904725631</v>
      </c>
      <c r="E21" s="0" t="n">
        <f aca="false">E19*E20</f>
        <v>2525.60952915767</v>
      </c>
      <c r="F21" s="0" t="n">
        <f aca="false">F19*F20</f>
        <v>2248.30606924351</v>
      </c>
      <c r="G21" s="0" t="n">
        <f aca="false">G19*G20</f>
        <v>2124.51301831374</v>
      </c>
      <c r="H21" s="0" t="n">
        <f aca="false">H19*H20</f>
        <v>2032.5135775824</v>
      </c>
      <c r="I21" s="0" t="n">
        <f aca="false">I19*I20</f>
        <v>1953.72637785878</v>
      </c>
      <c r="J21" s="0" t="n">
        <f aca="false">J19*J20</f>
        <v>1852.41387531565</v>
      </c>
      <c r="K21" s="0" t="n">
        <f aca="false">K19*K20</f>
        <v>1750.44613905974</v>
      </c>
      <c r="L21" s="0" t="n">
        <f aca="false">L19*L20</f>
        <v>1654.091305717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22208.9630362071</v>
      </c>
    </row>
    <row r="31" customFormat="false" ht="15" hidden="false" customHeight="false" outlineLevel="0" collapsed="false">
      <c r="A31" s="0" t="s">
        <v>137</v>
      </c>
      <c r="B31" s="0" t="n">
        <f aca="false">L19</f>
        <v>3915.83567161308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61749.7163600524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54821.6994025831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54821.6994025831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23157.278280038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45366.2413162451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41217.7413162451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185.24827557863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-0.596356221774895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683.564621315957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785.816341705135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191.852234962994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32109.8525072273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94.6311641389071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11.5</v>
      </c>
      <c r="D5" s="4" t="n">
        <f aca="false">Assumptions!D27</f>
        <v>10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21321.9</v>
      </c>
      <c r="C6" s="0" t="n">
        <f aca="false">B6*(1+C5/100)</f>
        <v>23773.9185</v>
      </c>
      <c r="D6" s="0" t="n">
        <f aca="false">C6*(1+D5/100)</f>
        <v>26151.31035</v>
      </c>
      <c r="E6" s="0" t="n">
        <f aca="false">D6*(1+E5/100)</f>
        <v>28243.415178</v>
      </c>
      <c r="F6" s="0" t="n">
        <f aca="false">E6*(1+F5/100)</f>
        <v>30220.45424046</v>
      </c>
      <c r="G6" s="0" t="n">
        <f aca="false">F6*(1+G5/100)</f>
        <v>32033.6814948876</v>
      </c>
      <c r="H6" s="0" t="n">
        <f aca="false">G6*(1+H5/100)</f>
        <v>33795.5339771064</v>
      </c>
      <c r="I6" s="0" t="n">
        <f aca="false">H6*(1+I5/100)</f>
        <v>35485.3106759617</v>
      </c>
      <c r="J6" s="0" t="n">
        <f aca="false">I6*(1+J5/100)</f>
        <v>37082.14965638</v>
      </c>
      <c r="K6" s="0" t="n">
        <f aca="false">J6*(1+K5/100)</f>
        <v>38565.4356426352</v>
      </c>
      <c r="L6" s="0" t="n">
        <f aca="false">K6*(1+L5/100)</f>
        <v>39915.2258901275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21.4</v>
      </c>
      <c r="D7" s="4" t="n">
        <f aca="false">Assumptions!D28</f>
        <v>21.8</v>
      </c>
      <c r="E7" s="4" t="n">
        <f aca="false">Assumptions!E28</f>
        <v>22.1</v>
      </c>
      <c r="F7" s="4" t="n">
        <f aca="false">Assumptions!F28</f>
        <v>22.4</v>
      </c>
      <c r="G7" s="4" t="n">
        <f aca="false">Assumptions!G28</f>
        <v>22.6</v>
      </c>
      <c r="H7" s="4" t="n">
        <f aca="false">Assumptions!H28</f>
        <v>22.8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5087.618559</v>
      </c>
      <c r="D8" s="0" t="n">
        <f aca="false">D6*D7/100</f>
        <v>5700.9856563</v>
      </c>
      <c r="E8" s="0" t="n">
        <f aca="false">E6*E7/100</f>
        <v>6241.794754338</v>
      </c>
      <c r="F8" s="0" t="n">
        <f aca="false">F6*F7/100</f>
        <v>6769.38174986304</v>
      </c>
      <c r="G8" s="0" t="n">
        <f aca="false">G6*G7/100</f>
        <v>7239.6120178446</v>
      </c>
      <c r="H8" s="0" t="n">
        <f aca="false">H6*H7/100</f>
        <v>7705.38174678027</v>
      </c>
      <c r="I8" s="0" t="n">
        <f aca="false">I6*I7/100</f>
        <v>8161.6214554712</v>
      </c>
      <c r="J8" s="0" t="n">
        <f aca="false">J6*J7/100</f>
        <v>8528.8944209674</v>
      </c>
      <c r="K8" s="0" t="n">
        <f aca="false">K6*K7/100</f>
        <v>8870.0501978061</v>
      </c>
      <c r="L8" s="0" t="n">
        <f aca="false">L6*L7/100</f>
        <v>9180.50195472931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0.42</v>
      </c>
      <c r="D9" s="4" t="n">
        <f aca="false">Assumptions!D29</f>
        <v>0.42</v>
      </c>
      <c r="E9" s="4" t="n">
        <f aca="false">Assumptions!E29</f>
        <v>0.42</v>
      </c>
      <c r="F9" s="4" t="n">
        <f aca="false">Assumptions!F29</f>
        <v>0.41</v>
      </c>
      <c r="G9" s="4" t="n">
        <f aca="false">Assumptions!G29</f>
        <v>0.41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-99.8504577</v>
      </c>
      <c r="D10" s="0" t="n">
        <f aca="false">-D6*D9/100</f>
        <v>-109.83550347</v>
      </c>
      <c r="E10" s="0" t="n">
        <f aca="false">-E6*E9/100</f>
        <v>-118.6223437476</v>
      </c>
      <c r="F10" s="0" t="n">
        <f aca="false">-F6*F9/100</f>
        <v>-123.903862385886</v>
      </c>
      <c r="G10" s="0" t="n">
        <f aca="false">-G6*G9/100</f>
        <v>-131.338094129039</v>
      </c>
      <c r="H10" s="0" t="n">
        <f aca="false">-H6*H9/100</f>
        <v>-135.182135908426</v>
      </c>
      <c r="I10" s="0" t="n">
        <f aca="false">-I6*I9/100</f>
        <v>-141.941242703847</v>
      </c>
      <c r="J10" s="0" t="n">
        <f aca="false">-J6*J9/100</f>
        <v>-148.32859862552</v>
      </c>
      <c r="K10" s="0" t="n">
        <f aca="false">-K6*K9/100</f>
        <v>-154.261742570541</v>
      </c>
      <c r="L10" s="0" t="n">
        <f aca="false">-L6*L9/100</f>
        <v>-159.66090356051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4987.7681013</v>
      </c>
      <c r="D11" s="0" t="n">
        <f aca="false">D8+D10+D24</f>
        <v>5591.15015283</v>
      </c>
      <c r="E11" s="0" t="n">
        <f aca="false">E8+E10+E24</f>
        <v>6123.1724105904</v>
      </c>
      <c r="F11" s="0" t="n">
        <f aca="false">F8+F10+F24</f>
        <v>6645.47788747716</v>
      </c>
      <c r="G11" s="0" t="n">
        <f aca="false">G8+G10+G24</f>
        <v>7108.27392371556</v>
      </c>
      <c r="H11" s="0" t="n">
        <f aca="false">H8+H10+H24</f>
        <v>7570.19961087184</v>
      </c>
      <c r="I11" s="0" t="n">
        <f aca="false">I8+I10+I24</f>
        <v>8019.68021276735</v>
      </c>
      <c r="J11" s="0" t="n">
        <f aca="false">J8+J10+J24</f>
        <v>8380.56582234188</v>
      </c>
      <c r="K11" s="0" t="n">
        <f aca="false">K8+K10+K24</f>
        <v>8715.78845523556</v>
      </c>
      <c r="L11" s="0" t="n">
        <f aca="false">L8+L10+L24</f>
        <v>9020.8410511688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-427.930533</v>
      </c>
      <c r="D12" s="4" t="n">
        <f aca="false">-D6*Assumptions!D31/100</f>
        <v>-470.7235863</v>
      </c>
      <c r="E12" s="4" t="n">
        <f aca="false">-E6*Assumptions!E31/100</f>
        <v>-508.381473204</v>
      </c>
      <c r="F12" s="4" t="n">
        <f aca="false">-F6*Assumptions!F31/100</f>
        <v>-543.96817632828</v>
      </c>
      <c r="G12" s="4" t="n">
        <f aca="false">-G6*Assumptions!G31/100</f>
        <v>-576.606266907977</v>
      </c>
      <c r="H12" s="4" t="n">
        <f aca="false">-H6*Assumptions!H31/100</f>
        <v>-608.319611587916</v>
      </c>
      <c r="I12" s="4" t="n">
        <f aca="false">-I6*Assumptions!I31/100</f>
        <v>-638.735592167311</v>
      </c>
      <c r="J12" s="4" t="n">
        <f aca="false">-J6*Assumptions!J31/100</f>
        <v>-667.47869381484</v>
      </c>
      <c r="K12" s="4" t="n">
        <f aca="false">-K6*Assumptions!K31/100</f>
        <v>-694.177841567434</v>
      </c>
      <c r="L12" s="4" t="n">
        <f aca="false">-L6*Assumptions!L31/100</f>
        <v>-718.474066022294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4559.8375683</v>
      </c>
      <c r="D13" s="0" t="n">
        <f aca="false">D11+D12</f>
        <v>5120.42656653</v>
      </c>
      <c r="E13" s="0" t="n">
        <f aca="false">E11+E12</f>
        <v>5614.7909373864</v>
      </c>
      <c r="F13" s="0" t="n">
        <f aca="false">F11+F12</f>
        <v>6101.50971114888</v>
      </c>
      <c r="G13" s="0" t="n">
        <f aca="false">G11+G12</f>
        <v>6531.66765680758</v>
      </c>
      <c r="H13" s="0" t="n">
        <f aca="false">H11+H12</f>
        <v>6961.87999928392</v>
      </c>
      <c r="I13" s="0" t="n">
        <f aca="false">I11+I12</f>
        <v>7380.94462060004</v>
      </c>
      <c r="J13" s="0" t="n">
        <f aca="false">J11+J12</f>
        <v>7713.08712852704</v>
      </c>
      <c r="K13" s="0" t="n">
        <f aca="false">K11+K12</f>
        <v>8021.61061366813</v>
      </c>
      <c r="L13" s="0" t="n">
        <f aca="false">L11+L12</f>
        <v>8302.36698514651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3670.6692424815</v>
      </c>
      <c r="D15" s="0" t="n">
        <f aca="false">D13-MAX(0,D13)*D14/100</f>
        <v>4121.94338605665</v>
      </c>
      <c r="E15" s="0" t="n">
        <f aca="false">E13-MAX(0,E13)*E14/100</f>
        <v>4519.90670459605</v>
      </c>
      <c r="F15" s="0" t="n">
        <f aca="false">F13-MAX(0,F13)*F14/100</f>
        <v>4911.71531747485</v>
      </c>
      <c r="G15" s="0" t="n">
        <f aca="false">G13-MAX(0,G13)*G14/100</f>
        <v>5257.99246373011</v>
      </c>
      <c r="H15" s="0" t="n">
        <f aca="false">H13-MAX(0,H13)*H14/100</f>
        <v>5604.31339942356</v>
      </c>
      <c r="I15" s="0" t="n">
        <f aca="false">I13-MAX(0,I13)*I14/100</f>
        <v>5941.66041958304</v>
      </c>
      <c r="J15" s="0" t="n">
        <f aca="false">J13-MAX(0,J13)*J14/100</f>
        <v>6209.03513846427</v>
      </c>
      <c r="K15" s="0" t="n">
        <f aca="false">K13-MAX(0,K13)*K14/100</f>
        <v>6457.39654400284</v>
      </c>
      <c r="L15" s="0" t="n">
        <f aca="false">L13-MAX(0,L13)*L14/100</f>
        <v>6683.40542304294</v>
      </c>
    </row>
    <row r="16" customFormat="false" ht="15" hidden="false" customHeight="false" outlineLevel="0" collapsed="false">
      <c r="A16" s="0" t="s">
        <v>128</v>
      </c>
      <c r="C16" s="0" t="n">
        <f aca="false">-C12</f>
        <v>427.930533</v>
      </c>
      <c r="D16" s="0" t="n">
        <f aca="false">-D12</f>
        <v>470.7235863</v>
      </c>
      <c r="E16" s="0" t="n">
        <f aca="false">-E12</f>
        <v>508.381473204</v>
      </c>
      <c r="F16" s="0" t="n">
        <f aca="false">-F12</f>
        <v>543.96817632828</v>
      </c>
      <c r="G16" s="0" t="n">
        <f aca="false">-G12</f>
        <v>576.606266907977</v>
      </c>
      <c r="H16" s="0" t="n">
        <f aca="false">-H12</f>
        <v>608.319611587916</v>
      </c>
      <c r="I16" s="0" t="n">
        <f aca="false">-I12</f>
        <v>638.735592167311</v>
      </c>
      <c r="J16" s="0" t="n">
        <f aca="false">-J12</f>
        <v>667.47869381484</v>
      </c>
      <c r="K16" s="0" t="n">
        <f aca="false">-K12</f>
        <v>694.177841567434</v>
      </c>
      <c r="L16" s="0" t="n">
        <f aca="false">-L12</f>
        <v>718.474066022294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-404.1566145</v>
      </c>
      <c r="D17" s="4" t="n">
        <f aca="false">-D6*Assumptions!D32/100</f>
        <v>-496.87489665</v>
      </c>
      <c r="E17" s="4" t="n">
        <f aca="false">-E6*Assumptions!E32/100</f>
        <v>-564.86830356</v>
      </c>
      <c r="F17" s="4" t="n">
        <f aca="false">-F6*Assumptions!F32/100</f>
        <v>-604.4090848092</v>
      </c>
      <c r="G17" s="4" t="n">
        <f aca="false">-G6*Assumptions!G32/100</f>
        <v>-640.673629897752</v>
      </c>
      <c r="H17" s="4" t="n">
        <f aca="false">-H6*Assumptions!H32/100</f>
        <v>-675.910679542129</v>
      </c>
      <c r="I17" s="4" t="n">
        <f aca="false">-I6*Assumptions!I32/100</f>
        <v>-709.706213519235</v>
      </c>
      <c r="J17" s="4" t="n">
        <f aca="false">-J6*Assumptions!J32/100</f>
        <v>-741.6429931276</v>
      </c>
      <c r="K17" s="4" t="n">
        <f aca="false">-K6*Assumptions!K32/100</f>
        <v>-771.308712852704</v>
      </c>
      <c r="L17" s="4" t="n">
        <f aca="false">-L6*Assumptions!L32/100</f>
        <v>-798.304517802549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-196.16148</v>
      </c>
      <c r="D18" s="4" t="n">
        <f aca="false">(D6-C6)*Assumptions!$B$37/100</f>
        <v>-190.191348</v>
      </c>
      <c r="E18" s="4" t="n">
        <f aca="false">(E6-D6)*Assumptions!$B$37/100</f>
        <v>-167.36838624</v>
      </c>
      <c r="F18" s="4" t="n">
        <f aca="false">(F6-E6)*Assumptions!$B$37/100</f>
        <v>-158.1631249968</v>
      </c>
      <c r="G18" s="4" t="n">
        <f aca="false">(G6-F6)*Assumptions!$B$37/100</f>
        <v>-145.058180354208</v>
      </c>
      <c r="H18" s="4" t="n">
        <f aca="false">(H6-G6)*Assumptions!$B$37/100</f>
        <v>-140.948198577505</v>
      </c>
      <c r="I18" s="4" t="n">
        <f aca="false">(I6-H6)*Assumptions!$B$37/100</f>
        <v>-135.182135908426</v>
      </c>
      <c r="J18" s="4" t="n">
        <f aca="false">(J6-I6)*Assumptions!$B$37/100</f>
        <v>-127.747118433462</v>
      </c>
      <c r="K18" s="4" t="n">
        <f aca="false">(K6-J6)*Assumptions!$B$37/100</f>
        <v>-118.662878900416</v>
      </c>
      <c r="L18" s="4" t="n">
        <f aca="false">(L6-K6)*Assumptions!$B$37/100</f>
        <v>-107.983219799378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3498.2816809815</v>
      </c>
      <c r="D19" s="0" t="n">
        <f aca="false">D15+D16+D17+D18</f>
        <v>3905.60072770665</v>
      </c>
      <c r="E19" s="0" t="n">
        <f aca="false">E15+E16+E17+E18</f>
        <v>4296.05148800005</v>
      </c>
      <c r="F19" s="0" t="n">
        <f aca="false">F15+F16+F17+F18</f>
        <v>4693.11128399713</v>
      </c>
      <c r="G19" s="0" t="n">
        <f aca="false">G15+G16+G17+G18</f>
        <v>5048.86692038612</v>
      </c>
      <c r="H19" s="0" t="n">
        <f aca="false">H15+H16+H17+H18</f>
        <v>5395.77413289184</v>
      </c>
      <c r="I19" s="0" t="n">
        <f aca="false">I15+I16+I17+I18</f>
        <v>5735.50766232269</v>
      </c>
      <c r="J19" s="0" t="n">
        <f aca="false">J15+J16+J17+J18</f>
        <v>6007.12372071805</v>
      </c>
      <c r="K19" s="0" t="n">
        <f aca="false">K15+K16+K17+K18</f>
        <v>6261.60279381716</v>
      </c>
      <c r="L19" s="0" t="n">
        <f aca="false">L15+L16+L17+L18</f>
        <v>6495.59175146331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3209.43273484541</v>
      </c>
      <c r="D21" s="0" t="n">
        <f aca="false">D19*D20</f>
        <v>3287.26599419801</v>
      </c>
      <c r="E21" s="0" t="n">
        <f aca="false">E19*E20</f>
        <v>3317.33998852539</v>
      </c>
      <c r="F21" s="0" t="n">
        <f aca="false">F19*F20</f>
        <v>3324.71835191812</v>
      </c>
      <c r="G21" s="0" t="n">
        <f aca="false">G19*G20</f>
        <v>3281.41707680241</v>
      </c>
      <c r="H21" s="0" t="n">
        <f aca="false">H19*H20</f>
        <v>3217.32381866344</v>
      </c>
      <c r="I21" s="0" t="n">
        <f aca="false">I19*I20</f>
        <v>3137.51910285175</v>
      </c>
      <c r="J21" s="0" t="n">
        <f aca="false">J19*J20</f>
        <v>3014.7728332508</v>
      </c>
      <c r="K21" s="0" t="n">
        <f aca="false">K19*K20</f>
        <v>2883.0158705703</v>
      </c>
      <c r="L21" s="0" t="n">
        <f aca="false">L19*L20</f>
        <v>2743.8081530006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31416.6139246262</v>
      </c>
    </row>
    <row r="31" customFormat="false" ht="15" hidden="false" customHeight="false" outlineLevel="0" collapsed="false">
      <c r="A31" s="0" t="s">
        <v>137</v>
      </c>
      <c r="B31" s="0" t="n">
        <f aca="false">L19</f>
        <v>6495.59175146331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111507.65840012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116920.65152634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111507.65840012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47102.0399598436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78518.6538844698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74370.1538844698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334.247882626831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-0.271695902238135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819.949269972662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1157.76276392951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343.136476037627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55753.8292000601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150.492575581764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12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8.5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21321.9</v>
      </c>
      <c r="C6" s="0" t="n">
        <f aca="false">B6*(1+C5/100)</f>
        <v>23880.528</v>
      </c>
      <c r="D6" s="0" t="n">
        <f aca="false">C6*(1+D5/100)</f>
        <v>27223.80192</v>
      </c>
      <c r="E6" s="0" t="n">
        <f aca="false">D6*(1+E5/100)</f>
        <v>30490.6581504</v>
      </c>
      <c r="F6" s="0" t="n">
        <f aca="false">E6*(1+F5/100)</f>
        <v>33539.72396544</v>
      </c>
      <c r="G6" s="0" t="n">
        <f aca="false">F6*(1+G5/100)</f>
        <v>36390.6005025024</v>
      </c>
      <c r="H6" s="0" t="n">
        <f aca="false">G6*(1+H5/100)</f>
        <v>38937.9425376776</v>
      </c>
      <c r="I6" s="0" t="n">
        <f aca="false">H6*(1+I5/100)</f>
        <v>41274.2190899383</v>
      </c>
      <c r="J6" s="0" t="n">
        <f aca="false">I6*(1+J5/100)</f>
        <v>43337.9300444352</v>
      </c>
      <c r="K6" s="0" t="n">
        <f aca="false">J6*(1+K5/100)</f>
        <v>45288.1368964347</v>
      </c>
      <c r="L6" s="0" t="n">
        <f aca="false">K6*(1+L5/100)</f>
        <v>47099.6623722921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21.6</v>
      </c>
      <c r="D7" s="4" t="n">
        <f aca="false">Assumptions!D42</f>
        <v>22.3</v>
      </c>
      <c r="E7" s="4" t="n">
        <f aca="false">Assumptions!E42</f>
        <v>23</v>
      </c>
      <c r="F7" s="4" t="n">
        <f aca="false">Assumptions!F42</f>
        <v>23.6</v>
      </c>
      <c r="G7" s="4" t="n">
        <f aca="false">Assumptions!G42</f>
        <v>24</v>
      </c>
      <c r="H7" s="4" t="n">
        <f aca="false">Assumptions!H42</f>
        <v>24.3</v>
      </c>
      <c r="I7" s="4" t="n">
        <f aca="false">Assumptions!I42</f>
        <v>24.5</v>
      </c>
      <c r="J7" s="4" t="n">
        <f aca="false">Assumptions!J42</f>
        <v>24.5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5158.194048</v>
      </c>
      <c r="D8" s="0" t="n">
        <f aca="false">D6*D7/100</f>
        <v>6070.90782816</v>
      </c>
      <c r="E8" s="0" t="n">
        <f aca="false">E6*E7/100</f>
        <v>7012.851374592</v>
      </c>
      <c r="F8" s="0" t="n">
        <f aca="false">F6*F7/100</f>
        <v>7915.37485584385</v>
      </c>
      <c r="G8" s="0" t="n">
        <f aca="false">G6*G7/100</f>
        <v>8733.74412060058</v>
      </c>
      <c r="H8" s="0" t="n">
        <f aca="false">H6*H7/100</f>
        <v>9461.92003665565</v>
      </c>
      <c r="I8" s="0" t="n">
        <f aca="false">I6*I7/100</f>
        <v>10112.1836770349</v>
      </c>
      <c r="J8" s="0" t="n">
        <f aca="false">J6*J7/100</f>
        <v>10617.7928608866</v>
      </c>
      <c r="K8" s="0" t="n">
        <f aca="false">K6*K7/100</f>
        <v>11095.5935396265</v>
      </c>
      <c r="L8" s="0" t="n">
        <f aca="false">L6*L7/100</f>
        <v>11539.4172812116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0.42</v>
      </c>
      <c r="D9" s="4" t="n">
        <f aca="false">Assumptions!D43</f>
        <v>0.42</v>
      </c>
      <c r="E9" s="4" t="n">
        <f aca="false">Assumptions!E43</f>
        <v>0.42</v>
      </c>
      <c r="F9" s="4" t="n">
        <f aca="false">Assumptions!F43</f>
        <v>0.41</v>
      </c>
      <c r="G9" s="4" t="n">
        <f aca="false">Assumptions!G43</f>
        <v>0.41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-100.2982176</v>
      </c>
      <c r="D10" s="0" t="n">
        <f aca="false">-D6*D9/100</f>
        <v>-114.339968064</v>
      </c>
      <c r="E10" s="0" t="n">
        <f aca="false">-E6*E9/100</f>
        <v>-128.06076423168</v>
      </c>
      <c r="F10" s="0" t="n">
        <f aca="false">-F6*F9/100</f>
        <v>-137.512868258304</v>
      </c>
      <c r="G10" s="0" t="n">
        <f aca="false">-G6*G9/100</f>
        <v>-149.20146206026</v>
      </c>
      <c r="H10" s="0" t="n">
        <f aca="false">-H6*H9/100</f>
        <v>-155.75177015071</v>
      </c>
      <c r="I10" s="0" t="n">
        <f aca="false">-I6*I9/100</f>
        <v>-165.096876359753</v>
      </c>
      <c r="J10" s="0" t="n">
        <f aca="false">-J6*J9/100</f>
        <v>-173.351720177741</v>
      </c>
      <c r="K10" s="0" t="n">
        <f aca="false">-K6*K9/100</f>
        <v>-181.152547585739</v>
      </c>
      <c r="L10" s="0" t="n">
        <f aca="false">-L6*L9/100</f>
        <v>-188.398649489169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5057.8958304</v>
      </c>
      <c r="D11" s="0" t="n">
        <f aca="false">D8+D10+D24</f>
        <v>5956.567860096</v>
      </c>
      <c r="E11" s="0" t="n">
        <f aca="false">E8+E10+E24</f>
        <v>6884.79061036032</v>
      </c>
      <c r="F11" s="0" t="n">
        <f aca="false">F8+F10+F24</f>
        <v>7777.86198758554</v>
      </c>
      <c r="G11" s="0" t="n">
        <f aca="false">G8+G10+G24</f>
        <v>8584.54265854032</v>
      </c>
      <c r="H11" s="0" t="n">
        <f aca="false">H8+H10+H24</f>
        <v>9306.16826650495</v>
      </c>
      <c r="I11" s="0" t="n">
        <f aca="false">I8+I10+I24</f>
        <v>9947.08680067512</v>
      </c>
      <c r="J11" s="0" t="n">
        <f aca="false">J8+J10+J24</f>
        <v>10444.4411407089</v>
      </c>
      <c r="K11" s="0" t="n">
        <f aca="false">K8+K10+K24</f>
        <v>10914.4409920408</v>
      </c>
      <c r="L11" s="0" t="n">
        <f aca="false">L8+L10+L24</f>
        <v>11351.0186317224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-429.849504</v>
      </c>
      <c r="D12" s="4" t="n">
        <f aca="false">-D6*Assumptions!D45/100</f>
        <v>-490.02843456</v>
      </c>
      <c r="E12" s="4" t="n">
        <f aca="false">-E6*Assumptions!E45/100</f>
        <v>-548.8318467072</v>
      </c>
      <c r="F12" s="4" t="n">
        <f aca="false">-F6*Assumptions!F45/100</f>
        <v>-603.71503137792</v>
      </c>
      <c r="G12" s="4" t="n">
        <f aca="false">-G6*Assumptions!G45/100</f>
        <v>-655.030809045044</v>
      </c>
      <c r="H12" s="4" t="n">
        <f aca="false">-H6*Assumptions!H45/100</f>
        <v>-700.882965678197</v>
      </c>
      <c r="I12" s="4" t="n">
        <f aca="false">-I6*Assumptions!I45/100</f>
        <v>-742.935943618888</v>
      </c>
      <c r="J12" s="4" t="n">
        <f aca="false">-J6*Assumptions!J45/100</f>
        <v>-780.082740799833</v>
      </c>
      <c r="K12" s="4" t="n">
        <f aca="false">-K6*Assumptions!K45/100</f>
        <v>-815.186464135825</v>
      </c>
      <c r="L12" s="4" t="n">
        <f aca="false">-L6*Assumptions!L45/100</f>
        <v>-847.793922701259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4628.0463264</v>
      </c>
      <c r="D13" s="0" t="n">
        <f aca="false">D11+D12</f>
        <v>5466.539425536</v>
      </c>
      <c r="E13" s="0" t="n">
        <f aca="false">E11+E12</f>
        <v>6335.95876365312</v>
      </c>
      <c r="F13" s="0" t="n">
        <f aca="false">F11+F12</f>
        <v>7174.14695620762</v>
      </c>
      <c r="G13" s="0" t="n">
        <f aca="false">G11+G12</f>
        <v>7929.51184949528</v>
      </c>
      <c r="H13" s="0" t="n">
        <f aca="false">H11+H12</f>
        <v>8605.28530082675</v>
      </c>
      <c r="I13" s="0" t="n">
        <f aca="false">I11+I12</f>
        <v>9204.15085705623</v>
      </c>
      <c r="J13" s="0" t="n">
        <f aca="false">J11+J12</f>
        <v>9664.35839990904</v>
      </c>
      <c r="K13" s="0" t="n">
        <f aca="false">K11+K12</f>
        <v>10099.2545279049</v>
      </c>
      <c r="L13" s="0" t="n">
        <f aca="false">L11+L12</f>
        <v>10503.2247090211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19.5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19.5</v>
      </c>
      <c r="I14" s="4" t="n">
        <f aca="false">Assumptions!I47</f>
        <v>19.5</v>
      </c>
      <c r="J14" s="4" t="n">
        <f aca="false">Assumptions!J47</f>
        <v>19.5</v>
      </c>
      <c r="K14" s="4" t="n">
        <f aca="false">Assumptions!K47</f>
        <v>19.5</v>
      </c>
      <c r="L14" s="4" t="n">
        <f aca="false">Assumptions!L47</f>
        <v>19.5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3725.577292752</v>
      </c>
      <c r="D15" s="0" t="n">
        <f aca="false">D13-MAX(0,D13)*D14/100</f>
        <v>4400.56423755648</v>
      </c>
      <c r="E15" s="0" t="n">
        <f aca="false">E13-MAX(0,E13)*E14/100</f>
        <v>5100.44680474076</v>
      </c>
      <c r="F15" s="0" t="n">
        <f aca="false">F13-MAX(0,F13)*F14/100</f>
        <v>5775.18829974714</v>
      </c>
      <c r="G15" s="0" t="n">
        <f aca="false">G13-MAX(0,G13)*G14/100</f>
        <v>6383.2570388437</v>
      </c>
      <c r="H15" s="0" t="n">
        <f aca="false">H13-MAX(0,H13)*H14/100</f>
        <v>6927.25466716553</v>
      </c>
      <c r="I15" s="0" t="n">
        <f aca="false">I13-MAX(0,I13)*I14/100</f>
        <v>7409.34143993027</v>
      </c>
      <c r="J15" s="0" t="n">
        <f aca="false">J13-MAX(0,J13)*J14/100</f>
        <v>7779.80851192678</v>
      </c>
      <c r="K15" s="0" t="n">
        <f aca="false">K13-MAX(0,K13)*K14/100</f>
        <v>8129.89989496348</v>
      </c>
      <c r="L15" s="0" t="n">
        <f aca="false">L13-MAX(0,L13)*L14/100</f>
        <v>8455.09589076202</v>
      </c>
    </row>
    <row r="16" customFormat="false" ht="15" hidden="false" customHeight="false" outlineLevel="0" collapsed="false">
      <c r="A16" s="0" t="s">
        <v>128</v>
      </c>
      <c r="C16" s="0" t="n">
        <f aca="false">-C12</f>
        <v>429.849504</v>
      </c>
      <c r="D16" s="0" t="n">
        <f aca="false">-D12</f>
        <v>490.02843456</v>
      </c>
      <c r="E16" s="0" t="n">
        <f aca="false">-E12</f>
        <v>548.8318467072</v>
      </c>
      <c r="F16" s="0" t="n">
        <f aca="false">-F12</f>
        <v>603.71503137792</v>
      </c>
      <c r="G16" s="0" t="n">
        <f aca="false">-G12</f>
        <v>655.030809045044</v>
      </c>
      <c r="H16" s="0" t="n">
        <f aca="false">-H12</f>
        <v>700.882965678197</v>
      </c>
      <c r="I16" s="0" t="n">
        <f aca="false">-I12</f>
        <v>742.935943618888</v>
      </c>
      <c r="J16" s="0" t="n">
        <f aca="false">-J12</f>
        <v>780.082740799833</v>
      </c>
      <c r="K16" s="0" t="n">
        <f aca="false">-K12</f>
        <v>815.186464135825</v>
      </c>
      <c r="L16" s="0" t="n">
        <f aca="false">-L12</f>
        <v>847.793922701259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-429.849504</v>
      </c>
      <c r="D17" s="4" t="n">
        <f aca="false">-D6*Assumptions!D46/100</f>
        <v>-571.69984032</v>
      </c>
      <c r="E17" s="4" t="n">
        <f aca="false">-E6*Assumptions!E46/100</f>
        <v>-670.7944793088</v>
      </c>
      <c r="F17" s="4" t="n">
        <f aca="false">-F6*Assumptions!F46/100</f>
        <v>-737.873927239681</v>
      </c>
      <c r="G17" s="4" t="n">
        <f aca="false">-G6*Assumptions!G46/100</f>
        <v>-764.202610552551</v>
      </c>
      <c r="H17" s="4" t="n">
        <f aca="false">-H6*Assumptions!H46/100</f>
        <v>-778.758850753552</v>
      </c>
      <c r="I17" s="4" t="n">
        <f aca="false">-I6*Assumptions!I46/100</f>
        <v>-825.484381798765</v>
      </c>
      <c r="J17" s="4" t="n">
        <f aca="false">-J6*Assumptions!J46/100</f>
        <v>-866.758600888703</v>
      </c>
      <c r="K17" s="4" t="n">
        <f aca="false">-K6*Assumptions!K46/100</f>
        <v>-905.762737928695</v>
      </c>
      <c r="L17" s="4" t="n">
        <f aca="false">-L6*Assumptions!L46/100</f>
        <v>-941.993247445843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-153.51768</v>
      </c>
      <c r="D18" s="4" t="n">
        <f aca="false">(D6-C6)*Assumptions!$B$51/100</f>
        <v>-200.5964352</v>
      </c>
      <c r="E18" s="4" t="n">
        <f aca="false">(E6-D6)*Assumptions!$B$51/100</f>
        <v>-196.011373824</v>
      </c>
      <c r="F18" s="4" t="n">
        <f aca="false">(F6-E6)*Assumptions!$B$51/100</f>
        <v>-182.9439489024</v>
      </c>
      <c r="G18" s="4" t="n">
        <f aca="false">(G6-F6)*Assumptions!$B$51/100</f>
        <v>-171.052592223744</v>
      </c>
      <c r="H18" s="4" t="n">
        <f aca="false">(H6-G6)*Assumptions!$B$51/100</f>
        <v>-152.84052211051</v>
      </c>
      <c r="I18" s="4" t="n">
        <f aca="false">(I6-H6)*Assumptions!$B$51/100</f>
        <v>-140.176593135639</v>
      </c>
      <c r="J18" s="4" t="n">
        <f aca="false">(J6-I6)*Assumptions!$B$51/100</f>
        <v>-123.822657269815</v>
      </c>
      <c r="K18" s="4" t="n">
        <f aca="false">(K6-J6)*Assumptions!$B$51/100</f>
        <v>-117.012411119975</v>
      </c>
      <c r="L18" s="4" t="n">
        <f aca="false">(L6-K6)*Assumptions!$B$51/100</f>
        <v>-108.691528551444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3572.059612752</v>
      </c>
      <c r="D19" s="0" t="n">
        <f aca="false">D15+D16+D17+D18</f>
        <v>4118.29639659648</v>
      </c>
      <c r="E19" s="0" t="n">
        <f aca="false">E15+E16+E17+E18</f>
        <v>4782.47279831516</v>
      </c>
      <c r="F19" s="0" t="n">
        <f aca="false">F15+F16+F17+F18</f>
        <v>5458.08545498297</v>
      </c>
      <c r="G19" s="0" t="n">
        <f aca="false">G15+G16+G17+G18</f>
        <v>6103.03264511245</v>
      </c>
      <c r="H19" s="0" t="n">
        <f aca="false">H15+H16+H17+H18</f>
        <v>6696.53825997967</v>
      </c>
      <c r="I19" s="0" t="n">
        <f aca="false">I15+I16+I17+I18</f>
        <v>7186.61640861475</v>
      </c>
      <c r="J19" s="0" t="n">
        <f aca="false">J15+J16+J17+J18</f>
        <v>7569.30999456809</v>
      </c>
      <c r="K19" s="0" t="n">
        <f aca="false">K15+K16+K17+K18</f>
        <v>7922.31121005064</v>
      </c>
      <c r="L19" s="0" t="n">
        <f aca="false">L15+L16+L17+L18</f>
        <v>8252.20503746599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3277.11891078165</v>
      </c>
      <c r="D21" s="0" t="n">
        <f aca="false">D19*D20</f>
        <v>3466.28768335702</v>
      </c>
      <c r="E21" s="0" t="n">
        <f aca="false">E19*E20</f>
        <v>3692.94648870038</v>
      </c>
      <c r="F21" s="0" t="n">
        <f aca="false">F19*F20</f>
        <v>3866.64534045819</v>
      </c>
      <c r="G21" s="0" t="n">
        <f aca="false">G19*G20</f>
        <v>3966.55246766199</v>
      </c>
      <c r="H21" s="0" t="n">
        <f aca="false">H19*H20</f>
        <v>3992.92696762247</v>
      </c>
      <c r="I21" s="0" t="n">
        <f aca="false">I19*I20</f>
        <v>3931.32528006516</v>
      </c>
      <c r="J21" s="0" t="n">
        <f aca="false">J19*J20</f>
        <v>3798.78144666379</v>
      </c>
      <c r="K21" s="0" t="n">
        <f aca="false">K19*K20</f>
        <v>3647.65215908071</v>
      </c>
      <c r="L21" s="0" t="n">
        <f aca="false">L19*L20</f>
        <v>3485.82058854468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37126.0573329361</v>
      </c>
    </row>
    <row r="31" customFormat="false" ht="15" hidden="false" customHeight="false" outlineLevel="0" collapsed="false">
      <c r="A31" s="0" t="s">
        <v>137</v>
      </c>
      <c r="B31" s="0" t="n">
        <f aca="false">L19</f>
        <v>8252.20503746599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155291.494795951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165044.10074932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155291.494795951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65596.8056207953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102722.862953731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98574.3629537314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443.030844735871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-0.0346650003576255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914.70108972083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1497.58149896336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453.872564235576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74269.8453371939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189.180307704063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185.24827557863</v>
      </c>
      <c r="C4" s="0" t="n">
        <f aca="false">B4/Assumptions!$B$2-1</f>
        <v>-0.596356221774895</v>
      </c>
      <c r="D4" s="4" t="n">
        <f aca="false">Assumptions!$B$24</f>
        <v>0.2</v>
      </c>
      <c r="E4" s="4" t="n">
        <f aca="false">DCF_Bear!$B$43</f>
        <v>191.852234962994</v>
      </c>
      <c r="F4" s="4" t="n">
        <f aca="false">DCF_Bear!$B$47</f>
        <v>94.6311641389071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334.247882626831</v>
      </c>
      <c r="C5" s="0" t="n">
        <f aca="false">B5/Assumptions!$B$2-1</f>
        <v>-0.271695902238135</v>
      </c>
      <c r="D5" s="4" t="n">
        <f aca="false">Assumptions!$B$38</f>
        <v>0.5</v>
      </c>
      <c r="E5" s="4" t="n">
        <f aca="false">DCF_Base!$B$43</f>
        <v>343.136476037627</v>
      </c>
      <c r="F5" s="4" t="n">
        <f aca="false">DCF_Base!$B$47</f>
        <v>150.492575581764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443.030844735871</v>
      </c>
      <c r="C6" s="0" t="n">
        <f aca="false">B6/Assumptions!$B$2-1</f>
        <v>-0.0346650003576255</v>
      </c>
      <c r="D6" s="4" t="n">
        <f aca="false">Assumptions!$B$52</f>
        <v>0.3</v>
      </c>
      <c r="E6" s="4" t="n">
        <f aca="false">DCF_Bull!$B$43</f>
        <v>453.872564235576</v>
      </c>
      <c r="F6" s="4" t="n">
        <f aca="false">DCF_Bull!$B$47</f>
        <v>189.180307704063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337.082849849903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346.100454282085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-0.361505043060952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1351.32507825703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150.926612929882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334.247882626831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281.475504486294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241.999495067968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211.381745387433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150.492575581764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404.616103087479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404.616103087479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404.616103087479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404.616103087479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404.616103087479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359.625803452128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373.148121656777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373.148121656777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373.148121656777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373.148121656777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302.244127819226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317.015091576582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334.247882626831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344.524317656795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344.524317656795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259.36663617397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269.684108053054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281.475504486294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295.080961909262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310.953995569392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226.148760231475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233.607929566295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241.999495067968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251.509935969863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262.379011286315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2026-10-02T09:51:00Z</dcterms:created>
  <dc:creator>openpyxl</dc:creator>
  <dc:description/>
  <dc:language>en-NZ</dc:language>
  <cp:lastModifiedBy/>
  <dcterms:modified xsi:type="dcterms:W3CDTF">2026-10-02T09:51:00Z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