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ensitivity" sheetId="2" r:id="rId2"/>
    <sheet name="FCF Quality" sheetId="3" r:id="rId3"/>
    <sheet name="Historical" sheetId="4" r:id="rId4"/>
    <sheet name="Model_Info" sheetId="5" r:id="rId5"/>
  </sheets>
  <calcPr calcId="124519" fullCalcOnLoad="1"/>
</workbook>
</file>

<file path=xl/sharedStrings.xml><?xml version="1.0" encoding="utf-8"?>
<sst xmlns="http://schemas.openxmlformats.org/spreadsheetml/2006/main" count="155" uniqueCount="143">
  <si>
    <t>FRW.NZ (Freightways Group) DCF Valuation Model</t>
  </si>
  <si>
    <t>Gray cells are INPUTS - adjust to see valuation change</t>
  </si>
  <si>
    <t>LEASE CONVENTION (Option A): lease principal is deducted from FCF (row 13) AND the IFRS16 lease liability is EXCLUDED from Net Debt (row 10 = bank debt only, row 15 shows the excluded liability for reference). Each lease dollar is charged EXACTLY ONCE - do not add the lease liability back into Net Debt or the same obligation is double-counted.</t>
  </si>
  <si>
    <t>KEY INPUTS</t>
  </si>
  <si>
    <t>Current Stock Price (NZD)</t>
  </si>
  <si>
    <t>Shares Outstanding (M)</t>
  </si>
  <si>
    <t>Cash &amp; Equivalents (M)</t>
  </si>
  <si>
    <t>Bank Borrowings ONLY, excl. IFRS16 leases (M)</t>
  </si>
  <si>
    <t>Net Debt (M) - bank debt only (Option A)</t>
  </si>
  <si>
    <t>Reported FCF, FY2025 (OCF - Capex) (M)</t>
  </si>
  <si>
    <t>Less: Stock-Based Comp (M)</t>
  </si>
  <si>
    <t>Less: Lease Principal Repayments (M)</t>
  </si>
  <si>
    <t>financing outflow excluded from OCF but real cash cost of the leased fleet - expensed here so the lease liability (row 15) is NOT also subtracted in Net Debt</t>
  </si>
  <si>
    <t>MEMO ONLY: IFRS16 Lease Liability, FY2025 (M)</t>
  </si>
  <si>
    <t>NOT part of Net Debt (row 11) under Option A - reference/reconciliation only. Do NOT add to B11.</t>
  </si>
  <si>
    <t>Base Year Owner FCF (M)</t>
  </si>
  <si>
    <t>Annual Share Growth (residual dilution)</t>
  </si>
  <si>
    <t>WACC</t>
  </si>
  <si>
    <t>Terminal Growth Rate</t>
  </si>
  <si>
    <t>Terminal EV/EBITDA Exit Cap (ex-lease-liability EV basis)</t>
  </si>
  <si>
    <t>COMPONENT ASSUMPTIONS (BASE CASE)</t>
  </si>
  <si>
    <t>Year 1</t>
  </si>
  <si>
    <t>Year 2</t>
  </si>
  <si>
    <t>Year 3</t>
  </si>
  <si>
    <t>Year 4</t>
  </si>
  <si>
    <t>Year 5</t>
  </si>
  <si>
    <t>Revenue Growth Rate</t>
  </si>
  <si>
    <t>EBITDA Margin</t>
  </si>
  <si>
    <t>SBC % of Revenue</t>
  </si>
  <si>
    <t>D&amp;A % of Revenue (flat)</t>
  </si>
  <si>
    <t>Capex % of Revenue (flat)</t>
  </si>
  <si>
    <t>Lease Principal % of Revenue</t>
  </si>
  <si>
    <t>Cash Tax Rate</t>
  </si>
  <si>
    <t>Working Capital Capture % (of rev change)</t>
  </si>
  <si>
    <t>PROJECTIONS (component build)</t>
  </si>
  <si>
    <t>FY2025A</t>
  </si>
  <si>
    <t>Revenue</t>
  </si>
  <si>
    <t>EBITDA (post-IFRS16)</t>
  </si>
  <si>
    <t>Less: SBC</t>
  </si>
  <si>
    <t>Less: D&amp;A (incl. lease D&amp;A, non-cash)</t>
  </si>
  <si>
    <t>EBIT</t>
  </si>
  <si>
    <t>NOPAT (EBIT x (1-tax))</t>
  </si>
  <si>
    <t>Add back: D&amp;A</t>
  </si>
  <si>
    <t>Less: Capex</t>
  </si>
  <si>
    <t>Less: Lease Principal Repayment</t>
  </si>
  <si>
    <t>Less: Working Capital Investment</t>
  </si>
  <si>
    <t>Owner FCF</t>
  </si>
  <si>
    <t>Owner FCF Margin</t>
  </si>
  <si>
    <t>Discount Factor</t>
  </si>
  <si>
    <t>PV of Owner FCF</t>
  </si>
  <si>
    <t>VALUATION</t>
  </si>
  <si>
    <t>Sum of PV of Owner FCF</t>
  </si>
  <si>
    <t>Terminal FCF (Year 5 x (1+g))</t>
  </si>
  <si>
    <t>Terminal Value - Gordon Growth</t>
  </si>
  <si>
    <t>Terminal Value - EV/EBITDA Exit Cap (ex-lease-liability EV)</t>
  </si>
  <si>
    <t>Terminal Value (lower of the two)</t>
  </si>
  <si>
    <t>PV of Terminal Value</t>
  </si>
  <si>
    <t>Enterprise Value</t>
  </si>
  <si>
    <t>Less: Net Debt (bank debt only, Option A)</t>
  </si>
  <si>
    <t>Equity Value</t>
  </si>
  <si>
    <t>INTRINSIC VALUE/SHARE</t>
  </si>
  <si>
    <t>ENTRY PRICE (15% IRR Target)</t>
  </si>
  <si>
    <t>PV of Yrs 1-5 Owner FCF @15%</t>
  </si>
  <si>
    <t>PV of Terminal Value @15%</t>
  </si>
  <si>
    <t>Less: Net Debt</t>
  </si>
  <si>
    <t>Entry Price (15% CAGR)</t>
  </si>
  <si>
    <t>Upside to Intrinsic Value</t>
  </si>
  <si>
    <t>Upside to Entry Price</t>
  </si>
  <si>
    <t>Implied Exit EV/EBITDA (ex-lease-liability EV)</t>
  </si>
  <si>
    <t>Implied Exit EV/EBITDA (lease-inclusive-equivalent)</t>
  </si>
  <si>
    <t>adds back a projected Y5 lease liability (scaled off FY2025 lease-liability/revenue) for like-for-like comparison against the historical table, which is computed on lease-inclusive EV</t>
  </si>
  <si>
    <t>Current Actual EV/EBITDA (FY2025, ex-lease-liability)</t>
  </si>
  <si>
    <t>Current Actual EV/EBITDA (FY2025, lease-inclusive)</t>
  </si>
  <si>
    <t>Sensitivity Analysis</t>
  </si>
  <si>
    <t>Intrinsic Value by WACC &amp; Terminal Growth (Gordon vs 11.1x EV/EBITDA cap, lower of the two; Net Debt = bank debt only per Option A)</t>
  </si>
  <si>
    <t>WACC \ Term G</t>
  </si>
  <si>
    <t>FCF Quality - Reported vs Owner FCF Reconciliation</t>
  </si>
  <si>
    <t>CRITICAL: Freightways is IFRS16 lease-heavy. Lease principal repayments sit in FINANCING</t>
  </si>
  <si>
    <t>activities and are excluded from OCF, but are the real cash cost that offsets the leased</t>
  </si>
  <si>
    <t>fleet/depot D&amp;A already added back inside post-IFRS16 EBITDA. Having deducted this cost from</t>
  </si>
  <si>
    <t>FCF, the lease LIABILITY must be excluded from Net Debt (see DCF Model sheet, Option A) to</t>
  </si>
  <si>
    <t>avoid charging the same lease obligation twice.</t>
  </si>
  <si>
    <t>FY2022</t>
  </si>
  <si>
    <t>FY2023</t>
  </si>
  <si>
    <t>FY2024</t>
  </si>
  <si>
    <t>FY2025</t>
  </si>
  <si>
    <t>Operating Cash Flow</t>
  </si>
  <si>
    <t>Reported FCF (company definition)</t>
  </si>
  <si>
    <t>Less: Lease Principal Repayments (financing outflow)</t>
  </si>
  <si>
    <t>Reported FCF Margin</t>
  </si>
  <si>
    <t>Memo: Lease Principal as % of Reported FCF</t>
  </si>
  <si>
    <t>Memo: Bank Borrowings Only (Net Debt basis, Option A)</t>
  </si>
  <si>
    <t>Memo: IFRS16 Lease Liability (EXCLUDED from Net Debt)</t>
  </si>
  <si>
    <t>Memo: Cash Tax Rate (FY2025 = 28.5%, in line with NZ statutory 28% - no ramp needed)</t>
  </si>
  <si>
    <t>Historical Growth Rates</t>
  </si>
  <si>
    <t>Metric</t>
  </si>
  <si>
    <t>3-Year CAGR</t>
  </si>
  <si>
    <t>5-Year CAGR</t>
  </si>
  <si>
    <t>Revenue (acquisitive - see warning)</t>
  </si>
  <si>
    <t>EPS</t>
  </si>
  <si>
    <t>Equity</t>
  </si>
  <si>
    <t>FCF (reported)</t>
  </si>
  <si>
    <t>FCF (owner, SBC-only adj.)</t>
  </si>
  <si>
    <t>Selected Growth Approach:</t>
  </si>
  <si>
    <t>revenue-driven component build (NOT equity or blended CAGR)</t>
  </si>
  <si>
    <t>Warning:</t>
  </si>
  <si>
    <t>Revenue 3yr/5yr CAGR (13.9%/15.4%) is INFLATED by the August-2022 Allied Express acquisition (FY2022-&gt;FY2023 revenue +28.5%) and is NOT organic. EPS 3yr CAGR (1.9%) is depressed by FY2024's cyclical NZ-macro trough. Equity CAGR is distorted by ~13m shares of Allied Express acquisition scrip issued in FY2023. None of the standard CAGR anchors (revenue, EPS, equity) is reliable in isolation for this ticker - the DCF instead uses a revenue-driven component build with an explicit organic-growth-plus-bolt-on-M&amp;A assumption (base case Y1 8.0% decelerating to 4.5% by Y5), calibrated against underlying organic revenue growth (FY2019 +6.0%, FY2020 +2.5%, FY2022 +9.1%, FY2024 +7.8%, FY2025 +6.6% - i.e. non-acquisition years only) rather than the acquisition-inflated blended CAGR.</t>
  </si>
  <si>
    <t>Historical Multiples (SBC-adjusted, ex-FY2021 outlier, LEASE-INCLUSIVE EV basis)</t>
  </si>
  <si>
    <t>Ex-Outlier Avg/Max</t>
  </si>
  <si>
    <t>P/E average</t>
  </si>
  <si>
    <t>P/B max</t>
  </si>
  <si>
    <t>EV/EBITDA max (lease-inclusive)</t>
  </si>
  <si>
    <t>EV/EBITDA min (lease-inclusive)</t>
  </si>
  <si>
    <t>EV/EBITDA range, ex-lease-restated</t>
  </si>
  <si>
    <t>~7.0x - 9.0x (FY2022-25, bank-debt-only EV)</t>
  </si>
  <si>
    <t>Model Provenance</t>
  </si>
  <si>
    <t>Ticker</t>
  </si>
  <si>
    <t>FRW.NZ - Freightways Group Limited</t>
  </si>
  <si>
    <t>Built by</t>
  </si>
  <si>
    <t>Claude agent (DCF valuation skill), per instructions in .claude/CLAUDE.md. Corrected on coordinator review to fix an IFRS16 lease double-count (see below).</t>
  </si>
  <si>
    <t>Valuation date</t>
  </si>
  <si>
    <t>2026-08-10</t>
  </si>
  <si>
    <t>Share price date/source</t>
  </si>
  <si>
    <t>NZ$13.97, Yahoo Finance live quote, 10-Aug-2026</t>
  </si>
  <si>
    <t>Data vintage</t>
  </si>
  <si>
    <t>FY2025 (year to 30-Jun-2025) is the latest COMPLETE fiscal year. H1-2026 (six months to 31-Dec-2025) is the latest reported period. FY2026 full-year results are due 17-Aug-2026 and are NOT reflected in this model.</t>
  </si>
  <si>
    <t>LEASE ACCOUNTING CONVENTION (Option A - IMPORTANT)</t>
  </si>
  <si>
    <t>Lease principal repayments AND lease interest are fully expensed through the projected owner FCF (lease principal deducted explicitly each year; lease interest sits inside EBIT via the post-IFRS16 income statement). Because the full economic cost of the leased fleet is charged through the cash flows, the IFRS16 lease LIABILITY ($373.689m FY2025) is EXCLUDED from Net Debt in the equity-value bridge. Net Debt = bank borrowings only ($258.48m) less cash ($43.261m) = $215.22m. A PRIOR VERSION of this model incorrectly included the full $632.17m lease-inclusive debt in Net Debt on top of deducting lease principal from FCF - that double-counted the same lease obligation (once as the discounted PV of future payments via the liability, once again as the future payments themselves via the FCF deduction) and understated base-case intrinsic value by $2.06/share (~36%). CORRECTED here: each lease dollar is now charged exactly once.</t>
  </si>
  <si>
    <t>Working capital calibration</t>
  </si>
  <si>
    <t>wc_capture_pct (35% base case) was calibrated to the historical FY2022-25 gap between a bottom-up NOPAT+D&amp;A-capex-lease-SBC build and the actual reported-OCF-based owner FCF, which averaged ~38-41% of YoY revenue change in non-acquisition years. This is NOT a generic SaaS-style deferred-revenue assumption; Freightways negative working capital is small (~$45.6m FY2025) relative to a subscription business.</t>
  </si>
  <si>
    <t>Revenue growth approach</t>
  </si>
  <si>
    <t>Revenue-driven component build, NOT equity/EPS/revenue CAGR extrapolation. Blended revenue CAGRs (13.9%/15.4% 3yr/5yr) are inflated by the August-2022 Allied Express acquisition step (FY2022-&gt;FY2023 revenue +28.5%). Base case uses organic-growth-plus-bolt-on-M&amp;A assumption (8.0% Y1 decelerating to 4.5% Y5), calibrated against non-acquisition-year organic growth (2.5%-9.1% historically).</t>
  </si>
  <si>
    <t>10.0% base (9.0% bull / 11.5% bear), built from CAPM (rf 4.5%, ERP 6.0%, beta 0.95) plus a modest premium for contractor-classification regulatory risk (NZ Employment Relations Amendment Act 2026). Capital weights now use bank-debt-only leverage (~7% debt / 93% equity) consistent with the Option A convention - leases are treated as an operating cost inside FCF, not as financial leverage. See wacc_rationale in the JSON for the full component breakdown.</t>
  </si>
  <si>
    <t>Terminal value</t>
  </si>
  <si>
    <t>Lower of Gordon Growth (FCF-based) vs. an EV/EBITDA exit-multiple cap (11.1x base, applied to an ex-lease-liability EV, from the 8-year ex-FY2021-outlier average). Gordon binds in all three scenarios. IMPORTANT: the historical 8.7-12.8x multiple range quoted in the research brief is computed on a LEASE-INCLUSIVE EV basis - see the Sensitivity/Historical sheets and the JSON valuation.base.implied_exit_multiple_ev_ebitda_lease_inclusive_equivalent field for a like-for-like comparison.</t>
  </si>
  <si>
    <t>Result summary (post-fix)</t>
  </si>
  <si>
    <t>Base case intrinsic value NZ$7.85/share (-43.8% vs $13.97 current price); bull $12.45 (-10.9%), bear $4.73 (-66.1%), probability-weighted $8.22 (-41.2%). Entry price for 15% IRR: $6.24. Even after the lease-double-count fix, the DCF implied exit EV/EBITDA (5.54x ex-lease, ~6.2x lease-inclusive-equivalent) remains below the 10-year historical floor (~7.0-8.7x) - investigated and confirmed as a genuine structural finding (thin owner-FCF base relative to EBITDA, Gordon growth mechanically produces a lower multiple than the market has paid), not a residual modelling artifact. See sanity_check.diagnosis in the JSON for the full investigation, including a WACC stress test showing ~7.2% WACC (below the specified 9.5-11% range) would be needed to close the gap.</t>
  </si>
  <si>
    <t>What to refresh after FY2026 results (17-Aug-2026)</t>
  </si>
  <si>
    <t>Update FY2025-&gt;FY2026 actuals: revenue, EBITDA, EBIT, D&amp;A, lease principal repayment, bank borrowings, lease liability, capex, SBC, shares outstanding, cash tax rate. Re-run the organic-vs-acquisitive growth decomposition (VT Freight Express will be in FY2026 for a full year for the first time). Re-check the EBITDA margin band (18.6%-21.4%) still holds. Re-verify the current price and 52-week/10-year percentile.</t>
  </si>
  <si>
    <t>Cell colour conventions</t>
  </si>
  <si>
    <t>Gray cells (DCF Model sheet) are INPUTS - safe to edit. Yellow/tan cells are MEMO items excluded from the active calculation (e.g. the lease liability) - shown for reference only. White cells are FORMULAS - do not hardcode over them. Green cells are headline OUTPUTS (Intrinsic Value, Entry Price).</t>
  </si>
  <si>
    <t>Staleness warning</t>
  </si>
  <si>
    <t>All figures in this model will go stale after the FY2026 results release (17-Aug-2026) and after any future market price move. Do not treat this file as current without re-checking the valuation_date field and re-running the live price fetch.</t>
  </si>
</sst>
</file>

<file path=xl/styles.xml><?xml version="1.0" encoding="utf-8"?>
<styleSheet xmlns="http://schemas.openxmlformats.org/spreadsheetml/2006/main">
  <numFmts count="5">
    <numFmt numFmtId="164" formatCode="#,##0.00"/>
    <numFmt numFmtId="165" formatCode="#,##0.0"/>
    <numFmt numFmtId="166" formatCode="0.00%"/>
    <numFmt numFmtId="167" formatCode="0.0%"/>
    <numFmt numFmtId="168" formatCode="&quot;$&quot;#,##0.00"/>
  </numFmts>
  <fonts count="9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rgb="FF80808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FFEAA7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1" xfId="0" applyFont="1" applyBorder="1"/>
    <xf numFmtId="164" fontId="0" fillId="2" borderId="2" xfId="0" applyNumberFormat="1" applyFill="1" applyBorder="1"/>
    <xf numFmtId="0" fontId="5" fillId="0" borderId="0" xfId="0" applyFont="1"/>
    <xf numFmtId="165" fontId="0" fillId="0" borderId="2" xfId="0" applyNumberFormat="1" applyBorder="1"/>
    <xf numFmtId="0" fontId="6" fillId="0" borderId="0" xfId="0" applyFont="1"/>
    <xf numFmtId="164" fontId="0" fillId="3" borderId="2" xfId="0" applyNumberFormat="1" applyFill="1" applyBorder="1"/>
    <xf numFmtId="166" fontId="0" fillId="2" borderId="2" xfId="0" applyNumberFormat="1" applyFill="1" applyBorder="1"/>
    <xf numFmtId="0" fontId="7" fillId="4" borderId="2" xfId="0" applyFont="1" applyFill="1" applyBorder="1"/>
    <xf numFmtId="167" fontId="0" fillId="0" borderId="2" xfId="0" applyNumberFormat="1" applyBorder="1"/>
    <xf numFmtId="168" fontId="7" fillId="5" borderId="2" xfId="0" applyNumberFormat="1" applyFont="1" applyFill="1" applyBorder="1"/>
    <xf numFmtId="166" fontId="7" fillId="4" borderId="0" xfId="0" applyNumberFormat="1" applyFont="1" applyFill="1"/>
    <xf numFmtId="167" fontId="7" fillId="4" borderId="0" xfId="0" applyNumberFormat="1" applyFont="1" applyFill="1"/>
    <xf numFmtId="168" fontId="0" fillId="0" borderId="2" xfId="0" applyNumberFormat="1" applyBorder="1"/>
    <xf numFmtId="0" fontId="8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8"/>
  <sheetViews>
    <sheetView tabSelected="1" workbookViewId="0"/>
  </sheetViews>
  <sheetFormatPr defaultRowHeight="15"/>
  <cols>
    <col min="1" max="1" width="34.7109375" customWidth="1"/>
    <col min="2" max="8" width="14.7109375" customWidth="1"/>
    <col min="9" max="9" width="70.7109375" customWidth="1"/>
  </cols>
  <sheetData>
    <row r="1" spans="1:8">
      <c r="A1" s="1" t="s">
        <v>0</v>
      </c>
    </row>
    <row r="2" spans="1:8">
      <c r="A2" s="2" t="s">
        <v>1</v>
      </c>
    </row>
    <row r="3" spans="1:8">
      <c r="A3" s="3" t="s">
        <v>2</v>
      </c>
      <c r="B3" s="3"/>
      <c r="C3" s="3"/>
      <c r="D3" s="3"/>
      <c r="E3" s="3"/>
      <c r="F3" s="3"/>
      <c r="G3" s="3"/>
      <c r="H3" s="3"/>
    </row>
    <row r="4" spans="1:8" ht="30" customHeight="1">
      <c r="A4" s="3"/>
      <c r="B4" s="3"/>
      <c r="C4" s="3"/>
      <c r="D4" s="3"/>
      <c r="E4" s="3"/>
      <c r="F4" s="3"/>
      <c r="G4" s="3"/>
      <c r="H4" s="3"/>
    </row>
    <row r="6" spans="1:8">
      <c r="A6" s="4" t="s">
        <v>3</v>
      </c>
    </row>
    <row r="7" spans="1:8">
      <c r="A7" t="s">
        <v>4</v>
      </c>
      <c r="B7" s="5">
        <v>13.97</v>
      </c>
    </row>
    <row r="8" spans="1:8">
      <c r="A8" t="s">
        <v>5</v>
      </c>
      <c r="B8" s="5">
        <v>178.789</v>
      </c>
    </row>
    <row r="9" spans="1:8">
      <c r="A9" t="s">
        <v>6</v>
      </c>
      <c r="B9" s="5">
        <v>43.261</v>
      </c>
    </row>
    <row r="10" spans="1:8">
      <c r="A10" t="s">
        <v>7</v>
      </c>
      <c r="B10" s="5">
        <v>258.48</v>
      </c>
    </row>
    <row r="11" spans="1:8">
      <c r="A11" s="6" t="s">
        <v>8</v>
      </c>
      <c r="B11" s="7">
        <f>B10-B9</f>
        <v>0</v>
      </c>
    </row>
    <row r="12" spans="1:8">
      <c r="A12" t="s">
        <v>9</v>
      </c>
      <c r="B12" s="5">
        <v>147.74</v>
      </c>
    </row>
    <row r="13" spans="1:8">
      <c r="A13" t="s">
        <v>10</v>
      </c>
      <c r="B13" s="5">
        <v>1.213</v>
      </c>
    </row>
    <row r="14" spans="1:8">
      <c r="A14" t="s">
        <v>11</v>
      </c>
      <c r="B14" s="5">
        <v>57.698</v>
      </c>
      <c r="C14" s="8" t="s">
        <v>12</v>
      </c>
    </row>
    <row r="15" spans="1:8">
      <c r="A15" t="s">
        <v>13</v>
      </c>
      <c r="B15" s="9">
        <v>373.689</v>
      </c>
      <c r="C15" s="8" t="s">
        <v>14</v>
      </c>
    </row>
    <row r="16" spans="1:8">
      <c r="A16" s="6" t="s">
        <v>15</v>
      </c>
      <c r="B16" s="7">
        <f>B12-B13-B14</f>
        <v>0</v>
      </c>
    </row>
    <row r="18" spans="1:6">
      <c r="A18" t="s">
        <v>16</v>
      </c>
      <c r="B18" s="10">
        <v>0.003</v>
      </c>
    </row>
    <row r="20" spans="1:6">
      <c r="A20" t="s">
        <v>17</v>
      </c>
      <c r="B20" s="10">
        <v>0.1</v>
      </c>
    </row>
    <row r="21" spans="1:6">
      <c r="A21" t="s">
        <v>18</v>
      </c>
      <c r="B21" s="10">
        <v>0.0225</v>
      </c>
    </row>
    <row r="22" spans="1:6">
      <c r="A22" t="s">
        <v>19</v>
      </c>
      <c r="B22" s="5">
        <v>11.1</v>
      </c>
    </row>
    <row r="24" spans="1:6">
      <c r="A24" s="4" t="s">
        <v>20</v>
      </c>
    </row>
    <row r="25" spans="1:6">
      <c r="B25" s="11" t="s">
        <v>21</v>
      </c>
      <c r="C25" s="11" t="s">
        <v>22</v>
      </c>
      <c r="D25" s="11" t="s">
        <v>23</v>
      </c>
      <c r="E25" s="11" t="s">
        <v>24</v>
      </c>
      <c r="F25" s="11" t="s">
        <v>25</v>
      </c>
    </row>
    <row r="26" spans="1:6">
      <c r="A26" t="s">
        <v>26</v>
      </c>
      <c r="B26" s="10">
        <v>0.08</v>
      </c>
      <c r="C26" s="10">
        <v>0.065</v>
      </c>
      <c r="D26" s="10">
        <v>0.055</v>
      </c>
      <c r="E26" s="10">
        <v>0.05</v>
      </c>
      <c r="F26" s="10">
        <v>0.045</v>
      </c>
    </row>
    <row r="27" spans="1:6">
      <c r="A27" t="s">
        <v>27</v>
      </c>
      <c r="B27" s="10">
        <v>0.195</v>
      </c>
      <c r="C27" s="10">
        <v>0.197</v>
      </c>
      <c r="D27" s="10">
        <v>0.199</v>
      </c>
      <c r="E27" s="10">
        <v>0.2</v>
      </c>
      <c r="F27" s="10">
        <v>0.201</v>
      </c>
    </row>
    <row r="28" spans="1:6">
      <c r="A28" t="s">
        <v>28</v>
      </c>
      <c r="B28" s="10">
        <v>0.001</v>
      </c>
      <c r="C28" s="10">
        <v>0.001</v>
      </c>
      <c r="D28" s="10">
        <v>0.001</v>
      </c>
      <c r="E28" s="10">
        <v>0.001</v>
      </c>
      <c r="F28" s="10">
        <v>0.001</v>
      </c>
    </row>
    <row r="29" spans="1:6">
      <c r="A29" t="s">
        <v>29</v>
      </c>
      <c r="B29" s="10">
        <v>0.079</v>
      </c>
    </row>
    <row r="30" spans="1:6">
      <c r="A30" t="s">
        <v>30</v>
      </c>
      <c r="B30" s="10">
        <v>0.022</v>
      </c>
    </row>
    <row r="31" spans="1:6">
      <c r="A31" t="s">
        <v>31</v>
      </c>
      <c r="B31" s="10">
        <v>0.045</v>
      </c>
      <c r="C31" s="10">
        <v>0.045</v>
      </c>
      <c r="D31" s="10">
        <v>0.045</v>
      </c>
      <c r="E31" s="10">
        <v>0.044</v>
      </c>
      <c r="F31" s="10">
        <v>0.044</v>
      </c>
    </row>
    <row r="32" spans="1:6">
      <c r="A32" t="s">
        <v>32</v>
      </c>
      <c r="B32" s="10">
        <v>0.285</v>
      </c>
      <c r="C32" s="10">
        <v>0.285</v>
      </c>
      <c r="D32" s="10">
        <v>0.285</v>
      </c>
      <c r="E32" s="10">
        <v>0.285</v>
      </c>
      <c r="F32" s="10">
        <v>0.285</v>
      </c>
    </row>
    <row r="33" spans="1:7">
      <c r="A33" t="s">
        <v>33</v>
      </c>
      <c r="B33" s="10">
        <v>0.35</v>
      </c>
    </row>
    <row r="35" spans="1:7">
      <c r="A35" s="4" t="s">
        <v>34</v>
      </c>
    </row>
    <row r="36" spans="1:7">
      <c r="A36" s="11"/>
      <c r="B36" s="11" t="s">
        <v>35</v>
      </c>
      <c r="C36" s="11" t="s">
        <v>21</v>
      </c>
      <c r="D36" s="11" t="s">
        <v>22</v>
      </c>
      <c r="E36" s="11" t="s">
        <v>23</v>
      </c>
      <c r="F36" s="11" t="s">
        <v>24</v>
      </c>
      <c r="G36" s="11" t="s">
        <v>25</v>
      </c>
    </row>
    <row r="37" spans="1:7">
      <c r="A37" t="s">
        <v>36</v>
      </c>
      <c r="B37" s="7">
        <f>1289.559</f>
        <v>0</v>
      </c>
      <c r="C37" s="7">
        <f>B37*(1+C26)</f>
        <v>0</v>
      </c>
      <c r="D37" s="7">
        <f>C37*(1+D26)</f>
        <v>0</v>
      </c>
      <c r="E37" s="7">
        <f>D37*(1+E26)</f>
        <v>0</v>
      </c>
      <c r="F37" s="7">
        <f>E37*(1+F26)</f>
        <v>0</v>
      </c>
      <c r="G37" s="7">
        <f>F37*(1+G26)</f>
        <v>0</v>
      </c>
    </row>
    <row r="38" spans="1:7">
      <c r="A38" t="s">
        <v>37</v>
      </c>
      <c r="C38" s="7">
        <f>C37*C27</f>
        <v>0</v>
      </c>
      <c r="D38" s="7">
        <f>D37*D27</f>
        <v>0</v>
      </c>
      <c r="E38" s="7">
        <f>E37*E27</f>
        <v>0</v>
      </c>
      <c r="F38" s="7">
        <f>F37*F27</f>
        <v>0</v>
      </c>
      <c r="G38" s="7">
        <f>G37*G27</f>
        <v>0</v>
      </c>
    </row>
    <row r="39" spans="1:7">
      <c r="A39" t="s">
        <v>38</v>
      </c>
      <c r="C39" s="7">
        <f>C37*C28</f>
        <v>0</v>
      </c>
      <c r="D39" s="7">
        <f>D37*D28</f>
        <v>0</v>
      </c>
      <c r="E39" s="7">
        <f>E37*E28</f>
        <v>0</v>
      </c>
      <c r="F39" s="7">
        <f>F37*F28</f>
        <v>0</v>
      </c>
      <c r="G39" s="7">
        <f>G37*G28</f>
        <v>0</v>
      </c>
    </row>
    <row r="40" spans="1:7">
      <c r="A40" t="s">
        <v>39</v>
      </c>
      <c r="C40" s="7">
        <f>C37*$B$29</f>
        <v>0</v>
      </c>
      <c r="D40" s="7">
        <f>D37*$B$29</f>
        <v>0</v>
      </c>
      <c r="E40" s="7">
        <f>E37*$B$29</f>
        <v>0</v>
      </c>
      <c r="F40" s="7">
        <f>F37*$B$29</f>
        <v>0</v>
      </c>
      <c r="G40" s="7">
        <f>G37*$B$29</f>
        <v>0</v>
      </c>
    </row>
    <row r="41" spans="1:7">
      <c r="A41" t="s">
        <v>40</v>
      </c>
      <c r="C41" s="7">
        <f>C38-C39-C40</f>
        <v>0</v>
      </c>
      <c r="D41" s="7">
        <f>D38-D39-D40</f>
        <v>0</v>
      </c>
      <c r="E41" s="7">
        <f>E38-E39-E40</f>
        <v>0</v>
      </c>
      <c r="F41" s="7">
        <f>F38-F39-F40</f>
        <v>0</v>
      </c>
      <c r="G41" s="7">
        <f>G38-G39-G40</f>
        <v>0</v>
      </c>
    </row>
    <row r="42" spans="1:7">
      <c r="A42" t="s">
        <v>41</v>
      </c>
      <c r="C42" s="7">
        <f>C41*(1-C32)</f>
        <v>0</v>
      </c>
      <c r="D42" s="7">
        <f>D41*(1-D32)</f>
        <v>0</v>
      </c>
      <c r="E42" s="7">
        <f>E41*(1-E32)</f>
        <v>0</v>
      </c>
      <c r="F42" s="7">
        <f>F41*(1-F32)</f>
        <v>0</v>
      </c>
      <c r="G42" s="7">
        <f>G41*(1-G32)</f>
        <v>0</v>
      </c>
    </row>
    <row r="43" spans="1:7">
      <c r="A43" t="s">
        <v>42</v>
      </c>
      <c r="C43" s="7">
        <f>C40</f>
        <v>0</v>
      </c>
      <c r="D43" s="7">
        <f>D40</f>
        <v>0</v>
      </c>
      <c r="E43" s="7">
        <f>E40</f>
        <v>0</v>
      </c>
      <c r="F43" s="7">
        <f>F40</f>
        <v>0</v>
      </c>
      <c r="G43" s="7">
        <f>G40</f>
        <v>0</v>
      </c>
    </row>
    <row r="44" spans="1:7">
      <c r="A44" t="s">
        <v>43</v>
      </c>
      <c r="C44" s="7">
        <f>C37*$B$30</f>
        <v>0</v>
      </c>
      <c r="D44" s="7">
        <f>D37*$B$30</f>
        <v>0</v>
      </c>
      <c r="E44" s="7">
        <f>E37*$B$30</f>
        <v>0</v>
      </c>
      <c r="F44" s="7">
        <f>F37*$B$30</f>
        <v>0</v>
      </c>
      <c r="G44" s="7">
        <f>G37*$B$30</f>
        <v>0</v>
      </c>
    </row>
    <row r="45" spans="1:7">
      <c r="A45" t="s">
        <v>44</v>
      </c>
      <c r="C45" s="7">
        <f>C37*C31</f>
        <v>0</v>
      </c>
      <c r="D45" s="7">
        <f>D37*D31</f>
        <v>0</v>
      </c>
      <c r="E45" s="7">
        <f>E37*E31</f>
        <v>0</v>
      </c>
      <c r="F45" s="7">
        <f>F37*F31</f>
        <v>0</v>
      </c>
      <c r="G45" s="7">
        <f>G37*G31</f>
        <v>0</v>
      </c>
    </row>
    <row r="46" spans="1:7">
      <c r="A46" t="s">
        <v>45</v>
      </c>
      <c r="C46" s="7">
        <f>-$B$33*(C37-B37)</f>
        <v>0</v>
      </c>
      <c r="D46" s="7">
        <f>-$B$33*(D37-C37)</f>
        <v>0</v>
      </c>
      <c r="E46" s="7">
        <f>-$B$33*(E37-D37)</f>
        <v>0</v>
      </c>
      <c r="F46" s="7">
        <f>-$B$33*(F37-E37)</f>
        <v>0</v>
      </c>
      <c r="G46" s="7">
        <f>-$B$33*(G37-F37)</f>
        <v>0</v>
      </c>
    </row>
    <row r="47" spans="1:7">
      <c r="A47" s="6" t="s">
        <v>46</v>
      </c>
      <c r="C47" s="7">
        <f>C42+C43-C44-C45+C46</f>
        <v>0</v>
      </c>
      <c r="D47" s="7">
        <f>D42+D43-D44-D45+D46</f>
        <v>0</v>
      </c>
      <c r="E47" s="7">
        <f>E42+E43-E44-E45+E46</f>
        <v>0</v>
      </c>
      <c r="F47" s="7">
        <f>F42+F43-F44-F45+F46</f>
        <v>0</v>
      </c>
      <c r="G47" s="7">
        <f>G42+G43-G44-G45+G46</f>
        <v>0</v>
      </c>
    </row>
    <row r="48" spans="1:7">
      <c r="A48" t="s">
        <v>47</v>
      </c>
      <c r="C48" s="12">
        <f>C47/C37</f>
        <v>0</v>
      </c>
      <c r="D48" s="12">
        <f>D47/D37</f>
        <v>0</v>
      </c>
      <c r="E48" s="12">
        <f>E47/E37</f>
        <v>0</v>
      </c>
      <c r="F48" s="12">
        <f>F47/F37</f>
        <v>0</v>
      </c>
      <c r="G48" s="12">
        <f>G47/G37</f>
        <v>0</v>
      </c>
    </row>
    <row r="50" spans="1:7">
      <c r="A50" t="s">
        <v>5</v>
      </c>
      <c r="B50" s="7">
        <f>B8</f>
        <v>0</v>
      </c>
      <c r="C50" s="7">
        <f>B50*(1+$B$18)</f>
        <v>0</v>
      </c>
      <c r="D50" s="7">
        <f>C50*(1+$B$18)</f>
        <v>0</v>
      </c>
      <c r="E50" s="7">
        <f>D50*(1+$B$18)</f>
        <v>0</v>
      </c>
      <c r="F50" s="7">
        <f>E50*(1+$B$18)</f>
        <v>0</v>
      </c>
      <c r="G50" s="7">
        <f>F50*(1+$B$18)</f>
        <v>0</v>
      </c>
    </row>
    <row r="51" spans="1:7">
      <c r="A51" t="s">
        <v>48</v>
      </c>
      <c r="C51" s="7">
        <f>1/(1+$B$20)^1</f>
        <v>0</v>
      </c>
      <c r="D51" s="7">
        <f>1/(1+$B$20)^2</f>
        <v>0</v>
      </c>
      <c r="E51" s="7">
        <f>1/(1+$B$20)^3</f>
        <v>0</v>
      </c>
      <c r="F51" s="7">
        <f>1/(1+$B$20)^4</f>
        <v>0</v>
      </c>
      <c r="G51" s="7">
        <f>1/(1+$B$20)^5</f>
        <v>0</v>
      </c>
    </row>
    <row r="52" spans="1:7">
      <c r="A52" t="s">
        <v>49</v>
      </c>
      <c r="C52" s="7">
        <f>C47*C51</f>
        <v>0</v>
      </c>
      <c r="D52" s="7">
        <f>D47*D51</f>
        <v>0</v>
      </c>
      <c r="E52" s="7">
        <f>E47*E51</f>
        <v>0</v>
      </c>
      <c r="F52" s="7">
        <f>F47*F51</f>
        <v>0</v>
      </c>
      <c r="G52" s="7">
        <f>G47*G51</f>
        <v>0</v>
      </c>
    </row>
    <row r="54" spans="1:7">
      <c r="A54" s="4" t="s">
        <v>50</v>
      </c>
    </row>
    <row r="55" spans="1:7">
      <c r="A55" t="s">
        <v>51</v>
      </c>
      <c r="B55" s="7">
        <f>SUM(C52:G52)</f>
        <v>0</v>
      </c>
    </row>
    <row r="56" spans="1:7">
      <c r="A56" t="s">
        <v>52</v>
      </c>
      <c r="B56" s="7">
        <f>G47*(1+$B$21)</f>
        <v>0</v>
      </c>
    </row>
    <row r="57" spans="1:7">
      <c r="A57" t="s">
        <v>53</v>
      </c>
      <c r="B57" s="7">
        <f>B56/($B$20-$B$21)</f>
        <v>0</v>
      </c>
    </row>
    <row r="58" spans="1:7">
      <c r="A58" t="s">
        <v>54</v>
      </c>
      <c r="B58" s="7">
        <f>$B$22*G38</f>
        <v>0</v>
      </c>
    </row>
    <row r="59" spans="1:7">
      <c r="A59" t="s">
        <v>55</v>
      </c>
      <c r="B59" s="7">
        <f>MIN(B57,B58)</f>
        <v>0</v>
      </c>
    </row>
    <row r="60" spans="1:7">
      <c r="A60" t="s">
        <v>56</v>
      </c>
      <c r="B60" s="7">
        <f>B59*G51</f>
        <v>0</v>
      </c>
    </row>
    <row r="61" spans="1:7">
      <c r="A61" t="s">
        <v>57</v>
      </c>
      <c r="B61" s="7">
        <f>B55+B60</f>
        <v>0</v>
      </c>
    </row>
    <row r="62" spans="1:7">
      <c r="A62" t="s">
        <v>58</v>
      </c>
      <c r="B62" s="7">
        <f>B11</f>
        <v>0</v>
      </c>
    </row>
    <row r="63" spans="1:7">
      <c r="A63" t="s">
        <v>59</v>
      </c>
      <c r="B63" s="7">
        <f>B61-B62</f>
        <v>0</v>
      </c>
    </row>
    <row r="64" spans="1:7">
      <c r="A64" s="6" t="s">
        <v>60</v>
      </c>
      <c r="B64" s="13">
        <f>B63/G50</f>
        <v>0</v>
      </c>
    </row>
    <row r="66" spans="1:3">
      <c r="A66" s="4" t="s">
        <v>61</v>
      </c>
    </row>
    <row r="67" spans="1:3">
      <c r="A67" t="s">
        <v>62</v>
      </c>
      <c r="B67" s="7">
        <f>NPV(0.15,C47:G47)</f>
        <v>0</v>
      </c>
    </row>
    <row r="68" spans="1:3">
      <c r="A68" t="s">
        <v>63</v>
      </c>
      <c r="B68" s="7">
        <f>B59/(1.15^5)</f>
        <v>0</v>
      </c>
    </row>
    <row r="69" spans="1:3">
      <c r="A69" t="s">
        <v>64</v>
      </c>
      <c r="B69" s="7">
        <f>B11</f>
        <v>0</v>
      </c>
    </row>
    <row r="70" spans="1:3">
      <c r="A70" t="s">
        <v>65</v>
      </c>
      <c r="B70" s="13">
        <f>(B67+B68-B69)/G50</f>
        <v>0</v>
      </c>
    </row>
    <row r="72" spans="1:3">
      <c r="A72" t="s">
        <v>66</v>
      </c>
      <c r="B72" s="12">
        <f>(B64-B7)/B7</f>
        <v>0</v>
      </c>
    </row>
    <row r="73" spans="1:3">
      <c r="A73" t="s">
        <v>67</v>
      </c>
      <c r="B73" s="12">
        <f>(B7-B70)/B7</f>
        <v>0</v>
      </c>
    </row>
    <row r="75" spans="1:3">
      <c r="A75" t="s">
        <v>68</v>
      </c>
      <c r="B75" s="7">
        <f>B59/G38</f>
        <v>0</v>
      </c>
    </row>
    <row r="76" spans="1:3">
      <c r="A76" t="s">
        <v>69</v>
      </c>
      <c r="B76" s="7">
        <f>(B59+B15*(G37/B37))/G38</f>
        <v>0</v>
      </c>
      <c r="C76" s="8" t="s">
        <v>70</v>
      </c>
    </row>
    <row r="77" spans="1:3">
      <c r="A77" t="s">
        <v>71</v>
      </c>
      <c r="B77" s="7">
        <f>(B7*B8+B11)/248.585</f>
        <v>0</v>
      </c>
    </row>
    <row r="78" spans="1:3">
      <c r="A78" t="s">
        <v>72</v>
      </c>
      <c r="B78" s="7">
        <f>(B7*B8+B11+B15)/248.585</f>
        <v>0</v>
      </c>
    </row>
  </sheetData>
  <mergeCells count="1">
    <mergeCell ref="A3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8.7109375" customWidth="1"/>
    <col min="2" max="7" width="12.7109375" customWidth="1"/>
  </cols>
  <sheetData>
    <row r="1" spans="1:6">
      <c r="A1" s="1" t="s">
        <v>73</v>
      </c>
    </row>
    <row r="2" spans="1:6">
      <c r="A2" t="s">
        <v>74</v>
      </c>
    </row>
    <row r="4" spans="1:6">
      <c r="A4" s="11" t="s">
        <v>75</v>
      </c>
      <c r="B4" s="14">
        <v>0.0125</v>
      </c>
      <c r="C4" s="14">
        <v>0.0175</v>
      </c>
      <c r="D4" s="14">
        <v>0.0225</v>
      </c>
      <c r="E4" s="14">
        <v>0.0275</v>
      </c>
      <c r="F4" s="14">
        <v>0.0325</v>
      </c>
    </row>
    <row r="5" spans="1:6">
      <c r="A5" s="15">
        <v>0.08</v>
      </c>
      <c r="B5" s="16">
        <f>('DCF Model'!$C$47/(1+0.08)^1+'DCF Model'!$D$47/(1+0.08)^2+'DCF Model'!$E$47/(1+0.08)^3+'DCF Model'!$F$47/(1+0.08)^4+'DCF Model'!$G$47/(1+0.08)^5+MIN(('DCF Model'!$G$47*(1+0.0125))/(0.08-0.0125),'DCF Model'!$B$22*'DCF Model'!$G$38)/(1+0.08)^5-'DCF Model'!$B$11)/'DCF Model'!$G$50</f>
        <v>0</v>
      </c>
      <c r="C5" s="16">
        <f>('DCF Model'!$C$47/(1+0.08)^1+'DCF Model'!$D$47/(1+0.08)^2+'DCF Model'!$E$47/(1+0.08)^3+'DCF Model'!$F$47/(1+0.08)^4+'DCF Model'!$G$47/(1+0.08)^5+MIN(('DCF Model'!$G$47*(1+0.0175))/(0.08-0.0175),'DCF Model'!$B$22*'DCF Model'!$G$38)/(1+0.08)^5-'DCF Model'!$B$11)/'DCF Model'!$G$50</f>
        <v>0</v>
      </c>
      <c r="D5" s="16">
        <f>('DCF Model'!$C$47/(1+0.08)^1+'DCF Model'!$D$47/(1+0.08)^2+'DCF Model'!$E$47/(1+0.08)^3+'DCF Model'!$F$47/(1+0.08)^4+'DCF Model'!$G$47/(1+0.08)^5+MIN(('DCF Model'!$G$47*(1+0.0225))/(0.08-0.0225),'DCF Model'!$B$22*'DCF Model'!$G$38)/(1+0.08)^5-'DCF Model'!$B$11)/'DCF Model'!$G$50</f>
        <v>0</v>
      </c>
      <c r="E5" s="16">
        <f>('DCF Model'!$C$47/(1+0.08)^1+'DCF Model'!$D$47/(1+0.08)^2+'DCF Model'!$E$47/(1+0.08)^3+'DCF Model'!$F$47/(1+0.08)^4+'DCF Model'!$G$47/(1+0.08)^5+MIN(('DCF Model'!$G$47*(1+0.0275))/(0.08-0.0275),'DCF Model'!$B$22*'DCF Model'!$G$38)/(1+0.08)^5-'DCF Model'!$B$11)/'DCF Model'!$G$50</f>
        <v>0</v>
      </c>
      <c r="F5" s="16">
        <f>('DCF Model'!$C$47/(1+0.08)^1+'DCF Model'!$D$47/(1+0.08)^2+'DCF Model'!$E$47/(1+0.08)^3+'DCF Model'!$F$47/(1+0.08)^4+'DCF Model'!$G$47/(1+0.08)^5+MIN(('DCF Model'!$G$47*(1+0.0325))/(0.08-0.0325),'DCF Model'!$B$22*'DCF Model'!$G$38)/(1+0.08)^5-'DCF Model'!$B$11)/'DCF Model'!$G$50</f>
        <v>0</v>
      </c>
    </row>
    <row r="6" spans="1:6">
      <c r="A6" s="15">
        <v>0.09</v>
      </c>
      <c r="B6" s="16">
        <f>('DCF Model'!$C$47/(1+0.09)^1+'DCF Model'!$D$47/(1+0.09)^2+'DCF Model'!$E$47/(1+0.09)^3+'DCF Model'!$F$47/(1+0.09)^4+'DCF Model'!$G$47/(1+0.09)^5+MIN(('DCF Model'!$G$47*(1+0.0125))/(0.09-0.0125),'DCF Model'!$B$22*'DCF Model'!$G$38)/(1+0.09)^5-'DCF Model'!$B$11)/'DCF Model'!$G$50</f>
        <v>0</v>
      </c>
      <c r="C6" s="16">
        <f>('DCF Model'!$C$47/(1+0.09)^1+'DCF Model'!$D$47/(1+0.09)^2+'DCF Model'!$E$47/(1+0.09)^3+'DCF Model'!$F$47/(1+0.09)^4+'DCF Model'!$G$47/(1+0.09)^5+MIN(('DCF Model'!$G$47*(1+0.0175))/(0.09-0.0175),'DCF Model'!$B$22*'DCF Model'!$G$38)/(1+0.09)^5-'DCF Model'!$B$11)/'DCF Model'!$G$50</f>
        <v>0</v>
      </c>
      <c r="D6" s="16">
        <f>('DCF Model'!$C$47/(1+0.09)^1+'DCF Model'!$D$47/(1+0.09)^2+'DCF Model'!$E$47/(1+0.09)^3+'DCF Model'!$F$47/(1+0.09)^4+'DCF Model'!$G$47/(1+0.09)^5+MIN(('DCF Model'!$G$47*(1+0.0225))/(0.09-0.0225),'DCF Model'!$B$22*'DCF Model'!$G$38)/(1+0.09)^5-'DCF Model'!$B$11)/'DCF Model'!$G$50</f>
        <v>0</v>
      </c>
      <c r="E6" s="16">
        <f>('DCF Model'!$C$47/(1+0.09)^1+'DCF Model'!$D$47/(1+0.09)^2+'DCF Model'!$E$47/(1+0.09)^3+'DCF Model'!$F$47/(1+0.09)^4+'DCF Model'!$G$47/(1+0.09)^5+MIN(('DCF Model'!$G$47*(1+0.0275))/(0.09-0.0275),'DCF Model'!$B$22*'DCF Model'!$G$38)/(1+0.09)^5-'DCF Model'!$B$11)/'DCF Model'!$G$50</f>
        <v>0</v>
      </c>
      <c r="F6" s="16">
        <f>('DCF Model'!$C$47/(1+0.09)^1+'DCF Model'!$D$47/(1+0.09)^2+'DCF Model'!$E$47/(1+0.09)^3+'DCF Model'!$F$47/(1+0.09)^4+'DCF Model'!$G$47/(1+0.09)^5+MIN(('DCF Model'!$G$47*(1+0.0325))/(0.09-0.0325),'DCF Model'!$B$22*'DCF Model'!$G$38)/(1+0.09)^5-'DCF Model'!$B$11)/'DCF Model'!$G$50</f>
        <v>0</v>
      </c>
    </row>
    <row r="7" spans="1:6">
      <c r="A7" s="15">
        <v>0.1</v>
      </c>
      <c r="B7" s="16">
        <f>('DCF Model'!$C$47/(1+0.1)^1+'DCF Model'!$D$47/(1+0.1)^2+'DCF Model'!$E$47/(1+0.1)^3+'DCF Model'!$F$47/(1+0.1)^4+'DCF Model'!$G$47/(1+0.1)^5+MIN(('DCF Model'!$G$47*(1+0.0125))/(0.1-0.0125),'DCF Model'!$B$22*'DCF Model'!$G$38)/(1+0.1)^5-'DCF Model'!$B$11)/'DCF Model'!$G$50</f>
        <v>0</v>
      </c>
      <c r="C7" s="16">
        <f>('DCF Model'!$C$47/(1+0.1)^1+'DCF Model'!$D$47/(1+0.1)^2+'DCF Model'!$E$47/(1+0.1)^3+'DCF Model'!$F$47/(1+0.1)^4+'DCF Model'!$G$47/(1+0.1)^5+MIN(('DCF Model'!$G$47*(1+0.0175))/(0.1-0.0175),'DCF Model'!$B$22*'DCF Model'!$G$38)/(1+0.1)^5-'DCF Model'!$B$11)/'DCF Model'!$G$50</f>
        <v>0</v>
      </c>
      <c r="D7" s="16">
        <f>('DCF Model'!$C$47/(1+0.1)^1+'DCF Model'!$D$47/(1+0.1)^2+'DCF Model'!$E$47/(1+0.1)^3+'DCF Model'!$F$47/(1+0.1)^4+'DCF Model'!$G$47/(1+0.1)^5+MIN(('DCF Model'!$G$47*(1+0.0225))/(0.1-0.0225),'DCF Model'!$B$22*'DCF Model'!$G$38)/(1+0.1)^5-'DCF Model'!$B$11)/'DCF Model'!$G$50</f>
        <v>0</v>
      </c>
      <c r="E7" s="16">
        <f>('DCF Model'!$C$47/(1+0.1)^1+'DCF Model'!$D$47/(1+0.1)^2+'DCF Model'!$E$47/(1+0.1)^3+'DCF Model'!$F$47/(1+0.1)^4+'DCF Model'!$G$47/(1+0.1)^5+MIN(('DCF Model'!$G$47*(1+0.0275))/(0.1-0.0275),'DCF Model'!$B$22*'DCF Model'!$G$38)/(1+0.1)^5-'DCF Model'!$B$11)/'DCF Model'!$G$50</f>
        <v>0</v>
      </c>
      <c r="F7" s="16">
        <f>('DCF Model'!$C$47/(1+0.1)^1+'DCF Model'!$D$47/(1+0.1)^2+'DCF Model'!$E$47/(1+0.1)^3+'DCF Model'!$F$47/(1+0.1)^4+'DCF Model'!$G$47/(1+0.1)^5+MIN(('DCF Model'!$G$47*(1+0.0325))/(0.1-0.0325),'DCF Model'!$B$22*'DCF Model'!$G$38)/(1+0.1)^5-'DCF Model'!$B$11)/'DCF Model'!$G$50</f>
        <v>0</v>
      </c>
    </row>
    <row r="8" spans="1:6">
      <c r="A8" s="15">
        <v>0.11</v>
      </c>
      <c r="B8" s="16">
        <f>('DCF Model'!$C$47/(1+0.11)^1+'DCF Model'!$D$47/(1+0.11)^2+'DCF Model'!$E$47/(1+0.11)^3+'DCF Model'!$F$47/(1+0.11)^4+'DCF Model'!$G$47/(1+0.11)^5+MIN(('DCF Model'!$G$47*(1+0.0125))/(0.11-0.0125),'DCF Model'!$B$22*'DCF Model'!$G$38)/(1+0.11)^5-'DCF Model'!$B$11)/'DCF Model'!$G$50</f>
        <v>0</v>
      </c>
      <c r="C8" s="16">
        <f>('DCF Model'!$C$47/(1+0.11)^1+'DCF Model'!$D$47/(1+0.11)^2+'DCF Model'!$E$47/(1+0.11)^3+'DCF Model'!$F$47/(1+0.11)^4+'DCF Model'!$G$47/(1+0.11)^5+MIN(('DCF Model'!$G$47*(1+0.0175))/(0.11-0.0175),'DCF Model'!$B$22*'DCF Model'!$G$38)/(1+0.11)^5-'DCF Model'!$B$11)/'DCF Model'!$G$50</f>
        <v>0</v>
      </c>
      <c r="D8" s="16">
        <f>('DCF Model'!$C$47/(1+0.11)^1+'DCF Model'!$D$47/(1+0.11)^2+'DCF Model'!$E$47/(1+0.11)^3+'DCF Model'!$F$47/(1+0.11)^4+'DCF Model'!$G$47/(1+0.11)^5+MIN(('DCF Model'!$G$47*(1+0.0225))/(0.11-0.0225),'DCF Model'!$B$22*'DCF Model'!$G$38)/(1+0.11)^5-'DCF Model'!$B$11)/'DCF Model'!$G$50</f>
        <v>0</v>
      </c>
      <c r="E8" s="16">
        <f>('DCF Model'!$C$47/(1+0.11)^1+'DCF Model'!$D$47/(1+0.11)^2+'DCF Model'!$E$47/(1+0.11)^3+'DCF Model'!$F$47/(1+0.11)^4+'DCF Model'!$G$47/(1+0.11)^5+MIN(('DCF Model'!$G$47*(1+0.0275))/(0.11-0.0275),'DCF Model'!$B$22*'DCF Model'!$G$38)/(1+0.11)^5-'DCF Model'!$B$11)/'DCF Model'!$G$50</f>
        <v>0</v>
      </c>
      <c r="F8" s="16">
        <f>('DCF Model'!$C$47/(1+0.11)^1+'DCF Model'!$D$47/(1+0.11)^2+'DCF Model'!$E$47/(1+0.11)^3+'DCF Model'!$F$47/(1+0.11)^4+'DCF Model'!$G$47/(1+0.11)^5+MIN(('DCF Model'!$G$47*(1+0.0325))/(0.11-0.0325),'DCF Model'!$B$22*'DCF Model'!$G$38)/(1+0.11)^5-'DCF Model'!$B$11)/'DCF Model'!$G$50</f>
        <v>0</v>
      </c>
    </row>
    <row r="9" spans="1:6">
      <c r="A9" s="15">
        <v>0.12</v>
      </c>
      <c r="B9" s="16">
        <f>('DCF Model'!$C$47/(1+0.12)^1+'DCF Model'!$D$47/(1+0.12)^2+'DCF Model'!$E$47/(1+0.12)^3+'DCF Model'!$F$47/(1+0.12)^4+'DCF Model'!$G$47/(1+0.12)^5+MIN(('DCF Model'!$G$47*(1+0.0125))/(0.12-0.0125),'DCF Model'!$B$22*'DCF Model'!$G$38)/(1+0.12)^5-'DCF Model'!$B$11)/'DCF Model'!$G$50</f>
        <v>0</v>
      </c>
      <c r="C9" s="16">
        <f>('DCF Model'!$C$47/(1+0.12)^1+'DCF Model'!$D$47/(1+0.12)^2+'DCF Model'!$E$47/(1+0.12)^3+'DCF Model'!$F$47/(1+0.12)^4+'DCF Model'!$G$47/(1+0.12)^5+MIN(('DCF Model'!$G$47*(1+0.0175))/(0.12-0.0175),'DCF Model'!$B$22*'DCF Model'!$G$38)/(1+0.12)^5-'DCF Model'!$B$11)/'DCF Model'!$G$50</f>
        <v>0</v>
      </c>
      <c r="D9" s="16">
        <f>('DCF Model'!$C$47/(1+0.12)^1+'DCF Model'!$D$47/(1+0.12)^2+'DCF Model'!$E$47/(1+0.12)^3+'DCF Model'!$F$47/(1+0.12)^4+'DCF Model'!$G$47/(1+0.12)^5+MIN(('DCF Model'!$G$47*(1+0.0225))/(0.12-0.0225),'DCF Model'!$B$22*'DCF Model'!$G$38)/(1+0.12)^5-'DCF Model'!$B$11)/'DCF Model'!$G$50</f>
        <v>0</v>
      </c>
      <c r="E9" s="16">
        <f>('DCF Model'!$C$47/(1+0.12)^1+'DCF Model'!$D$47/(1+0.12)^2+'DCF Model'!$E$47/(1+0.12)^3+'DCF Model'!$F$47/(1+0.12)^4+'DCF Model'!$G$47/(1+0.12)^5+MIN(('DCF Model'!$G$47*(1+0.0275))/(0.12-0.0275),'DCF Model'!$B$22*'DCF Model'!$G$38)/(1+0.12)^5-'DCF Model'!$B$11)/'DCF Model'!$G$50</f>
        <v>0</v>
      </c>
      <c r="F9" s="16">
        <f>('DCF Model'!$C$47/(1+0.12)^1+'DCF Model'!$D$47/(1+0.12)^2+'DCF Model'!$E$47/(1+0.12)^3+'DCF Model'!$F$47/(1+0.12)^4+'DCF Model'!$G$47/(1+0.12)^5+MIN(('DCF Model'!$G$47*(1+0.0325))/(0.12-0.0325),'DCF Model'!$B$22*'DCF Model'!$G$38)/(1+0.12)^5-'DCF Model'!$B$11)/'DCF Model'!$G$50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cols>
    <col min="1" max="1" width="46.7109375" customWidth="1"/>
    <col min="2" max="6" width="13.7109375" customWidth="1"/>
  </cols>
  <sheetData>
    <row r="1" spans="1:5">
      <c r="A1" s="1" t="s">
        <v>76</v>
      </c>
    </row>
    <row r="2" spans="1:5">
      <c r="A2" s="17" t="s">
        <v>77</v>
      </c>
    </row>
    <row r="3" spans="1:5">
      <c r="A3" s="17" t="s">
        <v>78</v>
      </c>
    </row>
    <row r="4" spans="1:5">
      <c r="A4" s="17" t="s">
        <v>79</v>
      </c>
    </row>
    <row r="5" spans="1:5">
      <c r="A5" s="17" t="s">
        <v>80</v>
      </c>
    </row>
    <row r="6" spans="1:5">
      <c r="A6" s="17" t="s">
        <v>81</v>
      </c>
    </row>
    <row r="8" spans="1:5">
      <c r="A8" s="11"/>
      <c r="B8" s="11" t="s">
        <v>82</v>
      </c>
      <c r="C8" s="11" t="s">
        <v>83</v>
      </c>
      <c r="D8" s="11" t="s">
        <v>84</v>
      </c>
      <c r="E8" s="11" t="s">
        <v>85</v>
      </c>
    </row>
    <row r="9" spans="1:5">
      <c r="A9" t="s">
        <v>86</v>
      </c>
      <c r="B9" s="7">
        <v>123.684</v>
      </c>
      <c r="C9" s="7">
        <v>155.808</v>
      </c>
      <c r="D9" s="7">
        <v>156.663</v>
      </c>
      <c r="E9" s="7">
        <v>173.647</v>
      </c>
    </row>
    <row r="10" spans="1:5">
      <c r="A10" t="s">
        <v>43</v>
      </c>
      <c r="B10" s="7">
        <v>23.02</v>
      </c>
      <c r="C10" s="7">
        <v>34.19</v>
      </c>
      <c r="D10" s="7">
        <v>28.919</v>
      </c>
      <c r="E10" s="7">
        <v>25.907</v>
      </c>
    </row>
    <row r="11" spans="1:5">
      <c r="A11" t="s">
        <v>87</v>
      </c>
      <c r="B11" s="7">
        <v>100.664</v>
      </c>
      <c r="C11" s="7">
        <v>121.618</v>
      </c>
      <c r="D11" s="7">
        <v>127.744</v>
      </c>
      <c r="E11" s="7">
        <v>147.74</v>
      </c>
    </row>
    <row r="12" spans="1:5">
      <c r="A12" t="s">
        <v>38</v>
      </c>
      <c r="B12" s="7">
        <v>1.031</v>
      </c>
      <c r="C12" s="7">
        <v>1.016</v>
      </c>
      <c r="D12" s="7">
        <v>0.886</v>
      </c>
      <c r="E12" s="7">
        <v>1.213</v>
      </c>
    </row>
    <row r="13" spans="1:5">
      <c r="A13" t="s">
        <v>88</v>
      </c>
      <c r="B13" s="7">
        <v>34.008</v>
      </c>
      <c r="C13" s="7">
        <v>41.734</v>
      </c>
      <c r="D13" s="7">
        <v>50.204</v>
      </c>
      <c r="E13" s="7">
        <v>57.698</v>
      </c>
    </row>
    <row r="14" spans="1:5">
      <c r="A14" s="6" t="s">
        <v>46</v>
      </c>
      <c r="B14" s="7">
        <f>B11-B12-B13</f>
        <v>0</v>
      </c>
      <c r="C14" s="7">
        <f>C11-C12-C13</f>
        <v>0</v>
      </c>
      <c r="D14" s="7">
        <f>D11-D12-D13</f>
        <v>0</v>
      </c>
      <c r="E14" s="7">
        <f>E11-E12-E13</f>
        <v>0</v>
      </c>
    </row>
    <row r="16" spans="1:5">
      <c r="A16" t="s">
        <v>89</v>
      </c>
      <c r="B16" s="12">
        <f>B11/873.094</f>
        <v>0</v>
      </c>
      <c r="C16" s="12">
        <f>C11/1121.62</f>
        <v>0</v>
      </c>
      <c r="D16" s="12">
        <f>D11/1209.151</f>
        <v>0</v>
      </c>
      <c r="E16" s="12">
        <f>E11/1289.559</f>
        <v>0</v>
      </c>
    </row>
    <row r="17" spans="1:5">
      <c r="A17" t="s">
        <v>47</v>
      </c>
      <c r="B17" s="12">
        <f>B14/873.094</f>
        <v>0</v>
      </c>
      <c r="C17" s="12">
        <f>C14/1121.62</f>
        <v>0</v>
      </c>
      <c r="D17" s="12">
        <f>D14/1209.151</f>
        <v>0</v>
      </c>
      <c r="E17" s="12">
        <f>E14/1289.559</f>
        <v>0</v>
      </c>
    </row>
    <row r="19" spans="1:5">
      <c r="A19" t="s">
        <v>90</v>
      </c>
      <c r="B19" s="12">
        <f>B13/B11</f>
        <v>0</v>
      </c>
      <c r="C19" s="12">
        <f>C13/C11</f>
        <v>0</v>
      </c>
      <c r="D19" s="12">
        <f>D13/D11</f>
        <v>0</v>
      </c>
      <c r="E19" s="12">
        <f>E13/E11</f>
        <v>0</v>
      </c>
    </row>
    <row r="21" spans="1:5">
      <c r="A21" t="s">
        <v>91</v>
      </c>
      <c r="B21" s="7">
        <v>176.21</v>
      </c>
      <c r="C21" s="7">
        <v>297.194</v>
      </c>
      <c r="D21" s="7">
        <v>265.674</v>
      </c>
      <c r="E21" s="7">
        <v>258.48</v>
      </c>
    </row>
    <row r="22" spans="1:5">
      <c r="A22" t="s">
        <v>92</v>
      </c>
      <c r="D22" s="9">
        <v>383.067</v>
      </c>
      <c r="E22" s="9">
        <v>373.689</v>
      </c>
    </row>
    <row r="24" spans="1:5">
      <c r="A24" s="18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cols>
    <col min="1" max="1" width="20.7109375" customWidth="1"/>
    <col min="2" max="3" width="15.7109375" customWidth="1"/>
  </cols>
  <sheetData>
    <row r="1" spans="1:3">
      <c r="A1" s="1" t="s">
        <v>94</v>
      </c>
    </row>
    <row r="3" spans="1:3">
      <c r="A3" s="11" t="s">
        <v>95</v>
      </c>
      <c r="B3" s="11" t="s">
        <v>96</v>
      </c>
      <c r="C3" s="11" t="s">
        <v>97</v>
      </c>
    </row>
    <row r="4" spans="1:3">
      <c r="A4" t="s">
        <v>98</v>
      </c>
      <c r="B4" s="12">
        <v>0.1388</v>
      </c>
      <c r="C4" s="12">
        <v>0.1537</v>
      </c>
    </row>
    <row r="5" spans="1:3">
      <c r="A5" t="s">
        <v>99</v>
      </c>
      <c r="B5" s="12">
        <v>0.0186</v>
      </c>
      <c r="C5" s="12">
        <v>0.083</v>
      </c>
    </row>
    <row r="6" spans="1:3">
      <c r="A6" t="s">
        <v>100</v>
      </c>
      <c r="B6" s="12">
        <v>0.1192</v>
      </c>
      <c r="C6" s="12">
        <v>0.0956</v>
      </c>
    </row>
    <row r="7" spans="1:3">
      <c r="A7" t="s">
        <v>101</v>
      </c>
      <c r="B7" s="12">
        <v>0.1364</v>
      </c>
      <c r="C7" s="12">
        <v>0.063</v>
      </c>
    </row>
    <row r="8" spans="1:3">
      <c r="A8" t="s">
        <v>102</v>
      </c>
      <c r="B8" s="12">
        <v>0.1372</v>
      </c>
      <c r="C8" s="12">
        <v>0.0621</v>
      </c>
    </row>
    <row r="10" spans="1:3">
      <c r="A10" s="6" t="s">
        <v>103</v>
      </c>
      <c r="B10" t="s">
        <v>104</v>
      </c>
    </row>
    <row r="11" spans="1:3">
      <c r="A11" t="s">
        <v>105</v>
      </c>
    </row>
    <row r="12" spans="1:3" ht="120" customHeight="1">
      <c r="A12" s="18" t="s">
        <v>106</v>
      </c>
    </row>
    <row r="14" spans="1:3">
      <c r="A14" s="6" t="s">
        <v>107</v>
      </c>
    </row>
    <row r="15" spans="1:3">
      <c r="A15" s="11" t="s">
        <v>95</v>
      </c>
      <c r="B15" s="11" t="s">
        <v>108</v>
      </c>
    </row>
    <row r="16" spans="1:3">
      <c r="A16" t="s">
        <v>109</v>
      </c>
      <c r="B16" s="7">
        <v>21.6</v>
      </c>
    </row>
    <row r="17" spans="1:2">
      <c r="A17" t="s">
        <v>110</v>
      </c>
      <c r="B17" s="7">
        <v>4.79</v>
      </c>
    </row>
    <row r="18" spans="1:2">
      <c r="A18" t="s">
        <v>111</v>
      </c>
      <c r="B18" s="7">
        <v>12.8</v>
      </c>
    </row>
    <row r="19" spans="1:2">
      <c r="A19" t="s">
        <v>112</v>
      </c>
      <c r="B19" s="7">
        <v>8.699999999999999</v>
      </c>
    </row>
    <row r="20" spans="1:2">
      <c r="A20" t="s">
        <v>113</v>
      </c>
      <c r="B20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cols>
    <col min="1" max="1" width="28.7109375" customWidth="1"/>
    <col min="2" max="2" width="95.7109375" customWidth="1"/>
  </cols>
  <sheetData>
    <row r="1" spans="1:2">
      <c r="A1" s="1" t="s">
        <v>115</v>
      </c>
    </row>
    <row r="4" spans="1:2" ht="60" customHeight="1">
      <c r="A4" s="6" t="s">
        <v>116</v>
      </c>
      <c r="B4" s="18" t="s">
        <v>117</v>
      </c>
    </row>
    <row r="5" spans="1:2" ht="60" customHeight="1">
      <c r="A5" s="6" t="s">
        <v>118</v>
      </c>
      <c r="B5" s="18" t="s">
        <v>119</v>
      </c>
    </row>
    <row r="6" spans="1:2" ht="60" customHeight="1">
      <c r="A6" s="6" t="s">
        <v>120</v>
      </c>
      <c r="B6" s="18" t="s">
        <v>121</v>
      </c>
    </row>
    <row r="7" spans="1:2" ht="60" customHeight="1">
      <c r="A7" s="6" t="s">
        <v>122</v>
      </c>
      <c r="B7" s="18" t="s">
        <v>123</v>
      </c>
    </row>
    <row r="8" spans="1:2" ht="60" customHeight="1">
      <c r="A8" s="6" t="s">
        <v>124</v>
      </c>
      <c r="B8" s="18" t="s">
        <v>125</v>
      </c>
    </row>
    <row r="9" spans="1:2" ht="60" customHeight="1">
      <c r="A9" s="6" t="s">
        <v>126</v>
      </c>
      <c r="B9" s="18" t="s">
        <v>127</v>
      </c>
    </row>
    <row r="10" spans="1:2" ht="60" customHeight="1">
      <c r="A10" s="6" t="s">
        <v>128</v>
      </c>
      <c r="B10" s="18" t="s">
        <v>129</v>
      </c>
    </row>
    <row r="11" spans="1:2" ht="60" customHeight="1">
      <c r="A11" s="6" t="s">
        <v>130</v>
      </c>
      <c r="B11" s="18" t="s">
        <v>131</v>
      </c>
    </row>
    <row r="12" spans="1:2" ht="60" customHeight="1">
      <c r="A12" s="6" t="s">
        <v>17</v>
      </c>
      <c r="B12" s="18" t="s">
        <v>132</v>
      </c>
    </row>
    <row r="13" spans="1:2" ht="60" customHeight="1">
      <c r="A13" s="6" t="s">
        <v>133</v>
      </c>
      <c r="B13" s="18" t="s">
        <v>134</v>
      </c>
    </row>
    <row r="14" spans="1:2" ht="60" customHeight="1">
      <c r="A14" s="6" t="s">
        <v>135</v>
      </c>
      <c r="B14" s="18" t="s">
        <v>136</v>
      </c>
    </row>
    <row r="15" spans="1:2" ht="60" customHeight="1">
      <c r="A15" s="6" t="s">
        <v>137</v>
      </c>
      <c r="B15" s="18" t="s">
        <v>138</v>
      </c>
    </row>
    <row r="16" spans="1:2" ht="60" customHeight="1">
      <c r="A16" s="6" t="s">
        <v>139</v>
      </c>
      <c r="B16" s="18" t="s">
        <v>140</v>
      </c>
    </row>
    <row r="17" spans="1:2" ht="60" customHeight="1">
      <c r="A17" s="6" t="s">
        <v>141</v>
      </c>
      <c r="B17" s="18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DCF Model</vt:lpstr>
      <vt:lpstr>Sensitivity</vt:lpstr>
      <vt:lpstr>FCF Quality</vt:lpstr>
      <vt:lpstr>Historical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2026-08-10T09:13:46Z</dcterms:created>
  <dcterms:modified xsi:type="dcterms:W3CDTF">2026-08-10T09:13:46Z</dcterms:modified>
</cp:coreProperties>
</file>