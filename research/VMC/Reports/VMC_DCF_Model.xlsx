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<sst xmlns="http://schemas.openxmlformats.org/spreadsheetml/2006/main" count="390" uniqueCount="175">
  <si>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</si>
  <si>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VMC</t>
  </si>
  <si>
    <t xml:space="preserve">Company</t>
  </si>
  <si>
    <t xml:space="preserve">Vulcan Materials Company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</si>
  <si>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</si>
  <si>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</si>
  <si>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</si>
  <si>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</si>
  <si>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</si>
  <si>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</si>
  <si>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</si>
  <si>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</si>
  <si>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</si>
  <si>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</si>
  <si>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</si>
  <si>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</si>
  <si>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</si>
  <si>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</si>
  <si>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</si>
  <si>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</si>
  <si>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</si>
  <si>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2026-10-02T21:29:07Z</t>
  </si>
  <si>
    <t xml:space="preserve">Drivers file</t>
  </si>
  <si>
    <t xml:space="preserve">VMC_Drivers.json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</si>
  <si>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</si>
  <si>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</si>
  <si>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</si>
  <si>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Vulcan is a high-quality, locally-monopolistic aggregates franchise whose value lies in permitted reserves and pricing power, but it remains a construction cyclical. The house view charges SBC and equity-award withholding taxes in full, models organic growth only, charges the cycle once through a 25%-weighted downturn scenario rather than a WACC premium, and caps the terminal at 15-20x FCF. The market currently pays ~27x unlevered owner FCF, which this model only supports in the bull case. The price sits above even the street (SBC-as-non-cash) value in the base case, so band_position exceeds 100%: the gap to the price is a growth/multiple question, not an SBC-accounting one.
key_risks_to_valuation: Federal highway funding: IIJA expires 30-Sep-2026; reauthorisation size and timing drive public volumes (the largest end market); Residential and private non-residential construction cyclicality (rates, megaproject timing); Energy (diesel, liquid asphalt) cost inflation compressing unit margins, as seen in Q2-26 (+7% unit cash cost); Weather volatility in Texas and the Southeast shifting volumes between periods; M&amp;A: growth via acquisitions is not modelled; overpaying would destroy value the model does not show; Terminal multiple: 55-66% of enterprise value sits in the terminal (base 61%); each 1pp of terminal growth moves the base value materially</t>
  </si>
  <si>
    <t xml:space="preserve">Data sources</t>
  </si>
  <si>
    <t xml:space="preserve">price: Yahoo Finance chart API at inputs.price_as_of; 52-week range 237.03-331.09
financials: VMC_Metrics.csv (SEC XBRL, FY2007-Q1 2026) and VMC.duckdb kpis (equity-award taxes, cash taxes, D&amp;A, buybacks); Q2-26 balance sheet, cash flow, diluted shares and FY2026 guidance from the 29-Jul-2026 earnings release (8-K ex99.1, accession 0001140361-26-029958) and 10-Q filed 2026-07-29
qualitative: Q2-2026 earnings release outlook and segment commentary; company profile (info.json). VMC_Analysis.json not available at build time.</t>
  </si>
  <si>
    <t xml:space="preserve">Scenario narrative: bear</t>
  </si>
  <si>
    <t xml:space="preserve">IIJA expires on 30-Sep-2026 and is followed by a run of short-term extensions instead of a full reauthorisation, state DOT lettings slow, residential stays depressed and private non-residential megaprojects are deferred. Shipments fall high-single-digits across 2027-28 (as in 2008-10, though far less severe) while pricing still rises ~3%; fixed-cost deleverage plus diesel and liquid-asphalt inflation compress margins ~3pp before a slow recovery to ~31%. Capex is cut to defend cash. Terminal growth 2.5% and a 15x cap reflect a lower-multiple cyclical rerating.</t>
  </si>
  <si>
    <t xml:space="preserve">Scenario narrative: base</t>
  </si>
  <si>
    <t xml:space="preserve">Vulcan executes its pure-play aggregates strategy: FY2026 lands at the $2.5B adjusted-EBITDA midpoint despite energy inflation and wet Q2 weather, then freight-adjusted pricing compounds at ~4-5% (Q2-26: +5% mix-adjusted) with 0-2% volume growth supported by public construction and large projects. Cash gross profit per ton keeps rising (&gt;$12 in Q2-26) and the exit from Houston asphalt and California ready-mix lifts the group margin, taking (EBITDA+SBC)/revenue from ~31.6% to ~34.5% by 2031. Capex runs slightly above D&amp;A; 15-20% of revenue converts to unlevered owner FCF. Organic only - bolt-on acquisitions (e.g. the Brannan quarry and DFW rail yard) are treated as value-neutral at the price paid.</t>
  </si>
  <si>
    <t xml:space="preserve">Scenario narrative: bull</t>
  </si>
  <si>
    <t xml:space="preserve">The aggregates pricing cycle stays unusually strong: a federal surface-transportation reauthorisation at or above IIJA funding, a wave of data-centre, semiconductor, LNG and manufacturing megaprojects in VMC's Sun Belt footprint, and a residential recovery as mortgage rates ease together lift volumes 2-3%/yr on top of 5-6% price. Operating leverage on a fixed quarry cost base and continued SAG discipline (6.9% of revenue TTM) push the margin to ~37%. Terminal growth 3.5% reflects irreplaceable, permitted reserves near growing metros.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</si>
  <si>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</si>
  <si>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</si>
  <si>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</si>
  <si>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</si>
  <si>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</si>
  <si>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</si>
  <si>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</si>
  <si>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</si>
  <si>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</si>
  <si>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</si>
  <si>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</si>
  <si>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</si>
  <si>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</si>
  <si>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</si>
  <si>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</si>
  <si>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</si>
  <si>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</si>
  <si>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</si>
  <si>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</si>
  <si>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</si>
  <si>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</si>
  <si>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</si>
  <si>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</si>
  <si>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</si>
  <si>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</si>
  <si>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</si>
  <si>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</si>
  <si>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</si>
  <si>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</si>
  <si>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</si>
  <si>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</si>
  <si>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</si>
  <si>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</si>
  <si>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</si>
  <si>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</si>
  <si>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</si>
  <si>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</si>
  <si>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</si>
  <si>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</si>
  <si>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</si>
  <si>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</si>
  <si>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</si>
  <si>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</si>
  <si>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</si>
  <si>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</si>
  <si>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</si>
  <si>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</si>
  <si>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</si>
  <si>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</si>
  <si>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</si>
  <si>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</si>
  <si>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</si>
  <si>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</si>
  <si>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</si>
  <si>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</si>
  <si>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</si>
  <si>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</si>
  <si>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</si>
  <si>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</si>
  <si>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</si>
  <si>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</si>
  <si>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</si>
  <si>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</si>
  <si>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</si>
  <si>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</si>
  <si>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</si>
  <si>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</si>
  <si>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</si>
  <si>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</si>
  <si>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</si>
  <si>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</si>
  <si>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</si>
  <si>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</si>
  <si>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</si>
  <si>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</si>
  <si>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</si>
  <si>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</si>
  <si>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</si>
  <si>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</si>
  <si>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</si>
  <si>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</si>
  <si>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</si>
  <si>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</si>
  <si>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</si>
  <si>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VMC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</si>
  <si>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</si>
  <si>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</si>
  <si>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</si>
  <si>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</si>
  <si>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</si>
  <si>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</si>
  <si>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</si>
  <si>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</si>
  <si>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</si>
  <si>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</si>
  <si>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</si>
  <si>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</si>
  <si>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</si>
  <si>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</si>
  <si>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</si>
  <si>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</si>
  <si>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</si>
  <si>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</si>
  <si>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</si>
  <si>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</si>
  <si>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</si>
  <si>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</si>
  <si>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</si>
  <si>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</si>
  <si>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</si>
  <si>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</si>
  <si>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</si>
  <si>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</si>
  <si>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</si>
  <si>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</si>
  <si>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VMC owner-FCF component DCF: base case (millions, USD)</t>
  </si>
  <si>
    <t xml:space="preserve">VMC owner-FCF component DCF: bull case (millions, USD)</t>
  </si>
  <si>
    <t xml:space="preserve">VMC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</si>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</sst>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243.06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2036.882</v>
      </c>
      <c r="S2" s="0" t="n">
        <v>55.23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3327.787</v>
      </c>
      <c r="C3" s="0" t="n">
        <v>2376.884</v>
      </c>
      <c r="D3" s="0" t="n">
        <v>950.903</v>
      </c>
      <c r="E3" s="0" t="n">
        <v>28.5746353357351</v>
      </c>
      <c r="F3" s="0" t="n">
        <v>714.417</v>
      </c>
      <c r="G3" s="0" t="n">
        <v>21.4682309895435</v>
      </c>
      <c r="H3" s="0" t="n">
        <v>985.892</v>
      </c>
      <c r="I3" s="0" t="n">
        <v>450.91</v>
      </c>
      <c r="J3" s="0" t="n">
        <v>13.549845588074</v>
      </c>
      <c r="K3" s="0" t="n">
        <v>4.65</v>
      </c>
      <c r="L3" s="0" t="n">
        <v>708.144</v>
      </c>
      <c r="M3" s="0" t="n">
        <v>483.322</v>
      </c>
      <c r="N3" s="0" t="n">
        <v>224.822</v>
      </c>
      <c r="O3" s="0" t="n">
        <v>3778.467</v>
      </c>
      <c r="R3" s="0" t="n">
        <v>325</v>
      </c>
      <c r="S3" s="0" t="n">
        <v>34.888</v>
      </c>
      <c r="T3" s="0" t="n">
        <v>99.403</v>
      </c>
      <c r="U3" s="0" t="n">
        <v>16.942</v>
      </c>
      <c r="V3" s="0" t="n">
        <v>1.84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3651.438</v>
      </c>
      <c r="C4" s="0" t="n">
        <v>2901.726</v>
      </c>
      <c r="D4" s="0" t="n">
        <v>749.712</v>
      </c>
      <c r="E4" s="0" t="n">
        <v>20.5319657625297</v>
      </c>
      <c r="F4" s="0" t="n">
        <v>249.102</v>
      </c>
      <c r="G4" s="0" t="n">
        <v>6.82202463796455</v>
      </c>
      <c r="H4" s="0" t="n">
        <v>638.162</v>
      </c>
      <c r="I4" s="0" t="n">
        <v>0.918</v>
      </c>
      <c r="J4" s="0" t="n">
        <v>0.0251407801529151</v>
      </c>
      <c r="K4" s="0" t="n">
        <v>0.01</v>
      </c>
      <c r="L4" s="0" t="n">
        <v>435.185</v>
      </c>
      <c r="M4" s="0" t="n">
        <v>353.196</v>
      </c>
      <c r="N4" s="0" t="n">
        <v>81.989</v>
      </c>
      <c r="O4" s="0" t="n">
        <v>3529.785</v>
      </c>
      <c r="P4" s="0" t="n">
        <v>8916.6</v>
      </c>
      <c r="Q4" s="0" t="n">
        <v>5362.872</v>
      </c>
      <c r="R4" s="0" t="n">
        <v>2465.273</v>
      </c>
      <c r="S4" s="0" t="n">
        <v>10.194</v>
      </c>
      <c r="T4" s="0" t="n">
        <v>110.954</v>
      </c>
      <c r="U4" s="0" t="n">
        <v>19.096</v>
      </c>
      <c r="V4" s="0" t="n">
        <v>1.96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2690.49</v>
      </c>
      <c r="C5" s="0" t="n">
        <v>2244.528</v>
      </c>
      <c r="D5" s="0" t="n">
        <v>445.962</v>
      </c>
      <c r="E5" s="0" t="n">
        <v>16.5754936833068</v>
      </c>
      <c r="F5" s="0" t="n">
        <v>148.452</v>
      </c>
      <c r="G5" s="0" t="n">
        <v>5.51765663503674</v>
      </c>
      <c r="H5" s="0" t="n">
        <v>543.064</v>
      </c>
      <c r="I5" s="0" t="n">
        <v>30.314</v>
      </c>
      <c r="J5" s="0" t="n">
        <v>1.12670926113831</v>
      </c>
      <c r="K5" s="0" t="n">
        <v>0.25</v>
      </c>
      <c r="L5" s="0" t="n">
        <v>453.035</v>
      </c>
      <c r="M5" s="0" t="n">
        <v>109.729</v>
      </c>
      <c r="N5" s="0" t="n">
        <v>343.306</v>
      </c>
      <c r="O5" s="0" t="n">
        <v>4028.055</v>
      </c>
      <c r="P5" s="0" t="n">
        <v>8526.5</v>
      </c>
      <c r="Q5" s="0" t="n">
        <v>4487.634</v>
      </c>
      <c r="R5" s="0" t="n">
        <v>2886.882</v>
      </c>
      <c r="S5" s="0" t="n">
        <v>22.265</v>
      </c>
      <c r="T5" s="0" t="n">
        <v>119.43</v>
      </c>
      <c r="U5" s="0" t="n">
        <v>23.12</v>
      </c>
      <c r="V5" s="0" t="n">
        <v>1.48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2558.862</v>
      </c>
      <c r="C6" s="0" t="n">
        <v>2258.136</v>
      </c>
      <c r="D6" s="0" t="n">
        <v>300.726</v>
      </c>
      <c r="E6" s="0" t="n">
        <v>11.7523336545699</v>
      </c>
      <c r="F6" s="0" t="n">
        <v>-14.54</v>
      </c>
      <c r="G6" s="0" t="n">
        <v>-0.5682213421435</v>
      </c>
      <c r="H6" s="0" t="n">
        <v>367.553</v>
      </c>
      <c r="I6" s="0" t="n">
        <v>-96.49</v>
      </c>
      <c r="J6" s="0" t="n">
        <v>-3.77081687093716</v>
      </c>
      <c r="K6" s="0" t="n">
        <v>-0.75</v>
      </c>
      <c r="L6" s="0" t="n">
        <v>202.706</v>
      </c>
      <c r="M6" s="0" t="n">
        <v>86.324</v>
      </c>
      <c r="N6" s="0" t="n">
        <v>116.382</v>
      </c>
      <c r="O6" s="0" t="n">
        <v>3955.798</v>
      </c>
      <c r="P6" s="0" t="n">
        <v>8339.5</v>
      </c>
      <c r="Q6" s="0" t="n">
        <v>4383.738</v>
      </c>
      <c r="R6" s="0" t="n">
        <v>2438.008</v>
      </c>
      <c r="S6" s="0" t="n">
        <v>47.541</v>
      </c>
      <c r="T6" s="0" t="n">
        <v>128.05</v>
      </c>
      <c r="U6" s="0" t="n">
        <v>20.637</v>
      </c>
      <c r="V6" s="0" t="n">
        <v>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2564.55</v>
      </c>
      <c r="C7" s="0" t="n">
        <v>2280.681</v>
      </c>
      <c r="D7" s="0" t="n">
        <v>283.869</v>
      </c>
      <c r="E7" s="0" t="n">
        <v>11.0689594665731</v>
      </c>
      <c r="F7" s="0" t="n">
        <v>63.444</v>
      </c>
      <c r="G7" s="0" t="n">
        <v>2.4738843071884</v>
      </c>
      <c r="H7" s="0" t="n">
        <v>425.163</v>
      </c>
      <c r="I7" s="0" t="n">
        <v>-70.778</v>
      </c>
      <c r="J7" s="0" t="n">
        <v>-2.75986040435944</v>
      </c>
      <c r="K7" s="0" t="n">
        <v>-0.55</v>
      </c>
      <c r="L7" s="0" t="n">
        <v>169.043</v>
      </c>
      <c r="M7" s="0" t="n">
        <v>98.912</v>
      </c>
      <c r="N7" s="0" t="n">
        <v>70.131</v>
      </c>
      <c r="O7" s="0" t="n">
        <v>3791.617</v>
      </c>
      <c r="P7" s="0" t="n">
        <v>8229.3</v>
      </c>
      <c r="Q7" s="0" t="n">
        <v>4437.697</v>
      </c>
      <c r="R7" s="0" t="n">
        <v>2950.201</v>
      </c>
      <c r="S7" s="0" t="n">
        <v>155.839</v>
      </c>
      <c r="T7" s="0" t="n">
        <v>129.381</v>
      </c>
      <c r="U7" s="0" t="n">
        <v>18.454</v>
      </c>
      <c r="V7" s="0" t="n">
        <v>0.76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2567.31</v>
      </c>
      <c r="C8" s="0" t="n">
        <v>2233.284</v>
      </c>
      <c r="D8" s="0" t="n">
        <v>334.026</v>
      </c>
      <c r="E8" s="0" t="n">
        <v>13.0107388667516</v>
      </c>
      <c r="F8" s="0" t="n">
        <v>84.781</v>
      </c>
      <c r="G8" s="0" t="n">
        <v>3.3023281177575</v>
      </c>
      <c r="H8" s="0" t="n">
        <v>416.74</v>
      </c>
      <c r="I8" s="0" t="n">
        <v>-52.593</v>
      </c>
      <c r="J8" s="0" t="n">
        <v>-2.04856445072858</v>
      </c>
      <c r="K8" s="0" t="n">
        <v>-0.41</v>
      </c>
      <c r="L8" s="0" t="n">
        <v>238.475</v>
      </c>
      <c r="M8" s="0" t="n">
        <v>93.357</v>
      </c>
      <c r="N8" s="0" t="n">
        <v>145.118</v>
      </c>
      <c r="O8" s="0" t="n">
        <v>3761.062</v>
      </c>
      <c r="P8" s="0" t="n">
        <v>8126.6</v>
      </c>
      <c r="Q8" s="0" t="n">
        <v>4365.537</v>
      </c>
      <c r="R8" s="0" t="n">
        <v>2827.605</v>
      </c>
      <c r="S8" s="0" t="n">
        <v>275.478</v>
      </c>
      <c r="T8" s="0" t="n">
        <v>129.745</v>
      </c>
      <c r="U8" s="0" t="n">
        <v>17.474</v>
      </c>
      <c r="V8" s="0" t="n">
        <v>0.04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2770.709</v>
      </c>
      <c r="C9" s="0" t="n">
        <v>2343.829</v>
      </c>
      <c r="D9" s="0" t="n">
        <v>426.88</v>
      </c>
      <c r="E9" s="0" t="n">
        <v>15.4068868293278</v>
      </c>
      <c r="F9" s="0" t="n">
        <v>190.404</v>
      </c>
      <c r="G9" s="0" t="n">
        <v>6.8720316713159</v>
      </c>
      <c r="H9" s="0" t="n">
        <v>497.512</v>
      </c>
      <c r="I9" s="0" t="n">
        <v>24.382</v>
      </c>
      <c r="J9" s="0" t="n">
        <v>0.879991366830656</v>
      </c>
      <c r="K9" s="0" t="n">
        <v>0.19</v>
      </c>
      <c r="L9" s="0" t="n">
        <v>356.499</v>
      </c>
      <c r="M9" s="0" t="n">
        <v>275.38</v>
      </c>
      <c r="N9" s="0" t="n">
        <v>81.119</v>
      </c>
      <c r="O9" s="0" t="n">
        <v>3938.106</v>
      </c>
      <c r="P9" s="0" t="n">
        <v>8233.114</v>
      </c>
      <c r="Q9" s="0" t="n">
        <v>4321.037</v>
      </c>
      <c r="R9" s="0" t="n">
        <v>2522.583</v>
      </c>
      <c r="S9" s="0" t="n">
        <v>193.738</v>
      </c>
      <c r="T9" s="0" t="n">
        <v>131.467</v>
      </c>
      <c r="U9" s="0" t="n">
        <v>22.093</v>
      </c>
      <c r="V9" s="0" t="n">
        <v>0.04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2994.169</v>
      </c>
      <c r="C10" s="0" t="n">
        <v>2406.587</v>
      </c>
      <c r="D10" s="0" t="n">
        <v>587.582</v>
      </c>
      <c r="E10" s="0" t="n">
        <v>19.6242095887039</v>
      </c>
      <c r="F10" s="0" t="n">
        <v>538.138</v>
      </c>
      <c r="G10" s="0" t="n">
        <v>17.9728665950386</v>
      </c>
      <c r="H10" s="0" t="n">
        <v>817.635</v>
      </c>
      <c r="I10" s="0" t="n">
        <v>204.923</v>
      </c>
      <c r="J10" s="0" t="n">
        <v>6.8440692559438</v>
      </c>
      <c r="K10" s="0" t="n">
        <v>1.56</v>
      </c>
      <c r="L10" s="0" t="n">
        <v>261.007</v>
      </c>
      <c r="M10" s="0" t="n">
        <v>224.852</v>
      </c>
      <c r="N10" s="0" t="n">
        <v>36.155</v>
      </c>
      <c r="O10" s="0" t="n">
        <v>4176.699</v>
      </c>
      <c r="P10" s="0" t="n">
        <v>8041.097</v>
      </c>
      <c r="Q10" s="0" t="n">
        <v>3864.398</v>
      </c>
      <c r="R10" s="0" t="n">
        <v>2134.916</v>
      </c>
      <c r="S10" s="0" t="n">
        <v>141.273</v>
      </c>
      <c r="T10" s="0" t="n">
        <v>132.991</v>
      </c>
      <c r="U10" s="0" t="n">
        <v>23.884</v>
      </c>
      <c r="V10" s="0" t="n">
        <v>0.22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3422.181</v>
      </c>
      <c r="C11" s="0" t="n">
        <v>2564.648</v>
      </c>
      <c r="D11" s="0" t="n">
        <v>857.533</v>
      </c>
      <c r="E11" s="0" t="n">
        <v>25.0580843035479</v>
      </c>
      <c r="F11" s="0" t="n">
        <v>549.778</v>
      </c>
      <c r="G11" s="0" t="n">
        <v>16.0651350702958</v>
      </c>
      <c r="H11" s="0" t="n">
        <v>824.601</v>
      </c>
      <c r="I11" s="0" t="n">
        <v>221.177</v>
      </c>
      <c r="J11" s="0" t="n">
        <v>6.46304213599456</v>
      </c>
      <c r="K11" s="0" t="n">
        <v>1.66</v>
      </c>
      <c r="L11" s="0" t="n">
        <v>519.538</v>
      </c>
      <c r="M11" s="0" t="n">
        <v>289.262</v>
      </c>
      <c r="N11" s="0" t="n">
        <v>230.276</v>
      </c>
      <c r="O11" s="0" t="n">
        <v>4454.188</v>
      </c>
      <c r="P11" s="0" t="n">
        <v>8301.632</v>
      </c>
      <c r="Q11" s="0" t="n">
        <v>3847.444</v>
      </c>
      <c r="R11" s="0" t="n">
        <v>1980.594</v>
      </c>
      <c r="S11" s="0" t="n">
        <v>284.06</v>
      </c>
      <c r="T11" s="0" t="n">
        <v>135.093</v>
      </c>
      <c r="U11" s="0" t="n">
        <v>18.248</v>
      </c>
      <c r="V11" s="0" t="n">
        <v>0.4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3592.667</v>
      </c>
      <c r="C12" s="0" t="n">
        <v>2603.782</v>
      </c>
      <c r="D12" s="0" t="n">
        <v>988.885</v>
      </c>
      <c r="E12" s="0" t="n">
        <v>27.5250948668496</v>
      </c>
      <c r="F12" s="0" t="n">
        <v>665.902</v>
      </c>
      <c r="G12" s="0" t="n">
        <v>18.5350326094793</v>
      </c>
      <c r="H12" s="0" t="n">
        <v>950.842</v>
      </c>
      <c r="I12" s="0" t="n">
        <v>419.491</v>
      </c>
      <c r="J12" s="0" t="n">
        <v>11.6763117761819</v>
      </c>
      <c r="K12" s="0" t="n">
        <v>3.15</v>
      </c>
      <c r="L12" s="0" t="n">
        <v>644.588</v>
      </c>
      <c r="M12" s="0" t="n">
        <v>350.148</v>
      </c>
      <c r="N12" s="0" t="n">
        <v>294.44</v>
      </c>
      <c r="O12" s="0" t="n">
        <v>4572.476</v>
      </c>
      <c r="P12" s="0" t="n">
        <v>8471.475</v>
      </c>
      <c r="Q12" s="0" t="n">
        <v>3898.999</v>
      </c>
      <c r="R12" s="0" t="n">
        <v>1983.027</v>
      </c>
      <c r="S12" s="0" t="n">
        <v>258.986</v>
      </c>
      <c r="T12" s="0" t="n">
        <v>135.79</v>
      </c>
      <c r="U12" s="0" t="n">
        <v>20.67</v>
      </c>
      <c r="V12" s="0" t="n">
        <v>0.8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3890.296</v>
      </c>
      <c r="C13" s="0" t="n">
        <v>2896.783</v>
      </c>
      <c r="D13" s="0" t="n">
        <v>993.513</v>
      </c>
      <c r="E13" s="0" t="n">
        <v>25.5382366791627</v>
      </c>
      <c r="F13" s="0" t="n">
        <v>639.044</v>
      </c>
      <c r="G13" s="0" t="n">
        <v>16.4266163808615</v>
      </c>
      <c r="H13" s="0" t="n">
        <v>945.009</v>
      </c>
      <c r="I13" s="0" t="n">
        <v>601.185</v>
      </c>
      <c r="J13" s="0" t="n">
        <v>15.4534513569147</v>
      </c>
      <c r="K13" s="0" t="n">
        <v>4.54</v>
      </c>
      <c r="L13" s="0" t="n">
        <v>644.678</v>
      </c>
      <c r="M13" s="0" t="n">
        <v>459.566</v>
      </c>
      <c r="N13" s="0" t="n">
        <v>185.112</v>
      </c>
      <c r="O13" s="0" t="n">
        <v>4968.893</v>
      </c>
      <c r="P13" s="0" t="n">
        <v>9504.891</v>
      </c>
      <c r="Q13" s="0" t="n">
        <v>4535.998</v>
      </c>
      <c r="R13" s="0" t="n">
        <v>2896.248</v>
      </c>
      <c r="S13" s="0" t="n">
        <v>141.646</v>
      </c>
      <c r="T13" s="0" t="n">
        <v>134.878</v>
      </c>
      <c r="U13" s="0" t="n">
        <v>26.635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4382.869</v>
      </c>
      <c r="C14" s="0" t="n">
        <v>3281.924</v>
      </c>
      <c r="D14" s="0" t="n">
        <v>1100.945</v>
      </c>
      <c r="E14" s="0" t="n">
        <v>25.1192768937424</v>
      </c>
      <c r="F14" s="0" t="n">
        <v>747.713</v>
      </c>
      <c r="G14" s="0" t="n">
        <v>17.0598984363895</v>
      </c>
      <c r="H14" s="0" t="n">
        <v>1093.959</v>
      </c>
      <c r="I14" s="0" t="n">
        <v>515.805</v>
      </c>
      <c r="J14" s="0" t="n">
        <v>11.7686611212884</v>
      </c>
      <c r="K14" s="0" t="n">
        <v>3.9</v>
      </c>
      <c r="L14" s="0" t="n">
        <v>832.777</v>
      </c>
      <c r="M14" s="0" t="n">
        <v>469.088</v>
      </c>
      <c r="N14" s="0" t="n">
        <v>363.689</v>
      </c>
      <c r="O14" s="0" t="n">
        <v>5202.9</v>
      </c>
      <c r="P14" s="0" t="n">
        <v>9832.13</v>
      </c>
      <c r="Q14" s="0" t="n">
        <v>4629.227</v>
      </c>
      <c r="R14" s="0" t="n">
        <v>2779.403</v>
      </c>
      <c r="S14" s="0" t="n">
        <v>40.037</v>
      </c>
      <c r="T14" s="0" t="n">
        <v>133.926</v>
      </c>
      <c r="U14" s="0" t="n">
        <v>25.215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4929.1</v>
      </c>
      <c r="C15" s="0" t="n">
        <v>3673.2</v>
      </c>
      <c r="D15" s="0" t="n">
        <v>1255.9</v>
      </c>
      <c r="E15" s="0" t="n">
        <v>25.4792964232821</v>
      </c>
      <c r="F15" s="0" t="n">
        <v>877.5</v>
      </c>
      <c r="G15" s="0" t="n">
        <v>17.8024385790509</v>
      </c>
      <c r="H15" s="0" t="n">
        <v>1252.1</v>
      </c>
      <c r="I15" s="0" t="n">
        <v>617.7</v>
      </c>
      <c r="J15" s="0" t="n">
        <v>12.5316994988943</v>
      </c>
      <c r="K15" s="0" t="n">
        <v>4.67</v>
      </c>
      <c r="L15" s="0" t="n">
        <v>984.1</v>
      </c>
      <c r="M15" s="0" t="n">
        <v>384.1</v>
      </c>
      <c r="N15" s="0" t="n">
        <v>600</v>
      </c>
      <c r="O15" s="0" t="n">
        <v>5621.9</v>
      </c>
      <c r="P15" s="0" t="n">
        <v>10648.8</v>
      </c>
      <c r="Q15" s="0" t="n">
        <v>5026.936</v>
      </c>
      <c r="R15" s="0" t="n">
        <v>2784.365</v>
      </c>
      <c r="S15" s="0" t="n">
        <v>271.589</v>
      </c>
      <c r="T15" s="0" t="n">
        <v>133.4</v>
      </c>
      <c r="U15" s="0" t="n">
        <v>31.8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4856.8</v>
      </c>
      <c r="C16" s="0" t="n">
        <v>3575.3</v>
      </c>
      <c r="D16" s="0" t="n">
        <v>1281.5</v>
      </c>
      <c r="E16" s="0" t="n">
        <v>26.385686048427</v>
      </c>
      <c r="F16" s="0" t="n">
        <v>895.7</v>
      </c>
      <c r="G16" s="0" t="n">
        <v>18.4421841541756</v>
      </c>
      <c r="H16" s="0" t="n">
        <v>1292.5</v>
      </c>
      <c r="I16" s="0" t="n">
        <v>584.5</v>
      </c>
      <c r="J16" s="0" t="n">
        <v>12.0346730357437</v>
      </c>
      <c r="K16" s="0" t="n">
        <v>4.41</v>
      </c>
      <c r="L16" s="0" t="n">
        <v>1070.4</v>
      </c>
      <c r="M16" s="0" t="n">
        <v>362.2</v>
      </c>
      <c r="N16" s="0" t="n">
        <v>708.2</v>
      </c>
      <c r="O16" s="0" t="n">
        <v>6027.3</v>
      </c>
      <c r="P16" s="0" t="n">
        <v>11686.9</v>
      </c>
      <c r="Q16" s="0" t="n">
        <v>5659.6</v>
      </c>
      <c r="R16" s="0" t="n">
        <v>3803</v>
      </c>
      <c r="S16" s="0" t="n">
        <v>1197.1</v>
      </c>
      <c r="T16" s="0" t="n">
        <v>133.2</v>
      </c>
      <c r="U16" s="0" t="n">
        <v>33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5552.2</v>
      </c>
      <c r="C17" s="0" t="n">
        <v>4178.8</v>
      </c>
      <c r="D17" s="0" t="n">
        <v>1373.4</v>
      </c>
      <c r="E17" s="0" t="n">
        <v>24.7361406289399</v>
      </c>
      <c r="F17" s="0" t="n">
        <v>1010.8</v>
      </c>
      <c r="G17" s="0" t="n">
        <v>18.2053960592198</v>
      </c>
      <c r="H17" s="0" t="n">
        <v>1473.8</v>
      </c>
      <c r="I17" s="0" t="n">
        <v>670.8</v>
      </c>
      <c r="J17" s="0" t="n">
        <v>12.0816973451965</v>
      </c>
      <c r="K17" s="0" t="n">
        <v>5.05</v>
      </c>
      <c r="L17" s="0" t="n">
        <v>1011.9</v>
      </c>
      <c r="M17" s="0" t="n">
        <v>451.3</v>
      </c>
      <c r="N17" s="0" t="n">
        <v>560.6</v>
      </c>
      <c r="O17" s="0" t="n">
        <v>6567.7</v>
      </c>
      <c r="P17" s="0" t="n">
        <v>13682.6</v>
      </c>
      <c r="Q17" s="0" t="n">
        <v>7114.9</v>
      </c>
      <c r="R17" s="0" t="n">
        <v>3885.2</v>
      </c>
      <c r="S17" s="0" t="n">
        <v>235</v>
      </c>
      <c r="T17" s="0" t="n">
        <v>133.5</v>
      </c>
      <c r="U17" s="0" t="n">
        <v>34.7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7315.2</v>
      </c>
      <c r="C18" s="0" t="n">
        <v>5757.5</v>
      </c>
      <c r="D18" s="0" t="n">
        <v>1557.7</v>
      </c>
      <c r="E18" s="0" t="n">
        <v>21.2940179352581</v>
      </c>
      <c r="F18" s="0" t="n">
        <v>951.4</v>
      </c>
      <c r="G18" s="0" t="n">
        <v>13.0057961504812</v>
      </c>
      <c r="H18" s="0" t="n">
        <v>1538.9</v>
      </c>
      <c r="I18" s="0" t="n">
        <v>576.5</v>
      </c>
      <c r="J18" s="0" t="n">
        <v>7.88085083114611</v>
      </c>
      <c r="K18" s="0" t="n">
        <v>4.33</v>
      </c>
      <c r="L18" s="0" t="n">
        <v>1148.2</v>
      </c>
      <c r="M18" s="0" t="n">
        <v>612.6</v>
      </c>
      <c r="N18" s="0" t="n">
        <v>535.6</v>
      </c>
      <c r="O18" s="0" t="n">
        <v>6952.2</v>
      </c>
      <c r="P18" s="0" t="n">
        <v>14234.6</v>
      </c>
      <c r="Q18" s="0" t="n">
        <v>7282.4</v>
      </c>
      <c r="R18" s="0" t="n">
        <v>3876.2</v>
      </c>
      <c r="S18" s="0" t="n">
        <v>161.4</v>
      </c>
      <c r="T18" s="0" t="n">
        <v>133.6</v>
      </c>
      <c r="U18" s="0" t="n">
        <v>41.1</v>
      </c>
      <c r="V18" s="0" t="n">
        <v>1.6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7781.9</v>
      </c>
      <c r="C19" s="0" t="n">
        <v>5833.4</v>
      </c>
      <c r="D19" s="0" t="n">
        <v>1948.5</v>
      </c>
      <c r="E19" s="0" t="n">
        <v>25.0388722548478</v>
      </c>
      <c r="F19" s="0" t="n">
        <v>1427.4</v>
      </c>
      <c r="G19" s="0" t="n">
        <v>18.3425641552834</v>
      </c>
      <c r="H19" s="0" t="n">
        <v>2044.4</v>
      </c>
      <c r="I19" s="0" t="n">
        <v>934.9</v>
      </c>
      <c r="J19" s="0" t="n">
        <v>12.0137755560981</v>
      </c>
      <c r="K19" s="0" t="n">
        <v>7.02</v>
      </c>
      <c r="L19" s="0" t="n">
        <v>1536.8</v>
      </c>
      <c r="M19" s="0" t="n">
        <v>872.6</v>
      </c>
      <c r="N19" s="0" t="n">
        <v>664.2</v>
      </c>
      <c r="O19" s="0" t="n">
        <v>7507.9</v>
      </c>
      <c r="P19" s="0" t="n">
        <v>14545.7</v>
      </c>
      <c r="Q19" s="0" t="n">
        <v>7037.8</v>
      </c>
      <c r="R19" s="0" t="n">
        <v>3878.3</v>
      </c>
      <c r="S19" s="0" t="n">
        <v>931.1</v>
      </c>
      <c r="T19" s="0" t="n">
        <v>133.7</v>
      </c>
      <c r="U19" s="0" t="n">
        <v>63.2</v>
      </c>
      <c r="V19" s="0" t="n">
        <v>1.72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7417.7</v>
      </c>
      <c r="C20" s="0" t="n">
        <v>5418.1</v>
      </c>
      <c r="D20" s="0" t="n">
        <v>1999.6</v>
      </c>
      <c r="E20" s="0" t="n">
        <v>26.9571430497324</v>
      </c>
      <c r="F20" s="0" t="n">
        <v>1364.5</v>
      </c>
      <c r="G20" s="0" t="n">
        <v>18.3951898836567</v>
      </c>
      <c r="H20" s="0" t="n">
        <v>1996.7</v>
      </c>
      <c r="I20" s="0" t="n">
        <v>913.1</v>
      </c>
      <c r="J20" s="0" t="n">
        <v>12.309745608477</v>
      </c>
      <c r="K20" s="0" t="n">
        <v>6.89</v>
      </c>
      <c r="L20" s="0" t="n">
        <v>1409.6</v>
      </c>
      <c r="M20" s="0" t="n">
        <v>603.5</v>
      </c>
      <c r="N20" s="0" t="n">
        <v>806.1</v>
      </c>
      <c r="O20" s="0" t="n">
        <v>8142.5</v>
      </c>
      <c r="P20" s="0" t="n">
        <v>17104.8</v>
      </c>
      <c r="Q20" s="0" t="n">
        <v>8962.3</v>
      </c>
      <c r="R20" s="0" t="n">
        <v>5707.9</v>
      </c>
      <c r="S20" s="0" t="n">
        <v>559.7</v>
      </c>
      <c r="T20" s="0" t="n">
        <v>133.1</v>
      </c>
      <c r="U20" s="0" t="n">
        <v>53.4</v>
      </c>
      <c r="V20" s="0" t="n">
        <v>1.84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7941.1</v>
      </c>
      <c r="C21" s="0" t="n">
        <v>5766.5</v>
      </c>
      <c r="D21" s="0" t="n">
        <v>2174.6</v>
      </c>
      <c r="E21" s="0" t="n">
        <v>27.3841155507423</v>
      </c>
      <c r="F21" s="0" t="n">
        <v>1619.6</v>
      </c>
      <c r="G21" s="0" t="n">
        <v>20.3951593607938</v>
      </c>
      <c r="H21" s="0" t="n">
        <v>2368.1</v>
      </c>
      <c r="I21" s="0" t="n">
        <v>1078.1</v>
      </c>
      <c r="J21" s="0" t="n">
        <v>13.5762048078982</v>
      </c>
      <c r="K21" s="0" t="n">
        <v>8.16</v>
      </c>
      <c r="L21" s="0" t="n">
        <v>1813</v>
      </c>
      <c r="M21" s="0" t="n">
        <v>677.7</v>
      </c>
      <c r="N21" s="0" t="n">
        <v>1135.3</v>
      </c>
      <c r="O21" s="0" t="n">
        <v>8548.9</v>
      </c>
      <c r="P21" s="0" t="n">
        <v>16700.4</v>
      </c>
      <c r="Q21" s="0" t="n">
        <v>8151.5</v>
      </c>
      <c r="R21" s="0" t="n">
        <v>4362.5</v>
      </c>
      <c r="S21" s="0" t="n">
        <v>183.3</v>
      </c>
      <c r="T21" s="0" t="n">
        <v>132.7</v>
      </c>
      <c r="U21" s="0" t="n">
        <v>63.1</v>
      </c>
      <c r="V21" s="0" t="n">
        <v>1.96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243.06</v>
      </c>
    </row>
    <row r="3" customFormat="false" ht="15" hidden="false" customHeight="false" outlineLevel="0" collapsed="false">
      <c r="A3" s="0" t="s">
        <v>86</v>
      </c>
      <c r="B3" s="3" t="n">
        <v>129.9</v>
      </c>
    </row>
    <row r="4" customFormat="false" ht="15" hidden="false" customHeight="false" outlineLevel="0" collapsed="false">
      <c r="A4" s="0" t="s">
        <v>87</v>
      </c>
      <c r="B4" s="3" t="n">
        <v>4075.6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7941.1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-4</v>
      </c>
      <c r="E13" s="3" t="n">
        <v>-2</v>
      </c>
      <c r="F13" s="3" t="n">
        <v>4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31</v>
      </c>
      <c r="D14" s="3" t="n">
        <v>28.5</v>
      </c>
      <c r="E14" s="3" t="n">
        <v>28</v>
      </c>
      <c r="F14" s="3" t="n">
        <v>29.5</v>
      </c>
      <c r="G14" s="3" t="n">
        <v>30.5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108</v>
      </c>
      <c r="C15" s="3" t="n">
        <v>1.2</v>
      </c>
      <c r="D15" s="3" t="n">
        <v>1.25</v>
      </c>
      <c r="E15" s="3" t="n">
        <v>1.25</v>
      </c>
      <c r="F15" s="3" t="n">
        <v>1.2</v>
      </c>
      <c r="G15" s="3" t="n">
        <v>1.2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8.7</v>
      </c>
      <c r="D17" s="3" t="n">
        <v>9.3</v>
      </c>
      <c r="E17" s="3" t="n">
        <v>9.5</v>
      </c>
      <c r="F17" s="3" t="n">
        <v>9.3</v>
      </c>
      <c r="G17" s="3" t="n">
        <v>9.1</v>
      </c>
      <c r="H17" s="3" t="n">
        <v>9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111</v>
      </c>
      <c r="C18" s="3" t="n">
        <v>9.3</v>
      </c>
      <c r="D18" s="3" t="n">
        <v>8</v>
      </c>
      <c r="E18" s="3" t="n">
        <v>7.8</v>
      </c>
      <c r="F18" s="3" t="n">
        <v>8.5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-12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</v>
      </c>
      <c r="D27" s="3" t="n">
        <v>6.5</v>
      </c>
      <c r="E27" s="3" t="n">
        <v>6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31.6</v>
      </c>
      <c r="D28" s="3" t="n">
        <v>32.3</v>
      </c>
      <c r="E28" s="3" t="n">
        <v>33</v>
      </c>
      <c r="F28" s="3" t="n">
        <v>33.5</v>
      </c>
      <c r="G28" s="3" t="n">
        <v>34</v>
      </c>
      <c r="H28" s="3" t="n">
        <v>34.3</v>
      </c>
      <c r="I28" s="3" t="n">
        <v>34.5</v>
      </c>
      <c r="J28" s="3" t="n">
        <v>34.5</v>
      </c>
      <c r="K28" s="3" t="n">
        <v>34.5</v>
      </c>
      <c r="L28" s="3" t="n">
        <v>34.5</v>
      </c>
    </row>
    <row r="29" customFormat="false" ht="15" hidden="false" customHeight="false" outlineLevel="0" collapsed="false">
      <c r="A29" s="0" t="s">
        <v>108</v>
      </c>
      <c r="C29" s="3" t="n">
        <v>1.2</v>
      </c>
      <c r="D29" s="3" t="n">
        <v>1.2</v>
      </c>
      <c r="E29" s="3" t="n">
        <v>1.15</v>
      </c>
      <c r="F29" s="3" t="n">
        <v>1.15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8.6</v>
      </c>
      <c r="D31" s="3" t="n">
        <v>8.7</v>
      </c>
      <c r="E31" s="3" t="n">
        <v>8.8</v>
      </c>
      <c r="F31" s="3" t="n">
        <v>8.8</v>
      </c>
      <c r="G31" s="3" t="n">
        <v>8.8</v>
      </c>
      <c r="H31" s="3" t="n">
        <v>8.8</v>
      </c>
      <c r="I31" s="3" t="n">
        <v>8.8</v>
      </c>
      <c r="J31" s="3" t="n">
        <v>8.8</v>
      </c>
      <c r="K31" s="3" t="n">
        <v>8.8</v>
      </c>
      <c r="L31" s="3" t="n">
        <v>8.8</v>
      </c>
    </row>
    <row r="32" customFormat="false" ht="15" hidden="false" customHeight="false" outlineLevel="0" collapsed="false">
      <c r="A32" s="0" t="s">
        <v>111</v>
      </c>
      <c r="C32" s="3" t="n">
        <v>9.5</v>
      </c>
      <c r="D32" s="3" t="n">
        <v>9.3</v>
      </c>
      <c r="E32" s="3" t="n">
        <v>9.2</v>
      </c>
      <c r="F32" s="3" t="n">
        <v>9</v>
      </c>
      <c r="G32" s="3" t="n">
        <v>9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-12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8.5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32</v>
      </c>
      <c r="D42" s="3" t="n">
        <v>33.3</v>
      </c>
      <c r="E42" s="3" t="n">
        <v>34.5</v>
      </c>
      <c r="F42" s="3" t="n">
        <v>35.5</v>
      </c>
      <c r="G42" s="3" t="n">
        <v>36.3</v>
      </c>
      <c r="H42" s="3" t="n">
        <v>36.8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108</v>
      </c>
      <c r="C43" s="3" t="n">
        <v>1.2</v>
      </c>
      <c r="D43" s="3" t="n">
        <v>1.2</v>
      </c>
      <c r="E43" s="3" t="n">
        <v>1.15</v>
      </c>
      <c r="F43" s="3" t="n">
        <v>1.15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8.6</v>
      </c>
      <c r="D45" s="3" t="n">
        <v>8.6</v>
      </c>
      <c r="E45" s="3" t="n">
        <v>8.6</v>
      </c>
      <c r="F45" s="3" t="n">
        <v>8.6</v>
      </c>
      <c r="G45" s="3" t="n">
        <v>8.6</v>
      </c>
      <c r="H45" s="3" t="n">
        <v>8.6</v>
      </c>
      <c r="I45" s="3" t="n">
        <v>8.6</v>
      </c>
      <c r="J45" s="3" t="n">
        <v>8.6</v>
      </c>
      <c r="K45" s="3" t="n">
        <v>8.6</v>
      </c>
      <c r="L45" s="3" t="n">
        <v>8.6</v>
      </c>
    </row>
    <row r="46" customFormat="false" ht="15" hidden="false" customHeight="false" outlineLevel="0" collapsed="false">
      <c r="A46" s="0" t="s">
        <v>111</v>
      </c>
      <c r="C46" s="3" t="n">
        <v>9.5</v>
      </c>
      <c r="D46" s="3" t="n">
        <v>9.3</v>
      </c>
      <c r="E46" s="3" t="n">
        <v>9.2</v>
      </c>
      <c r="F46" s="3" t="n">
        <v>9</v>
      </c>
      <c r="G46" s="3" t="n">
        <v>9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-12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-4</v>
      </c>
      <c r="E5" s="4" t="n">
        <f aca="false">Assumptions!E13</f>
        <v>-2</v>
      </c>
      <c r="F5" s="4" t="n">
        <f aca="false">Assumptions!F13</f>
        <v>4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7941.1</v>
      </c>
      <c r="C6" s="0" t="n">
        <f aca="false">B6*(1+C5/100)</f>
        <v>8020.511</v>
      </c>
      <c r="D6" s="0" t="n">
        <f aca="false">C6*(1+D5/100)</f>
        <v>7699.69056</v>
      </c>
      <c r="E6" s="0" t="n">
        <f aca="false">D6*(1+E5/100)</f>
        <v>7545.6967488</v>
      </c>
      <c r="F6" s="0" t="n">
        <f aca="false">E6*(1+F5/100)</f>
        <v>7847.524618752</v>
      </c>
      <c r="G6" s="0" t="n">
        <f aca="false">F6*(1+G5/100)</f>
        <v>8239.9008496896</v>
      </c>
      <c r="H6" s="0" t="n">
        <f aca="false">G6*(1+H5/100)</f>
        <v>8610.69638792563</v>
      </c>
      <c r="I6" s="0" t="n">
        <f aca="false">H6*(1+I5/100)</f>
        <v>8955.12424344266</v>
      </c>
      <c r="J6" s="0" t="n">
        <f aca="false">I6*(1+J5/100)</f>
        <v>9268.55359196315</v>
      </c>
      <c r="K6" s="0" t="n">
        <f aca="false">J6*(1+K5/100)</f>
        <v>9546.61019972205</v>
      </c>
      <c r="L6" s="0" t="n">
        <f aca="false">K6*(1+L5/100)</f>
        <v>9785.27545471509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</v>
      </c>
      <c r="D7" s="4" t="n">
        <f aca="false">Assumptions!D14</f>
        <v>28.5</v>
      </c>
      <c r="E7" s="4" t="n">
        <f aca="false">Assumptions!E14</f>
        <v>28</v>
      </c>
      <c r="F7" s="4" t="n">
        <f aca="false">Assumptions!F14</f>
        <v>29.5</v>
      </c>
      <c r="G7" s="4" t="n">
        <f aca="false">Assumptions!G14</f>
        <v>30.5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2486.35841</v>
      </c>
      <c r="D8" s="0" t="n">
        <f aca="false">D6*D7/100</f>
        <v>2194.4118096</v>
      </c>
      <c r="E8" s="0" t="n">
        <f aca="false">E6*E7/100</f>
        <v>2112.795089664</v>
      </c>
      <c r="F8" s="0" t="n">
        <f aca="false">F6*F7/100</f>
        <v>2315.01976253184</v>
      </c>
      <c r="G8" s="0" t="n">
        <f aca="false">G6*G7/100</f>
        <v>2513.16975915533</v>
      </c>
      <c r="H8" s="0" t="n">
        <f aca="false">H6*H7/100</f>
        <v>2669.31588025695</v>
      </c>
      <c r="I8" s="0" t="n">
        <f aca="false">I6*I7/100</f>
        <v>2776.08851546722</v>
      </c>
      <c r="J8" s="0" t="n">
        <f aca="false">J6*J7/100</f>
        <v>2873.25161350858</v>
      </c>
      <c r="K8" s="0" t="n">
        <f aca="false">K6*K7/100</f>
        <v>2959.44916191383</v>
      </c>
      <c r="L8" s="0" t="n">
        <f aca="false">L6*L7/100</f>
        <v>3033.43539096168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1.2</v>
      </c>
      <c r="D9" s="4" t="n">
        <f aca="false">Assumptions!D15</f>
        <v>1.25</v>
      </c>
      <c r="E9" s="4" t="n">
        <f aca="false">Assumptions!E15</f>
        <v>1.25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-96.246132</v>
      </c>
      <c r="D10" s="0" t="n">
        <f aca="false">-D6*D9/100</f>
        <v>-96.246132</v>
      </c>
      <c r="E10" s="0" t="n">
        <f aca="false">-E6*E9/100</f>
        <v>-94.32120936</v>
      </c>
      <c r="F10" s="0" t="n">
        <f aca="false">-F6*F9/100</f>
        <v>-94.170295425024</v>
      </c>
      <c r="G10" s="0" t="n">
        <f aca="false">-G6*G9/100</f>
        <v>-98.8788101962752</v>
      </c>
      <c r="H10" s="0" t="n">
        <f aca="false">-H6*H9/100</f>
        <v>-99.0230084611447</v>
      </c>
      <c r="I10" s="0" t="n">
        <f aca="false">-I6*I9/100</f>
        <v>-102.983928799591</v>
      </c>
      <c r="J10" s="0" t="n">
        <f aca="false">-J6*J9/100</f>
        <v>-106.588366307576</v>
      </c>
      <c r="K10" s="0" t="n">
        <f aca="false">-K6*K9/100</f>
        <v>-109.786017296804</v>
      </c>
      <c r="L10" s="0" t="n">
        <f aca="false">-L6*L9/100</f>
        <v>-112.530667729224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2390.112278</v>
      </c>
      <c r="D11" s="0" t="n">
        <f aca="false">D8+D10+D24</f>
        <v>2098.1656776</v>
      </c>
      <c r="E11" s="0" t="n">
        <f aca="false">E8+E10+E24</f>
        <v>2018.473880304</v>
      </c>
      <c r="F11" s="0" t="n">
        <f aca="false">F8+F10+F24</f>
        <v>2220.84946710682</v>
      </c>
      <c r="G11" s="0" t="n">
        <f aca="false">G8+G10+G24</f>
        <v>2414.29094895905</v>
      </c>
      <c r="H11" s="0" t="n">
        <f aca="false">H8+H10+H24</f>
        <v>2570.2928717958</v>
      </c>
      <c r="I11" s="0" t="n">
        <f aca="false">I8+I10+I24</f>
        <v>2673.10458666763</v>
      </c>
      <c r="J11" s="0" t="n">
        <f aca="false">J8+J10+J24</f>
        <v>2766.663247201</v>
      </c>
      <c r="K11" s="0" t="n">
        <f aca="false">K8+K10+K24</f>
        <v>2849.66314461703</v>
      </c>
      <c r="L11" s="0" t="n">
        <f aca="false">L8+L10+L24</f>
        <v>2920.90472323246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-697.784457</v>
      </c>
      <c r="D12" s="4" t="n">
        <f aca="false">-D6*Assumptions!D17/100</f>
        <v>-716.07122208</v>
      </c>
      <c r="E12" s="4" t="n">
        <f aca="false">-E6*Assumptions!E17/100</f>
        <v>-716.841191136</v>
      </c>
      <c r="F12" s="4" t="n">
        <f aca="false">-F6*Assumptions!F17/100</f>
        <v>-729.819789543936</v>
      </c>
      <c r="G12" s="4" t="n">
        <f aca="false">-G6*Assumptions!G17/100</f>
        <v>-749.830977321754</v>
      </c>
      <c r="H12" s="4" t="n">
        <f aca="false">-H6*Assumptions!H17/100</f>
        <v>-774.962674913307</v>
      </c>
      <c r="I12" s="4" t="n">
        <f aca="false">-I6*Assumptions!I17/100</f>
        <v>-805.961181909839</v>
      </c>
      <c r="J12" s="4" t="n">
        <f aca="false">-J6*Assumptions!J17/100</f>
        <v>-834.169823276684</v>
      </c>
      <c r="K12" s="4" t="n">
        <f aca="false">-K6*Assumptions!K17/100</f>
        <v>-859.194917974984</v>
      </c>
      <c r="L12" s="4" t="n">
        <f aca="false">-L6*Assumptions!L17/100</f>
        <v>-880.674790924359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1692.327821</v>
      </c>
      <c r="D13" s="0" t="n">
        <f aca="false">D11+D12</f>
        <v>1382.09445552</v>
      </c>
      <c r="E13" s="0" t="n">
        <f aca="false">E11+E12</f>
        <v>1301.632689168</v>
      </c>
      <c r="F13" s="0" t="n">
        <f aca="false">F11+F12</f>
        <v>1491.02967756288</v>
      </c>
      <c r="G13" s="0" t="n">
        <f aca="false">G11+G12</f>
        <v>1664.4599716373</v>
      </c>
      <c r="H13" s="0" t="n">
        <f aca="false">H11+H12</f>
        <v>1795.33019688249</v>
      </c>
      <c r="I13" s="0" t="n">
        <f aca="false">I11+I12</f>
        <v>1867.14340475779</v>
      </c>
      <c r="J13" s="0" t="n">
        <f aca="false">J11+J12</f>
        <v>1932.49342392432</v>
      </c>
      <c r="K13" s="0" t="n">
        <f aca="false">K11+K12</f>
        <v>1990.46822664205</v>
      </c>
      <c r="L13" s="0" t="n">
        <f aca="false">L11+L12</f>
        <v>2040.2299323081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1336.93897859</v>
      </c>
      <c r="D15" s="0" t="n">
        <f aca="false">D13-MAX(0,D13)*D14/100</f>
        <v>1091.8546198608</v>
      </c>
      <c r="E15" s="0" t="n">
        <f aca="false">E13-MAX(0,E13)*E14/100</f>
        <v>1028.28982444272</v>
      </c>
      <c r="F15" s="0" t="n">
        <f aca="false">F13-MAX(0,F13)*F14/100</f>
        <v>1177.91344527468</v>
      </c>
      <c r="G15" s="0" t="n">
        <f aca="false">G13-MAX(0,G13)*G14/100</f>
        <v>1314.92337759347</v>
      </c>
      <c r="H15" s="0" t="n">
        <f aca="false">H13-MAX(0,H13)*H14/100</f>
        <v>1418.31085553717</v>
      </c>
      <c r="I15" s="0" t="n">
        <f aca="false">I13-MAX(0,I13)*I14/100</f>
        <v>1475.04328975866</v>
      </c>
      <c r="J15" s="0" t="n">
        <f aca="false">J13-MAX(0,J13)*J14/100</f>
        <v>1526.66980490021</v>
      </c>
      <c r="K15" s="0" t="n">
        <f aca="false">K13-MAX(0,K13)*K14/100</f>
        <v>1572.46989904722</v>
      </c>
      <c r="L15" s="0" t="n">
        <f aca="false">L13-MAX(0,L13)*L14/100</f>
        <v>1611.7816465234</v>
      </c>
    </row>
    <row r="16" customFormat="false" ht="15" hidden="false" customHeight="false" outlineLevel="0" collapsed="false">
      <c r="A16" s="0" t="s">
        <v>128</v>
      </c>
      <c r="C16" s="0" t="n">
        <f aca="false">-C12</f>
        <v>697.784457</v>
      </c>
      <c r="D16" s="0" t="n">
        <f aca="false">-D12</f>
        <v>716.07122208</v>
      </c>
      <c r="E16" s="0" t="n">
        <f aca="false">-E12</f>
        <v>716.841191136</v>
      </c>
      <c r="F16" s="0" t="n">
        <f aca="false">-F12</f>
        <v>729.819789543936</v>
      </c>
      <c r="G16" s="0" t="n">
        <f aca="false">-G12</f>
        <v>749.830977321754</v>
      </c>
      <c r="H16" s="0" t="n">
        <f aca="false">-H12</f>
        <v>774.962674913307</v>
      </c>
      <c r="I16" s="0" t="n">
        <f aca="false">-I12</f>
        <v>805.961181909839</v>
      </c>
      <c r="J16" s="0" t="n">
        <f aca="false">-J12</f>
        <v>834.169823276684</v>
      </c>
      <c r="K16" s="0" t="n">
        <f aca="false">-K12</f>
        <v>859.194917974984</v>
      </c>
      <c r="L16" s="0" t="n">
        <f aca="false">-L12</f>
        <v>880.674790924359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-745.907523</v>
      </c>
      <c r="D17" s="4" t="n">
        <f aca="false">-D6*Assumptions!D18/100</f>
        <v>-615.9752448</v>
      </c>
      <c r="E17" s="4" t="n">
        <f aca="false">-E6*Assumptions!E18/100</f>
        <v>-588.5643464064</v>
      </c>
      <c r="F17" s="4" t="n">
        <f aca="false">-F6*Assumptions!F18/100</f>
        <v>-667.03959259392</v>
      </c>
      <c r="G17" s="4" t="n">
        <f aca="false">-G6*Assumptions!G18/100</f>
        <v>-741.591076472064</v>
      </c>
      <c r="H17" s="4" t="n">
        <f aca="false">-H6*Assumptions!H18/100</f>
        <v>-774.962674913307</v>
      </c>
      <c r="I17" s="4" t="n">
        <f aca="false">-I6*Assumptions!I18/100</f>
        <v>-805.961181909839</v>
      </c>
      <c r="J17" s="4" t="n">
        <f aca="false">-J6*Assumptions!J18/100</f>
        <v>-834.169823276684</v>
      </c>
      <c r="K17" s="4" t="n">
        <f aca="false">-K6*Assumptions!K18/100</f>
        <v>-859.194917974984</v>
      </c>
      <c r="L17" s="4" t="n">
        <f aca="false">-L6*Assumptions!L18/100</f>
        <v>-880.674790924359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-9.52932000000001</v>
      </c>
      <c r="D18" s="4" t="n">
        <f aca="false">(D6-C6)*Assumptions!$B$23/100</f>
        <v>38.4984528000001</v>
      </c>
      <c r="E18" s="4" t="n">
        <f aca="false">(E6-D6)*Assumptions!$B$23/100</f>
        <v>18.479257344</v>
      </c>
      <c r="F18" s="4" t="n">
        <f aca="false">(F6-E6)*Assumptions!$B$23/100</f>
        <v>-36.2193443942401</v>
      </c>
      <c r="G18" s="4" t="n">
        <f aca="false">(G6-F6)*Assumptions!$B$23/100</f>
        <v>-47.085147712512</v>
      </c>
      <c r="H18" s="4" t="n">
        <f aca="false">(H6-G6)*Assumptions!$B$23/100</f>
        <v>-44.4954645883237</v>
      </c>
      <c r="I18" s="4" t="n">
        <f aca="false">(I6-H6)*Assumptions!$B$23/100</f>
        <v>-41.3313426620431</v>
      </c>
      <c r="J18" s="4" t="n">
        <f aca="false">(J6-I6)*Assumptions!$B$23/100</f>
        <v>-37.6115218224591</v>
      </c>
      <c r="K18" s="4" t="n">
        <f aca="false">(K6-J6)*Assumptions!$B$23/100</f>
        <v>-33.3667929310675</v>
      </c>
      <c r="L18" s="4" t="n">
        <f aca="false">(L6-K6)*Assumptions!$B$23/100</f>
        <v>-28.6398305991659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1279.28659259</v>
      </c>
      <c r="D19" s="0" t="n">
        <f aca="false">D15+D16+D17+D18</f>
        <v>1230.4490499408</v>
      </c>
      <c r="E19" s="0" t="n">
        <f aca="false">E15+E16+E17+E18</f>
        <v>1175.04592651632</v>
      </c>
      <c r="F19" s="0" t="n">
        <f aca="false">F15+F16+F17+F18</f>
        <v>1204.47429783045</v>
      </c>
      <c r="G19" s="0" t="n">
        <f aca="false">G15+G16+G17+G18</f>
        <v>1276.07813073064</v>
      </c>
      <c r="H19" s="0" t="n">
        <f aca="false">H15+H16+H17+H18</f>
        <v>1373.81539094885</v>
      </c>
      <c r="I19" s="0" t="n">
        <f aca="false">I15+I16+I17+I18</f>
        <v>1433.71194709661</v>
      </c>
      <c r="J19" s="0" t="n">
        <f aca="false">J15+J16+J17+J18</f>
        <v>1489.05828307775</v>
      </c>
      <c r="K19" s="0" t="n">
        <f aca="false">K15+K16+K17+K18</f>
        <v>1539.10310611615</v>
      </c>
      <c r="L19" s="0" t="n">
        <f aca="false">L15+L16+L17+L18</f>
        <v>1583.14181592423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1179.06598395392</v>
      </c>
      <c r="D21" s="0" t="n">
        <f aca="false">D19*D20</f>
        <v>1045.21145060698</v>
      </c>
      <c r="E21" s="0" t="n">
        <f aca="false">E19*E20</f>
        <v>919.952971897667</v>
      </c>
      <c r="F21" s="0" t="n">
        <f aca="false">F19*F20</f>
        <v>869.117679376153</v>
      </c>
      <c r="G21" s="0" t="n">
        <f aca="false">G19*G20</f>
        <v>848.649920600878</v>
      </c>
      <c r="H21" s="0" t="n">
        <f aca="false">H19*H20</f>
        <v>842.073399256907</v>
      </c>
      <c r="I21" s="0" t="n">
        <f aca="false">I19*I20</f>
        <v>809.941658332567</v>
      </c>
      <c r="J21" s="0" t="n">
        <f aca="false">J19*J20</f>
        <v>775.307153868233</v>
      </c>
      <c r="K21" s="0" t="n">
        <f aca="false">K19*K20</f>
        <v>738.584298839374</v>
      </c>
      <c r="L21" s="0" t="n">
        <f aca="false">L19*L20</f>
        <v>700.200535118313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8728.10505185099</v>
      </c>
    </row>
    <row r="31" customFormat="false" ht="15" hidden="false" customHeight="false" outlineLevel="0" collapsed="false">
      <c r="A31" s="0" t="s">
        <v>137</v>
      </c>
      <c r="B31" s="0" t="n">
        <f aca="false">L19</f>
        <v>1583.14181592423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27045.3393553723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23747.1272388635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23747.1272388635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10503.0080267747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19231.1130786257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15155.5130786257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116.670616463631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-0.519992526686287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654.843559677636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850.24899846706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128.257164255353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12981.7628905787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44.0366433817829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7941.1</v>
      </c>
      <c r="C6" s="0" t="n">
        <f aca="false">B6*(1+C5/100)</f>
        <v>8099.922</v>
      </c>
      <c r="D6" s="0" t="n">
        <f aca="false">C6*(1+D5/100)</f>
        <v>8626.41693</v>
      </c>
      <c r="E6" s="0" t="n">
        <f aca="false">D6*(1+E5/100)</f>
        <v>9144.0019458</v>
      </c>
      <c r="F6" s="0" t="n">
        <f aca="false">E6*(1+F5/100)</f>
        <v>9692.642062548</v>
      </c>
      <c r="G6" s="0" t="n">
        <f aca="false">F6*(1+G5/100)</f>
        <v>10225.7373759881</v>
      </c>
      <c r="H6" s="0" t="n">
        <f aca="false">G6*(1+H5/100)</f>
        <v>10737.0242447875</v>
      </c>
      <c r="I6" s="0" t="n">
        <f aca="false">H6*(1+I5/100)</f>
        <v>11220.190335803</v>
      </c>
      <c r="J6" s="0" t="n">
        <f aca="false">I6*(1+J5/100)</f>
        <v>11668.9979492351</v>
      </c>
      <c r="K6" s="0" t="n">
        <f aca="false">J6*(1+K5/100)</f>
        <v>12077.4128774583</v>
      </c>
      <c r="L6" s="0" t="n">
        <f aca="false">K6*(1+L5/100)</f>
        <v>12439.7352637821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31.6</v>
      </c>
      <c r="D7" s="4" t="n">
        <f aca="false">Assumptions!D28</f>
        <v>32.3</v>
      </c>
      <c r="E7" s="4" t="n">
        <f aca="false">Assumptions!E28</f>
        <v>33</v>
      </c>
      <c r="F7" s="4" t="n">
        <f aca="false">Assumptions!F28</f>
        <v>33.5</v>
      </c>
      <c r="G7" s="4" t="n">
        <f aca="false">Assumptions!G28</f>
        <v>34</v>
      </c>
      <c r="H7" s="4" t="n">
        <f aca="false">Assumptions!H28</f>
        <v>34.3</v>
      </c>
      <c r="I7" s="4" t="n">
        <f aca="false">Assumptions!I28</f>
        <v>34.5</v>
      </c>
      <c r="J7" s="4" t="n">
        <f aca="false">Assumptions!J28</f>
        <v>34.5</v>
      </c>
      <c r="K7" s="4" t="n">
        <f aca="false">Assumptions!K28</f>
        <v>34.5</v>
      </c>
      <c r="L7" s="4" t="n">
        <f aca="false">Assumptions!L28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2559.575352</v>
      </c>
      <c r="D8" s="0" t="n">
        <f aca="false">D6*D7/100</f>
        <v>2786.33266839</v>
      </c>
      <c r="E8" s="0" t="n">
        <f aca="false">E6*E7/100</f>
        <v>3017.520642114</v>
      </c>
      <c r="F8" s="0" t="n">
        <f aca="false">F6*F7/100</f>
        <v>3247.03509095358</v>
      </c>
      <c r="G8" s="0" t="n">
        <f aca="false">G6*G7/100</f>
        <v>3476.75070783597</v>
      </c>
      <c r="H8" s="0" t="n">
        <f aca="false">H6*H7/100</f>
        <v>3682.79931596213</v>
      </c>
      <c r="I8" s="0" t="n">
        <f aca="false">I6*I7/100</f>
        <v>3870.96566585203</v>
      </c>
      <c r="J8" s="0" t="n">
        <f aca="false">J6*J7/100</f>
        <v>4025.80429248611</v>
      </c>
      <c r="K8" s="0" t="n">
        <f aca="false">K6*K7/100</f>
        <v>4166.70744272313</v>
      </c>
      <c r="L8" s="0" t="n">
        <f aca="false">L6*L7/100</f>
        <v>4291.70866600482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1.15</v>
      </c>
      <c r="F9" s="4" t="n">
        <f aca="false">Assumptions!F29</f>
        <v>1.15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-97.199064</v>
      </c>
      <c r="D10" s="0" t="n">
        <f aca="false">-D6*D9/100</f>
        <v>-103.51700316</v>
      </c>
      <c r="E10" s="0" t="n">
        <f aca="false">-E6*E9/100</f>
        <v>-105.1560223767</v>
      </c>
      <c r="F10" s="0" t="n">
        <f aca="false">-F6*F9/100</f>
        <v>-111.465383719302</v>
      </c>
      <c r="G10" s="0" t="n">
        <f aca="false">-G6*G9/100</f>
        <v>-112.48311113587</v>
      </c>
      <c r="H10" s="0" t="n">
        <f aca="false">-H6*H9/100</f>
        <v>-118.107266692663</v>
      </c>
      <c r="I10" s="0" t="n">
        <f aca="false">-I6*I9/100</f>
        <v>-123.422093693833</v>
      </c>
      <c r="J10" s="0" t="n">
        <f aca="false">-J6*J9/100</f>
        <v>-128.358977441586</v>
      </c>
      <c r="K10" s="0" t="n">
        <f aca="false">-K6*K9/100</f>
        <v>-132.851541652042</v>
      </c>
      <c r="L10" s="0" t="n">
        <f aca="false">-L6*L9/100</f>
        <v>-136.837087901603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2462.376288</v>
      </c>
      <c r="D11" s="0" t="n">
        <f aca="false">D8+D10+D24</f>
        <v>2682.81566523</v>
      </c>
      <c r="E11" s="0" t="n">
        <f aca="false">E8+E10+E24</f>
        <v>2912.3646197373</v>
      </c>
      <c r="F11" s="0" t="n">
        <f aca="false">F8+F10+F24</f>
        <v>3135.56970723428</v>
      </c>
      <c r="G11" s="0" t="n">
        <f aca="false">G8+G10+G24</f>
        <v>3364.2675967001</v>
      </c>
      <c r="H11" s="0" t="n">
        <f aca="false">H8+H10+H24</f>
        <v>3564.69204926947</v>
      </c>
      <c r="I11" s="0" t="n">
        <f aca="false">I8+I10+I24</f>
        <v>3747.5435721582</v>
      </c>
      <c r="J11" s="0" t="n">
        <f aca="false">J8+J10+J24</f>
        <v>3897.44531504453</v>
      </c>
      <c r="K11" s="0" t="n">
        <f aca="false">K8+K10+K24</f>
        <v>4033.85590107108</v>
      </c>
      <c r="L11" s="0" t="n">
        <f aca="false">L8+L10+L24</f>
        <v>4154.87157810322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-696.593292</v>
      </c>
      <c r="D12" s="4" t="n">
        <f aca="false">-D6*Assumptions!D31/100</f>
        <v>-750.49827291</v>
      </c>
      <c r="E12" s="4" t="n">
        <f aca="false">-E6*Assumptions!E31/100</f>
        <v>-804.6721712304</v>
      </c>
      <c r="F12" s="4" t="n">
        <f aca="false">-F6*Assumptions!F31/100</f>
        <v>-852.952501504224</v>
      </c>
      <c r="G12" s="4" t="n">
        <f aca="false">-G6*Assumptions!G31/100</f>
        <v>-899.864889086956</v>
      </c>
      <c r="H12" s="4" t="n">
        <f aca="false">-H6*Assumptions!H31/100</f>
        <v>-944.858133541304</v>
      </c>
      <c r="I12" s="4" t="n">
        <f aca="false">-I6*Assumptions!I31/100</f>
        <v>-987.376749550663</v>
      </c>
      <c r="J12" s="4" t="n">
        <f aca="false">-J6*Assumptions!J31/100</f>
        <v>-1026.87181953269</v>
      </c>
      <c r="K12" s="4" t="n">
        <f aca="false">-K6*Assumptions!K31/100</f>
        <v>-1062.81233321633</v>
      </c>
      <c r="L12" s="4" t="n">
        <f aca="false">-L6*Assumptions!L31/100</f>
        <v>-1094.69670321282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1765.782996</v>
      </c>
      <c r="D13" s="0" t="n">
        <f aca="false">D11+D12</f>
        <v>1932.31739232</v>
      </c>
      <c r="E13" s="0" t="n">
        <f aca="false">E11+E12</f>
        <v>2107.6924485069</v>
      </c>
      <c r="F13" s="0" t="n">
        <f aca="false">F11+F12</f>
        <v>2282.61720573005</v>
      </c>
      <c r="G13" s="0" t="n">
        <f aca="false">G11+G12</f>
        <v>2464.40270761314</v>
      </c>
      <c r="H13" s="0" t="n">
        <f aca="false">H11+H12</f>
        <v>2619.83391572816</v>
      </c>
      <c r="I13" s="0" t="n">
        <f aca="false">I11+I12</f>
        <v>2760.16682260753</v>
      </c>
      <c r="J13" s="0" t="n">
        <f aca="false">J11+J12</f>
        <v>2870.57349551184</v>
      </c>
      <c r="K13" s="0" t="n">
        <f aca="false">K11+K12</f>
        <v>2971.04356785475</v>
      </c>
      <c r="L13" s="0" t="n">
        <f aca="false">L11+L12</f>
        <v>3060.17487489039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1394.96856684</v>
      </c>
      <c r="D15" s="0" t="n">
        <f aca="false">D13-MAX(0,D13)*D14/100</f>
        <v>1526.5307399328</v>
      </c>
      <c r="E15" s="0" t="n">
        <f aca="false">E13-MAX(0,E13)*E14/100</f>
        <v>1665.07703432045</v>
      </c>
      <c r="F15" s="0" t="n">
        <f aca="false">F13-MAX(0,F13)*F14/100</f>
        <v>1803.26759252674</v>
      </c>
      <c r="G15" s="0" t="n">
        <f aca="false">G13-MAX(0,G13)*G14/100</f>
        <v>1946.87813901438</v>
      </c>
      <c r="H15" s="0" t="n">
        <f aca="false">H13-MAX(0,H13)*H14/100</f>
        <v>2069.66879342525</v>
      </c>
      <c r="I15" s="0" t="n">
        <f aca="false">I13-MAX(0,I13)*I14/100</f>
        <v>2180.53178985995</v>
      </c>
      <c r="J15" s="0" t="n">
        <f aca="false">J13-MAX(0,J13)*J14/100</f>
        <v>2267.75306145435</v>
      </c>
      <c r="K15" s="0" t="n">
        <f aca="false">K13-MAX(0,K13)*K14/100</f>
        <v>2347.12441860525</v>
      </c>
      <c r="L15" s="0" t="n">
        <f aca="false">L13-MAX(0,L13)*L14/100</f>
        <v>2417.53815116341</v>
      </c>
    </row>
    <row r="16" customFormat="false" ht="15" hidden="false" customHeight="false" outlineLevel="0" collapsed="false">
      <c r="A16" s="0" t="s">
        <v>128</v>
      </c>
      <c r="C16" s="0" t="n">
        <f aca="false">-C12</f>
        <v>696.593292</v>
      </c>
      <c r="D16" s="0" t="n">
        <f aca="false">-D12</f>
        <v>750.49827291</v>
      </c>
      <c r="E16" s="0" t="n">
        <f aca="false">-E12</f>
        <v>804.6721712304</v>
      </c>
      <c r="F16" s="0" t="n">
        <f aca="false">-F12</f>
        <v>852.952501504224</v>
      </c>
      <c r="G16" s="0" t="n">
        <f aca="false">-G12</f>
        <v>899.864889086956</v>
      </c>
      <c r="H16" s="0" t="n">
        <f aca="false">-H12</f>
        <v>944.858133541304</v>
      </c>
      <c r="I16" s="0" t="n">
        <f aca="false">-I12</f>
        <v>987.376749550663</v>
      </c>
      <c r="J16" s="0" t="n">
        <f aca="false">-J12</f>
        <v>1026.87181953269</v>
      </c>
      <c r="K16" s="0" t="n">
        <f aca="false">-K12</f>
        <v>1062.81233321633</v>
      </c>
      <c r="L16" s="0" t="n">
        <f aca="false">-L12</f>
        <v>1094.69670321282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-769.49259</v>
      </c>
      <c r="D17" s="4" t="n">
        <f aca="false">-D6*Assumptions!D32/100</f>
        <v>-802.25677449</v>
      </c>
      <c r="E17" s="4" t="n">
        <f aca="false">-E6*Assumptions!E32/100</f>
        <v>-841.2481790136</v>
      </c>
      <c r="F17" s="4" t="n">
        <f aca="false">-F6*Assumptions!F32/100</f>
        <v>-872.33778562932</v>
      </c>
      <c r="G17" s="4" t="n">
        <f aca="false">-G6*Assumptions!G32/100</f>
        <v>-920.316363838933</v>
      </c>
      <c r="H17" s="4" t="n">
        <f aca="false">-H6*Assumptions!H32/100</f>
        <v>-966.332182030879</v>
      </c>
      <c r="I17" s="4" t="n">
        <f aca="false">-I6*Assumptions!I32/100</f>
        <v>-1009.81713022227</v>
      </c>
      <c r="J17" s="4" t="n">
        <f aca="false">-J6*Assumptions!J32/100</f>
        <v>-1050.20981543116</v>
      </c>
      <c r="K17" s="4" t="n">
        <f aca="false">-K6*Assumptions!K32/100</f>
        <v>-1086.96715897125</v>
      </c>
      <c r="L17" s="4" t="n">
        <f aca="false">-L6*Assumptions!L32/100</f>
        <v>-1119.57617374039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-19.05864</v>
      </c>
      <c r="D18" s="4" t="n">
        <f aca="false">(D6-C6)*Assumptions!$B$37/100</f>
        <v>-63.1793915999999</v>
      </c>
      <c r="E18" s="4" t="n">
        <f aca="false">(E6-D6)*Assumptions!$B$37/100</f>
        <v>-62.1102018960001</v>
      </c>
      <c r="F18" s="4" t="n">
        <f aca="false">(F6-E6)*Assumptions!$B$37/100</f>
        <v>-65.83681400976</v>
      </c>
      <c r="G18" s="4" t="n">
        <f aca="false">(G6-F6)*Assumptions!$B$37/100</f>
        <v>-63.9714376128167</v>
      </c>
      <c r="H18" s="4" t="n">
        <f aca="false">(H6-G6)*Assumptions!$B$37/100</f>
        <v>-61.3544242559288</v>
      </c>
      <c r="I18" s="4" t="n">
        <f aca="false">(I6-H6)*Assumptions!$B$37/100</f>
        <v>-57.9799309218527</v>
      </c>
      <c r="J18" s="4" t="n">
        <f aca="false">(J6-I6)*Assumptions!$B$37/100</f>
        <v>-53.8569136118544</v>
      </c>
      <c r="K18" s="4" t="n">
        <f aca="false">(K6-J6)*Assumptions!$B$37/100</f>
        <v>-49.0097913867874</v>
      </c>
      <c r="L18" s="4" t="n">
        <f aca="false">(L6-K6)*Assumptions!$B$37/100</f>
        <v>-43.4786863588501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1303.01062884</v>
      </c>
      <c r="D19" s="0" t="n">
        <f aca="false">D15+D16+D17+D18</f>
        <v>1411.5928467528</v>
      </c>
      <c r="E19" s="0" t="n">
        <f aca="false">E15+E16+E17+E18</f>
        <v>1566.39082464125</v>
      </c>
      <c r="F19" s="0" t="n">
        <f aca="false">F15+F16+F17+F18</f>
        <v>1718.04549439189</v>
      </c>
      <c r="G19" s="0" t="n">
        <f aca="false">G15+G16+G17+G18</f>
        <v>1862.45522664959</v>
      </c>
      <c r="H19" s="0" t="n">
        <f aca="false">H15+H16+H17+H18</f>
        <v>1986.84032067974</v>
      </c>
      <c r="I19" s="0" t="n">
        <f aca="false">I15+I16+I17+I18</f>
        <v>2100.11147826649</v>
      </c>
      <c r="J19" s="0" t="n">
        <f aca="false">J15+J16+J17+J18</f>
        <v>2190.55815194403</v>
      </c>
      <c r="K19" s="0" t="n">
        <f aca="false">K15+K16+K17+K18</f>
        <v>2273.95980146355</v>
      </c>
      <c r="L19" s="0" t="n">
        <f aca="false">L15+L16+L17+L18</f>
        <v>2349.179994277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1200.93145515207</v>
      </c>
      <c r="D21" s="0" t="n">
        <f aca="false">D19*D20</f>
        <v>1199.08500647948</v>
      </c>
      <c r="E21" s="0" t="n">
        <f aca="false">E19*E20</f>
        <v>1226.34006191922</v>
      </c>
      <c r="F21" s="0" t="n">
        <f aca="false">F19*F20</f>
        <v>1239.69744795561</v>
      </c>
      <c r="G21" s="0" t="n">
        <f aca="false">G19*G20</f>
        <v>1238.61732456294</v>
      </c>
      <c r="H21" s="0" t="n">
        <f aca="false">H19*H20</f>
        <v>1217.82402034377</v>
      </c>
      <c r="I21" s="0" t="n">
        <f aca="false">I19*I20</f>
        <v>1186.40831363303</v>
      </c>
      <c r="J21" s="0" t="n">
        <f aca="false">J19*J20</f>
        <v>1140.55670316425</v>
      </c>
      <c r="K21" s="0" t="n">
        <f aca="false">K19*K20</f>
        <v>1091.22709120576</v>
      </c>
      <c r="L21" s="0" t="n">
        <f aca="false">L19*L20</f>
        <v>1039.00804876517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11779.6954731813</v>
      </c>
    </row>
    <row r="31" customFormat="false" ht="15" hidden="false" customHeight="false" outlineLevel="0" collapsed="false">
      <c r="A31" s="0" t="s">
        <v>137</v>
      </c>
      <c r="B31" s="0" t="n">
        <f aca="false">L19</f>
        <v>2349.179994277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43993.7344382783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42285.2398969859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42285.2398969859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18702.1448777731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30481.8403509544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26406.2403509544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203.281296004268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-0.163657960979725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748.305953703995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1133.39417566274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217.767055275759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20163.7949508776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74.2020934117223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7941.1</v>
      </c>
      <c r="C6" s="0" t="n">
        <f aca="false">B6*(1+C5/100)</f>
        <v>8179.333</v>
      </c>
      <c r="D6" s="0" t="n">
        <f aca="false">C6*(1+D5/100)</f>
        <v>8874.576305</v>
      </c>
      <c r="E6" s="0" t="n">
        <f aca="false">D6*(1+E5/100)</f>
        <v>9584.5424094</v>
      </c>
      <c r="F6" s="0" t="n">
        <f aca="false">E6*(1+F5/100)</f>
        <v>10303.383090105</v>
      </c>
      <c r="G6" s="0" t="n">
        <f aca="false">F6*(1+G5/100)</f>
        <v>11024.6199064124</v>
      </c>
      <c r="H6" s="0" t="n">
        <f aca="false">G6*(1+H5/100)</f>
        <v>11741.2202003292</v>
      </c>
      <c r="I6" s="0" t="n">
        <f aca="false">H6*(1+I5/100)</f>
        <v>12445.6934123489</v>
      </c>
      <c r="J6" s="0" t="n">
        <f aca="false">I6*(1+J5/100)</f>
        <v>13067.9780829664</v>
      </c>
      <c r="K6" s="0" t="n">
        <f aca="false">J6*(1+K5/100)</f>
        <v>13656.0370966998</v>
      </c>
      <c r="L6" s="0" t="n">
        <f aca="false">K6*(1+L5/100)</f>
        <v>14202.2785805678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</v>
      </c>
      <c r="D7" s="4" t="n">
        <f aca="false">Assumptions!D42</f>
        <v>33.3</v>
      </c>
      <c r="E7" s="4" t="n">
        <f aca="false">Assumptions!E42</f>
        <v>34.5</v>
      </c>
      <c r="F7" s="4" t="n">
        <f aca="false">Assumptions!F42</f>
        <v>35.5</v>
      </c>
      <c r="G7" s="4" t="n">
        <f aca="false">Assumptions!G42</f>
        <v>36.3</v>
      </c>
      <c r="H7" s="4" t="n">
        <f aca="false">Assumptions!H42</f>
        <v>36.8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2617.38656</v>
      </c>
      <c r="D8" s="0" t="n">
        <f aca="false">D6*D7/100</f>
        <v>2955.233909565</v>
      </c>
      <c r="E8" s="0" t="n">
        <f aca="false">E6*E7/100</f>
        <v>3306.667131243</v>
      </c>
      <c r="F8" s="0" t="n">
        <f aca="false">F6*F7/100</f>
        <v>3657.70099698728</v>
      </c>
      <c r="G8" s="0" t="n">
        <f aca="false">G6*G7/100</f>
        <v>4001.93702602768</v>
      </c>
      <c r="H8" s="0" t="n">
        <f aca="false">H6*H7/100</f>
        <v>4320.76903372113</v>
      </c>
      <c r="I8" s="0" t="n">
        <f aca="false">I6*I7/100</f>
        <v>4604.9065625691</v>
      </c>
      <c r="J8" s="0" t="n">
        <f aca="false">J6*J7/100</f>
        <v>4835.15189069755</v>
      </c>
      <c r="K8" s="0" t="n">
        <f aca="false">K6*K7/100</f>
        <v>5052.73372577894</v>
      </c>
      <c r="L8" s="0" t="n">
        <f aca="false">L6*L7/100</f>
        <v>5254.8430748101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1.15</v>
      </c>
      <c r="F9" s="4" t="n">
        <f aca="false">Assumptions!F43</f>
        <v>1.15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-98.151996</v>
      </c>
      <c r="D10" s="0" t="n">
        <f aca="false">-D6*D9/100</f>
        <v>-106.49491566</v>
      </c>
      <c r="E10" s="0" t="n">
        <f aca="false">-E6*E9/100</f>
        <v>-110.2222377081</v>
      </c>
      <c r="F10" s="0" t="n">
        <f aca="false">-F6*F9/100</f>
        <v>-118.488905536208</v>
      </c>
      <c r="G10" s="0" t="n">
        <f aca="false">-G6*G9/100</f>
        <v>-121.270818970536</v>
      </c>
      <c r="H10" s="0" t="n">
        <f aca="false">-H6*H9/100</f>
        <v>-129.153422203621</v>
      </c>
      <c r="I10" s="0" t="n">
        <f aca="false">-I6*I9/100</f>
        <v>-136.902627535838</v>
      </c>
      <c r="J10" s="0" t="n">
        <f aca="false">-J6*J9/100</f>
        <v>-143.74775891263</v>
      </c>
      <c r="K10" s="0" t="n">
        <f aca="false">-K6*K9/100</f>
        <v>-150.216408063698</v>
      </c>
      <c r="L10" s="0" t="n">
        <f aca="false">-L6*L9/100</f>
        <v>-156.225064386246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2519.234564</v>
      </c>
      <c r="D11" s="0" t="n">
        <f aca="false">D8+D10+D24</f>
        <v>2848.738993905</v>
      </c>
      <c r="E11" s="0" t="n">
        <f aca="false">E8+E10+E24</f>
        <v>3196.4448935349</v>
      </c>
      <c r="F11" s="0" t="n">
        <f aca="false">F8+F10+F24</f>
        <v>3539.21209145107</v>
      </c>
      <c r="G11" s="0" t="n">
        <f aca="false">G8+G10+G24</f>
        <v>3880.66620705715</v>
      </c>
      <c r="H11" s="0" t="n">
        <f aca="false">H8+H10+H24</f>
        <v>4191.61561151751</v>
      </c>
      <c r="I11" s="0" t="n">
        <f aca="false">I8+I10+I24</f>
        <v>4468.00393503326</v>
      </c>
      <c r="J11" s="0" t="n">
        <f aca="false">J8+J10+J24</f>
        <v>4691.40413178492</v>
      </c>
      <c r="K11" s="0" t="n">
        <f aca="false">K8+K10+K24</f>
        <v>4902.51731771524</v>
      </c>
      <c r="L11" s="0" t="n">
        <f aca="false">L8+L10+L24</f>
        <v>5098.61801042385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-703.422638</v>
      </c>
      <c r="D12" s="4" t="n">
        <f aca="false">-D6*Assumptions!D45/100</f>
        <v>-763.21356223</v>
      </c>
      <c r="E12" s="4" t="n">
        <f aca="false">-E6*Assumptions!E45/100</f>
        <v>-824.2706472084</v>
      </c>
      <c r="F12" s="4" t="n">
        <f aca="false">-F6*Assumptions!F45/100</f>
        <v>-886.09094574903</v>
      </c>
      <c r="G12" s="4" t="n">
        <f aca="false">-G6*Assumptions!G45/100</f>
        <v>-948.117311951462</v>
      </c>
      <c r="H12" s="4" t="n">
        <f aca="false">-H6*Assumptions!H45/100</f>
        <v>-1009.74493722831</v>
      </c>
      <c r="I12" s="4" t="n">
        <f aca="false">-I6*Assumptions!I45/100</f>
        <v>-1070.32963346201</v>
      </c>
      <c r="J12" s="4" t="n">
        <f aca="false">-J6*Assumptions!J45/100</f>
        <v>-1123.84611513511</v>
      </c>
      <c r="K12" s="4" t="n">
        <f aca="false">-K6*Assumptions!K45/100</f>
        <v>-1174.41919031619</v>
      </c>
      <c r="L12" s="4" t="n">
        <f aca="false">-L6*Assumptions!L45/100</f>
        <v>-1221.39595792883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1815.811926</v>
      </c>
      <c r="D13" s="0" t="n">
        <f aca="false">D11+D12</f>
        <v>2085.525431675</v>
      </c>
      <c r="E13" s="0" t="n">
        <f aca="false">E11+E12</f>
        <v>2372.1742463265</v>
      </c>
      <c r="F13" s="0" t="n">
        <f aca="false">F11+F12</f>
        <v>2653.12114570204</v>
      </c>
      <c r="G13" s="0" t="n">
        <f aca="false">G11+G12</f>
        <v>2932.54889510569</v>
      </c>
      <c r="H13" s="0" t="n">
        <f aca="false">H11+H12</f>
        <v>3181.8706742892</v>
      </c>
      <c r="I13" s="0" t="n">
        <f aca="false">I11+I12</f>
        <v>3397.67430157125</v>
      </c>
      <c r="J13" s="0" t="n">
        <f aca="false">J11+J12</f>
        <v>3567.55801664981</v>
      </c>
      <c r="K13" s="0" t="n">
        <f aca="false">K11+K12</f>
        <v>3728.09812739906</v>
      </c>
      <c r="L13" s="0" t="n">
        <f aca="false">L11+L12</f>
        <v>3877.22205249502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1434.49142154</v>
      </c>
      <c r="D15" s="0" t="n">
        <f aca="false">D13-MAX(0,D13)*D14/100</f>
        <v>1647.56509102325</v>
      </c>
      <c r="E15" s="0" t="n">
        <f aca="false">E13-MAX(0,E13)*E14/100</f>
        <v>1874.01765459794</v>
      </c>
      <c r="F15" s="0" t="n">
        <f aca="false">F13-MAX(0,F13)*F14/100</f>
        <v>2095.96570510461</v>
      </c>
      <c r="G15" s="0" t="n">
        <f aca="false">G13-MAX(0,G13)*G14/100</f>
        <v>2316.71362713349</v>
      </c>
      <c r="H15" s="0" t="n">
        <f aca="false">H13-MAX(0,H13)*H14/100</f>
        <v>2513.67783268847</v>
      </c>
      <c r="I15" s="0" t="n">
        <f aca="false">I13-MAX(0,I13)*I14/100</f>
        <v>2684.16269824129</v>
      </c>
      <c r="J15" s="0" t="n">
        <f aca="false">J13-MAX(0,J13)*J14/100</f>
        <v>2818.37083315335</v>
      </c>
      <c r="K15" s="0" t="n">
        <f aca="false">K13-MAX(0,K13)*K14/100</f>
        <v>2945.19752064525</v>
      </c>
      <c r="L15" s="0" t="n">
        <f aca="false">L13-MAX(0,L13)*L14/100</f>
        <v>3063.00542147106</v>
      </c>
    </row>
    <row r="16" customFormat="false" ht="15" hidden="false" customHeight="false" outlineLevel="0" collapsed="false">
      <c r="A16" s="0" t="s">
        <v>128</v>
      </c>
      <c r="C16" s="0" t="n">
        <f aca="false">-C12</f>
        <v>703.422638</v>
      </c>
      <c r="D16" s="0" t="n">
        <f aca="false">-D12</f>
        <v>763.21356223</v>
      </c>
      <c r="E16" s="0" t="n">
        <f aca="false">-E12</f>
        <v>824.2706472084</v>
      </c>
      <c r="F16" s="0" t="n">
        <f aca="false">-F12</f>
        <v>886.09094574903</v>
      </c>
      <c r="G16" s="0" t="n">
        <f aca="false">-G12</f>
        <v>948.117311951462</v>
      </c>
      <c r="H16" s="0" t="n">
        <f aca="false">-H12</f>
        <v>1009.74493722831</v>
      </c>
      <c r="I16" s="0" t="n">
        <f aca="false">-I12</f>
        <v>1070.32963346201</v>
      </c>
      <c r="J16" s="0" t="n">
        <f aca="false">-J12</f>
        <v>1123.84611513511</v>
      </c>
      <c r="K16" s="0" t="n">
        <f aca="false">-K12</f>
        <v>1174.41919031619</v>
      </c>
      <c r="L16" s="0" t="n">
        <f aca="false">-L12</f>
        <v>1221.39595792883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-777.036635</v>
      </c>
      <c r="D17" s="4" t="n">
        <f aca="false">-D6*Assumptions!D46/100</f>
        <v>-825.335596365</v>
      </c>
      <c r="E17" s="4" t="n">
        <f aca="false">-E6*Assumptions!E46/100</f>
        <v>-881.7779016648</v>
      </c>
      <c r="F17" s="4" t="n">
        <f aca="false">-F6*Assumptions!F46/100</f>
        <v>-927.30447810945</v>
      </c>
      <c r="G17" s="4" t="n">
        <f aca="false">-G6*Assumptions!G46/100</f>
        <v>-992.215791577112</v>
      </c>
      <c r="H17" s="4" t="n">
        <f aca="false">-H6*Assumptions!H46/100</f>
        <v>-1056.70981802962</v>
      </c>
      <c r="I17" s="4" t="n">
        <f aca="false">-I6*Assumptions!I46/100</f>
        <v>-1120.1124071114</v>
      </c>
      <c r="J17" s="4" t="n">
        <f aca="false">-J6*Assumptions!J46/100</f>
        <v>-1176.11802746697</v>
      </c>
      <c r="K17" s="4" t="n">
        <f aca="false">-K6*Assumptions!K46/100</f>
        <v>-1229.04333870299</v>
      </c>
      <c r="L17" s="4" t="n">
        <f aca="false">-L6*Assumptions!L46/100</f>
        <v>-1278.2050722511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-28.58796</v>
      </c>
      <c r="D18" s="4" t="n">
        <f aca="false">(D6-C6)*Assumptions!$B$51/100</f>
        <v>-83.4291966</v>
      </c>
      <c r="E18" s="4" t="n">
        <f aca="false">(E6-D6)*Assumptions!$B$51/100</f>
        <v>-85.195932528</v>
      </c>
      <c r="F18" s="4" t="n">
        <f aca="false">(F6-E6)*Assumptions!$B$51/100</f>
        <v>-86.2608816846</v>
      </c>
      <c r="G18" s="4" t="n">
        <f aca="false">(G6-F6)*Assumptions!$B$51/100</f>
        <v>-86.5484179568822</v>
      </c>
      <c r="H18" s="4" t="n">
        <f aca="false">(H6-G6)*Assumptions!$B$51/100</f>
        <v>-85.9920352700163</v>
      </c>
      <c r="I18" s="4" t="n">
        <f aca="false">(I6-H6)*Assumptions!$B$51/100</f>
        <v>-84.53678544237</v>
      </c>
      <c r="J18" s="4" t="n">
        <f aca="false">(J6-I6)*Assumptions!$B$51/100</f>
        <v>-74.6741604740935</v>
      </c>
      <c r="K18" s="4" t="n">
        <f aca="false">(K6-J6)*Assumptions!$B$51/100</f>
        <v>-70.5670816480183</v>
      </c>
      <c r="L18" s="4" t="n">
        <f aca="false">(L6-K6)*Assumptions!$B$51/100</f>
        <v>-65.5489780641593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1332.28946454</v>
      </c>
      <c r="D19" s="0" t="n">
        <f aca="false">D15+D16+D17+D18</f>
        <v>1502.01386028825</v>
      </c>
      <c r="E19" s="0" t="n">
        <f aca="false">E15+E16+E17+E18</f>
        <v>1731.31446761353</v>
      </c>
      <c r="F19" s="0" t="n">
        <f aca="false">F15+F16+F17+F18</f>
        <v>1968.49129105959</v>
      </c>
      <c r="G19" s="0" t="n">
        <f aca="false">G15+G16+G17+G18</f>
        <v>2186.06672955096</v>
      </c>
      <c r="H19" s="0" t="n">
        <f aca="false">H15+H16+H17+H18</f>
        <v>2380.72091661714</v>
      </c>
      <c r="I19" s="0" t="n">
        <f aca="false">I15+I16+I17+I18</f>
        <v>2549.84313914952</v>
      </c>
      <c r="J19" s="0" t="n">
        <f aca="false">J15+J16+J17+J18</f>
        <v>2691.42476034739</v>
      </c>
      <c r="K19" s="0" t="n">
        <f aca="false">K15+K16+K17+K18</f>
        <v>2820.00629061044</v>
      </c>
      <c r="L19" s="0" t="n">
        <f aca="false">L15+L16+L17+L18</f>
        <v>2940.64732908463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1227.91655717972</v>
      </c>
      <c r="D21" s="0" t="n">
        <f aca="false">D19*D20</f>
        <v>1275.89361446474</v>
      </c>
      <c r="E21" s="0" t="n">
        <f aca="false">E19*E20</f>
        <v>1355.46011762492</v>
      </c>
      <c r="F21" s="0" t="n">
        <f aca="false">F19*F20</f>
        <v>1420.41269443402</v>
      </c>
      <c r="G21" s="0" t="n">
        <f aca="false">G19*G20</f>
        <v>1453.83367349099</v>
      </c>
      <c r="H21" s="0" t="n">
        <f aca="false">H19*H20</f>
        <v>1459.25119790164</v>
      </c>
      <c r="I21" s="0" t="n">
        <f aca="false">I19*I20</f>
        <v>1440.47357964264</v>
      </c>
      <c r="J21" s="0" t="n">
        <f aca="false">J19*J20</f>
        <v>1401.34264354142</v>
      </c>
      <c r="K21" s="0" t="n">
        <f aca="false">K19*K20</f>
        <v>1353.26370312448</v>
      </c>
      <c r="L21" s="0" t="n">
        <f aca="false">L19*L20</f>
        <v>1300.60542442133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13688.4532058259</v>
      </c>
    </row>
    <row r="31" customFormat="false" ht="15" hidden="false" customHeight="false" outlineLevel="0" collapsed="false">
      <c r="A31" s="0" t="s">
        <v>137</v>
      </c>
      <c r="B31" s="0" t="n">
        <f aca="false">L19</f>
        <v>2940.64732908463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60871.3997120519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58812.9465816927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58812.9465816927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26012.1084884267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39700.5616942526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35624.9616942526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274.249127746363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0.128318636329974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805.899163789279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1430.2885960336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291.463814119134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26465.8259617617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96.2855013556706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116.670616463631</v>
      </c>
      <c r="C4" s="0" t="n">
        <f aca="false">B4/Assumptions!$B$2-1</f>
        <v>-0.519992526686287</v>
      </c>
      <c r="D4" s="4" t="n">
        <f aca="false">Assumptions!$B$24</f>
        <v>0.25</v>
      </c>
      <c r="E4" s="4" t="n">
        <f aca="false">DCF_Bear!$B$43</f>
        <v>128.257164255353</v>
      </c>
      <c r="F4" s="4" t="n">
        <f aca="false">DCF_Bear!$B$47</f>
        <v>44.0366433817829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203.281296004268</v>
      </c>
      <c r="C5" s="0" t="n">
        <f aca="false">B5/Assumptions!$B$2-1</f>
        <v>-0.163657960979725</v>
      </c>
      <c r="D5" s="4" t="n">
        <f aca="false">Assumptions!$B$38</f>
        <v>0.5</v>
      </c>
      <c r="E5" s="4" t="n">
        <f aca="false">DCF_Base!$B$43</f>
        <v>217.767055275759</v>
      </c>
      <c r="F5" s="4" t="n">
        <f aca="false">DCF_Base!$B$47</f>
        <v>74.2020934117223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274.249127746363</v>
      </c>
      <c r="C6" s="0" t="n">
        <f aca="false">B6/Assumptions!$B$2-1</f>
        <v>0.128318636329974</v>
      </c>
      <c r="D6" s="4" t="n">
        <f aca="false">Assumptions!$B$52</f>
        <v>0.25</v>
      </c>
      <c r="E6" s="4" t="n">
        <f aca="false">DCF_Bull!$B$43</f>
        <v>291.463814119134</v>
      </c>
      <c r="F6" s="4" t="n">
        <f aca="false">DCF_Bull!$B$47</f>
        <v>96.2855013556706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199.370584054633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213.813772231501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-0.219136720457193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302.491495716557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72.1815828902245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203.281296004268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188.237561383641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155.507281798148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131.01601672194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112.014332732395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74.2020934117223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242.407651437462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242.407651437462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242.407651437462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242.407651437462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242.407651437462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221.913583591016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221.913583591016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221.913583591016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221.913583591016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221.913583591016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184.823167584208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195.949317215189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203.281296004268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203.281296004268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203.281296004268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154.213599847023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161.82370698519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170.604599836922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180.848974830608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186.321997087509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130.888399781719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136.302268646998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142.437986694315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149.450235891248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157.54129265694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2026-10-02T21:29:07Z</dcterms:created>
  <dc:creator>openpyxl</dc:creator>
  <dc:description/>
  <dc:language>en-NZ</dc:language>
  <cp:lastModifiedBy/>
  <dcterms:modified xsi:type="dcterms:W3CDTF">2026-10-02T21:29:07Z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