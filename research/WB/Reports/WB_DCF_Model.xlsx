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<sst xmlns="http://schemas.openxmlformats.org/spreadsheetml/2006/main" count="375" uniqueCount="170">
  <si>
    <t xml:space="preserve">Ticker</t>
  </si>
  <si>
    <t xml:space="preserve">WB</t>
  </si>
  <si>
    <t xml:space="preserve">Company</t>
  </si>
  <si>
    <t xml:space="preserve">Weibo Corporation</t>
  </si>
  <si>
    <t xml:space="preserve">Valuation date</t>
  </si>
  <si>
    <t xml:space="preserve">2026-10-04</t>
  </si>
  <si>
    <t xml:space="preserve">Current price</t>
  </si>
  <si>
    <t xml:space="preserve">Price as of</t>
  </si>
  <si>
    <t xml:space="preserve">2026-10-02T20:00:00Z regular close (Friday); not an after-hours print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</si>
  <si>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</si>
  <si>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</si>
  <si>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</si>
  <si>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</si>
  <si>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</si>
  <si>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</si>
  <si>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</si>
  <si>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</si>
  <si>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</si>
  <si>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</si>
  <si>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</si>
  <si>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</si>
  <si>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2026-10-04T09:27:26Z</t>
  </si>
  <si>
    <t xml:space="preserve">Drivers file</t>
  </si>
  <si>
    <t xml:space="preserve">WB_Drivers.json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</si>
  <si>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</si>
  <si>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</si>
  <si>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</si>
  <si>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Weibo is valued as a mature, cash-generative advertising platform on fully SBC-expensed owner FCF, with the interest and investment income stripped from the flows and the assets that produce them (net cash, long-term investments at a 50% haircut, the SINA receivable at 75%) added back in the bridge, minority interests deducted once, and the 2030 convertible treated as debt rather than as shares. The China-ADR/VIE premium is charged once, in an 11.5% USD cost of equity used across all scenarios; Weibo-specific operating risk is charged in the scenario paths and a 35% bear weight. Terminal values are capped at 12x (10x bear) owner FCF to avoid assuming a re-rating the stock has never had. The gap between the resulting value and the US$6.33 price is the market's China/VIE/structural-decline discount made explicit; the model does not pretend to know whether that discount closes, which is why the 15% hurdle entry price and the bear case are reported alongside the weighted value.
key_risks_to_valuation: VIE and HFCAA structure: ADS holders hold a contractual claim, not equity in the PRC operating business; an adverse PRC ruling or US delisting is a tail the DCF cannot price except through the bear weight and the country premium.; Balance-sheet value may not reach ADS holders: ~US$5/share of the value is net cash, RMB investments and a loan to the private parent; it depends on continued repatriation (10% withholding), the SINA receivable being collected, and the investment portfolio not being impaired further (H1 2026 already shows ~US$90M of non-operating losses).; Structural ad-share loss: advertiser count fell from 0.6M to 0.4M in one year; if ex-Alibaba revenue keeps falling 4%+ a year the bear path is the base path.; Alibaba concentration (~12% of ad revenue and rising) plus Alibaba's shareholder position: a budget reallocation would remove the one growing ad stream.; Margin compression continuing beyond FY2026 (content/production costs, CAC compliance burden) -- each 1pp of permanent EBITDA margin is roughly US$0.5-0.6/share.; RMB depreciation: USD-reported revenue was -4% constant-currency in Q2 2026 vs +2% reported; the growth path is in USD and inherits FX.; Long-term-investment haircut judgment: 50% is a round-number view of an undisclosed mix; each 10pp is ~US$0.65/share. 'Other non-current assets' (US$1.25B) are excluded entirely, which may be too harsh.</t>
  </si>
  <si>
    <t xml:space="preserve">Data sources</t>
  </si>
  <si>
    <t xml:space="preserve">price: Yahoo Finance chart API, NASDAQ regular close at inputs.price_as_of; 52-week range 6.27-12.77. Parity-checked against 9898.HK at USDHKD 7.8463 (both Yahoo, 2026-10-02).
financials: research/WB/Reports/WB_Metrics.csv (SEC XBRL, FY2011-FY2025, USD millions); SEC companyfacts API for CIK 0001595761 (interest income, cash taxes, D&amp;A, debt maturities, NCI, shares, long-term investments); Weibo Q2 2026 6-K exhibit 99.1 (SEC accession 0001104659-26-098504) for the 2026-06-30 balance sheet, H1 2026 income statement, share counts and SBC.
qualitative: research/WB/Reports/WB_Analysis.json (2026-10-04): business model, Alibaba concentration, CAC enforcement history, VIE/HFCAA risk, Q1/Q2 2026 commentary, dividend and buyback programmes.</t>
  </si>
  <si>
    <t xml:space="preserve">Scenario narrative: bear</t>
  </si>
  <si>
    <t xml:space="preserve">Weibo's displacement from brand-marketing budgets is structural: Douyin, Xiaohongshu and WeChat Channels own discovery and conversion, the advertiser count keeps shrinking (0.6M -&gt; 0.4M in one year), MAU attrition continues, and a further CAC crackdown on celebrity-gossip content removes the engagement engine. Alibaba, now ~12% of ad revenue, redirects budget. Revenue falls ~25% by FY2033 and margin settles at 20%. The VIE/HFCAA tail (forced restructuring, US delisting with the HK line as the only venue) and further impairments of the RMB investment portfolio are the reasons this scenario carries a 35% weight rather than the house default 15%.</t>
  </si>
  <si>
    <t xml:space="preserve">Scenario narrative: base</t>
  </si>
  <si>
    <t xml:space="preserve">Weibo is a mature, ex-growth public-square platform. Advertising (84% of revenue) is roughly flat in USD terms: Alibaba (+49% in FY2025) and resilient verticals (auto/NEV, local services, internet services) offset a shrinking ex-Alibaba advertiser base, VAS grows modestly, and reported revenue drifts from -1% to +2% a year through FY2035. The FY2026 step-down in operating margin (H1 26% vs 30%) from higher content, production and marketing spend to defend engagement is treated as permanent, with AI-driven eCPM gains preventing further erosion rather than restoring the old 35%+ adjusted EBITDA margin. Cash taxes ramp to 25% as dividend-repatriation withholding grows. The value is mostly balance sheet: net cash of US$0.76B plus haircut long-term investments and the SINA receivable are worth ~US$5.1/share before any operating cash flow is counted.</t>
  </si>
  <si>
    <t xml:space="preserve">Scenario narrative: bull</t>
  </si>
  <si>
    <t xml:space="preserve">The 2025-26 ad softness is cyclical, not structural. Chinese consumption recovers, the auto/NEV launch cycle and celebrity/entertainment marketing keep growing, Alibaba's shopping-festival spend continues to compound, VAS sustains double-digit growth and AI ad tools raise yield per impression, giving 3-4% revenue growth for five years. Defensive marketing spend normalises and adjusted EBITDA margin recovers to ~32% by FY2031. The US$200M buyback is executed at depressed prices (value-neutral in the model, but it funds the flat count) and the HK listing plus continued dividends keep the China discount from widening.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</si>
  <si>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</si>
  <si>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</si>
  <si>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</si>
  <si>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</si>
  <si>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</si>
  <si>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</si>
  <si>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</si>
  <si>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</si>
  <si>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</si>
  <si>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</si>
  <si>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</si>
  <si>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</si>
  <si>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</si>
  <si>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</si>
  <si>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</si>
  <si>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</si>
  <si>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</si>
  <si>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</si>
  <si>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</si>
  <si>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</si>
  <si>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</si>
  <si>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</si>
  <si>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</si>
  <si>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</si>
  <si>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</si>
  <si>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</si>
  <si>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</si>
  <si>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</si>
  <si>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</si>
  <si>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</si>
  <si>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</si>
  <si>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</si>
  <si>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</si>
  <si>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</si>
  <si>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</si>
  <si>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</si>
  <si>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</si>
  <si>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</si>
  <si>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</si>
  <si>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</si>
  <si>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</si>
  <si>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</si>
  <si>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</si>
  <si>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</si>
  <si>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</si>
  <si>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</si>
  <si>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</si>
  <si>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</si>
  <si>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</si>
  <si>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</si>
  <si>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</si>
  <si>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</si>
  <si>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</si>
  <si>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</si>
  <si>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</si>
  <si>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</si>
  <si>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</si>
  <si>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</si>
  <si>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</si>
  <si>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</si>
  <si>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</si>
  <si>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</si>
  <si>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</si>
  <si>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</si>
  <si>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</si>
  <si>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</si>
  <si>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</si>
  <si>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</si>
  <si>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</si>
  <si>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</si>
  <si>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</si>
  <si>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</si>
  <si>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</si>
  <si>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</si>
  <si>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</si>
  <si>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</si>
  <si>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</si>
  <si>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</si>
  <si>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</si>
  <si>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WB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</si>
  <si>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</si>
  <si>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</si>
  <si>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</si>
  <si>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</si>
  <si>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</si>
  <si>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</si>
  <si>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</si>
  <si>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</si>
  <si>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</si>
  <si>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</si>
  <si>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</si>
  <si>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</si>
  <si>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</si>
  <si>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</si>
  <si>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</si>
  <si>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</si>
  <si>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</si>
  <si>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</si>
  <si>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</si>
  <si>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</si>
  <si>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</si>
  <si>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</si>
  <si>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</si>
  <si>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</si>
  <si>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</si>
  <si>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</si>
  <si>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</si>
  <si>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</si>
  <si>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</si>
  <si>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</si>
  <si>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WB owner-FCF component DCF: base case (millions, USD)</t>
  </si>
  <si>
    <t xml:space="preserve">WB owner-FCF component DCF: bull case (millions, USD)</t>
  </si>
  <si>
    <t xml:space="preserve">WB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</si>
  <si>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</si>
  <si>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</si>
  <si>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</si>
  <si>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</si>
  <si>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</si>
  <si>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</si>
  <si>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</si>
  <si>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</si>
  <si>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</si>
  <si>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</si>
  <si>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</si>
  <si>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</si>
  <si>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</si>
  <si>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</si>
  <si>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</si>
  <si>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</si>
  <si>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</t>
  </si>
  <si>
    <t xml:space="preserve">Value per share at 11.5% (WACC)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</si>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</sst>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6.33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-106.625</v>
      </c>
      <c r="S2" s="0" t="n">
        <v>13.688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65.929</v>
      </c>
      <c r="C3" s="0" t="n">
        <v>46.429</v>
      </c>
      <c r="F3" s="0" t="n">
        <v>-97.844</v>
      </c>
      <c r="G3" s="0" t="n">
        <v>-148.408136025118</v>
      </c>
      <c r="H3" s="0" t="n">
        <v>-81.458</v>
      </c>
      <c r="I3" s="0" t="n">
        <v>-102.486</v>
      </c>
      <c r="J3" s="0" t="n">
        <v>-155.449043668189</v>
      </c>
      <c r="K3" s="0" t="n">
        <v>-0.73</v>
      </c>
      <c r="M3" s="0" t="n">
        <v>18.962</v>
      </c>
      <c r="O3" s="0" t="n">
        <v>-207.778</v>
      </c>
      <c r="S3" s="0" t="n">
        <v>4.351</v>
      </c>
      <c r="T3" s="0" t="n">
        <v>140.831</v>
      </c>
      <c r="U3" s="0" t="n">
        <v>1.837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188.313</v>
      </c>
      <c r="C4" s="0" t="n">
        <v>59.891</v>
      </c>
      <c r="F4" s="0" t="n">
        <v>-58.608</v>
      </c>
      <c r="G4" s="0" t="n">
        <v>-31.1226521801469</v>
      </c>
      <c r="H4" s="0" t="n">
        <v>-37.079</v>
      </c>
      <c r="I4" s="0" t="n">
        <v>-40.935</v>
      </c>
      <c r="J4" s="0" t="n">
        <v>-21.7377451370856</v>
      </c>
      <c r="K4" s="0" t="n">
        <v>-0.27</v>
      </c>
      <c r="M4" s="0" t="n">
        <v>12.044</v>
      </c>
      <c r="O4" s="0" t="n">
        <v>-237.972</v>
      </c>
      <c r="P4" s="0" t="n">
        <v>606.934</v>
      </c>
      <c r="Q4" s="0" t="n">
        <v>370.263</v>
      </c>
      <c r="S4" s="0" t="n">
        <v>249.099</v>
      </c>
      <c r="T4" s="0" t="n">
        <v>150.392</v>
      </c>
      <c r="U4" s="0" t="n">
        <v>31.242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334.172</v>
      </c>
      <c r="C5" s="0" t="n">
        <v>83.599</v>
      </c>
      <c r="F5" s="0" t="n">
        <v>-22.103</v>
      </c>
      <c r="G5" s="0" t="n">
        <v>-6.61425852554972</v>
      </c>
      <c r="H5" s="0" t="n">
        <v>0.956999999999997</v>
      </c>
      <c r="I5" s="0" t="n">
        <v>-65.468</v>
      </c>
      <c r="J5" s="0" t="n">
        <v>-19.5911087703338</v>
      </c>
      <c r="K5" s="0" t="n">
        <v>-0.35</v>
      </c>
      <c r="M5" s="0" t="n">
        <v>14.743</v>
      </c>
      <c r="O5" s="0" t="n">
        <v>567.39</v>
      </c>
      <c r="P5" s="0" t="n">
        <v>703.514</v>
      </c>
      <c r="Q5" s="0" t="n">
        <v>136.124</v>
      </c>
      <c r="S5" s="0" t="n">
        <v>284.865</v>
      </c>
      <c r="T5" s="0" t="n">
        <v>203.658</v>
      </c>
      <c r="U5" s="0" t="n">
        <v>13.779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477.891</v>
      </c>
      <c r="C6" s="0" t="n">
        <v>141.96</v>
      </c>
      <c r="F6" s="0" t="n">
        <v>37.503</v>
      </c>
      <c r="G6" s="0" t="n">
        <v>7.84760541629786</v>
      </c>
      <c r="H6" s="0" t="n">
        <v>58.453</v>
      </c>
      <c r="I6" s="0" t="n">
        <v>34.745</v>
      </c>
      <c r="J6" s="0" t="n">
        <v>7.27048636613788</v>
      </c>
      <c r="K6" s="0" t="n">
        <v>0.17</v>
      </c>
      <c r="L6" s="0" t="n">
        <v>181.971</v>
      </c>
      <c r="M6" s="0" t="n">
        <v>10.858</v>
      </c>
      <c r="N6" s="0" t="n">
        <v>171.113</v>
      </c>
      <c r="O6" s="0" t="n">
        <v>628.029</v>
      </c>
      <c r="P6" s="0" t="n">
        <v>839.189</v>
      </c>
      <c r="Q6" s="0" t="n">
        <v>211.16</v>
      </c>
      <c r="S6" s="0" t="n">
        <v>237.44</v>
      </c>
      <c r="T6" s="0" t="n">
        <v>217.918</v>
      </c>
      <c r="U6" s="0" t="n">
        <v>26.399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655.8</v>
      </c>
      <c r="C7" s="0" t="n">
        <v>171.231</v>
      </c>
      <c r="F7" s="0" t="n">
        <v>140.98</v>
      </c>
      <c r="G7" s="0" t="n">
        <v>21.4974077462641</v>
      </c>
      <c r="H7" s="0" t="n">
        <v>154.962</v>
      </c>
      <c r="I7" s="0" t="n">
        <v>108.027</v>
      </c>
      <c r="J7" s="0" t="n">
        <v>16.4725526075023</v>
      </c>
      <c r="K7" s="0" t="n">
        <v>0.5</v>
      </c>
      <c r="L7" s="0" t="n">
        <v>236.244</v>
      </c>
      <c r="M7" s="0" t="n">
        <v>13.253</v>
      </c>
      <c r="N7" s="0" t="n">
        <v>222.991</v>
      </c>
      <c r="O7" s="0" t="n">
        <v>757.358</v>
      </c>
      <c r="P7" s="0" t="n">
        <v>1036.944</v>
      </c>
      <c r="Q7" s="0" t="n">
        <v>279.586</v>
      </c>
      <c r="S7" s="0" t="n">
        <v>364.766</v>
      </c>
      <c r="T7" s="0" t="n">
        <v>222.859</v>
      </c>
      <c r="U7" s="0" t="n">
        <v>36.902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1150.054</v>
      </c>
      <c r="C8" s="0" t="n">
        <v>231.255</v>
      </c>
      <c r="F8" s="0" t="n">
        <v>407.554</v>
      </c>
      <c r="G8" s="0" t="n">
        <v>35.4378142243755</v>
      </c>
      <c r="H8" s="0" t="n">
        <v>422.882</v>
      </c>
      <c r="I8" s="0" t="n">
        <v>352.59</v>
      </c>
      <c r="J8" s="0" t="n">
        <v>30.658560380643</v>
      </c>
      <c r="K8" s="0" t="n">
        <v>1.6</v>
      </c>
      <c r="L8" s="0" t="n">
        <v>539.151</v>
      </c>
      <c r="M8" s="0" t="n">
        <v>20.454</v>
      </c>
      <c r="N8" s="0" t="n">
        <v>518.697</v>
      </c>
      <c r="O8" s="0" t="n">
        <v>1194.794</v>
      </c>
      <c r="P8" s="0" t="n">
        <v>2561.819</v>
      </c>
      <c r="Q8" s="0" t="n">
        <v>1367.025</v>
      </c>
      <c r="R8" s="0" t="n">
        <v>956.75</v>
      </c>
      <c r="S8" s="0" t="n">
        <v>1000.953</v>
      </c>
      <c r="T8" s="0" t="n">
        <v>225.363</v>
      </c>
      <c r="U8" s="0" t="n">
        <v>48.037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1718.518</v>
      </c>
      <c r="C9" s="0" t="n">
        <v>277.648</v>
      </c>
      <c r="F9" s="0" t="n">
        <v>609.264</v>
      </c>
      <c r="G9" s="0" t="n">
        <v>35.452872765953</v>
      </c>
      <c r="H9" s="0" t="n">
        <v>629.111</v>
      </c>
      <c r="I9" s="0" t="n">
        <v>572.62</v>
      </c>
      <c r="J9" s="0" t="n">
        <v>33.320570398448</v>
      </c>
      <c r="K9" s="0" t="n">
        <v>2.56</v>
      </c>
      <c r="L9" s="0" t="n">
        <v>488.007</v>
      </c>
      <c r="M9" s="0" t="n">
        <v>28.35</v>
      </c>
      <c r="N9" s="0" t="n">
        <v>459.657</v>
      </c>
      <c r="O9" s="0" t="n">
        <v>1748.138</v>
      </c>
      <c r="P9" s="0" t="n">
        <v>3274.682</v>
      </c>
      <c r="Q9" s="0" t="n">
        <v>1526.544</v>
      </c>
      <c r="R9" s="0" t="n">
        <v>945</v>
      </c>
      <c r="S9" s="0" t="n">
        <v>1234.596</v>
      </c>
      <c r="T9" s="0" t="n">
        <v>232.683</v>
      </c>
      <c r="U9" s="0" t="n">
        <v>41.011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1766.914</v>
      </c>
      <c r="C10" s="0" t="n">
        <v>328.826</v>
      </c>
      <c r="F10" s="0" t="n">
        <v>597.584</v>
      </c>
      <c r="G10" s="0" t="n">
        <v>33.8207745255287</v>
      </c>
      <c r="H10" s="0" t="n">
        <v>623.356</v>
      </c>
      <c r="I10" s="0" t="n">
        <v>494.675</v>
      </c>
      <c r="J10" s="0" t="n">
        <v>27.9965521808079</v>
      </c>
      <c r="K10" s="0" t="n">
        <v>2.19</v>
      </c>
      <c r="L10" s="0" t="n">
        <v>631.653</v>
      </c>
      <c r="M10" s="0" t="n">
        <v>21.746</v>
      </c>
      <c r="N10" s="0" t="n">
        <v>609.907</v>
      </c>
      <c r="O10" s="0" t="n">
        <v>2281.819</v>
      </c>
      <c r="P10" s="0" t="n">
        <v>4804.186</v>
      </c>
      <c r="Q10" s="0" t="n">
        <v>2522.367</v>
      </c>
      <c r="S10" s="0" t="n">
        <v>1452.985</v>
      </c>
      <c r="T10" s="0" t="n">
        <v>226.412</v>
      </c>
      <c r="U10" s="0" t="n">
        <v>61.289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1689.931</v>
      </c>
      <c r="C11" s="0" t="n">
        <v>302.18</v>
      </c>
      <c r="F11" s="0" t="n">
        <v>506.798</v>
      </c>
      <c r="G11" s="0" t="n">
        <v>29.9892717513319</v>
      </c>
      <c r="H11" s="0" t="n">
        <v>538.905</v>
      </c>
      <c r="I11" s="0" t="n">
        <v>314.597</v>
      </c>
      <c r="J11" s="0" t="n">
        <v>18.6159671607894</v>
      </c>
      <c r="K11" s="0" t="n">
        <v>1.38</v>
      </c>
      <c r="L11" s="0" t="n">
        <v>741.646</v>
      </c>
      <c r="M11" s="0" t="n">
        <v>34.828</v>
      </c>
      <c r="N11" s="0" t="n">
        <v>706.818</v>
      </c>
      <c r="O11" s="0" t="n">
        <v>2828.616</v>
      </c>
      <c r="P11" s="0" t="n">
        <v>6335.117</v>
      </c>
      <c r="Q11" s="0" t="n">
        <v>3448.787</v>
      </c>
      <c r="S11" s="0" t="n">
        <v>1814.844</v>
      </c>
      <c r="T11" s="0" t="n">
        <v>227.688</v>
      </c>
      <c r="U11" s="0" t="n">
        <v>67.105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2257.083</v>
      </c>
      <c r="C12" s="0" t="n">
        <v>403.841</v>
      </c>
      <c r="F12" s="0" t="n">
        <v>697.412</v>
      </c>
      <c r="G12" s="0" t="n">
        <v>30.8988194054007</v>
      </c>
      <c r="H12" s="0" t="n">
        <v>752.42</v>
      </c>
      <c r="I12" s="0" t="n">
        <v>428.319</v>
      </c>
      <c r="J12" s="0" t="n">
        <v>18.9766614696934</v>
      </c>
      <c r="K12" s="0" t="n">
        <v>1.87</v>
      </c>
      <c r="L12" s="0" t="n">
        <v>814.02</v>
      </c>
      <c r="M12" s="0" t="n">
        <v>35.094</v>
      </c>
      <c r="N12" s="0" t="n">
        <v>778.926</v>
      </c>
      <c r="O12" s="0" t="n">
        <v>3621.398</v>
      </c>
      <c r="P12" s="0" t="n">
        <v>7519.522</v>
      </c>
      <c r="Q12" s="0" t="n">
        <v>3831.502</v>
      </c>
      <c r="S12" s="0" t="n">
        <v>2423.703</v>
      </c>
      <c r="T12" s="0" t="n">
        <v>236.553</v>
      </c>
      <c r="U12" s="0" t="n">
        <v>87.996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1836.332</v>
      </c>
      <c r="C13" s="0" t="n">
        <v>400.585</v>
      </c>
      <c r="F13" s="0" t="n">
        <v>480.468</v>
      </c>
      <c r="G13" s="0" t="n">
        <v>26.1645497655108</v>
      </c>
      <c r="H13" s="0" t="n">
        <v>535.162</v>
      </c>
      <c r="I13" s="0" t="n">
        <v>97.809</v>
      </c>
      <c r="J13" s="0" t="n">
        <v>5.32632443370807</v>
      </c>
      <c r="K13" s="0" t="n">
        <v>0.36</v>
      </c>
      <c r="L13" s="0" t="n">
        <v>564.104</v>
      </c>
      <c r="M13" s="0" t="n">
        <v>43.136</v>
      </c>
      <c r="N13" s="0" t="n">
        <v>520.968</v>
      </c>
      <c r="O13" s="0" t="n">
        <v>3344.745</v>
      </c>
      <c r="P13" s="0" t="n">
        <v>7129.454</v>
      </c>
      <c r="Q13" s="0" t="n">
        <v>3738.914</v>
      </c>
      <c r="S13" s="0" t="n">
        <v>2690.768</v>
      </c>
      <c r="T13" s="0" t="n">
        <v>234.186</v>
      </c>
      <c r="U13" s="0" t="n">
        <v>111.713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1759.836</v>
      </c>
      <c r="C14" s="0" t="n">
        <v>374.279</v>
      </c>
      <c r="F14" s="0" t="n">
        <v>472.934</v>
      </c>
      <c r="G14" s="0" t="n">
        <v>26.8737541452726</v>
      </c>
      <c r="H14" s="0" t="n">
        <v>531.443</v>
      </c>
      <c r="I14" s="0" t="n">
        <v>357.495</v>
      </c>
      <c r="J14" s="0" t="n">
        <v>20.314108814685</v>
      </c>
      <c r="K14" s="0" t="n">
        <v>1.45</v>
      </c>
      <c r="L14" s="0" t="n">
        <v>672.82</v>
      </c>
      <c r="M14" s="0" t="n">
        <v>36.772</v>
      </c>
      <c r="N14" s="0" t="n">
        <v>636.048</v>
      </c>
      <c r="O14" s="0" t="n">
        <v>3448.888</v>
      </c>
      <c r="P14" s="0" t="n">
        <v>7280.358</v>
      </c>
      <c r="Q14" s="0" t="n">
        <v>3762.742</v>
      </c>
      <c r="S14" s="0" t="n">
        <v>2584.635</v>
      </c>
      <c r="T14" s="0" t="n">
        <v>239.974</v>
      </c>
      <c r="U14" s="0" t="n">
        <v>101.131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1754.677</v>
      </c>
      <c r="C15" s="0" t="n">
        <v>369.521</v>
      </c>
      <c r="F15" s="0" t="n">
        <v>494.324</v>
      </c>
      <c r="G15" s="0" t="n">
        <v>28.171794580997</v>
      </c>
      <c r="H15" s="0" t="n">
        <v>552.461</v>
      </c>
      <c r="I15" s="0" t="n">
        <v>310.105</v>
      </c>
      <c r="J15" s="0" t="n">
        <v>17.6730532172018</v>
      </c>
      <c r="K15" s="0" t="n">
        <v>1.27</v>
      </c>
      <c r="L15" s="0" t="n">
        <v>639.898</v>
      </c>
      <c r="M15" s="0" t="n">
        <v>61.469</v>
      </c>
      <c r="N15" s="0" t="n">
        <v>578.429</v>
      </c>
      <c r="O15" s="0" t="n">
        <v>3533.783</v>
      </c>
      <c r="P15" s="0" t="n">
        <v>6504.499</v>
      </c>
      <c r="Q15" s="0" t="n">
        <v>2925.613</v>
      </c>
      <c r="R15" s="0" t="n">
        <v>2185.83</v>
      </c>
      <c r="S15" s="0" t="n">
        <v>1890.632</v>
      </c>
      <c r="T15" s="0" t="n">
        <v>265.241</v>
      </c>
      <c r="U15" s="0" t="n">
        <v>69.714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1757.216</v>
      </c>
      <c r="C16" s="0" t="n">
        <v>421.837</v>
      </c>
      <c r="F16" s="0" t="n">
        <v>464.825</v>
      </c>
      <c r="G16" s="0" t="n">
        <v>26.4523541784277</v>
      </c>
      <c r="H16" s="0" t="n">
        <v>523.913</v>
      </c>
      <c r="I16" s="0" t="n">
        <v>461.075</v>
      </c>
      <c r="J16" s="0" t="n">
        <v>26.2389484275126</v>
      </c>
      <c r="K16" s="0" t="n">
        <v>1.88</v>
      </c>
      <c r="L16" s="0" t="n">
        <v>519.479</v>
      </c>
      <c r="M16" s="0" t="n">
        <v>42.368</v>
      </c>
      <c r="N16" s="0" t="n">
        <v>477.111</v>
      </c>
      <c r="O16" s="0" t="n">
        <v>3974.735</v>
      </c>
      <c r="P16" s="0" t="n">
        <v>7091.186</v>
      </c>
      <c r="Q16" s="0" t="n">
        <v>3083.623</v>
      </c>
      <c r="R16" s="0" t="n">
        <v>2096.16</v>
      </c>
      <c r="S16" s="0" t="n">
        <v>2298.941</v>
      </c>
      <c r="T16" s="0" t="n">
        <v>268.56</v>
      </c>
      <c r="U16" s="0" t="n">
        <v>42.067</v>
      </c>
      <c r="AA16" s="0" t="s">
        <v>17</v>
      </c>
      <c r="AB16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78</v>
      </c>
      <c r="B1" s="2" t="s">
        <v>79</v>
      </c>
    </row>
    <row r="2" customFormat="false" ht="15" hidden="false" customHeight="false" outlineLevel="0" collapsed="false">
      <c r="A2" s="0" t="s">
        <v>80</v>
      </c>
      <c r="B2" s="3" t="n">
        <v>6.33</v>
      </c>
    </row>
    <row r="3" customFormat="false" ht="15" hidden="false" customHeight="false" outlineLevel="0" collapsed="false">
      <c r="A3" s="0" t="s">
        <v>81</v>
      </c>
      <c r="B3" s="3" t="n">
        <v>246</v>
      </c>
    </row>
    <row r="4" customFormat="false" ht="15" hidden="false" customHeight="false" outlineLevel="0" collapsed="false">
      <c r="A4" s="0" t="s">
        <v>82</v>
      </c>
      <c r="B4" s="3" t="n">
        <v>-756.6</v>
      </c>
    </row>
    <row r="5" customFormat="false" ht="15" hidden="false" customHeight="false" outlineLevel="0" collapsed="false">
      <c r="A5" s="0" t="s">
        <v>83</v>
      </c>
      <c r="B5" s="3" t="n">
        <v>1057.3</v>
      </c>
    </row>
    <row r="6" customFormat="false" ht="15" hidden="false" customHeight="false" outlineLevel="0" collapsed="false">
      <c r="A6" s="0" t="s">
        <v>84</v>
      </c>
      <c r="B6" s="3" t="n">
        <v>15</v>
      </c>
    </row>
    <row r="7" customFormat="false" ht="15" hidden="false" customHeight="false" outlineLevel="0" collapsed="false">
      <c r="A7" s="0" t="s">
        <v>85</v>
      </c>
      <c r="B7" s="3" t="n">
        <v>1757.216</v>
      </c>
    </row>
    <row r="8" customFormat="false" ht="15" hidden="false" customHeight="false" outlineLevel="0" collapsed="false">
      <c r="A8" s="0" t="s">
        <v>86</v>
      </c>
      <c r="B8" s="3" t="s">
        <v>77</v>
      </c>
    </row>
    <row r="9" customFormat="false" ht="15" hidden="false" customHeight="false" outlineLevel="0" collapsed="false">
      <c r="A9" s="0" t="s">
        <v>87</v>
      </c>
      <c r="B9" s="3" t="s">
        <v>88</v>
      </c>
    </row>
    <row r="10" customFormat="false" ht="15" hidden="false" customHeight="false" outlineLevel="0" collapsed="false">
      <c r="A10" s="0" t="s">
        <v>89</v>
      </c>
      <c r="B10" s="3" t="n">
        <v>1</v>
      </c>
    </row>
    <row r="12" customFormat="false" ht="15" hidden="false" customHeight="false" outlineLevel="0" collapsed="false">
      <c r="A12" s="2" t="s">
        <v>90</v>
      </c>
      <c r="C12" s="2" t="s">
        <v>91</v>
      </c>
      <c r="D12" s="2" t="s">
        <v>92</v>
      </c>
      <c r="E12" s="2" t="s">
        <v>93</v>
      </c>
      <c r="F12" s="2" t="s">
        <v>94</v>
      </c>
      <c r="G12" s="2" t="s">
        <v>95</v>
      </c>
      <c r="H12" s="2" t="s">
        <v>96</v>
      </c>
      <c r="I12" s="2" t="s">
        <v>97</v>
      </c>
      <c r="J12" s="2" t="s">
        <v>98</v>
      </c>
      <c r="K12" s="2" t="s">
        <v>99</v>
      </c>
      <c r="L12" s="2" t="s">
        <v>100</v>
      </c>
    </row>
    <row r="13" customFormat="false" ht="15" hidden="false" customHeight="false" outlineLevel="0" collapsed="false">
      <c r="A13" s="0" t="s">
        <v>101</v>
      </c>
      <c r="C13" s="3" t="n">
        <v>1</v>
      </c>
      <c r="D13" s="3" t="n">
        <v>-5</v>
      </c>
      <c r="E13" s="3" t="n">
        <v>-6</v>
      </c>
      <c r="F13" s="3" t="n">
        <v>-5</v>
      </c>
      <c r="G13" s="3" t="n">
        <v>-4</v>
      </c>
      <c r="H13" s="3" t="n">
        <v>-3</v>
      </c>
      <c r="I13" s="3" t="n">
        <v>-2</v>
      </c>
      <c r="J13" s="3" t="n">
        <v>-1</v>
      </c>
      <c r="K13" s="3" t="n">
        <v>0</v>
      </c>
      <c r="L13" s="3" t="n">
        <v>0</v>
      </c>
    </row>
    <row r="14" customFormat="false" ht="15" hidden="false" customHeight="false" outlineLevel="0" collapsed="false">
      <c r="A14" s="0" t="s">
        <v>102</v>
      </c>
      <c r="C14" s="3" t="n">
        <v>26</v>
      </c>
      <c r="D14" s="3" t="n">
        <v>24</v>
      </c>
      <c r="E14" s="3" t="n">
        <v>22</v>
      </c>
      <c r="F14" s="3" t="n">
        <v>21</v>
      </c>
      <c r="G14" s="3" t="n">
        <v>20</v>
      </c>
      <c r="H14" s="3" t="n">
        <v>20</v>
      </c>
      <c r="I14" s="3" t="n">
        <v>20</v>
      </c>
      <c r="J14" s="3" t="n">
        <v>20</v>
      </c>
      <c r="K14" s="3" t="n">
        <v>20</v>
      </c>
      <c r="L14" s="3" t="n">
        <v>20</v>
      </c>
    </row>
    <row r="15" customFormat="false" ht="15" hidden="false" customHeight="false" outlineLevel="0" collapsed="false">
      <c r="A15" s="0" t="s">
        <v>103</v>
      </c>
      <c r="C15" s="3" t="n">
        <v>1.2</v>
      </c>
      <c r="D15" s="3" t="n">
        <v>1.5</v>
      </c>
      <c r="E15" s="3" t="n">
        <v>1.5</v>
      </c>
      <c r="F15" s="3" t="n">
        <v>1.5</v>
      </c>
      <c r="G15" s="3" t="n">
        <v>1.5</v>
      </c>
      <c r="H15" s="3" t="n">
        <v>1.5</v>
      </c>
      <c r="I15" s="3" t="n">
        <v>1.5</v>
      </c>
      <c r="J15" s="3" t="n">
        <v>1.5</v>
      </c>
      <c r="K15" s="3" t="n">
        <v>1.5</v>
      </c>
      <c r="L15" s="3" t="n">
        <v>1.5</v>
      </c>
    </row>
    <row r="16" customFormat="false" ht="15" hidden="false" customHeight="false" outlineLevel="0" collapsed="false">
      <c r="A16" s="0" t="s">
        <v>104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105</v>
      </c>
      <c r="C17" s="3" t="n">
        <v>3.3</v>
      </c>
      <c r="D17" s="3" t="n">
        <v>3.3</v>
      </c>
      <c r="E17" s="3" t="n">
        <v>3.3</v>
      </c>
      <c r="F17" s="3" t="n">
        <v>3.3</v>
      </c>
      <c r="G17" s="3" t="n">
        <v>3.3</v>
      </c>
      <c r="H17" s="3" t="n">
        <v>3.3</v>
      </c>
      <c r="I17" s="3" t="n">
        <v>3.3</v>
      </c>
      <c r="J17" s="3" t="n">
        <v>3.3</v>
      </c>
      <c r="K17" s="3" t="n">
        <v>3.3</v>
      </c>
      <c r="L17" s="3" t="n">
        <v>3.3</v>
      </c>
    </row>
    <row r="18" customFormat="false" ht="15" hidden="false" customHeight="false" outlineLevel="0" collapsed="false">
      <c r="A18" s="0" t="s">
        <v>106</v>
      </c>
      <c r="C18" s="3" t="n">
        <v>2.8</v>
      </c>
      <c r="D18" s="3" t="n">
        <v>2.8</v>
      </c>
      <c r="E18" s="3" t="n">
        <v>2.8</v>
      </c>
      <c r="F18" s="3" t="n">
        <v>2.8</v>
      </c>
      <c r="G18" s="3" t="n">
        <v>2.8</v>
      </c>
      <c r="H18" s="3" t="n">
        <v>2.8</v>
      </c>
      <c r="I18" s="3" t="n">
        <v>2.8</v>
      </c>
      <c r="J18" s="3" t="n">
        <v>2.8</v>
      </c>
      <c r="K18" s="3" t="n">
        <v>2.8</v>
      </c>
      <c r="L18" s="3" t="n">
        <v>2.8</v>
      </c>
    </row>
    <row r="19" customFormat="false" ht="15" hidden="false" customHeight="false" outlineLevel="0" collapsed="false">
      <c r="A19" s="0" t="s">
        <v>107</v>
      </c>
      <c r="C19" s="3" t="n">
        <v>22</v>
      </c>
      <c r="D19" s="3" t="n">
        <v>23</v>
      </c>
      <c r="E19" s="3" t="n">
        <v>24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108</v>
      </c>
      <c r="B20" s="3" t="n">
        <v>11.5</v>
      </c>
    </row>
    <row r="21" customFormat="false" ht="15" hidden="false" customHeight="false" outlineLevel="0" collapsed="false">
      <c r="A21" s="0" t="s">
        <v>109</v>
      </c>
      <c r="B21" s="3" t="n">
        <v>1</v>
      </c>
    </row>
    <row r="22" customFormat="false" ht="15" hidden="false" customHeight="false" outlineLevel="0" collapsed="false">
      <c r="A22" s="0" t="s">
        <v>110</v>
      </c>
      <c r="B22" s="3" t="n">
        <v>10</v>
      </c>
    </row>
    <row r="23" customFormat="false" ht="15" hidden="false" customHeight="false" outlineLevel="0" collapsed="false">
      <c r="A23" s="0" t="s">
        <v>111</v>
      </c>
      <c r="B23" s="3" t="n">
        <v>0</v>
      </c>
    </row>
    <row r="24" customFormat="false" ht="15" hidden="false" customHeight="false" outlineLevel="0" collapsed="false">
      <c r="A24" s="0" t="s">
        <v>112</v>
      </c>
      <c r="B24" s="3" t="n">
        <v>0.35</v>
      </c>
    </row>
    <row r="26" customFormat="false" ht="15" hidden="false" customHeight="false" outlineLevel="0" collapsed="false">
      <c r="A26" s="2" t="s">
        <v>113</v>
      </c>
      <c r="C26" s="2" t="s">
        <v>91</v>
      </c>
      <c r="D26" s="2" t="s">
        <v>92</v>
      </c>
      <c r="E26" s="2" t="s">
        <v>93</v>
      </c>
      <c r="F26" s="2" t="s">
        <v>94</v>
      </c>
      <c r="G26" s="2" t="s">
        <v>95</v>
      </c>
      <c r="H26" s="2" t="s">
        <v>96</v>
      </c>
      <c r="I26" s="2" t="s">
        <v>97</v>
      </c>
      <c r="J26" s="2" t="s">
        <v>98</v>
      </c>
      <c r="K26" s="2" t="s">
        <v>99</v>
      </c>
      <c r="L26" s="2" t="s">
        <v>100</v>
      </c>
    </row>
    <row r="27" customFormat="false" ht="15" hidden="false" customHeight="false" outlineLevel="0" collapsed="false">
      <c r="A27" s="0" t="s">
        <v>101</v>
      </c>
      <c r="C27" s="3" t="n">
        <v>2</v>
      </c>
      <c r="D27" s="3" t="n">
        <v>-1</v>
      </c>
      <c r="E27" s="3" t="n">
        <v>-1</v>
      </c>
      <c r="F27" s="3" t="n">
        <v>0</v>
      </c>
      <c r="G27" s="3" t="n">
        <v>0.5</v>
      </c>
      <c r="H27" s="3" t="n">
        <v>1</v>
      </c>
      <c r="I27" s="3" t="n">
        <v>1</v>
      </c>
      <c r="J27" s="3" t="n">
        <v>1.5</v>
      </c>
      <c r="K27" s="3" t="n">
        <v>1.5</v>
      </c>
      <c r="L27" s="3" t="n">
        <v>2</v>
      </c>
    </row>
    <row r="28" customFormat="false" ht="15" hidden="false" customHeight="false" outlineLevel="0" collapsed="false">
      <c r="A28" s="0" t="s">
        <v>102</v>
      </c>
      <c r="C28" s="3" t="n">
        <v>27.5</v>
      </c>
      <c r="D28" s="3" t="n">
        <v>27</v>
      </c>
      <c r="E28" s="3" t="n">
        <v>27</v>
      </c>
      <c r="F28" s="3" t="n">
        <v>27</v>
      </c>
      <c r="G28" s="3" t="n">
        <v>27</v>
      </c>
      <c r="H28" s="3" t="n">
        <v>27</v>
      </c>
      <c r="I28" s="3" t="n">
        <v>27</v>
      </c>
      <c r="J28" s="3" t="n">
        <v>27</v>
      </c>
      <c r="K28" s="3" t="n">
        <v>27</v>
      </c>
      <c r="L28" s="3" t="n">
        <v>27</v>
      </c>
    </row>
    <row r="29" customFormat="false" ht="15" hidden="false" customHeight="false" outlineLevel="0" collapsed="false">
      <c r="A29" s="0" t="s">
        <v>103</v>
      </c>
      <c r="C29" s="3" t="n">
        <v>1.2</v>
      </c>
      <c r="D29" s="3" t="n">
        <v>1.5</v>
      </c>
      <c r="E29" s="3" t="n">
        <v>1.5</v>
      </c>
      <c r="F29" s="3" t="n">
        <v>1.5</v>
      </c>
      <c r="G29" s="3" t="n">
        <v>1.5</v>
      </c>
      <c r="H29" s="3" t="n">
        <v>1.5</v>
      </c>
      <c r="I29" s="3" t="n">
        <v>1.5</v>
      </c>
      <c r="J29" s="3" t="n">
        <v>1.5</v>
      </c>
      <c r="K29" s="3" t="n">
        <v>1.5</v>
      </c>
      <c r="L29" s="3" t="n">
        <v>1.5</v>
      </c>
    </row>
    <row r="30" customFormat="false" ht="15" hidden="false" customHeight="false" outlineLevel="0" collapsed="false">
      <c r="A30" s="0" t="s">
        <v>104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105</v>
      </c>
      <c r="C31" s="3" t="n">
        <v>3.3</v>
      </c>
      <c r="D31" s="3" t="n">
        <v>3.3</v>
      </c>
      <c r="E31" s="3" t="n">
        <v>3.3</v>
      </c>
      <c r="F31" s="3" t="n">
        <v>3.3</v>
      </c>
      <c r="G31" s="3" t="n">
        <v>3.3</v>
      </c>
      <c r="H31" s="3" t="n">
        <v>3.3</v>
      </c>
      <c r="I31" s="3" t="n">
        <v>3.3</v>
      </c>
      <c r="J31" s="3" t="n">
        <v>3.3</v>
      </c>
      <c r="K31" s="3" t="n">
        <v>3.3</v>
      </c>
      <c r="L31" s="3" t="n">
        <v>3.3</v>
      </c>
    </row>
    <row r="32" customFormat="false" ht="15" hidden="false" customHeight="false" outlineLevel="0" collapsed="false">
      <c r="A32" s="0" t="s">
        <v>106</v>
      </c>
      <c r="C32" s="3" t="n">
        <v>2.8</v>
      </c>
      <c r="D32" s="3" t="n">
        <v>2.8</v>
      </c>
      <c r="E32" s="3" t="n">
        <v>2.8</v>
      </c>
      <c r="F32" s="3" t="n">
        <v>2.8</v>
      </c>
      <c r="G32" s="3" t="n">
        <v>2.8</v>
      </c>
      <c r="H32" s="3" t="n">
        <v>2.8</v>
      </c>
      <c r="I32" s="3" t="n">
        <v>2.8</v>
      </c>
      <c r="J32" s="3" t="n">
        <v>2.8</v>
      </c>
      <c r="K32" s="3" t="n">
        <v>2.8</v>
      </c>
      <c r="L32" s="3" t="n">
        <v>2.8</v>
      </c>
    </row>
    <row r="33" customFormat="false" ht="15" hidden="false" customHeight="false" outlineLevel="0" collapsed="false">
      <c r="A33" s="0" t="s">
        <v>107</v>
      </c>
      <c r="C33" s="3" t="n">
        <v>22</v>
      </c>
      <c r="D33" s="3" t="n">
        <v>23</v>
      </c>
      <c r="E33" s="3" t="n">
        <v>24</v>
      </c>
      <c r="F33" s="3" t="n">
        <v>25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108</v>
      </c>
      <c r="B34" s="3" t="n">
        <v>11.5</v>
      </c>
    </row>
    <row r="35" customFormat="false" ht="15" hidden="false" customHeight="false" outlineLevel="0" collapsed="false">
      <c r="A35" s="0" t="s">
        <v>109</v>
      </c>
      <c r="B35" s="3" t="n">
        <v>2</v>
      </c>
    </row>
    <row r="36" customFormat="false" ht="15" hidden="false" customHeight="false" outlineLevel="0" collapsed="false">
      <c r="A36" s="0" t="s">
        <v>110</v>
      </c>
      <c r="B36" s="3" t="n">
        <v>12</v>
      </c>
    </row>
    <row r="37" customFormat="false" ht="15" hidden="false" customHeight="false" outlineLevel="0" collapsed="false">
      <c r="A37" s="0" t="s">
        <v>111</v>
      </c>
      <c r="B37" s="3" t="n">
        <v>0</v>
      </c>
    </row>
    <row r="38" customFormat="false" ht="15" hidden="false" customHeight="false" outlineLevel="0" collapsed="false">
      <c r="A38" s="0" t="s">
        <v>112</v>
      </c>
      <c r="B38" s="3" t="n">
        <v>0.45</v>
      </c>
    </row>
    <row r="40" customFormat="false" ht="15" hidden="false" customHeight="false" outlineLevel="0" collapsed="false">
      <c r="A40" s="2" t="s">
        <v>114</v>
      </c>
      <c r="C40" s="2" t="s">
        <v>91</v>
      </c>
      <c r="D40" s="2" t="s">
        <v>92</v>
      </c>
      <c r="E40" s="2" t="s">
        <v>93</v>
      </c>
      <c r="F40" s="2" t="s">
        <v>94</v>
      </c>
      <c r="G40" s="2" t="s">
        <v>95</v>
      </c>
      <c r="H40" s="2" t="s">
        <v>96</v>
      </c>
      <c r="I40" s="2" t="s">
        <v>97</v>
      </c>
      <c r="J40" s="2" t="s">
        <v>98</v>
      </c>
      <c r="K40" s="2" t="s">
        <v>99</v>
      </c>
      <c r="L40" s="2" t="s">
        <v>100</v>
      </c>
    </row>
    <row r="41" customFormat="false" ht="15" hidden="false" customHeight="false" outlineLevel="0" collapsed="false">
      <c r="A41" s="0" t="s">
        <v>101</v>
      </c>
      <c r="C41" s="3" t="n">
        <v>3</v>
      </c>
      <c r="D41" s="3" t="n">
        <v>4</v>
      </c>
      <c r="E41" s="3" t="n">
        <v>4</v>
      </c>
      <c r="F41" s="3" t="n">
        <v>4</v>
      </c>
      <c r="G41" s="3" t="n">
        <v>3.5</v>
      </c>
      <c r="H41" s="3" t="n">
        <v>3</v>
      </c>
      <c r="I41" s="3" t="n">
        <v>3</v>
      </c>
      <c r="J41" s="3" t="n">
        <v>3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102</v>
      </c>
      <c r="C42" s="3" t="n">
        <v>28</v>
      </c>
      <c r="D42" s="3" t="n">
        <v>29</v>
      </c>
      <c r="E42" s="3" t="n">
        <v>30</v>
      </c>
      <c r="F42" s="3" t="n">
        <v>31</v>
      </c>
      <c r="G42" s="3" t="n">
        <v>31.5</v>
      </c>
      <c r="H42" s="3" t="n">
        <v>32</v>
      </c>
      <c r="I42" s="3" t="n">
        <v>32</v>
      </c>
      <c r="J42" s="3" t="n">
        <v>32</v>
      </c>
      <c r="K42" s="3" t="n">
        <v>32</v>
      </c>
      <c r="L42" s="3" t="n">
        <v>32</v>
      </c>
    </row>
    <row r="43" customFormat="false" ht="15" hidden="false" customHeight="false" outlineLevel="0" collapsed="false">
      <c r="A43" s="0" t="s">
        <v>103</v>
      </c>
      <c r="C43" s="3" t="n">
        <v>1.2</v>
      </c>
      <c r="D43" s="3" t="n">
        <v>1.5</v>
      </c>
      <c r="E43" s="3" t="n">
        <v>1.5</v>
      </c>
      <c r="F43" s="3" t="n">
        <v>1.5</v>
      </c>
      <c r="G43" s="3" t="n">
        <v>1.5</v>
      </c>
      <c r="H43" s="3" t="n">
        <v>1.5</v>
      </c>
      <c r="I43" s="3" t="n">
        <v>1.5</v>
      </c>
      <c r="J43" s="3" t="n">
        <v>1.5</v>
      </c>
      <c r="K43" s="3" t="n">
        <v>1.5</v>
      </c>
      <c r="L43" s="3" t="n">
        <v>1.5</v>
      </c>
    </row>
    <row r="44" customFormat="false" ht="15" hidden="false" customHeight="false" outlineLevel="0" collapsed="false">
      <c r="A44" s="0" t="s">
        <v>104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105</v>
      </c>
      <c r="C45" s="3" t="n">
        <v>3.3</v>
      </c>
      <c r="D45" s="3" t="n">
        <v>3.3</v>
      </c>
      <c r="E45" s="3" t="n">
        <v>3.3</v>
      </c>
      <c r="F45" s="3" t="n">
        <v>3.3</v>
      </c>
      <c r="G45" s="3" t="n">
        <v>3.3</v>
      </c>
      <c r="H45" s="3" t="n">
        <v>3.3</v>
      </c>
      <c r="I45" s="3" t="n">
        <v>3.3</v>
      </c>
      <c r="J45" s="3" t="n">
        <v>3.3</v>
      </c>
      <c r="K45" s="3" t="n">
        <v>3.3</v>
      </c>
      <c r="L45" s="3" t="n">
        <v>3.3</v>
      </c>
    </row>
    <row r="46" customFormat="false" ht="15" hidden="false" customHeight="false" outlineLevel="0" collapsed="false">
      <c r="A46" s="0" t="s">
        <v>106</v>
      </c>
      <c r="C46" s="3" t="n">
        <v>2.8</v>
      </c>
      <c r="D46" s="3" t="n">
        <v>2.8</v>
      </c>
      <c r="E46" s="3" t="n">
        <v>2.8</v>
      </c>
      <c r="F46" s="3" t="n">
        <v>2.8</v>
      </c>
      <c r="G46" s="3" t="n">
        <v>2.8</v>
      </c>
      <c r="H46" s="3" t="n">
        <v>2.8</v>
      </c>
      <c r="I46" s="3" t="n">
        <v>2.8</v>
      </c>
      <c r="J46" s="3" t="n">
        <v>2.8</v>
      </c>
      <c r="K46" s="3" t="n">
        <v>2.8</v>
      </c>
      <c r="L46" s="3" t="n">
        <v>2.8</v>
      </c>
    </row>
    <row r="47" customFormat="false" ht="15" hidden="false" customHeight="false" outlineLevel="0" collapsed="false">
      <c r="A47" s="0" t="s">
        <v>107</v>
      </c>
      <c r="C47" s="3" t="n">
        <v>22</v>
      </c>
      <c r="D47" s="3" t="n">
        <v>23</v>
      </c>
      <c r="E47" s="3" t="n">
        <v>24</v>
      </c>
      <c r="F47" s="3" t="n">
        <v>25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108</v>
      </c>
      <c r="B48" s="3" t="n">
        <v>11.5</v>
      </c>
    </row>
    <row r="49" customFormat="false" ht="15" hidden="false" customHeight="false" outlineLevel="0" collapsed="false">
      <c r="A49" s="0" t="s">
        <v>109</v>
      </c>
      <c r="B49" s="3" t="n">
        <v>2.5</v>
      </c>
    </row>
    <row r="50" customFormat="false" ht="15" hidden="false" customHeight="false" outlineLevel="0" collapsed="false">
      <c r="A50" s="0" t="s">
        <v>110</v>
      </c>
      <c r="B50" s="3" t="n">
        <v>12</v>
      </c>
    </row>
    <row r="51" customFormat="false" ht="15" hidden="false" customHeight="false" outlineLevel="0" collapsed="false">
      <c r="A51" s="0" t="s">
        <v>111</v>
      </c>
      <c r="B51" s="3" t="n">
        <v>0</v>
      </c>
    </row>
    <row r="52" customFormat="false" ht="15" hidden="false" customHeight="false" outlineLevel="0" collapsed="false">
      <c r="A52" s="0" t="s">
        <v>112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115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Assumptions!C13</f>
        <v>1</v>
      </c>
      <c r="D5" s="4" t="n">
        <f aca="false">Assumptions!D13</f>
        <v>-5</v>
      </c>
      <c r="E5" s="4" t="n">
        <f aca="false">Assumptions!E13</f>
        <v>-6</v>
      </c>
      <c r="F5" s="4" t="n">
        <f aca="false">Assumptions!F13</f>
        <v>-5</v>
      </c>
      <c r="G5" s="4" t="n">
        <f aca="false">Assumptions!G13</f>
        <v>-4</v>
      </c>
      <c r="H5" s="4" t="n">
        <f aca="false">Assumptions!H13</f>
        <v>-3</v>
      </c>
      <c r="I5" s="4" t="n">
        <f aca="false">Assumptions!I13</f>
        <v>-2</v>
      </c>
      <c r="J5" s="4" t="n">
        <f aca="false">Assumptions!J13</f>
        <v>-1</v>
      </c>
      <c r="K5" s="4" t="n">
        <f aca="false">Assumptions!K13</f>
        <v>0</v>
      </c>
      <c r="L5" s="4" t="n">
        <f aca="false">Assumptions!L13</f>
        <v>0</v>
      </c>
    </row>
    <row r="6" customFormat="false" ht="15" hidden="false" customHeight="false" outlineLevel="0" collapsed="false">
      <c r="A6" s="0" t="s">
        <v>37</v>
      </c>
      <c r="B6" s="3" t="n">
        <v>1757.216</v>
      </c>
      <c r="C6" s="0" t="n">
        <f aca="false">B6*(1+C5/100)</f>
        <v>1774.78816</v>
      </c>
      <c r="D6" s="0" t="n">
        <f aca="false">C6*(1+D5/100)</f>
        <v>1686.048752</v>
      </c>
      <c r="E6" s="0" t="n">
        <f aca="false">D6*(1+E5/100)</f>
        <v>1584.88582688</v>
      </c>
      <c r="F6" s="0" t="n">
        <f aca="false">E6*(1+F5/100)</f>
        <v>1505.641535536</v>
      </c>
      <c r="G6" s="0" t="n">
        <f aca="false">F6*(1+G5/100)</f>
        <v>1445.41587411456</v>
      </c>
      <c r="H6" s="0" t="n">
        <f aca="false">G6*(1+H5/100)</f>
        <v>1402.05339789112</v>
      </c>
      <c r="I6" s="0" t="n">
        <f aca="false">H6*(1+I5/100)</f>
        <v>1374.0123299333</v>
      </c>
      <c r="J6" s="0" t="n">
        <f aca="false">I6*(1+J5/100)</f>
        <v>1360.27220663397</v>
      </c>
      <c r="K6" s="0" t="n">
        <f aca="false">J6*(1+K5/100)</f>
        <v>1360.27220663397</v>
      </c>
      <c r="L6" s="0" t="n">
        <f aca="false">K6*(1+L5/100)</f>
        <v>1360.27220663397</v>
      </c>
    </row>
    <row r="7" customFormat="false" ht="15" hidden="false" customHeight="false" outlineLevel="0" collapsed="false">
      <c r="A7" s="0" t="s">
        <v>102</v>
      </c>
      <c r="C7" s="4" t="n">
        <f aca="false">Assumptions!C14</f>
        <v>26</v>
      </c>
      <c r="D7" s="4" t="n">
        <f aca="false">Assumptions!D14</f>
        <v>24</v>
      </c>
      <c r="E7" s="4" t="n">
        <f aca="false">Assumptions!E14</f>
        <v>22</v>
      </c>
      <c r="F7" s="4" t="n">
        <f aca="false">Assumptions!F14</f>
        <v>21</v>
      </c>
      <c r="G7" s="4" t="n">
        <f aca="false">Assumptions!G14</f>
        <v>20</v>
      </c>
      <c r="H7" s="4" t="n">
        <f aca="false">Assumptions!H14</f>
        <v>20</v>
      </c>
      <c r="I7" s="4" t="n">
        <f aca="false">Assumptions!I14</f>
        <v>20</v>
      </c>
      <c r="J7" s="4" t="n">
        <f aca="false">Assumptions!J14</f>
        <v>20</v>
      </c>
      <c r="K7" s="4" t="n">
        <f aca="false">Assumptions!K14</f>
        <v>20</v>
      </c>
      <c r="L7" s="4" t="n">
        <f aca="false">Assumptions!L14</f>
        <v>20</v>
      </c>
    </row>
    <row r="8" customFormat="false" ht="15" hidden="false" customHeight="false" outlineLevel="0" collapsed="false">
      <c r="A8" s="0" t="s">
        <v>43</v>
      </c>
      <c r="C8" s="0" t="n">
        <f aca="false">C6*C7/100</f>
        <v>461.4449216</v>
      </c>
      <c r="D8" s="0" t="n">
        <f aca="false">D6*D7/100</f>
        <v>404.65170048</v>
      </c>
      <c r="E8" s="0" t="n">
        <f aca="false">E6*E7/100</f>
        <v>348.6748819136</v>
      </c>
      <c r="F8" s="0" t="n">
        <f aca="false">F6*F7/100</f>
        <v>316.18472246256</v>
      </c>
      <c r="G8" s="0" t="n">
        <f aca="false">G6*G7/100</f>
        <v>289.083174822912</v>
      </c>
      <c r="H8" s="0" t="n">
        <f aca="false">H6*H7/100</f>
        <v>280.410679578225</v>
      </c>
      <c r="I8" s="0" t="n">
        <f aca="false">I6*I7/100</f>
        <v>274.80246598666</v>
      </c>
      <c r="J8" s="0" t="n">
        <f aca="false">J6*J7/100</f>
        <v>272.054441326794</v>
      </c>
      <c r="K8" s="0" t="n">
        <f aca="false">K6*K7/100</f>
        <v>272.054441326794</v>
      </c>
      <c r="L8" s="0" t="n">
        <f aca="false">L6*L7/100</f>
        <v>272.054441326794</v>
      </c>
    </row>
    <row r="9" customFormat="false" ht="15" hidden="false" customHeight="false" outlineLevel="0" collapsed="false">
      <c r="A9" s="0" t="s">
        <v>103</v>
      </c>
      <c r="C9" s="4" t="n">
        <f aca="false">Assumptions!C15</f>
        <v>1.2</v>
      </c>
      <c r="D9" s="4" t="n">
        <f aca="false">Assumptions!D15</f>
        <v>1.5</v>
      </c>
      <c r="E9" s="4" t="n">
        <f aca="false">Assumptions!E15</f>
        <v>1.5</v>
      </c>
      <c r="F9" s="4" t="n">
        <f aca="false">Assumptions!F15</f>
        <v>1.5</v>
      </c>
      <c r="G9" s="4" t="n">
        <f aca="false">Assumptions!G15</f>
        <v>1.5</v>
      </c>
      <c r="H9" s="4" t="n">
        <f aca="false">Assumptions!H15</f>
        <v>1.5</v>
      </c>
      <c r="I9" s="4" t="n">
        <f aca="false">Assumptions!I15</f>
        <v>1.5</v>
      </c>
      <c r="J9" s="4" t="n">
        <f aca="false">Assumptions!J15</f>
        <v>1.5</v>
      </c>
      <c r="K9" s="4" t="n">
        <f aca="false">Assumptions!K15</f>
        <v>1.5</v>
      </c>
      <c r="L9" s="4" t="n">
        <f aca="false">Assumptions!L15</f>
        <v>1.5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-21.29745792</v>
      </c>
      <c r="D10" s="0" t="n">
        <f aca="false">-D6*D9/100</f>
        <v>-25.29073128</v>
      </c>
      <c r="E10" s="0" t="n">
        <f aca="false">-E6*E9/100</f>
        <v>-23.7732874032</v>
      </c>
      <c r="F10" s="0" t="n">
        <f aca="false">-F6*F9/100</f>
        <v>-22.58462303304</v>
      </c>
      <c r="G10" s="0" t="n">
        <f aca="false">-G6*G9/100</f>
        <v>-21.6812381117184</v>
      </c>
      <c r="H10" s="0" t="n">
        <f aca="false">-H6*H9/100</f>
        <v>-21.0308009683668</v>
      </c>
      <c r="I10" s="0" t="n">
        <f aca="false">-I6*I9/100</f>
        <v>-20.6101849489995</v>
      </c>
      <c r="J10" s="0" t="n">
        <f aca="false">-J6*J9/100</f>
        <v>-20.4040830995095</v>
      </c>
      <c r="K10" s="0" t="n">
        <f aca="false">-K6*K9/100</f>
        <v>-20.4040830995095</v>
      </c>
      <c r="L10" s="0" t="n">
        <f aca="false">-L6*L9/100</f>
        <v>-20.4040830995095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440.14746368</v>
      </c>
      <c r="D11" s="0" t="n">
        <f aca="false">D8+D10+D24</f>
        <v>379.3609692</v>
      </c>
      <c r="E11" s="0" t="n">
        <f aca="false">E8+E10+E24</f>
        <v>324.9015945104</v>
      </c>
      <c r="F11" s="0" t="n">
        <f aca="false">F8+F10+F24</f>
        <v>293.60009942952</v>
      </c>
      <c r="G11" s="0" t="n">
        <f aca="false">G8+G10+G24</f>
        <v>267.401936711193</v>
      </c>
      <c r="H11" s="0" t="n">
        <f aca="false">H8+H10+H24</f>
        <v>259.379878609858</v>
      </c>
      <c r="I11" s="0" t="n">
        <f aca="false">I8+I10+I24</f>
        <v>254.192281037661</v>
      </c>
      <c r="J11" s="0" t="n">
        <f aca="false">J8+J10+J24</f>
        <v>251.650358227284</v>
      </c>
      <c r="K11" s="0" t="n">
        <f aca="false">K8+K10+K24</f>
        <v>251.650358227284</v>
      </c>
      <c r="L11" s="0" t="n">
        <f aca="false">L8+L10+L24</f>
        <v>251.650358227284</v>
      </c>
    </row>
    <row r="12" customFormat="false" ht="15" hidden="false" customHeight="false" outlineLevel="0" collapsed="false">
      <c r="A12" s="0" t="s">
        <v>120</v>
      </c>
      <c r="C12" s="4" t="n">
        <f aca="false">-C6*Assumptions!C17/100</f>
        <v>-58.56800928</v>
      </c>
      <c r="D12" s="4" t="n">
        <f aca="false">-D6*Assumptions!D17/100</f>
        <v>-55.639608816</v>
      </c>
      <c r="E12" s="4" t="n">
        <f aca="false">-E6*Assumptions!E17/100</f>
        <v>-52.30123228704</v>
      </c>
      <c r="F12" s="4" t="n">
        <f aca="false">-F6*Assumptions!F17/100</f>
        <v>-49.686170672688</v>
      </c>
      <c r="G12" s="4" t="n">
        <f aca="false">-G6*Assumptions!G17/100</f>
        <v>-47.6987238457805</v>
      </c>
      <c r="H12" s="4" t="n">
        <f aca="false">-H6*Assumptions!H17/100</f>
        <v>-46.2677621304071</v>
      </c>
      <c r="I12" s="4" t="n">
        <f aca="false">-I6*Assumptions!I17/100</f>
        <v>-45.3424068877989</v>
      </c>
      <c r="J12" s="4" t="n">
        <f aca="false">-J6*Assumptions!J17/100</f>
        <v>-44.8889828189209</v>
      </c>
      <c r="K12" s="4" t="n">
        <f aca="false">-K6*Assumptions!K17/100</f>
        <v>-44.8889828189209</v>
      </c>
      <c r="L12" s="4" t="n">
        <f aca="false">-L6*Assumptions!L17/100</f>
        <v>-44.8889828189209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381.5794544</v>
      </c>
      <c r="D13" s="0" t="n">
        <f aca="false">D11+D12</f>
        <v>323.721360384</v>
      </c>
      <c r="E13" s="0" t="n">
        <f aca="false">E11+E12</f>
        <v>272.60036222336</v>
      </c>
      <c r="F13" s="0" t="n">
        <f aca="false">F11+F12</f>
        <v>243.913928756832</v>
      </c>
      <c r="G13" s="0" t="n">
        <f aca="false">G11+G12</f>
        <v>219.703212865413</v>
      </c>
      <c r="H13" s="0" t="n">
        <f aca="false">H11+H12</f>
        <v>213.112116479451</v>
      </c>
      <c r="I13" s="0" t="n">
        <f aca="false">I11+I12</f>
        <v>208.849874149862</v>
      </c>
      <c r="J13" s="0" t="n">
        <f aca="false">J11+J12</f>
        <v>206.761375408363</v>
      </c>
      <c r="K13" s="0" t="n">
        <f aca="false">K11+K12</f>
        <v>206.761375408363</v>
      </c>
      <c r="L13" s="0" t="n">
        <f aca="false">L11+L12</f>
        <v>206.761375408363</v>
      </c>
    </row>
    <row r="14" customFormat="false" ht="15" hidden="false" customHeight="false" outlineLevel="0" collapsed="false">
      <c r="A14" s="0" t="s">
        <v>107</v>
      </c>
      <c r="C14" s="4" t="n">
        <f aca="false">Assumptions!C19</f>
        <v>22</v>
      </c>
      <c r="D14" s="4" t="n">
        <f aca="false">Assumptions!D19</f>
        <v>23</v>
      </c>
      <c r="E14" s="4" t="n">
        <f aca="false">Assumptions!E19</f>
        <v>24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297.631974432</v>
      </c>
      <c r="D15" s="0" t="n">
        <f aca="false">D13-MAX(0,D13)*D14/100</f>
        <v>249.26544749568</v>
      </c>
      <c r="E15" s="0" t="n">
        <f aca="false">E13-MAX(0,E13)*E14/100</f>
        <v>207.176275289754</v>
      </c>
      <c r="F15" s="0" t="n">
        <f aca="false">F13-MAX(0,F13)*F14/100</f>
        <v>182.935446567624</v>
      </c>
      <c r="G15" s="0" t="n">
        <f aca="false">G13-MAX(0,G13)*G14/100</f>
        <v>164.77740964906</v>
      </c>
      <c r="H15" s="0" t="n">
        <f aca="false">H13-MAX(0,H13)*H14/100</f>
        <v>159.834087359588</v>
      </c>
      <c r="I15" s="0" t="n">
        <f aca="false">I13-MAX(0,I13)*I14/100</f>
        <v>156.637405612396</v>
      </c>
      <c r="J15" s="0" t="n">
        <f aca="false">J13-MAX(0,J13)*J14/100</f>
        <v>155.071031556272</v>
      </c>
      <c r="K15" s="0" t="n">
        <f aca="false">K13-MAX(0,K13)*K14/100</f>
        <v>155.071031556272</v>
      </c>
      <c r="L15" s="0" t="n">
        <f aca="false">L13-MAX(0,L13)*L14/100</f>
        <v>155.071031556272</v>
      </c>
    </row>
    <row r="16" customFormat="false" ht="15" hidden="false" customHeight="false" outlineLevel="0" collapsed="false">
      <c r="A16" s="0" t="s">
        <v>123</v>
      </c>
      <c r="C16" s="0" t="n">
        <f aca="false">-C12</f>
        <v>58.56800928</v>
      </c>
      <c r="D16" s="0" t="n">
        <f aca="false">-D12</f>
        <v>55.639608816</v>
      </c>
      <c r="E16" s="0" t="n">
        <f aca="false">-E12</f>
        <v>52.30123228704</v>
      </c>
      <c r="F16" s="0" t="n">
        <f aca="false">-F12</f>
        <v>49.686170672688</v>
      </c>
      <c r="G16" s="0" t="n">
        <f aca="false">-G12</f>
        <v>47.6987238457805</v>
      </c>
      <c r="H16" s="0" t="n">
        <f aca="false">-H12</f>
        <v>46.2677621304071</v>
      </c>
      <c r="I16" s="0" t="n">
        <f aca="false">-I12</f>
        <v>45.3424068877989</v>
      </c>
      <c r="J16" s="0" t="n">
        <f aca="false">-J12</f>
        <v>44.8889828189209</v>
      </c>
      <c r="K16" s="0" t="n">
        <f aca="false">-K12</f>
        <v>44.8889828189209</v>
      </c>
      <c r="L16" s="0" t="n">
        <f aca="false">-L12</f>
        <v>44.8889828189209</v>
      </c>
    </row>
    <row r="17" customFormat="false" ht="15" hidden="false" customHeight="false" outlineLevel="0" collapsed="false">
      <c r="A17" s="0" t="s">
        <v>124</v>
      </c>
      <c r="C17" s="4" t="n">
        <f aca="false">-C6*Assumptions!C18/100</f>
        <v>-49.69406848</v>
      </c>
      <c r="D17" s="4" t="n">
        <f aca="false">-D6*Assumptions!D18/100</f>
        <v>-47.209365056</v>
      </c>
      <c r="E17" s="4" t="n">
        <f aca="false">-E6*Assumptions!E18/100</f>
        <v>-44.37680315264</v>
      </c>
      <c r="F17" s="4" t="n">
        <f aca="false">-F6*Assumptions!F18/100</f>
        <v>-42.157962995008</v>
      </c>
      <c r="G17" s="4" t="n">
        <f aca="false">-G6*Assumptions!G18/100</f>
        <v>-40.4716444752077</v>
      </c>
      <c r="H17" s="4" t="n">
        <f aca="false">-H6*Assumptions!H18/100</f>
        <v>-39.2574951409514</v>
      </c>
      <c r="I17" s="4" t="n">
        <f aca="false">-I6*Assumptions!I18/100</f>
        <v>-38.4723452381324</v>
      </c>
      <c r="J17" s="4" t="n">
        <f aca="false">-J6*Assumptions!J18/100</f>
        <v>-38.0876217857511</v>
      </c>
      <c r="K17" s="4" t="n">
        <f aca="false">-K6*Assumptions!K18/100</f>
        <v>-38.0876217857511</v>
      </c>
      <c r="L17" s="4" t="n">
        <f aca="false">-L6*Assumptions!L18/100</f>
        <v>-38.0876217857511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(C6-B6)*Assumptions!$B$23/100</f>
        <v>0</v>
      </c>
      <c r="D18" s="4" t="n">
        <f aca="false">(D6-C6)*Assumptions!$B$23/100</f>
        <v>-0</v>
      </c>
      <c r="E18" s="4" t="n">
        <f aca="false">(E6-D6)*Assumptions!$B$23/100</f>
        <v>-0</v>
      </c>
      <c r="F18" s="4" t="n">
        <f aca="false">(F6-E6)*Assumptions!$B$23/100</f>
        <v>-0</v>
      </c>
      <c r="G18" s="4" t="n">
        <f aca="false">(G6-F6)*Assumptions!$B$23/100</f>
        <v>-0</v>
      </c>
      <c r="H18" s="4" t="n">
        <f aca="false">(H6-G6)*Assumptions!$B$23/100</f>
        <v>-0</v>
      </c>
      <c r="I18" s="4" t="n">
        <f aca="false">(I6-H6)*Assumptions!$B$23/100</f>
        <v>-0</v>
      </c>
      <c r="J18" s="4" t="n">
        <f aca="false">(J6-I6)*Assumptions!$B$23/100</f>
        <v>-0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306.505915232</v>
      </c>
      <c r="D19" s="0" t="n">
        <f aca="false">D15+D16+D17+D18</f>
        <v>257.69569125568</v>
      </c>
      <c r="E19" s="0" t="n">
        <f aca="false">E15+E16+E17+E18</f>
        <v>215.100704424154</v>
      </c>
      <c r="F19" s="0" t="n">
        <f aca="false">F15+F16+F17+F18</f>
        <v>190.463654245304</v>
      </c>
      <c r="G19" s="0" t="n">
        <f aca="false">G15+G16+G17+G18</f>
        <v>172.004489019633</v>
      </c>
      <c r="H19" s="0" t="n">
        <f aca="false">H15+H16+H17+H18</f>
        <v>166.844354349044</v>
      </c>
      <c r="I19" s="0" t="n">
        <f aca="false">I15+I16+I17+I18</f>
        <v>163.507467262063</v>
      </c>
      <c r="J19" s="0" t="n">
        <f aca="false">J15+J16+J17+J18</f>
        <v>161.872392589442</v>
      </c>
      <c r="K19" s="0" t="n">
        <f aca="false">K15+K16+K17+K18</f>
        <v>161.872392589442</v>
      </c>
      <c r="L19" s="0" t="n">
        <f aca="false">L15+L16+L17+L18</f>
        <v>161.872392589442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0.896860986547085</v>
      </c>
      <c r="D20" s="0" t="n">
        <f aca="false">1/(1+$B$27/100)^D4</f>
        <v>0.804359629190211</v>
      </c>
      <c r="E20" s="0" t="n">
        <f aca="false">1/(1+$B$27/100)^E4</f>
        <v>0.72139877057418</v>
      </c>
      <c r="F20" s="0" t="n">
        <f aca="false">1/(1+$B$27/100)^F4</f>
        <v>0.646994413071014</v>
      </c>
      <c r="G20" s="0" t="n">
        <f aca="false">1/(1+$B$27/100)^G4</f>
        <v>0.580264047597322</v>
      </c>
      <c r="H20" s="0" t="n">
        <f aca="false">1/(1+$B$27/100)^H4</f>
        <v>0.520416186185939</v>
      </c>
      <c r="I20" s="0" t="n">
        <f aca="false">1/(1+$B$27/100)^I4</f>
        <v>0.466740974157793</v>
      </c>
      <c r="J20" s="0" t="n">
        <f aca="false">1/(1+$B$27/100)^J4</f>
        <v>0.418601770545106</v>
      </c>
      <c r="K20" s="0" t="n">
        <f aca="false">1/(1+$B$27/100)^K4</f>
        <v>0.37542759690144</v>
      </c>
      <c r="L20" s="0" t="n">
        <f aca="false">1/(1+$B$27/100)^L4</f>
        <v>0.336706364934027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274.893197517489</v>
      </c>
      <c r="D21" s="0" t="n">
        <f aca="false">D19*D20</f>
        <v>207.280010662334</v>
      </c>
      <c r="E21" s="0" t="n">
        <f aca="false">E19*E20</f>
        <v>155.173383721225</v>
      </c>
      <c r="F21" s="0" t="n">
        <f aca="false">F19*F20</f>
        <v>123.228920189801</v>
      </c>
      <c r="G21" s="0" t="n">
        <f aca="false">G19*G20</f>
        <v>99.8080210034411</v>
      </c>
      <c r="H21" s="0" t="n">
        <f aca="false">H19*H20</f>
        <v>86.8285025769846</v>
      </c>
      <c r="I21" s="0" t="n">
        <f aca="false">I19*I20</f>
        <v>76.3156345519685</v>
      </c>
      <c r="J21" s="0" t="n">
        <f aca="false">J19*J20</f>
        <v>67.7600701403129</v>
      </c>
      <c r="K21" s="0" t="n">
        <f aca="false">K19*K20</f>
        <v>60.7713633545407</v>
      </c>
      <c r="L21" s="0" t="n">
        <f aca="false">L19*L20</f>
        <v>54.5034648919648</v>
      </c>
    </row>
    <row r="23" customFormat="false" ht="15" hidden="false" customHeight="false" outlineLevel="0" collapsed="false">
      <c r="A23" s="0" t="s">
        <v>104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Assumptions!$B$20</f>
        <v>11.5</v>
      </c>
    </row>
    <row r="28" customFormat="false" ht="15" hidden="false" customHeight="false" outlineLevel="0" collapsed="false">
      <c r="A28" s="0" t="s">
        <v>109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110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1206.56256861006</v>
      </c>
    </row>
    <row r="31" customFormat="false" ht="15" hidden="false" customHeight="false" outlineLevel="0" collapsed="false">
      <c r="A31" s="0" t="s">
        <v>132</v>
      </c>
      <c r="B31" s="0" t="n">
        <f aca="false">L19</f>
        <v>161.872392589442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1557.05825252702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1618.72392589442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1557.05825252702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524.271424198899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1730.83399280896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3544.73399280896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14.4094877756462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1.27638037529955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127.42270344804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66.0846333023822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15.1961029656885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1167.79368939526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12.8956607967649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Assumptions!C27</f>
        <v>2</v>
      </c>
      <c r="D5" s="4" t="n">
        <f aca="false">Assumptions!D27</f>
        <v>-1</v>
      </c>
      <c r="E5" s="4" t="n">
        <f aca="false">Assumptions!E27</f>
        <v>-1</v>
      </c>
      <c r="F5" s="4" t="n">
        <f aca="false">Assumptions!F27</f>
        <v>0</v>
      </c>
      <c r="G5" s="4" t="n">
        <f aca="false">Assumptions!G27</f>
        <v>0.5</v>
      </c>
      <c r="H5" s="4" t="n">
        <f aca="false">Assumptions!H27</f>
        <v>1</v>
      </c>
      <c r="I5" s="4" t="n">
        <f aca="false">Assumptions!I27</f>
        <v>1</v>
      </c>
      <c r="J5" s="4" t="n">
        <f aca="false">Assumptions!J27</f>
        <v>1.5</v>
      </c>
      <c r="K5" s="4" t="n">
        <f aca="false">Assumptions!K27</f>
        <v>1.5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37</v>
      </c>
      <c r="B6" s="3" t="n">
        <v>1757.216</v>
      </c>
      <c r="C6" s="0" t="n">
        <f aca="false">B6*(1+C5/100)</f>
        <v>1792.36032</v>
      </c>
      <c r="D6" s="0" t="n">
        <f aca="false">C6*(1+D5/100)</f>
        <v>1774.4367168</v>
      </c>
      <c r="E6" s="0" t="n">
        <f aca="false">D6*(1+E5/100)</f>
        <v>1756.692349632</v>
      </c>
      <c r="F6" s="0" t="n">
        <f aca="false">E6*(1+F5/100)</f>
        <v>1756.692349632</v>
      </c>
      <c r="G6" s="0" t="n">
        <f aca="false">F6*(1+G5/100)</f>
        <v>1765.47581138016</v>
      </c>
      <c r="H6" s="0" t="n">
        <f aca="false">G6*(1+H5/100)</f>
        <v>1783.13056949396</v>
      </c>
      <c r="I6" s="0" t="n">
        <f aca="false">H6*(1+I5/100)</f>
        <v>1800.9618751889</v>
      </c>
      <c r="J6" s="0" t="n">
        <f aca="false">I6*(1+J5/100)</f>
        <v>1827.97630331673</v>
      </c>
      <c r="K6" s="0" t="n">
        <f aca="false">J6*(1+K5/100)</f>
        <v>1855.39594786649</v>
      </c>
      <c r="L6" s="0" t="n">
        <f aca="false">K6*(1+L5/100)</f>
        <v>1892.50386682381</v>
      </c>
    </row>
    <row r="7" customFormat="false" ht="15" hidden="false" customHeight="false" outlineLevel="0" collapsed="false">
      <c r="A7" s="0" t="s">
        <v>102</v>
      </c>
      <c r="C7" s="4" t="n">
        <f aca="false">Assumptions!C28</f>
        <v>27.5</v>
      </c>
      <c r="D7" s="4" t="n">
        <f aca="false">Assumptions!D28</f>
        <v>27</v>
      </c>
      <c r="E7" s="4" t="n">
        <f aca="false">Assumptions!E28</f>
        <v>27</v>
      </c>
      <c r="F7" s="4" t="n">
        <f aca="false">Assumptions!F28</f>
        <v>27</v>
      </c>
      <c r="G7" s="4" t="n">
        <f aca="false">Assumptions!G28</f>
        <v>27</v>
      </c>
      <c r="H7" s="4" t="n">
        <f aca="false">Assumptions!H28</f>
        <v>27</v>
      </c>
      <c r="I7" s="4" t="n">
        <f aca="false">Assumptions!I28</f>
        <v>27</v>
      </c>
      <c r="J7" s="4" t="n">
        <f aca="false">Assumptions!J28</f>
        <v>27</v>
      </c>
      <c r="K7" s="4" t="n">
        <f aca="false">Assumptions!K28</f>
        <v>27</v>
      </c>
      <c r="L7" s="4" t="n">
        <f aca="false">Assumptions!L28</f>
        <v>27</v>
      </c>
    </row>
    <row r="8" customFormat="false" ht="15" hidden="false" customHeight="false" outlineLevel="0" collapsed="false">
      <c r="A8" s="0" t="s">
        <v>43</v>
      </c>
      <c r="C8" s="0" t="n">
        <f aca="false">C6*C7/100</f>
        <v>492.899088</v>
      </c>
      <c r="D8" s="0" t="n">
        <f aca="false">D6*D7/100</f>
        <v>479.097913536</v>
      </c>
      <c r="E8" s="0" t="n">
        <f aca="false">E6*E7/100</f>
        <v>474.30693440064</v>
      </c>
      <c r="F8" s="0" t="n">
        <f aca="false">F6*F7/100</f>
        <v>474.30693440064</v>
      </c>
      <c r="G8" s="0" t="n">
        <f aca="false">G6*G7/100</f>
        <v>476.678469072643</v>
      </c>
      <c r="H8" s="0" t="n">
        <f aca="false">H6*H7/100</f>
        <v>481.44525376337</v>
      </c>
      <c r="I8" s="0" t="n">
        <f aca="false">I6*I7/100</f>
        <v>486.259706301003</v>
      </c>
      <c r="J8" s="0" t="n">
        <f aca="false">J6*J7/100</f>
        <v>493.553601895518</v>
      </c>
      <c r="K8" s="0" t="n">
        <f aca="false">K6*K7/100</f>
        <v>500.956905923951</v>
      </c>
      <c r="L8" s="0" t="n">
        <f aca="false">L6*L7/100</f>
        <v>510.97604404243</v>
      </c>
    </row>
    <row r="9" customFormat="false" ht="15" hidden="false" customHeight="false" outlineLevel="0" collapsed="false">
      <c r="A9" s="0" t="s">
        <v>103</v>
      </c>
      <c r="C9" s="4" t="n">
        <f aca="false">Assumptions!C29</f>
        <v>1.2</v>
      </c>
      <c r="D9" s="4" t="n">
        <f aca="false">Assumptions!D29</f>
        <v>1.5</v>
      </c>
      <c r="E9" s="4" t="n">
        <f aca="false">Assumptions!E29</f>
        <v>1.5</v>
      </c>
      <c r="F9" s="4" t="n">
        <f aca="false">Assumptions!F29</f>
        <v>1.5</v>
      </c>
      <c r="G9" s="4" t="n">
        <f aca="false">Assumptions!G29</f>
        <v>1.5</v>
      </c>
      <c r="H9" s="4" t="n">
        <f aca="false">Assumptions!H29</f>
        <v>1.5</v>
      </c>
      <c r="I9" s="4" t="n">
        <f aca="false">Assumptions!I29</f>
        <v>1.5</v>
      </c>
      <c r="J9" s="4" t="n">
        <f aca="false">Assumptions!J29</f>
        <v>1.5</v>
      </c>
      <c r="K9" s="4" t="n">
        <f aca="false">Assumptions!K29</f>
        <v>1.5</v>
      </c>
      <c r="L9" s="4" t="n">
        <f aca="false">Assumptions!L29</f>
        <v>1.5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-21.50832384</v>
      </c>
      <c r="D10" s="0" t="n">
        <f aca="false">-D6*D9/100</f>
        <v>-26.616550752</v>
      </c>
      <c r="E10" s="0" t="n">
        <f aca="false">-E6*E9/100</f>
        <v>-26.35038524448</v>
      </c>
      <c r="F10" s="0" t="n">
        <f aca="false">-F6*F9/100</f>
        <v>-26.35038524448</v>
      </c>
      <c r="G10" s="0" t="n">
        <f aca="false">-G6*G9/100</f>
        <v>-26.4821371707024</v>
      </c>
      <c r="H10" s="0" t="n">
        <f aca="false">-H6*H9/100</f>
        <v>-26.7469585424094</v>
      </c>
      <c r="I10" s="0" t="n">
        <f aca="false">-I6*I9/100</f>
        <v>-27.0144281278335</v>
      </c>
      <c r="J10" s="0" t="n">
        <f aca="false">-J6*J9/100</f>
        <v>-27.419644549751</v>
      </c>
      <c r="K10" s="0" t="n">
        <f aca="false">-K6*K9/100</f>
        <v>-27.8309392179973</v>
      </c>
      <c r="L10" s="0" t="n">
        <f aca="false">-L6*L9/100</f>
        <v>-28.3875580023572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471.39076416</v>
      </c>
      <c r="D11" s="0" t="n">
        <f aca="false">D8+D10+D24</f>
        <v>452.481362784</v>
      </c>
      <c r="E11" s="0" t="n">
        <f aca="false">E8+E10+E24</f>
        <v>447.95654915616</v>
      </c>
      <c r="F11" s="0" t="n">
        <f aca="false">F8+F10+F24</f>
        <v>447.95654915616</v>
      </c>
      <c r="G11" s="0" t="n">
        <f aca="false">G8+G10+G24</f>
        <v>450.196331901941</v>
      </c>
      <c r="H11" s="0" t="n">
        <f aca="false">H8+H10+H24</f>
        <v>454.69829522096</v>
      </c>
      <c r="I11" s="0" t="n">
        <f aca="false">I8+I10+I24</f>
        <v>459.24527817317</v>
      </c>
      <c r="J11" s="0" t="n">
        <f aca="false">J8+J10+J24</f>
        <v>466.133957345767</v>
      </c>
      <c r="K11" s="0" t="n">
        <f aca="false">K8+K10+K24</f>
        <v>473.125966705954</v>
      </c>
      <c r="L11" s="0" t="n">
        <f aca="false">L8+L10+L24</f>
        <v>482.588486040073</v>
      </c>
    </row>
    <row r="12" customFormat="false" ht="15" hidden="false" customHeight="false" outlineLevel="0" collapsed="false">
      <c r="A12" s="0" t="s">
        <v>120</v>
      </c>
      <c r="C12" s="4" t="n">
        <f aca="false">-C6*Assumptions!C31/100</f>
        <v>-59.14789056</v>
      </c>
      <c r="D12" s="4" t="n">
        <f aca="false">-D6*Assumptions!D31/100</f>
        <v>-58.5564116544</v>
      </c>
      <c r="E12" s="4" t="n">
        <f aca="false">-E6*Assumptions!E31/100</f>
        <v>-57.970847537856</v>
      </c>
      <c r="F12" s="4" t="n">
        <f aca="false">-F6*Assumptions!F31/100</f>
        <v>-57.970847537856</v>
      </c>
      <c r="G12" s="4" t="n">
        <f aca="false">-G6*Assumptions!G31/100</f>
        <v>-58.2607017755453</v>
      </c>
      <c r="H12" s="4" t="n">
        <f aca="false">-H6*Assumptions!H31/100</f>
        <v>-58.8433087933007</v>
      </c>
      <c r="I12" s="4" t="n">
        <f aca="false">-I6*Assumptions!I31/100</f>
        <v>-59.4317418812337</v>
      </c>
      <c r="J12" s="4" t="n">
        <f aca="false">-J6*Assumptions!J31/100</f>
        <v>-60.3232180094522</v>
      </c>
      <c r="K12" s="4" t="n">
        <f aca="false">-K6*Assumptions!K31/100</f>
        <v>-61.228066279594</v>
      </c>
      <c r="L12" s="4" t="n">
        <f aca="false">-L6*Assumptions!L31/100</f>
        <v>-62.4526276051859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412.2428736</v>
      </c>
      <c r="D13" s="0" t="n">
        <f aca="false">D11+D12</f>
        <v>393.9249511296</v>
      </c>
      <c r="E13" s="0" t="n">
        <f aca="false">E11+E12</f>
        <v>389.985701618304</v>
      </c>
      <c r="F13" s="0" t="n">
        <f aca="false">F11+F12</f>
        <v>389.985701618304</v>
      </c>
      <c r="G13" s="0" t="n">
        <f aca="false">G11+G12</f>
        <v>391.935630126395</v>
      </c>
      <c r="H13" s="0" t="n">
        <f aca="false">H11+H12</f>
        <v>395.854986427659</v>
      </c>
      <c r="I13" s="0" t="n">
        <f aca="false">I11+I12</f>
        <v>399.813536291936</v>
      </c>
      <c r="J13" s="0" t="n">
        <f aca="false">J11+J12</f>
        <v>405.810739336315</v>
      </c>
      <c r="K13" s="0" t="n">
        <f aca="false">K11+K12</f>
        <v>411.89790042636</v>
      </c>
      <c r="L13" s="0" t="n">
        <f aca="false">L11+L12</f>
        <v>420.135858434887</v>
      </c>
    </row>
    <row r="14" customFormat="false" ht="15" hidden="false" customHeight="false" outlineLevel="0" collapsed="false">
      <c r="A14" s="0" t="s">
        <v>107</v>
      </c>
      <c r="C14" s="4" t="n">
        <f aca="false">Assumptions!C33</f>
        <v>22</v>
      </c>
      <c r="D14" s="4" t="n">
        <f aca="false">Assumptions!D33</f>
        <v>23</v>
      </c>
      <c r="E14" s="4" t="n">
        <f aca="false">Assumptions!E33</f>
        <v>24</v>
      </c>
      <c r="F14" s="4" t="n">
        <f aca="false">Assumptions!F33</f>
        <v>25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321.549441408</v>
      </c>
      <c r="D15" s="0" t="n">
        <f aca="false">D13-MAX(0,D13)*D14/100</f>
        <v>303.322212369792</v>
      </c>
      <c r="E15" s="0" t="n">
        <f aca="false">E13-MAX(0,E13)*E14/100</f>
        <v>296.389133229911</v>
      </c>
      <c r="F15" s="0" t="n">
        <f aca="false">F13-MAX(0,F13)*F14/100</f>
        <v>292.489276213728</v>
      </c>
      <c r="G15" s="0" t="n">
        <f aca="false">G13-MAX(0,G13)*G14/100</f>
        <v>293.951722594797</v>
      </c>
      <c r="H15" s="0" t="n">
        <f aca="false">H13-MAX(0,H13)*H14/100</f>
        <v>296.891239820745</v>
      </c>
      <c r="I15" s="0" t="n">
        <f aca="false">I13-MAX(0,I13)*I14/100</f>
        <v>299.860152218952</v>
      </c>
      <c r="J15" s="0" t="n">
        <f aca="false">J13-MAX(0,J13)*J14/100</f>
        <v>304.358054502236</v>
      </c>
      <c r="K15" s="0" t="n">
        <f aca="false">K13-MAX(0,K13)*K14/100</f>
        <v>308.92342531977</v>
      </c>
      <c r="L15" s="0" t="n">
        <f aca="false">L13-MAX(0,L13)*L14/100</f>
        <v>315.101893826165</v>
      </c>
    </row>
    <row r="16" customFormat="false" ht="15" hidden="false" customHeight="false" outlineLevel="0" collapsed="false">
      <c r="A16" s="0" t="s">
        <v>123</v>
      </c>
      <c r="C16" s="0" t="n">
        <f aca="false">-C12</f>
        <v>59.14789056</v>
      </c>
      <c r="D16" s="0" t="n">
        <f aca="false">-D12</f>
        <v>58.5564116544</v>
      </c>
      <c r="E16" s="0" t="n">
        <f aca="false">-E12</f>
        <v>57.970847537856</v>
      </c>
      <c r="F16" s="0" t="n">
        <f aca="false">-F12</f>
        <v>57.970847537856</v>
      </c>
      <c r="G16" s="0" t="n">
        <f aca="false">-G12</f>
        <v>58.2607017755453</v>
      </c>
      <c r="H16" s="0" t="n">
        <f aca="false">-H12</f>
        <v>58.8433087933007</v>
      </c>
      <c r="I16" s="0" t="n">
        <f aca="false">-I12</f>
        <v>59.4317418812337</v>
      </c>
      <c r="J16" s="0" t="n">
        <f aca="false">-J12</f>
        <v>60.3232180094522</v>
      </c>
      <c r="K16" s="0" t="n">
        <f aca="false">-K12</f>
        <v>61.228066279594</v>
      </c>
      <c r="L16" s="0" t="n">
        <f aca="false">-L12</f>
        <v>62.4526276051859</v>
      </c>
    </row>
    <row r="17" customFormat="false" ht="15" hidden="false" customHeight="false" outlineLevel="0" collapsed="false">
      <c r="A17" s="0" t="s">
        <v>124</v>
      </c>
      <c r="C17" s="4" t="n">
        <f aca="false">-C6*Assumptions!C32/100</f>
        <v>-50.18608896</v>
      </c>
      <c r="D17" s="4" t="n">
        <f aca="false">-D6*Assumptions!D32/100</f>
        <v>-49.6842280704</v>
      </c>
      <c r="E17" s="4" t="n">
        <f aca="false">-E6*Assumptions!E32/100</f>
        <v>-49.187385789696</v>
      </c>
      <c r="F17" s="4" t="n">
        <f aca="false">-F6*Assumptions!F32/100</f>
        <v>-49.187385789696</v>
      </c>
      <c r="G17" s="4" t="n">
        <f aca="false">-G6*Assumptions!G32/100</f>
        <v>-49.4333227186445</v>
      </c>
      <c r="H17" s="4" t="n">
        <f aca="false">-H6*Assumptions!H32/100</f>
        <v>-49.9276559458309</v>
      </c>
      <c r="I17" s="4" t="n">
        <f aca="false">-I6*Assumptions!I32/100</f>
        <v>-50.4269325052892</v>
      </c>
      <c r="J17" s="4" t="n">
        <f aca="false">-J6*Assumptions!J32/100</f>
        <v>-51.1833364928686</v>
      </c>
      <c r="K17" s="4" t="n">
        <f aca="false">-K6*Assumptions!K32/100</f>
        <v>-51.9510865402616</v>
      </c>
      <c r="L17" s="4" t="n">
        <f aca="false">-L6*Assumptions!L32/100</f>
        <v>-52.9901082710668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(C6-B6)*Assumptions!$B$37/100</f>
        <v>0</v>
      </c>
      <c r="D18" s="4" t="n">
        <f aca="false">(D6-C6)*Assumptions!$B$37/100</f>
        <v>-0</v>
      </c>
      <c r="E18" s="4" t="n">
        <f aca="false">(E6-D6)*Assumptions!$B$37/100</f>
        <v>-0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330.511243008</v>
      </c>
      <c r="D19" s="0" t="n">
        <f aca="false">D15+D16+D17+D18</f>
        <v>312.194395953792</v>
      </c>
      <c r="E19" s="0" t="n">
        <f aca="false">E15+E16+E17+E18</f>
        <v>305.172594978071</v>
      </c>
      <c r="F19" s="0" t="n">
        <f aca="false">F15+F16+F17+F18</f>
        <v>301.272737961888</v>
      </c>
      <c r="G19" s="0" t="n">
        <f aca="false">G15+G16+G17+G18</f>
        <v>302.779101651697</v>
      </c>
      <c r="H19" s="0" t="n">
        <f aca="false">H15+H16+H17+H18</f>
        <v>305.806892668214</v>
      </c>
      <c r="I19" s="0" t="n">
        <f aca="false">I15+I16+I17+I18</f>
        <v>308.864961594896</v>
      </c>
      <c r="J19" s="0" t="n">
        <f aca="false">J15+J16+J17+J18</f>
        <v>313.49793601882</v>
      </c>
      <c r="K19" s="0" t="n">
        <f aca="false">K15+K16+K17+K18</f>
        <v>318.200405059102</v>
      </c>
      <c r="L19" s="0" t="n">
        <f aca="false">L15+L16+L17+L18</f>
        <v>324.564413160284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0.896860986547085</v>
      </c>
      <c r="D20" s="0" t="n">
        <f aca="false">1/(1+$B$27/100)^D4</f>
        <v>0.804359629190211</v>
      </c>
      <c r="E20" s="0" t="n">
        <f aca="false">1/(1+$B$27/100)^E4</f>
        <v>0.72139877057418</v>
      </c>
      <c r="F20" s="0" t="n">
        <f aca="false">1/(1+$B$27/100)^F4</f>
        <v>0.646994413071014</v>
      </c>
      <c r="G20" s="0" t="n">
        <f aca="false">1/(1+$B$27/100)^G4</f>
        <v>0.580264047597322</v>
      </c>
      <c r="H20" s="0" t="n">
        <f aca="false">1/(1+$B$27/100)^H4</f>
        <v>0.520416186185939</v>
      </c>
      <c r="I20" s="0" t="n">
        <f aca="false">1/(1+$B$27/100)^I4</f>
        <v>0.466740974157793</v>
      </c>
      <c r="J20" s="0" t="n">
        <f aca="false">1/(1+$B$27/100)^J4</f>
        <v>0.418601770545106</v>
      </c>
      <c r="K20" s="0" t="n">
        <f aca="false">1/(1+$B$27/100)^K4</f>
        <v>0.37542759690144</v>
      </c>
      <c r="L20" s="0" t="n">
        <f aca="false">1/(1+$B$27/100)^L4</f>
        <v>0.336706364934027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296.422639469058</v>
      </c>
      <c r="D21" s="0" t="n">
        <f aca="false">D19*D20</f>
        <v>251.116568564654</v>
      </c>
      <c r="E21" s="0" t="n">
        <f aca="false">E19*E20</f>
        <v>220.151134830113</v>
      </c>
      <c r="F21" s="0" t="n">
        <f aca="false">F19*F20</f>
        <v>194.921778271949</v>
      </c>
      <c r="G21" s="0" t="n">
        <f aca="false">G19*G20</f>
        <v>175.691827052295</v>
      </c>
      <c r="H21" s="0" t="n">
        <f aca="false">H19*H20</f>
        <v>159.146856791765</v>
      </c>
      <c r="I21" s="0" t="n">
        <f aca="false">I19*I20</f>
        <v>144.159933058011</v>
      </c>
      <c r="J21" s="0" t="n">
        <f aca="false">J19*J20</f>
        <v>131.230791079714</v>
      </c>
      <c r="K21" s="0" t="n">
        <f aca="false">K19*K20</f>
        <v>119.461213404403</v>
      </c>
      <c r="L21" s="0" t="n">
        <f aca="false">L19*L20</f>
        <v>109.282903742145</v>
      </c>
    </row>
    <row r="23" customFormat="false" ht="15" hidden="false" customHeight="false" outlineLevel="0" collapsed="false">
      <c r="A23" s="0" t="s">
        <v>104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Assumptions!$B$34</f>
        <v>11.5</v>
      </c>
    </row>
    <row r="28" customFormat="false" ht="15" hidden="false" customHeight="false" outlineLevel="0" collapsed="false">
      <c r="A28" s="0" t="s">
        <v>109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110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1801.58564626411</v>
      </c>
    </row>
    <row r="31" customFormat="false" ht="15" hidden="false" customHeight="false" outlineLevel="0" collapsed="false">
      <c r="A31" s="0" t="s">
        <v>132</v>
      </c>
      <c r="B31" s="0" t="n">
        <f aca="false">L19</f>
        <v>324.564413160284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3484.79685708937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3894.77295792341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3484.79685708937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1173.35328228408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2974.93892854819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4788.83892854819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19.4668249127975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2.07532779033136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150.136551598097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102.625651511727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20.4943135433253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2546.58231864223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16.3080112501455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Assumptions!C41</f>
        <v>3</v>
      </c>
      <c r="D5" s="4" t="n">
        <f aca="false">Assumptions!D41</f>
        <v>4</v>
      </c>
      <c r="E5" s="4" t="n">
        <f aca="false">Assumptions!E41</f>
        <v>4</v>
      </c>
      <c r="F5" s="4" t="n">
        <f aca="false">Assumptions!F41</f>
        <v>4</v>
      </c>
      <c r="G5" s="4" t="n">
        <f aca="false">Assumptions!G41</f>
        <v>3.5</v>
      </c>
      <c r="H5" s="4" t="n">
        <f aca="false">Assumptions!H41</f>
        <v>3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37</v>
      </c>
      <c r="B6" s="3" t="n">
        <v>1757.216</v>
      </c>
      <c r="C6" s="0" t="n">
        <f aca="false">B6*(1+C5/100)</f>
        <v>1809.93248</v>
      </c>
      <c r="D6" s="0" t="n">
        <f aca="false">C6*(1+D5/100)</f>
        <v>1882.3297792</v>
      </c>
      <c r="E6" s="0" t="n">
        <f aca="false">D6*(1+E5/100)</f>
        <v>1957.622970368</v>
      </c>
      <c r="F6" s="0" t="n">
        <f aca="false">E6*(1+F5/100)</f>
        <v>2035.92788918272</v>
      </c>
      <c r="G6" s="0" t="n">
        <f aca="false">F6*(1+G5/100)</f>
        <v>2107.18536530412</v>
      </c>
      <c r="H6" s="0" t="n">
        <f aca="false">G6*(1+H5/100)</f>
        <v>2170.40092626324</v>
      </c>
      <c r="I6" s="0" t="n">
        <f aca="false">H6*(1+I5/100)</f>
        <v>2235.51295405114</v>
      </c>
      <c r="J6" s="0" t="n">
        <f aca="false">I6*(1+J5/100)</f>
        <v>2302.57834267267</v>
      </c>
      <c r="K6" s="0" t="n">
        <f aca="false">J6*(1+K5/100)</f>
        <v>2360.14280123949</v>
      </c>
      <c r="L6" s="0" t="n">
        <f aca="false">K6*(1+L5/100)</f>
        <v>2419.14637127047</v>
      </c>
    </row>
    <row r="7" customFormat="false" ht="15" hidden="false" customHeight="false" outlineLevel="0" collapsed="false">
      <c r="A7" s="0" t="s">
        <v>102</v>
      </c>
      <c r="C7" s="4" t="n">
        <f aca="false">Assumptions!C42</f>
        <v>28</v>
      </c>
      <c r="D7" s="4" t="n">
        <f aca="false">Assumptions!D42</f>
        <v>29</v>
      </c>
      <c r="E7" s="4" t="n">
        <f aca="false">Assumptions!E42</f>
        <v>30</v>
      </c>
      <c r="F7" s="4" t="n">
        <f aca="false">Assumptions!F42</f>
        <v>31</v>
      </c>
      <c r="G7" s="4" t="n">
        <f aca="false">Assumptions!G42</f>
        <v>31.5</v>
      </c>
      <c r="H7" s="4" t="n">
        <f aca="false">Assumptions!H42</f>
        <v>32</v>
      </c>
      <c r="I7" s="4" t="n">
        <f aca="false">Assumptions!I42</f>
        <v>32</v>
      </c>
      <c r="J7" s="4" t="n">
        <f aca="false">Assumptions!J42</f>
        <v>32</v>
      </c>
      <c r="K7" s="4" t="n">
        <f aca="false">Assumptions!K42</f>
        <v>32</v>
      </c>
      <c r="L7" s="4" t="n">
        <f aca="false">Assumptions!L42</f>
        <v>32</v>
      </c>
    </row>
    <row r="8" customFormat="false" ht="15" hidden="false" customHeight="false" outlineLevel="0" collapsed="false">
      <c r="A8" s="0" t="s">
        <v>43</v>
      </c>
      <c r="C8" s="0" t="n">
        <f aca="false">C6*C7/100</f>
        <v>506.7810944</v>
      </c>
      <c r="D8" s="0" t="n">
        <f aca="false">D6*D7/100</f>
        <v>545.875635968</v>
      </c>
      <c r="E8" s="0" t="n">
        <f aca="false">E6*E7/100</f>
        <v>587.2868911104</v>
      </c>
      <c r="F8" s="0" t="n">
        <f aca="false">F6*F7/100</f>
        <v>631.137645646643</v>
      </c>
      <c r="G8" s="0" t="n">
        <f aca="false">G6*G7/100</f>
        <v>663.763390070796</v>
      </c>
      <c r="H8" s="0" t="n">
        <f aca="false">H6*H7/100</f>
        <v>694.528296404237</v>
      </c>
      <c r="I8" s="0" t="n">
        <f aca="false">I6*I7/100</f>
        <v>715.364145296364</v>
      </c>
      <c r="J8" s="0" t="n">
        <f aca="false">J6*J7/100</f>
        <v>736.825069655255</v>
      </c>
      <c r="K8" s="0" t="n">
        <f aca="false">K6*K7/100</f>
        <v>755.245696396636</v>
      </c>
      <c r="L8" s="0" t="n">
        <f aca="false">L6*L7/100</f>
        <v>774.126838806552</v>
      </c>
    </row>
    <row r="9" customFormat="false" ht="15" hidden="false" customHeight="false" outlineLevel="0" collapsed="false">
      <c r="A9" s="0" t="s">
        <v>103</v>
      </c>
      <c r="C9" s="4" t="n">
        <f aca="false">Assumptions!C43</f>
        <v>1.2</v>
      </c>
      <c r="D9" s="4" t="n">
        <f aca="false">Assumptions!D43</f>
        <v>1.5</v>
      </c>
      <c r="E9" s="4" t="n">
        <f aca="false">Assumptions!E43</f>
        <v>1.5</v>
      </c>
      <c r="F9" s="4" t="n">
        <f aca="false">Assumptions!F43</f>
        <v>1.5</v>
      </c>
      <c r="G9" s="4" t="n">
        <f aca="false">Assumptions!G43</f>
        <v>1.5</v>
      </c>
      <c r="H9" s="4" t="n">
        <f aca="false">Assumptions!H43</f>
        <v>1.5</v>
      </c>
      <c r="I9" s="4" t="n">
        <f aca="false">Assumptions!I43</f>
        <v>1.5</v>
      </c>
      <c r="J9" s="4" t="n">
        <f aca="false">Assumptions!J43</f>
        <v>1.5</v>
      </c>
      <c r="K9" s="4" t="n">
        <f aca="false">Assumptions!K43</f>
        <v>1.5</v>
      </c>
      <c r="L9" s="4" t="n">
        <f aca="false">Assumptions!L43</f>
        <v>1.5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-21.71918976</v>
      </c>
      <c r="D10" s="0" t="n">
        <f aca="false">-D6*D9/100</f>
        <v>-28.234946688</v>
      </c>
      <c r="E10" s="0" t="n">
        <f aca="false">-E6*E9/100</f>
        <v>-29.36434455552</v>
      </c>
      <c r="F10" s="0" t="n">
        <f aca="false">-F6*F9/100</f>
        <v>-30.5389183377408</v>
      </c>
      <c r="G10" s="0" t="n">
        <f aca="false">-G6*G9/100</f>
        <v>-31.6077804795617</v>
      </c>
      <c r="H10" s="0" t="n">
        <f aca="false">-H6*H9/100</f>
        <v>-32.5560138939486</v>
      </c>
      <c r="I10" s="0" t="n">
        <f aca="false">-I6*I9/100</f>
        <v>-33.532694310767</v>
      </c>
      <c r="J10" s="0" t="n">
        <f aca="false">-J6*J9/100</f>
        <v>-34.5386751400901</v>
      </c>
      <c r="K10" s="0" t="n">
        <f aca="false">-K6*K9/100</f>
        <v>-35.4021420185923</v>
      </c>
      <c r="L10" s="0" t="n">
        <f aca="false">-L6*L9/100</f>
        <v>-36.2871955690571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485.06190464</v>
      </c>
      <c r="D11" s="0" t="n">
        <f aca="false">D8+D10+D24</f>
        <v>517.64068928</v>
      </c>
      <c r="E11" s="0" t="n">
        <f aca="false">E8+E10+E24</f>
        <v>557.92254655488</v>
      </c>
      <c r="F11" s="0" t="n">
        <f aca="false">F8+F10+F24</f>
        <v>600.598727308902</v>
      </c>
      <c r="G11" s="0" t="n">
        <f aca="false">G8+G10+G24</f>
        <v>632.155609591235</v>
      </c>
      <c r="H11" s="0" t="n">
        <f aca="false">H8+H10+H24</f>
        <v>661.972282510288</v>
      </c>
      <c r="I11" s="0" t="n">
        <f aca="false">I8+I10+I24</f>
        <v>681.831450985597</v>
      </c>
      <c r="J11" s="0" t="n">
        <f aca="false">J8+J10+J24</f>
        <v>702.286394515165</v>
      </c>
      <c r="K11" s="0" t="n">
        <f aca="false">K8+K10+K24</f>
        <v>719.843554378044</v>
      </c>
      <c r="L11" s="0" t="n">
        <f aca="false">L8+L10+L24</f>
        <v>737.839643237494</v>
      </c>
    </row>
    <row r="12" customFormat="false" ht="15" hidden="false" customHeight="false" outlineLevel="0" collapsed="false">
      <c r="A12" s="0" t="s">
        <v>120</v>
      </c>
      <c r="C12" s="4" t="n">
        <f aca="false">-C6*Assumptions!C45/100</f>
        <v>-59.72777184</v>
      </c>
      <c r="D12" s="4" t="n">
        <f aca="false">-D6*Assumptions!D45/100</f>
        <v>-62.1168827136</v>
      </c>
      <c r="E12" s="4" t="n">
        <f aca="false">-E6*Assumptions!E45/100</f>
        <v>-64.601558022144</v>
      </c>
      <c r="F12" s="4" t="n">
        <f aca="false">-F6*Assumptions!F45/100</f>
        <v>-67.1856203430298</v>
      </c>
      <c r="G12" s="4" t="n">
        <f aca="false">-G6*Assumptions!G45/100</f>
        <v>-69.5371170550358</v>
      </c>
      <c r="H12" s="4" t="n">
        <f aca="false">-H6*Assumptions!H45/100</f>
        <v>-71.6232305666869</v>
      </c>
      <c r="I12" s="4" t="n">
        <f aca="false">-I6*Assumptions!I45/100</f>
        <v>-73.7719274836875</v>
      </c>
      <c r="J12" s="4" t="n">
        <f aca="false">-J6*Assumptions!J45/100</f>
        <v>-75.9850853081981</v>
      </c>
      <c r="K12" s="4" t="n">
        <f aca="false">-K6*Assumptions!K45/100</f>
        <v>-77.8847124409031</v>
      </c>
      <c r="L12" s="4" t="n">
        <f aca="false">-L6*Assumptions!L45/100</f>
        <v>-79.8318302519256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425.3341328</v>
      </c>
      <c r="D13" s="0" t="n">
        <f aca="false">D11+D12</f>
        <v>455.5238065664</v>
      </c>
      <c r="E13" s="0" t="n">
        <f aca="false">E11+E12</f>
        <v>493.320988532736</v>
      </c>
      <c r="F13" s="0" t="n">
        <f aca="false">F11+F12</f>
        <v>533.413106965873</v>
      </c>
      <c r="G13" s="0" t="n">
        <f aca="false">G11+G12</f>
        <v>562.618492536199</v>
      </c>
      <c r="H13" s="0" t="n">
        <f aca="false">H11+H12</f>
        <v>590.349051943601</v>
      </c>
      <c r="I13" s="0" t="n">
        <f aca="false">I11+I12</f>
        <v>608.059523501909</v>
      </c>
      <c r="J13" s="0" t="n">
        <f aca="false">J11+J12</f>
        <v>626.301309206966</v>
      </c>
      <c r="K13" s="0" t="n">
        <f aca="false">K11+K12</f>
        <v>641.95884193714</v>
      </c>
      <c r="L13" s="0" t="n">
        <f aca="false">L11+L12</f>
        <v>658.007812985569</v>
      </c>
    </row>
    <row r="14" customFormat="false" ht="15" hidden="false" customHeight="false" outlineLevel="0" collapsed="false">
      <c r="A14" s="0" t="s">
        <v>107</v>
      </c>
      <c r="C14" s="4" t="n">
        <f aca="false">Assumptions!C47</f>
        <v>22</v>
      </c>
      <c r="D14" s="4" t="n">
        <f aca="false">Assumptions!D47</f>
        <v>23</v>
      </c>
      <c r="E14" s="4" t="n">
        <f aca="false">Assumptions!E47</f>
        <v>24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331.760623584</v>
      </c>
      <c r="D15" s="0" t="n">
        <f aca="false">D13-MAX(0,D13)*D14/100</f>
        <v>350.753331056128</v>
      </c>
      <c r="E15" s="0" t="n">
        <f aca="false">E13-MAX(0,E13)*E14/100</f>
        <v>374.923951284879</v>
      </c>
      <c r="F15" s="0" t="n">
        <f aca="false">F13-MAX(0,F13)*F14/100</f>
        <v>400.059830224405</v>
      </c>
      <c r="G15" s="0" t="n">
        <f aca="false">G13-MAX(0,G13)*G14/100</f>
        <v>421.963869402149</v>
      </c>
      <c r="H15" s="0" t="n">
        <f aca="false">H13-MAX(0,H13)*H14/100</f>
        <v>442.761788957701</v>
      </c>
      <c r="I15" s="0" t="n">
        <f aca="false">I13-MAX(0,I13)*I14/100</f>
        <v>456.044642626432</v>
      </c>
      <c r="J15" s="0" t="n">
        <f aca="false">J13-MAX(0,J13)*J14/100</f>
        <v>469.725981905225</v>
      </c>
      <c r="K15" s="0" t="n">
        <f aca="false">K13-MAX(0,K13)*K14/100</f>
        <v>481.469131452855</v>
      </c>
      <c r="L15" s="0" t="n">
        <f aca="false">L13-MAX(0,L13)*L14/100</f>
        <v>493.505859739177</v>
      </c>
    </row>
    <row r="16" customFormat="false" ht="15" hidden="false" customHeight="false" outlineLevel="0" collapsed="false">
      <c r="A16" s="0" t="s">
        <v>123</v>
      </c>
      <c r="C16" s="0" t="n">
        <f aca="false">-C12</f>
        <v>59.72777184</v>
      </c>
      <c r="D16" s="0" t="n">
        <f aca="false">-D12</f>
        <v>62.1168827136</v>
      </c>
      <c r="E16" s="0" t="n">
        <f aca="false">-E12</f>
        <v>64.601558022144</v>
      </c>
      <c r="F16" s="0" t="n">
        <f aca="false">-F12</f>
        <v>67.1856203430298</v>
      </c>
      <c r="G16" s="0" t="n">
        <f aca="false">-G12</f>
        <v>69.5371170550358</v>
      </c>
      <c r="H16" s="0" t="n">
        <f aca="false">-H12</f>
        <v>71.6232305666869</v>
      </c>
      <c r="I16" s="0" t="n">
        <f aca="false">-I12</f>
        <v>73.7719274836875</v>
      </c>
      <c r="J16" s="0" t="n">
        <f aca="false">-J12</f>
        <v>75.9850853081981</v>
      </c>
      <c r="K16" s="0" t="n">
        <f aca="false">-K12</f>
        <v>77.8847124409031</v>
      </c>
      <c r="L16" s="0" t="n">
        <f aca="false">-L12</f>
        <v>79.8318302519256</v>
      </c>
    </row>
    <row r="17" customFormat="false" ht="15" hidden="false" customHeight="false" outlineLevel="0" collapsed="false">
      <c r="A17" s="0" t="s">
        <v>124</v>
      </c>
      <c r="C17" s="4" t="n">
        <f aca="false">-C6*Assumptions!C46/100</f>
        <v>-50.67810944</v>
      </c>
      <c r="D17" s="4" t="n">
        <f aca="false">-D6*Assumptions!D46/100</f>
        <v>-52.7052338176</v>
      </c>
      <c r="E17" s="4" t="n">
        <f aca="false">-E6*Assumptions!E46/100</f>
        <v>-54.813443170304</v>
      </c>
      <c r="F17" s="4" t="n">
        <f aca="false">-F6*Assumptions!F46/100</f>
        <v>-57.0059808971162</v>
      </c>
      <c r="G17" s="4" t="n">
        <f aca="false">-G6*Assumptions!G46/100</f>
        <v>-59.0011902285152</v>
      </c>
      <c r="H17" s="4" t="n">
        <f aca="false">-H6*Assumptions!H46/100</f>
        <v>-60.7712259353707</v>
      </c>
      <c r="I17" s="4" t="n">
        <f aca="false">-I6*Assumptions!I46/100</f>
        <v>-62.5943627134318</v>
      </c>
      <c r="J17" s="4" t="n">
        <f aca="false">-J6*Assumptions!J46/100</f>
        <v>-64.4721935948348</v>
      </c>
      <c r="K17" s="4" t="n">
        <f aca="false">-K6*Assumptions!K46/100</f>
        <v>-66.0839984347056</v>
      </c>
      <c r="L17" s="4" t="n">
        <f aca="false">-L6*Assumptions!L46/100</f>
        <v>-67.7360983955733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340.810285984</v>
      </c>
      <c r="D19" s="0" t="n">
        <f aca="false">D15+D16+D17+D18</f>
        <v>360.164979952128</v>
      </c>
      <c r="E19" s="0" t="n">
        <f aca="false">E15+E16+E17+E18</f>
        <v>384.712066136719</v>
      </c>
      <c r="F19" s="0" t="n">
        <f aca="false">F15+F16+F17+F18</f>
        <v>410.239469670318</v>
      </c>
      <c r="G19" s="0" t="n">
        <f aca="false">G15+G16+G17+G18</f>
        <v>432.49979622867</v>
      </c>
      <c r="H19" s="0" t="n">
        <f aca="false">H15+H16+H17+H18</f>
        <v>453.613793589017</v>
      </c>
      <c r="I19" s="0" t="n">
        <f aca="false">I15+I16+I17+I18</f>
        <v>467.222207396687</v>
      </c>
      <c r="J19" s="0" t="n">
        <f aca="false">J15+J16+J17+J18</f>
        <v>481.238873618588</v>
      </c>
      <c r="K19" s="0" t="n">
        <f aca="false">K15+K16+K17+K18</f>
        <v>493.269845459053</v>
      </c>
      <c r="L19" s="0" t="n">
        <f aca="false">L15+L16+L17+L18</f>
        <v>505.601591595529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0.896860986547085</v>
      </c>
      <c r="D20" s="0" t="n">
        <f aca="false">1/(1+$B$27/100)^D4</f>
        <v>0.804359629190211</v>
      </c>
      <c r="E20" s="0" t="n">
        <f aca="false">1/(1+$B$27/100)^E4</f>
        <v>0.72139877057418</v>
      </c>
      <c r="F20" s="0" t="n">
        <f aca="false">1/(1+$B$27/100)^F4</f>
        <v>0.646994413071014</v>
      </c>
      <c r="G20" s="0" t="n">
        <f aca="false">1/(1+$B$27/100)^G4</f>
        <v>0.580264047597322</v>
      </c>
      <c r="H20" s="0" t="n">
        <f aca="false">1/(1+$B$27/100)^H4</f>
        <v>0.520416186185939</v>
      </c>
      <c r="I20" s="0" t="n">
        <f aca="false">1/(1+$B$27/100)^I4</f>
        <v>0.466740974157793</v>
      </c>
      <c r="J20" s="0" t="n">
        <f aca="false">1/(1+$B$27/100)^J4</f>
        <v>0.418601770545106</v>
      </c>
      <c r="K20" s="0" t="n">
        <f aca="false">1/(1+$B$27/100)^K4</f>
        <v>0.37542759690144</v>
      </c>
      <c r="L20" s="0" t="n">
        <f aca="false">1/(1+$B$27/100)^L4</f>
        <v>0.336706364934027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305.659449313005</v>
      </c>
      <c r="D21" s="0" t="n">
        <f aca="false">D19*D20</f>
        <v>289.702169721593</v>
      </c>
      <c r="E21" s="0" t="n">
        <f aca="false">E19*E20</f>
        <v>277.530811536082</v>
      </c>
      <c r="F21" s="0" t="n">
        <f aca="false">F19*F20</f>
        <v>265.422644897911</v>
      </c>
      <c r="G21" s="0" t="n">
        <f aca="false">G19*G20</f>
        <v>250.964082344665</v>
      </c>
      <c r="H21" s="0" t="n">
        <f aca="false">H19*H20</f>
        <v>236.067960460932</v>
      </c>
      <c r="I21" s="0" t="n">
        <f aca="false">I19*I20</f>
        <v>218.071748228484</v>
      </c>
      <c r="J21" s="0" t="n">
        <f aca="false">J19*J20</f>
        <v>201.447444551873</v>
      </c>
      <c r="K21" s="0" t="n">
        <f aca="false">K19*K20</f>
        <v>185.187112704637</v>
      </c>
      <c r="L21" s="0" t="n">
        <f aca="false">L19*L20</f>
        <v>170.239274010989</v>
      </c>
    </row>
    <row r="23" customFormat="false" ht="15" hidden="false" customHeight="false" outlineLevel="0" collapsed="false">
      <c r="A23" s="0" t="s">
        <v>104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Assumptions!$B$48</f>
        <v>11.5</v>
      </c>
    </row>
    <row r="28" customFormat="false" ht="15" hidden="false" customHeight="false" outlineLevel="0" collapsed="false">
      <c r="A28" s="0" t="s">
        <v>109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110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2400.29269777017</v>
      </c>
    </row>
    <row r="31" customFormat="false" ht="15" hidden="false" customHeight="false" outlineLevel="0" collapsed="false">
      <c r="A31" s="0" t="s">
        <v>132</v>
      </c>
      <c r="B31" s="0" t="n">
        <f aca="false">L19</f>
        <v>505.601591595529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5758.24034872686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6067.21909914635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5758.24034872686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1938.83617623626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4339.12887400643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6153.02887400643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25.0123124959611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2.95139217945673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174.033695826462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139.150921739445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26.2854206974485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4145.93305108334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19.9358223093255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2" t="s">
        <v>149</v>
      </c>
      <c r="B3" s="2" t="s">
        <v>150</v>
      </c>
      <c r="C3" s="2" t="s">
        <v>140</v>
      </c>
      <c r="D3" s="2" t="s">
        <v>151</v>
      </c>
      <c r="E3" s="2" t="s">
        <v>143</v>
      </c>
      <c r="F3" s="2" t="s">
        <v>152</v>
      </c>
    </row>
    <row r="4" customFormat="false" ht="15" hidden="false" customHeight="false" outlineLevel="0" collapsed="false">
      <c r="A4" s="0" t="s">
        <v>153</v>
      </c>
      <c r="B4" s="4" t="n">
        <f aca="false">DCF_Bear!$B$38</f>
        <v>14.4094877756462</v>
      </c>
      <c r="C4" s="0" t="n">
        <f aca="false">B4/Assumptions!$B$2-1</f>
        <v>1.27638037529955</v>
      </c>
      <c r="D4" s="4" t="n">
        <f aca="false">Assumptions!$B$24</f>
        <v>0.35</v>
      </c>
      <c r="E4" s="4" t="n">
        <f aca="false">DCF_Bear!$B$43</f>
        <v>15.1961029656885</v>
      </c>
      <c r="F4" s="4" t="n">
        <f aca="false">DCF_Bear!$B$47</f>
        <v>12.8956607967649</v>
      </c>
    </row>
    <row r="5" customFormat="false" ht="15" hidden="false" customHeight="false" outlineLevel="0" collapsed="false">
      <c r="A5" s="0" t="s">
        <v>154</v>
      </c>
      <c r="B5" s="4" t="n">
        <f aca="false">DCF_Base!$B$38</f>
        <v>19.4668249127975</v>
      </c>
      <c r="C5" s="0" t="n">
        <f aca="false">B5/Assumptions!$B$2-1</f>
        <v>2.07532779033136</v>
      </c>
      <c r="D5" s="4" t="n">
        <f aca="false">Assumptions!$B$38</f>
        <v>0.45</v>
      </c>
      <c r="E5" s="4" t="n">
        <f aca="false">DCF_Base!$B$43</f>
        <v>20.4943135433253</v>
      </c>
      <c r="F5" s="4" t="n">
        <f aca="false">DCF_Base!$B$47</f>
        <v>16.3080112501455</v>
      </c>
    </row>
    <row r="6" customFormat="false" ht="15" hidden="false" customHeight="false" outlineLevel="0" collapsed="false">
      <c r="A6" s="0" t="s">
        <v>155</v>
      </c>
      <c r="B6" s="4" t="n">
        <f aca="false">DCF_Bull!$B$38</f>
        <v>25.0123124959611</v>
      </c>
      <c r="C6" s="0" t="n">
        <f aca="false">B6/Assumptions!$B$2-1</f>
        <v>2.95139217945673</v>
      </c>
      <c r="D6" s="4" t="n">
        <f aca="false">Assumptions!$B$52</f>
        <v>0.2</v>
      </c>
      <c r="E6" s="4" t="n">
        <f aca="false">DCF_Bull!$B$43</f>
        <v>26.2854206974485</v>
      </c>
      <c r="F6" s="4" t="n">
        <f aca="false">DCF_Bull!$B$47</f>
        <v>19.9358223093255</v>
      </c>
    </row>
    <row r="8" customFormat="false" ht="15" hidden="false" customHeight="false" outlineLevel="0" collapsed="false">
      <c r="A8" s="0" t="s">
        <v>156</v>
      </c>
      <c r="B8" s="0" t="n">
        <f aca="false">SUMPRODUCT(B4:B6,D4:D6)</f>
        <v>18.8058544314273</v>
      </c>
    </row>
    <row r="9" customFormat="false" ht="15" hidden="false" customHeight="false" outlineLevel="0" collapsed="false">
      <c r="A9" s="0" t="s">
        <v>157</v>
      </c>
      <c r="B9" s="0" t="n">
        <f aca="false">SUMPRODUCT(E4:E6,D4:D6)</f>
        <v>19.7981612719771</v>
      </c>
    </row>
    <row r="10" customFormat="false" ht="15" hidden="false" customHeight="false" outlineLevel="0" collapsed="false">
      <c r="A10" s="0" t="s">
        <v>158</v>
      </c>
      <c r="B10" s="0" t="n">
        <f aca="false">1-Assumptions!$B$2/B8</f>
        <v>0.663402690737536</v>
      </c>
    </row>
    <row r="11" customFormat="false" ht="15" hidden="false" customHeight="false" outlineLevel="0" collapsed="false">
      <c r="A11" s="0" t="s">
        <v>159</v>
      </c>
      <c r="B11" s="0" t="n">
        <f aca="false">IF(ABS(B9-B8)&gt;0.01*ABS(B8),(Assumptions!$B$2-B8)/(B9-B8)*100,"n/a")</f>
        <v>-1257.25772730892</v>
      </c>
    </row>
    <row r="12" customFormat="false" ht="15" hidden="false" customHeight="false" outlineLevel="0" collapsed="false">
      <c r="A12" s="0" t="s">
        <v>160</v>
      </c>
      <c r="B12" s="0" t="n">
        <f aca="false">SUMPRODUCT(F4:F6,D4:D6)</f>
        <v>15.8392508032983</v>
      </c>
    </row>
    <row r="14" customFormat="false" ht="15" hidden="false" customHeight="false" outlineLevel="0" collapsed="false">
      <c r="A14" s="2" t="s">
        <v>161</v>
      </c>
      <c r="C14" s="0" t="s">
        <v>162</v>
      </c>
    </row>
    <row r="15" customFormat="false" ht="15" hidden="false" customHeight="false" outlineLevel="0" collapsed="false">
      <c r="A15" s="0" t="s">
        <v>163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22.2080959484995</v>
      </c>
      <c r="C15" s="3" t="n">
        <v>9</v>
      </c>
    </row>
    <row r="16" customFormat="false" ht="15" hidden="false" customHeight="false" outlineLevel="0" collapsed="false">
      <c r="A16" s="0" t="s">
        <v>164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21.278388660613</v>
      </c>
      <c r="C16" s="3" t="n">
        <v>10</v>
      </c>
    </row>
    <row r="17" customFormat="false" ht="15" hidden="false" customHeight="false" outlineLevel="0" collapsed="false">
      <c r="A17" s="0" t="s">
        <v>165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20.1170580294753</v>
      </c>
      <c r="C17" s="3" t="n">
        <v>11</v>
      </c>
    </row>
    <row r="18" customFormat="false" ht="15" hidden="false" customHeight="false" outlineLevel="0" collapsed="false">
      <c r="A18" s="0" t="s">
        <v>166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19.4668249127975</v>
      </c>
      <c r="C18" s="3" t="n">
        <v>11.5</v>
      </c>
    </row>
    <row r="19" customFormat="false" ht="15" hidden="false" customHeight="false" outlineLevel="0" collapsed="false">
      <c r="A19" s="0" t="s">
        <v>167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18.8812382653074</v>
      </c>
      <c r="C19" s="3" t="n">
        <v>12</v>
      </c>
    </row>
    <row r="20" customFormat="false" ht="15" hidden="false" customHeight="false" outlineLevel="0" collapsed="false">
      <c r="A20" s="0" t="s">
        <v>168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16.3080112501455</v>
      </c>
      <c r="C20" s="3" t="n">
        <v>15</v>
      </c>
    </row>
    <row r="22" customFormat="false" ht="15" hidden="false" customHeight="false" outlineLevel="0" collapsed="false">
      <c r="A22" s="2" t="s">
        <v>169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9.5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21.6703344167886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21.7329677717484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21.7329677717484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21.7329677717484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21.7329677717484</v>
      </c>
    </row>
    <row r="25" customFormat="false" ht="15" hidden="false" customHeight="false" outlineLevel="0" collapsed="false">
      <c r="A25" s="3" t="n">
        <v>10.5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20.178116907495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20.492246738182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20.843333019538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20.843333019538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20.843333019538</v>
      </c>
    </row>
    <row r="26" customFormat="false" ht="15" hidden="false" customHeight="false" outlineLevel="0" collapsed="false">
      <c r="A26" s="3" t="n">
        <v>11.5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18.9702565093805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19.2061265010036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19.4668249127975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19.7564898147908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20.0279694763002</v>
      </c>
    </row>
    <row r="27" customFormat="false" ht="15" hidden="false" customHeight="false" outlineLevel="0" collapsed="false">
      <c r="A27" s="3" t="n">
        <v>12.5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17.9725379469151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18.1532023413154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18.3510728685156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18.5687304484359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18.8092993525584</v>
      </c>
    </row>
    <row r="28" customFormat="false" ht="15" hidden="false" customHeight="false" outlineLevel="0" collapsed="false">
      <c r="A28" s="3" t="n">
        <v>13.5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17.1344988308772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17.2751948418116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17.4281252884795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17.5949585030262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17.7776805951488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2026-10-04T09:27:26Z</dcterms:created>
  <dc:creator>openpyxl</dc:creator>
  <dc:description/>
  <dc:language>en-NZ</dc:language>
  <cp:lastModifiedBy/>
  <dcterms:modified xsi:type="dcterms:W3CDTF">2026-10-04T09:27:26Z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